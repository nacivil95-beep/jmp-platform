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:\★업무관련★\★공무업무앱★\진천메가산업단지\기초자료\"/>
    </mc:Choice>
  </mc:AlternateContent>
  <xr:revisionPtr revIDLastSave="0" documentId="13_ncr:1_{53EC6AD3-A6EB-48C0-9250-702F20373312}" xr6:coauthVersionLast="47" xr6:coauthVersionMax="47" xr10:uidLastSave="{00000000-0000-0000-0000-000000000000}"/>
  <bookViews>
    <workbookView xWindow="-28920" yWindow="-120" windowWidth="29040" windowHeight="15840" tabRatio="838" xr2:uid="{00000000-000D-0000-FFFF-FFFF00000000}"/>
  </bookViews>
  <sheets>
    <sheet name="원가계산서(총괄)" sheetId="10" r:id="rId1"/>
    <sheet name="공사비총괄표" sheetId="11" r:id="rId2"/>
    <sheet name="원가계산서(토목공사)" sheetId="9" r:id="rId3"/>
    <sheet name="내역서(토목공사)" sheetId="6" r:id="rId4"/>
    <sheet name="원가계산서(전기공사)" sheetId="1" r:id="rId5"/>
    <sheet name="공종별집계표(전기공사)" sheetId="2" r:id="rId6"/>
    <sheet name="내역서(전기공사)" sheetId="3" r:id="rId7"/>
    <sheet name="Sheet4" sheetId="7" state="hidden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bar10">#REF!</definedName>
    <definedName name="_bar13">#REF!</definedName>
    <definedName name="_bar16">#REF!</definedName>
    <definedName name="_bar19">#REF!</definedName>
    <definedName name="_bar22">#REF!</definedName>
    <definedName name="_bar25">#REF!</definedName>
    <definedName name="_bar29">#REF!</definedName>
    <definedName name="_bar32">#REF!</definedName>
    <definedName name="_GHH1">#REF!</definedName>
    <definedName name="_GHH2">#REF!</definedName>
    <definedName name="_HSH1">#REF!</definedName>
    <definedName name="_HSH2">#REF!</definedName>
    <definedName name="_JEA1">#REF!</definedName>
    <definedName name="_JEA2">#REF!</definedName>
    <definedName name="_JH10" localSheetId="1">[1]현황산출서!#REF!</definedName>
    <definedName name="_JH10" localSheetId="0">[1]현황산출서!#REF!</definedName>
    <definedName name="_JH10" localSheetId="2">[1]현황산출서!#REF!</definedName>
    <definedName name="_JH10">[1]현황산출서!#REF!</definedName>
    <definedName name="_JH11" localSheetId="1">[1]현황산출서!#REF!</definedName>
    <definedName name="_JH11" localSheetId="0">[1]현황산출서!#REF!</definedName>
    <definedName name="_JH11" localSheetId="2">[1]현황산출서!#REF!</definedName>
    <definedName name="_JH11">[1]현황산출서!#REF!</definedName>
    <definedName name="_JH12" localSheetId="1">[1]현황산출서!#REF!</definedName>
    <definedName name="_JH12" localSheetId="0">[1]현황산출서!#REF!</definedName>
    <definedName name="_JH12" localSheetId="2">[1]현황산출서!#REF!</definedName>
    <definedName name="_JH12">[1]현황산출서!#REF!</definedName>
    <definedName name="_JH13" localSheetId="1">[1]현황산출서!#REF!</definedName>
    <definedName name="_JH13" localSheetId="0">[1]현황산출서!#REF!</definedName>
    <definedName name="_JH13" localSheetId="2">[1]현황산출서!#REF!</definedName>
    <definedName name="_JH13">[1]현황산출서!#REF!</definedName>
    <definedName name="_JH14" localSheetId="1">[1]현황산출서!#REF!</definedName>
    <definedName name="_JH14" localSheetId="0">[1]현황산출서!#REF!</definedName>
    <definedName name="_JH14" localSheetId="2">[1]현황산출서!#REF!</definedName>
    <definedName name="_JH14">[1]현황산출서!#REF!</definedName>
    <definedName name="_JH15" localSheetId="1">[1]현황산출서!#REF!</definedName>
    <definedName name="_JH15" localSheetId="0">[1]현황산출서!#REF!</definedName>
    <definedName name="_JH15" localSheetId="2">[1]현황산출서!#REF!</definedName>
    <definedName name="_JH15">[1]현황산출서!#REF!</definedName>
    <definedName name="_JH16" localSheetId="1">[1]현황산출서!#REF!</definedName>
    <definedName name="_JH16" localSheetId="0">[1]현황산출서!#REF!</definedName>
    <definedName name="_JH16" localSheetId="2">[1]현황산출서!#REF!</definedName>
    <definedName name="_JH16">[1]현황산출서!#REF!</definedName>
    <definedName name="_JH17" localSheetId="1">[1]현황산출서!#REF!</definedName>
    <definedName name="_JH17" localSheetId="0">[1]현황산출서!#REF!</definedName>
    <definedName name="_JH17" localSheetId="2">[1]현황산출서!#REF!</definedName>
    <definedName name="_JH17">[1]현황산출서!#REF!</definedName>
    <definedName name="_JH18" localSheetId="1">[1]현황산출서!#REF!</definedName>
    <definedName name="_JH18" localSheetId="0">[1]현황산출서!#REF!</definedName>
    <definedName name="_JH18" localSheetId="2">[1]현황산출서!#REF!</definedName>
    <definedName name="_JH18">[1]현황산출서!#REF!</definedName>
    <definedName name="_JH19" localSheetId="1">[1]현황산출서!#REF!</definedName>
    <definedName name="_JH19" localSheetId="0">[1]현황산출서!#REF!</definedName>
    <definedName name="_JH19" localSheetId="2">[1]현황산출서!#REF!</definedName>
    <definedName name="_JH19">[1]현황산출서!#REF!</definedName>
    <definedName name="_JH20" localSheetId="1">[1]현황산출서!#REF!</definedName>
    <definedName name="_JH20" localSheetId="0">[1]현황산출서!#REF!</definedName>
    <definedName name="_JH20" localSheetId="2">[1]현황산출서!#REF!</definedName>
    <definedName name="_JH20">[1]현황산출서!#REF!</definedName>
    <definedName name="_jh8" localSheetId="1">[1]현황산출서!#REF!</definedName>
    <definedName name="_jh8" localSheetId="0">[1]현황산출서!#REF!</definedName>
    <definedName name="_jh8" localSheetId="2">[1]현황산출서!#REF!</definedName>
    <definedName name="_jh8">[1]현황산출서!#REF!</definedName>
    <definedName name="_JH9" localSheetId="1">[1]현황산출서!#REF!</definedName>
    <definedName name="_JH9" localSheetId="0">[1]현황산출서!#REF!</definedName>
    <definedName name="_JH9" localSheetId="2">[1]현황산출서!#REF!</definedName>
    <definedName name="_JH9">[1]현황산출서!#REF!</definedName>
    <definedName name="_JK7" localSheetId="1">[1]현황산출서!#REF!</definedName>
    <definedName name="_JK7" localSheetId="0">[1]현황산출서!#REF!</definedName>
    <definedName name="_JK7" localSheetId="2">[1]현황산출서!#REF!</definedName>
    <definedName name="_JK7">[1]현황산출서!#REF!</definedName>
    <definedName name="_JK8" localSheetId="1">[1]현황산출서!#REF!</definedName>
    <definedName name="_JK8" localSheetId="0">[1]현황산출서!#REF!</definedName>
    <definedName name="_JK8" localSheetId="2">[1]현황산출서!#REF!</definedName>
    <definedName name="_JK8">[1]현황산출서!#REF!</definedName>
    <definedName name="_JL1" localSheetId="1">[1]현황산출서!#REF!</definedName>
    <definedName name="_JL1" localSheetId="0">[1]현황산출서!#REF!</definedName>
    <definedName name="_JL1" localSheetId="2">[1]현황산출서!#REF!</definedName>
    <definedName name="_JL1">[1]현황산출서!#REF!</definedName>
    <definedName name="_JL2" localSheetId="1">[1]현황산출서!#REF!</definedName>
    <definedName name="_JL2" localSheetId="0">[1]현황산출서!#REF!</definedName>
    <definedName name="_JL2" localSheetId="2">[1]현황산출서!#REF!</definedName>
    <definedName name="_JL2">[1]현황산출서!#REF!</definedName>
    <definedName name="_Key1" hidden="1">#REF!</definedName>
    <definedName name="_Key2" hidden="1">#REF!</definedName>
    <definedName name="_kM1">#REF!</definedName>
    <definedName name="_kM2">#REF!</definedName>
    <definedName name="_kM3">#REF!</definedName>
    <definedName name="_LAB5" localSheetId="1">[1]현황산출서!#REF!</definedName>
    <definedName name="_LAB5" localSheetId="0">[1]현황산출서!#REF!</definedName>
    <definedName name="_LAB5" localSheetId="2">[1]현황산출서!#REF!</definedName>
    <definedName name="_LAB5">[1]현황산출서!#REF!</definedName>
    <definedName name="_MaL1">#REF!</definedName>
    <definedName name="_MaL2">#REF!</definedName>
    <definedName name="_NP1">#REF!</definedName>
    <definedName name="_NP2">#REF!</definedName>
    <definedName name="_NSH1">#REF!</definedName>
    <definedName name="_NSH2">#REF!</definedName>
    <definedName name="_Order1" hidden="1">255</definedName>
    <definedName name="_Order2" hidden="1">255</definedName>
    <definedName name="_PNO10" localSheetId="1">[2]INPUT!#REF!</definedName>
    <definedName name="_PNO10" localSheetId="0">[2]INPUT!#REF!</definedName>
    <definedName name="_PNO10" localSheetId="2">[2]INPUT!#REF!</definedName>
    <definedName name="_PNO10">[2]INPUT!#REF!</definedName>
    <definedName name="_PNO3" localSheetId="1">[2]INPUT!#REF!</definedName>
    <definedName name="_PNO3" localSheetId="0">[2]INPUT!#REF!</definedName>
    <definedName name="_PNO3" localSheetId="2">[2]INPUT!#REF!</definedName>
    <definedName name="_PNO3">[2]INPUT!#REF!</definedName>
    <definedName name="_PNO4" localSheetId="1">[2]INPUT!#REF!</definedName>
    <definedName name="_PNO4" localSheetId="0">[2]INPUT!#REF!</definedName>
    <definedName name="_PNO4" localSheetId="2">[2]INPUT!#REF!</definedName>
    <definedName name="_PNO4">[2]INPUT!#REF!</definedName>
    <definedName name="_PNO5" localSheetId="1">[2]INPUT!#REF!</definedName>
    <definedName name="_PNO5" localSheetId="0">[2]INPUT!#REF!</definedName>
    <definedName name="_PNO5" localSheetId="2">[2]INPUT!#REF!</definedName>
    <definedName name="_PNO5">[2]INPUT!#REF!</definedName>
    <definedName name="_PNO6" localSheetId="1">[2]INPUT!#REF!</definedName>
    <definedName name="_PNO6" localSheetId="0">[2]INPUT!#REF!</definedName>
    <definedName name="_PNO6" localSheetId="2">[2]INPUT!#REF!</definedName>
    <definedName name="_PNO6">[2]INPUT!#REF!</definedName>
    <definedName name="_PNO7" localSheetId="1">[2]INPUT!#REF!</definedName>
    <definedName name="_PNO7" localSheetId="0">[2]INPUT!#REF!</definedName>
    <definedName name="_PNO7" localSheetId="2">[2]INPUT!#REF!</definedName>
    <definedName name="_PNO7">[2]INPUT!#REF!</definedName>
    <definedName name="_PNO8" localSheetId="1">[2]INPUT!#REF!</definedName>
    <definedName name="_PNO8" localSheetId="0">[2]INPUT!#REF!</definedName>
    <definedName name="_PNO8" localSheetId="2">[2]INPUT!#REF!</definedName>
    <definedName name="_PNO8">[2]INPUT!#REF!</definedName>
    <definedName name="_PNO9" localSheetId="1">[2]INPUT!#REF!</definedName>
    <definedName name="_PNO9" localSheetId="0">[2]INPUT!#REF!</definedName>
    <definedName name="_PNO9" localSheetId="2">[2]INPUT!#REF!</definedName>
    <definedName name="_PNO9">[2]INPUT!#REF!</definedName>
    <definedName name="_Regression_Int" hidden="1">1</definedName>
    <definedName name="_SBB1">#REF!</definedName>
    <definedName name="_SBB2">#REF!</definedName>
    <definedName name="_SBB3">#REF!</definedName>
    <definedName name="_SBB4">#REF!</definedName>
    <definedName name="_SBB5">#REF!</definedName>
    <definedName name="_SH10" localSheetId="1">[1]현황산출서!#REF!</definedName>
    <definedName name="_SH10" localSheetId="0">[1]현황산출서!#REF!</definedName>
    <definedName name="_SH10" localSheetId="2">[1]현황산출서!#REF!</definedName>
    <definedName name="_SH10">[1]현황산출서!#REF!</definedName>
    <definedName name="_SH11" localSheetId="1">[1]현황산출서!#REF!</definedName>
    <definedName name="_SH11" localSheetId="0">[1]현황산출서!#REF!</definedName>
    <definedName name="_SH11" localSheetId="2">[1]현황산출서!#REF!</definedName>
    <definedName name="_SH11">[1]현황산출서!#REF!</definedName>
    <definedName name="_SH12" localSheetId="1">[1]현황산출서!#REF!</definedName>
    <definedName name="_SH12" localSheetId="0">[1]현황산출서!#REF!</definedName>
    <definedName name="_SH12" localSheetId="2">[1]현황산출서!#REF!</definedName>
    <definedName name="_SH12">[1]현황산출서!#REF!</definedName>
    <definedName name="_SH13" localSheetId="1">[1]현황산출서!#REF!</definedName>
    <definedName name="_SH13" localSheetId="0">[1]현황산출서!#REF!</definedName>
    <definedName name="_SH13" localSheetId="2">[1]현황산출서!#REF!</definedName>
    <definedName name="_SH13">[1]현황산출서!#REF!</definedName>
    <definedName name="_SH14" localSheetId="1">[1]현황산출서!#REF!</definedName>
    <definedName name="_SH14" localSheetId="0">[1]현황산출서!#REF!</definedName>
    <definedName name="_SH14" localSheetId="2">[1]현황산출서!#REF!</definedName>
    <definedName name="_SH14">[1]현황산출서!#REF!</definedName>
    <definedName name="_SH15" localSheetId="1">[1]현황산출서!#REF!</definedName>
    <definedName name="_SH15" localSheetId="0">[1]현황산출서!#REF!</definedName>
    <definedName name="_SH15" localSheetId="2">[1]현황산출서!#REF!</definedName>
    <definedName name="_SH15">[1]현황산출서!#REF!</definedName>
    <definedName name="_SH16" localSheetId="1">[1]현황산출서!#REF!</definedName>
    <definedName name="_SH16" localSheetId="0">[1]현황산출서!#REF!</definedName>
    <definedName name="_SH16" localSheetId="2">[1]현황산출서!#REF!</definedName>
    <definedName name="_SH16">[1]현황산출서!#REF!</definedName>
    <definedName name="_SH17" localSheetId="1">[1]현황산출서!#REF!</definedName>
    <definedName name="_SH17" localSheetId="0">[1]현황산출서!#REF!</definedName>
    <definedName name="_SH17" localSheetId="2">[1]현황산출서!#REF!</definedName>
    <definedName name="_SH17">[1]현황산출서!#REF!</definedName>
    <definedName name="_SH18" localSheetId="1">[1]현황산출서!#REF!</definedName>
    <definedName name="_SH18" localSheetId="0">[1]현황산출서!#REF!</definedName>
    <definedName name="_SH18" localSheetId="2">[1]현황산출서!#REF!</definedName>
    <definedName name="_SH18">[1]현황산출서!#REF!</definedName>
    <definedName name="_SH19" localSheetId="1">[1]현황산출서!#REF!</definedName>
    <definedName name="_SH19" localSheetId="0">[1]현황산출서!#REF!</definedName>
    <definedName name="_SH19" localSheetId="2">[1]현황산출서!#REF!</definedName>
    <definedName name="_SH19">[1]현황산출서!#REF!</definedName>
    <definedName name="_SH20" localSheetId="1">[1]현황산출서!#REF!</definedName>
    <definedName name="_SH20" localSheetId="0">[1]현황산출서!#REF!</definedName>
    <definedName name="_SH20" localSheetId="2">[1]현황산출서!#REF!</definedName>
    <definedName name="_SH20">[1]현황산출서!#REF!</definedName>
    <definedName name="_SH8" localSheetId="1">[1]현황산출서!#REF!</definedName>
    <definedName name="_SH8" localSheetId="0">[1]현황산출서!#REF!</definedName>
    <definedName name="_SH8" localSheetId="2">[1]현황산출서!#REF!</definedName>
    <definedName name="_SH8">[1]현황산출서!#REF!</definedName>
    <definedName name="_SH9" localSheetId="1">[1]현황산출서!#REF!</definedName>
    <definedName name="_SH9" localSheetId="0">[1]현황산출서!#REF!</definedName>
    <definedName name="_SH9" localSheetId="2">[1]현황산출서!#REF!</definedName>
    <definedName name="_SH9">[1]현황산출서!#REF!</definedName>
    <definedName name="_SHH1">#REF!</definedName>
    <definedName name="_SHH2">#REF!</definedName>
    <definedName name="_SHH3">#REF!</definedName>
    <definedName name="_Sort" localSheetId="1" hidden="1">#REF!</definedName>
    <definedName name="_Sort" localSheetId="0" hidden="1">#REF!</definedName>
    <definedName name="_Sort" localSheetId="2" hidden="1">#REF!</definedName>
    <definedName name="_Sort" hidden="1">#REF!</definedName>
    <definedName name="_Ty1">#REF!</definedName>
    <definedName name="_Ty2">#REF!</definedName>
    <definedName name="A">#REF!</definedName>
    <definedName name="A10B1L" localSheetId="1">[2]INPUT!#REF!</definedName>
    <definedName name="A10B1L" localSheetId="0">[2]INPUT!#REF!</definedName>
    <definedName name="A10B1L" localSheetId="2">[2]INPUT!#REF!</definedName>
    <definedName name="A10B1L">[2]INPUT!#REF!</definedName>
    <definedName name="A10B1R" localSheetId="1">[2]INPUT!#REF!</definedName>
    <definedName name="A10B1R" localSheetId="0">[2]INPUT!#REF!</definedName>
    <definedName name="A10B1R" localSheetId="2">[2]INPUT!#REF!</definedName>
    <definedName name="A10B1R">[2]INPUT!#REF!</definedName>
    <definedName name="A10B2L" localSheetId="1">[2]INPUT!#REF!</definedName>
    <definedName name="A10B2L" localSheetId="0">[2]INPUT!#REF!</definedName>
    <definedName name="A10B2L" localSheetId="2">[2]INPUT!#REF!</definedName>
    <definedName name="A10B2L">[2]INPUT!#REF!</definedName>
    <definedName name="A10B2R" localSheetId="1">[2]INPUT!#REF!</definedName>
    <definedName name="A10B2R" localSheetId="0">[2]INPUT!#REF!</definedName>
    <definedName name="A10B2R" localSheetId="2">[2]INPUT!#REF!</definedName>
    <definedName name="A10B2R">[2]INPUT!#REF!</definedName>
    <definedName name="A10B3L" localSheetId="1">[2]INPUT!#REF!</definedName>
    <definedName name="A10B3L" localSheetId="0">[2]INPUT!#REF!</definedName>
    <definedName name="A10B3L" localSheetId="2">[2]INPUT!#REF!</definedName>
    <definedName name="A10B3L">[2]INPUT!#REF!</definedName>
    <definedName name="A10B3R" localSheetId="1">[2]INPUT!#REF!</definedName>
    <definedName name="A10B3R" localSheetId="0">[2]INPUT!#REF!</definedName>
    <definedName name="A10B3R" localSheetId="2">[2]INPUT!#REF!</definedName>
    <definedName name="A10B3R">[2]INPUT!#REF!</definedName>
    <definedName name="A10B4L" localSheetId="1">[2]INPUT!#REF!</definedName>
    <definedName name="A10B4L" localSheetId="0">[2]INPUT!#REF!</definedName>
    <definedName name="A10B4L" localSheetId="2">[2]INPUT!#REF!</definedName>
    <definedName name="A10B4L">[2]INPUT!#REF!</definedName>
    <definedName name="A10B4R" localSheetId="1">[2]INPUT!#REF!</definedName>
    <definedName name="A10B4R" localSheetId="0">[2]INPUT!#REF!</definedName>
    <definedName name="A10B4R" localSheetId="2">[2]INPUT!#REF!</definedName>
    <definedName name="A10B4R">[2]INPUT!#REF!</definedName>
    <definedName name="A10BFL" localSheetId="1">[2]INPUT!#REF!</definedName>
    <definedName name="A10BFL" localSheetId="0">[2]INPUT!#REF!</definedName>
    <definedName name="A10BFL" localSheetId="2">[2]INPUT!#REF!</definedName>
    <definedName name="A10BFL">[2]INPUT!#REF!</definedName>
    <definedName name="A10BFR" localSheetId="1">[2]INPUT!#REF!</definedName>
    <definedName name="A10BFR" localSheetId="0">[2]INPUT!#REF!</definedName>
    <definedName name="A10BFR" localSheetId="2">[2]INPUT!#REF!</definedName>
    <definedName name="A10BFR">[2]INPUT!#REF!</definedName>
    <definedName name="A10BQL" localSheetId="1">[2]INPUT!#REF!</definedName>
    <definedName name="A10BQL" localSheetId="0">[2]INPUT!#REF!</definedName>
    <definedName name="A10BQL" localSheetId="2">[2]INPUT!#REF!</definedName>
    <definedName name="A10BQL">[2]INPUT!#REF!</definedName>
    <definedName name="A10BQR" localSheetId="1">[2]INPUT!#REF!</definedName>
    <definedName name="A10BQR" localSheetId="0">[2]INPUT!#REF!</definedName>
    <definedName name="A10BQR" localSheetId="2">[2]INPUT!#REF!</definedName>
    <definedName name="A10BQR">[2]INPUT!#REF!</definedName>
    <definedName name="A10L1L" localSheetId="1">[2]INPUT!#REF!</definedName>
    <definedName name="A10L1L" localSheetId="0">[2]INPUT!#REF!</definedName>
    <definedName name="A10L1L" localSheetId="2">[2]INPUT!#REF!</definedName>
    <definedName name="A10L1L">[2]INPUT!#REF!</definedName>
    <definedName name="A10L1R" localSheetId="1">[2]INPUT!#REF!</definedName>
    <definedName name="A10L1R" localSheetId="0">[2]INPUT!#REF!</definedName>
    <definedName name="A10L1R" localSheetId="2">[2]INPUT!#REF!</definedName>
    <definedName name="A10L1R">[2]INPUT!#REF!</definedName>
    <definedName name="A10L2L" localSheetId="1">[2]INPUT!#REF!</definedName>
    <definedName name="A10L2L" localSheetId="0">[2]INPUT!#REF!</definedName>
    <definedName name="A10L2L" localSheetId="2">[2]INPUT!#REF!</definedName>
    <definedName name="A10L2L">[2]INPUT!#REF!</definedName>
    <definedName name="A10L2R" localSheetId="1">[2]INPUT!#REF!</definedName>
    <definedName name="A10L2R" localSheetId="0">[2]INPUT!#REF!</definedName>
    <definedName name="A10L2R" localSheetId="2">[2]INPUT!#REF!</definedName>
    <definedName name="A10L2R">[2]INPUT!#REF!</definedName>
    <definedName name="A10L3L" localSheetId="1">[2]INPUT!#REF!</definedName>
    <definedName name="A10L3L" localSheetId="0">[2]INPUT!#REF!</definedName>
    <definedName name="A10L3L" localSheetId="2">[2]INPUT!#REF!</definedName>
    <definedName name="A10L3L">[2]INPUT!#REF!</definedName>
    <definedName name="A10L3R" localSheetId="1">[2]INPUT!#REF!</definedName>
    <definedName name="A10L3R" localSheetId="0">[2]INPUT!#REF!</definedName>
    <definedName name="A10L3R" localSheetId="2">[2]INPUT!#REF!</definedName>
    <definedName name="A10L3R">[2]INPUT!#REF!</definedName>
    <definedName name="A10L4L" localSheetId="1">[2]INPUT!#REF!</definedName>
    <definedName name="A10L4L" localSheetId="0">[2]INPUT!#REF!</definedName>
    <definedName name="A10L4L" localSheetId="2">[2]INPUT!#REF!</definedName>
    <definedName name="A10L4L">[2]INPUT!#REF!</definedName>
    <definedName name="A10L4R" localSheetId="1">[2]INPUT!#REF!</definedName>
    <definedName name="A10L4R" localSheetId="0">[2]INPUT!#REF!</definedName>
    <definedName name="A10L4R" localSheetId="2">[2]INPUT!#REF!</definedName>
    <definedName name="A10L4R">[2]INPUT!#REF!</definedName>
    <definedName name="A10LFL" localSheetId="1">[2]INPUT!#REF!</definedName>
    <definedName name="A10LFL" localSheetId="0">[2]INPUT!#REF!</definedName>
    <definedName name="A10LFL" localSheetId="2">[2]INPUT!#REF!</definedName>
    <definedName name="A10LFL">[2]INPUT!#REF!</definedName>
    <definedName name="A10LFR" localSheetId="1">[2]INPUT!#REF!</definedName>
    <definedName name="A10LFR" localSheetId="0">[2]INPUT!#REF!</definedName>
    <definedName name="A10LFR" localSheetId="2">[2]INPUT!#REF!</definedName>
    <definedName name="A10LFR">[2]INPUT!#REF!</definedName>
    <definedName name="A10LQL" localSheetId="1">[2]INPUT!#REF!</definedName>
    <definedName name="A10LQL" localSheetId="0">[2]INPUT!#REF!</definedName>
    <definedName name="A10LQL" localSheetId="2">[2]INPUT!#REF!</definedName>
    <definedName name="A10LQL">[2]INPUT!#REF!</definedName>
    <definedName name="A10LQR" localSheetId="1">[2]INPUT!#REF!</definedName>
    <definedName name="A10LQR" localSheetId="0">[2]INPUT!#REF!</definedName>
    <definedName name="A10LQR" localSheetId="2">[2]INPUT!#REF!</definedName>
    <definedName name="A10LQR">[2]INPUT!#REF!</definedName>
    <definedName name="A3B1L" localSheetId="1">[2]INPUT!#REF!</definedName>
    <definedName name="A3B1L" localSheetId="0">[2]INPUT!#REF!</definedName>
    <definedName name="A3B1L" localSheetId="2">[2]INPUT!#REF!</definedName>
    <definedName name="A3B1L">[2]INPUT!#REF!</definedName>
    <definedName name="A3B1R" localSheetId="1">[2]INPUT!#REF!</definedName>
    <definedName name="A3B1R" localSheetId="0">[2]INPUT!#REF!</definedName>
    <definedName name="A3B1R" localSheetId="2">[2]INPUT!#REF!</definedName>
    <definedName name="A3B1R">[2]INPUT!#REF!</definedName>
    <definedName name="A3B2L" localSheetId="1">[2]INPUT!#REF!</definedName>
    <definedName name="A3B2L" localSheetId="0">[2]INPUT!#REF!</definedName>
    <definedName name="A3B2L" localSheetId="2">[2]INPUT!#REF!</definedName>
    <definedName name="A3B2L">[2]INPUT!#REF!</definedName>
    <definedName name="A3B2R" localSheetId="1">[2]INPUT!#REF!</definedName>
    <definedName name="A3B2R" localSheetId="0">[2]INPUT!#REF!</definedName>
    <definedName name="A3B2R" localSheetId="2">[2]INPUT!#REF!</definedName>
    <definedName name="A3B2R">[2]INPUT!#REF!</definedName>
    <definedName name="A3B3L" localSheetId="1">[2]INPUT!#REF!</definedName>
    <definedName name="A3B3L" localSheetId="0">[2]INPUT!#REF!</definedName>
    <definedName name="A3B3L" localSheetId="2">[2]INPUT!#REF!</definedName>
    <definedName name="A3B3L">[2]INPUT!#REF!</definedName>
    <definedName name="A3B3R" localSheetId="1">[2]INPUT!#REF!</definedName>
    <definedName name="A3B3R" localSheetId="0">[2]INPUT!#REF!</definedName>
    <definedName name="A3B3R" localSheetId="2">[2]INPUT!#REF!</definedName>
    <definedName name="A3B3R">[2]INPUT!#REF!</definedName>
    <definedName name="A3B4L" localSheetId="1">[2]INPUT!#REF!</definedName>
    <definedName name="A3B4L" localSheetId="0">[2]INPUT!#REF!</definedName>
    <definedName name="A3B4L" localSheetId="2">[2]INPUT!#REF!</definedName>
    <definedName name="A3B4L">[2]INPUT!#REF!</definedName>
    <definedName name="A3B4R" localSheetId="1">[2]INPUT!#REF!</definedName>
    <definedName name="A3B4R" localSheetId="0">[2]INPUT!#REF!</definedName>
    <definedName name="A3B4R" localSheetId="2">[2]INPUT!#REF!</definedName>
    <definedName name="A3B4R">[2]INPUT!#REF!</definedName>
    <definedName name="A3BFL" localSheetId="1">[2]INPUT!#REF!</definedName>
    <definedName name="A3BFL" localSheetId="0">[2]INPUT!#REF!</definedName>
    <definedName name="A3BFL" localSheetId="2">[2]INPUT!#REF!</definedName>
    <definedName name="A3BFL">[2]INPUT!#REF!</definedName>
    <definedName name="A3BFR" localSheetId="1">[2]INPUT!#REF!</definedName>
    <definedName name="A3BFR" localSheetId="0">[2]INPUT!#REF!</definedName>
    <definedName name="A3BFR" localSheetId="2">[2]INPUT!#REF!</definedName>
    <definedName name="A3BFR">[2]INPUT!#REF!</definedName>
    <definedName name="A3BQL" localSheetId="1">[2]INPUT!#REF!</definedName>
    <definedName name="A3BQL" localSheetId="0">[2]INPUT!#REF!</definedName>
    <definedName name="A3BQL" localSheetId="2">[2]INPUT!#REF!</definedName>
    <definedName name="A3BQL">[2]INPUT!#REF!</definedName>
    <definedName name="A3BQR" localSheetId="1">[2]INPUT!#REF!</definedName>
    <definedName name="A3BQR" localSheetId="0">[2]INPUT!#REF!</definedName>
    <definedName name="A3BQR" localSheetId="2">[2]INPUT!#REF!</definedName>
    <definedName name="A3BQR">[2]INPUT!#REF!</definedName>
    <definedName name="A3L1L" localSheetId="1">[2]INPUT!#REF!</definedName>
    <definedName name="A3L1L" localSheetId="0">[2]INPUT!#REF!</definedName>
    <definedName name="A3L1L" localSheetId="2">[2]INPUT!#REF!</definedName>
    <definedName name="A3L1L">[2]INPUT!#REF!</definedName>
    <definedName name="A3L1R" localSheetId="1">[2]INPUT!#REF!</definedName>
    <definedName name="A3L1R" localSheetId="0">[2]INPUT!#REF!</definedName>
    <definedName name="A3L1R" localSheetId="2">[2]INPUT!#REF!</definedName>
    <definedName name="A3L1R">[2]INPUT!#REF!</definedName>
    <definedName name="A3L2L" localSheetId="1">[2]INPUT!#REF!</definedName>
    <definedName name="A3L2L" localSheetId="0">[2]INPUT!#REF!</definedName>
    <definedName name="A3L2L" localSheetId="2">[2]INPUT!#REF!</definedName>
    <definedName name="A3L2L">[2]INPUT!#REF!</definedName>
    <definedName name="A3L2R" localSheetId="1">[2]INPUT!#REF!</definedName>
    <definedName name="A3L2R" localSheetId="0">[2]INPUT!#REF!</definedName>
    <definedName name="A3L2R" localSheetId="2">[2]INPUT!#REF!</definedName>
    <definedName name="A3L2R">[2]INPUT!#REF!</definedName>
    <definedName name="A3L3L" localSheetId="1">[2]INPUT!#REF!</definedName>
    <definedName name="A3L3L" localSheetId="0">[2]INPUT!#REF!</definedName>
    <definedName name="A3L3L" localSheetId="2">[2]INPUT!#REF!</definedName>
    <definedName name="A3L3L">[2]INPUT!#REF!</definedName>
    <definedName name="A3L3R" localSheetId="1">[2]INPUT!#REF!</definedName>
    <definedName name="A3L3R" localSheetId="0">[2]INPUT!#REF!</definedName>
    <definedName name="A3L3R" localSheetId="2">[2]INPUT!#REF!</definedName>
    <definedName name="A3L3R">[2]INPUT!#REF!</definedName>
    <definedName name="A3L4L" localSheetId="1">[2]INPUT!#REF!</definedName>
    <definedName name="A3L4L" localSheetId="0">[2]INPUT!#REF!</definedName>
    <definedName name="A3L4L" localSheetId="2">[2]INPUT!#REF!</definedName>
    <definedName name="A3L4L">[2]INPUT!#REF!</definedName>
    <definedName name="A3L4R" localSheetId="1">[2]INPUT!#REF!</definedName>
    <definedName name="A3L4R" localSheetId="0">[2]INPUT!#REF!</definedName>
    <definedName name="A3L4R" localSheetId="2">[2]INPUT!#REF!</definedName>
    <definedName name="A3L4R">[2]INPUT!#REF!</definedName>
    <definedName name="A3LFL" localSheetId="1">[2]INPUT!#REF!</definedName>
    <definedName name="A3LFL" localSheetId="0">[2]INPUT!#REF!</definedName>
    <definedName name="A3LFL" localSheetId="2">[2]INPUT!#REF!</definedName>
    <definedName name="A3LFL">[2]INPUT!#REF!</definedName>
    <definedName name="A3LFR" localSheetId="1">[2]INPUT!#REF!</definedName>
    <definedName name="A3LFR" localSheetId="0">[2]INPUT!#REF!</definedName>
    <definedName name="A3LFR" localSheetId="2">[2]INPUT!#REF!</definedName>
    <definedName name="A3LFR">[2]INPUT!#REF!</definedName>
    <definedName name="A3LQL" localSheetId="1">[2]INPUT!#REF!</definedName>
    <definedName name="A3LQL" localSheetId="0">[2]INPUT!#REF!</definedName>
    <definedName name="A3LQL" localSheetId="2">[2]INPUT!#REF!</definedName>
    <definedName name="A3LQL">[2]INPUT!#REF!</definedName>
    <definedName name="A3LQR" localSheetId="1">[2]INPUT!#REF!</definedName>
    <definedName name="A3LQR" localSheetId="0">[2]INPUT!#REF!</definedName>
    <definedName name="A3LQR" localSheetId="2">[2]INPUT!#REF!</definedName>
    <definedName name="A3LQR">[2]INPUT!#REF!</definedName>
    <definedName name="A4B1L" localSheetId="1">[2]INPUT!#REF!</definedName>
    <definedName name="A4B1L" localSheetId="0">[2]INPUT!#REF!</definedName>
    <definedName name="A4B1L" localSheetId="2">[2]INPUT!#REF!</definedName>
    <definedName name="A4B1L">[2]INPUT!#REF!</definedName>
    <definedName name="A4B1R" localSheetId="1">[2]INPUT!#REF!</definedName>
    <definedName name="A4B1R" localSheetId="0">[2]INPUT!#REF!</definedName>
    <definedName name="A4B1R" localSheetId="2">[2]INPUT!#REF!</definedName>
    <definedName name="A4B1R">[2]INPUT!#REF!</definedName>
    <definedName name="A4B2L" localSheetId="1">[2]INPUT!#REF!</definedName>
    <definedName name="A4B2L" localSheetId="0">[2]INPUT!#REF!</definedName>
    <definedName name="A4B2L" localSheetId="2">[2]INPUT!#REF!</definedName>
    <definedName name="A4B2L">[2]INPUT!#REF!</definedName>
    <definedName name="A4B2R" localSheetId="1">[2]INPUT!#REF!</definedName>
    <definedName name="A4B2R" localSheetId="0">[2]INPUT!#REF!</definedName>
    <definedName name="A4B2R" localSheetId="2">[2]INPUT!#REF!</definedName>
    <definedName name="A4B2R">[2]INPUT!#REF!</definedName>
    <definedName name="A4B3L" localSheetId="1">[2]INPUT!#REF!</definedName>
    <definedName name="A4B3L" localSheetId="0">[2]INPUT!#REF!</definedName>
    <definedName name="A4B3L" localSheetId="2">[2]INPUT!#REF!</definedName>
    <definedName name="A4B3L">[2]INPUT!#REF!</definedName>
    <definedName name="A4B3R" localSheetId="1">[2]INPUT!#REF!</definedName>
    <definedName name="A4B3R" localSheetId="0">[2]INPUT!#REF!</definedName>
    <definedName name="A4B3R" localSheetId="2">[2]INPUT!#REF!</definedName>
    <definedName name="A4B3R">[2]INPUT!#REF!</definedName>
    <definedName name="A4B4L" localSheetId="1">[2]INPUT!#REF!</definedName>
    <definedName name="A4B4L" localSheetId="0">[2]INPUT!#REF!</definedName>
    <definedName name="A4B4L" localSheetId="2">[2]INPUT!#REF!</definedName>
    <definedName name="A4B4L">[2]INPUT!#REF!</definedName>
    <definedName name="A4B4R" localSheetId="1">[2]INPUT!#REF!</definedName>
    <definedName name="A4B4R" localSheetId="0">[2]INPUT!#REF!</definedName>
    <definedName name="A4B4R" localSheetId="2">[2]INPUT!#REF!</definedName>
    <definedName name="A4B4R">[2]INPUT!#REF!</definedName>
    <definedName name="A4BFL" localSheetId="1">[2]INPUT!#REF!</definedName>
    <definedName name="A4BFL" localSheetId="0">[2]INPUT!#REF!</definedName>
    <definedName name="A4BFL" localSheetId="2">[2]INPUT!#REF!</definedName>
    <definedName name="A4BFL">[2]INPUT!#REF!</definedName>
    <definedName name="A4BFR" localSheetId="1">[2]INPUT!#REF!</definedName>
    <definedName name="A4BFR" localSheetId="0">[2]INPUT!#REF!</definedName>
    <definedName name="A4BFR" localSheetId="2">[2]INPUT!#REF!</definedName>
    <definedName name="A4BFR">[2]INPUT!#REF!</definedName>
    <definedName name="A4BQL" localSheetId="1">[2]INPUT!#REF!</definedName>
    <definedName name="A4BQL" localSheetId="0">[2]INPUT!#REF!</definedName>
    <definedName name="A4BQL" localSheetId="2">[2]INPUT!#REF!</definedName>
    <definedName name="A4BQL">[2]INPUT!#REF!</definedName>
    <definedName name="A4BQR" localSheetId="1">[2]INPUT!#REF!</definedName>
    <definedName name="A4BQR" localSheetId="0">[2]INPUT!#REF!</definedName>
    <definedName name="A4BQR" localSheetId="2">[2]INPUT!#REF!</definedName>
    <definedName name="A4BQR">[2]INPUT!#REF!</definedName>
    <definedName name="A4L1L" localSheetId="1">[2]INPUT!#REF!</definedName>
    <definedName name="A4L1L" localSheetId="0">[2]INPUT!#REF!</definedName>
    <definedName name="A4L1L" localSheetId="2">[2]INPUT!#REF!</definedName>
    <definedName name="A4L1L">[2]INPUT!#REF!</definedName>
    <definedName name="A4L1R" localSheetId="1">[2]INPUT!#REF!</definedName>
    <definedName name="A4L1R" localSheetId="0">[2]INPUT!#REF!</definedName>
    <definedName name="A4L1R" localSheetId="2">[2]INPUT!#REF!</definedName>
    <definedName name="A4L1R">[2]INPUT!#REF!</definedName>
    <definedName name="A4L2L" localSheetId="1">[2]INPUT!#REF!</definedName>
    <definedName name="A4L2L" localSheetId="0">[2]INPUT!#REF!</definedName>
    <definedName name="A4L2L" localSheetId="2">[2]INPUT!#REF!</definedName>
    <definedName name="A4L2L">[2]INPUT!#REF!</definedName>
    <definedName name="A4L2R" localSheetId="1">[2]INPUT!#REF!</definedName>
    <definedName name="A4L2R" localSheetId="0">[2]INPUT!#REF!</definedName>
    <definedName name="A4L2R" localSheetId="2">[2]INPUT!#REF!</definedName>
    <definedName name="A4L2R">[2]INPUT!#REF!</definedName>
    <definedName name="A4L3L" localSheetId="1">[2]INPUT!#REF!</definedName>
    <definedName name="A4L3L" localSheetId="0">[2]INPUT!#REF!</definedName>
    <definedName name="A4L3L" localSheetId="2">[2]INPUT!#REF!</definedName>
    <definedName name="A4L3L">[2]INPUT!#REF!</definedName>
    <definedName name="A4L3R" localSheetId="1">[2]INPUT!#REF!</definedName>
    <definedName name="A4L3R" localSheetId="0">[2]INPUT!#REF!</definedName>
    <definedName name="A4L3R" localSheetId="2">[2]INPUT!#REF!</definedName>
    <definedName name="A4L3R">[2]INPUT!#REF!</definedName>
    <definedName name="A4L4L" localSheetId="1">[2]INPUT!#REF!</definedName>
    <definedName name="A4L4L" localSheetId="0">[2]INPUT!#REF!</definedName>
    <definedName name="A4L4L" localSheetId="2">[2]INPUT!#REF!</definedName>
    <definedName name="A4L4L">[2]INPUT!#REF!</definedName>
    <definedName name="A4L4R" localSheetId="1">[2]INPUT!#REF!</definedName>
    <definedName name="A4L4R" localSheetId="0">[2]INPUT!#REF!</definedName>
    <definedName name="A4L4R" localSheetId="2">[2]INPUT!#REF!</definedName>
    <definedName name="A4L4R">[2]INPUT!#REF!</definedName>
    <definedName name="A4LFL" localSheetId="1">[2]INPUT!#REF!</definedName>
    <definedName name="A4LFL" localSheetId="0">[2]INPUT!#REF!</definedName>
    <definedName name="A4LFL" localSheetId="2">[2]INPUT!#REF!</definedName>
    <definedName name="A4LFL">[2]INPUT!#REF!</definedName>
    <definedName name="A4LFR" localSheetId="1">[2]INPUT!#REF!</definedName>
    <definedName name="A4LFR" localSheetId="0">[2]INPUT!#REF!</definedName>
    <definedName name="A4LFR" localSheetId="2">[2]INPUT!#REF!</definedName>
    <definedName name="A4LFR">[2]INPUT!#REF!</definedName>
    <definedName name="A4LQL" localSheetId="1">[2]INPUT!#REF!</definedName>
    <definedName name="A4LQL" localSheetId="0">[2]INPUT!#REF!</definedName>
    <definedName name="A4LQL" localSheetId="2">[2]INPUT!#REF!</definedName>
    <definedName name="A4LQL">[2]INPUT!#REF!</definedName>
    <definedName name="A4LQR" localSheetId="1">[2]INPUT!#REF!</definedName>
    <definedName name="A4LQR" localSheetId="0">[2]INPUT!#REF!</definedName>
    <definedName name="A4LQR" localSheetId="2">[2]INPUT!#REF!</definedName>
    <definedName name="A4LQR">[2]INPUT!#REF!</definedName>
    <definedName name="A5B1L" localSheetId="1">[2]INPUT!#REF!</definedName>
    <definedName name="A5B1L" localSheetId="0">[2]INPUT!#REF!</definedName>
    <definedName name="A5B1L" localSheetId="2">[2]INPUT!#REF!</definedName>
    <definedName name="A5B1L">[2]INPUT!#REF!</definedName>
    <definedName name="A5B1R" localSheetId="1">[2]INPUT!#REF!</definedName>
    <definedName name="A5B1R" localSheetId="0">[2]INPUT!#REF!</definedName>
    <definedName name="A5B1R" localSheetId="2">[2]INPUT!#REF!</definedName>
    <definedName name="A5B1R">[2]INPUT!#REF!</definedName>
    <definedName name="A5B2L" localSheetId="1">[2]INPUT!#REF!</definedName>
    <definedName name="A5B2L" localSheetId="0">[2]INPUT!#REF!</definedName>
    <definedName name="A5B2L" localSheetId="2">[2]INPUT!#REF!</definedName>
    <definedName name="A5B2L">[2]INPUT!#REF!</definedName>
    <definedName name="A5B2R" localSheetId="1">[2]INPUT!#REF!</definedName>
    <definedName name="A5B2R" localSheetId="0">[2]INPUT!#REF!</definedName>
    <definedName name="A5B2R" localSheetId="2">[2]INPUT!#REF!</definedName>
    <definedName name="A5B2R">[2]INPUT!#REF!</definedName>
    <definedName name="A5B3L" localSheetId="1">[2]INPUT!#REF!</definedName>
    <definedName name="A5B3L" localSheetId="0">[2]INPUT!#REF!</definedName>
    <definedName name="A5B3L" localSheetId="2">[2]INPUT!#REF!</definedName>
    <definedName name="A5B3L">[2]INPUT!#REF!</definedName>
    <definedName name="A5B3R" localSheetId="1">[2]INPUT!#REF!</definedName>
    <definedName name="A5B3R" localSheetId="0">[2]INPUT!#REF!</definedName>
    <definedName name="A5B3R" localSheetId="2">[2]INPUT!#REF!</definedName>
    <definedName name="A5B3R">[2]INPUT!#REF!</definedName>
    <definedName name="A5B4L" localSheetId="1">[2]INPUT!#REF!</definedName>
    <definedName name="A5B4L" localSheetId="0">[2]INPUT!#REF!</definedName>
    <definedName name="A5B4L" localSheetId="2">[2]INPUT!#REF!</definedName>
    <definedName name="A5B4L">[2]INPUT!#REF!</definedName>
    <definedName name="A5B4R" localSheetId="1">[2]INPUT!#REF!</definedName>
    <definedName name="A5B4R" localSheetId="0">[2]INPUT!#REF!</definedName>
    <definedName name="A5B4R" localSheetId="2">[2]INPUT!#REF!</definedName>
    <definedName name="A5B4R">[2]INPUT!#REF!</definedName>
    <definedName name="A5BFL" localSheetId="1">[2]INPUT!#REF!</definedName>
    <definedName name="A5BFL" localSheetId="0">[2]INPUT!#REF!</definedName>
    <definedName name="A5BFL" localSheetId="2">[2]INPUT!#REF!</definedName>
    <definedName name="A5BFL">[2]INPUT!#REF!</definedName>
    <definedName name="A5BFR" localSheetId="1">[2]INPUT!#REF!</definedName>
    <definedName name="A5BFR" localSheetId="0">[2]INPUT!#REF!</definedName>
    <definedName name="A5BFR" localSheetId="2">[2]INPUT!#REF!</definedName>
    <definedName name="A5BFR">[2]INPUT!#REF!</definedName>
    <definedName name="A5BQL" localSheetId="1">[2]INPUT!#REF!</definedName>
    <definedName name="A5BQL" localSheetId="0">[2]INPUT!#REF!</definedName>
    <definedName name="A5BQL" localSheetId="2">[2]INPUT!#REF!</definedName>
    <definedName name="A5BQL">[2]INPUT!#REF!</definedName>
    <definedName name="A5BQR" localSheetId="1">[2]INPUT!#REF!</definedName>
    <definedName name="A5BQR" localSheetId="0">[2]INPUT!#REF!</definedName>
    <definedName name="A5BQR" localSheetId="2">[2]INPUT!#REF!</definedName>
    <definedName name="A5BQR">[2]INPUT!#REF!</definedName>
    <definedName name="A5L1L" localSheetId="1">[2]INPUT!#REF!</definedName>
    <definedName name="A5L1L" localSheetId="0">[2]INPUT!#REF!</definedName>
    <definedName name="A5L1L" localSheetId="2">[2]INPUT!#REF!</definedName>
    <definedName name="A5L1L">[2]INPUT!#REF!</definedName>
    <definedName name="A5L1R" localSheetId="1">[2]INPUT!#REF!</definedName>
    <definedName name="A5L1R" localSheetId="0">[2]INPUT!#REF!</definedName>
    <definedName name="A5L1R" localSheetId="2">[2]INPUT!#REF!</definedName>
    <definedName name="A5L1R">[2]INPUT!#REF!</definedName>
    <definedName name="A5L2L" localSheetId="1">[2]INPUT!#REF!</definedName>
    <definedName name="A5L2L" localSheetId="0">[2]INPUT!#REF!</definedName>
    <definedName name="A5L2L" localSheetId="2">[2]INPUT!#REF!</definedName>
    <definedName name="A5L2L">[2]INPUT!#REF!</definedName>
    <definedName name="A5L2R" localSheetId="1">[2]INPUT!#REF!</definedName>
    <definedName name="A5L2R" localSheetId="0">[2]INPUT!#REF!</definedName>
    <definedName name="A5L2R" localSheetId="2">[2]INPUT!#REF!</definedName>
    <definedName name="A5L2R">[2]INPUT!#REF!</definedName>
    <definedName name="A5L3L" localSheetId="1">[2]INPUT!#REF!</definedName>
    <definedName name="A5L3L" localSheetId="0">[2]INPUT!#REF!</definedName>
    <definedName name="A5L3L" localSheetId="2">[2]INPUT!#REF!</definedName>
    <definedName name="A5L3L">[2]INPUT!#REF!</definedName>
    <definedName name="A5L3R" localSheetId="1">[2]INPUT!#REF!</definedName>
    <definedName name="A5L3R" localSheetId="0">[2]INPUT!#REF!</definedName>
    <definedName name="A5L3R" localSheetId="2">[2]INPUT!#REF!</definedName>
    <definedName name="A5L3R">[2]INPUT!#REF!</definedName>
    <definedName name="A5L4L" localSheetId="1">[2]INPUT!#REF!</definedName>
    <definedName name="A5L4L" localSheetId="0">[2]INPUT!#REF!</definedName>
    <definedName name="A5L4L" localSheetId="2">[2]INPUT!#REF!</definedName>
    <definedName name="A5L4L">[2]INPUT!#REF!</definedName>
    <definedName name="A5L4R" localSheetId="1">[2]INPUT!#REF!</definedName>
    <definedName name="A5L4R" localSheetId="0">[2]INPUT!#REF!</definedName>
    <definedName name="A5L4R" localSheetId="2">[2]INPUT!#REF!</definedName>
    <definedName name="A5L4R">[2]INPUT!#REF!</definedName>
    <definedName name="A5LFL" localSheetId="1">[2]INPUT!#REF!</definedName>
    <definedName name="A5LFL" localSheetId="0">[2]INPUT!#REF!</definedName>
    <definedName name="A5LFL" localSheetId="2">[2]INPUT!#REF!</definedName>
    <definedName name="A5LFL">[2]INPUT!#REF!</definedName>
    <definedName name="A5LFR" localSheetId="1">[2]INPUT!#REF!</definedName>
    <definedName name="A5LFR" localSheetId="0">[2]INPUT!#REF!</definedName>
    <definedName name="A5LFR" localSheetId="2">[2]INPUT!#REF!</definedName>
    <definedName name="A5LFR">[2]INPUT!#REF!</definedName>
    <definedName name="A5LQL" localSheetId="1">[2]INPUT!#REF!</definedName>
    <definedName name="A5LQL" localSheetId="0">[2]INPUT!#REF!</definedName>
    <definedName name="A5LQL" localSheetId="2">[2]INPUT!#REF!</definedName>
    <definedName name="A5LQL">[2]INPUT!#REF!</definedName>
    <definedName name="A5LQR" localSheetId="1">[2]INPUT!#REF!</definedName>
    <definedName name="A5LQR" localSheetId="0">[2]INPUT!#REF!</definedName>
    <definedName name="A5LQR" localSheetId="2">[2]INPUT!#REF!</definedName>
    <definedName name="A5LQR">[2]INPUT!#REF!</definedName>
    <definedName name="A6B1L" localSheetId="1">[2]INPUT!#REF!</definedName>
    <definedName name="A6B1L" localSheetId="0">[2]INPUT!#REF!</definedName>
    <definedName name="A6B1L" localSheetId="2">[2]INPUT!#REF!</definedName>
    <definedName name="A6B1L">[2]INPUT!#REF!</definedName>
    <definedName name="A6B1R" localSheetId="1">[2]INPUT!#REF!</definedName>
    <definedName name="A6B1R" localSheetId="0">[2]INPUT!#REF!</definedName>
    <definedName name="A6B1R" localSheetId="2">[2]INPUT!#REF!</definedName>
    <definedName name="A6B1R">[2]INPUT!#REF!</definedName>
    <definedName name="A6B2L" localSheetId="1">[2]INPUT!#REF!</definedName>
    <definedName name="A6B2L" localSheetId="0">[2]INPUT!#REF!</definedName>
    <definedName name="A6B2L" localSheetId="2">[2]INPUT!#REF!</definedName>
    <definedName name="A6B2L">[2]INPUT!#REF!</definedName>
    <definedName name="A6B2R" localSheetId="1">[2]INPUT!#REF!</definedName>
    <definedName name="A6B2R" localSheetId="0">[2]INPUT!#REF!</definedName>
    <definedName name="A6B2R" localSheetId="2">[2]INPUT!#REF!</definedName>
    <definedName name="A6B2R">[2]INPUT!#REF!</definedName>
    <definedName name="A6B3L" localSheetId="1">[2]INPUT!#REF!</definedName>
    <definedName name="A6B3L" localSheetId="0">[2]INPUT!#REF!</definedName>
    <definedName name="A6B3L" localSheetId="2">[2]INPUT!#REF!</definedName>
    <definedName name="A6B3L">[2]INPUT!#REF!</definedName>
    <definedName name="A6B3R" localSheetId="1">[2]INPUT!#REF!</definedName>
    <definedName name="A6B3R" localSheetId="0">[2]INPUT!#REF!</definedName>
    <definedName name="A6B3R" localSheetId="2">[2]INPUT!#REF!</definedName>
    <definedName name="A6B3R">[2]INPUT!#REF!</definedName>
    <definedName name="A6B4L" localSheetId="1">[2]INPUT!#REF!</definedName>
    <definedName name="A6B4L" localSheetId="0">[2]INPUT!#REF!</definedName>
    <definedName name="A6B4L" localSheetId="2">[2]INPUT!#REF!</definedName>
    <definedName name="A6B4L">[2]INPUT!#REF!</definedName>
    <definedName name="A6B4R" localSheetId="1">[2]INPUT!#REF!</definedName>
    <definedName name="A6B4R" localSheetId="0">[2]INPUT!#REF!</definedName>
    <definedName name="A6B4R" localSheetId="2">[2]INPUT!#REF!</definedName>
    <definedName name="A6B4R">[2]INPUT!#REF!</definedName>
    <definedName name="A6BFL" localSheetId="1">[2]INPUT!#REF!</definedName>
    <definedName name="A6BFL" localSheetId="0">[2]INPUT!#REF!</definedName>
    <definedName name="A6BFL" localSheetId="2">[2]INPUT!#REF!</definedName>
    <definedName name="A6BFL">[2]INPUT!#REF!</definedName>
    <definedName name="A6BFR" localSheetId="1">[2]INPUT!#REF!</definedName>
    <definedName name="A6BFR" localSheetId="0">[2]INPUT!#REF!</definedName>
    <definedName name="A6BFR" localSheetId="2">[2]INPUT!#REF!</definedName>
    <definedName name="A6BFR">[2]INPUT!#REF!</definedName>
    <definedName name="A6BQL" localSheetId="1">[2]INPUT!#REF!</definedName>
    <definedName name="A6BQL" localSheetId="0">[2]INPUT!#REF!</definedName>
    <definedName name="A6BQL" localSheetId="2">[2]INPUT!#REF!</definedName>
    <definedName name="A6BQL">[2]INPUT!#REF!</definedName>
    <definedName name="A6BQR" localSheetId="1">[2]INPUT!#REF!</definedName>
    <definedName name="A6BQR" localSheetId="0">[2]INPUT!#REF!</definedName>
    <definedName name="A6BQR" localSheetId="2">[2]INPUT!#REF!</definedName>
    <definedName name="A6BQR">[2]INPUT!#REF!</definedName>
    <definedName name="A6L1L" localSheetId="1">[2]INPUT!#REF!</definedName>
    <definedName name="A6L1L" localSheetId="0">[2]INPUT!#REF!</definedName>
    <definedName name="A6L1L" localSheetId="2">[2]INPUT!#REF!</definedName>
    <definedName name="A6L1L">[2]INPUT!#REF!</definedName>
    <definedName name="A6L1R" localSheetId="1">[2]INPUT!#REF!</definedName>
    <definedName name="A6L1R" localSheetId="0">[2]INPUT!#REF!</definedName>
    <definedName name="A6L1R" localSheetId="2">[2]INPUT!#REF!</definedName>
    <definedName name="A6L1R">[2]INPUT!#REF!</definedName>
    <definedName name="A6L2L" localSheetId="1">[2]INPUT!#REF!</definedName>
    <definedName name="A6L2L" localSheetId="0">[2]INPUT!#REF!</definedName>
    <definedName name="A6L2L" localSheetId="2">[2]INPUT!#REF!</definedName>
    <definedName name="A6L2L">[2]INPUT!#REF!</definedName>
    <definedName name="A6L2R" localSheetId="1">[2]INPUT!#REF!</definedName>
    <definedName name="A6L2R" localSheetId="0">[2]INPUT!#REF!</definedName>
    <definedName name="A6L2R" localSheetId="2">[2]INPUT!#REF!</definedName>
    <definedName name="A6L2R">[2]INPUT!#REF!</definedName>
    <definedName name="A6L3L" localSheetId="1">[2]INPUT!#REF!</definedName>
    <definedName name="A6L3L" localSheetId="0">[2]INPUT!#REF!</definedName>
    <definedName name="A6L3L" localSheetId="2">[2]INPUT!#REF!</definedName>
    <definedName name="A6L3L">[2]INPUT!#REF!</definedName>
    <definedName name="A6L3R" localSheetId="1">[2]INPUT!#REF!</definedName>
    <definedName name="A6L3R" localSheetId="0">[2]INPUT!#REF!</definedName>
    <definedName name="A6L3R" localSheetId="2">[2]INPUT!#REF!</definedName>
    <definedName name="A6L3R">[2]INPUT!#REF!</definedName>
    <definedName name="A6L4L" localSheetId="1">[2]INPUT!#REF!</definedName>
    <definedName name="A6L4L" localSheetId="0">[2]INPUT!#REF!</definedName>
    <definedName name="A6L4L" localSheetId="2">[2]INPUT!#REF!</definedName>
    <definedName name="A6L4L">[2]INPUT!#REF!</definedName>
    <definedName name="A6L4R" localSheetId="1">[2]INPUT!#REF!</definedName>
    <definedName name="A6L4R" localSheetId="0">[2]INPUT!#REF!</definedName>
    <definedName name="A6L4R" localSheetId="2">[2]INPUT!#REF!</definedName>
    <definedName name="A6L4R">[2]INPUT!#REF!</definedName>
    <definedName name="A6LFL" localSheetId="1">[2]INPUT!#REF!</definedName>
    <definedName name="A6LFL" localSheetId="0">[2]INPUT!#REF!</definedName>
    <definedName name="A6LFL" localSheetId="2">[2]INPUT!#REF!</definedName>
    <definedName name="A6LFL">[2]INPUT!#REF!</definedName>
    <definedName name="A6LFR" localSheetId="1">[2]INPUT!#REF!</definedName>
    <definedName name="A6LFR" localSheetId="0">[2]INPUT!#REF!</definedName>
    <definedName name="A6LFR" localSheetId="2">[2]INPUT!#REF!</definedName>
    <definedName name="A6LFR">[2]INPUT!#REF!</definedName>
    <definedName name="A6LQL" localSheetId="1">[2]INPUT!#REF!</definedName>
    <definedName name="A6LQL" localSheetId="0">[2]INPUT!#REF!</definedName>
    <definedName name="A6LQL" localSheetId="2">[2]INPUT!#REF!</definedName>
    <definedName name="A6LQL">[2]INPUT!#REF!</definedName>
    <definedName name="A6LQR" localSheetId="1">[2]INPUT!#REF!</definedName>
    <definedName name="A6LQR" localSheetId="0">[2]INPUT!#REF!</definedName>
    <definedName name="A6LQR" localSheetId="2">[2]INPUT!#REF!</definedName>
    <definedName name="A6LQR">[2]INPUT!#REF!</definedName>
    <definedName name="A7B1L" localSheetId="1">[2]INPUT!#REF!</definedName>
    <definedName name="A7B1L" localSheetId="0">[2]INPUT!#REF!</definedName>
    <definedName name="A7B1L" localSheetId="2">[2]INPUT!#REF!</definedName>
    <definedName name="A7B1L">[2]INPUT!#REF!</definedName>
    <definedName name="A7B1R" localSheetId="1">[2]INPUT!#REF!</definedName>
    <definedName name="A7B1R" localSheetId="0">[2]INPUT!#REF!</definedName>
    <definedName name="A7B1R" localSheetId="2">[2]INPUT!#REF!</definedName>
    <definedName name="A7B1R">[2]INPUT!#REF!</definedName>
    <definedName name="A7B2L" localSheetId="1">[2]INPUT!#REF!</definedName>
    <definedName name="A7B2L" localSheetId="0">[2]INPUT!#REF!</definedName>
    <definedName name="A7B2L" localSheetId="2">[2]INPUT!#REF!</definedName>
    <definedName name="A7B2L">[2]INPUT!#REF!</definedName>
    <definedName name="A7B2R" localSheetId="1">[2]INPUT!#REF!</definedName>
    <definedName name="A7B2R" localSheetId="0">[2]INPUT!#REF!</definedName>
    <definedName name="A7B2R" localSheetId="2">[2]INPUT!#REF!</definedName>
    <definedName name="A7B2R">[2]INPUT!#REF!</definedName>
    <definedName name="A7B3L" localSheetId="1">[2]INPUT!#REF!</definedName>
    <definedName name="A7B3L" localSheetId="0">[2]INPUT!#REF!</definedName>
    <definedName name="A7B3L" localSheetId="2">[2]INPUT!#REF!</definedName>
    <definedName name="A7B3L">[2]INPUT!#REF!</definedName>
    <definedName name="A7B3R" localSheetId="1">[2]INPUT!#REF!</definedName>
    <definedName name="A7B3R" localSheetId="0">[2]INPUT!#REF!</definedName>
    <definedName name="A7B3R" localSheetId="2">[2]INPUT!#REF!</definedName>
    <definedName name="A7B3R">[2]INPUT!#REF!</definedName>
    <definedName name="A7B4L" localSheetId="1">[2]INPUT!#REF!</definedName>
    <definedName name="A7B4L" localSheetId="0">[2]INPUT!#REF!</definedName>
    <definedName name="A7B4L" localSheetId="2">[2]INPUT!#REF!</definedName>
    <definedName name="A7B4L">[2]INPUT!#REF!</definedName>
    <definedName name="A7B4R" localSheetId="1">[2]INPUT!#REF!</definedName>
    <definedName name="A7B4R" localSheetId="0">[2]INPUT!#REF!</definedName>
    <definedName name="A7B4R" localSheetId="2">[2]INPUT!#REF!</definedName>
    <definedName name="A7B4R">[2]INPUT!#REF!</definedName>
    <definedName name="A7BFL" localSheetId="1">[2]INPUT!#REF!</definedName>
    <definedName name="A7BFL" localSheetId="0">[2]INPUT!#REF!</definedName>
    <definedName name="A7BFL" localSheetId="2">[2]INPUT!#REF!</definedName>
    <definedName name="A7BFL">[2]INPUT!#REF!</definedName>
    <definedName name="A7BFR" localSheetId="1">[2]INPUT!#REF!</definedName>
    <definedName name="A7BFR" localSheetId="0">[2]INPUT!#REF!</definedName>
    <definedName name="A7BFR" localSheetId="2">[2]INPUT!#REF!</definedName>
    <definedName name="A7BFR">[2]INPUT!#REF!</definedName>
    <definedName name="A7BQL" localSheetId="1">[2]INPUT!#REF!</definedName>
    <definedName name="A7BQL" localSheetId="0">[2]INPUT!#REF!</definedName>
    <definedName name="A7BQL" localSheetId="2">[2]INPUT!#REF!</definedName>
    <definedName name="A7BQL">[2]INPUT!#REF!</definedName>
    <definedName name="A7BQR" localSheetId="1">[2]INPUT!#REF!</definedName>
    <definedName name="A7BQR" localSheetId="0">[2]INPUT!#REF!</definedName>
    <definedName name="A7BQR" localSheetId="2">[2]INPUT!#REF!</definedName>
    <definedName name="A7BQR">[2]INPUT!#REF!</definedName>
    <definedName name="A7L1L" localSheetId="1">[2]INPUT!#REF!</definedName>
    <definedName name="A7L1L" localSheetId="0">[2]INPUT!#REF!</definedName>
    <definedName name="A7L1L" localSheetId="2">[2]INPUT!#REF!</definedName>
    <definedName name="A7L1L">[2]INPUT!#REF!</definedName>
    <definedName name="A7L1R" localSheetId="1">[2]INPUT!#REF!</definedName>
    <definedName name="A7L1R" localSheetId="0">[2]INPUT!#REF!</definedName>
    <definedName name="A7L1R" localSheetId="2">[2]INPUT!#REF!</definedName>
    <definedName name="A7L1R">[2]INPUT!#REF!</definedName>
    <definedName name="A7L2L" localSheetId="1">[2]INPUT!#REF!</definedName>
    <definedName name="A7L2L" localSheetId="0">[2]INPUT!#REF!</definedName>
    <definedName name="A7L2L" localSheetId="2">[2]INPUT!#REF!</definedName>
    <definedName name="A7L2L">[2]INPUT!#REF!</definedName>
    <definedName name="A7L2R" localSheetId="1">[2]INPUT!#REF!</definedName>
    <definedName name="A7L2R" localSheetId="0">[2]INPUT!#REF!</definedName>
    <definedName name="A7L2R" localSheetId="2">[2]INPUT!#REF!</definedName>
    <definedName name="A7L2R">[2]INPUT!#REF!</definedName>
    <definedName name="A7L3L" localSheetId="1">[2]INPUT!#REF!</definedName>
    <definedName name="A7L3L" localSheetId="0">[2]INPUT!#REF!</definedName>
    <definedName name="A7L3L" localSheetId="2">[2]INPUT!#REF!</definedName>
    <definedName name="A7L3L">[2]INPUT!#REF!</definedName>
    <definedName name="A7L3R" localSheetId="1">[2]INPUT!#REF!</definedName>
    <definedName name="A7L3R" localSheetId="0">[2]INPUT!#REF!</definedName>
    <definedName name="A7L3R" localSheetId="2">[2]INPUT!#REF!</definedName>
    <definedName name="A7L3R">[2]INPUT!#REF!</definedName>
    <definedName name="A7L4L" localSheetId="1">[2]INPUT!#REF!</definedName>
    <definedName name="A7L4L" localSheetId="0">[2]INPUT!#REF!</definedName>
    <definedName name="A7L4L" localSheetId="2">[2]INPUT!#REF!</definedName>
    <definedName name="A7L4L">[2]INPUT!#REF!</definedName>
    <definedName name="A7L4R" localSheetId="1">[2]INPUT!#REF!</definedName>
    <definedName name="A7L4R" localSheetId="0">[2]INPUT!#REF!</definedName>
    <definedName name="A7L4R" localSheetId="2">[2]INPUT!#REF!</definedName>
    <definedName name="A7L4R">[2]INPUT!#REF!</definedName>
    <definedName name="A7LFL" localSheetId="1">[2]INPUT!#REF!</definedName>
    <definedName name="A7LFL" localSheetId="0">[2]INPUT!#REF!</definedName>
    <definedName name="A7LFL" localSheetId="2">[2]INPUT!#REF!</definedName>
    <definedName name="A7LFL">[2]INPUT!#REF!</definedName>
    <definedName name="A7LFR" localSheetId="1">[2]INPUT!#REF!</definedName>
    <definedName name="A7LFR" localSheetId="0">[2]INPUT!#REF!</definedName>
    <definedName name="A7LFR" localSheetId="2">[2]INPUT!#REF!</definedName>
    <definedName name="A7LFR">[2]INPUT!#REF!</definedName>
    <definedName name="A7LQL" localSheetId="1">[2]INPUT!#REF!</definedName>
    <definedName name="A7LQL" localSheetId="0">[2]INPUT!#REF!</definedName>
    <definedName name="A7LQL" localSheetId="2">[2]INPUT!#REF!</definedName>
    <definedName name="A7LQL">[2]INPUT!#REF!</definedName>
    <definedName name="A7LQR" localSheetId="1">[2]INPUT!#REF!</definedName>
    <definedName name="A7LQR" localSheetId="0">[2]INPUT!#REF!</definedName>
    <definedName name="A7LQR" localSheetId="2">[2]INPUT!#REF!</definedName>
    <definedName name="A7LQR">[2]INPUT!#REF!</definedName>
    <definedName name="A8B1L" localSheetId="1">[2]INPUT!#REF!</definedName>
    <definedName name="A8B1L" localSheetId="0">[2]INPUT!#REF!</definedName>
    <definedName name="A8B1L" localSheetId="2">[2]INPUT!#REF!</definedName>
    <definedName name="A8B1L">[2]INPUT!#REF!</definedName>
    <definedName name="A8B1R" localSheetId="1">[2]INPUT!#REF!</definedName>
    <definedName name="A8B1R" localSheetId="0">[2]INPUT!#REF!</definedName>
    <definedName name="A8B1R" localSheetId="2">[2]INPUT!#REF!</definedName>
    <definedName name="A8B1R">[2]INPUT!#REF!</definedName>
    <definedName name="A8B2L" localSheetId="1">[2]INPUT!#REF!</definedName>
    <definedName name="A8B2L" localSheetId="0">[2]INPUT!#REF!</definedName>
    <definedName name="A8B2L" localSheetId="2">[2]INPUT!#REF!</definedName>
    <definedName name="A8B2L">[2]INPUT!#REF!</definedName>
    <definedName name="A8B2R" localSheetId="1">[2]INPUT!#REF!</definedName>
    <definedName name="A8B2R" localSheetId="0">[2]INPUT!#REF!</definedName>
    <definedName name="A8B2R" localSheetId="2">[2]INPUT!#REF!</definedName>
    <definedName name="A8B2R">[2]INPUT!#REF!</definedName>
    <definedName name="A8B3L" localSheetId="1">[2]INPUT!#REF!</definedName>
    <definedName name="A8B3L" localSheetId="0">[2]INPUT!#REF!</definedName>
    <definedName name="A8B3L" localSheetId="2">[2]INPUT!#REF!</definedName>
    <definedName name="A8B3L">[2]INPUT!#REF!</definedName>
    <definedName name="A8B3R" localSheetId="1">[2]INPUT!#REF!</definedName>
    <definedName name="A8B3R" localSheetId="0">[2]INPUT!#REF!</definedName>
    <definedName name="A8B3R" localSheetId="2">[2]INPUT!#REF!</definedName>
    <definedName name="A8B3R">[2]INPUT!#REF!</definedName>
    <definedName name="A8B4L" localSheetId="1">[2]INPUT!#REF!</definedName>
    <definedName name="A8B4L" localSheetId="0">[2]INPUT!#REF!</definedName>
    <definedName name="A8B4L" localSheetId="2">[2]INPUT!#REF!</definedName>
    <definedName name="A8B4L">[2]INPUT!#REF!</definedName>
    <definedName name="A8B4R" localSheetId="1">[2]INPUT!#REF!</definedName>
    <definedName name="A8B4R" localSheetId="0">[2]INPUT!#REF!</definedName>
    <definedName name="A8B4R" localSheetId="2">[2]INPUT!#REF!</definedName>
    <definedName name="A8B4R">[2]INPUT!#REF!</definedName>
    <definedName name="A8BFL" localSheetId="1">[2]INPUT!#REF!</definedName>
    <definedName name="A8BFL" localSheetId="0">[2]INPUT!#REF!</definedName>
    <definedName name="A8BFL" localSheetId="2">[2]INPUT!#REF!</definedName>
    <definedName name="A8BFL">[2]INPUT!#REF!</definedName>
    <definedName name="A8BFR" localSheetId="1">[2]INPUT!#REF!</definedName>
    <definedName name="A8BFR" localSheetId="0">[2]INPUT!#REF!</definedName>
    <definedName name="A8BFR" localSheetId="2">[2]INPUT!#REF!</definedName>
    <definedName name="A8BFR">[2]INPUT!#REF!</definedName>
    <definedName name="A8BQL" localSheetId="1">[2]INPUT!#REF!</definedName>
    <definedName name="A8BQL" localSheetId="0">[2]INPUT!#REF!</definedName>
    <definedName name="A8BQL" localSheetId="2">[2]INPUT!#REF!</definedName>
    <definedName name="A8BQL">[2]INPUT!#REF!</definedName>
    <definedName name="A8BQR" localSheetId="1">[2]INPUT!#REF!</definedName>
    <definedName name="A8BQR" localSheetId="0">[2]INPUT!#REF!</definedName>
    <definedName name="A8BQR" localSheetId="2">[2]INPUT!#REF!</definedName>
    <definedName name="A8BQR">[2]INPUT!#REF!</definedName>
    <definedName name="A8L1L" localSheetId="1">[2]INPUT!#REF!</definedName>
    <definedName name="A8L1L" localSheetId="0">[2]INPUT!#REF!</definedName>
    <definedName name="A8L1L" localSheetId="2">[2]INPUT!#REF!</definedName>
    <definedName name="A8L1L">[2]INPUT!#REF!</definedName>
    <definedName name="A8L1R" localSheetId="1">[2]INPUT!#REF!</definedName>
    <definedName name="A8L1R" localSheetId="0">[2]INPUT!#REF!</definedName>
    <definedName name="A8L1R" localSheetId="2">[2]INPUT!#REF!</definedName>
    <definedName name="A8L1R">[2]INPUT!#REF!</definedName>
    <definedName name="A8L2L" localSheetId="1">[2]INPUT!#REF!</definedName>
    <definedName name="A8L2L" localSheetId="0">[2]INPUT!#REF!</definedName>
    <definedName name="A8L2L" localSheetId="2">[2]INPUT!#REF!</definedName>
    <definedName name="A8L2L">[2]INPUT!#REF!</definedName>
    <definedName name="A8L2R" localSheetId="1">[2]INPUT!#REF!</definedName>
    <definedName name="A8L2R" localSheetId="0">[2]INPUT!#REF!</definedName>
    <definedName name="A8L2R" localSheetId="2">[2]INPUT!#REF!</definedName>
    <definedName name="A8L2R">[2]INPUT!#REF!</definedName>
    <definedName name="A8L3L" localSheetId="1">[2]INPUT!#REF!</definedName>
    <definedName name="A8L3L" localSheetId="0">[2]INPUT!#REF!</definedName>
    <definedName name="A8L3L" localSheetId="2">[2]INPUT!#REF!</definedName>
    <definedName name="A8L3L">[2]INPUT!#REF!</definedName>
    <definedName name="A8L3R" localSheetId="1">[2]INPUT!#REF!</definedName>
    <definedName name="A8L3R" localSheetId="0">[2]INPUT!#REF!</definedName>
    <definedName name="A8L3R" localSheetId="2">[2]INPUT!#REF!</definedName>
    <definedName name="A8L3R">[2]INPUT!#REF!</definedName>
    <definedName name="A8L4L" localSheetId="1">[2]INPUT!#REF!</definedName>
    <definedName name="A8L4L" localSheetId="0">[2]INPUT!#REF!</definedName>
    <definedName name="A8L4L" localSheetId="2">[2]INPUT!#REF!</definedName>
    <definedName name="A8L4L">[2]INPUT!#REF!</definedName>
    <definedName name="A8L4R" localSheetId="1">[2]INPUT!#REF!</definedName>
    <definedName name="A8L4R" localSheetId="0">[2]INPUT!#REF!</definedName>
    <definedName name="A8L4R" localSheetId="2">[2]INPUT!#REF!</definedName>
    <definedName name="A8L4R">[2]INPUT!#REF!</definedName>
    <definedName name="A8LFL" localSheetId="1">[2]INPUT!#REF!</definedName>
    <definedName name="A8LFL" localSheetId="0">[2]INPUT!#REF!</definedName>
    <definedName name="A8LFL" localSheetId="2">[2]INPUT!#REF!</definedName>
    <definedName name="A8LFL">[2]INPUT!#REF!</definedName>
    <definedName name="A8LFR" localSheetId="1">[2]INPUT!#REF!</definedName>
    <definedName name="A8LFR" localSheetId="0">[2]INPUT!#REF!</definedName>
    <definedName name="A8LFR" localSheetId="2">[2]INPUT!#REF!</definedName>
    <definedName name="A8LFR">[2]INPUT!#REF!</definedName>
    <definedName name="A8LQL" localSheetId="1">[2]INPUT!#REF!</definedName>
    <definedName name="A8LQL" localSheetId="0">[2]INPUT!#REF!</definedName>
    <definedName name="A8LQL" localSheetId="2">[2]INPUT!#REF!</definedName>
    <definedName name="A8LQL">[2]INPUT!#REF!</definedName>
    <definedName name="A8LQR" localSheetId="1">[2]INPUT!#REF!</definedName>
    <definedName name="A8LQR" localSheetId="0">[2]INPUT!#REF!</definedName>
    <definedName name="A8LQR" localSheetId="2">[2]INPUT!#REF!</definedName>
    <definedName name="A8LQR">[2]INPUT!#REF!</definedName>
    <definedName name="A9B1L" localSheetId="1">[2]INPUT!#REF!</definedName>
    <definedName name="A9B1L" localSheetId="0">[2]INPUT!#REF!</definedName>
    <definedName name="A9B1L" localSheetId="2">[2]INPUT!#REF!</definedName>
    <definedName name="A9B1L">[2]INPUT!#REF!</definedName>
    <definedName name="A9B1R" localSheetId="1">[2]INPUT!#REF!</definedName>
    <definedName name="A9B1R" localSheetId="0">[2]INPUT!#REF!</definedName>
    <definedName name="A9B1R" localSheetId="2">[2]INPUT!#REF!</definedName>
    <definedName name="A9B1R">[2]INPUT!#REF!</definedName>
    <definedName name="A9B2L" localSheetId="1">[2]INPUT!#REF!</definedName>
    <definedName name="A9B2L" localSheetId="0">[2]INPUT!#REF!</definedName>
    <definedName name="A9B2L" localSheetId="2">[2]INPUT!#REF!</definedName>
    <definedName name="A9B2L">[2]INPUT!#REF!</definedName>
    <definedName name="A9B2R" localSheetId="1">[2]INPUT!#REF!</definedName>
    <definedName name="A9B2R" localSheetId="0">[2]INPUT!#REF!</definedName>
    <definedName name="A9B2R" localSheetId="2">[2]INPUT!#REF!</definedName>
    <definedName name="A9B2R">[2]INPUT!#REF!</definedName>
    <definedName name="A9B3L" localSheetId="1">[2]INPUT!#REF!</definedName>
    <definedName name="A9B3L" localSheetId="0">[2]INPUT!#REF!</definedName>
    <definedName name="A9B3L" localSheetId="2">[2]INPUT!#REF!</definedName>
    <definedName name="A9B3L">[2]INPUT!#REF!</definedName>
    <definedName name="A9B3R" localSheetId="1">[2]INPUT!#REF!</definedName>
    <definedName name="A9B3R" localSheetId="0">[2]INPUT!#REF!</definedName>
    <definedName name="A9B3R" localSheetId="2">[2]INPUT!#REF!</definedName>
    <definedName name="A9B3R">[2]INPUT!#REF!</definedName>
    <definedName name="A9B4L" localSheetId="1">[2]INPUT!#REF!</definedName>
    <definedName name="A9B4L" localSheetId="0">[2]INPUT!#REF!</definedName>
    <definedName name="A9B4L" localSheetId="2">[2]INPUT!#REF!</definedName>
    <definedName name="A9B4L">[2]INPUT!#REF!</definedName>
    <definedName name="A9B4R" localSheetId="1">[2]INPUT!#REF!</definedName>
    <definedName name="A9B4R" localSheetId="0">[2]INPUT!#REF!</definedName>
    <definedName name="A9B4R" localSheetId="2">[2]INPUT!#REF!</definedName>
    <definedName name="A9B4R">[2]INPUT!#REF!</definedName>
    <definedName name="A9BFL" localSheetId="1">[2]INPUT!#REF!</definedName>
    <definedName name="A9BFL" localSheetId="0">[2]INPUT!#REF!</definedName>
    <definedName name="A9BFL" localSheetId="2">[2]INPUT!#REF!</definedName>
    <definedName name="A9BFL">[2]INPUT!#REF!</definedName>
    <definedName name="A9BFR" localSheetId="1">[2]INPUT!#REF!</definedName>
    <definedName name="A9BFR" localSheetId="0">[2]INPUT!#REF!</definedName>
    <definedName name="A9BFR" localSheetId="2">[2]INPUT!#REF!</definedName>
    <definedName name="A9BFR">[2]INPUT!#REF!</definedName>
    <definedName name="A9BQL" localSheetId="1">[2]INPUT!#REF!</definedName>
    <definedName name="A9BQL" localSheetId="0">[2]INPUT!#REF!</definedName>
    <definedName name="A9BQL" localSheetId="2">[2]INPUT!#REF!</definedName>
    <definedName name="A9BQL">[2]INPUT!#REF!</definedName>
    <definedName name="A9BQR" localSheetId="1">[2]INPUT!#REF!</definedName>
    <definedName name="A9BQR" localSheetId="0">[2]INPUT!#REF!</definedName>
    <definedName name="A9BQR" localSheetId="2">[2]INPUT!#REF!</definedName>
    <definedName name="A9BQR">[2]INPUT!#REF!</definedName>
    <definedName name="A9L1L" localSheetId="1">[2]INPUT!#REF!</definedName>
    <definedName name="A9L1L" localSheetId="0">[2]INPUT!#REF!</definedName>
    <definedName name="A9L1L" localSheetId="2">[2]INPUT!#REF!</definedName>
    <definedName name="A9L1L">[2]INPUT!#REF!</definedName>
    <definedName name="A9L1R" localSheetId="1">[2]INPUT!#REF!</definedName>
    <definedName name="A9L1R" localSheetId="0">[2]INPUT!#REF!</definedName>
    <definedName name="A9L1R" localSheetId="2">[2]INPUT!#REF!</definedName>
    <definedName name="A9L1R">[2]INPUT!#REF!</definedName>
    <definedName name="A9L2L" localSheetId="1">[2]INPUT!#REF!</definedName>
    <definedName name="A9L2L" localSheetId="0">[2]INPUT!#REF!</definedName>
    <definedName name="A9L2L" localSheetId="2">[2]INPUT!#REF!</definedName>
    <definedName name="A9L2L">[2]INPUT!#REF!</definedName>
    <definedName name="A9L2R" localSheetId="1">[2]INPUT!#REF!</definedName>
    <definedName name="A9L2R" localSheetId="0">[2]INPUT!#REF!</definedName>
    <definedName name="A9L2R" localSheetId="2">[2]INPUT!#REF!</definedName>
    <definedName name="A9L2R">[2]INPUT!#REF!</definedName>
    <definedName name="A9L3L" localSheetId="1">[2]INPUT!#REF!</definedName>
    <definedName name="A9L3L" localSheetId="0">[2]INPUT!#REF!</definedName>
    <definedName name="A9L3L" localSheetId="2">[2]INPUT!#REF!</definedName>
    <definedName name="A9L3L">[2]INPUT!#REF!</definedName>
    <definedName name="A9L3R" localSheetId="1">[2]INPUT!#REF!</definedName>
    <definedName name="A9L3R" localSheetId="0">[2]INPUT!#REF!</definedName>
    <definedName name="A9L3R" localSheetId="2">[2]INPUT!#REF!</definedName>
    <definedName name="A9L3R">[2]INPUT!#REF!</definedName>
    <definedName name="A9L4L" localSheetId="1">[2]INPUT!#REF!</definedName>
    <definedName name="A9L4L" localSheetId="0">[2]INPUT!#REF!</definedName>
    <definedName name="A9L4L" localSheetId="2">[2]INPUT!#REF!</definedName>
    <definedName name="A9L4L">[2]INPUT!#REF!</definedName>
    <definedName name="A9L4R" localSheetId="1">[2]INPUT!#REF!</definedName>
    <definedName name="A9L4R" localSheetId="0">[2]INPUT!#REF!</definedName>
    <definedName name="A9L4R" localSheetId="2">[2]INPUT!#REF!</definedName>
    <definedName name="A9L4R">[2]INPUT!#REF!</definedName>
    <definedName name="A9LFL" localSheetId="1">[2]INPUT!#REF!</definedName>
    <definedName name="A9LFL" localSheetId="0">[2]INPUT!#REF!</definedName>
    <definedName name="A9LFL" localSheetId="2">[2]INPUT!#REF!</definedName>
    <definedName name="A9LFL">[2]INPUT!#REF!</definedName>
    <definedName name="A9LFR" localSheetId="1">[2]INPUT!#REF!</definedName>
    <definedName name="A9LFR" localSheetId="0">[2]INPUT!#REF!</definedName>
    <definedName name="A9LFR" localSheetId="2">[2]INPUT!#REF!</definedName>
    <definedName name="A9LFR">[2]INPUT!#REF!</definedName>
    <definedName name="A9LQL" localSheetId="1">[2]INPUT!#REF!</definedName>
    <definedName name="A9LQL" localSheetId="0">[2]INPUT!#REF!</definedName>
    <definedName name="A9LQL" localSheetId="2">[2]INPUT!#REF!</definedName>
    <definedName name="A9LQL">[2]INPUT!#REF!</definedName>
    <definedName name="A9LQR" localSheetId="1">[2]INPUT!#REF!</definedName>
    <definedName name="A9LQR" localSheetId="0">[2]INPUT!#REF!</definedName>
    <definedName name="A9LQR" localSheetId="2">[2]INPUT!#REF!</definedName>
    <definedName name="A9LQR">[2]INPUT!#REF!</definedName>
    <definedName name="aa">#REF!</definedName>
    <definedName name="aaa" localSheetId="1">#REF!</definedName>
    <definedName name="aaa" localSheetId="0">#REF!</definedName>
    <definedName name="aaa" localSheetId="2">#REF!</definedName>
    <definedName name="aaa">#REF!</definedName>
    <definedName name="Ac">#REF!</definedName>
    <definedName name="AccessDatabase" hidden="1">"C:\My Documents\북부수도사업소\전원차단장치\전원차~1\전원차단장치 내역서 03월06일.mdb"</definedName>
    <definedName name="ACD10L" localSheetId="1">[3]INPUT!#REF!</definedName>
    <definedName name="ACD10L" localSheetId="0">[3]INPUT!#REF!</definedName>
    <definedName name="ACD10L" localSheetId="2">[3]INPUT!#REF!</definedName>
    <definedName name="ACD10L">[3]INPUT!#REF!</definedName>
    <definedName name="ACD10R" localSheetId="1">[3]INPUT!#REF!</definedName>
    <definedName name="ACD10R" localSheetId="0">[3]INPUT!#REF!</definedName>
    <definedName name="ACD10R" localSheetId="2">[3]INPUT!#REF!</definedName>
    <definedName name="ACD10R">[3]INPUT!#REF!</definedName>
    <definedName name="ACD3L" localSheetId="1">[3]INPUT!#REF!</definedName>
    <definedName name="ACD3L" localSheetId="0">[3]INPUT!#REF!</definedName>
    <definedName name="ACD3L" localSheetId="2">[3]INPUT!#REF!</definedName>
    <definedName name="ACD3L">[3]INPUT!#REF!</definedName>
    <definedName name="ACD3R" localSheetId="1">[3]INPUT!#REF!</definedName>
    <definedName name="ACD3R" localSheetId="0">[3]INPUT!#REF!</definedName>
    <definedName name="ACD3R" localSheetId="2">[3]INPUT!#REF!</definedName>
    <definedName name="ACD3R">[3]INPUT!#REF!</definedName>
    <definedName name="ACD4L" localSheetId="1">[3]INPUT!#REF!</definedName>
    <definedName name="ACD4L" localSheetId="0">[3]INPUT!#REF!</definedName>
    <definedName name="ACD4L" localSheetId="2">[3]INPUT!#REF!</definedName>
    <definedName name="ACD4L">[3]INPUT!#REF!</definedName>
    <definedName name="ACD4R" localSheetId="1">[3]INPUT!#REF!</definedName>
    <definedName name="ACD4R" localSheetId="0">[3]INPUT!#REF!</definedName>
    <definedName name="ACD4R" localSheetId="2">[3]INPUT!#REF!</definedName>
    <definedName name="ACD4R">[3]INPUT!#REF!</definedName>
    <definedName name="ACD5L" localSheetId="1">[3]INPUT!#REF!</definedName>
    <definedName name="ACD5L" localSheetId="0">[3]INPUT!#REF!</definedName>
    <definedName name="ACD5L" localSheetId="2">[3]INPUT!#REF!</definedName>
    <definedName name="ACD5L">[3]INPUT!#REF!</definedName>
    <definedName name="ACD5R" localSheetId="1">[3]INPUT!#REF!</definedName>
    <definedName name="ACD5R" localSheetId="0">[3]INPUT!#REF!</definedName>
    <definedName name="ACD5R" localSheetId="2">[3]INPUT!#REF!</definedName>
    <definedName name="ACD5R">[3]INPUT!#REF!</definedName>
    <definedName name="ACD6L" localSheetId="1">[3]INPUT!#REF!</definedName>
    <definedName name="ACD6L" localSheetId="0">[3]INPUT!#REF!</definedName>
    <definedName name="ACD6L" localSheetId="2">[3]INPUT!#REF!</definedName>
    <definedName name="ACD6L">[3]INPUT!#REF!</definedName>
    <definedName name="ACD6R" localSheetId="1">[3]INPUT!#REF!</definedName>
    <definedName name="ACD6R" localSheetId="0">[3]INPUT!#REF!</definedName>
    <definedName name="ACD6R" localSheetId="2">[3]INPUT!#REF!</definedName>
    <definedName name="ACD6R">[3]INPUT!#REF!</definedName>
    <definedName name="ACD7L" localSheetId="1">[3]INPUT!#REF!</definedName>
    <definedName name="ACD7L" localSheetId="0">[3]INPUT!#REF!</definedName>
    <definedName name="ACD7L" localSheetId="2">[3]INPUT!#REF!</definedName>
    <definedName name="ACD7L">[3]INPUT!#REF!</definedName>
    <definedName name="ACD7R" localSheetId="1">[3]INPUT!#REF!</definedName>
    <definedName name="ACD7R" localSheetId="0">[3]INPUT!#REF!</definedName>
    <definedName name="ACD7R" localSheetId="2">[3]INPUT!#REF!</definedName>
    <definedName name="ACD7R">[3]INPUT!#REF!</definedName>
    <definedName name="ACD8L" localSheetId="1">[3]INPUT!#REF!</definedName>
    <definedName name="ACD8L" localSheetId="0">[3]INPUT!#REF!</definedName>
    <definedName name="ACD8L" localSheetId="2">[3]INPUT!#REF!</definedName>
    <definedName name="ACD8L">[3]INPUT!#REF!</definedName>
    <definedName name="ACD8R" localSheetId="1">[3]INPUT!#REF!</definedName>
    <definedName name="ACD8R" localSheetId="0">[3]INPUT!#REF!</definedName>
    <definedName name="ACD8R" localSheetId="2">[3]INPUT!#REF!</definedName>
    <definedName name="ACD8R">[3]INPUT!#REF!</definedName>
    <definedName name="ACD9L" localSheetId="1">[3]INPUT!#REF!</definedName>
    <definedName name="ACD9L" localSheetId="0">[3]INPUT!#REF!</definedName>
    <definedName name="ACD9L" localSheetId="2">[3]INPUT!#REF!</definedName>
    <definedName name="ACD9L">[3]INPUT!#REF!</definedName>
    <definedName name="ACD9R" localSheetId="1">[3]INPUT!#REF!</definedName>
    <definedName name="ACD9R" localSheetId="0">[3]INPUT!#REF!</definedName>
    <definedName name="ACD9R" localSheetId="2">[3]INPUT!#REF!</definedName>
    <definedName name="ACD9R">[3]INPUT!#REF!</definedName>
    <definedName name="ACE10L" localSheetId="1">[3]INPUT!#REF!</definedName>
    <definedName name="ACE10L" localSheetId="0">[3]INPUT!#REF!</definedName>
    <definedName name="ACE10L" localSheetId="2">[3]INPUT!#REF!</definedName>
    <definedName name="ACE10L">[3]INPUT!#REF!</definedName>
    <definedName name="ACE10R" localSheetId="1">[3]INPUT!#REF!</definedName>
    <definedName name="ACE10R" localSheetId="0">[3]INPUT!#REF!</definedName>
    <definedName name="ACE10R" localSheetId="2">[3]INPUT!#REF!</definedName>
    <definedName name="ACE10R">[3]INPUT!#REF!</definedName>
    <definedName name="ACE3L" localSheetId="1">[3]INPUT!#REF!</definedName>
    <definedName name="ACE3L" localSheetId="0">[3]INPUT!#REF!</definedName>
    <definedName name="ACE3L" localSheetId="2">[3]INPUT!#REF!</definedName>
    <definedName name="ACE3L">[3]INPUT!#REF!</definedName>
    <definedName name="ACE3R" localSheetId="1">[3]INPUT!#REF!</definedName>
    <definedName name="ACE3R" localSheetId="0">[3]INPUT!#REF!</definedName>
    <definedName name="ACE3R" localSheetId="2">[3]INPUT!#REF!</definedName>
    <definedName name="ACE3R">[3]INPUT!#REF!</definedName>
    <definedName name="ACE4L" localSheetId="1">[3]INPUT!#REF!</definedName>
    <definedName name="ACE4L" localSheetId="0">[3]INPUT!#REF!</definedName>
    <definedName name="ACE4L" localSheetId="2">[3]INPUT!#REF!</definedName>
    <definedName name="ACE4L">[3]INPUT!#REF!</definedName>
    <definedName name="ACE4R" localSheetId="1">[3]INPUT!#REF!</definedName>
    <definedName name="ACE4R" localSheetId="0">[3]INPUT!#REF!</definedName>
    <definedName name="ACE4R" localSheetId="2">[3]INPUT!#REF!</definedName>
    <definedName name="ACE4R">[3]INPUT!#REF!</definedName>
    <definedName name="ACE5L" localSheetId="1">[3]INPUT!#REF!</definedName>
    <definedName name="ACE5L" localSheetId="0">[3]INPUT!#REF!</definedName>
    <definedName name="ACE5L" localSheetId="2">[3]INPUT!#REF!</definedName>
    <definedName name="ACE5L">[3]INPUT!#REF!</definedName>
    <definedName name="ACE5R" localSheetId="1">[3]INPUT!#REF!</definedName>
    <definedName name="ACE5R" localSheetId="0">[3]INPUT!#REF!</definedName>
    <definedName name="ACE5R" localSheetId="2">[3]INPUT!#REF!</definedName>
    <definedName name="ACE5R">[3]INPUT!#REF!</definedName>
    <definedName name="ACE6L" localSheetId="1">[3]INPUT!#REF!</definedName>
    <definedName name="ACE6L" localSheetId="0">[3]INPUT!#REF!</definedName>
    <definedName name="ACE6L" localSheetId="2">[3]INPUT!#REF!</definedName>
    <definedName name="ACE6L">[3]INPUT!#REF!</definedName>
    <definedName name="ACE6R" localSheetId="1">[3]INPUT!#REF!</definedName>
    <definedName name="ACE6R" localSheetId="0">[3]INPUT!#REF!</definedName>
    <definedName name="ACE6R" localSheetId="2">[3]INPUT!#REF!</definedName>
    <definedName name="ACE6R">[3]INPUT!#REF!</definedName>
    <definedName name="ACE7L" localSheetId="1">[3]INPUT!#REF!</definedName>
    <definedName name="ACE7L" localSheetId="0">[3]INPUT!#REF!</definedName>
    <definedName name="ACE7L" localSheetId="2">[3]INPUT!#REF!</definedName>
    <definedName name="ACE7L">[3]INPUT!#REF!</definedName>
    <definedName name="ACE7R" localSheetId="1">[3]INPUT!#REF!</definedName>
    <definedName name="ACE7R" localSheetId="0">[3]INPUT!#REF!</definedName>
    <definedName name="ACE7R" localSheetId="2">[3]INPUT!#REF!</definedName>
    <definedName name="ACE7R">[3]INPUT!#REF!</definedName>
    <definedName name="ACE8L" localSheetId="1">[3]INPUT!#REF!</definedName>
    <definedName name="ACE8L" localSheetId="0">[3]INPUT!#REF!</definedName>
    <definedName name="ACE8L" localSheetId="2">[3]INPUT!#REF!</definedName>
    <definedName name="ACE8L">[3]INPUT!#REF!</definedName>
    <definedName name="ACE8R" localSheetId="1">[3]INPUT!#REF!</definedName>
    <definedName name="ACE8R" localSheetId="0">[3]INPUT!#REF!</definedName>
    <definedName name="ACE8R" localSheetId="2">[3]INPUT!#REF!</definedName>
    <definedName name="ACE8R">[3]INPUT!#REF!</definedName>
    <definedName name="ACE9L" localSheetId="1">[3]INPUT!#REF!</definedName>
    <definedName name="ACE9L" localSheetId="0">[3]INPUT!#REF!</definedName>
    <definedName name="ACE9L" localSheetId="2">[3]INPUT!#REF!</definedName>
    <definedName name="ACE9L">[3]INPUT!#REF!</definedName>
    <definedName name="ACE9R" localSheetId="1">[3]INPUT!#REF!</definedName>
    <definedName name="ACE9R" localSheetId="0">[3]INPUT!#REF!</definedName>
    <definedName name="ACE9R" localSheetId="2">[3]INPUT!#REF!</definedName>
    <definedName name="ACE9R">[3]INPUT!#REF!</definedName>
    <definedName name="ACH10L" localSheetId="1">[3]INPUT!#REF!</definedName>
    <definedName name="ACH10L" localSheetId="0">[3]INPUT!#REF!</definedName>
    <definedName name="ACH10L" localSheetId="2">[3]INPUT!#REF!</definedName>
    <definedName name="ACH10L">[3]INPUT!#REF!</definedName>
    <definedName name="ACH10R" localSheetId="1">[3]INPUT!#REF!</definedName>
    <definedName name="ACH10R" localSheetId="0">[3]INPUT!#REF!</definedName>
    <definedName name="ACH10R" localSheetId="2">[3]INPUT!#REF!</definedName>
    <definedName name="ACH10R">[3]INPUT!#REF!</definedName>
    <definedName name="ACH3L" localSheetId="1">[3]INPUT!#REF!</definedName>
    <definedName name="ACH3L" localSheetId="0">[3]INPUT!#REF!</definedName>
    <definedName name="ACH3L" localSheetId="2">[3]INPUT!#REF!</definedName>
    <definedName name="ACH3L">[3]INPUT!#REF!</definedName>
    <definedName name="ACH3R" localSheetId="1">[3]INPUT!#REF!</definedName>
    <definedName name="ACH3R" localSheetId="0">[3]INPUT!#REF!</definedName>
    <definedName name="ACH3R" localSheetId="2">[3]INPUT!#REF!</definedName>
    <definedName name="ACH3R">[3]INPUT!#REF!</definedName>
    <definedName name="ACH4L" localSheetId="1">[3]INPUT!#REF!</definedName>
    <definedName name="ACH4L" localSheetId="0">[3]INPUT!#REF!</definedName>
    <definedName name="ACH4L" localSheetId="2">[3]INPUT!#REF!</definedName>
    <definedName name="ACH4L">[3]INPUT!#REF!</definedName>
    <definedName name="ACH4R" localSheetId="1">[3]INPUT!#REF!</definedName>
    <definedName name="ACH4R" localSheetId="0">[3]INPUT!#REF!</definedName>
    <definedName name="ACH4R" localSheetId="2">[3]INPUT!#REF!</definedName>
    <definedName name="ACH4R">[3]INPUT!#REF!</definedName>
    <definedName name="ACH5L" localSheetId="1">[3]INPUT!#REF!</definedName>
    <definedName name="ACH5L" localSheetId="0">[3]INPUT!#REF!</definedName>
    <definedName name="ACH5L" localSheetId="2">[3]INPUT!#REF!</definedName>
    <definedName name="ACH5L">[3]INPUT!#REF!</definedName>
    <definedName name="ACH5R" localSheetId="1">[3]INPUT!#REF!</definedName>
    <definedName name="ACH5R" localSheetId="0">[3]INPUT!#REF!</definedName>
    <definedName name="ACH5R" localSheetId="2">[3]INPUT!#REF!</definedName>
    <definedName name="ACH5R">[3]INPUT!#REF!</definedName>
    <definedName name="ACH6L" localSheetId="1">[3]INPUT!#REF!</definedName>
    <definedName name="ACH6L" localSheetId="0">[3]INPUT!#REF!</definedName>
    <definedName name="ACH6L" localSheetId="2">[3]INPUT!#REF!</definedName>
    <definedName name="ACH6L">[3]INPUT!#REF!</definedName>
    <definedName name="ACH6R" localSheetId="1">[3]INPUT!#REF!</definedName>
    <definedName name="ACH6R" localSheetId="0">[3]INPUT!#REF!</definedName>
    <definedName name="ACH6R" localSheetId="2">[3]INPUT!#REF!</definedName>
    <definedName name="ACH6R">[3]INPUT!#REF!</definedName>
    <definedName name="ACH7L" localSheetId="1">[3]INPUT!#REF!</definedName>
    <definedName name="ACH7L" localSheetId="0">[3]INPUT!#REF!</definedName>
    <definedName name="ACH7L" localSheetId="2">[3]INPUT!#REF!</definedName>
    <definedName name="ACH7L">[3]INPUT!#REF!</definedName>
    <definedName name="ACH7R" localSheetId="1">[3]INPUT!#REF!</definedName>
    <definedName name="ACH7R" localSheetId="0">[3]INPUT!#REF!</definedName>
    <definedName name="ACH7R" localSheetId="2">[3]INPUT!#REF!</definedName>
    <definedName name="ACH7R">[3]INPUT!#REF!</definedName>
    <definedName name="ACH8L" localSheetId="1">[3]INPUT!#REF!</definedName>
    <definedName name="ACH8L" localSheetId="0">[3]INPUT!#REF!</definedName>
    <definedName name="ACH8L" localSheetId="2">[3]INPUT!#REF!</definedName>
    <definedName name="ACH8L">[3]INPUT!#REF!</definedName>
    <definedName name="ACH8R" localSheetId="1">[3]INPUT!#REF!</definedName>
    <definedName name="ACH8R" localSheetId="0">[3]INPUT!#REF!</definedName>
    <definedName name="ACH8R" localSheetId="2">[3]INPUT!#REF!</definedName>
    <definedName name="ACH8R">[3]INPUT!#REF!</definedName>
    <definedName name="ACH9L" localSheetId="1">[3]INPUT!#REF!</definedName>
    <definedName name="ACH9L" localSheetId="0">[3]INPUT!#REF!</definedName>
    <definedName name="ACH9L" localSheetId="2">[3]INPUT!#REF!</definedName>
    <definedName name="ACH9L">[3]INPUT!#REF!</definedName>
    <definedName name="ACH9R" localSheetId="1">[3]INPUT!#REF!</definedName>
    <definedName name="ACH9R" localSheetId="0">[3]INPUT!#REF!</definedName>
    <definedName name="ACH9R" localSheetId="2">[3]INPUT!#REF!</definedName>
    <definedName name="ACH9R">[3]INPUT!#REF!</definedName>
    <definedName name="Aend">#REF!</definedName>
    <definedName name="Aex">#REF!</definedName>
    <definedName name="Af">#REF!</definedName>
    <definedName name="AfCon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h">#REF!</definedName>
    <definedName name="ALPA" localSheetId="1">#REF!</definedName>
    <definedName name="ALPA" localSheetId="0">#REF!</definedName>
    <definedName name="ALPA" localSheetId="2">#REF!</definedName>
    <definedName name="ALPA">#REF!</definedName>
    <definedName name="ALPHA" localSheetId="1">#REF!</definedName>
    <definedName name="ALPHA" localSheetId="0">#REF!</definedName>
    <definedName name="ALPHA" localSheetId="2">#REF!</definedName>
    <definedName name="ALPHA">#REF!</definedName>
    <definedName name="AlphaD">#REF!</definedName>
    <definedName name="AlphaL">#REF!</definedName>
    <definedName name="anscount" hidden="1">6</definedName>
    <definedName name="AS">#REF!</definedName>
    <definedName name="ASA">#REF!</definedName>
    <definedName name="ASE">#REF!</definedName>
    <definedName name="Av">#REF!</definedName>
    <definedName name="B">#REF!</definedName>
    <definedName name="b10a2p">[4]INPUT!$I$36</definedName>
    <definedName name="b11a2p">[4]INPUT!$I$37</definedName>
    <definedName name="B16A2P">[4]INPUT!$I$43</definedName>
    <definedName name="B1A">#REF!</definedName>
    <definedName name="B1B">#REF!</definedName>
    <definedName name="B1WL">#REF!</definedName>
    <definedName name="B1WR">#REF!</definedName>
    <definedName name="B2A">#REF!</definedName>
    <definedName name="b2a2p">[4]INPUT!$I$28</definedName>
    <definedName name="B2B">#REF!</definedName>
    <definedName name="B2WL">#REF!</definedName>
    <definedName name="B2WR">#REF!</definedName>
    <definedName name="B3A">#REF!</definedName>
    <definedName name="B3B">#REF!</definedName>
    <definedName name="B4A">#REF!</definedName>
    <definedName name="B4B">#REF!</definedName>
    <definedName name="B5A">#REF!</definedName>
    <definedName name="B5B" localSheetId="1">[5]교각1!#REF!</definedName>
    <definedName name="B5B" localSheetId="0">[5]교각1!#REF!</definedName>
    <definedName name="B5B" localSheetId="2">[5]교각1!#REF!</definedName>
    <definedName name="B5B">[5]교각1!#REF!</definedName>
    <definedName name="B6A">#REF!</definedName>
    <definedName name="B6B" localSheetId="1">[5]교각1!#REF!</definedName>
    <definedName name="B6B" localSheetId="0">[5]교각1!#REF!</definedName>
    <definedName name="B6B" localSheetId="2">[5]교각1!#REF!</definedName>
    <definedName name="B6B">[5]교각1!#REF!</definedName>
    <definedName name="B7A">#REF!</definedName>
    <definedName name="B7B" localSheetId="1">[5]교각1!#REF!</definedName>
    <definedName name="B7B" localSheetId="0">[5]교각1!#REF!</definedName>
    <definedName name="B7B" localSheetId="2">[5]교각1!#REF!</definedName>
    <definedName name="B7B">[5]교각1!#REF!</definedName>
    <definedName name="B8A">#REF!</definedName>
    <definedName name="BA">#REF!</definedName>
    <definedName name="ba2p">[4]INPUT!$I$26</definedName>
    <definedName name="back">#REF!</definedName>
    <definedName name="BETA" localSheetId="1">#REF!</definedName>
    <definedName name="BETA" localSheetId="0">#REF!</definedName>
    <definedName name="BETA" localSheetId="2">#REF!</definedName>
    <definedName name="BETA">#REF!</definedName>
    <definedName name="BHU">#REF!</definedName>
    <definedName name="BMO">#REF!</definedName>
    <definedName name="BOH10L" localSheetId="1">[3]INPUT!#REF!</definedName>
    <definedName name="BOH10L" localSheetId="0">[3]INPUT!#REF!</definedName>
    <definedName name="BOH10L" localSheetId="2">[3]INPUT!#REF!</definedName>
    <definedName name="BOH10L">[3]INPUT!#REF!</definedName>
    <definedName name="BOH10R" localSheetId="1">[3]INPUT!#REF!</definedName>
    <definedName name="BOH10R" localSheetId="0">[3]INPUT!#REF!</definedName>
    <definedName name="BOH10R" localSheetId="2">[3]INPUT!#REF!</definedName>
    <definedName name="BOH10R">[3]INPUT!#REF!</definedName>
    <definedName name="BOH3L" localSheetId="1">[3]INPUT!#REF!</definedName>
    <definedName name="BOH3L" localSheetId="0">[3]INPUT!#REF!</definedName>
    <definedName name="BOH3L" localSheetId="2">[3]INPUT!#REF!</definedName>
    <definedName name="BOH3L">[3]INPUT!#REF!</definedName>
    <definedName name="BOH3R" localSheetId="1">[3]INPUT!#REF!</definedName>
    <definedName name="BOH3R" localSheetId="0">[3]INPUT!#REF!</definedName>
    <definedName name="BOH3R" localSheetId="2">[3]INPUT!#REF!</definedName>
    <definedName name="BOH3R">[3]INPUT!#REF!</definedName>
    <definedName name="BOH4L" localSheetId="1">[3]INPUT!#REF!</definedName>
    <definedName name="BOH4L" localSheetId="0">[3]INPUT!#REF!</definedName>
    <definedName name="BOH4L" localSheetId="2">[3]INPUT!#REF!</definedName>
    <definedName name="BOH4L">[3]INPUT!#REF!</definedName>
    <definedName name="BOH4R" localSheetId="1">[3]INPUT!#REF!</definedName>
    <definedName name="BOH4R" localSheetId="0">[3]INPUT!#REF!</definedName>
    <definedName name="BOH4R" localSheetId="2">[3]INPUT!#REF!</definedName>
    <definedName name="BOH4R">[3]INPUT!#REF!</definedName>
    <definedName name="BOH5L" localSheetId="1">[3]INPUT!#REF!</definedName>
    <definedName name="BOH5L" localSheetId="0">[3]INPUT!#REF!</definedName>
    <definedName name="BOH5L" localSheetId="2">[3]INPUT!#REF!</definedName>
    <definedName name="BOH5L">[3]INPUT!#REF!</definedName>
    <definedName name="BOH5R" localSheetId="1">[3]INPUT!#REF!</definedName>
    <definedName name="BOH5R" localSheetId="0">[3]INPUT!#REF!</definedName>
    <definedName name="BOH5R" localSheetId="2">[3]INPUT!#REF!</definedName>
    <definedName name="BOH5R">[3]INPUT!#REF!</definedName>
    <definedName name="BOH6L" localSheetId="1">[3]INPUT!#REF!</definedName>
    <definedName name="BOH6L" localSheetId="0">[3]INPUT!#REF!</definedName>
    <definedName name="BOH6L" localSheetId="2">[3]INPUT!#REF!</definedName>
    <definedName name="BOH6L">[3]INPUT!#REF!</definedName>
    <definedName name="BOH6R" localSheetId="1">[3]INPUT!#REF!</definedName>
    <definedName name="BOH6R" localSheetId="0">[3]INPUT!#REF!</definedName>
    <definedName name="BOH6R" localSheetId="2">[3]INPUT!#REF!</definedName>
    <definedName name="BOH6R">[3]INPUT!#REF!</definedName>
    <definedName name="BOH7L" localSheetId="1">[3]INPUT!#REF!</definedName>
    <definedName name="BOH7L" localSheetId="0">[3]INPUT!#REF!</definedName>
    <definedName name="BOH7L" localSheetId="2">[3]INPUT!#REF!</definedName>
    <definedName name="BOH7L">[3]INPUT!#REF!</definedName>
    <definedName name="BOH7R" localSheetId="1">[3]INPUT!#REF!</definedName>
    <definedName name="BOH7R" localSheetId="0">[3]INPUT!#REF!</definedName>
    <definedName name="BOH7R" localSheetId="2">[3]INPUT!#REF!</definedName>
    <definedName name="BOH7R">[3]INPUT!#REF!</definedName>
    <definedName name="BOH8L" localSheetId="1">[3]INPUT!#REF!</definedName>
    <definedName name="BOH8L" localSheetId="0">[3]INPUT!#REF!</definedName>
    <definedName name="BOH8L" localSheetId="2">[3]INPUT!#REF!</definedName>
    <definedName name="BOH8L">[3]INPUT!#REF!</definedName>
    <definedName name="BOH8R" localSheetId="1">[3]INPUT!#REF!</definedName>
    <definedName name="BOH8R" localSheetId="0">[3]INPUT!#REF!</definedName>
    <definedName name="BOH8R" localSheetId="2">[3]INPUT!#REF!</definedName>
    <definedName name="BOH8R">[3]INPUT!#REF!</definedName>
    <definedName name="BOH9L" localSheetId="1">[3]INPUT!#REF!</definedName>
    <definedName name="BOH9L" localSheetId="0">[3]INPUT!#REF!</definedName>
    <definedName name="BOH9L" localSheetId="2">[3]INPUT!#REF!</definedName>
    <definedName name="BOH9L">[3]INPUT!#REF!</definedName>
    <definedName name="BOH9R" localSheetId="1">[3]INPUT!#REF!</definedName>
    <definedName name="BOH9R" localSheetId="0">[3]INPUT!#REF!</definedName>
    <definedName name="BOH9R" localSheetId="2">[3]INPUT!#REF!</definedName>
    <definedName name="BOH9R">[3]INPUT!#REF!</definedName>
    <definedName name="BOK10L" localSheetId="1">[3]INPUT!#REF!</definedName>
    <definedName name="BOK10L" localSheetId="0">[3]INPUT!#REF!</definedName>
    <definedName name="BOK10L" localSheetId="2">[3]INPUT!#REF!</definedName>
    <definedName name="BOK10L">[3]INPUT!#REF!</definedName>
    <definedName name="BOK10R" localSheetId="1">[3]INPUT!#REF!</definedName>
    <definedName name="BOK10R" localSheetId="0">[3]INPUT!#REF!</definedName>
    <definedName name="BOK10R" localSheetId="2">[3]INPUT!#REF!</definedName>
    <definedName name="BOK10R">[3]INPUT!#REF!</definedName>
    <definedName name="BOK3L" localSheetId="1">[3]INPUT!#REF!</definedName>
    <definedName name="BOK3L" localSheetId="0">[3]INPUT!#REF!</definedName>
    <definedName name="BOK3L" localSheetId="2">[3]INPUT!#REF!</definedName>
    <definedName name="BOK3L">[3]INPUT!#REF!</definedName>
    <definedName name="BOK3R" localSheetId="1">[3]INPUT!#REF!</definedName>
    <definedName name="BOK3R" localSheetId="0">[3]INPUT!#REF!</definedName>
    <definedName name="BOK3R" localSheetId="2">[3]INPUT!#REF!</definedName>
    <definedName name="BOK3R">[3]INPUT!#REF!</definedName>
    <definedName name="BOK4L" localSheetId="1">[3]INPUT!#REF!</definedName>
    <definedName name="BOK4L" localSheetId="0">[3]INPUT!#REF!</definedName>
    <definedName name="BOK4L" localSheetId="2">[3]INPUT!#REF!</definedName>
    <definedName name="BOK4L">[3]INPUT!#REF!</definedName>
    <definedName name="BOK4R" localSheetId="1">[3]INPUT!#REF!</definedName>
    <definedName name="BOK4R" localSheetId="0">[3]INPUT!#REF!</definedName>
    <definedName name="BOK4R" localSheetId="2">[3]INPUT!#REF!</definedName>
    <definedName name="BOK4R">[3]INPUT!#REF!</definedName>
    <definedName name="BOK5L" localSheetId="1">[3]INPUT!#REF!</definedName>
    <definedName name="BOK5L" localSheetId="0">[3]INPUT!#REF!</definedName>
    <definedName name="BOK5L" localSheetId="2">[3]INPUT!#REF!</definedName>
    <definedName name="BOK5L">[3]INPUT!#REF!</definedName>
    <definedName name="BOK5R" localSheetId="1">[3]INPUT!#REF!</definedName>
    <definedName name="BOK5R" localSheetId="0">[3]INPUT!#REF!</definedName>
    <definedName name="BOK5R" localSheetId="2">[3]INPUT!#REF!</definedName>
    <definedName name="BOK5R">[3]INPUT!#REF!</definedName>
    <definedName name="BOK6L" localSheetId="1">[3]INPUT!#REF!</definedName>
    <definedName name="BOK6L" localSheetId="0">[3]INPUT!#REF!</definedName>
    <definedName name="BOK6L" localSheetId="2">[3]INPUT!#REF!</definedName>
    <definedName name="BOK6L">[3]INPUT!#REF!</definedName>
    <definedName name="BOK6R" localSheetId="1">[3]INPUT!#REF!</definedName>
    <definedName name="BOK6R" localSheetId="0">[3]INPUT!#REF!</definedName>
    <definedName name="BOK6R" localSheetId="2">[3]INPUT!#REF!</definedName>
    <definedName name="BOK6R">[3]INPUT!#REF!</definedName>
    <definedName name="BOK7L" localSheetId="1">[3]INPUT!#REF!</definedName>
    <definedName name="BOK7L" localSheetId="0">[3]INPUT!#REF!</definedName>
    <definedName name="BOK7L" localSheetId="2">[3]INPUT!#REF!</definedName>
    <definedName name="BOK7L">[3]INPUT!#REF!</definedName>
    <definedName name="BOK7R" localSheetId="1">[3]INPUT!#REF!</definedName>
    <definedName name="BOK7R" localSheetId="0">[3]INPUT!#REF!</definedName>
    <definedName name="BOK7R" localSheetId="2">[3]INPUT!#REF!</definedName>
    <definedName name="BOK7R">[3]INPUT!#REF!</definedName>
    <definedName name="BOK8L" localSheetId="1">[3]INPUT!#REF!</definedName>
    <definedName name="BOK8L" localSheetId="0">[3]INPUT!#REF!</definedName>
    <definedName name="BOK8L" localSheetId="2">[3]INPUT!#REF!</definedName>
    <definedName name="BOK8L">[3]INPUT!#REF!</definedName>
    <definedName name="BOK8R" localSheetId="1">[3]INPUT!#REF!</definedName>
    <definedName name="BOK8R" localSheetId="0">[3]INPUT!#REF!</definedName>
    <definedName name="BOK8R" localSheetId="2">[3]INPUT!#REF!</definedName>
    <definedName name="BOK8R">[3]INPUT!#REF!</definedName>
    <definedName name="BOK9L" localSheetId="1">[3]INPUT!#REF!</definedName>
    <definedName name="BOK9L" localSheetId="0">[3]INPUT!#REF!</definedName>
    <definedName name="BOK9L" localSheetId="2">[3]INPUT!#REF!</definedName>
    <definedName name="BOK9L">[3]INPUT!#REF!</definedName>
    <definedName name="BOK9R" localSheetId="1">[3]INPUT!#REF!</definedName>
    <definedName name="BOK9R" localSheetId="0">[3]INPUT!#REF!</definedName>
    <definedName name="BOK9R" localSheetId="2">[3]INPUT!#REF!</definedName>
    <definedName name="BOK9R">[3]INPUT!#REF!</definedName>
    <definedName name="Bolts">#REF!</definedName>
    <definedName name="bs_chekjum">#REF!</definedName>
    <definedName name="bs_chekplus">#REF!</definedName>
    <definedName name="bs_chekwave">#REF!</definedName>
    <definedName name="BSH">#REF!</definedName>
    <definedName name="c1.a2p">[4]INPUT!$F$44</definedName>
    <definedName name="c2.a2p">[4]INPUT!$F$45</definedName>
    <definedName name="CA10L" localSheetId="1">[2]INPUT!#REF!</definedName>
    <definedName name="CA10L" localSheetId="0">[2]INPUT!#REF!</definedName>
    <definedName name="CA10L" localSheetId="2">[2]INPUT!#REF!</definedName>
    <definedName name="CA10L">[2]INPUT!#REF!</definedName>
    <definedName name="CA10R" localSheetId="1">[2]INPUT!#REF!</definedName>
    <definedName name="CA10R" localSheetId="0">[2]INPUT!#REF!</definedName>
    <definedName name="CA10R" localSheetId="2">[2]INPUT!#REF!</definedName>
    <definedName name="CA10R">[2]INPUT!#REF!</definedName>
    <definedName name="CA3L" localSheetId="1">[2]INPUT!#REF!</definedName>
    <definedName name="CA3L" localSheetId="0">[2]INPUT!#REF!</definedName>
    <definedName name="CA3L" localSheetId="2">[2]INPUT!#REF!</definedName>
    <definedName name="CA3L">[2]INPUT!#REF!</definedName>
    <definedName name="CA3R" localSheetId="1">[2]INPUT!#REF!</definedName>
    <definedName name="CA3R" localSheetId="0">[2]INPUT!#REF!</definedName>
    <definedName name="CA3R" localSheetId="2">[2]INPUT!#REF!</definedName>
    <definedName name="CA3R">[2]INPUT!#REF!</definedName>
    <definedName name="CA4L" localSheetId="1">[2]INPUT!#REF!</definedName>
    <definedName name="CA4L" localSheetId="0">[2]INPUT!#REF!</definedName>
    <definedName name="CA4L" localSheetId="2">[2]INPUT!#REF!</definedName>
    <definedName name="CA4L">[2]INPUT!#REF!</definedName>
    <definedName name="CA4R" localSheetId="1">[2]INPUT!#REF!</definedName>
    <definedName name="CA4R" localSheetId="0">[2]INPUT!#REF!</definedName>
    <definedName name="CA4R" localSheetId="2">[2]INPUT!#REF!</definedName>
    <definedName name="CA4R">[2]INPUT!#REF!</definedName>
    <definedName name="CA5L" localSheetId="1">[2]INPUT!#REF!</definedName>
    <definedName name="CA5L" localSheetId="0">[2]INPUT!#REF!</definedName>
    <definedName name="CA5L" localSheetId="2">[2]INPUT!#REF!</definedName>
    <definedName name="CA5L">[2]INPUT!#REF!</definedName>
    <definedName name="CA5R" localSheetId="1">[2]INPUT!#REF!</definedName>
    <definedName name="CA5R" localSheetId="0">[2]INPUT!#REF!</definedName>
    <definedName name="CA5R" localSheetId="2">[2]INPUT!#REF!</definedName>
    <definedName name="CA5R">[2]INPUT!#REF!</definedName>
    <definedName name="CA6L" localSheetId="1">[2]INPUT!#REF!</definedName>
    <definedName name="CA6L" localSheetId="0">[2]INPUT!#REF!</definedName>
    <definedName name="CA6L" localSheetId="2">[2]INPUT!#REF!</definedName>
    <definedName name="CA6L">[2]INPUT!#REF!</definedName>
    <definedName name="CA6R" localSheetId="1">[2]INPUT!#REF!</definedName>
    <definedName name="CA6R" localSheetId="0">[2]INPUT!#REF!</definedName>
    <definedName name="CA6R" localSheetId="2">[2]INPUT!#REF!</definedName>
    <definedName name="CA6R">[2]INPUT!#REF!</definedName>
    <definedName name="CA7L" localSheetId="1">[2]INPUT!#REF!</definedName>
    <definedName name="CA7L" localSheetId="0">[2]INPUT!#REF!</definedName>
    <definedName name="CA7L" localSheetId="2">[2]INPUT!#REF!</definedName>
    <definedName name="CA7L">[2]INPUT!#REF!</definedName>
    <definedName name="CA7R" localSheetId="1">[2]INPUT!#REF!</definedName>
    <definedName name="CA7R" localSheetId="0">[2]INPUT!#REF!</definedName>
    <definedName name="CA7R" localSheetId="2">[2]INPUT!#REF!</definedName>
    <definedName name="CA7R">[2]INPUT!#REF!</definedName>
    <definedName name="CA8L" localSheetId="1">[2]INPUT!#REF!</definedName>
    <definedName name="CA8L" localSheetId="0">[2]INPUT!#REF!</definedName>
    <definedName name="CA8L" localSheetId="2">[2]INPUT!#REF!</definedName>
    <definedName name="CA8L">[2]INPUT!#REF!</definedName>
    <definedName name="CA8R" localSheetId="1">[2]INPUT!#REF!</definedName>
    <definedName name="CA8R" localSheetId="0">[2]INPUT!#REF!</definedName>
    <definedName name="CA8R" localSheetId="2">[2]INPUT!#REF!</definedName>
    <definedName name="CA8R">[2]INPUT!#REF!</definedName>
    <definedName name="CA9L" localSheetId="1">[2]INPUT!#REF!</definedName>
    <definedName name="CA9L" localSheetId="0">[2]INPUT!#REF!</definedName>
    <definedName name="CA9L" localSheetId="2">[2]INPUT!#REF!</definedName>
    <definedName name="CA9L">[2]INPUT!#REF!</definedName>
    <definedName name="CA9R" localSheetId="1">[2]INPUT!#REF!</definedName>
    <definedName name="CA9R" localSheetId="0">[2]INPUT!#REF!</definedName>
    <definedName name="CA9R" localSheetId="2">[2]INPUT!#REF!</definedName>
    <definedName name="CA9R">[2]INPUT!#REF!</definedName>
    <definedName name="CalcAgencyPrice">#REF!</definedName>
    <definedName name="CHN10L" localSheetId="1">[3]INPUT!#REF!</definedName>
    <definedName name="CHN10L" localSheetId="0">[3]INPUT!#REF!</definedName>
    <definedName name="CHN10L" localSheetId="2">[3]INPUT!#REF!</definedName>
    <definedName name="CHN10L">[3]INPUT!#REF!</definedName>
    <definedName name="CHN10R" localSheetId="1">[3]INPUT!#REF!</definedName>
    <definedName name="CHN10R" localSheetId="0">[3]INPUT!#REF!</definedName>
    <definedName name="CHN10R" localSheetId="2">[3]INPUT!#REF!</definedName>
    <definedName name="CHN10R">[3]INPUT!#REF!</definedName>
    <definedName name="CHN3L" localSheetId="1">[3]INPUT!#REF!</definedName>
    <definedName name="CHN3L" localSheetId="0">[3]INPUT!#REF!</definedName>
    <definedName name="CHN3L" localSheetId="2">[3]INPUT!#REF!</definedName>
    <definedName name="CHN3L">[3]INPUT!#REF!</definedName>
    <definedName name="CHN3R" localSheetId="1">[3]INPUT!#REF!</definedName>
    <definedName name="CHN3R" localSheetId="0">[3]INPUT!#REF!</definedName>
    <definedName name="CHN3R" localSheetId="2">[3]INPUT!#REF!</definedName>
    <definedName name="CHN3R">[3]INPUT!#REF!</definedName>
    <definedName name="CHN4L" localSheetId="1">[3]INPUT!#REF!</definedName>
    <definedName name="CHN4L" localSheetId="0">[3]INPUT!#REF!</definedName>
    <definedName name="CHN4L" localSheetId="2">[3]INPUT!#REF!</definedName>
    <definedName name="CHN4L">[3]INPUT!#REF!</definedName>
    <definedName name="CHN4R" localSheetId="1">[3]INPUT!#REF!</definedName>
    <definedName name="CHN4R" localSheetId="0">[3]INPUT!#REF!</definedName>
    <definedName name="CHN4R" localSheetId="2">[3]INPUT!#REF!</definedName>
    <definedName name="CHN4R">[3]INPUT!#REF!</definedName>
    <definedName name="CHN5L" localSheetId="1">[3]INPUT!#REF!</definedName>
    <definedName name="CHN5L" localSheetId="0">[3]INPUT!#REF!</definedName>
    <definedName name="CHN5L" localSheetId="2">[3]INPUT!#REF!</definedName>
    <definedName name="CHN5L">[3]INPUT!#REF!</definedName>
    <definedName name="CHN5R" localSheetId="1">[3]INPUT!#REF!</definedName>
    <definedName name="CHN5R" localSheetId="0">[3]INPUT!#REF!</definedName>
    <definedName name="CHN5R" localSheetId="2">[3]INPUT!#REF!</definedName>
    <definedName name="CHN5R">[3]INPUT!#REF!</definedName>
    <definedName name="CHN6L" localSheetId="1">[3]INPUT!#REF!</definedName>
    <definedName name="CHN6L" localSheetId="0">[3]INPUT!#REF!</definedName>
    <definedName name="CHN6L" localSheetId="2">[3]INPUT!#REF!</definedName>
    <definedName name="CHN6L">[3]INPUT!#REF!</definedName>
    <definedName name="CHN6R" localSheetId="1">[3]INPUT!#REF!</definedName>
    <definedName name="CHN6R" localSheetId="0">[3]INPUT!#REF!</definedName>
    <definedName name="CHN6R" localSheetId="2">[3]INPUT!#REF!</definedName>
    <definedName name="CHN6R">[3]INPUT!#REF!</definedName>
    <definedName name="CHN7L" localSheetId="1">[3]INPUT!#REF!</definedName>
    <definedName name="CHN7L" localSheetId="0">[3]INPUT!#REF!</definedName>
    <definedName name="CHN7L" localSheetId="2">[3]INPUT!#REF!</definedName>
    <definedName name="CHN7L">[3]INPUT!#REF!</definedName>
    <definedName name="CHN7R" localSheetId="1">[3]INPUT!#REF!</definedName>
    <definedName name="CHN7R" localSheetId="0">[3]INPUT!#REF!</definedName>
    <definedName name="CHN7R" localSheetId="2">[3]INPUT!#REF!</definedName>
    <definedName name="CHN7R">[3]INPUT!#REF!</definedName>
    <definedName name="CHN8L" localSheetId="1">[3]INPUT!#REF!</definedName>
    <definedName name="CHN8L" localSheetId="0">[3]INPUT!#REF!</definedName>
    <definedName name="CHN8L" localSheetId="2">[3]INPUT!#REF!</definedName>
    <definedName name="CHN8L">[3]INPUT!#REF!</definedName>
    <definedName name="CHN8R" localSheetId="1">[3]INPUT!#REF!</definedName>
    <definedName name="CHN8R" localSheetId="0">[3]INPUT!#REF!</definedName>
    <definedName name="CHN8R" localSheetId="2">[3]INPUT!#REF!</definedName>
    <definedName name="CHN8R">[3]INPUT!#REF!</definedName>
    <definedName name="CHN9L" localSheetId="1">[3]INPUT!#REF!</definedName>
    <definedName name="CHN9L" localSheetId="0">[3]INPUT!#REF!</definedName>
    <definedName name="CHN9L" localSheetId="2">[3]INPUT!#REF!</definedName>
    <definedName name="CHN9L">[3]INPUT!#REF!</definedName>
    <definedName name="CHN9R" localSheetId="1">[3]INPUT!#REF!</definedName>
    <definedName name="CHN9R" localSheetId="0">[3]INPUT!#REF!</definedName>
    <definedName name="CHN9R" localSheetId="2">[3]INPUT!#REF!</definedName>
    <definedName name="CHN9R">[3]INPUT!#REF!</definedName>
    <definedName name="CHO10L" localSheetId="1">[3]INPUT!#REF!</definedName>
    <definedName name="CHO10L" localSheetId="0">[3]INPUT!#REF!</definedName>
    <definedName name="CHO10L" localSheetId="2">[3]INPUT!#REF!</definedName>
    <definedName name="CHO10L">[3]INPUT!#REF!</definedName>
    <definedName name="CHO10R" localSheetId="1">[3]INPUT!#REF!</definedName>
    <definedName name="CHO10R" localSheetId="0">[3]INPUT!#REF!</definedName>
    <definedName name="CHO10R" localSheetId="2">[3]INPUT!#REF!</definedName>
    <definedName name="CHO10R">[3]INPUT!#REF!</definedName>
    <definedName name="CHO3L" localSheetId="1">[3]INPUT!#REF!</definedName>
    <definedName name="CHO3L" localSheetId="0">[3]INPUT!#REF!</definedName>
    <definedName name="CHO3L" localSheetId="2">[3]INPUT!#REF!</definedName>
    <definedName name="CHO3L">[3]INPUT!#REF!</definedName>
    <definedName name="CHO3R" localSheetId="1">[3]INPUT!#REF!</definedName>
    <definedName name="CHO3R" localSheetId="0">[3]INPUT!#REF!</definedName>
    <definedName name="CHO3R" localSheetId="2">[3]INPUT!#REF!</definedName>
    <definedName name="CHO3R">[3]INPUT!#REF!</definedName>
    <definedName name="CHO4L" localSheetId="1">[3]INPUT!#REF!</definedName>
    <definedName name="CHO4L" localSheetId="0">[3]INPUT!#REF!</definedName>
    <definedName name="CHO4L" localSheetId="2">[3]INPUT!#REF!</definedName>
    <definedName name="CHO4L">[3]INPUT!#REF!</definedName>
    <definedName name="CHO4R" localSheetId="1">[3]INPUT!#REF!</definedName>
    <definedName name="CHO4R" localSheetId="0">[3]INPUT!#REF!</definedName>
    <definedName name="CHO4R" localSheetId="2">[3]INPUT!#REF!</definedName>
    <definedName name="CHO4R">[3]INPUT!#REF!</definedName>
    <definedName name="CHO5L" localSheetId="1">[3]INPUT!#REF!</definedName>
    <definedName name="CHO5L" localSheetId="0">[3]INPUT!#REF!</definedName>
    <definedName name="CHO5L" localSheetId="2">[3]INPUT!#REF!</definedName>
    <definedName name="CHO5L">[3]INPUT!#REF!</definedName>
    <definedName name="CHO5R" localSheetId="1">[3]INPUT!#REF!</definedName>
    <definedName name="CHO5R" localSheetId="0">[3]INPUT!#REF!</definedName>
    <definedName name="CHO5R" localSheetId="2">[3]INPUT!#REF!</definedName>
    <definedName name="CHO5R">[3]INPUT!#REF!</definedName>
    <definedName name="CHO6L" localSheetId="1">[3]INPUT!#REF!</definedName>
    <definedName name="CHO6L" localSheetId="0">[3]INPUT!#REF!</definedName>
    <definedName name="CHO6L" localSheetId="2">[3]INPUT!#REF!</definedName>
    <definedName name="CHO6L">[3]INPUT!#REF!</definedName>
    <definedName name="CHO6R" localSheetId="1">[3]INPUT!#REF!</definedName>
    <definedName name="CHO6R" localSheetId="0">[3]INPUT!#REF!</definedName>
    <definedName name="CHO6R" localSheetId="2">[3]INPUT!#REF!</definedName>
    <definedName name="CHO6R">[3]INPUT!#REF!</definedName>
    <definedName name="CHO7L" localSheetId="1">[3]INPUT!#REF!</definedName>
    <definedName name="CHO7L" localSheetId="0">[3]INPUT!#REF!</definedName>
    <definedName name="CHO7L" localSheetId="2">[3]INPUT!#REF!</definedName>
    <definedName name="CHO7L">[3]INPUT!#REF!</definedName>
    <definedName name="CHO7R" localSheetId="1">[3]INPUT!#REF!</definedName>
    <definedName name="CHO7R" localSheetId="0">[3]INPUT!#REF!</definedName>
    <definedName name="CHO7R" localSheetId="2">[3]INPUT!#REF!</definedName>
    <definedName name="CHO7R">[3]INPUT!#REF!</definedName>
    <definedName name="CHO8L" localSheetId="1">[3]INPUT!#REF!</definedName>
    <definedName name="CHO8L" localSheetId="0">[3]INPUT!#REF!</definedName>
    <definedName name="CHO8L" localSheetId="2">[3]INPUT!#REF!</definedName>
    <definedName name="CHO8L">[3]INPUT!#REF!</definedName>
    <definedName name="CHO8R" localSheetId="1">[3]INPUT!#REF!</definedName>
    <definedName name="CHO8R" localSheetId="0">[3]INPUT!#REF!</definedName>
    <definedName name="CHO8R" localSheetId="2">[3]INPUT!#REF!</definedName>
    <definedName name="CHO8R">[3]INPUT!#REF!</definedName>
    <definedName name="CHO9L" localSheetId="1">[3]INPUT!#REF!</definedName>
    <definedName name="CHO9L" localSheetId="0">[3]INPUT!#REF!</definedName>
    <definedName name="CHO9L" localSheetId="2">[3]INPUT!#REF!</definedName>
    <definedName name="CHO9L">[3]INPUT!#REF!</definedName>
    <definedName name="CHO9R" localSheetId="1">[3]INPUT!#REF!</definedName>
    <definedName name="CHO9R" localSheetId="0">[3]INPUT!#REF!</definedName>
    <definedName name="CHO9R" localSheetId="2">[3]INPUT!#REF!</definedName>
    <definedName name="CHO9R">[3]INPUT!#REF!</definedName>
    <definedName name="CHP10L" localSheetId="1">[3]INPUT!#REF!</definedName>
    <definedName name="CHP10L" localSheetId="0">[3]INPUT!#REF!</definedName>
    <definedName name="CHP10L" localSheetId="2">[3]INPUT!#REF!</definedName>
    <definedName name="CHP10L">[3]INPUT!#REF!</definedName>
    <definedName name="CHP10R" localSheetId="1">[3]INPUT!#REF!</definedName>
    <definedName name="CHP10R" localSheetId="0">[3]INPUT!#REF!</definedName>
    <definedName name="CHP10R" localSheetId="2">[3]INPUT!#REF!</definedName>
    <definedName name="CHP10R">[3]INPUT!#REF!</definedName>
    <definedName name="CHP3L" localSheetId="1">[3]INPUT!#REF!</definedName>
    <definedName name="CHP3L" localSheetId="0">[3]INPUT!#REF!</definedName>
    <definedName name="CHP3L" localSheetId="2">[3]INPUT!#REF!</definedName>
    <definedName name="CHP3L">[3]INPUT!#REF!</definedName>
    <definedName name="CHP3R" localSheetId="1">[3]INPUT!#REF!</definedName>
    <definedName name="CHP3R" localSheetId="0">[3]INPUT!#REF!</definedName>
    <definedName name="CHP3R" localSheetId="2">[3]INPUT!#REF!</definedName>
    <definedName name="CHP3R">[3]INPUT!#REF!</definedName>
    <definedName name="CHP4L" localSheetId="1">[3]INPUT!#REF!</definedName>
    <definedName name="CHP4L" localSheetId="0">[3]INPUT!#REF!</definedName>
    <definedName name="CHP4L" localSheetId="2">[3]INPUT!#REF!</definedName>
    <definedName name="CHP4L">[3]INPUT!#REF!</definedName>
    <definedName name="CHP4R" localSheetId="1">[3]INPUT!#REF!</definedName>
    <definedName name="CHP4R" localSheetId="0">[3]INPUT!#REF!</definedName>
    <definedName name="CHP4R" localSheetId="2">[3]INPUT!#REF!</definedName>
    <definedName name="CHP4R">[3]INPUT!#REF!</definedName>
    <definedName name="CHP5L" localSheetId="1">[3]INPUT!#REF!</definedName>
    <definedName name="CHP5L" localSheetId="0">[3]INPUT!#REF!</definedName>
    <definedName name="CHP5L" localSheetId="2">[3]INPUT!#REF!</definedName>
    <definedName name="CHP5L">[3]INPUT!#REF!</definedName>
    <definedName name="CHP5R" localSheetId="1">[3]INPUT!#REF!</definedName>
    <definedName name="CHP5R" localSheetId="0">[3]INPUT!#REF!</definedName>
    <definedName name="CHP5R" localSheetId="2">[3]INPUT!#REF!</definedName>
    <definedName name="CHP5R">[3]INPUT!#REF!</definedName>
    <definedName name="CHP6L" localSheetId="1">[3]INPUT!#REF!</definedName>
    <definedName name="CHP6L" localSheetId="0">[3]INPUT!#REF!</definedName>
    <definedName name="CHP6L" localSheetId="2">[3]INPUT!#REF!</definedName>
    <definedName name="CHP6L">[3]INPUT!#REF!</definedName>
    <definedName name="CHP6R" localSheetId="1">[3]INPUT!#REF!</definedName>
    <definedName name="CHP6R" localSheetId="0">[3]INPUT!#REF!</definedName>
    <definedName name="CHP6R" localSheetId="2">[3]INPUT!#REF!</definedName>
    <definedName name="CHP6R">[3]INPUT!#REF!</definedName>
    <definedName name="CHP7L" localSheetId="1">[3]INPUT!#REF!</definedName>
    <definedName name="CHP7L" localSheetId="0">[3]INPUT!#REF!</definedName>
    <definedName name="CHP7L" localSheetId="2">[3]INPUT!#REF!</definedName>
    <definedName name="CHP7L">[3]INPUT!#REF!</definedName>
    <definedName name="CHP7R" localSheetId="1">[3]INPUT!#REF!</definedName>
    <definedName name="CHP7R" localSheetId="0">[3]INPUT!#REF!</definedName>
    <definedName name="CHP7R" localSheetId="2">[3]INPUT!#REF!</definedName>
    <definedName name="CHP7R">[3]INPUT!#REF!</definedName>
    <definedName name="CHP8L" localSheetId="1">[3]INPUT!#REF!</definedName>
    <definedName name="CHP8L" localSheetId="0">[3]INPUT!#REF!</definedName>
    <definedName name="CHP8L" localSheetId="2">[3]INPUT!#REF!</definedName>
    <definedName name="CHP8L">[3]INPUT!#REF!</definedName>
    <definedName name="CHP8R" localSheetId="1">[3]INPUT!#REF!</definedName>
    <definedName name="CHP8R" localSheetId="0">[3]INPUT!#REF!</definedName>
    <definedName name="CHP8R" localSheetId="2">[3]INPUT!#REF!</definedName>
    <definedName name="CHP8R">[3]INPUT!#REF!</definedName>
    <definedName name="CHP9L" localSheetId="1">[3]INPUT!#REF!</definedName>
    <definedName name="CHP9L" localSheetId="0">[3]INPUT!#REF!</definedName>
    <definedName name="CHP9L" localSheetId="2">[3]INPUT!#REF!</definedName>
    <definedName name="CHP9L">[3]INPUT!#REF!</definedName>
    <definedName name="CHP9R" localSheetId="1">[3]INPUT!#REF!</definedName>
    <definedName name="CHP9R" localSheetId="0">[3]INPUT!#REF!</definedName>
    <definedName name="CHP9R" localSheetId="2">[3]INPUT!#REF!</definedName>
    <definedName name="CHP9R">[3]INPUT!#REF!</definedName>
    <definedName name="CHQ10L" localSheetId="1">[3]INPUT!#REF!</definedName>
    <definedName name="CHQ10L" localSheetId="0">[3]INPUT!#REF!</definedName>
    <definedName name="CHQ10L" localSheetId="2">[3]INPUT!#REF!</definedName>
    <definedName name="CHQ10L">[3]INPUT!#REF!</definedName>
    <definedName name="CHQ10R" localSheetId="1">[3]INPUT!#REF!</definedName>
    <definedName name="CHQ10R" localSheetId="0">[3]INPUT!#REF!</definedName>
    <definedName name="CHQ10R" localSheetId="2">[3]INPUT!#REF!</definedName>
    <definedName name="CHQ10R">[3]INPUT!#REF!</definedName>
    <definedName name="CHQ3L" localSheetId="1">[3]INPUT!#REF!</definedName>
    <definedName name="CHQ3L" localSheetId="0">[3]INPUT!#REF!</definedName>
    <definedName name="CHQ3L" localSheetId="2">[3]INPUT!#REF!</definedName>
    <definedName name="CHQ3L">[3]INPUT!#REF!</definedName>
    <definedName name="CHQ3R" localSheetId="1">[3]INPUT!#REF!</definedName>
    <definedName name="CHQ3R" localSheetId="0">[3]INPUT!#REF!</definedName>
    <definedName name="CHQ3R" localSheetId="2">[3]INPUT!#REF!</definedName>
    <definedName name="CHQ3R">[3]INPUT!#REF!</definedName>
    <definedName name="CHQ4L" localSheetId="1">[3]INPUT!#REF!</definedName>
    <definedName name="CHQ4L" localSheetId="0">[3]INPUT!#REF!</definedName>
    <definedName name="CHQ4L" localSheetId="2">[3]INPUT!#REF!</definedName>
    <definedName name="CHQ4L">[3]INPUT!#REF!</definedName>
    <definedName name="CHQ4R" localSheetId="1">[3]INPUT!#REF!</definedName>
    <definedName name="CHQ4R" localSheetId="0">[3]INPUT!#REF!</definedName>
    <definedName name="CHQ4R" localSheetId="2">[3]INPUT!#REF!</definedName>
    <definedName name="CHQ4R">[3]INPUT!#REF!</definedName>
    <definedName name="CHQ5L" localSheetId="1">[3]INPUT!#REF!</definedName>
    <definedName name="CHQ5L" localSheetId="0">[3]INPUT!#REF!</definedName>
    <definedName name="CHQ5L" localSheetId="2">[3]INPUT!#REF!</definedName>
    <definedName name="CHQ5L">[3]INPUT!#REF!</definedName>
    <definedName name="CHQ5R" localSheetId="1">[3]INPUT!#REF!</definedName>
    <definedName name="CHQ5R" localSheetId="0">[3]INPUT!#REF!</definedName>
    <definedName name="CHQ5R" localSheetId="2">[3]INPUT!#REF!</definedName>
    <definedName name="CHQ5R">[3]INPUT!#REF!</definedName>
    <definedName name="CHQ6L" localSheetId="1">[3]INPUT!#REF!</definedName>
    <definedName name="CHQ6L" localSheetId="0">[3]INPUT!#REF!</definedName>
    <definedName name="CHQ6L" localSheetId="2">[3]INPUT!#REF!</definedName>
    <definedName name="CHQ6L">[3]INPUT!#REF!</definedName>
    <definedName name="CHQ6R" localSheetId="1">[3]INPUT!#REF!</definedName>
    <definedName name="CHQ6R" localSheetId="0">[3]INPUT!#REF!</definedName>
    <definedName name="CHQ6R" localSheetId="2">[3]INPUT!#REF!</definedName>
    <definedName name="CHQ6R">[3]INPUT!#REF!</definedName>
    <definedName name="CHQ7L" localSheetId="1">[3]INPUT!#REF!</definedName>
    <definedName name="CHQ7L" localSheetId="0">[3]INPUT!#REF!</definedName>
    <definedName name="CHQ7L" localSheetId="2">[3]INPUT!#REF!</definedName>
    <definedName name="CHQ7L">[3]INPUT!#REF!</definedName>
    <definedName name="CHQ7R" localSheetId="1">[3]INPUT!#REF!</definedName>
    <definedName name="CHQ7R" localSheetId="0">[3]INPUT!#REF!</definedName>
    <definedName name="CHQ7R" localSheetId="2">[3]INPUT!#REF!</definedName>
    <definedName name="CHQ7R">[3]INPUT!#REF!</definedName>
    <definedName name="CHQ8L" localSheetId="1">[3]INPUT!#REF!</definedName>
    <definedName name="CHQ8L" localSheetId="0">[3]INPUT!#REF!</definedName>
    <definedName name="CHQ8L" localSheetId="2">[3]INPUT!#REF!</definedName>
    <definedName name="CHQ8L">[3]INPUT!#REF!</definedName>
    <definedName name="CHQ8R" localSheetId="1">[3]INPUT!#REF!</definedName>
    <definedName name="CHQ8R" localSheetId="0">[3]INPUT!#REF!</definedName>
    <definedName name="CHQ8R" localSheetId="2">[3]INPUT!#REF!</definedName>
    <definedName name="CHQ8R">[3]INPUT!#REF!</definedName>
    <definedName name="CHQ9L" localSheetId="1">[3]INPUT!#REF!</definedName>
    <definedName name="CHQ9L" localSheetId="0">[3]INPUT!#REF!</definedName>
    <definedName name="CHQ9L" localSheetId="2">[3]INPUT!#REF!</definedName>
    <definedName name="CHQ9L">[3]INPUT!#REF!</definedName>
    <definedName name="CHQ9R" localSheetId="1">[3]INPUT!#REF!</definedName>
    <definedName name="CHQ9R" localSheetId="0">[3]INPUT!#REF!</definedName>
    <definedName name="CHQ9R" localSheetId="2">[3]INPUT!#REF!</definedName>
    <definedName name="CHQ9R">[3]INPUT!#REF!</definedName>
    <definedName name="CHR10L" localSheetId="1">[3]INPUT!#REF!</definedName>
    <definedName name="CHR10L" localSheetId="0">[3]INPUT!#REF!</definedName>
    <definedName name="CHR10L" localSheetId="2">[3]INPUT!#REF!</definedName>
    <definedName name="CHR10L">[3]INPUT!#REF!</definedName>
    <definedName name="CHR10R" localSheetId="1">[3]INPUT!#REF!</definedName>
    <definedName name="CHR10R" localSheetId="0">[3]INPUT!#REF!</definedName>
    <definedName name="CHR10R" localSheetId="2">[3]INPUT!#REF!</definedName>
    <definedName name="CHR10R">[3]INPUT!#REF!</definedName>
    <definedName name="CHR3L" localSheetId="1">[3]INPUT!#REF!</definedName>
    <definedName name="CHR3L" localSheetId="0">[3]INPUT!#REF!</definedName>
    <definedName name="CHR3L" localSheetId="2">[3]INPUT!#REF!</definedName>
    <definedName name="CHR3L">[3]INPUT!#REF!</definedName>
    <definedName name="CHR3R" localSheetId="1">[3]INPUT!#REF!</definedName>
    <definedName name="CHR3R" localSheetId="0">[3]INPUT!#REF!</definedName>
    <definedName name="CHR3R" localSheetId="2">[3]INPUT!#REF!</definedName>
    <definedName name="CHR3R">[3]INPUT!#REF!</definedName>
    <definedName name="CHR4L" localSheetId="1">[3]INPUT!#REF!</definedName>
    <definedName name="CHR4L" localSheetId="0">[3]INPUT!#REF!</definedName>
    <definedName name="CHR4L" localSheetId="2">[3]INPUT!#REF!</definedName>
    <definedName name="CHR4L">[3]INPUT!#REF!</definedName>
    <definedName name="CHR4R" localSheetId="1">[3]INPUT!#REF!</definedName>
    <definedName name="CHR4R" localSheetId="0">[3]INPUT!#REF!</definedName>
    <definedName name="CHR4R" localSheetId="2">[3]INPUT!#REF!</definedName>
    <definedName name="CHR4R">[3]INPUT!#REF!</definedName>
    <definedName name="CHR5L" localSheetId="1">[3]INPUT!#REF!</definedName>
    <definedName name="CHR5L" localSheetId="0">[3]INPUT!#REF!</definedName>
    <definedName name="CHR5L" localSheetId="2">[3]INPUT!#REF!</definedName>
    <definedName name="CHR5L">[3]INPUT!#REF!</definedName>
    <definedName name="CHR5R" localSheetId="1">[3]INPUT!#REF!</definedName>
    <definedName name="CHR5R" localSheetId="0">[3]INPUT!#REF!</definedName>
    <definedName name="CHR5R" localSheetId="2">[3]INPUT!#REF!</definedName>
    <definedName name="CHR5R">[3]INPUT!#REF!</definedName>
    <definedName name="CHR6L" localSheetId="1">[3]INPUT!#REF!</definedName>
    <definedName name="CHR6L" localSheetId="0">[3]INPUT!#REF!</definedName>
    <definedName name="CHR6L" localSheetId="2">[3]INPUT!#REF!</definedName>
    <definedName name="CHR6L">[3]INPUT!#REF!</definedName>
    <definedName name="CHR6R" localSheetId="1">[3]INPUT!#REF!</definedName>
    <definedName name="CHR6R" localSheetId="0">[3]INPUT!#REF!</definedName>
    <definedName name="CHR6R" localSheetId="2">[3]INPUT!#REF!</definedName>
    <definedName name="CHR6R">[3]INPUT!#REF!</definedName>
    <definedName name="CHR7L" localSheetId="1">[3]INPUT!#REF!</definedName>
    <definedName name="CHR7L" localSheetId="0">[3]INPUT!#REF!</definedName>
    <definedName name="CHR7L" localSheetId="2">[3]INPUT!#REF!</definedName>
    <definedName name="CHR7L">[3]INPUT!#REF!</definedName>
    <definedName name="CHR7R" localSheetId="1">[3]INPUT!#REF!</definedName>
    <definedName name="CHR7R" localSheetId="0">[3]INPUT!#REF!</definedName>
    <definedName name="CHR7R" localSheetId="2">[3]INPUT!#REF!</definedName>
    <definedName name="CHR7R">[3]INPUT!#REF!</definedName>
    <definedName name="CHR8L" localSheetId="1">[3]INPUT!#REF!</definedName>
    <definedName name="CHR8L" localSheetId="0">[3]INPUT!#REF!</definedName>
    <definedName name="CHR8L" localSheetId="2">[3]INPUT!#REF!</definedName>
    <definedName name="CHR8L">[3]INPUT!#REF!</definedName>
    <definedName name="CHR8R" localSheetId="1">[3]INPUT!#REF!</definedName>
    <definedName name="CHR8R" localSheetId="0">[3]INPUT!#REF!</definedName>
    <definedName name="CHR8R" localSheetId="2">[3]INPUT!#REF!</definedName>
    <definedName name="CHR8R">[3]INPUT!#REF!</definedName>
    <definedName name="CHR9L" localSheetId="1">[3]INPUT!#REF!</definedName>
    <definedName name="CHR9L" localSheetId="0">[3]INPUT!#REF!</definedName>
    <definedName name="CHR9L" localSheetId="2">[3]INPUT!#REF!</definedName>
    <definedName name="CHR9L">[3]INPUT!#REF!</definedName>
    <definedName name="CHR9R" localSheetId="1">[3]INPUT!#REF!</definedName>
    <definedName name="CHR9R" localSheetId="0">[3]INPUT!#REF!</definedName>
    <definedName name="CHR9R" localSheetId="2">[3]INPUT!#REF!</definedName>
    <definedName name="CHR9R">[3]INPUT!#REF!</definedName>
    <definedName name="CHSUM10L" localSheetId="1">[3]INPUT!#REF!</definedName>
    <definedName name="CHSUM10L" localSheetId="0">[3]INPUT!#REF!</definedName>
    <definedName name="CHSUM10L" localSheetId="2">[3]INPUT!#REF!</definedName>
    <definedName name="CHSUM10L">[3]INPUT!#REF!</definedName>
    <definedName name="CHSUM10R" localSheetId="1">[3]INPUT!#REF!</definedName>
    <definedName name="CHSUM10R" localSheetId="0">[3]INPUT!#REF!</definedName>
    <definedName name="CHSUM10R" localSheetId="2">[3]INPUT!#REF!</definedName>
    <definedName name="CHSUM10R">[3]INPUT!#REF!</definedName>
    <definedName name="CHSUM3L" localSheetId="1">[3]INPUT!#REF!</definedName>
    <definedName name="CHSUM3L" localSheetId="0">[3]INPUT!#REF!</definedName>
    <definedName name="CHSUM3L" localSheetId="2">[3]INPUT!#REF!</definedName>
    <definedName name="CHSUM3L">[3]INPUT!#REF!</definedName>
    <definedName name="CHSUM3R" localSheetId="1">[3]INPUT!#REF!</definedName>
    <definedName name="CHSUM3R" localSheetId="0">[3]INPUT!#REF!</definedName>
    <definedName name="CHSUM3R" localSheetId="2">[3]INPUT!#REF!</definedName>
    <definedName name="CHSUM3R">[3]INPUT!#REF!</definedName>
    <definedName name="CHSUM4L" localSheetId="1">[3]INPUT!#REF!</definedName>
    <definedName name="CHSUM4L" localSheetId="0">[3]INPUT!#REF!</definedName>
    <definedName name="CHSUM4L" localSheetId="2">[3]INPUT!#REF!</definedName>
    <definedName name="CHSUM4L">[3]INPUT!#REF!</definedName>
    <definedName name="CHSUM4R" localSheetId="1">[3]INPUT!#REF!</definedName>
    <definedName name="CHSUM4R" localSheetId="0">[3]INPUT!#REF!</definedName>
    <definedName name="CHSUM4R" localSheetId="2">[3]INPUT!#REF!</definedName>
    <definedName name="CHSUM4R">[3]INPUT!#REF!</definedName>
    <definedName name="CHSUM5L" localSheetId="1">[3]INPUT!#REF!</definedName>
    <definedName name="CHSUM5L" localSheetId="0">[3]INPUT!#REF!</definedName>
    <definedName name="CHSUM5L" localSheetId="2">[3]INPUT!#REF!</definedName>
    <definedName name="CHSUM5L">[3]INPUT!#REF!</definedName>
    <definedName name="CHSUM5R" localSheetId="1">[3]INPUT!#REF!</definedName>
    <definedName name="CHSUM5R" localSheetId="0">[3]INPUT!#REF!</definedName>
    <definedName name="CHSUM5R" localSheetId="2">[3]INPUT!#REF!</definedName>
    <definedName name="CHSUM5R">[3]INPUT!#REF!</definedName>
    <definedName name="CHSUM6L" localSheetId="1">[3]INPUT!#REF!</definedName>
    <definedName name="CHSUM6L" localSheetId="0">[3]INPUT!#REF!</definedName>
    <definedName name="CHSUM6L" localSheetId="2">[3]INPUT!#REF!</definedName>
    <definedName name="CHSUM6L">[3]INPUT!#REF!</definedName>
    <definedName name="CHSUM6R" localSheetId="1">[3]INPUT!#REF!</definedName>
    <definedName name="CHSUM6R" localSheetId="0">[3]INPUT!#REF!</definedName>
    <definedName name="CHSUM6R" localSheetId="2">[3]INPUT!#REF!</definedName>
    <definedName name="CHSUM6R">[3]INPUT!#REF!</definedName>
    <definedName name="CHSUM7L" localSheetId="1">[3]INPUT!#REF!</definedName>
    <definedName name="CHSUM7L" localSheetId="0">[3]INPUT!#REF!</definedName>
    <definedName name="CHSUM7L" localSheetId="2">[3]INPUT!#REF!</definedName>
    <definedName name="CHSUM7L">[3]INPUT!#REF!</definedName>
    <definedName name="CHSUM7R" localSheetId="1">[3]INPUT!#REF!</definedName>
    <definedName name="CHSUM7R" localSheetId="0">[3]INPUT!#REF!</definedName>
    <definedName name="CHSUM7R" localSheetId="2">[3]INPUT!#REF!</definedName>
    <definedName name="CHSUM7R">[3]INPUT!#REF!</definedName>
    <definedName name="CHSUM8L" localSheetId="1">[3]INPUT!#REF!</definedName>
    <definedName name="CHSUM8L" localSheetId="0">[3]INPUT!#REF!</definedName>
    <definedName name="CHSUM8L" localSheetId="2">[3]INPUT!#REF!</definedName>
    <definedName name="CHSUM8L">[3]INPUT!#REF!</definedName>
    <definedName name="CHSUM8R" localSheetId="1">[3]INPUT!#REF!</definedName>
    <definedName name="CHSUM8R" localSheetId="0">[3]INPUT!#REF!</definedName>
    <definedName name="CHSUM8R" localSheetId="2">[3]INPUT!#REF!</definedName>
    <definedName name="CHSUM8R">[3]INPUT!#REF!</definedName>
    <definedName name="CHSUM9L" localSheetId="1">[3]INPUT!#REF!</definedName>
    <definedName name="CHSUM9L" localSheetId="0">[3]INPUT!#REF!</definedName>
    <definedName name="CHSUM9L" localSheetId="2">[3]INPUT!#REF!</definedName>
    <definedName name="CHSUM9L">[3]INPUT!#REF!</definedName>
    <definedName name="CHSUM9R" localSheetId="1">[3]INPUT!#REF!</definedName>
    <definedName name="CHSUM9R" localSheetId="0">[3]INPUT!#REF!</definedName>
    <definedName name="CHSUM9R" localSheetId="2">[3]INPUT!#REF!</definedName>
    <definedName name="CHSUM9R">[3]INPUT!#REF!</definedName>
    <definedName name="CN10TL" localSheetId="1">[3]INPUT!#REF!</definedName>
    <definedName name="CN10TL" localSheetId="0">[3]INPUT!#REF!</definedName>
    <definedName name="CN10TL" localSheetId="2">[3]INPUT!#REF!</definedName>
    <definedName name="CN10TL">[3]INPUT!#REF!</definedName>
    <definedName name="CN10TR" localSheetId="1">[3]INPUT!#REF!</definedName>
    <definedName name="CN10TR" localSheetId="0">[3]INPUT!#REF!</definedName>
    <definedName name="CN10TR" localSheetId="2">[3]INPUT!#REF!</definedName>
    <definedName name="CN10TR">[3]INPUT!#REF!</definedName>
    <definedName name="CN3TL" localSheetId="1">[3]INPUT!#REF!</definedName>
    <definedName name="CN3TL" localSheetId="0">[3]INPUT!#REF!</definedName>
    <definedName name="CN3TL" localSheetId="2">[3]INPUT!#REF!</definedName>
    <definedName name="CN3TL">[3]INPUT!#REF!</definedName>
    <definedName name="CN3TR" localSheetId="1">[3]INPUT!#REF!</definedName>
    <definedName name="CN3TR" localSheetId="0">[3]INPUT!#REF!</definedName>
    <definedName name="CN3TR" localSheetId="2">[3]INPUT!#REF!</definedName>
    <definedName name="CN3TR">[3]INPUT!#REF!</definedName>
    <definedName name="CN4TL" localSheetId="1">[3]INPUT!#REF!</definedName>
    <definedName name="CN4TL" localSheetId="0">[3]INPUT!#REF!</definedName>
    <definedName name="CN4TL" localSheetId="2">[3]INPUT!#REF!</definedName>
    <definedName name="CN4TL">[3]INPUT!#REF!</definedName>
    <definedName name="CN4TR" localSheetId="1">[3]INPUT!#REF!</definedName>
    <definedName name="CN4TR" localSheetId="0">[3]INPUT!#REF!</definedName>
    <definedName name="CN4TR" localSheetId="2">[3]INPUT!#REF!</definedName>
    <definedName name="CN4TR">[3]INPUT!#REF!</definedName>
    <definedName name="CN5TL" localSheetId="1">[3]INPUT!#REF!</definedName>
    <definedName name="CN5TL" localSheetId="0">[3]INPUT!#REF!</definedName>
    <definedName name="CN5TL" localSheetId="2">[3]INPUT!#REF!</definedName>
    <definedName name="CN5TL">[3]INPUT!#REF!</definedName>
    <definedName name="CN5TR" localSheetId="1">[3]INPUT!#REF!</definedName>
    <definedName name="CN5TR" localSheetId="0">[3]INPUT!#REF!</definedName>
    <definedName name="CN5TR" localSheetId="2">[3]INPUT!#REF!</definedName>
    <definedName name="CN5TR">[3]INPUT!#REF!</definedName>
    <definedName name="CN6TL" localSheetId="1">[3]INPUT!#REF!</definedName>
    <definedName name="CN6TL" localSheetId="0">[3]INPUT!#REF!</definedName>
    <definedName name="CN6TL" localSheetId="2">[3]INPUT!#REF!</definedName>
    <definedName name="CN6TL">[3]INPUT!#REF!</definedName>
    <definedName name="CN6TR" localSheetId="1">[3]INPUT!#REF!</definedName>
    <definedName name="CN6TR" localSheetId="0">[3]INPUT!#REF!</definedName>
    <definedName name="CN6TR" localSheetId="2">[3]INPUT!#REF!</definedName>
    <definedName name="CN6TR">[3]INPUT!#REF!</definedName>
    <definedName name="CN7TL" localSheetId="1">[3]INPUT!#REF!</definedName>
    <definedName name="CN7TL" localSheetId="0">[3]INPUT!#REF!</definedName>
    <definedName name="CN7TL" localSheetId="2">[3]INPUT!#REF!</definedName>
    <definedName name="CN7TL">[3]INPUT!#REF!</definedName>
    <definedName name="CN7TR" localSheetId="1">[3]INPUT!#REF!</definedName>
    <definedName name="CN7TR" localSheetId="0">[3]INPUT!#REF!</definedName>
    <definedName name="CN7TR" localSheetId="2">[3]INPUT!#REF!</definedName>
    <definedName name="CN7TR">[3]INPUT!#REF!</definedName>
    <definedName name="CN8TL" localSheetId="1">[3]INPUT!#REF!</definedName>
    <definedName name="CN8TL" localSheetId="0">[3]INPUT!#REF!</definedName>
    <definedName name="CN8TL" localSheetId="2">[3]INPUT!#REF!</definedName>
    <definedName name="CN8TL">[3]INPUT!#REF!</definedName>
    <definedName name="CN8TR" localSheetId="1">[3]INPUT!#REF!</definedName>
    <definedName name="CN8TR" localSheetId="0">[3]INPUT!#REF!</definedName>
    <definedName name="CN8TR" localSheetId="2">[3]INPUT!#REF!</definedName>
    <definedName name="CN8TR">[3]INPUT!#REF!</definedName>
    <definedName name="CN9TL" localSheetId="1">[3]INPUT!#REF!</definedName>
    <definedName name="CN9TL" localSheetId="0">[3]INPUT!#REF!</definedName>
    <definedName name="CN9TL" localSheetId="2">[3]INPUT!#REF!</definedName>
    <definedName name="CN9TL">[3]INPUT!#REF!</definedName>
    <definedName name="CN9TR" localSheetId="1">[3]INPUT!#REF!</definedName>
    <definedName name="CN9TR" localSheetId="0">[3]INPUT!#REF!</definedName>
    <definedName name="CN9TR" localSheetId="2">[3]INPUT!#REF!</definedName>
    <definedName name="CN9TR">[3]INPUT!#REF!</definedName>
    <definedName name="Commission">#REF!</definedName>
    <definedName name="CON1H1" localSheetId="1">#REF!</definedName>
    <definedName name="CON1H1" localSheetId="0">#REF!</definedName>
    <definedName name="CON1H1" localSheetId="2">#REF!</definedName>
    <definedName name="CON1H1">#REF!</definedName>
    <definedName name="CON2H1" localSheetId="1">#REF!</definedName>
    <definedName name="CON2H1" localSheetId="0">#REF!</definedName>
    <definedName name="CON2H1" localSheetId="2">#REF!</definedName>
    <definedName name="CON2H1">#REF!</definedName>
    <definedName name="conc단위중량" localSheetId="1">#REF!</definedName>
    <definedName name="conc단위중량" localSheetId="0">#REF!</definedName>
    <definedName name="conc단위중량" localSheetId="2">#REF!</definedName>
    <definedName name="conc단위중량">#REF!</definedName>
    <definedName name="Cs">#REF!</definedName>
    <definedName name="CUT10L" localSheetId="1">[3]INPUT!#REF!</definedName>
    <definedName name="CUT10L" localSheetId="0">[3]INPUT!#REF!</definedName>
    <definedName name="CUT10L" localSheetId="2">[3]INPUT!#REF!</definedName>
    <definedName name="CUT10L">[3]INPUT!#REF!</definedName>
    <definedName name="CUT10R" localSheetId="1">[3]INPUT!#REF!</definedName>
    <definedName name="CUT10R" localSheetId="0">[3]INPUT!#REF!</definedName>
    <definedName name="CUT10R" localSheetId="2">[3]INPUT!#REF!</definedName>
    <definedName name="CUT10R">[3]INPUT!#REF!</definedName>
    <definedName name="CUT3L" localSheetId="1">[3]INPUT!#REF!</definedName>
    <definedName name="CUT3L" localSheetId="0">[3]INPUT!#REF!</definedName>
    <definedName name="CUT3L" localSheetId="2">[3]INPUT!#REF!</definedName>
    <definedName name="CUT3L">[3]INPUT!#REF!</definedName>
    <definedName name="CUT3R" localSheetId="1">[3]INPUT!#REF!</definedName>
    <definedName name="CUT3R" localSheetId="0">[3]INPUT!#REF!</definedName>
    <definedName name="CUT3R" localSheetId="2">[3]INPUT!#REF!</definedName>
    <definedName name="CUT3R">[3]INPUT!#REF!</definedName>
    <definedName name="CUT4L" localSheetId="1">[3]INPUT!#REF!</definedName>
    <definedName name="CUT4L" localSheetId="0">[3]INPUT!#REF!</definedName>
    <definedName name="CUT4L" localSheetId="2">[3]INPUT!#REF!</definedName>
    <definedName name="CUT4L">[3]INPUT!#REF!</definedName>
    <definedName name="CUT4R" localSheetId="1">[3]INPUT!#REF!</definedName>
    <definedName name="CUT4R" localSheetId="0">[3]INPUT!#REF!</definedName>
    <definedName name="CUT4R" localSheetId="2">[3]INPUT!#REF!</definedName>
    <definedName name="CUT4R">[3]INPUT!#REF!</definedName>
    <definedName name="CUT5L" localSheetId="1">[3]INPUT!#REF!</definedName>
    <definedName name="CUT5L" localSheetId="0">[3]INPUT!#REF!</definedName>
    <definedName name="CUT5L" localSheetId="2">[3]INPUT!#REF!</definedName>
    <definedName name="CUT5L">[3]INPUT!#REF!</definedName>
    <definedName name="CUT5R" localSheetId="1">[3]INPUT!#REF!</definedName>
    <definedName name="CUT5R" localSheetId="0">[3]INPUT!#REF!</definedName>
    <definedName name="CUT5R" localSheetId="2">[3]INPUT!#REF!</definedName>
    <definedName name="CUT5R">[3]INPUT!#REF!</definedName>
    <definedName name="CUT6L" localSheetId="1">[3]INPUT!#REF!</definedName>
    <definedName name="CUT6L" localSheetId="0">[3]INPUT!#REF!</definedName>
    <definedName name="CUT6L" localSheetId="2">[3]INPUT!#REF!</definedName>
    <definedName name="CUT6L">[3]INPUT!#REF!</definedName>
    <definedName name="CUT6R" localSheetId="1">[3]INPUT!#REF!</definedName>
    <definedName name="CUT6R" localSheetId="0">[3]INPUT!#REF!</definedName>
    <definedName name="CUT6R" localSheetId="2">[3]INPUT!#REF!</definedName>
    <definedName name="CUT6R">[3]INPUT!#REF!</definedName>
    <definedName name="CUT7L" localSheetId="1">[3]INPUT!#REF!</definedName>
    <definedName name="CUT7L" localSheetId="0">[3]INPUT!#REF!</definedName>
    <definedName name="CUT7L" localSheetId="2">[3]INPUT!#REF!</definedName>
    <definedName name="CUT7L">[3]INPUT!#REF!</definedName>
    <definedName name="CUT7R" localSheetId="1">[3]INPUT!#REF!</definedName>
    <definedName name="CUT7R" localSheetId="0">[3]INPUT!#REF!</definedName>
    <definedName name="CUT7R" localSheetId="2">[3]INPUT!#REF!</definedName>
    <definedName name="CUT7R">[3]INPUT!#REF!</definedName>
    <definedName name="CUT8L" localSheetId="1">[3]INPUT!#REF!</definedName>
    <definedName name="CUT8L" localSheetId="0">[3]INPUT!#REF!</definedName>
    <definedName name="CUT8L" localSheetId="2">[3]INPUT!#REF!</definedName>
    <definedName name="CUT8L">[3]INPUT!#REF!</definedName>
    <definedName name="CUT8R" localSheetId="1">[3]INPUT!#REF!</definedName>
    <definedName name="CUT8R" localSheetId="0">[3]INPUT!#REF!</definedName>
    <definedName name="CUT8R" localSheetId="2">[3]INPUT!#REF!</definedName>
    <definedName name="CUT8R">[3]INPUT!#REF!</definedName>
    <definedName name="CUT9L" localSheetId="1">[3]INPUT!#REF!</definedName>
    <definedName name="CUT9L" localSheetId="0">[3]INPUT!#REF!</definedName>
    <definedName name="CUT9L" localSheetId="2">[3]INPUT!#REF!</definedName>
    <definedName name="CUT9L">[3]INPUT!#REF!</definedName>
    <definedName name="CUT9R" localSheetId="1">[3]INPUT!#REF!</definedName>
    <definedName name="CUT9R" localSheetId="0">[3]INPUT!#REF!</definedName>
    <definedName name="CUT9R" localSheetId="2">[3]INPUT!#REF!</definedName>
    <definedName name="CUT9R">[3]INPUT!#REF!</definedName>
    <definedName name="CX10L" localSheetId="1">[3]INPUT!#REF!</definedName>
    <definedName name="CX10L" localSheetId="0">[3]INPUT!#REF!</definedName>
    <definedName name="CX10L" localSheetId="2">[3]INPUT!#REF!</definedName>
    <definedName name="CX10L">[3]INPUT!#REF!</definedName>
    <definedName name="CX10R" localSheetId="1">[3]INPUT!#REF!</definedName>
    <definedName name="CX10R" localSheetId="0">[3]INPUT!#REF!</definedName>
    <definedName name="CX10R" localSheetId="2">[3]INPUT!#REF!</definedName>
    <definedName name="CX10R">[3]INPUT!#REF!</definedName>
    <definedName name="CX3L" localSheetId="1">[3]INPUT!#REF!</definedName>
    <definedName name="CX3L" localSheetId="0">[3]INPUT!#REF!</definedName>
    <definedName name="CX3L" localSheetId="2">[3]INPUT!#REF!</definedName>
    <definedName name="CX3L">[3]INPUT!#REF!</definedName>
    <definedName name="CX3R" localSheetId="1">[3]INPUT!#REF!</definedName>
    <definedName name="CX3R" localSheetId="0">[3]INPUT!#REF!</definedName>
    <definedName name="CX3R" localSheetId="2">[3]INPUT!#REF!</definedName>
    <definedName name="CX3R">[3]INPUT!#REF!</definedName>
    <definedName name="CX4L" localSheetId="1">[3]INPUT!#REF!</definedName>
    <definedName name="CX4L" localSheetId="0">[3]INPUT!#REF!</definedName>
    <definedName name="CX4L" localSheetId="2">[3]INPUT!#REF!</definedName>
    <definedName name="CX4L">[3]INPUT!#REF!</definedName>
    <definedName name="CX4R" localSheetId="1">[3]INPUT!#REF!</definedName>
    <definedName name="CX4R" localSheetId="0">[3]INPUT!#REF!</definedName>
    <definedName name="CX4R" localSheetId="2">[3]INPUT!#REF!</definedName>
    <definedName name="CX4R">[3]INPUT!#REF!</definedName>
    <definedName name="CX5L" localSheetId="1">[3]INPUT!#REF!</definedName>
    <definedName name="CX5L" localSheetId="0">[3]INPUT!#REF!</definedName>
    <definedName name="CX5L" localSheetId="2">[3]INPUT!#REF!</definedName>
    <definedName name="CX5L">[3]INPUT!#REF!</definedName>
    <definedName name="CX5R" localSheetId="1">[3]INPUT!#REF!</definedName>
    <definedName name="CX5R" localSheetId="0">[3]INPUT!#REF!</definedName>
    <definedName name="CX5R" localSheetId="2">[3]INPUT!#REF!</definedName>
    <definedName name="CX5R">[3]INPUT!#REF!</definedName>
    <definedName name="CX6L" localSheetId="1">[3]INPUT!#REF!</definedName>
    <definedName name="CX6L" localSheetId="0">[3]INPUT!#REF!</definedName>
    <definedName name="CX6L" localSheetId="2">[3]INPUT!#REF!</definedName>
    <definedName name="CX6L">[3]INPUT!#REF!</definedName>
    <definedName name="CX6R" localSheetId="1">[3]INPUT!#REF!</definedName>
    <definedName name="CX6R" localSheetId="0">[3]INPUT!#REF!</definedName>
    <definedName name="CX6R" localSheetId="2">[3]INPUT!#REF!</definedName>
    <definedName name="CX6R">[3]INPUT!#REF!</definedName>
    <definedName name="CX7L" localSheetId="1">[3]INPUT!#REF!</definedName>
    <definedName name="CX7L" localSheetId="0">[3]INPUT!#REF!</definedName>
    <definedName name="CX7L" localSheetId="2">[3]INPUT!#REF!</definedName>
    <definedName name="CX7L">[3]INPUT!#REF!</definedName>
    <definedName name="CX7R" localSheetId="1">[3]INPUT!#REF!</definedName>
    <definedName name="CX7R" localSheetId="0">[3]INPUT!#REF!</definedName>
    <definedName name="CX7R" localSheetId="2">[3]INPUT!#REF!</definedName>
    <definedName name="CX7R">[3]INPUT!#REF!</definedName>
    <definedName name="CX8L" localSheetId="1">[3]INPUT!#REF!</definedName>
    <definedName name="CX8L" localSheetId="0">[3]INPUT!#REF!</definedName>
    <definedName name="CX8L" localSheetId="2">[3]INPUT!#REF!</definedName>
    <definedName name="CX8L">[3]INPUT!#REF!</definedName>
    <definedName name="CX8R" localSheetId="1">[3]INPUT!#REF!</definedName>
    <definedName name="CX8R" localSheetId="0">[3]INPUT!#REF!</definedName>
    <definedName name="CX8R" localSheetId="2">[3]INPUT!#REF!</definedName>
    <definedName name="CX8R">[3]INPUT!#REF!</definedName>
    <definedName name="CX9L" localSheetId="1">[3]INPUT!#REF!</definedName>
    <definedName name="CX9L" localSheetId="0">[3]INPUT!#REF!</definedName>
    <definedName name="CX9L" localSheetId="2">[3]INPUT!#REF!</definedName>
    <definedName name="CX9L">[3]INPUT!#REF!</definedName>
    <definedName name="CX9R" localSheetId="1">[3]INPUT!#REF!</definedName>
    <definedName name="CX9R" localSheetId="0">[3]INPUT!#REF!</definedName>
    <definedName name="CX9R" localSheetId="2">[3]INPUT!#REF!</definedName>
    <definedName name="CX9R">[3]INPUT!#REF!</definedName>
    <definedName name="CY10L" localSheetId="1">[3]INPUT!#REF!</definedName>
    <definedName name="CY10L" localSheetId="0">[3]INPUT!#REF!</definedName>
    <definedName name="CY10L" localSheetId="2">[3]INPUT!#REF!</definedName>
    <definedName name="CY10L">[3]INPUT!#REF!</definedName>
    <definedName name="CY10R" localSheetId="1">[3]INPUT!#REF!</definedName>
    <definedName name="CY10R" localSheetId="0">[3]INPUT!#REF!</definedName>
    <definedName name="CY10R" localSheetId="2">[3]INPUT!#REF!</definedName>
    <definedName name="CY10R">[3]INPUT!#REF!</definedName>
    <definedName name="CY3L" localSheetId="1">[3]INPUT!#REF!</definedName>
    <definedName name="CY3L" localSheetId="0">[3]INPUT!#REF!</definedName>
    <definedName name="CY3L" localSheetId="2">[3]INPUT!#REF!</definedName>
    <definedName name="CY3L">[3]INPUT!#REF!</definedName>
    <definedName name="CY3R" localSheetId="1">[3]INPUT!#REF!</definedName>
    <definedName name="CY3R" localSheetId="0">[3]INPUT!#REF!</definedName>
    <definedName name="CY3R" localSheetId="2">[3]INPUT!#REF!</definedName>
    <definedName name="CY3R">[3]INPUT!#REF!</definedName>
    <definedName name="CY4L" localSheetId="1">[3]INPUT!#REF!</definedName>
    <definedName name="CY4L" localSheetId="0">[3]INPUT!#REF!</definedName>
    <definedName name="CY4L" localSheetId="2">[3]INPUT!#REF!</definedName>
    <definedName name="CY4L">[3]INPUT!#REF!</definedName>
    <definedName name="CY4R" localSheetId="1">[3]INPUT!#REF!</definedName>
    <definedName name="CY4R" localSheetId="0">[3]INPUT!#REF!</definedName>
    <definedName name="CY4R" localSheetId="2">[3]INPUT!#REF!</definedName>
    <definedName name="CY4R">[3]INPUT!#REF!</definedName>
    <definedName name="CY5L" localSheetId="1">[3]INPUT!#REF!</definedName>
    <definedName name="CY5L" localSheetId="0">[3]INPUT!#REF!</definedName>
    <definedName name="CY5L" localSheetId="2">[3]INPUT!#REF!</definedName>
    <definedName name="CY5L">[3]INPUT!#REF!</definedName>
    <definedName name="CY5R" localSheetId="1">[3]INPUT!#REF!</definedName>
    <definedName name="CY5R" localSheetId="0">[3]INPUT!#REF!</definedName>
    <definedName name="CY5R" localSheetId="2">[3]INPUT!#REF!</definedName>
    <definedName name="CY5R">[3]INPUT!#REF!</definedName>
    <definedName name="CY6L" localSheetId="1">[3]INPUT!#REF!</definedName>
    <definedName name="CY6L" localSheetId="0">[3]INPUT!#REF!</definedName>
    <definedName name="CY6L" localSheetId="2">[3]INPUT!#REF!</definedName>
    <definedName name="CY6L">[3]INPUT!#REF!</definedName>
    <definedName name="CY6R" localSheetId="1">[3]INPUT!#REF!</definedName>
    <definedName name="CY6R" localSheetId="0">[3]INPUT!#REF!</definedName>
    <definedName name="CY6R" localSheetId="2">[3]INPUT!#REF!</definedName>
    <definedName name="CY6R">[3]INPUT!#REF!</definedName>
    <definedName name="CY7L" localSheetId="1">[3]INPUT!#REF!</definedName>
    <definedName name="CY7L" localSheetId="0">[3]INPUT!#REF!</definedName>
    <definedName name="CY7L" localSheetId="2">[3]INPUT!#REF!</definedName>
    <definedName name="CY7L">[3]INPUT!#REF!</definedName>
    <definedName name="CY7R" localSheetId="1">[3]INPUT!#REF!</definedName>
    <definedName name="CY7R" localSheetId="0">[3]INPUT!#REF!</definedName>
    <definedName name="CY7R" localSheetId="2">[3]INPUT!#REF!</definedName>
    <definedName name="CY7R">[3]INPUT!#REF!</definedName>
    <definedName name="CY8L" localSheetId="1">[3]INPUT!#REF!</definedName>
    <definedName name="CY8L" localSheetId="0">[3]INPUT!#REF!</definedName>
    <definedName name="CY8L" localSheetId="2">[3]INPUT!#REF!</definedName>
    <definedName name="CY8L">[3]INPUT!#REF!</definedName>
    <definedName name="CY8R" localSheetId="1">[3]INPUT!#REF!</definedName>
    <definedName name="CY8R" localSheetId="0">[3]INPUT!#REF!</definedName>
    <definedName name="CY8R" localSheetId="2">[3]INPUT!#REF!</definedName>
    <definedName name="CY8R">[3]INPUT!#REF!</definedName>
    <definedName name="CY9L" localSheetId="1">[3]INPUT!#REF!</definedName>
    <definedName name="CY9L" localSheetId="0">[3]INPUT!#REF!</definedName>
    <definedName name="CY9L" localSheetId="2">[3]INPUT!#REF!</definedName>
    <definedName name="CY9L">[3]INPUT!#REF!</definedName>
    <definedName name="CY9R" localSheetId="1">[3]INPUT!#REF!</definedName>
    <definedName name="CY9R" localSheetId="0">[3]INPUT!#REF!</definedName>
    <definedName name="CY9R" localSheetId="2">[3]INPUT!#REF!</definedName>
    <definedName name="CY9R">[3]INPUT!#REF!</definedName>
    <definedName name="CYA10L" localSheetId="1">[3]INPUT!#REF!</definedName>
    <definedName name="CYA10L" localSheetId="0">[3]INPUT!#REF!</definedName>
    <definedName name="CYA10L" localSheetId="2">[3]INPUT!#REF!</definedName>
    <definedName name="CYA10L">[3]INPUT!#REF!</definedName>
    <definedName name="CYA10R" localSheetId="1">[3]INPUT!#REF!</definedName>
    <definedName name="CYA10R" localSheetId="0">[3]INPUT!#REF!</definedName>
    <definedName name="CYA10R" localSheetId="2">[3]INPUT!#REF!</definedName>
    <definedName name="CYA10R">[3]INPUT!#REF!</definedName>
    <definedName name="CYA3L" localSheetId="1">[3]INPUT!#REF!</definedName>
    <definedName name="CYA3L" localSheetId="0">[3]INPUT!#REF!</definedName>
    <definedName name="CYA3L" localSheetId="2">[3]INPUT!#REF!</definedName>
    <definedName name="CYA3L">[3]INPUT!#REF!</definedName>
    <definedName name="CYA3R" localSheetId="1">[3]INPUT!#REF!</definedName>
    <definedName name="CYA3R" localSheetId="0">[3]INPUT!#REF!</definedName>
    <definedName name="CYA3R" localSheetId="2">[3]INPUT!#REF!</definedName>
    <definedName name="CYA3R">[3]INPUT!#REF!</definedName>
    <definedName name="CYA4L" localSheetId="1">[3]INPUT!#REF!</definedName>
    <definedName name="CYA4L" localSheetId="0">[3]INPUT!#REF!</definedName>
    <definedName name="CYA4L" localSheetId="2">[3]INPUT!#REF!</definedName>
    <definedName name="CYA4L">[3]INPUT!#REF!</definedName>
    <definedName name="CYA4R" localSheetId="1">[3]INPUT!#REF!</definedName>
    <definedName name="CYA4R" localSheetId="0">[3]INPUT!#REF!</definedName>
    <definedName name="CYA4R" localSheetId="2">[3]INPUT!#REF!</definedName>
    <definedName name="CYA4R">[3]INPUT!#REF!</definedName>
    <definedName name="CYA5L" localSheetId="1">[3]INPUT!#REF!</definedName>
    <definedName name="CYA5L" localSheetId="0">[3]INPUT!#REF!</definedName>
    <definedName name="CYA5L" localSheetId="2">[3]INPUT!#REF!</definedName>
    <definedName name="CYA5L">[3]INPUT!#REF!</definedName>
    <definedName name="CYA5R" localSheetId="1">[3]INPUT!#REF!</definedName>
    <definedName name="CYA5R" localSheetId="0">[3]INPUT!#REF!</definedName>
    <definedName name="CYA5R" localSheetId="2">[3]INPUT!#REF!</definedName>
    <definedName name="CYA5R">[3]INPUT!#REF!</definedName>
    <definedName name="CYA6L" localSheetId="1">[3]INPUT!#REF!</definedName>
    <definedName name="CYA6L" localSheetId="0">[3]INPUT!#REF!</definedName>
    <definedName name="CYA6L" localSheetId="2">[3]INPUT!#REF!</definedName>
    <definedName name="CYA6L">[3]INPUT!#REF!</definedName>
    <definedName name="CYA6R" localSheetId="1">[3]INPUT!#REF!</definedName>
    <definedName name="CYA6R" localSheetId="0">[3]INPUT!#REF!</definedName>
    <definedName name="CYA6R" localSheetId="2">[3]INPUT!#REF!</definedName>
    <definedName name="CYA6R">[3]INPUT!#REF!</definedName>
    <definedName name="CYA7L" localSheetId="1">[3]INPUT!#REF!</definedName>
    <definedName name="CYA7L" localSheetId="0">[3]INPUT!#REF!</definedName>
    <definedName name="CYA7L" localSheetId="2">[3]INPUT!#REF!</definedName>
    <definedName name="CYA7L">[3]INPUT!#REF!</definedName>
    <definedName name="CYA7R" localSheetId="1">[3]INPUT!#REF!</definedName>
    <definedName name="CYA7R" localSheetId="0">[3]INPUT!#REF!</definedName>
    <definedName name="CYA7R" localSheetId="2">[3]INPUT!#REF!</definedName>
    <definedName name="CYA7R">[3]INPUT!#REF!</definedName>
    <definedName name="CYA8L" localSheetId="1">[3]INPUT!#REF!</definedName>
    <definedName name="CYA8L" localSheetId="0">[3]INPUT!#REF!</definedName>
    <definedName name="CYA8L" localSheetId="2">[3]INPUT!#REF!</definedName>
    <definedName name="CYA8L">[3]INPUT!#REF!</definedName>
    <definedName name="CYA8R" localSheetId="1">[3]INPUT!#REF!</definedName>
    <definedName name="CYA8R" localSheetId="0">[3]INPUT!#REF!</definedName>
    <definedName name="CYA8R" localSheetId="2">[3]INPUT!#REF!</definedName>
    <definedName name="CYA8R">[3]INPUT!#REF!</definedName>
    <definedName name="CYA9L" localSheetId="1">[3]INPUT!#REF!</definedName>
    <definedName name="CYA9L" localSheetId="0">[3]INPUT!#REF!</definedName>
    <definedName name="CYA9L" localSheetId="2">[3]INPUT!#REF!</definedName>
    <definedName name="CYA9L">[3]INPUT!#REF!</definedName>
    <definedName name="CYA9R" localSheetId="1">[3]INPUT!#REF!</definedName>
    <definedName name="CYA9R" localSheetId="0">[3]INPUT!#REF!</definedName>
    <definedName name="CYA9R" localSheetId="2">[3]INPUT!#REF!</definedName>
    <definedName name="CYA9R">[3]INPUT!#REF!</definedName>
    <definedName name="CYB10L" localSheetId="1">[3]INPUT!#REF!</definedName>
    <definedName name="CYB10L" localSheetId="0">[3]INPUT!#REF!</definedName>
    <definedName name="CYB10L" localSheetId="2">[3]INPUT!#REF!</definedName>
    <definedName name="CYB10L">[3]INPUT!#REF!</definedName>
    <definedName name="CYB10R" localSheetId="1">[3]INPUT!#REF!</definedName>
    <definedName name="CYB10R" localSheetId="0">[3]INPUT!#REF!</definedName>
    <definedName name="CYB10R" localSheetId="2">[3]INPUT!#REF!</definedName>
    <definedName name="CYB10R">[3]INPUT!#REF!</definedName>
    <definedName name="CYB3L" localSheetId="1">[3]INPUT!#REF!</definedName>
    <definedName name="CYB3L" localSheetId="0">[3]INPUT!#REF!</definedName>
    <definedName name="CYB3L" localSheetId="2">[3]INPUT!#REF!</definedName>
    <definedName name="CYB3L">[3]INPUT!#REF!</definedName>
    <definedName name="CYB3R" localSheetId="1">[3]INPUT!#REF!</definedName>
    <definedName name="CYB3R" localSheetId="0">[3]INPUT!#REF!</definedName>
    <definedName name="CYB3R" localSheetId="2">[3]INPUT!#REF!</definedName>
    <definedName name="CYB3R">[3]INPUT!#REF!</definedName>
    <definedName name="CYB4L" localSheetId="1">[3]INPUT!#REF!</definedName>
    <definedName name="CYB4L" localSheetId="0">[3]INPUT!#REF!</definedName>
    <definedName name="CYB4L" localSheetId="2">[3]INPUT!#REF!</definedName>
    <definedName name="CYB4L">[3]INPUT!#REF!</definedName>
    <definedName name="CYB4R" localSheetId="1">[3]INPUT!#REF!</definedName>
    <definedName name="CYB4R" localSheetId="0">[3]INPUT!#REF!</definedName>
    <definedName name="CYB4R" localSheetId="2">[3]INPUT!#REF!</definedName>
    <definedName name="CYB4R">[3]INPUT!#REF!</definedName>
    <definedName name="CYB5L" localSheetId="1">[3]INPUT!#REF!</definedName>
    <definedName name="CYB5L" localSheetId="0">[3]INPUT!#REF!</definedName>
    <definedName name="CYB5L" localSheetId="2">[3]INPUT!#REF!</definedName>
    <definedName name="CYB5L">[3]INPUT!#REF!</definedName>
    <definedName name="CYB5R" localSheetId="1">[3]INPUT!#REF!</definedName>
    <definedName name="CYB5R" localSheetId="0">[3]INPUT!#REF!</definedName>
    <definedName name="CYB5R" localSheetId="2">[3]INPUT!#REF!</definedName>
    <definedName name="CYB5R">[3]INPUT!#REF!</definedName>
    <definedName name="CYB6L" localSheetId="1">[3]INPUT!#REF!</definedName>
    <definedName name="CYB6L" localSheetId="0">[3]INPUT!#REF!</definedName>
    <definedName name="CYB6L" localSheetId="2">[3]INPUT!#REF!</definedName>
    <definedName name="CYB6L">[3]INPUT!#REF!</definedName>
    <definedName name="CYB6R" localSheetId="1">[3]INPUT!#REF!</definedName>
    <definedName name="CYB6R" localSheetId="0">[3]INPUT!#REF!</definedName>
    <definedName name="CYB6R" localSheetId="2">[3]INPUT!#REF!</definedName>
    <definedName name="CYB6R">[3]INPUT!#REF!</definedName>
    <definedName name="CYB7L" localSheetId="1">[3]INPUT!#REF!</definedName>
    <definedName name="CYB7L" localSheetId="0">[3]INPUT!#REF!</definedName>
    <definedName name="CYB7L" localSheetId="2">[3]INPUT!#REF!</definedName>
    <definedName name="CYB7L">[3]INPUT!#REF!</definedName>
    <definedName name="CYB7R" localSheetId="1">[3]INPUT!#REF!</definedName>
    <definedName name="CYB7R" localSheetId="0">[3]INPUT!#REF!</definedName>
    <definedName name="CYB7R" localSheetId="2">[3]INPUT!#REF!</definedName>
    <definedName name="CYB7R">[3]INPUT!#REF!</definedName>
    <definedName name="CYB8L" localSheetId="1">[3]INPUT!#REF!</definedName>
    <definedName name="CYB8L" localSheetId="0">[3]INPUT!#REF!</definedName>
    <definedName name="CYB8L" localSheetId="2">[3]INPUT!#REF!</definedName>
    <definedName name="CYB8L">[3]INPUT!#REF!</definedName>
    <definedName name="CYB8R" localSheetId="1">[3]INPUT!#REF!</definedName>
    <definedName name="CYB8R" localSheetId="0">[3]INPUT!#REF!</definedName>
    <definedName name="CYB8R" localSheetId="2">[3]INPUT!#REF!</definedName>
    <definedName name="CYB8R">[3]INPUT!#REF!</definedName>
    <definedName name="CYB9L" localSheetId="1">[3]INPUT!#REF!</definedName>
    <definedName name="CYB9L" localSheetId="0">[3]INPUT!#REF!</definedName>
    <definedName name="CYB9L" localSheetId="2">[3]INPUT!#REF!</definedName>
    <definedName name="CYB9L">[3]INPUT!#REF!</definedName>
    <definedName name="CYB9R" localSheetId="1">[3]INPUT!#REF!</definedName>
    <definedName name="CYB9R" localSheetId="0">[3]INPUT!#REF!</definedName>
    <definedName name="CYB9R" localSheetId="2">[3]INPUT!#REF!</definedName>
    <definedName name="CYB9R">[3]INPUT!#REF!</definedName>
    <definedName name="CYC10L" localSheetId="1">[3]INPUT!#REF!</definedName>
    <definedName name="CYC10L" localSheetId="0">[3]INPUT!#REF!</definedName>
    <definedName name="CYC10L" localSheetId="2">[3]INPUT!#REF!</definedName>
    <definedName name="CYC10L">[3]INPUT!#REF!</definedName>
    <definedName name="CYC10R" localSheetId="1">[3]INPUT!#REF!</definedName>
    <definedName name="CYC10R" localSheetId="0">[3]INPUT!#REF!</definedName>
    <definedName name="CYC10R" localSheetId="2">[3]INPUT!#REF!</definedName>
    <definedName name="CYC10R">[3]INPUT!#REF!</definedName>
    <definedName name="CYC3L" localSheetId="1">[3]INPUT!#REF!</definedName>
    <definedName name="CYC3L" localSheetId="0">[3]INPUT!#REF!</definedName>
    <definedName name="CYC3L" localSheetId="2">[3]INPUT!#REF!</definedName>
    <definedName name="CYC3L">[3]INPUT!#REF!</definedName>
    <definedName name="CYC3R" localSheetId="1">[3]INPUT!#REF!</definedName>
    <definedName name="CYC3R" localSheetId="0">[3]INPUT!#REF!</definedName>
    <definedName name="CYC3R" localSheetId="2">[3]INPUT!#REF!</definedName>
    <definedName name="CYC3R">[3]INPUT!#REF!</definedName>
    <definedName name="CYC4L" localSheetId="1">[3]INPUT!#REF!</definedName>
    <definedName name="CYC4L" localSheetId="0">[3]INPUT!#REF!</definedName>
    <definedName name="CYC4L" localSheetId="2">[3]INPUT!#REF!</definedName>
    <definedName name="CYC4L">[3]INPUT!#REF!</definedName>
    <definedName name="CYC4R" localSheetId="1">[3]INPUT!#REF!</definedName>
    <definedName name="CYC4R" localSheetId="0">[3]INPUT!#REF!</definedName>
    <definedName name="CYC4R" localSheetId="2">[3]INPUT!#REF!</definedName>
    <definedName name="CYC4R">[3]INPUT!#REF!</definedName>
    <definedName name="CYC5L" localSheetId="1">[3]INPUT!#REF!</definedName>
    <definedName name="CYC5L" localSheetId="0">[3]INPUT!#REF!</definedName>
    <definedName name="CYC5L" localSheetId="2">[3]INPUT!#REF!</definedName>
    <definedName name="CYC5L">[3]INPUT!#REF!</definedName>
    <definedName name="CYC5R" localSheetId="1">[3]INPUT!#REF!</definedName>
    <definedName name="CYC5R" localSheetId="0">[3]INPUT!#REF!</definedName>
    <definedName name="CYC5R" localSheetId="2">[3]INPUT!#REF!</definedName>
    <definedName name="CYC5R">[3]INPUT!#REF!</definedName>
    <definedName name="CYC6L" localSheetId="1">[3]INPUT!#REF!</definedName>
    <definedName name="CYC6L" localSheetId="0">[3]INPUT!#REF!</definedName>
    <definedName name="CYC6L" localSheetId="2">[3]INPUT!#REF!</definedName>
    <definedName name="CYC6L">[3]INPUT!#REF!</definedName>
    <definedName name="CYC6R" localSheetId="1">[3]INPUT!#REF!</definedName>
    <definedName name="CYC6R" localSheetId="0">[3]INPUT!#REF!</definedName>
    <definedName name="CYC6R" localSheetId="2">[3]INPUT!#REF!</definedName>
    <definedName name="CYC6R">[3]INPUT!#REF!</definedName>
    <definedName name="CYC7L" localSheetId="1">[3]INPUT!#REF!</definedName>
    <definedName name="CYC7L" localSheetId="0">[3]INPUT!#REF!</definedName>
    <definedName name="CYC7L" localSheetId="2">[3]INPUT!#REF!</definedName>
    <definedName name="CYC7L">[3]INPUT!#REF!</definedName>
    <definedName name="CYC7R" localSheetId="1">[3]INPUT!#REF!</definedName>
    <definedName name="CYC7R" localSheetId="0">[3]INPUT!#REF!</definedName>
    <definedName name="CYC7R" localSheetId="2">[3]INPUT!#REF!</definedName>
    <definedName name="CYC7R">[3]INPUT!#REF!</definedName>
    <definedName name="CYC8L" localSheetId="1">[3]INPUT!#REF!</definedName>
    <definedName name="CYC8L" localSheetId="0">[3]INPUT!#REF!</definedName>
    <definedName name="CYC8L" localSheetId="2">[3]INPUT!#REF!</definedName>
    <definedName name="CYC8L">[3]INPUT!#REF!</definedName>
    <definedName name="CYC8R" localSheetId="1">[3]INPUT!#REF!</definedName>
    <definedName name="CYC8R" localSheetId="0">[3]INPUT!#REF!</definedName>
    <definedName name="CYC8R" localSheetId="2">[3]INPUT!#REF!</definedName>
    <definedName name="CYC8R">[3]INPUT!#REF!</definedName>
    <definedName name="CYC9L" localSheetId="1">[3]INPUT!#REF!</definedName>
    <definedName name="CYC9L" localSheetId="0">[3]INPUT!#REF!</definedName>
    <definedName name="CYC9L" localSheetId="2">[3]INPUT!#REF!</definedName>
    <definedName name="CYC9L">[3]INPUT!#REF!</definedName>
    <definedName name="CYC9R" localSheetId="1">[3]INPUT!#REF!</definedName>
    <definedName name="CYC9R" localSheetId="0">[3]INPUT!#REF!</definedName>
    <definedName name="CYC9R" localSheetId="2">[3]INPUT!#REF!</definedName>
    <definedName name="CYC9R">[3]INPUT!#REF!</definedName>
    <definedName name="CYY10L" localSheetId="1">[3]INPUT!#REF!</definedName>
    <definedName name="CYY10L" localSheetId="0">[3]INPUT!#REF!</definedName>
    <definedName name="CYY10L" localSheetId="2">[3]INPUT!#REF!</definedName>
    <definedName name="CYY10L">[3]INPUT!#REF!</definedName>
    <definedName name="CYY10R" localSheetId="1">[3]INPUT!#REF!</definedName>
    <definedName name="CYY10R" localSheetId="0">[3]INPUT!#REF!</definedName>
    <definedName name="CYY10R" localSheetId="2">[3]INPUT!#REF!</definedName>
    <definedName name="CYY10R">[3]INPUT!#REF!</definedName>
    <definedName name="CYY3L" localSheetId="1">[3]INPUT!#REF!</definedName>
    <definedName name="CYY3L" localSheetId="0">[3]INPUT!#REF!</definedName>
    <definedName name="CYY3L" localSheetId="2">[3]INPUT!#REF!</definedName>
    <definedName name="CYY3L">[3]INPUT!#REF!</definedName>
    <definedName name="CYY3R" localSheetId="1">[3]INPUT!#REF!</definedName>
    <definedName name="CYY3R" localSheetId="0">[3]INPUT!#REF!</definedName>
    <definedName name="CYY3R" localSheetId="2">[3]INPUT!#REF!</definedName>
    <definedName name="CYY3R">[3]INPUT!#REF!</definedName>
    <definedName name="CYY4L" localSheetId="1">[3]INPUT!#REF!</definedName>
    <definedName name="CYY4L" localSheetId="0">[3]INPUT!#REF!</definedName>
    <definedName name="CYY4L" localSheetId="2">[3]INPUT!#REF!</definedName>
    <definedName name="CYY4L">[3]INPUT!#REF!</definedName>
    <definedName name="CYY4R" localSheetId="1">[3]INPUT!#REF!</definedName>
    <definedName name="CYY4R" localSheetId="0">[3]INPUT!#REF!</definedName>
    <definedName name="CYY4R" localSheetId="2">[3]INPUT!#REF!</definedName>
    <definedName name="CYY4R">[3]INPUT!#REF!</definedName>
    <definedName name="CYY5L" localSheetId="1">[3]INPUT!#REF!</definedName>
    <definedName name="CYY5L" localSheetId="0">[3]INPUT!#REF!</definedName>
    <definedName name="CYY5L" localSheetId="2">[3]INPUT!#REF!</definedName>
    <definedName name="CYY5L">[3]INPUT!#REF!</definedName>
    <definedName name="CYY5R" localSheetId="1">[3]INPUT!#REF!</definedName>
    <definedName name="CYY5R" localSheetId="0">[3]INPUT!#REF!</definedName>
    <definedName name="CYY5R" localSheetId="2">[3]INPUT!#REF!</definedName>
    <definedName name="CYY5R">[3]INPUT!#REF!</definedName>
    <definedName name="CYY6L" localSheetId="1">[3]INPUT!#REF!</definedName>
    <definedName name="CYY6L" localSheetId="0">[3]INPUT!#REF!</definedName>
    <definedName name="CYY6L" localSheetId="2">[3]INPUT!#REF!</definedName>
    <definedName name="CYY6L">[3]INPUT!#REF!</definedName>
    <definedName name="CYY6R" localSheetId="1">[3]INPUT!#REF!</definedName>
    <definedName name="CYY6R" localSheetId="0">[3]INPUT!#REF!</definedName>
    <definedName name="CYY6R" localSheetId="2">[3]INPUT!#REF!</definedName>
    <definedName name="CYY6R">[3]INPUT!#REF!</definedName>
    <definedName name="CYY7L" localSheetId="1">[3]INPUT!#REF!</definedName>
    <definedName name="CYY7L" localSheetId="0">[3]INPUT!#REF!</definedName>
    <definedName name="CYY7L" localSheetId="2">[3]INPUT!#REF!</definedName>
    <definedName name="CYY7L">[3]INPUT!#REF!</definedName>
    <definedName name="CYY7R" localSheetId="1">[3]INPUT!#REF!</definedName>
    <definedName name="CYY7R" localSheetId="0">[3]INPUT!#REF!</definedName>
    <definedName name="CYY7R" localSheetId="2">[3]INPUT!#REF!</definedName>
    <definedName name="CYY7R">[3]INPUT!#REF!</definedName>
    <definedName name="CYY8L" localSheetId="1">[3]INPUT!#REF!</definedName>
    <definedName name="CYY8L" localSheetId="0">[3]INPUT!#REF!</definedName>
    <definedName name="CYY8L" localSheetId="2">[3]INPUT!#REF!</definedName>
    <definedName name="CYY8L">[3]INPUT!#REF!</definedName>
    <definedName name="CYY8R" localSheetId="1">[3]INPUT!#REF!</definedName>
    <definedName name="CYY8R" localSheetId="0">[3]INPUT!#REF!</definedName>
    <definedName name="CYY8R" localSheetId="2">[3]INPUT!#REF!</definedName>
    <definedName name="CYY8R">[3]INPUT!#REF!</definedName>
    <definedName name="CYY9L" localSheetId="1">[3]INPUT!#REF!</definedName>
    <definedName name="CYY9L" localSheetId="0">[3]INPUT!#REF!</definedName>
    <definedName name="CYY9L" localSheetId="2">[3]INPUT!#REF!</definedName>
    <definedName name="CYY9L">[3]INPUT!#REF!</definedName>
    <definedName name="CYY9R" localSheetId="1">[3]INPUT!#REF!</definedName>
    <definedName name="CYY9R" localSheetId="0">[3]INPUT!#REF!</definedName>
    <definedName name="CYY9R" localSheetId="2">[3]INPUT!#REF!</definedName>
    <definedName name="CYY9R">[3]INPUT!#REF!</definedName>
    <definedName name="D">#REF!</definedName>
    <definedName name="D10L" localSheetId="1">[3]INPUT!#REF!</definedName>
    <definedName name="D10L" localSheetId="0">[3]INPUT!#REF!</definedName>
    <definedName name="D10L" localSheetId="2">[3]INPUT!#REF!</definedName>
    <definedName name="D10L">[3]INPUT!#REF!</definedName>
    <definedName name="D10R" localSheetId="1">[3]INPUT!#REF!</definedName>
    <definedName name="D10R" localSheetId="0">[3]INPUT!#REF!</definedName>
    <definedName name="D10R" localSheetId="2">[3]INPUT!#REF!</definedName>
    <definedName name="D10R">[3]INPUT!#REF!</definedName>
    <definedName name="D3L" localSheetId="1">[3]INPUT!#REF!</definedName>
    <definedName name="D3L" localSheetId="0">[3]INPUT!#REF!</definedName>
    <definedName name="D3L" localSheetId="2">[3]INPUT!#REF!</definedName>
    <definedName name="D3L">[3]INPUT!#REF!</definedName>
    <definedName name="D3R" localSheetId="1">[3]INPUT!#REF!</definedName>
    <definedName name="D3R" localSheetId="0">[3]INPUT!#REF!</definedName>
    <definedName name="D3R" localSheetId="2">[3]INPUT!#REF!</definedName>
    <definedName name="D3R">[3]INPUT!#REF!</definedName>
    <definedName name="D4L" localSheetId="1">[3]INPUT!#REF!</definedName>
    <definedName name="D4L" localSheetId="0">[3]INPUT!#REF!</definedName>
    <definedName name="D4L" localSheetId="2">[3]INPUT!#REF!</definedName>
    <definedName name="D4L">[3]INPUT!#REF!</definedName>
    <definedName name="D4R" localSheetId="1">[3]INPUT!#REF!</definedName>
    <definedName name="D4R" localSheetId="0">[3]INPUT!#REF!</definedName>
    <definedName name="D4R" localSheetId="2">[3]INPUT!#REF!</definedName>
    <definedName name="D4R">[3]INPUT!#REF!</definedName>
    <definedName name="D5L" localSheetId="1">[3]INPUT!#REF!</definedName>
    <definedName name="D5L" localSheetId="0">[3]INPUT!#REF!</definedName>
    <definedName name="D5L" localSheetId="2">[3]INPUT!#REF!</definedName>
    <definedName name="D5L">[3]INPUT!#REF!</definedName>
    <definedName name="D5R" localSheetId="1">[3]INPUT!#REF!</definedName>
    <definedName name="D5R" localSheetId="0">[3]INPUT!#REF!</definedName>
    <definedName name="D5R" localSheetId="2">[3]INPUT!#REF!</definedName>
    <definedName name="D5R">[3]INPUT!#REF!</definedName>
    <definedName name="D6L" localSheetId="1">[3]INPUT!#REF!</definedName>
    <definedName name="D6L" localSheetId="0">[3]INPUT!#REF!</definedName>
    <definedName name="D6L" localSheetId="2">[3]INPUT!#REF!</definedName>
    <definedName name="D6L">[3]INPUT!#REF!</definedName>
    <definedName name="D6R" localSheetId="1">[3]INPUT!#REF!</definedName>
    <definedName name="D6R" localSheetId="0">[3]INPUT!#REF!</definedName>
    <definedName name="D6R" localSheetId="2">[3]INPUT!#REF!</definedName>
    <definedName name="D6R">[3]INPUT!#REF!</definedName>
    <definedName name="D7L" localSheetId="1">[3]INPUT!#REF!</definedName>
    <definedName name="D7L" localSheetId="0">[3]INPUT!#REF!</definedName>
    <definedName name="D7L" localSheetId="2">[3]INPUT!#REF!</definedName>
    <definedName name="D7L">[3]INPUT!#REF!</definedName>
    <definedName name="D7R" localSheetId="1">[3]INPUT!#REF!</definedName>
    <definedName name="D7R" localSheetId="0">[3]INPUT!#REF!</definedName>
    <definedName name="D7R" localSheetId="2">[3]INPUT!#REF!</definedName>
    <definedName name="D7R">[3]INPUT!#REF!</definedName>
    <definedName name="D8L" localSheetId="1">[3]INPUT!#REF!</definedName>
    <definedName name="D8L" localSheetId="0">[3]INPUT!#REF!</definedName>
    <definedName name="D8L" localSheetId="2">[3]INPUT!#REF!</definedName>
    <definedName name="D8L">[3]INPUT!#REF!</definedName>
    <definedName name="D8R" localSheetId="1">[3]INPUT!#REF!</definedName>
    <definedName name="D8R" localSheetId="0">[3]INPUT!#REF!</definedName>
    <definedName name="D8R" localSheetId="2">[3]INPUT!#REF!</definedName>
    <definedName name="D8R">[3]INPUT!#REF!</definedName>
    <definedName name="D9L" localSheetId="1">[3]INPUT!#REF!</definedName>
    <definedName name="D9L" localSheetId="0">[3]INPUT!#REF!</definedName>
    <definedName name="D9L" localSheetId="2">[3]INPUT!#REF!</definedName>
    <definedName name="D9L">[3]INPUT!#REF!</definedName>
    <definedName name="D9R" localSheetId="1">[3]INPUT!#REF!</definedName>
    <definedName name="D9R" localSheetId="0">[3]INPUT!#REF!</definedName>
    <definedName name="D9R" localSheetId="2">[3]INPUT!#REF!</definedName>
    <definedName name="D9R">[3]INPUT!#REF!</definedName>
    <definedName name="DA">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_xlnm.Database">#REF!</definedName>
    <definedName name="DaWk7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D">#REF!</definedName>
    <definedName name="DDD">#REF!</definedName>
    <definedName name="DE">#REF!</definedName>
    <definedName name="def">#REF!</definedName>
    <definedName name="DelDC">#REF!</definedName>
    <definedName name="DelDm">#REF!</definedName>
    <definedName name="Delivery">#REF!</definedName>
    <definedName name="DelType">#REF!</definedName>
    <definedName name="deptLookup">#REF!</definedName>
    <definedName name="DF">#REF!</definedName>
    <definedName name="DG" localSheetId="1">BlankMacro1</definedName>
    <definedName name="DG" localSheetId="0">BlankMacro1</definedName>
    <definedName name="DG" localSheetId="2">BlankMacro1</definedName>
    <definedName name="DG">BlankMacro1</definedName>
    <definedName name="Dh">#REF!</definedName>
    <definedName name="DIA" localSheetId="1">[5]교각1!#REF!</definedName>
    <definedName name="DIA" localSheetId="0">[5]교각1!#REF!</definedName>
    <definedName name="DIA" localSheetId="2">[5]교각1!#REF!</definedName>
    <definedName name="DIA">[5]교각1!#REF!</definedName>
    <definedName name="dia_mm">[6]말뚝지지력산정!$J$19</definedName>
    <definedName name="DIAP10.1L" localSheetId="1">[2]INPUT!#REF!</definedName>
    <definedName name="DIAP10.1L" localSheetId="0">[2]INPUT!#REF!</definedName>
    <definedName name="DIAP10.1L" localSheetId="2">[2]INPUT!#REF!</definedName>
    <definedName name="DIAP10.1L">[2]INPUT!#REF!</definedName>
    <definedName name="DIAP10.1R" localSheetId="1">[2]INPUT!#REF!</definedName>
    <definedName name="DIAP10.1R" localSheetId="0">[2]INPUT!#REF!</definedName>
    <definedName name="DIAP10.1R" localSheetId="2">[2]INPUT!#REF!</definedName>
    <definedName name="DIAP10.1R">[2]INPUT!#REF!</definedName>
    <definedName name="DIAP10L" localSheetId="1">[2]INPUT!#REF!</definedName>
    <definedName name="DIAP10L" localSheetId="0">[2]INPUT!#REF!</definedName>
    <definedName name="DIAP10L" localSheetId="2">[2]INPUT!#REF!</definedName>
    <definedName name="DIAP10L">[2]INPUT!#REF!</definedName>
    <definedName name="DIAP10R" localSheetId="1">[2]INPUT!#REF!</definedName>
    <definedName name="DIAP10R" localSheetId="0">[2]INPUT!#REF!</definedName>
    <definedName name="DIAP10R" localSheetId="2">[2]INPUT!#REF!</definedName>
    <definedName name="DIAP10R">[2]INPUT!#REF!</definedName>
    <definedName name="DIAP3.1L" localSheetId="1">[2]INPUT!#REF!</definedName>
    <definedName name="DIAP3.1L" localSheetId="0">[2]INPUT!#REF!</definedName>
    <definedName name="DIAP3.1L" localSheetId="2">[2]INPUT!#REF!</definedName>
    <definedName name="DIAP3.1L">[2]INPUT!#REF!</definedName>
    <definedName name="DIAP3.1R" localSheetId="1">[2]INPUT!#REF!</definedName>
    <definedName name="DIAP3.1R" localSheetId="0">[2]INPUT!#REF!</definedName>
    <definedName name="DIAP3.1R" localSheetId="2">[2]INPUT!#REF!</definedName>
    <definedName name="DIAP3.1R">[2]INPUT!#REF!</definedName>
    <definedName name="DIAP3L" localSheetId="1">[2]INPUT!#REF!</definedName>
    <definedName name="DIAP3L" localSheetId="0">[2]INPUT!#REF!</definedName>
    <definedName name="DIAP3L" localSheetId="2">[2]INPUT!#REF!</definedName>
    <definedName name="DIAP3L">[2]INPUT!#REF!</definedName>
    <definedName name="DIAP3R" localSheetId="1">[2]INPUT!#REF!</definedName>
    <definedName name="DIAP3R" localSheetId="0">[2]INPUT!#REF!</definedName>
    <definedName name="DIAP3R" localSheetId="2">[2]INPUT!#REF!</definedName>
    <definedName name="DIAP3R">[2]INPUT!#REF!</definedName>
    <definedName name="DIAP4.1L" localSheetId="1">[2]INPUT!#REF!</definedName>
    <definedName name="DIAP4.1L" localSheetId="0">[2]INPUT!#REF!</definedName>
    <definedName name="DIAP4.1L" localSheetId="2">[2]INPUT!#REF!</definedName>
    <definedName name="DIAP4.1L">[2]INPUT!#REF!</definedName>
    <definedName name="DIAP4.1R" localSheetId="1">[2]INPUT!#REF!</definedName>
    <definedName name="DIAP4.1R" localSheetId="0">[2]INPUT!#REF!</definedName>
    <definedName name="DIAP4.1R" localSheetId="2">[2]INPUT!#REF!</definedName>
    <definedName name="DIAP4.1R">[2]INPUT!#REF!</definedName>
    <definedName name="DIAP4L" localSheetId="1">[2]INPUT!#REF!</definedName>
    <definedName name="DIAP4L" localSheetId="0">[2]INPUT!#REF!</definedName>
    <definedName name="DIAP4L" localSheetId="2">[2]INPUT!#REF!</definedName>
    <definedName name="DIAP4L">[2]INPUT!#REF!</definedName>
    <definedName name="DIAP4R" localSheetId="1">[2]INPUT!#REF!</definedName>
    <definedName name="DIAP4R" localSheetId="0">[2]INPUT!#REF!</definedName>
    <definedName name="DIAP4R" localSheetId="2">[2]INPUT!#REF!</definedName>
    <definedName name="DIAP4R">[2]INPUT!#REF!</definedName>
    <definedName name="DIAP5.1L" localSheetId="1">[2]INPUT!#REF!</definedName>
    <definedName name="DIAP5.1L" localSheetId="0">[2]INPUT!#REF!</definedName>
    <definedName name="DIAP5.1L" localSheetId="2">[2]INPUT!#REF!</definedName>
    <definedName name="DIAP5.1L">[2]INPUT!#REF!</definedName>
    <definedName name="DIAP5.1R" localSheetId="1">[2]INPUT!#REF!</definedName>
    <definedName name="DIAP5.1R" localSheetId="0">[2]INPUT!#REF!</definedName>
    <definedName name="DIAP5.1R" localSheetId="2">[2]INPUT!#REF!</definedName>
    <definedName name="DIAP5.1R">[2]INPUT!#REF!</definedName>
    <definedName name="DIAP5L" localSheetId="1">[2]INPUT!#REF!</definedName>
    <definedName name="DIAP5L" localSheetId="0">[2]INPUT!#REF!</definedName>
    <definedName name="DIAP5L" localSheetId="2">[2]INPUT!#REF!</definedName>
    <definedName name="DIAP5L">[2]INPUT!#REF!</definedName>
    <definedName name="DIAP5R" localSheetId="1">[2]INPUT!#REF!</definedName>
    <definedName name="DIAP5R" localSheetId="0">[2]INPUT!#REF!</definedName>
    <definedName name="DIAP5R" localSheetId="2">[2]INPUT!#REF!</definedName>
    <definedName name="DIAP5R">[2]INPUT!#REF!</definedName>
    <definedName name="DIAP6.1L" localSheetId="1">[2]INPUT!#REF!</definedName>
    <definedName name="DIAP6.1L" localSheetId="0">[2]INPUT!#REF!</definedName>
    <definedName name="DIAP6.1L" localSheetId="2">[2]INPUT!#REF!</definedName>
    <definedName name="DIAP6.1L">[2]INPUT!#REF!</definedName>
    <definedName name="DIAP6.1R" localSheetId="1">[2]INPUT!#REF!</definedName>
    <definedName name="DIAP6.1R" localSheetId="0">[2]INPUT!#REF!</definedName>
    <definedName name="DIAP6.1R" localSheetId="2">[2]INPUT!#REF!</definedName>
    <definedName name="DIAP6.1R">[2]INPUT!#REF!</definedName>
    <definedName name="DIAP6L" localSheetId="1">[2]INPUT!#REF!</definedName>
    <definedName name="DIAP6L" localSheetId="0">[2]INPUT!#REF!</definedName>
    <definedName name="DIAP6L" localSheetId="2">[2]INPUT!#REF!</definedName>
    <definedName name="DIAP6L">[2]INPUT!#REF!</definedName>
    <definedName name="DIAP6R" localSheetId="1">[2]INPUT!#REF!</definedName>
    <definedName name="DIAP6R" localSheetId="0">[2]INPUT!#REF!</definedName>
    <definedName name="DIAP6R" localSheetId="2">[2]INPUT!#REF!</definedName>
    <definedName name="DIAP6R">[2]INPUT!#REF!</definedName>
    <definedName name="DIAP7.1L" localSheetId="1">[2]INPUT!#REF!</definedName>
    <definedName name="DIAP7.1L" localSheetId="0">[2]INPUT!#REF!</definedName>
    <definedName name="DIAP7.1L" localSheetId="2">[2]INPUT!#REF!</definedName>
    <definedName name="DIAP7.1L">[2]INPUT!#REF!</definedName>
    <definedName name="DIAP7.1R" localSheetId="1">[2]INPUT!#REF!</definedName>
    <definedName name="DIAP7.1R" localSheetId="0">[2]INPUT!#REF!</definedName>
    <definedName name="DIAP7.1R" localSheetId="2">[2]INPUT!#REF!</definedName>
    <definedName name="DIAP7.1R">[2]INPUT!#REF!</definedName>
    <definedName name="DIAP7L" localSheetId="1">[2]INPUT!#REF!</definedName>
    <definedName name="DIAP7L" localSheetId="0">[2]INPUT!#REF!</definedName>
    <definedName name="DIAP7L" localSheetId="2">[2]INPUT!#REF!</definedName>
    <definedName name="DIAP7L">[2]INPUT!#REF!</definedName>
    <definedName name="DIAP7R" localSheetId="1">[2]INPUT!#REF!</definedName>
    <definedName name="DIAP7R" localSheetId="0">[2]INPUT!#REF!</definedName>
    <definedName name="DIAP7R" localSheetId="2">[2]INPUT!#REF!</definedName>
    <definedName name="DIAP7R">[2]INPUT!#REF!</definedName>
    <definedName name="DIAP8.1L" localSheetId="1">[2]INPUT!#REF!</definedName>
    <definedName name="DIAP8.1L" localSheetId="0">[2]INPUT!#REF!</definedName>
    <definedName name="DIAP8.1L" localSheetId="2">[2]INPUT!#REF!</definedName>
    <definedName name="DIAP8.1L">[2]INPUT!#REF!</definedName>
    <definedName name="DIAP8.1R" localSheetId="1">[2]INPUT!#REF!</definedName>
    <definedName name="DIAP8.1R" localSheetId="0">[2]INPUT!#REF!</definedName>
    <definedName name="DIAP8.1R" localSheetId="2">[2]INPUT!#REF!</definedName>
    <definedName name="DIAP8.1R">[2]INPUT!#REF!</definedName>
    <definedName name="DIAP8L" localSheetId="1">[2]INPUT!#REF!</definedName>
    <definedName name="DIAP8L" localSheetId="0">[2]INPUT!#REF!</definedName>
    <definedName name="DIAP8L" localSheetId="2">[2]INPUT!#REF!</definedName>
    <definedName name="DIAP8L">[2]INPUT!#REF!</definedName>
    <definedName name="DIAP8R" localSheetId="1">[2]INPUT!#REF!</definedName>
    <definedName name="DIAP8R" localSheetId="0">[2]INPUT!#REF!</definedName>
    <definedName name="DIAP8R" localSheetId="2">[2]INPUT!#REF!</definedName>
    <definedName name="DIAP8R">[2]INPUT!#REF!</definedName>
    <definedName name="DIAP9.1L" localSheetId="1">[2]INPUT!#REF!</definedName>
    <definedName name="DIAP9.1L" localSheetId="0">[2]INPUT!#REF!</definedName>
    <definedName name="DIAP9.1L" localSheetId="2">[2]INPUT!#REF!</definedName>
    <definedName name="DIAP9.1L">[2]INPUT!#REF!</definedName>
    <definedName name="DIAP9.1R" localSheetId="1">[2]INPUT!#REF!</definedName>
    <definedName name="DIAP9.1R" localSheetId="0">[2]INPUT!#REF!</definedName>
    <definedName name="DIAP9.1R" localSheetId="2">[2]INPUT!#REF!</definedName>
    <definedName name="DIAP9.1R">[2]INPUT!#REF!</definedName>
    <definedName name="DIAP9L" localSheetId="1">[2]INPUT!#REF!</definedName>
    <definedName name="DIAP9L" localSheetId="0">[2]INPUT!#REF!</definedName>
    <definedName name="DIAP9L" localSheetId="2">[2]INPUT!#REF!</definedName>
    <definedName name="DIAP9L">[2]INPUT!#REF!</definedName>
    <definedName name="DIAP9R" localSheetId="1">[2]INPUT!#REF!</definedName>
    <definedName name="DIAP9R" localSheetId="0">[2]INPUT!#REF!</definedName>
    <definedName name="DIAP9R" localSheetId="2">[2]INPUT!#REF!</definedName>
    <definedName name="DIAP9R">[2]INPUT!#REF!</definedName>
    <definedName name="DLA">#REF!</definedName>
    <definedName name="DPI">#REF!</definedName>
    <definedName name="dumppr">#REF!</definedName>
    <definedName name="Dv">#REF!</definedName>
    <definedName name="DX10L" localSheetId="1">[3]INPUT!#REF!</definedName>
    <definedName name="DX10L" localSheetId="0">[3]INPUT!#REF!</definedName>
    <definedName name="DX10L" localSheetId="2">[3]INPUT!#REF!</definedName>
    <definedName name="DX10L">[3]INPUT!#REF!</definedName>
    <definedName name="DX10R" localSheetId="1">[3]INPUT!#REF!</definedName>
    <definedName name="DX10R" localSheetId="0">[3]INPUT!#REF!</definedName>
    <definedName name="DX10R" localSheetId="2">[3]INPUT!#REF!</definedName>
    <definedName name="DX10R">[3]INPUT!#REF!</definedName>
    <definedName name="DX3L" localSheetId="1">[3]INPUT!#REF!</definedName>
    <definedName name="DX3L" localSheetId="0">[3]INPUT!#REF!</definedName>
    <definedName name="DX3L" localSheetId="2">[3]INPUT!#REF!</definedName>
    <definedName name="DX3L">[3]INPUT!#REF!</definedName>
    <definedName name="DX3R" localSheetId="1">[3]INPUT!#REF!</definedName>
    <definedName name="DX3R" localSheetId="0">[3]INPUT!#REF!</definedName>
    <definedName name="DX3R" localSheetId="2">[3]INPUT!#REF!</definedName>
    <definedName name="DX3R">[3]INPUT!#REF!</definedName>
    <definedName name="DX4L" localSheetId="1">[3]INPUT!#REF!</definedName>
    <definedName name="DX4L" localSheetId="0">[3]INPUT!#REF!</definedName>
    <definedName name="DX4L" localSheetId="2">[3]INPUT!#REF!</definedName>
    <definedName name="DX4L">[3]INPUT!#REF!</definedName>
    <definedName name="DX4R" localSheetId="1">[3]INPUT!#REF!</definedName>
    <definedName name="DX4R" localSheetId="0">[3]INPUT!#REF!</definedName>
    <definedName name="DX4R" localSheetId="2">[3]INPUT!#REF!</definedName>
    <definedName name="DX4R">[3]INPUT!#REF!</definedName>
    <definedName name="DX5L" localSheetId="1">[3]INPUT!#REF!</definedName>
    <definedName name="DX5L" localSheetId="0">[3]INPUT!#REF!</definedName>
    <definedName name="DX5L" localSheetId="2">[3]INPUT!#REF!</definedName>
    <definedName name="DX5L">[3]INPUT!#REF!</definedName>
    <definedName name="DX5R" localSheetId="1">[3]INPUT!#REF!</definedName>
    <definedName name="DX5R" localSheetId="0">[3]INPUT!#REF!</definedName>
    <definedName name="DX5R" localSheetId="2">[3]INPUT!#REF!</definedName>
    <definedName name="DX5R">[3]INPUT!#REF!</definedName>
    <definedName name="DX6L" localSheetId="1">[3]INPUT!#REF!</definedName>
    <definedName name="DX6L" localSheetId="0">[3]INPUT!#REF!</definedName>
    <definedName name="DX6L" localSheetId="2">[3]INPUT!#REF!</definedName>
    <definedName name="DX6L">[3]INPUT!#REF!</definedName>
    <definedName name="DX6R" localSheetId="1">[3]INPUT!#REF!</definedName>
    <definedName name="DX6R" localSheetId="0">[3]INPUT!#REF!</definedName>
    <definedName name="DX6R" localSheetId="2">[3]INPUT!#REF!</definedName>
    <definedName name="DX6R">[3]INPUT!#REF!</definedName>
    <definedName name="DX7L" localSheetId="1">[3]INPUT!#REF!</definedName>
    <definedName name="DX7L" localSheetId="0">[3]INPUT!#REF!</definedName>
    <definedName name="DX7L" localSheetId="2">[3]INPUT!#REF!</definedName>
    <definedName name="DX7L">[3]INPUT!#REF!</definedName>
    <definedName name="DX7R" localSheetId="1">[3]INPUT!#REF!</definedName>
    <definedName name="DX7R" localSheetId="0">[3]INPUT!#REF!</definedName>
    <definedName name="DX7R" localSheetId="2">[3]INPUT!#REF!</definedName>
    <definedName name="DX7R">[3]INPUT!#REF!</definedName>
    <definedName name="DX8L" localSheetId="1">[3]INPUT!#REF!</definedName>
    <definedName name="DX8L" localSheetId="0">[3]INPUT!#REF!</definedName>
    <definedName name="DX8L" localSheetId="2">[3]INPUT!#REF!</definedName>
    <definedName name="DX8L">[3]INPUT!#REF!</definedName>
    <definedName name="DX8R" localSheetId="1">[3]INPUT!#REF!</definedName>
    <definedName name="DX8R" localSheetId="0">[3]INPUT!#REF!</definedName>
    <definedName name="DX8R" localSheetId="2">[3]INPUT!#REF!</definedName>
    <definedName name="DX8R">[3]INPUT!#REF!</definedName>
    <definedName name="DX9L" localSheetId="1">[3]INPUT!#REF!</definedName>
    <definedName name="DX9L" localSheetId="0">[3]INPUT!#REF!</definedName>
    <definedName name="DX9L" localSheetId="2">[3]INPUT!#REF!</definedName>
    <definedName name="DX9L">[3]INPUT!#REF!</definedName>
    <definedName name="DX9R" localSheetId="1">[3]INPUT!#REF!</definedName>
    <definedName name="DX9R" localSheetId="0">[3]INPUT!#REF!</definedName>
    <definedName name="DX9R" localSheetId="2">[3]INPUT!#REF!</definedName>
    <definedName name="DX9R">[3]INPUT!#REF!</definedName>
    <definedName name="DY10L" localSheetId="1">[3]INPUT!#REF!</definedName>
    <definedName name="DY10L" localSheetId="0">[3]INPUT!#REF!</definedName>
    <definedName name="DY10L" localSheetId="2">[3]INPUT!#REF!</definedName>
    <definedName name="DY10L">[3]INPUT!#REF!</definedName>
    <definedName name="DY10R" localSheetId="1">[3]INPUT!#REF!</definedName>
    <definedName name="DY10R" localSheetId="0">[3]INPUT!#REF!</definedName>
    <definedName name="DY10R" localSheetId="2">[3]INPUT!#REF!</definedName>
    <definedName name="DY10R">[3]INPUT!#REF!</definedName>
    <definedName name="DY3L" localSheetId="1">[3]INPUT!#REF!</definedName>
    <definedName name="DY3L" localSheetId="0">[3]INPUT!#REF!</definedName>
    <definedName name="DY3L" localSheetId="2">[3]INPUT!#REF!</definedName>
    <definedName name="DY3L">[3]INPUT!#REF!</definedName>
    <definedName name="DY3R" localSheetId="1">[3]INPUT!#REF!</definedName>
    <definedName name="DY3R" localSheetId="0">[3]INPUT!#REF!</definedName>
    <definedName name="DY3R" localSheetId="2">[3]INPUT!#REF!</definedName>
    <definedName name="DY3R">[3]INPUT!#REF!</definedName>
    <definedName name="DY4L" localSheetId="1">[3]INPUT!#REF!</definedName>
    <definedName name="DY4L" localSheetId="0">[3]INPUT!#REF!</definedName>
    <definedName name="DY4L" localSheetId="2">[3]INPUT!#REF!</definedName>
    <definedName name="DY4L">[3]INPUT!#REF!</definedName>
    <definedName name="DY4R" localSheetId="1">[3]INPUT!#REF!</definedName>
    <definedName name="DY4R" localSheetId="0">[3]INPUT!#REF!</definedName>
    <definedName name="DY4R" localSheetId="2">[3]INPUT!#REF!</definedName>
    <definedName name="DY4R">[3]INPUT!#REF!</definedName>
    <definedName name="DY5L" localSheetId="1">[3]INPUT!#REF!</definedName>
    <definedName name="DY5L" localSheetId="0">[3]INPUT!#REF!</definedName>
    <definedName name="DY5L" localSheetId="2">[3]INPUT!#REF!</definedName>
    <definedName name="DY5L">[3]INPUT!#REF!</definedName>
    <definedName name="DY5R" localSheetId="1">[3]INPUT!#REF!</definedName>
    <definedName name="DY5R" localSheetId="0">[3]INPUT!#REF!</definedName>
    <definedName name="DY5R" localSheetId="2">[3]INPUT!#REF!</definedName>
    <definedName name="DY5R">[3]INPUT!#REF!</definedName>
    <definedName name="DY6L" localSheetId="1">[3]INPUT!#REF!</definedName>
    <definedName name="DY6L" localSheetId="0">[3]INPUT!#REF!</definedName>
    <definedName name="DY6L" localSheetId="2">[3]INPUT!#REF!</definedName>
    <definedName name="DY6L">[3]INPUT!#REF!</definedName>
    <definedName name="DY6R" localSheetId="1">[3]INPUT!#REF!</definedName>
    <definedName name="DY6R" localSheetId="0">[3]INPUT!#REF!</definedName>
    <definedName name="DY6R" localSheetId="2">[3]INPUT!#REF!</definedName>
    <definedName name="DY6R">[3]INPUT!#REF!</definedName>
    <definedName name="DY7L" localSheetId="1">[3]INPUT!#REF!</definedName>
    <definedName name="DY7L" localSheetId="0">[3]INPUT!#REF!</definedName>
    <definedName name="DY7L" localSheetId="2">[3]INPUT!#REF!</definedName>
    <definedName name="DY7L">[3]INPUT!#REF!</definedName>
    <definedName name="DY7R" localSheetId="1">[3]INPUT!#REF!</definedName>
    <definedName name="DY7R" localSheetId="0">[3]INPUT!#REF!</definedName>
    <definedName name="DY7R" localSheetId="2">[3]INPUT!#REF!</definedName>
    <definedName name="DY7R">[3]INPUT!#REF!</definedName>
    <definedName name="DY8L" localSheetId="1">[3]INPUT!#REF!</definedName>
    <definedName name="DY8L" localSheetId="0">[3]INPUT!#REF!</definedName>
    <definedName name="DY8L" localSheetId="2">[3]INPUT!#REF!</definedName>
    <definedName name="DY8L">[3]INPUT!#REF!</definedName>
    <definedName name="DY8R" localSheetId="1">[3]INPUT!#REF!</definedName>
    <definedName name="DY8R" localSheetId="0">[3]INPUT!#REF!</definedName>
    <definedName name="DY8R" localSheetId="2">[3]INPUT!#REF!</definedName>
    <definedName name="DY8R">[3]INPUT!#REF!</definedName>
    <definedName name="DY9L" localSheetId="1">[3]INPUT!#REF!</definedName>
    <definedName name="DY9L" localSheetId="0">[3]INPUT!#REF!</definedName>
    <definedName name="DY9L" localSheetId="2">[3]INPUT!#REF!</definedName>
    <definedName name="DY9L">[3]INPUT!#REF!</definedName>
    <definedName name="DY9R" localSheetId="1">[3]INPUT!#REF!</definedName>
    <definedName name="DY9R" localSheetId="0">[3]INPUT!#REF!</definedName>
    <definedName name="DY9R" localSheetId="2">[3]INPUT!#REF!</definedName>
    <definedName name="DY9R">[3]INPUT!#REF!</definedName>
    <definedName name="E" localSheetId="1">#REF!</definedName>
    <definedName name="E" localSheetId="0">#REF!</definedName>
    <definedName name="E" localSheetId="2">#REF!</definedName>
    <definedName name="E">#REF!</definedName>
    <definedName name="EA" localSheetId="1">#REF!</definedName>
    <definedName name="EA" localSheetId="0">#REF!</definedName>
    <definedName name="EA" localSheetId="2">#REF!</definedName>
    <definedName name="EA">#REF!</definedName>
    <definedName name="Ec" localSheetId="1">#REF!</definedName>
    <definedName name="Ec" localSheetId="0">#REF!</definedName>
    <definedName name="Ec" localSheetId="2">#REF!</definedName>
    <definedName name="Ec">#REF!</definedName>
    <definedName name="Em">#REF!</definedName>
    <definedName name="Es">#REF!</definedName>
    <definedName name="F">#REF!</definedName>
    <definedName name="F10LX" localSheetId="1">[2]INPUT!#REF!</definedName>
    <definedName name="F10LX" localSheetId="0">[2]INPUT!#REF!</definedName>
    <definedName name="F10LX" localSheetId="2">[2]INPUT!#REF!</definedName>
    <definedName name="F10LX">[2]INPUT!#REF!</definedName>
    <definedName name="F10LY" localSheetId="1">[2]INPUT!#REF!</definedName>
    <definedName name="F10LY" localSheetId="0">[2]INPUT!#REF!</definedName>
    <definedName name="F10LY" localSheetId="2">[2]INPUT!#REF!</definedName>
    <definedName name="F10LY">[2]INPUT!#REF!</definedName>
    <definedName name="F10RX" localSheetId="1">[2]INPUT!#REF!</definedName>
    <definedName name="F10RX" localSheetId="0">[2]INPUT!#REF!</definedName>
    <definedName name="F10RX" localSheetId="2">[2]INPUT!#REF!</definedName>
    <definedName name="F10RX">[2]INPUT!#REF!</definedName>
    <definedName name="F10RY" localSheetId="1">[2]INPUT!#REF!</definedName>
    <definedName name="F10RY" localSheetId="0">[2]INPUT!#REF!</definedName>
    <definedName name="F10RY" localSheetId="2">[2]INPUT!#REF!</definedName>
    <definedName name="F10RY">[2]INPUT!#REF!</definedName>
    <definedName name="F1F" localSheetId="1">[5]교각1!#REF!</definedName>
    <definedName name="F1F" localSheetId="0">[5]교각1!#REF!</definedName>
    <definedName name="F1F" localSheetId="2">[5]교각1!#REF!</definedName>
    <definedName name="F1F">[5]교각1!#REF!</definedName>
    <definedName name="F2F" localSheetId="1">[5]교각1!#REF!</definedName>
    <definedName name="F2F" localSheetId="0">[5]교각1!#REF!</definedName>
    <definedName name="F2F" localSheetId="2">[5]교각1!#REF!</definedName>
    <definedName name="F2F">[5]교각1!#REF!</definedName>
    <definedName name="F3F" localSheetId="1">[5]교각1!#REF!</definedName>
    <definedName name="F3F" localSheetId="0">[5]교각1!#REF!</definedName>
    <definedName name="F3F" localSheetId="2">[5]교각1!#REF!</definedName>
    <definedName name="F3F">[5]교각1!#REF!</definedName>
    <definedName name="F3LX" localSheetId="1">[2]INPUT!#REF!</definedName>
    <definedName name="F3LX" localSheetId="0">[2]INPUT!#REF!</definedName>
    <definedName name="F3LX" localSheetId="2">[2]INPUT!#REF!</definedName>
    <definedName name="F3LX">[2]INPUT!#REF!</definedName>
    <definedName name="F3LY" localSheetId="1">[2]INPUT!#REF!</definedName>
    <definedName name="F3LY" localSheetId="0">[2]INPUT!#REF!</definedName>
    <definedName name="F3LY" localSheetId="2">[2]INPUT!#REF!</definedName>
    <definedName name="F3LY">[2]INPUT!#REF!</definedName>
    <definedName name="F3RX" localSheetId="1">[2]INPUT!#REF!</definedName>
    <definedName name="F3RX" localSheetId="0">[2]INPUT!#REF!</definedName>
    <definedName name="F3RX" localSheetId="2">[2]INPUT!#REF!</definedName>
    <definedName name="F3RX">[2]INPUT!#REF!</definedName>
    <definedName name="F3RY" localSheetId="1">[2]INPUT!#REF!</definedName>
    <definedName name="F3RY" localSheetId="0">[2]INPUT!#REF!</definedName>
    <definedName name="F3RY" localSheetId="2">[2]INPUT!#REF!</definedName>
    <definedName name="F3RY">[2]INPUT!#REF!</definedName>
    <definedName name="F4LX" localSheetId="1">[2]INPUT!#REF!</definedName>
    <definedName name="F4LX" localSheetId="0">[2]INPUT!#REF!</definedName>
    <definedName name="F4LX" localSheetId="2">[2]INPUT!#REF!</definedName>
    <definedName name="F4LX">[2]INPUT!#REF!</definedName>
    <definedName name="F4LY" localSheetId="1">[2]INPUT!#REF!</definedName>
    <definedName name="F4LY" localSheetId="0">[2]INPUT!#REF!</definedName>
    <definedName name="F4LY" localSheetId="2">[2]INPUT!#REF!</definedName>
    <definedName name="F4LY">[2]INPUT!#REF!</definedName>
    <definedName name="F4RX" localSheetId="1">[2]INPUT!#REF!</definedName>
    <definedName name="F4RX" localSheetId="0">[2]INPUT!#REF!</definedName>
    <definedName name="F4RX" localSheetId="2">[2]INPUT!#REF!</definedName>
    <definedName name="F4RX">[2]INPUT!#REF!</definedName>
    <definedName name="F4RY" localSheetId="1">[2]INPUT!#REF!</definedName>
    <definedName name="F4RY" localSheetId="0">[2]INPUT!#REF!</definedName>
    <definedName name="F4RY" localSheetId="2">[2]INPUT!#REF!</definedName>
    <definedName name="F4RY">[2]INPUT!#REF!</definedName>
    <definedName name="F5LX" localSheetId="1">[2]INPUT!#REF!</definedName>
    <definedName name="F5LX" localSheetId="0">[2]INPUT!#REF!</definedName>
    <definedName name="F5LX" localSheetId="2">[2]INPUT!#REF!</definedName>
    <definedName name="F5LX">[2]INPUT!#REF!</definedName>
    <definedName name="F5LY" localSheetId="1">[2]INPUT!#REF!</definedName>
    <definedName name="F5LY" localSheetId="0">[2]INPUT!#REF!</definedName>
    <definedName name="F5LY" localSheetId="2">[2]INPUT!#REF!</definedName>
    <definedName name="F5LY">[2]INPUT!#REF!</definedName>
    <definedName name="F5RX" localSheetId="1">[2]INPUT!#REF!</definedName>
    <definedName name="F5RX" localSheetId="0">[2]INPUT!#REF!</definedName>
    <definedName name="F5RX" localSheetId="2">[2]INPUT!#REF!</definedName>
    <definedName name="F5RX">[2]INPUT!#REF!</definedName>
    <definedName name="F5RY" localSheetId="1">[2]INPUT!#REF!</definedName>
    <definedName name="F5RY" localSheetId="0">[2]INPUT!#REF!</definedName>
    <definedName name="F5RY" localSheetId="2">[2]INPUT!#REF!</definedName>
    <definedName name="F5RY">[2]INPUT!#REF!</definedName>
    <definedName name="F6LX" localSheetId="1">[2]INPUT!#REF!</definedName>
    <definedName name="F6LX" localSheetId="0">[2]INPUT!#REF!</definedName>
    <definedName name="F6LX" localSheetId="2">[2]INPUT!#REF!</definedName>
    <definedName name="F6LX">[2]INPUT!#REF!</definedName>
    <definedName name="F6LY" localSheetId="1">[2]INPUT!#REF!</definedName>
    <definedName name="F6LY" localSheetId="0">[2]INPUT!#REF!</definedName>
    <definedName name="F6LY" localSheetId="2">[2]INPUT!#REF!</definedName>
    <definedName name="F6LY">[2]INPUT!#REF!</definedName>
    <definedName name="F6RX" localSheetId="1">[2]INPUT!#REF!</definedName>
    <definedName name="F6RX" localSheetId="0">[2]INPUT!#REF!</definedName>
    <definedName name="F6RX" localSheetId="2">[2]INPUT!#REF!</definedName>
    <definedName name="F6RX">[2]INPUT!#REF!</definedName>
    <definedName name="F6RY" localSheetId="1">[2]INPUT!#REF!</definedName>
    <definedName name="F6RY" localSheetId="0">[2]INPUT!#REF!</definedName>
    <definedName name="F6RY" localSheetId="2">[2]INPUT!#REF!</definedName>
    <definedName name="F6RY">[2]INPUT!#REF!</definedName>
    <definedName name="F7LX" localSheetId="1">[2]INPUT!#REF!</definedName>
    <definedName name="F7LX" localSheetId="0">[2]INPUT!#REF!</definedName>
    <definedName name="F7LX" localSheetId="2">[2]INPUT!#REF!</definedName>
    <definedName name="F7LX">[2]INPUT!#REF!</definedName>
    <definedName name="F7LY" localSheetId="1">[2]INPUT!#REF!</definedName>
    <definedName name="F7LY" localSheetId="0">[2]INPUT!#REF!</definedName>
    <definedName name="F7LY" localSheetId="2">[2]INPUT!#REF!</definedName>
    <definedName name="F7LY">[2]INPUT!#REF!</definedName>
    <definedName name="F7RX" localSheetId="1">[2]INPUT!#REF!</definedName>
    <definedName name="F7RX" localSheetId="0">[2]INPUT!#REF!</definedName>
    <definedName name="F7RX" localSheetId="2">[2]INPUT!#REF!</definedName>
    <definedName name="F7RX">[2]INPUT!#REF!</definedName>
    <definedName name="F7RY" localSheetId="1">[2]INPUT!#REF!</definedName>
    <definedName name="F7RY" localSheetId="0">[2]INPUT!#REF!</definedName>
    <definedName name="F7RY" localSheetId="2">[2]INPUT!#REF!</definedName>
    <definedName name="F7RY">[2]INPUT!#REF!</definedName>
    <definedName name="F8LX" localSheetId="1">[2]INPUT!#REF!</definedName>
    <definedName name="F8LX" localSheetId="0">[2]INPUT!#REF!</definedName>
    <definedName name="F8LX" localSheetId="2">[2]INPUT!#REF!</definedName>
    <definedName name="F8LX">[2]INPUT!#REF!</definedName>
    <definedName name="F8LY" localSheetId="1">[2]INPUT!#REF!</definedName>
    <definedName name="F8LY" localSheetId="0">[2]INPUT!#REF!</definedName>
    <definedName name="F8LY" localSheetId="2">[2]INPUT!#REF!</definedName>
    <definedName name="F8LY">[2]INPUT!#REF!</definedName>
    <definedName name="F8RX" localSheetId="1">[2]INPUT!#REF!</definedName>
    <definedName name="F8RX" localSheetId="0">[2]INPUT!#REF!</definedName>
    <definedName name="F8RX" localSheetId="2">[2]INPUT!#REF!</definedName>
    <definedName name="F8RX">[2]INPUT!#REF!</definedName>
    <definedName name="F8RY" localSheetId="1">[2]INPUT!#REF!</definedName>
    <definedName name="F8RY" localSheetId="0">[2]INPUT!#REF!</definedName>
    <definedName name="F8RY" localSheetId="2">[2]INPUT!#REF!</definedName>
    <definedName name="F8RY">[2]INPUT!#REF!</definedName>
    <definedName name="F9LX" localSheetId="1">[2]INPUT!#REF!</definedName>
    <definedName name="F9LX" localSheetId="0">[2]INPUT!#REF!</definedName>
    <definedName name="F9LX" localSheetId="2">[2]INPUT!#REF!</definedName>
    <definedName name="F9LX">[2]INPUT!#REF!</definedName>
    <definedName name="F9LY" localSheetId="1">[2]INPUT!#REF!</definedName>
    <definedName name="F9LY" localSheetId="0">[2]INPUT!#REF!</definedName>
    <definedName name="F9LY" localSheetId="2">[2]INPUT!#REF!</definedName>
    <definedName name="F9LY">[2]INPUT!#REF!</definedName>
    <definedName name="F9RX" localSheetId="1">[2]INPUT!#REF!</definedName>
    <definedName name="F9RX" localSheetId="0">[2]INPUT!#REF!</definedName>
    <definedName name="F9RX" localSheetId="2">[2]INPUT!#REF!</definedName>
    <definedName name="F9RX">[2]INPUT!#REF!</definedName>
    <definedName name="F9RY" localSheetId="1">[2]INPUT!#REF!</definedName>
    <definedName name="F9RY" localSheetId="0">[2]INPUT!#REF!</definedName>
    <definedName name="F9RY" localSheetId="2">[2]INPUT!#REF!</definedName>
    <definedName name="F9RY">[2]INPUT!#REF!</definedName>
    <definedName name="fb">#REF!</definedName>
    <definedName name="Fck" localSheetId="1">#REF!</definedName>
    <definedName name="Fck" localSheetId="0">#REF!</definedName>
    <definedName name="Fck" localSheetId="2">#REF!</definedName>
    <definedName name="Fck">#REF!</definedName>
    <definedName name="FE10L" localSheetId="1">[3]INPUT!#REF!</definedName>
    <definedName name="FE10L" localSheetId="0">[3]INPUT!#REF!</definedName>
    <definedName name="FE10L" localSheetId="2">[3]INPUT!#REF!</definedName>
    <definedName name="FE10L">[3]INPUT!#REF!</definedName>
    <definedName name="FE10R" localSheetId="1">[3]INPUT!#REF!</definedName>
    <definedName name="FE10R" localSheetId="0">[3]INPUT!#REF!</definedName>
    <definedName name="FE10R" localSheetId="2">[3]INPUT!#REF!</definedName>
    <definedName name="FE10R">[3]INPUT!#REF!</definedName>
    <definedName name="FE3L" localSheetId="1">[3]INPUT!#REF!</definedName>
    <definedName name="FE3L" localSheetId="0">[3]INPUT!#REF!</definedName>
    <definedName name="FE3L" localSheetId="2">[3]INPUT!#REF!</definedName>
    <definedName name="FE3L">[3]INPUT!#REF!</definedName>
    <definedName name="FE3R" localSheetId="1">[3]INPUT!#REF!</definedName>
    <definedName name="FE3R" localSheetId="0">[3]INPUT!#REF!</definedName>
    <definedName name="FE3R" localSheetId="2">[3]INPUT!#REF!</definedName>
    <definedName name="FE3R">[3]INPUT!#REF!</definedName>
    <definedName name="FE4L" localSheetId="1">[3]INPUT!#REF!</definedName>
    <definedName name="FE4L" localSheetId="0">[3]INPUT!#REF!</definedName>
    <definedName name="FE4L" localSheetId="2">[3]INPUT!#REF!</definedName>
    <definedName name="FE4L">[3]INPUT!#REF!</definedName>
    <definedName name="FE4R" localSheetId="1">[3]INPUT!#REF!</definedName>
    <definedName name="FE4R" localSheetId="0">[3]INPUT!#REF!</definedName>
    <definedName name="FE4R" localSheetId="2">[3]INPUT!#REF!</definedName>
    <definedName name="FE4R">[3]INPUT!#REF!</definedName>
    <definedName name="FE5L" localSheetId="1">[3]INPUT!#REF!</definedName>
    <definedName name="FE5L" localSheetId="0">[3]INPUT!#REF!</definedName>
    <definedName name="FE5L" localSheetId="2">[3]INPUT!#REF!</definedName>
    <definedName name="FE5L">[3]INPUT!#REF!</definedName>
    <definedName name="FE5R" localSheetId="1">[3]INPUT!#REF!</definedName>
    <definedName name="FE5R" localSheetId="0">[3]INPUT!#REF!</definedName>
    <definedName name="FE5R" localSheetId="2">[3]INPUT!#REF!</definedName>
    <definedName name="FE5R">[3]INPUT!#REF!</definedName>
    <definedName name="FE6L" localSheetId="1">[3]INPUT!#REF!</definedName>
    <definedName name="FE6L" localSheetId="0">[3]INPUT!#REF!</definedName>
    <definedName name="FE6L" localSheetId="2">[3]INPUT!#REF!</definedName>
    <definedName name="FE6L">[3]INPUT!#REF!</definedName>
    <definedName name="FE6R" localSheetId="1">[3]INPUT!#REF!</definedName>
    <definedName name="FE6R" localSheetId="0">[3]INPUT!#REF!</definedName>
    <definedName name="FE6R" localSheetId="2">[3]INPUT!#REF!</definedName>
    <definedName name="FE6R">[3]INPUT!#REF!</definedName>
    <definedName name="FE7L" localSheetId="1">[3]INPUT!#REF!</definedName>
    <definedName name="FE7L" localSheetId="0">[3]INPUT!#REF!</definedName>
    <definedName name="FE7L" localSheetId="2">[3]INPUT!#REF!</definedName>
    <definedName name="FE7L">[3]INPUT!#REF!</definedName>
    <definedName name="FE7R" localSheetId="1">[3]INPUT!#REF!</definedName>
    <definedName name="FE7R" localSheetId="0">[3]INPUT!#REF!</definedName>
    <definedName name="FE7R" localSheetId="2">[3]INPUT!#REF!</definedName>
    <definedName name="FE7R">[3]INPUT!#REF!</definedName>
    <definedName name="FE8L" localSheetId="1">[3]INPUT!#REF!</definedName>
    <definedName name="FE8L" localSheetId="0">[3]INPUT!#REF!</definedName>
    <definedName name="FE8L" localSheetId="2">[3]INPUT!#REF!</definedName>
    <definedName name="FE8L">[3]INPUT!#REF!</definedName>
    <definedName name="FE8R" localSheetId="1">[3]INPUT!#REF!</definedName>
    <definedName name="FE8R" localSheetId="0">[3]INPUT!#REF!</definedName>
    <definedName name="FE8R" localSheetId="2">[3]INPUT!#REF!</definedName>
    <definedName name="FE8R">[3]INPUT!#REF!</definedName>
    <definedName name="FE9L" localSheetId="1">[3]INPUT!#REF!</definedName>
    <definedName name="FE9L" localSheetId="0">[3]INPUT!#REF!</definedName>
    <definedName name="FE9L" localSheetId="2">[3]INPUT!#REF!</definedName>
    <definedName name="FE9L">[3]INPUT!#REF!</definedName>
    <definedName name="FE9R" localSheetId="1">[3]INPUT!#REF!</definedName>
    <definedName name="FE9R" localSheetId="0">[3]INPUT!#REF!</definedName>
    <definedName name="FE9R" localSheetId="2">[3]INPUT!#REF!</definedName>
    <definedName name="FE9R">[3]INPUT!#REF!</definedName>
    <definedName name="FH10L" localSheetId="1">[2]INPUT!#REF!</definedName>
    <definedName name="FH10L" localSheetId="0">[2]INPUT!#REF!</definedName>
    <definedName name="FH10L" localSheetId="2">[2]INPUT!#REF!</definedName>
    <definedName name="FH10L">[2]INPUT!#REF!</definedName>
    <definedName name="FH10R" localSheetId="1">[2]INPUT!#REF!</definedName>
    <definedName name="FH10R" localSheetId="0">[2]INPUT!#REF!</definedName>
    <definedName name="FH10R" localSheetId="2">[2]INPUT!#REF!</definedName>
    <definedName name="FH10R">[2]INPUT!#REF!</definedName>
    <definedName name="FH3L" localSheetId="1">[2]INPUT!#REF!</definedName>
    <definedName name="FH3L" localSheetId="0">[2]INPUT!#REF!</definedName>
    <definedName name="FH3L" localSheetId="2">[2]INPUT!#REF!</definedName>
    <definedName name="FH3L">[2]INPUT!#REF!</definedName>
    <definedName name="FH3R" localSheetId="1">[2]INPUT!#REF!</definedName>
    <definedName name="FH3R" localSheetId="0">[2]INPUT!#REF!</definedName>
    <definedName name="FH3R" localSheetId="2">[2]INPUT!#REF!</definedName>
    <definedName name="FH3R">[2]INPUT!#REF!</definedName>
    <definedName name="FH4L" localSheetId="1">[2]INPUT!#REF!</definedName>
    <definedName name="FH4L" localSheetId="0">[2]INPUT!#REF!</definedName>
    <definedName name="FH4L" localSheetId="2">[2]INPUT!#REF!</definedName>
    <definedName name="FH4L">[2]INPUT!#REF!</definedName>
    <definedName name="FH4R" localSheetId="1">[2]INPUT!#REF!</definedName>
    <definedName name="FH4R" localSheetId="0">[2]INPUT!#REF!</definedName>
    <definedName name="FH4R" localSheetId="2">[2]INPUT!#REF!</definedName>
    <definedName name="FH4R">[2]INPUT!#REF!</definedName>
    <definedName name="FH5L" localSheetId="1">[2]INPUT!#REF!</definedName>
    <definedName name="FH5L" localSheetId="0">[2]INPUT!#REF!</definedName>
    <definedName name="FH5L" localSheetId="2">[2]INPUT!#REF!</definedName>
    <definedName name="FH5L">[2]INPUT!#REF!</definedName>
    <definedName name="FH5R" localSheetId="1">[2]INPUT!#REF!</definedName>
    <definedName name="FH5R" localSheetId="0">[2]INPUT!#REF!</definedName>
    <definedName name="FH5R" localSheetId="2">[2]INPUT!#REF!</definedName>
    <definedName name="FH5R">[2]INPUT!#REF!</definedName>
    <definedName name="FH6L" localSheetId="1">[2]INPUT!#REF!</definedName>
    <definedName name="FH6L" localSheetId="0">[2]INPUT!#REF!</definedName>
    <definedName name="FH6L" localSheetId="2">[2]INPUT!#REF!</definedName>
    <definedName name="FH6L">[2]INPUT!#REF!</definedName>
    <definedName name="FH6R" localSheetId="1">[2]INPUT!#REF!</definedName>
    <definedName name="FH6R" localSheetId="0">[2]INPUT!#REF!</definedName>
    <definedName name="FH6R" localSheetId="2">[2]INPUT!#REF!</definedName>
    <definedName name="FH6R">[2]INPUT!#REF!</definedName>
    <definedName name="FH7L" localSheetId="1">[2]INPUT!#REF!</definedName>
    <definedName name="FH7L" localSheetId="0">[2]INPUT!#REF!</definedName>
    <definedName name="FH7L" localSheetId="2">[2]INPUT!#REF!</definedName>
    <definedName name="FH7L">[2]INPUT!#REF!</definedName>
    <definedName name="FH7R" localSheetId="1">[2]INPUT!#REF!</definedName>
    <definedName name="FH7R" localSheetId="0">[2]INPUT!#REF!</definedName>
    <definedName name="FH7R" localSheetId="2">[2]INPUT!#REF!</definedName>
    <definedName name="FH7R">[2]INPUT!#REF!</definedName>
    <definedName name="FH8L" localSheetId="1">[2]INPUT!#REF!</definedName>
    <definedName name="FH8L" localSheetId="0">[2]INPUT!#REF!</definedName>
    <definedName name="FH8L" localSheetId="2">[2]INPUT!#REF!</definedName>
    <definedName name="FH8L">[2]INPUT!#REF!</definedName>
    <definedName name="FH8R" localSheetId="1">[2]INPUT!#REF!</definedName>
    <definedName name="FH8R" localSheetId="0">[2]INPUT!#REF!</definedName>
    <definedName name="FH8R" localSheetId="2">[2]INPUT!#REF!</definedName>
    <definedName name="FH8R">[2]INPUT!#REF!</definedName>
    <definedName name="FH9L" localSheetId="1">[2]INPUT!#REF!</definedName>
    <definedName name="FH9L" localSheetId="0">[2]INPUT!#REF!</definedName>
    <definedName name="FH9L" localSheetId="2">[2]INPUT!#REF!</definedName>
    <definedName name="FH9L">[2]INPUT!#REF!</definedName>
    <definedName name="FH9R" localSheetId="1">[2]INPUT!#REF!</definedName>
    <definedName name="FH9R" localSheetId="0">[2]INPUT!#REF!</definedName>
    <definedName name="FH9R" localSheetId="2">[2]INPUT!#REF!</definedName>
    <definedName name="FH9R">[2]INPUT!#REF!</definedName>
    <definedName name="Fm">#REF!</definedName>
    <definedName name="FN" localSheetId="1">[5]교각1!#REF!</definedName>
    <definedName name="FN" localSheetId="0">[5]교각1!#REF!</definedName>
    <definedName name="FN" localSheetId="2">[5]교각1!#REF!</definedName>
    <definedName name="FN">[5]교각1!#REF!</definedName>
    <definedName name="front">#REF!</definedName>
    <definedName name="FT10TL" localSheetId="1">[3]INPUT!#REF!</definedName>
    <definedName name="FT10TL" localSheetId="0">[3]INPUT!#REF!</definedName>
    <definedName name="FT10TL" localSheetId="2">[3]INPUT!#REF!</definedName>
    <definedName name="FT10TL">[3]INPUT!#REF!</definedName>
    <definedName name="FT10TR" localSheetId="1">[3]INPUT!#REF!</definedName>
    <definedName name="FT10TR" localSheetId="0">[3]INPUT!#REF!</definedName>
    <definedName name="FT10TR" localSheetId="2">[3]INPUT!#REF!</definedName>
    <definedName name="FT10TR">[3]INPUT!#REF!</definedName>
    <definedName name="FT1TL">[3]INPUT!$A$13</definedName>
    <definedName name="FT1TR">[3]INPUT!$A$15</definedName>
    <definedName name="FT2TL">[3]INPUT!$A$43</definedName>
    <definedName name="FT2TR">[3]INPUT!$A$45</definedName>
    <definedName name="FT3TL" localSheetId="1">[3]INPUT!#REF!</definedName>
    <definedName name="FT3TL" localSheetId="0">[3]INPUT!#REF!</definedName>
    <definedName name="FT3TL" localSheetId="2">[3]INPUT!#REF!</definedName>
    <definedName name="FT3TL">[3]INPUT!#REF!</definedName>
    <definedName name="FT3TR" localSheetId="1">[3]INPUT!#REF!</definedName>
    <definedName name="FT3TR" localSheetId="0">[3]INPUT!#REF!</definedName>
    <definedName name="FT3TR" localSheetId="2">[3]INPUT!#REF!</definedName>
    <definedName name="FT3TR">[3]INPUT!#REF!</definedName>
    <definedName name="FT4TL" localSheetId="1">[3]INPUT!#REF!</definedName>
    <definedName name="FT4TL" localSheetId="0">[3]INPUT!#REF!</definedName>
    <definedName name="FT4TL" localSheetId="2">[3]INPUT!#REF!</definedName>
    <definedName name="FT4TL">[3]INPUT!#REF!</definedName>
    <definedName name="FT4TR" localSheetId="1">[3]INPUT!#REF!</definedName>
    <definedName name="FT4TR" localSheetId="0">[3]INPUT!#REF!</definedName>
    <definedName name="FT4TR" localSheetId="2">[3]INPUT!#REF!</definedName>
    <definedName name="FT4TR">[3]INPUT!#REF!</definedName>
    <definedName name="FT5TL" localSheetId="1">[3]INPUT!#REF!</definedName>
    <definedName name="FT5TL" localSheetId="0">[3]INPUT!#REF!</definedName>
    <definedName name="FT5TL" localSheetId="2">[3]INPUT!#REF!</definedName>
    <definedName name="FT5TL">[3]INPUT!#REF!</definedName>
    <definedName name="FT5TR" localSheetId="1">[3]INPUT!#REF!</definedName>
    <definedName name="FT5TR" localSheetId="0">[3]INPUT!#REF!</definedName>
    <definedName name="FT5TR" localSheetId="2">[3]INPUT!#REF!</definedName>
    <definedName name="FT5TR">[3]INPUT!#REF!</definedName>
    <definedName name="FT6TL" localSheetId="1">[3]INPUT!#REF!</definedName>
    <definedName name="FT6TL" localSheetId="0">[3]INPUT!#REF!</definedName>
    <definedName name="FT6TL" localSheetId="2">[3]INPUT!#REF!</definedName>
    <definedName name="FT6TL">[3]INPUT!#REF!</definedName>
    <definedName name="FT6TR" localSheetId="1">[3]INPUT!#REF!</definedName>
    <definedName name="FT6TR" localSheetId="0">[3]INPUT!#REF!</definedName>
    <definedName name="FT6TR" localSheetId="2">[3]INPUT!#REF!</definedName>
    <definedName name="FT6TR">[3]INPUT!#REF!</definedName>
    <definedName name="FT7TL" localSheetId="1">[3]INPUT!#REF!</definedName>
    <definedName name="FT7TL" localSheetId="0">[3]INPUT!#REF!</definedName>
    <definedName name="FT7TL" localSheetId="2">[3]INPUT!#REF!</definedName>
    <definedName name="FT7TL">[3]INPUT!#REF!</definedName>
    <definedName name="FT7TR" localSheetId="1">[3]INPUT!#REF!</definedName>
    <definedName name="FT7TR" localSheetId="0">[3]INPUT!#REF!</definedName>
    <definedName name="FT7TR" localSheetId="2">[3]INPUT!#REF!</definedName>
    <definedName name="FT7TR">[3]INPUT!#REF!</definedName>
    <definedName name="FT8TL" localSheetId="1">[3]INPUT!#REF!</definedName>
    <definedName name="FT8TL" localSheetId="0">[3]INPUT!#REF!</definedName>
    <definedName name="FT8TL" localSheetId="2">[3]INPUT!#REF!</definedName>
    <definedName name="FT8TL">[3]INPUT!#REF!</definedName>
    <definedName name="FT8TR" localSheetId="1">[3]INPUT!#REF!</definedName>
    <definedName name="FT8TR" localSheetId="0">[3]INPUT!#REF!</definedName>
    <definedName name="FT8TR" localSheetId="2">[3]INPUT!#REF!</definedName>
    <definedName name="FT8TR">[3]INPUT!#REF!</definedName>
    <definedName name="FT9TL" localSheetId="1">[3]INPUT!#REF!</definedName>
    <definedName name="FT9TL" localSheetId="0">[3]INPUT!#REF!</definedName>
    <definedName name="FT9TL" localSheetId="2">[3]INPUT!#REF!</definedName>
    <definedName name="FT9TL">[3]INPUT!#REF!</definedName>
    <definedName name="FT9TR" localSheetId="1">[3]INPUT!#REF!</definedName>
    <definedName name="FT9TR" localSheetId="0">[3]INPUT!#REF!</definedName>
    <definedName name="FT9TR" localSheetId="2">[3]INPUT!#REF!</definedName>
    <definedName name="FT9TR">[3]INPUT!#REF!</definedName>
    <definedName name="FTE10L" localSheetId="1">[3]INPUT!#REF!</definedName>
    <definedName name="FTE10L" localSheetId="0">[3]INPUT!#REF!</definedName>
    <definedName name="FTE10L" localSheetId="2">[3]INPUT!#REF!</definedName>
    <definedName name="FTE10L">[3]INPUT!#REF!</definedName>
    <definedName name="FTE10R" localSheetId="1">[3]INPUT!#REF!</definedName>
    <definedName name="FTE10R" localSheetId="0">[3]INPUT!#REF!</definedName>
    <definedName name="FTE10R" localSheetId="2">[3]INPUT!#REF!</definedName>
    <definedName name="FTE10R">[3]INPUT!#REF!</definedName>
    <definedName name="FTE3L" localSheetId="1">[3]INPUT!#REF!</definedName>
    <definedName name="FTE3L" localSheetId="0">[3]INPUT!#REF!</definedName>
    <definedName name="FTE3L" localSheetId="2">[3]INPUT!#REF!</definedName>
    <definedName name="FTE3L">[3]INPUT!#REF!</definedName>
    <definedName name="FTE3R" localSheetId="1">[3]INPUT!#REF!</definedName>
    <definedName name="FTE3R" localSheetId="0">[3]INPUT!#REF!</definedName>
    <definedName name="FTE3R" localSheetId="2">[3]INPUT!#REF!</definedName>
    <definedName name="FTE3R">[3]INPUT!#REF!</definedName>
    <definedName name="FTE4L" localSheetId="1">[3]INPUT!#REF!</definedName>
    <definedName name="FTE4L" localSheetId="0">[3]INPUT!#REF!</definedName>
    <definedName name="FTE4L" localSheetId="2">[3]INPUT!#REF!</definedName>
    <definedName name="FTE4L">[3]INPUT!#REF!</definedName>
    <definedName name="FTE4R" localSheetId="1">[3]INPUT!#REF!</definedName>
    <definedName name="FTE4R" localSheetId="0">[3]INPUT!#REF!</definedName>
    <definedName name="FTE4R" localSheetId="2">[3]INPUT!#REF!</definedName>
    <definedName name="FTE4R">[3]INPUT!#REF!</definedName>
    <definedName name="FTE5L" localSheetId="1">[3]INPUT!#REF!</definedName>
    <definedName name="FTE5L" localSheetId="0">[3]INPUT!#REF!</definedName>
    <definedName name="FTE5L" localSheetId="2">[3]INPUT!#REF!</definedName>
    <definedName name="FTE5L">[3]INPUT!#REF!</definedName>
    <definedName name="FTE5R" localSheetId="1">[3]INPUT!#REF!</definedName>
    <definedName name="FTE5R" localSheetId="0">[3]INPUT!#REF!</definedName>
    <definedName name="FTE5R" localSheetId="2">[3]INPUT!#REF!</definedName>
    <definedName name="FTE5R">[3]INPUT!#REF!</definedName>
    <definedName name="FTE6L" localSheetId="1">[3]INPUT!#REF!</definedName>
    <definedName name="FTE6L" localSheetId="0">[3]INPUT!#REF!</definedName>
    <definedName name="FTE6L" localSheetId="2">[3]INPUT!#REF!</definedName>
    <definedName name="FTE6L">[3]INPUT!#REF!</definedName>
    <definedName name="FTE6R" localSheetId="1">[3]INPUT!#REF!</definedName>
    <definedName name="FTE6R" localSheetId="0">[3]INPUT!#REF!</definedName>
    <definedName name="FTE6R" localSheetId="2">[3]INPUT!#REF!</definedName>
    <definedName name="FTE6R">[3]INPUT!#REF!</definedName>
    <definedName name="FTE7L" localSheetId="1">[3]INPUT!#REF!</definedName>
    <definedName name="FTE7L" localSheetId="0">[3]INPUT!#REF!</definedName>
    <definedName name="FTE7L" localSheetId="2">[3]INPUT!#REF!</definedName>
    <definedName name="FTE7L">[3]INPUT!#REF!</definedName>
    <definedName name="FTE7R" localSheetId="1">[3]INPUT!#REF!</definedName>
    <definedName name="FTE7R" localSheetId="0">[3]INPUT!#REF!</definedName>
    <definedName name="FTE7R" localSheetId="2">[3]INPUT!#REF!</definedName>
    <definedName name="FTE7R">[3]INPUT!#REF!</definedName>
    <definedName name="FTE8L" localSheetId="1">[3]INPUT!#REF!</definedName>
    <definedName name="FTE8L" localSheetId="0">[3]INPUT!#REF!</definedName>
    <definedName name="FTE8L" localSheetId="2">[3]INPUT!#REF!</definedName>
    <definedName name="FTE8L">[3]INPUT!#REF!</definedName>
    <definedName name="FTE8R" localSheetId="1">[3]INPUT!#REF!</definedName>
    <definedName name="FTE8R" localSheetId="0">[3]INPUT!#REF!</definedName>
    <definedName name="FTE8R" localSheetId="2">[3]INPUT!#REF!</definedName>
    <definedName name="FTE8R">[3]INPUT!#REF!</definedName>
    <definedName name="FTE9L" localSheetId="1">[3]INPUT!#REF!</definedName>
    <definedName name="FTE9L" localSheetId="0">[3]INPUT!#REF!</definedName>
    <definedName name="FTE9L" localSheetId="2">[3]INPUT!#REF!</definedName>
    <definedName name="FTE9L">[3]INPUT!#REF!</definedName>
    <definedName name="FTE9R" localSheetId="1">[3]INPUT!#REF!</definedName>
    <definedName name="FTE9R" localSheetId="0">[3]INPUT!#REF!</definedName>
    <definedName name="FTE9R" localSheetId="2">[3]INPUT!#REF!</definedName>
    <definedName name="FTE9R">[3]INPUT!#REF!</definedName>
    <definedName name="FTG10L" localSheetId="1">[3]INPUT!#REF!</definedName>
    <definedName name="FTG10L" localSheetId="0">[3]INPUT!#REF!</definedName>
    <definedName name="FTG10L" localSheetId="2">[3]INPUT!#REF!</definedName>
    <definedName name="FTG10L">[3]INPUT!#REF!</definedName>
    <definedName name="FTG10R" localSheetId="1">[3]INPUT!#REF!</definedName>
    <definedName name="FTG10R" localSheetId="0">[3]INPUT!#REF!</definedName>
    <definedName name="FTG10R" localSheetId="2">[3]INPUT!#REF!</definedName>
    <definedName name="FTG10R">[3]INPUT!#REF!</definedName>
    <definedName name="FTG3L" localSheetId="1">[3]INPUT!#REF!</definedName>
    <definedName name="FTG3L" localSheetId="0">[3]INPUT!#REF!</definedName>
    <definedName name="FTG3L" localSheetId="2">[3]INPUT!#REF!</definedName>
    <definedName name="FTG3L">[3]INPUT!#REF!</definedName>
    <definedName name="FTG3R" localSheetId="1">[3]INPUT!#REF!</definedName>
    <definedName name="FTG3R" localSheetId="0">[3]INPUT!#REF!</definedName>
    <definedName name="FTG3R" localSheetId="2">[3]INPUT!#REF!</definedName>
    <definedName name="FTG3R">[3]INPUT!#REF!</definedName>
    <definedName name="FTG4L" localSheetId="1">[3]INPUT!#REF!</definedName>
    <definedName name="FTG4L" localSheetId="0">[3]INPUT!#REF!</definedName>
    <definedName name="FTG4L" localSheetId="2">[3]INPUT!#REF!</definedName>
    <definedName name="FTG4L">[3]INPUT!#REF!</definedName>
    <definedName name="FTG4R" localSheetId="1">[3]INPUT!#REF!</definedName>
    <definedName name="FTG4R" localSheetId="0">[3]INPUT!#REF!</definedName>
    <definedName name="FTG4R" localSheetId="2">[3]INPUT!#REF!</definedName>
    <definedName name="FTG4R">[3]INPUT!#REF!</definedName>
    <definedName name="FTG5L" localSheetId="1">[3]INPUT!#REF!</definedName>
    <definedName name="FTG5L" localSheetId="0">[3]INPUT!#REF!</definedName>
    <definedName name="FTG5L" localSheetId="2">[3]INPUT!#REF!</definedName>
    <definedName name="FTG5L">[3]INPUT!#REF!</definedName>
    <definedName name="FTG5R" localSheetId="1">[3]INPUT!#REF!</definedName>
    <definedName name="FTG5R" localSheetId="0">[3]INPUT!#REF!</definedName>
    <definedName name="FTG5R" localSheetId="2">[3]INPUT!#REF!</definedName>
    <definedName name="FTG5R">[3]INPUT!#REF!</definedName>
    <definedName name="FTG6L" localSheetId="1">[3]INPUT!#REF!</definedName>
    <definedName name="FTG6L" localSheetId="0">[3]INPUT!#REF!</definedName>
    <definedName name="FTG6L" localSheetId="2">[3]INPUT!#REF!</definedName>
    <definedName name="FTG6L">[3]INPUT!#REF!</definedName>
    <definedName name="FTG6R" localSheetId="1">[3]INPUT!#REF!</definedName>
    <definedName name="FTG6R" localSheetId="0">[3]INPUT!#REF!</definedName>
    <definedName name="FTG6R" localSheetId="2">[3]INPUT!#REF!</definedName>
    <definedName name="FTG6R">[3]INPUT!#REF!</definedName>
    <definedName name="FTG7L" localSheetId="1">[3]INPUT!#REF!</definedName>
    <definedName name="FTG7L" localSheetId="0">[3]INPUT!#REF!</definedName>
    <definedName name="FTG7L" localSheetId="2">[3]INPUT!#REF!</definedName>
    <definedName name="FTG7L">[3]INPUT!#REF!</definedName>
    <definedName name="FTG7R" localSheetId="1">[3]INPUT!#REF!</definedName>
    <definedName name="FTG7R" localSheetId="0">[3]INPUT!#REF!</definedName>
    <definedName name="FTG7R" localSheetId="2">[3]INPUT!#REF!</definedName>
    <definedName name="FTG7R">[3]INPUT!#REF!</definedName>
    <definedName name="FTG8L" localSheetId="1">[3]INPUT!#REF!</definedName>
    <definedName name="FTG8L" localSheetId="0">[3]INPUT!#REF!</definedName>
    <definedName name="FTG8L" localSheetId="2">[3]INPUT!#REF!</definedName>
    <definedName name="FTG8L">[3]INPUT!#REF!</definedName>
    <definedName name="FTG8R" localSheetId="1">[3]INPUT!#REF!</definedName>
    <definedName name="FTG8R" localSheetId="0">[3]INPUT!#REF!</definedName>
    <definedName name="FTG8R" localSheetId="2">[3]INPUT!#REF!</definedName>
    <definedName name="FTG8R">[3]INPUT!#REF!</definedName>
    <definedName name="FTG9L" localSheetId="1">[3]INPUT!#REF!</definedName>
    <definedName name="FTG9L" localSheetId="0">[3]INPUT!#REF!</definedName>
    <definedName name="FTG9L" localSheetId="2">[3]INPUT!#REF!</definedName>
    <definedName name="FTG9L">[3]INPUT!#REF!</definedName>
    <definedName name="FTG9R" localSheetId="1">[3]INPUT!#REF!</definedName>
    <definedName name="FTG9R" localSheetId="0">[3]INPUT!#REF!</definedName>
    <definedName name="FTG9R" localSheetId="2">[3]INPUT!#REF!</definedName>
    <definedName name="FTG9R">[3]INPUT!#REF!</definedName>
    <definedName name="FTS10L" localSheetId="1">[3]INPUT!#REF!</definedName>
    <definedName name="FTS10L" localSheetId="0">[3]INPUT!#REF!</definedName>
    <definedName name="FTS10L" localSheetId="2">[3]INPUT!#REF!</definedName>
    <definedName name="FTS10L">[3]INPUT!#REF!</definedName>
    <definedName name="FTS10R" localSheetId="1">[3]INPUT!#REF!</definedName>
    <definedName name="FTS10R" localSheetId="0">[3]INPUT!#REF!</definedName>
    <definedName name="FTS10R" localSheetId="2">[3]INPUT!#REF!</definedName>
    <definedName name="FTS10R">[3]INPUT!#REF!</definedName>
    <definedName name="FTS3L" localSheetId="1">[3]INPUT!#REF!</definedName>
    <definedName name="FTS3L" localSheetId="0">[3]INPUT!#REF!</definedName>
    <definedName name="FTS3L" localSheetId="2">[3]INPUT!#REF!</definedName>
    <definedName name="FTS3L">[3]INPUT!#REF!</definedName>
    <definedName name="FTS3R" localSheetId="1">[3]INPUT!#REF!</definedName>
    <definedName name="FTS3R" localSheetId="0">[3]INPUT!#REF!</definedName>
    <definedName name="FTS3R" localSheetId="2">[3]INPUT!#REF!</definedName>
    <definedName name="FTS3R">[3]INPUT!#REF!</definedName>
    <definedName name="FTS4L" localSheetId="1">[3]INPUT!#REF!</definedName>
    <definedName name="FTS4L" localSheetId="0">[3]INPUT!#REF!</definedName>
    <definedName name="FTS4L" localSheetId="2">[3]INPUT!#REF!</definedName>
    <definedName name="FTS4L">[3]INPUT!#REF!</definedName>
    <definedName name="FTS4R" localSheetId="1">[3]INPUT!#REF!</definedName>
    <definedName name="FTS4R" localSheetId="0">[3]INPUT!#REF!</definedName>
    <definedName name="FTS4R" localSheetId="2">[3]INPUT!#REF!</definedName>
    <definedName name="FTS4R">[3]INPUT!#REF!</definedName>
    <definedName name="FTS5L" localSheetId="1">[3]INPUT!#REF!</definedName>
    <definedName name="FTS5L" localSheetId="0">[3]INPUT!#REF!</definedName>
    <definedName name="FTS5L" localSheetId="2">[3]INPUT!#REF!</definedName>
    <definedName name="FTS5L">[3]INPUT!#REF!</definedName>
    <definedName name="FTS5R" localSheetId="1">[3]INPUT!#REF!</definedName>
    <definedName name="FTS5R" localSheetId="0">[3]INPUT!#REF!</definedName>
    <definedName name="FTS5R" localSheetId="2">[3]INPUT!#REF!</definedName>
    <definedName name="FTS5R">[3]INPUT!#REF!</definedName>
    <definedName name="FTS6L" localSheetId="1">[3]INPUT!#REF!</definedName>
    <definedName name="FTS6L" localSheetId="0">[3]INPUT!#REF!</definedName>
    <definedName name="FTS6L" localSheetId="2">[3]INPUT!#REF!</definedName>
    <definedName name="FTS6L">[3]INPUT!#REF!</definedName>
    <definedName name="FTS6R" localSheetId="1">[3]INPUT!#REF!</definedName>
    <definedName name="FTS6R" localSheetId="0">[3]INPUT!#REF!</definedName>
    <definedName name="FTS6R" localSheetId="2">[3]INPUT!#REF!</definedName>
    <definedName name="FTS6R">[3]INPUT!#REF!</definedName>
    <definedName name="FTS7L" localSheetId="1">[3]INPUT!#REF!</definedName>
    <definedName name="FTS7L" localSheetId="0">[3]INPUT!#REF!</definedName>
    <definedName name="FTS7L" localSheetId="2">[3]INPUT!#REF!</definedName>
    <definedName name="FTS7L">[3]INPUT!#REF!</definedName>
    <definedName name="FTS7R" localSheetId="1">[3]INPUT!#REF!</definedName>
    <definedName name="FTS7R" localSheetId="0">[3]INPUT!#REF!</definedName>
    <definedName name="FTS7R" localSheetId="2">[3]INPUT!#REF!</definedName>
    <definedName name="FTS7R">[3]INPUT!#REF!</definedName>
    <definedName name="FTS8L" localSheetId="1">[3]INPUT!#REF!</definedName>
    <definedName name="FTS8L" localSheetId="0">[3]INPUT!#REF!</definedName>
    <definedName name="FTS8L" localSheetId="2">[3]INPUT!#REF!</definedName>
    <definedName name="FTS8L">[3]INPUT!#REF!</definedName>
    <definedName name="FTS8R" localSheetId="1">[3]INPUT!#REF!</definedName>
    <definedName name="FTS8R" localSheetId="0">[3]INPUT!#REF!</definedName>
    <definedName name="FTS8R" localSheetId="2">[3]INPUT!#REF!</definedName>
    <definedName name="FTS8R">[3]INPUT!#REF!</definedName>
    <definedName name="FTS9L" localSheetId="1">[3]INPUT!#REF!</definedName>
    <definedName name="FTS9L" localSheetId="0">[3]INPUT!#REF!</definedName>
    <definedName name="FTS9L" localSheetId="2">[3]INPUT!#REF!</definedName>
    <definedName name="FTS9L">[3]INPUT!#REF!</definedName>
    <definedName name="FTS9R" localSheetId="1">[3]INPUT!#REF!</definedName>
    <definedName name="FTS9R" localSheetId="0">[3]INPUT!#REF!</definedName>
    <definedName name="FTS9R" localSheetId="2">[3]INPUT!#REF!</definedName>
    <definedName name="FTS9R">[3]INPUT!#REF!</definedName>
    <definedName name="FTW10L" localSheetId="1">[3]INPUT!#REF!</definedName>
    <definedName name="FTW10L" localSheetId="0">[3]INPUT!#REF!</definedName>
    <definedName name="FTW10L" localSheetId="2">[3]INPUT!#REF!</definedName>
    <definedName name="FTW10L">[3]INPUT!#REF!</definedName>
    <definedName name="FTW10R" localSheetId="1">[3]INPUT!#REF!</definedName>
    <definedName name="FTW10R" localSheetId="0">[3]INPUT!#REF!</definedName>
    <definedName name="FTW10R" localSheetId="2">[3]INPUT!#REF!</definedName>
    <definedName name="FTW10R">[3]INPUT!#REF!</definedName>
    <definedName name="FTW3L" localSheetId="1">[3]INPUT!#REF!</definedName>
    <definedName name="FTW3L" localSheetId="0">[3]INPUT!#REF!</definedName>
    <definedName name="FTW3L" localSheetId="2">[3]INPUT!#REF!</definedName>
    <definedName name="FTW3L">[3]INPUT!#REF!</definedName>
    <definedName name="FTW3R" localSheetId="1">[3]INPUT!#REF!</definedName>
    <definedName name="FTW3R" localSheetId="0">[3]INPUT!#REF!</definedName>
    <definedName name="FTW3R" localSheetId="2">[3]INPUT!#REF!</definedName>
    <definedName name="FTW3R">[3]INPUT!#REF!</definedName>
    <definedName name="FTW4L" localSheetId="1">[3]INPUT!#REF!</definedName>
    <definedName name="FTW4L" localSheetId="0">[3]INPUT!#REF!</definedName>
    <definedName name="FTW4L" localSheetId="2">[3]INPUT!#REF!</definedName>
    <definedName name="FTW4L">[3]INPUT!#REF!</definedName>
    <definedName name="FTW4R" localSheetId="1">[3]INPUT!#REF!</definedName>
    <definedName name="FTW4R" localSheetId="0">[3]INPUT!#REF!</definedName>
    <definedName name="FTW4R" localSheetId="2">[3]INPUT!#REF!</definedName>
    <definedName name="FTW4R">[3]INPUT!#REF!</definedName>
    <definedName name="FTW5L" localSheetId="1">[3]INPUT!#REF!</definedName>
    <definedName name="FTW5L" localSheetId="0">[3]INPUT!#REF!</definedName>
    <definedName name="FTW5L" localSheetId="2">[3]INPUT!#REF!</definedName>
    <definedName name="FTW5L">[3]INPUT!#REF!</definedName>
    <definedName name="FTW5R" localSheetId="1">[3]INPUT!#REF!</definedName>
    <definedName name="FTW5R" localSheetId="0">[3]INPUT!#REF!</definedName>
    <definedName name="FTW5R" localSheetId="2">[3]INPUT!#REF!</definedName>
    <definedName name="FTW5R">[3]INPUT!#REF!</definedName>
    <definedName name="FTW6L" localSheetId="1">[3]INPUT!#REF!</definedName>
    <definedName name="FTW6L" localSheetId="0">[3]INPUT!#REF!</definedName>
    <definedName name="FTW6L" localSheetId="2">[3]INPUT!#REF!</definedName>
    <definedName name="FTW6L">[3]INPUT!#REF!</definedName>
    <definedName name="FTW6R" localSheetId="1">[3]INPUT!#REF!</definedName>
    <definedName name="FTW6R" localSheetId="0">[3]INPUT!#REF!</definedName>
    <definedName name="FTW6R" localSheetId="2">[3]INPUT!#REF!</definedName>
    <definedName name="FTW6R">[3]INPUT!#REF!</definedName>
    <definedName name="FTW7L" localSheetId="1">[3]INPUT!#REF!</definedName>
    <definedName name="FTW7L" localSheetId="0">[3]INPUT!#REF!</definedName>
    <definedName name="FTW7L" localSheetId="2">[3]INPUT!#REF!</definedName>
    <definedName name="FTW7L">[3]INPUT!#REF!</definedName>
    <definedName name="FTW7R" localSheetId="1">[3]INPUT!#REF!</definedName>
    <definedName name="FTW7R" localSheetId="0">[3]INPUT!#REF!</definedName>
    <definedName name="FTW7R" localSheetId="2">[3]INPUT!#REF!</definedName>
    <definedName name="FTW7R">[3]INPUT!#REF!</definedName>
    <definedName name="FTW8L" localSheetId="1">[3]INPUT!#REF!</definedName>
    <definedName name="FTW8L" localSheetId="0">[3]INPUT!#REF!</definedName>
    <definedName name="FTW8L" localSheetId="2">[3]INPUT!#REF!</definedName>
    <definedName name="FTW8L">[3]INPUT!#REF!</definedName>
    <definedName name="FTW8R" localSheetId="1">[3]INPUT!#REF!</definedName>
    <definedName name="FTW8R" localSheetId="0">[3]INPUT!#REF!</definedName>
    <definedName name="FTW8R" localSheetId="2">[3]INPUT!#REF!</definedName>
    <definedName name="FTW8R">[3]INPUT!#REF!</definedName>
    <definedName name="FTW9L" localSheetId="1">[3]INPUT!#REF!</definedName>
    <definedName name="FTW9L" localSheetId="0">[3]INPUT!#REF!</definedName>
    <definedName name="FTW9L" localSheetId="2">[3]INPUT!#REF!</definedName>
    <definedName name="FTW9L">[3]INPUT!#REF!</definedName>
    <definedName name="FTW9R" localSheetId="1">[3]INPUT!#REF!</definedName>
    <definedName name="FTW9R" localSheetId="0">[3]INPUT!#REF!</definedName>
    <definedName name="FTW9R" localSheetId="2">[3]INPUT!#REF!</definedName>
    <definedName name="FTW9R">[3]INPUT!#REF!</definedName>
    <definedName name="FTZ10L" localSheetId="1">[3]INPUT!#REF!</definedName>
    <definedName name="FTZ10L" localSheetId="0">[3]INPUT!#REF!</definedName>
    <definedName name="FTZ10L" localSheetId="2">[3]INPUT!#REF!</definedName>
    <definedName name="FTZ10L">[3]INPUT!#REF!</definedName>
    <definedName name="FTZ10R" localSheetId="1">[3]INPUT!#REF!</definedName>
    <definedName name="FTZ10R" localSheetId="0">[3]INPUT!#REF!</definedName>
    <definedName name="FTZ10R" localSheetId="2">[3]INPUT!#REF!</definedName>
    <definedName name="FTZ10R">[3]INPUT!#REF!</definedName>
    <definedName name="FTZ3L" localSheetId="1">[3]INPUT!#REF!</definedName>
    <definedName name="FTZ3L" localSheetId="0">[3]INPUT!#REF!</definedName>
    <definedName name="FTZ3L" localSheetId="2">[3]INPUT!#REF!</definedName>
    <definedName name="FTZ3L">[3]INPUT!#REF!</definedName>
    <definedName name="FTZ3R" localSheetId="1">[3]INPUT!#REF!</definedName>
    <definedName name="FTZ3R" localSheetId="0">[3]INPUT!#REF!</definedName>
    <definedName name="FTZ3R" localSheetId="2">[3]INPUT!#REF!</definedName>
    <definedName name="FTZ3R">[3]INPUT!#REF!</definedName>
    <definedName name="FTZ4L" localSheetId="1">[3]INPUT!#REF!</definedName>
    <definedName name="FTZ4L" localSheetId="0">[3]INPUT!#REF!</definedName>
    <definedName name="FTZ4L" localSheetId="2">[3]INPUT!#REF!</definedName>
    <definedName name="FTZ4L">[3]INPUT!#REF!</definedName>
    <definedName name="FTZ4R" localSheetId="1">[3]INPUT!#REF!</definedName>
    <definedName name="FTZ4R" localSheetId="0">[3]INPUT!#REF!</definedName>
    <definedName name="FTZ4R" localSheetId="2">[3]INPUT!#REF!</definedName>
    <definedName name="FTZ4R">[3]INPUT!#REF!</definedName>
    <definedName name="FTZ5L" localSheetId="1">[3]INPUT!#REF!</definedName>
    <definedName name="FTZ5L" localSheetId="0">[3]INPUT!#REF!</definedName>
    <definedName name="FTZ5L" localSheetId="2">[3]INPUT!#REF!</definedName>
    <definedName name="FTZ5L">[3]INPUT!#REF!</definedName>
    <definedName name="FTZ5R" localSheetId="1">[3]INPUT!#REF!</definedName>
    <definedName name="FTZ5R" localSheetId="0">[3]INPUT!#REF!</definedName>
    <definedName name="FTZ5R" localSheetId="2">[3]INPUT!#REF!</definedName>
    <definedName name="FTZ5R">[3]INPUT!#REF!</definedName>
    <definedName name="FTZ6L" localSheetId="1">[3]INPUT!#REF!</definedName>
    <definedName name="FTZ6L" localSheetId="0">[3]INPUT!#REF!</definedName>
    <definedName name="FTZ6L" localSheetId="2">[3]INPUT!#REF!</definedName>
    <definedName name="FTZ6L">[3]INPUT!#REF!</definedName>
    <definedName name="FTZ6R" localSheetId="1">[3]INPUT!#REF!</definedName>
    <definedName name="FTZ6R" localSheetId="0">[3]INPUT!#REF!</definedName>
    <definedName name="FTZ6R" localSheetId="2">[3]INPUT!#REF!</definedName>
    <definedName name="FTZ6R">[3]INPUT!#REF!</definedName>
    <definedName name="FTZ7L" localSheetId="1">[3]INPUT!#REF!</definedName>
    <definedName name="FTZ7L" localSheetId="0">[3]INPUT!#REF!</definedName>
    <definedName name="FTZ7L" localSheetId="2">[3]INPUT!#REF!</definedName>
    <definedName name="FTZ7L">[3]INPUT!#REF!</definedName>
    <definedName name="FTZ7R" localSheetId="1">[3]INPUT!#REF!</definedName>
    <definedName name="FTZ7R" localSheetId="0">[3]INPUT!#REF!</definedName>
    <definedName name="FTZ7R" localSheetId="2">[3]INPUT!#REF!</definedName>
    <definedName name="FTZ7R">[3]INPUT!#REF!</definedName>
    <definedName name="FTZ8L" localSheetId="1">[3]INPUT!#REF!</definedName>
    <definedName name="FTZ8L" localSheetId="0">[3]INPUT!#REF!</definedName>
    <definedName name="FTZ8L" localSheetId="2">[3]INPUT!#REF!</definedName>
    <definedName name="FTZ8L">[3]INPUT!#REF!</definedName>
    <definedName name="FTZ8R" localSheetId="1">[3]INPUT!#REF!</definedName>
    <definedName name="FTZ8R" localSheetId="0">[3]INPUT!#REF!</definedName>
    <definedName name="FTZ8R" localSheetId="2">[3]INPUT!#REF!</definedName>
    <definedName name="FTZ8R">[3]INPUT!#REF!</definedName>
    <definedName name="FTZ9L" localSheetId="1">[3]INPUT!#REF!</definedName>
    <definedName name="FTZ9L" localSheetId="0">[3]INPUT!#REF!</definedName>
    <definedName name="FTZ9L" localSheetId="2">[3]INPUT!#REF!</definedName>
    <definedName name="FTZ9L">[3]INPUT!#REF!</definedName>
    <definedName name="FTZ9R" localSheetId="1">[3]INPUT!#REF!</definedName>
    <definedName name="FTZ9R" localSheetId="0">[3]INPUT!#REF!</definedName>
    <definedName name="FTZ9R" localSheetId="2">[3]INPUT!#REF!</definedName>
    <definedName name="FTZ9R">[3]INPUT!#REF!</definedName>
    <definedName name="FX10L" localSheetId="1">[3]INPUT!#REF!</definedName>
    <definedName name="FX10L" localSheetId="0">[3]INPUT!#REF!</definedName>
    <definedName name="FX10L" localSheetId="2">[3]INPUT!#REF!</definedName>
    <definedName name="FX10L">[3]INPUT!#REF!</definedName>
    <definedName name="FX10R" localSheetId="1">[3]INPUT!#REF!</definedName>
    <definedName name="FX10R" localSheetId="0">[3]INPUT!#REF!</definedName>
    <definedName name="FX10R" localSheetId="2">[3]INPUT!#REF!</definedName>
    <definedName name="FX10R">[3]INPUT!#REF!</definedName>
    <definedName name="FX3L" localSheetId="1">[3]INPUT!#REF!</definedName>
    <definedName name="FX3L" localSheetId="0">[3]INPUT!#REF!</definedName>
    <definedName name="FX3L" localSheetId="2">[3]INPUT!#REF!</definedName>
    <definedName name="FX3L">[3]INPUT!#REF!</definedName>
    <definedName name="FX3R" localSheetId="1">[3]INPUT!#REF!</definedName>
    <definedName name="FX3R" localSheetId="0">[3]INPUT!#REF!</definedName>
    <definedName name="FX3R" localSheetId="2">[3]INPUT!#REF!</definedName>
    <definedName name="FX3R">[3]INPUT!#REF!</definedName>
    <definedName name="FX4L" localSheetId="1">[3]INPUT!#REF!</definedName>
    <definedName name="FX4L" localSheetId="0">[3]INPUT!#REF!</definedName>
    <definedName name="FX4L" localSheetId="2">[3]INPUT!#REF!</definedName>
    <definedName name="FX4L">[3]INPUT!#REF!</definedName>
    <definedName name="FX4R" localSheetId="1">[3]INPUT!#REF!</definedName>
    <definedName name="FX4R" localSheetId="0">[3]INPUT!#REF!</definedName>
    <definedName name="FX4R" localSheetId="2">[3]INPUT!#REF!</definedName>
    <definedName name="FX4R">[3]INPUT!#REF!</definedName>
    <definedName name="FX5L" localSheetId="1">[3]INPUT!#REF!</definedName>
    <definedName name="FX5L" localSheetId="0">[3]INPUT!#REF!</definedName>
    <definedName name="FX5L" localSheetId="2">[3]INPUT!#REF!</definedName>
    <definedName name="FX5L">[3]INPUT!#REF!</definedName>
    <definedName name="FX5R" localSheetId="1">[3]INPUT!#REF!</definedName>
    <definedName name="FX5R" localSheetId="0">[3]INPUT!#REF!</definedName>
    <definedName name="FX5R" localSheetId="2">[3]INPUT!#REF!</definedName>
    <definedName name="FX5R">[3]INPUT!#REF!</definedName>
    <definedName name="FX6L" localSheetId="1">[3]INPUT!#REF!</definedName>
    <definedName name="FX6L" localSheetId="0">[3]INPUT!#REF!</definedName>
    <definedName name="FX6L" localSheetId="2">[3]INPUT!#REF!</definedName>
    <definedName name="FX6L">[3]INPUT!#REF!</definedName>
    <definedName name="FX6R" localSheetId="1">[3]INPUT!#REF!</definedName>
    <definedName name="FX6R" localSheetId="0">[3]INPUT!#REF!</definedName>
    <definedName name="FX6R" localSheetId="2">[3]INPUT!#REF!</definedName>
    <definedName name="FX6R">[3]INPUT!#REF!</definedName>
    <definedName name="FX7L" localSheetId="1">[3]INPUT!#REF!</definedName>
    <definedName name="FX7L" localSheetId="0">[3]INPUT!#REF!</definedName>
    <definedName name="FX7L" localSheetId="2">[3]INPUT!#REF!</definedName>
    <definedName name="FX7L">[3]INPUT!#REF!</definedName>
    <definedName name="FX7R" localSheetId="1">[3]INPUT!#REF!</definedName>
    <definedName name="FX7R" localSheetId="0">[3]INPUT!#REF!</definedName>
    <definedName name="FX7R" localSheetId="2">[3]INPUT!#REF!</definedName>
    <definedName name="FX7R">[3]INPUT!#REF!</definedName>
    <definedName name="FX8L" localSheetId="1">[3]INPUT!#REF!</definedName>
    <definedName name="FX8L" localSheetId="0">[3]INPUT!#REF!</definedName>
    <definedName name="FX8L" localSheetId="2">[3]INPUT!#REF!</definedName>
    <definedName name="FX8L">[3]INPUT!#REF!</definedName>
    <definedName name="FX8R" localSheetId="1">[3]INPUT!#REF!</definedName>
    <definedName name="FX8R" localSheetId="0">[3]INPUT!#REF!</definedName>
    <definedName name="FX8R" localSheetId="2">[3]INPUT!#REF!</definedName>
    <definedName name="FX8R">[3]INPUT!#REF!</definedName>
    <definedName name="FX9L" localSheetId="1">[3]INPUT!#REF!</definedName>
    <definedName name="FX9L" localSheetId="0">[3]INPUT!#REF!</definedName>
    <definedName name="FX9L" localSheetId="2">[3]INPUT!#REF!</definedName>
    <definedName name="FX9L">[3]INPUT!#REF!</definedName>
    <definedName name="FX9R" localSheetId="1">[3]INPUT!#REF!</definedName>
    <definedName name="FX9R" localSheetId="0">[3]INPUT!#REF!</definedName>
    <definedName name="FX9R" localSheetId="2">[3]INPUT!#REF!</definedName>
    <definedName name="FX9R">[3]INPUT!#REF!</definedName>
    <definedName name="Fy" localSheetId="1">#REF!</definedName>
    <definedName name="Fy" localSheetId="0">#REF!</definedName>
    <definedName name="Fy" localSheetId="2">#REF!</definedName>
    <definedName name="Fy">#REF!</definedName>
    <definedName name="FY10L" localSheetId="1">[3]INPUT!#REF!</definedName>
    <definedName name="FY10L" localSheetId="0">[3]INPUT!#REF!</definedName>
    <definedName name="FY10L" localSheetId="2">[3]INPUT!#REF!</definedName>
    <definedName name="FY10L">[3]INPUT!#REF!</definedName>
    <definedName name="FY10R" localSheetId="1">[3]INPUT!#REF!</definedName>
    <definedName name="FY10R" localSheetId="0">[3]INPUT!#REF!</definedName>
    <definedName name="FY10R" localSheetId="2">[3]INPUT!#REF!</definedName>
    <definedName name="FY10R">[3]INPUT!#REF!</definedName>
    <definedName name="FY3L" localSheetId="1">[3]INPUT!#REF!</definedName>
    <definedName name="FY3L" localSheetId="0">[3]INPUT!#REF!</definedName>
    <definedName name="FY3L" localSheetId="2">[3]INPUT!#REF!</definedName>
    <definedName name="FY3L">[3]INPUT!#REF!</definedName>
    <definedName name="FY3R" localSheetId="1">[3]INPUT!#REF!</definedName>
    <definedName name="FY3R" localSheetId="0">[3]INPUT!#REF!</definedName>
    <definedName name="FY3R" localSheetId="2">[3]INPUT!#REF!</definedName>
    <definedName name="FY3R">[3]INPUT!#REF!</definedName>
    <definedName name="FY4L" localSheetId="1">[3]INPUT!#REF!</definedName>
    <definedName name="FY4L" localSheetId="0">[3]INPUT!#REF!</definedName>
    <definedName name="FY4L" localSheetId="2">[3]INPUT!#REF!</definedName>
    <definedName name="FY4L">[3]INPUT!#REF!</definedName>
    <definedName name="FY4R" localSheetId="1">[3]INPUT!#REF!</definedName>
    <definedName name="FY4R" localSheetId="0">[3]INPUT!#REF!</definedName>
    <definedName name="FY4R" localSheetId="2">[3]INPUT!#REF!</definedName>
    <definedName name="FY4R">[3]INPUT!#REF!</definedName>
    <definedName name="FY5L" localSheetId="1">[3]INPUT!#REF!</definedName>
    <definedName name="FY5L" localSheetId="0">[3]INPUT!#REF!</definedName>
    <definedName name="FY5L" localSheetId="2">[3]INPUT!#REF!</definedName>
    <definedName name="FY5L">[3]INPUT!#REF!</definedName>
    <definedName name="FY5R" localSheetId="1">[3]INPUT!#REF!</definedName>
    <definedName name="FY5R" localSheetId="0">[3]INPUT!#REF!</definedName>
    <definedName name="FY5R" localSheetId="2">[3]INPUT!#REF!</definedName>
    <definedName name="FY5R">[3]INPUT!#REF!</definedName>
    <definedName name="FY6L" localSheetId="1">[3]INPUT!#REF!</definedName>
    <definedName name="FY6L" localSheetId="0">[3]INPUT!#REF!</definedName>
    <definedName name="FY6L" localSheetId="2">[3]INPUT!#REF!</definedName>
    <definedName name="FY6L">[3]INPUT!#REF!</definedName>
    <definedName name="FY6R" localSheetId="1">[3]INPUT!#REF!</definedName>
    <definedName name="FY6R" localSheetId="0">[3]INPUT!#REF!</definedName>
    <definedName name="FY6R" localSheetId="2">[3]INPUT!#REF!</definedName>
    <definedName name="FY6R">[3]INPUT!#REF!</definedName>
    <definedName name="FY7L" localSheetId="1">[3]INPUT!#REF!</definedName>
    <definedName name="FY7L" localSheetId="0">[3]INPUT!#REF!</definedName>
    <definedName name="FY7L" localSheetId="2">[3]INPUT!#REF!</definedName>
    <definedName name="FY7L">[3]INPUT!#REF!</definedName>
    <definedName name="FY7R" localSheetId="1">[3]INPUT!#REF!</definedName>
    <definedName name="FY7R" localSheetId="0">[3]INPUT!#REF!</definedName>
    <definedName name="FY7R" localSheetId="2">[3]INPUT!#REF!</definedName>
    <definedName name="FY7R">[3]INPUT!#REF!</definedName>
    <definedName name="FY8L" localSheetId="1">[3]INPUT!#REF!</definedName>
    <definedName name="FY8L" localSheetId="0">[3]INPUT!#REF!</definedName>
    <definedName name="FY8L" localSheetId="2">[3]INPUT!#REF!</definedName>
    <definedName name="FY8L">[3]INPUT!#REF!</definedName>
    <definedName name="FY8R" localSheetId="1">[3]INPUT!#REF!</definedName>
    <definedName name="FY8R" localSheetId="0">[3]INPUT!#REF!</definedName>
    <definedName name="FY8R" localSheetId="2">[3]INPUT!#REF!</definedName>
    <definedName name="FY8R">[3]INPUT!#REF!</definedName>
    <definedName name="FY9L" localSheetId="1">[3]INPUT!#REF!</definedName>
    <definedName name="FY9L" localSheetId="0">[3]INPUT!#REF!</definedName>
    <definedName name="FY9L" localSheetId="2">[3]INPUT!#REF!</definedName>
    <definedName name="FY9L">[3]INPUT!#REF!</definedName>
    <definedName name="FY9R" localSheetId="1">[3]INPUT!#REF!</definedName>
    <definedName name="FY9R" localSheetId="0">[3]INPUT!#REF!</definedName>
    <definedName name="FY9R" localSheetId="2">[3]INPUT!#REF!</definedName>
    <definedName name="FY9R">[3]INPUT!#REF!</definedName>
    <definedName name="FYY10L" localSheetId="1">[3]INPUT!#REF!</definedName>
    <definedName name="FYY10L" localSheetId="0">[3]INPUT!#REF!</definedName>
    <definedName name="FYY10L" localSheetId="2">[3]INPUT!#REF!</definedName>
    <definedName name="FYY10L">[3]INPUT!#REF!</definedName>
    <definedName name="FYY10R" localSheetId="1">[3]INPUT!#REF!</definedName>
    <definedName name="FYY10R" localSheetId="0">[3]INPUT!#REF!</definedName>
    <definedName name="FYY10R" localSheetId="2">[3]INPUT!#REF!</definedName>
    <definedName name="FYY10R">[3]INPUT!#REF!</definedName>
    <definedName name="FYY3L" localSheetId="1">[3]INPUT!#REF!</definedName>
    <definedName name="FYY3L" localSheetId="0">[3]INPUT!#REF!</definedName>
    <definedName name="FYY3L" localSheetId="2">[3]INPUT!#REF!</definedName>
    <definedName name="FYY3L">[3]INPUT!#REF!</definedName>
    <definedName name="FYY3R" localSheetId="1">[3]INPUT!#REF!</definedName>
    <definedName name="FYY3R" localSheetId="0">[3]INPUT!#REF!</definedName>
    <definedName name="FYY3R" localSheetId="2">[3]INPUT!#REF!</definedName>
    <definedName name="FYY3R">[3]INPUT!#REF!</definedName>
    <definedName name="FYY4L" localSheetId="1">[3]INPUT!#REF!</definedName>
    <definedName name="FYY4L" localSheetId="0">[3]INPUT!#REF!</definedName>
    <definedName name="FYY4L" localSheetId="2">[3]INPUT!#REF!</definedName>
    <definedName name="FYY4L">[3]INPUT!#REF!</definedName>
    <definedName name="FYY4R" localSheetId="1">[3]INPUT!#REF!</definedName>
    <definedName name="FYY4R" localSheetId="0">[3]INPUT!#REF!</definedName>
    <definedName name="FYY4R" localSheetId="2">[3]INPUT!#REF!</definedName>
    <definedName name="FYY4R">[3]INPUT!#REF!</definedName>
    <definedName name="FYY5L" localSheetId="1">[3]INPUT!#REF!</definedName>
    <definedName name="FYY5L" localSheetId="0">[3]INPUT!#REF!</definedName>
    <definedName name="FYY5L" localSheetId="2">[3]INPUT!#REF!</definedName>
    <definedName name="FYY5L">[3]INPUT!#REF!</definedName>
    <definedName name="FYY5R" localSheetId="1">[3]INPUT!#REF!</definedName>
    <definedName name="FYY5R" localSheetId="0">[3]INPUT!#REF!</definedName>
    <definedName name="FYY5R" localSheetId="2">[3]INPUT!#REF!</definedName>
    <definedName name="FYY5R">[3]INPUT!#REF!</definedName>
    <definedName name="FYY6L" localSheetId="1">[3]INPUT!#REF!</definedName>
    <definedName name="FYY6L" localSheetId="0">[3]INPUT!#REF!</definedName>
    <definedName name="FYY6L" localSheetId="2">[3]INPUT!#REF!</definedName>
    <definedName name="FYY6L">[3]INPUT!#REF!</definedName>
    <definedName name="FYY6R" localSheetId="1">[3]INPUT!#REF!</definedName>
    <definedName name="FYY6R" localSheetId="0">[3]INPUT!#REF!</definedName>
    <definedName name="FYY6R" localSheetId="2">[3]INPUT!#REF!</definedName>
    <definedName name="FYY6R">[3]INPUT!#REF!</definedName>
    <definedName name="FYY7L" localSheetId="1">[3]INPUT!#REF!</definedName>
    <definedName name="FYY7L" localSheetId="0">[3]INPUT!#REF!</definedName>
    <definedName name="FYY7L" localSheetId="2">[3]INPUT!#REF!</definedName>
    <definedName name="FYY7L">[3]INPUT!#REF!</definedName>
    <definedName name="FYY7R" localSheetId="1">[3]INPUT!#REF!</definedName>
    <definedName name="FYY7R" localSheetId="0">[3]INPUT!#REF!</definedName>
    <definedName name="FYY7R" localSheetId="2">[3]INPUT!#REF!</definedName>
    <definedName name="FYY7R">[3]INPUT!#REF!</definedName>
    <definedName name="FYY8L" localSheetId="1">[3]INPUT!#REF!</definedName>
    <definedName name="FYY8L" localSheetId="0">[3]INPUT!#REF!</definedName>
    <definedName name="FYY8L" localSheetId="2">[3]INPUT!#REF!</definedName>
    <definedName name="FYY8L">[3]INPUT!#REF!</definedName>
    <definedName name="FYY8R" localSheetId="1">[3]INPUT!#REF!</definedName>
    <definedName name="FYY8R" localSheetId="0">[3]INPUT!#REF!</definedName>
    <definedName name="FYY8R" localSheetId="2">[3]INPUT!#REF!</definedName>
    <definedName name="FYY8R">[3]INPUT!#REF!</definedName>
    <definedName name="FYY9L" localSheetId="1">[3]INPUT!#REF!</definedName>
    <definedName name="FYY9L" localSheetId="0">[3]INPUT!#REF!</definedName>
    <definedName name="FYY9L" localSheetId="2">[3]INPUT!#REF!</definedName>
    <definedName name="FYY9L">[3]INPUT!#REF!</definedName>
    <definedName name="FYY9R" localSheetId="1">[3]INPUT!#REF!</definedName>
    <definedName name="FYY9R" localSheetId="0">[3]INPUT!#REF!</definedName>
    <definedName name="FYY9R" localSheetId="2">[3]INPUT!#REF!</definedName>
    <definedName name="FYY9R">[3]INPUT!#REF!</definedName>
    <definedName name="F수축줄눈">'[7]type-F'!$AS$419</definedName>
    <definedName name="F스치로폴">'[7]type-F'!$AS$411</definedName>
    <definedName name="F실링재">'[7]type-F'!$AS$415</definedName>
    <definedName name="G">[8]보도경계블럭!$P$4</definedName>
    <definedName name="G10L" localSheetId="1">[2]INPUT!#REF!</definedName>
    <definedName name="G10L" localSheetId="0">[2]INPUT!#REF!</definedName>
    <definedName name="G10L" localSheetId="2">[2]INPUT!#REF!</definedName>
    <definedName name="G10L">[2]INPUT!#REF!</definedName>
    <definedName name="G10R" localSheetId="1">[2]INPUT!#REF!</definedName>
    <definedName name="G10R" localSheetId="0">[2]INPUT!#REF!</definedName>
    <definedName name="G10R" localSheetId="2">[2]INPUT!#REF!</definedName>
    <definedName name="G10R">[2]INPUT!#REF!</definedName>
    <definedName name="g1a2p">[4]INPUT!$L$26</definedName>
    <definedName name="G3L" localSheetId="1">[2]INPUT!#REF!</definedName>
    <definedName name="G3L" localSheetId="0">[2]INPUT!#REF!</definedName>
    <definedName name="G3L" localSheetId="2">[2]INPUT!#REF!</definedName>
    <definedName name="G3L">[2]INPUT!#REF!</definedName>
    <definedName name="G3R" localSheetId="1">[2]INPUT!#REF!</definedName>
    <definedName name="G3R" localSheetId="0">[2]INPUT!#REF!</definedName>
    <definedName name="G3R" localSheetId="2">[2]INPUT!#REF!</definedName>
    <definedName name="G3R">[2]INPUT!#REF!</definedName>
    <definedName name="G4L" localSheetId="1">[2]INPUT!#REF!</definedName>
    <definedName name="G4L" localSheetId="0">[2]INPUT!#REF!</definedName>
    <definedName name="G4L" localSheetId="2">[2]INPUT!#REF!</definedName>
    <definedName name="G4L">[2]INPUT!#REF!</definedName>
    <definedName name="G4R" localSheetId="1">[2]INPUT!#REF!</definedName>
    <definedName name="G4R" localSheetId="0">[2]INPUT!#REF!</definedName>
    <definedName name="G4R" localSheetId="2">[2]INPUT!#REF!</definedName>
    <definedName name="G4R">[2]INPUT!#REF!</definedName>
    <definedName name="G5L" localSheetId="1">[2]INPUT!#REF!</definedName>
    <definedName name="G5L" localSheetId="0">[2]INPUT!#REF!</definedName>
    <definedName name="G5L" localSheetId="2">[2]INPUT!#REF!</definedName>
    <definedName name="G5L">[2]INPUT!#REF!</definedName>
    <definedName name="G5R" localSheetId="1">[2]INPUT!#REF!</definedName>
    <definedName name="G5R" localSheetId="0">[2]INPUT!#REF!</definedName>
    <definedName name="G5R" localSheetId="2">[2]INPUT!#REF!</definedName>
    <definedName name="G5R">[2]INPUT!#REF!</definedName>
    <definedName name="G6L" localSheetId="1">[2]INPUT!#REF!</definedName>
    <definedName name="G6L" localSheetId="0">[2]INPUT!#REF!</definedName>
    <definedName name="G6L" localSheetId="2">[2]INPUT!#REF!</definedName>
    <definedName name="G6L">[2]INPUT!#REF!</definedName>
    <definedName name="G6R" localSheetId="1">[2]INPUT!#REF!</definedName>
    <definedName name="G6R" localSheetId="0">[2]INPUT!#REF!</definedName>
    <definedName name="G6R" localSheetId="2">[2]INPUT!#REF!</definedName>
    <definedName name="G6R">[2]INPUT!#REF!</definedName>
    <definedName name="G7L" localSheetId="1">[2]INPUT!#REF!</definedName>
    <definedName name="G7L" localSheetId="0">[2]INPUT!#REF!</definedName>
    <definedName name="G7L" localSheetId="2">[2]INPUT!#REF!</definedName>
    <definedName name="G7L">[2]INPUT!#REF!</definedName>
    <definedName name="G7R" localSheetId="1">[2]INPUT!#REF!</definedName>
    <definedName name="G7R" localSheetId="0">[2]INPUT!#REF!</definedName>
    <definedName name="G7R" localSheetId="2">[2]INPUT!#REF!</definedName>
    <definedName name="G7R">[2]INPUT!#REF!</definedName>
    <definedName name="G8L" localSheetId="1">[2]INPUT!#REF!</definedName>
    <definedName name="G8L" localSheetId="0">[2]INPUT!#REF!</definedName>
    <definedName name="G8L" localSheetId="2">[2]INPUT!#REF!</definedName>
    <definedName name="G8L">[2]INPUT!#REF!</definedName>
    <definedName name="G8R" localSheetId="1">[2]INPUT!#REF!</definedName>
    <definedName name="G8R" localSheetId="0">[2]INPUT!#REF!</definedName>
    <definedName name="G8R" localSheetId="2">[2]INPUT!#REF!</definedName>
    <definedName name="G8R">[2]INPUT!#REF!</definedName>
    <definedName name="G9L" localSheetId="1">[2]INPUT!#REF!</definedName>
    <definedName name="G9L" localSheetId="0">[2]INPUT!#REF!</definedName>
    <definedName name="G9L" localSheetId="2">[2]INPUT!#REF!</definedName>
    <definedName name="G9L">[2]INPUT!#REF!</definedName>
    <definedName name="G9R" localSheetId="1">[2]INPUT!#REF!</definedName>
    <definedName name="G9R" localSheetId="0">[2]INPUT!#REF!</definedName>
    <definedName name="G9R" localSheetId="2">[2]INPUT!#REF!</definedName>
    <definedName name="G9R">[2]INPUT!#REF!</definedName>
    <definedName name="gamma">#REF!</definedName>
    <definedName name="GF">#REF!</definedName>
    <definedName name="GFD">#REF!</definedName>
    <definedName name="GH">#REF!</definedName>
    <definedName name="GH10L" localSheetId="1">[3]INPUT!#REF!</definedName>
    <definedName name="GH10L" localSheetId="0">[3]INPUT!#REF!</definedName>
    <definedName name="GH10L" localSheetId="2">[3]INPUT!#REF!</definedName>
    <definedName name="GH10L">[3]INPUT!#REF!</definedName>
    <definedName name="GH10R" localSheetId="1">[3]INPUT!#REF!</definedName>
    <definedName name="GH10R" localSheetId="0">[3]INPUT!#REF!</definedName>
    <definedName name="GH10R" localSheetId="2">[3]INPUT!#REF!</definedName>
    <definedName name="GH10R">[3]INPUT!#REF!</definedName>
    <definedName name="GH3L" localSheetId="1">[3]INPUT!#REF!</definedName>
    <definedName name="GH3L" localSheetId="0">[3]INPUT!#REF!</definedName>
    <definedName name="GH3L" localSheetId="2">[3]INPUT!#REF!</definedName>
    <definedName name="GH3L">[3]INPUT!#REF!</definedName>
    <definedName name="GH3R" localSheetId="1">[3]INPUT!#REF!</definedName>
    <definedName name="GH3R" localSheetId="0">[3]INPUT!#REF!</definedName>
    <definedName name="GH3R" localSheetId="2">[3]INPUT!#REF!</definedName>
    <definedName name="GH3R">[3]INPUT!#REF!</definedName>
    <definedName name="GH4L" localSheetId="1">[3]INPUT!#REF!</definedName>
    <definedName name="GH4L" localSheetId="0">[3]INPUT!#REF!</definedName>
    <definedName name="GH4L" localSheetId="2">[3]INPUT!#REF!</definedName>
    <definedName name="GH4L">[3]INPUT!#REF!</definedName>
    <definedName name="GH4R" localSheetId="1">[3]INPUT!#REF!</definedName>
    <definedName name="GH4R" localSheetId="0">[3]INPUT!#REF!</definedName>
    <definedName name="GH4R" localSheetId="2">[3]INPUT!#REF!</definedName>
    <definedName name="GH4R">[3]INPUT!#REF!</definedName>
    <definedName name="GH5L" localSheetId="1">[3]INPUT!#REF!</definedName>
    <definedName name="GH5L" localSheetId="0">[3]INPUT!#REF!</definedName>
    <definedName name="GH5L" localSheetId="2">[3]INPUT!#REF!</definedName>
    <definedName name="GH5L">[3]INPUT!#REF!</definedName>
    <definedName name="GH5R" localSheetId="1">[3]INPUT!#REF!</definedName>
    <definedName name="GH5R" localSheetId="0">[3]INPUT!#REF!</definedName>
    <definedName name="GH5R" localSheetId="2">[3]INPUT!#REF!</definedName>
    <definedName name="GH5R">[3]INPUT!#REF!</definedName>
    <definedName name="GH6L" localSheetId="1">[3]INPUT!#REF!</definedName>
    <definedName name="GH6L" localSheetId="0">[3]INPUT!#REF!</definedName>
    <definedName name="GH6L" localSheetId="2">[3]INPUT!#REF!</definedName>
    <definedName name="GH6L">[3]INPUT!#REF!</definedName>
    <definedName name="GH6R" localSheetId="1">[3]INPUT!#REF!</definedName>
    <definedName name="GH6R" localSheetId="0">[3]INPUT!#REF!</definedName>
    <definedName name="GH6R" localSheetId="2">[3]INPUT!#REF!</definedName>
    <definedName name="GH6R">[3]INPUT!#REF!</definedName>
    <definedName name="GH7L" localSheetId="1">[3]INPUT!#REF!</definedName>
    <definedName name="GH7L" localSheetId="0">[3]INPUT!#REF!</definedName>
    <definedName name="GH7L" localSheetId="2">[3]INPUT!#REF!</definedName>
    <definedName name="GH7L">[3]INPUT!#REF!</definedName>
    <definedName name="GH7R" localSheetId="1">[3]INPUT!#REF!</definedName>
    <definedName name="GH7R" localSheetId="0">[3]INPUT!#REF!</definedName>
    <definedName name="GH7R" localSheetId="2">[3]INPUT!#REF!</definedName>
    <definedName name="GH7R">[3]INPUT!#REF!</definedName>
    <definedName name="GH8L" localSheetId="1">[3]INPUT!#REF!</definedName>
    <definedName name="GH8L" localSheetId="0">[3]INPUT!#REF!</definedName>
    <definedName name="GH8L" localSheetId="2">[3]INPUT!#REF!</definedName>
    <definedName name="GH8L">[3]INPUT!#REF!</definedName>
    <definedName name="GH8R" localSheetId="1">[3]INPUT!#REF!</definedName>
    <definedName name="GH8R" localSheetId="0">[3]INPUT!#REF!</definedName>
    <definedName name="GH8R" localSheetId="2">[3]INPUT!#REF!</definedName>
    <definedName name="GH8R">[3]INPUT!#REF!</definedName>
    <definedName name="GH9L" localSheetId="1">[3]INPUT!#REF!</definedName>
    <definedName name="GH9L" localSheetId="0">[3]INPUT!#REF!</definedName>
    <definedName name="GH9L" localSheetId="2">[3]INPUT!#REF!</definedName>
    <definedName name="GH9L">[3]INPUT!#REF!</definedName>
    <definedName name="GH9R" localSheetId="1">[3]INPUT!#REF!</definedName>
    <definedName name="GH9R" localSheetId="0">[3]INPUT!#REF!</definedName>
    <definedName name="GH9R" localSheetId="2">[3]INPUT!#REF!</definedName>
    <definedName name="GH9R">[3]INPUT!#REF!</definedName>
    <definedName name="GKS" localSheetId="1">[1]현황산출서!#REF!</definedName>
    <definedName name="GKS" localSheetId="0">[1]현황산출서!#REF!</definedName>
    <definedName name="GKS" localSheetId="2">[1]현황산출서!#REF!</definedName>
    <definedName name="GKS">[1]현황산출서!#REF!</definedName>
    <definedName name="GKSKSK" localSheetId="1">[1]현황산출서!#REF!</definedName>
    <definedName name="GKSKSK" localSheetId="0">[1]현황산출서!#REF!</definedName>
    <definedName name="GKSKSK" localSheetId="2">[1]현황산출서!#REF!</definedName>
    <definedName name="GKSKSK">[1]현황산출서!#REF!</definedName>
    <definedName name="GrphActSales">#REF!</definedName>
    <definedName name="GrphActStk">#REF!</definedName>
    <definedName name="GrphPlanSales">#REF!</definedName>
    <definedName name="GrphTgtStk">#REF!</definedName>
    <definedName name="GuBae">#REF!</definedName>
    <definedName name="H">#REF!</definedName>
    <definedName name="h_water" localSheetId="1">'[9]3BL공동구 수량'!#REF!</definedName>
    <definedName name="h_water" localSheetId="0">'[9]3BL공동구 수량'!#REF!</definedName>
    <definedName name="h_water" localSheetId="2">'[9]3BL공동구 수량'!#REF!</definedName>
    <definedName name="h_water">'[9]3BL공동구 수량'!#REF!</definedName>
    <definedName name="h10a2p">[4]INPUT!$C$36</definedName>
    <definedName name="H10AAL" localSheetId="1">[3]INPUT!#REF!</definedName>
    <definedName name="H10AAL" localSheetId="0">[3]INPUT!#REF!</definedName>
    <definedName name="H10AAL" localSheetId="2">[3]INPUT!#REF!</definedName>
    <definedName name="H10AAL">[3]INPUT!#REF!</definedName>
    <definedName name="H10AAR" localSheetId="1">[3]INPUT!#REF!</definedName>
    <definedName name="H10AAR" localSheetId="0">[3]INPUT!#REF!</definedName>
    <definedName name="H10AAR" localSheetId="2">[3]INPUT!#REF!</definedName>
    <definedName name="H10AAR">[3]INPUT!#REF!</definedName>
    <definedName name="H10ABL" localSheetId="1">[3]INPUT!#REF!</definedName>
    <definedName name="H10ABL" localSheetId="0">[3]INPUT!#REF!</definedName>
    <definedName name="H10ABL" localSheetId="2">[3]INPUT!#REF!</definedName>
    <definedName name="H10ABL">[3]INPUT!#REF!</definedName>
    <definedName name="H10ABR" localSheetId="1">[3]INPUT!#REF!</definedName>
    <definedName name="H10ABR" localSheetId="0">[3]INPUT!#REF!</definedName>
    <definedName name="H10ABR" localSheetId="2">[3]INPUT!#REF!</definedName>
    <definedName name="H10ABR">[3]INPUT!#REF!</definedName>
    <definedName name="H10ACL" localSheetId="1">[3]INPUT!#REF!</definedName>
    <definedName name="H10ACL" localSheetId="0">[3]INPUT!#REF!</definedName>
    <definedName name="H10ACL" localSheetId="2">[3]INPUT!#REF!</definedName>
    <definedName name="H10ACL">[3]INPUT!#REF!</definedName>
    <definedName name="H10ACR" localSheetId="1">[3]INPUT!#REF!</definedName>
    <definedName name="H10ACR" localSheetId="0">[3]INPUT!#REF!</definedName>
    <definedName name="H10ACR" localSheetId="2">[3]INPUT!#REF!</definedName>
    <definedName name="H10ACR">[3]INPUT!#REF!</definedName>
    <definedName name="H10ADL" localSheetId="1">[3]INPUT!#REF!</definedName>
    <definedName name="H10ADL" localSheetId="0">[3]INPUT!#REF!</definedName>
    <definedName name="H10ADL" localSheetId="2">[3]INPUT!#REF!</definedName>
    <definedName name="H10ADL">[3]INPUT!#REF!</definedName>
    <definedName name="H10ADR" localSheetId="1">[3]INPUT!#REF!</definedName>
    <definedName name="H10ADR" localSheetId="0">[3]INPUT!#REF!</definedName>
    <definedName name="H10ADR" localSheetId="2">[3]INPUT!#REF!</definedName>
    <definedName name="H10ADR">[3]INPUT!#REF!</definedName>
    <definedName name="H10AEL" localSheetId="1">[3]INPUT!#REF!</definedName>
    <definedName name="H10AEL" localSheetId="0">[3]INPUT!#REF!</definedName>
    <definedName name="H10AEL" localSheetId="2">[3]INPUT!#REF!</definedName>
    <definedName name="H10AEL">[3]INPUT!#REF!</definedName>
    <definedName name="H10AER" localSheetId="1">[3]INPUT!#REF!</definedName>
    <definedName name="H10AER" localSheetId="0">[3]INPUT!#REF!</definedName>
    <definedName name="H10AER" localSheetId="2">[3]INPUT!#REF!</definedName>
    <definedName name="H10AER">[3]INPUT!#REF!</definedName>
    <definedName name="H10AFL" localSheetId="1">[3]INPUT!#REF!</definedName>
    <definedName name="H10AFL" localSheetId="0">[3]INPUT!#REF!</definedName>
    <definedName name="H10AFL" localSheetId="2">[3]INPUT!#REF!</definedName>
    <definedName name="H10AFL">[3]INPUT!#REF!</definedName>
    <definedName name="H10AFR" localSheetId="1">[3]INPUT!#REF!</definedName>
    <definedName name="H10AFR" localSheetId="0">[3]INPUT!#REF!</definedName>
    <definedName name="H10AFR" localSheetId="2">[3]INPUT!#REF!</definedName>
    <definedName name="H10AFR">[3]INPUT!#REF!</definedName>
    <definedName name="H10AGL" localSheetId="1">[3]INPUT!#REF!</definedName>
    <definedName name="H10AGL" localSheetId="0">[3]INPUT!#REF!</definedName>
    <definedName name="H10AGL" localSheetId="2">[3]INPUT!#REF!</definedName>
    <definedName name="H10AGL">[3]INPUT!#REF!</definedName>
    <definedName name="H10AGR" localSheetId="1">[3]INPUT!#REF!</definedName>
    <definedName name="H10AGR" localSheetId="0">[3]INPUT!#REF!</definedName>
    <definedName name="H10AGR" localSheetId="2">[3]INPUT!#REF!</definedName>
    <definedName name="H10AGR">[3]INPUT!#REF!</definedName>
    <definedName name="H10BAL" localSheetId="1">[3]INPUT!#REF!</definedName>
    <definedName name="H10BAL" localSheetId="0">[3]INPUT!#REF!</definedName>
    <definedName name="H10BAL" localSheetId="2">[3]INPUT!#REF!</definedName>
    <definedName name="H10BAL">[3]INPUT!#REF!</definedName>
    <definedName name="H10BAR" localSheetId="1">[3]INPUT!#REF!</definedName>
    <definedName name="H10BAR" localSheetId="0">[3]INPUT!#REF!</definedName>
    <definedName name="H10BAR" localSheetId="2">[3]INPUT!#REF!</definedName>
    <definedName name="H10BAR">[3]INPUT!#REF!</definedName>
    <definedName name="H10BBL" localSheetId="1">[3]INPUT!#REF!</definedName>
    <definedName name="H10BBL" localSheetId="0">[3]INPUT!#REF!</definedName>
    <definedName name="H10BBL" localSheetId="2">[3]INPUT!#REF!</definedName>
    <definedName name="H10BBL">[3]INPUT!#REF!</definedName>
    <definedName name="H10BBR" localSheetId="1">[3]INPUT!#REF!</definedName>
    <definedName name="H10BBR" localSheetId="0">[3]INPUT!#REF!</definedName>
    <definedName name="H10BBR" localSheetId="2">[3]INPUT!#REF!</definedName>
    <definedName name="H10BBR">[3]INPUT!#REF!</definedName>
    <definedName name="H10CAL" localSheetId="1">[3]INPUT!#REF!</definedName>
    <definedName name="H10CAL" localSheetId="0">[3]INPUT!#REF!</definedName>
    <definedName name="H10CAL" localSheetId="2">[3]INPUT!#REF!</definedName>
    <definedName name="H10CAL">[3]INPUT!#REF!</definedName>
    <definedName name="H10CAR" localSheetId="1">[3]INPUT!#REF!</definedName>
    <definedName name="H10CAR" localSheetId="0">[3]INPUT!#REF!</definedName>
    <definedName name="H10CAR" localSheetId="2">[3]INPUT!#REF!</definedName>
    <definedName name="H10CAR">[3]INPUT!#REF!</definedName>
    <definedName name="H10CBL" localSheetId="1">[3]INPUT!#REF!</definedName>
    <definedName name="H10CBL" localSheetId="0">[3]INPUT!#REF!</definedName>
    <definedName name="H10CBL" localSheetId="2">[3]INPUT!#REF!</definedName>
    <definedName name="H10CBL">[3]INPUT!#REF!</definedName>
    <definedName name="H10CBR" localSheetId="1">[3]INPUT!#REF!</definedName>
    <definedName name="H10CBR" localSheetId="0">[3]INPUT!#REF!</definedName>
    <definedName name="H10CBR" localSheetId="2">[3]INPUT!#REF!</definedName>
    <definedName name="H10CBR">[3]INPUT!#REF!</definedName>
    <definedName name="H10CCL" localSheetId="1">[3]INPUT!#REF!</definedName>
    <definedName name="H10CCL" localSheetId="0">[3]INPUT!#REF!</definedName>
    <definedName name="H10CCL" localSheetId="2">[3]INPUT!#REF!</definedName>
    <definedName name="H10CCL">[3]INPUT!#REF!</definedName>
    <definedName name="H10CCR" localSheetId="1">[3]INPUT!#REF!</definedName>
    <definedName name="H10CCR" localSheetId="0">[3]INPUT!#REF!</definedName>
    <definedName name="H10CCR" localSheetId="2">[3]INPUT!#REF!</definedName>
    <definedName name="H10CCR">[3]INPUT!#REF!</definedName>
    <definedName name="H10D1L" localSheetId="1">[3]INPUT!#REF!</definedName>
    <definedName name="H10D1L" localSheetId="0">[3]INPUT!#REF!</definedName>
    <definedName name="H10D1L" localSheetId="2">[3]INPUT!#REF!</definedName>
    <definedName name="H10D1L">[3]INPUT!#REF!</definedName>
    <definedName name="H10D1R" localSheetId="1">[3]INPUT!#REF!</definedName>
    <definedName name="H10D1R" localSheetId="0">[3]INPUT!#REF!</definedName>
    <definedName name="H10D1R" localSheetId="2">[3]INPUT!#REF!</definedName>
    <definedName name="H10D1R">[3]INPUT!#REF!</definedName>
    <definedName name="H10D2L" localSheetId="1">[3]INPUT!#REF!</definedName>
    <definedName name="H10D2L" localSheetId="0">[3]INPUT!#REF!</definedName>
    <definedName name="H10D2L" localSheetId="2">[3]INPUT!#REF!</definedName>
    <definedName name="H10D2L">[3]INPUT!#REF!</definedName>
    <definedName name="H10D2R" localSheetId="1">[3]INPUT!#REF!</definedName>
    <definedName name="H10D2R" localSheetId="0">[3]INPUT!#REF!</definedName>
    <definedName name="H10D2R" localSheetId="2">[3]INPUT!#REF!</definedName>
    <definedName name="H10D2R">[3]INPUT!#REF!</definedName>
    <definedName name="H10D3L" localSheetId="1">[3]INPUT!#REF!</definedName>
    <definedName name="H10D3L" localSheetId="0">[3]INPUT!#REF!</definedName>
    <definedName name="H10D3L" localSheetId="2">[3]INPUT!#REF!</definedName>
    <definedName name="H10D3L">[3]INPUT!#REF!</definedName>
    <definedName name="H10D3R" localSheetId="1">[3]INPUT!#REF!</definedName>
    <definedName name="H10D3R" localSheetId="0">[3]INPUT!#REF!</definedName>
    <definedName name="H10D3R" localSheetId="2">[3]INPUT!#REF!</definedName>
    <definedName name="H10D3R">[3]INPUT!#REF!</definedName>
    <definedName name="h1a2p">[4]INPUT!$C$27</definedName>
    <definedName name="H1H">#REF!</definedName>
    <definedName name="H1L">#REF!</definedName>
    <definedName name="H1R">#REF!</definedName>
    <definedName name="H1WL">#REF!</definedName>
    <definedName name="H1WR">#REF!</definedName>
    <definedName name="h2a2p">[4]INPUT!$C$28</definedName>
    <definedName name="H2H">#REF!</definedName>
    <definedName name="H2L">#REF!</definedName>
    <definedName name="H2R">#REF!</definedName>
    <definedName name="H2WL">#REF!</definedName>
    <definedName name="H2WR">#REF!</definedName>
    <definedName name="H3AAL" localSheetId="1">[3]INPUT!#REF!</definedName>
    <definedName name="H3AAL" localSheetId="0">[3]INPUT!#REF!</definedName>
    <definedName name="H3AAL" localSheetId="2">[3]INPUT!#REF!</definedName>
    <definedName name="H3AAL">[3]INPUT!#REF!</definedName>
    <definedName name="H3AAR" localSheetId="1">[3]INPUT!#REF!</definedName>
    <definedName name="H3AAR" localSheetId="0">[3]INPUT!#REF!</definedName>
    <definedName name="H3AAR" localSheetId="2">[3]INPUT!#REF!</definedName>
    <definedName name="H3AAR">[3]INPUT!#REF!</definedName>
    <definedName name="H3ABL" localSheetId="1">[3]INPUT!#REF!</definedName>
    <definedName name="H3ABL" localSheetId="0">[3]INPUT!#REF!</definedName>
    <definedName name="H3ABL" localSheetId="2">[3]INPUT!#REF!</definedName>
    <definedName name="H3ABL">[3]INPUT!#REF!</definedName>
    <definedName name="H3ABR" localSheetId="1">[3]INPUT!#REF!</definedName>
    <definedName name="H3ABR" localSheetId="0">[3]INPUT!#REF!</definedName>
    <definedName name="H3ABR" localSheetId="2">[3]INPUT!#REF!</definedName>
    <definedName name="H3ABR">[3]INPUT!#REF!</definedName>
    <definedName name="H3ACL" localSheetId="1">[3]INPUT!#REF!</definedName>
    <definedName name="H3ACL" localSheetId="0">[3]INPUT!#REF!</definedName>
    <definedName name="H3ACL" localSheetId="2">[3]INPUT!#REF!</definedName>
    <definedName name="H3ACL">[3]INPUT!#REF!</definedName>
    <definedName name="H3ACR" localSheetId="1">[3]INPUT!#REF!</definedName>
    <definedName name="H3ACR" localSheetId="0">[3]INPUT!#REF!</definedName>
    <definedName name="H3ACR" localSheetId="2">[3]INPUT!#REF!</definedName>
    <definedName name="H3ACR">[3]INPUT!#REF!</definedName>
    <definedName name="H3ADL" localSheetId="1">[3]INPUT!#REF!</definedName>
    <definedName name="H3ADL" localSheetId="0">[3]INPUT!#REF!</definedName>
    <definedName name="H3ADL" localSheetId="2">[3]INPUT!#REF!</definedName>
    <definedName name="H3ADL">[3]INPUT!#REF!</definedName>
    <definedName name="H3ADR" localSheetId="1">[3]INPUT!#REF!</definedName>
    <definedName name="H3ADR" localSheetId="0">[3]INPUT!#REF!</definedName>
    <definedName name="H3ADR" localSheetId="2">[3]INPUT!#REF!</definedName>
    <definedName name="H3ADR">[3]INPUT!#REF!</definedName>
    <definedName name="H3AEL" localSheetId="1">[3]INPUT!#REF!</definedName>
    <definedName name="H3AEL" localSheetId="0">[3]INPUT!#REF!</definedName>
    <definedName name="H3AEL" localSheetId="2">[3]INPUT!#REF!</definedName>
    <definedName name="H3AEL">[3]INPUT!#REF!</definedName>
    <definedName name="H3AER" localSheetId="1">[3]INPUT!#REF!</definedName>
    <definedName name="H3AER" localSheetId="0">[3]INPUT!#REF!</definedName>
    <definedName name="H3AER" localSheetId="2">[3]INPUT!#REF!</definedName>
    <definedName name="H3AER">[3]INPUT!#REF!</definedName>
    <definedName name="H3AFL" localSheetId="1">[3]INPUT!#REF!</definedName>
    <definedName name="H3AFL" localSheetId="0">[3]INPUT!#REF!</definedName>
    <definedName name="H3AFL" localSheetId="2">[3]INPUT!#REF!</definedName>
    <definedName name="H3AFL">[3]INPUT!#REF!</definedName>
    <definedName name="H3AFR" localSheetId="1">[3]INPUT!#REF!</definedName>
    <definedName name="H3AFR" localSheetId="0">[3]INPUT!#REF!</definedName>
    <definedName name="H3AFR" localSheetId="2">[3]INPUT!#REF!</definedName>
    <definedName name="H3AFR">[3]INPUT!#REF!</definedName>
    <definedName name="H3AGL" localSheetId="1">[3]INPUT!#REF!</definedName>
    <definedName name="H3AGL" localSheetId="0">[3]INPUT!#REF!</definedName>
    <definedName name="H3AGL" localSheetId="2">[3]INPUT!#REF!</definedName>
    <definedName name="H3AGL">[3]INPUT!#REF!</definedName>
    <definedName name="H3AGR" localSheetId="1">[3]INPUT!#REF!</definedName>
    <definedName name="H3AGR" localSheetId="0">[3]INPUT!#REF!</definedName>
    <definedName name="H3AGR" localSheetId="2">[3]INPUT!#REF!</definedName>
    <definedName name="H3AGR">[3]INPUT!#REF!</definedName>
    <definedName name="H3BAL" localSheetId="1">[3]INPUT!#REF!</definedName>
    <definedName name="H3BAL" localSheetId="0">[3]INPUT!#REF!</definedName>
    <definedName name="H3BAL" localSheetId="2">[3]INPUT!#REF!</definedName>
    <definedName name="H3BAL">[3]INPUT!#REF!</definedName>
    <definedName name="H3BAR" localSheetId="1">[3]INPUT!#REF!</definedName>
    <definedName name="H3BAR" localSheetId="0">[3]INPUT!#REF!</definedName>
    <definedName name="H3BAR" localSheetId="2">[3]INPUT!#REF!</definedName>
    <definedName name="H3BAR">[3]INPUT!#REF!</definedName>
    <definedName name="H3BBL" localSheetId="1">[3]INPUT!#REF!</definedName>
    <definedName name="H3BBL" localSheetId="0">[3]INPUT!#REF!</definedName>
    <definedName name="H3BBL" localSheetId="2">[3]INPUT!#REF!</definedName>
    <definedName name="H3BBL">[3]INPUT!#REF!</definedName>
    <definedName name="H3BBR" localSheetId="1">[3]INPUT!#REF!</definedName>
    <definedName name="H3BBR" localSheetId="0">[3]INPUT!#REF!</definedName>
    <definedName name="H3BBR" localSheetId="2">[3]INPUT!#REF!</definedName>
    <definedName name="H3BBR">[3]INPUT!#REF!</definedName>
    <definedName name="H3CAL" localSheetId="1">[3]INPUT!#REF!</definedName>
    <definedName name="H3CAL" localSheetId="0">[3]INPUT!#REF!</definedName>
    <definedName name="H3CAL" localSheetId="2">[3]INPUT!#REF!</definedName>
    <definedName name="H3CAL">[3]INPUT!#REF!</definedName>
    <definedName name="H3CAR" localSheetId="1">[3]INPUT!#REF!</definedName>
    <definedName name="H3CAR" localSheetId="0">[3]INPUT!#REF!</definedName>
    <definedName name="H3CAR" localSheetId="2">[3]INPUT!#REF!</definedName>
    <definedName name="H3CAR">[3]INPUT!#REF!</definedName>
    <definedName name="H3CBL" localSheetId="1">[3]INPUT!#REF!</definedName>
    <definedName name="H3CBL" localSheetId="0">[3]INPUT!#REF!</definedName>
    <definedName name="H3CBL" localSheetId="2">[3]INPUT!#REF!</definedName>
    <definedName name="H3CBL">[3]INPUT!#REF!</definedName>
    <definedName name="H3CBR" localSheetId="1">[3]INPUT!#REF!</definedName>
    <definedName name="H3CBR" localSheetId="0">[3]INPUT!#REF!</definedName>
    <definedName name="H3CBR" localSheetId="2">[3]INPUT!#REF!</definedName>
    <definedName name="H3CBR">[3]INPUT!#REF!</definedName>
    <definedName name="H3CCL" localSheetId="1">[3]INPUT!#REF!</definedName>
    <definedName name="H3CCL" localSheetId="0">[3]INPUT!#REF!</definedName>
    <definedName name="H3CCL" localSheetId="2">[3]INPUT!#REF!</definedName>
    <definedName name="H3CCL">[3]INPUT!#REF!</definedName>
    <definedName name="H3CCR" localSheetId="1">[3]INPUT!#REF!</definedName>
    <definedName name="H3CCR" localSheetId="0">[3]INPUT!#REF!</definedName>
    <definedName name="H3CCR" localSheetId="2">[3]INPUT!#REF!</definedName>
    <definedName name="H3CCR">[3]INPUT!#REF!</definedName>
    <definedName name="H3D1L" localSheetId="1">[3]INPUT!#REF!</definedName>
    <definedName name="H3D1L" localSheetId="0">[3]INPUT!#REF!</definedName>
    <definedName name="H3D1L" localSheetId="2">[3]INPUT!#REF!</definedName>
    <definedName name="H3D1L">[3]INPUT!#REF!</definedName>
    <definedName name="H3D1R" localSheetId="1">[3]INPUT!#REF!</definedName>
    <definedName name="H3D1R" localSheetId="0">[3]INPUT!#REF!</definedName>
    <definedName name="H3D1R" localSheetId="2">[3]INPUT!#REF!</definedName>
    <definedName name="H3D1R">[3]INPUT!#REF!</definedName>
    <definedName name="H3D2L" localSheetId="1">[3]INPUT!#REF!</definedName>
    <definedName name="H3D2L" localSheetId="0">[3]INPUT!#REF!</definedName>
    <definedName name="H3D2L" localSheetId="2">[3]INPUT!#REF!</definedName>
    <definedName name="H3D2L">[3]INPUT!#REF!</definedName>
    <definedName name="H3D2R" localSheetId="1">[3]INPUT!#REF!</definedName>
    <definedName name="H3D2R" localSheetId="0">[3]INPUT!#REF!</definedName>
    <definedName name="H3D2R" localSheetId="2">[3]INPUT!#REF!</definedName>
    <definedName name="H3D2R">[3]INPUT!#REF!</definedName>
    <definedName name="H3D3L" localSheetId="1">[3]INPUT!#REF!</definedName>
    <definedName name="H3D3L" localSheetId="0">[3]INPUT!#REF!</definedName>
    <definedName name="H3D3L" localSheetId="2">[3]INPUT!#REF!</definedName>
    <definedName name="H3D3L">[3]INPUT!#REF!</definedName>
    <definedName name="H3D3R" localSheetId="1">[3]INPUT!#REF!</definedName>
    <definedName name="H3D3R" localSheetId="0">[3]INPUT!#REF!</definedName>
    <definedName name="H3D3R" localSheetId="2">[3]INPUT!#REF!</definedName>
    <definedName name="H3D3R">[3]INPUT!#REF!</definedName>
    <definedName name="H3H">#REF!</definedName>
    <definedName name="H3L">#REF!</definedName>
    <definedName name="H3R">#REF!</definedName>
    <definedName name="H3WL">#REF!</definedName>
    <definedName name="H3WR">#REF!</definedName>
    <definedName name="h4a2p">[4]INPUT!$C$30</definedName>
    <definedName name="H4AAL" localSheetId="1">[3]INPUT!#REF!</definedName>
    <definedName name="H4AAL" localSheetId="0">[3]INPUT!#REF!</definedName>
    <definedName name="H4AAL" localSheetId="2">[3]INPUT!#REF!</definedName>
    <definedName name="H4AAL">[3]INPUT!#REF!</definedName>
    <definedName name="H4AAR" localSheetId="1">[3]INPUT!#REF!</definedName>
    <definedName name="H4AAR" localSheetId="0">[3]INPUT!#REF!</definedName>
    <definedName name="H4AAR" localSheetId="2">[3]INPUT!#REF!</definedName>
    <definedName name="H4AAR">[3]INPUT!#REF!</definedName>
    <definedName name="H4ABL" localSheetId="1">[3]INPUT!#REF!</definedName>
    <definedName name="H4ABL" localSheetId="0">[3]INPUT!#REF!</definedName>
    <definedName name="H4ABL" localSheetId="2">[3]INPUT!#REF!</definedName>
    <definedName name="H4ABL">[3]INPUT!#REF!</definedName>
    <definedName name="H4ABR" localSheetId="1">[3]INPUT!#REF!</definedName>
    <definedName name="H4ABR" localSheetId="0">[3]INPUT!#REF!</definedName>
    <definedName name="H4ABR" localSheetId="2">[3]INPUT!#REF!</definedName>
    <definedName name="H4ABR">[3]INPUT!#REF!</definedName>
    <definedName name="H4ACL" localSheetId="1">[3]INPUT!#REF!</definedName>
    <definedName name="H4ACL" localSheetId="0">[3]INPUT!#REF!</definedName>
    <definedName name="H4ACL" localSheetId="2">[3]INPUT!#REF!</definedName>
    <definedName name="H4ACL">[3]INPUT!#REF!</definedName>
    <definedName name="H4ACR" localSheetId="1">[3]INPUT!#REF!</definedName>
    <definedName name="H4ACR" localSheetId="0">[3]INPUT!#REF!</definedName>
    <definedName name="H4ACR" localSheetId="2">[3]INPUT!#REF!</definedName>
    <definedName name="H4ACR">[3]INPUT!#REF!</definedName>
    <definedName name="H4ADL" localSheetId="1">[3]INPUT!#REF!</definedName>
    <definedName name="H4ADL" localSheetId="0">[3]INPUT!#REF!</definedName>
    <definedName name="H4ADL" localSheetId="2">[3]INPUT!#REF!</definedName>
    <definedName name="H4ADL">[3]INPUT!#REF!</definedName>
    <definedName name="H4ADR" localSheetId="1">[3]INPUT!#REF!</definedName>
    <definedName name="H4ADR" localSheetId="0">[3]INPUT!#REF!</definedName>
    <definedName name="H4ADR" localSheetId="2">[3]INPUT!#REF!</definedName>
    <definedName name="H4ADR">[3]INPUT!#REF!</definedName>
    <definedName name="H4AEL" localSheetId="1">[3]INPUT!#REF!</definedName>
    <definedName name="H4AEL" localSheetId="0">[3]INPUT!#REF!</definedName>
    <definedName name="H4AEL" localSheetId="2">[3]INPUT!#REF!</definedName>
    <definedName name="H4AEL">[3]INPUT!#REF!</definedName>
    <definedName name="H4AER" localSheetId="1">[3]INPUT!#REF!</definedName>
    <definedName name="H4AER" localSheetId="0">[3]INPUT!#REF!</definedName>
    <definedName name="H4AER" localSheetId="2">[3]INPUT!#REF!</definedName>
    <definedName name="H4AER">[3]INPUT!#REF!</definedName>
    <definedName name="H4AFL" localSheetId="1">[3]INPUT!#REF!</definedName>
    <definedName name="H4AFL" localSheetId="0">[3]INPUT!#REF!</definedName>
    <definedName name="H4AFL" localSheetId="2">[3]INPUT!#REF!</definedName>
    <definedName name="H4AFL">[3]INPUT!#REF!</definedName>
    <definedName name="H4AFR" localSheetId="1">[3]INPUT!#REF!</definedName>
    <definedName name="H4AFR" localSheetId="0">[3]INPUT!#REF!</definedName>
    <definedName name="H4AFR" localSheetId="2">[3]INPUT!#REF!</definedName>
    <definedName name="H4AFR">[3]INPUT!#REF!</definedName>
    <definedName name="H4AGL" localSheetId="1">[3]INPUT!#REF!</definedName>
    <definedName name="H4AGL" localSheetId="0">[3]INPUT!#REF!</definedName>
    <definedName name="H4AGL" localSheetId="2">[3]INPUT!#REF!</definedName>
    <definedName name="H4AGL">[3]INPUT!#REF!</definedName>
    <definedName name="H4AGR" localSheetId="1">[3]INPUT!#REF!</definedName>
    <definedName name="H4AGR" localSheetId="0">[3]INPUT!#REF!</definedName>
    <definedName name="H4AGR" localSheetId="2">[3]INPUT!#REF!</definedName>
    <definedName name="H4AGR">[3]INPUT!#REF!</definedName>
    <definedName name="H4BAL" localSheetId="1">[3]INPUT!#REF!</definedName>
    <definedName name="H4BAL" localSheetId="0">[3]INPUT!#REF!</definedName>
    <definedName name="H4BAL" localSheetId="2">[3]INPUT!#REF!</definedName>
    <definedName name="H4BAL">[3]INPUT!#REF!</definedName>
    <definedName name="H4BAR" localSheetId="1">[3]INPUT!#REF!</definedName>
    <definedName name="H4BAR" localSheetId="0">[3]INPUT!#REF!</definedName>
    <definedName name="H4BAR" localSheetId="2">[3]INPUT!#REF!</definedName>
    <definedName name="H4BAR">[3]INPUT!#REF!</definedName>
    <definedName name="H4BBL" localSheetId="1">[3]INPUT!#REF!</definedName>
    <definedName name="H4BBL" localSheetId="0">[3]INPUT!#REF!</definedName>
    <definedName name="H4BBL" localSheetId="2">[3]INPUT!#REF!</definedName>
    <definedName name="H4BBL">[3]INPUT!#REF!</definedName>
    <definedName name="H4BBR" localSheetId="1">[3]INPUT!#REF!</definedName>
    <definedName name="H4BBR" localSheetId="0">[3]INPUT!#REF!</definedName>
    <definedName name="H4BBR" localSheetId="2">[3]INPUT!#REF!</definedName>
    <definedName name="H4BBR">[3]INPUT!#REF!</definedName>
    <definedName name="H4CAL" localSheetId="1">[3]INPUT!#REF!</definedName>
    <definedName name="H4CAL" localSheetId="0">[3]INPUT!#REF!</definedName>
    <definedName name="H4CAL" localSheetId="2">[3]INPUT!#REF!</definedName>
    <definedName name="H4CAL">[3]INPUT!#REF!</definedName>
    <definedName name="H4CAR" localSheetId="1">[3]INPUT!#REF!</definedName>
    <definedName name="H4CAR" localSheetId="0">[3]INPUT!#REF!</definedName>
    <definedName name="H4CAR" localSheetId="2">[3]INPUT!#REF!</definedName>
    <definedName name="H4CAR">[3]INPUT!#REF!</definedName>
    <definedName name="H4CBL" localSheetId="1">[3]INPUT!#REF!</definedName>
    <definedName name="H4CBL" localSheetId="0">[3]INPUT!#REF!</definedName>
    <definedName name="H4CBL" localSheetId="2">[3]INPUT!#REF!</definedName>
    <definedName name="H4CBL">[3]INPUT!#REF!</definedName>
    <definedName name="H4CBR" localSheetId="1">[3]INPUT!#REF!</definedName>
    <definedName name="H4CBR" localSheetId="0">[3]INPUT!#REF!</definedName>
    <definedName name="H4CBR" localSheetId="2">[3]INPUT!#REF!</definedName>
    <definedName name="H4CBR">[3]INPUT!#REF!</definedName>
    <definedName name="H4CCL" localSheetId="1">[3]INPUT!#REF!</definedName>
    <definedName name="H4CCL" localSheetId="0">[3]INPUT!#REF!</definedName>
    <definedName name="H4CCL" localSheetId="2">[3]INPUT!#REF!</definedName>
    <definedName name="H4CCL">[3]INPUT!#REF!</definedName>
    <definedName name="H4CCR" localSheetId="1">[3]INPUT!#REF!</definedName>
    <definedName name="H4CCR" localSheetId="0">[3]INPUT!#REF!</definedName>
    <definedName name="H4CCR" localSheetId="2">[3]INPUT!#REF!</definedName>
    <definedName name="H4CCR">[3]INPUT!#REF!</definedName>
    <definedName name="H4D1L" localSheetId="1">[3]INPUT!#REF!</definedName>
    <definedName name="H4D1L" localSheetId="0">[3]INPUT!#REF!</definedName>
    <definedName name="H4D1L" localSheetId="2">[3]INPUT!#REF!</definedName>
    <definedName name="H4D1L">[3]INPUT!#REF!</definedName>
    <definedName name="H4D1R" localSheetId="1">[3]INPUT!#REF!</definedName>
    <definedName name="H4D1R" localSheetId="0">[3]INPUT!#REF!</definedName>
    <definedName name="H4D1R" localSheetId="2">[3]INPUT!#REF!</definedName>
    <definedName name="H4D1R">[3]INPUT!#REF!</definedName>
    <definedName name="H4D2L" localSheetId="1">[3]INPUT!#REF!</definedName>
    <definedName name="H4D2L" localSheetId="0">[3]INPUT!#REF!</definedName>
    <definedName name="H4D2L" localSheetId="2">[3]INPUT!#REF!</definedName>
    <definedName name="H4D2L">[3]INPUT!#REF!</definedName>
    <definedName name="H4D2R" localSheetId="1">[3]INPUT!#REF!</definedName>
    <definedName name="H4D2R" localSheetId="0">[3]INPUT!#REF!</definedName>
    <definedName name="H4D2R" localSheetId="2">[3]INPUT!#REF!</definedName>
    <definedName name="H4D2R">[3]INPUT!#REF!</definedName>
    <definedName name="H4D3L" localSheetId="1">[3]INPUT!#REF!</definedName>
    <definedName name="H4D3L" localSheetId="0">[3]INPUT!#REF!</definedName>
    <definedName name="H4D3L" localSheetId="2">[3]INPUT!#REF!</definedName>
    <definedName name="H4D3L">[3]INPUT!#REF!</definedName>
    <definedName name="H4D3R" localSheetId="1">[3]INPUT!#REF!</definedName>
    <definedName name="H4D3R" localSheetId="0">[3]INPUT!#REF!</definedName>
    <definedName name="H4D3R" localSheetId="2">[3]INPUT!#REF!</definedName>
    <definedName name="H4D3R">[3]INPUT!#REF!</definedName>
    <definedName name="H4H">#REF!</definedName>
    <definedName name="H4L">#REF!</definedName>
    <definedName name="H4R">#REF!</definedName>
    <definedName name="H5AAL" localSheetId="1">[3]INPUT!#REF!</definedName>
    <definedName name="H5AAL" localSheetId="0">[3]INPUT!#REF!</definedName>
    <definedName name="H5AAL" localSheetId="2">[3]INPUT!#REF!</definedName>
    <definedName name="H5AAL">[3]INPUT!#REF!</definedName>
    <definedName name="H5AAR" localSheetId="1">[3]INPUT!#REF!</definedName>
    <definedName name="H5AAR" localSheetId="0">[3]INPUT!#REF!</definedName>
    <definedName name="H5AAR" localSheetId="2">[3]INPUT!#REF!</definedName>
    <definedName name="H5AAR">[3]INPUT!#REF!</definedName>
    <definedName name="H5ABL" localSheetId="1">[3]INPUT!#REF!</definedName>
    <definedName name="H5ABL" localSheetId="0">[3]INPUT!#REF!</definedName>
    <definedName name="H5ABL" localSheetId="2">[3]INPUT!#REF!</definedName>
    <definedName name="H5ABL">[3]INPUT!#REF!</definedName>
    <definedName name="H5ABR" localSheetId="1">[3]INPUT!#REF!</definedName>
    <definedName name="H5ABR" localSheetId="0">[3]INPUT!#REF!</definedName>
    <definedName name="H5ABR" localSheetId="2">[3]INPUT!#REF!</definedName>
    <definedName name="H5ABR">[3]INPUT!#REF!</definedName>
    <definedName name="H5ACL" localSheetId="1">[3]INPUT!#REF!</definedName>
    <definedName name="H5ACL" localSheetId="0">[3]INPUT!#REF!</definedName>
    <definedName name="H5ACL" localSheetId="2">[3]INPUT!#REF!</definedName>
    <definedName name="H5ACL">[3]INPUT!#REF!</definedName>
    <definedName name="H5ACR" localSheetId="1">[3]INPUT!#REF!</definedName>
    <definedName name="H5ACR" localSheetId="0">[3]INPUT!#REF!</definedName>
    <definedName name="H5ACR" localSheetId="2">[3]INPUT!#REF!</definedName>
    <definedName name="H5ACR">[3]INPUT!#REF!</definedName>
    <definedName name="H5ADL" localSheetId="1">[3]INPUT!#REF!</definedName>
    <definedName name="H5ADL" localSheetId="0">[3]INPUT!#REF!</definedName>
    <definedName name="H5ADL" localSheetId="2">[3]INPUT!#REF!</definedName>
    <definedName name="H5ADL">[3]INPUT!#REF!</definedName>
    <definedName name="H5ADR" localSheetId="1">[3]INPUT!#REF!</definedName>
    <definedName name="H5ADR" localSheetId="0">[3]INPUT!#REF!</definedName>
    <definedName name="H5ADR" localSheetId="2">[3]INPUT!#REF!</definedName>
    <definedName name="H5ADR">[3]INPUT!#REF!</definedName>
    <definedName name="H5AEL" localSheetId="1">[3]INPUT!#REF!</definedName>
    <definedName name="H5AEL" localSheetId="0">[3]INPUT!#REF!</definedName>
    <definedName name="H5AEL" localSheetId="2">[3]INPUT!#REF!</definedName>
    <definedName name="H5AEL">[3]INPUT!#REF!</definedName>
    <definedName name="H5AER" localSheetId="1">[3]INPUT!#REF!</definedName>
    <definedName name="H5AER" localSheetId="0">[3]INPUT!#REF!</definedName>
    <definedName name="H5AER" localSheetId="2">[3]INPUT!#REF!</definedName>
    <definedName name="H5AER">[3]INPUT!#REF!</definedName>
    <definedName name="H5AFL" localSheetId="1">[3]INPUT!#REF!</definedName>
    <definedName name="H5AFL" localSheetId="0">[3]INPUT!#REF!</definedName>
    <definedName name="H5AFL" localSheetId="2">[3]INPUT!#REF!</definedName>
    <definedName name="H5AFL">[3]INPUT!#REF!</definedName>
    <definedName name="H5AFR" localSheetId="1">[3]INPUT!#REF!</definedName>
    <definedName name="H5AFR" localSheetId="0">[3]INPUT!#REF!</definedName>
    <definedName name="H5AFR" localSheetId="2">[3]INPUT!#REF!</definedName>
    <definedName name="H5AFR">[3]INPUT!#REF!</definedName>
    <definedName name="H5AGL" localSheetId="1">[3]INPUT!#REF!</definedName>
    <definedName name="H5AGL" localSheetId="0">[3]INPUT!#REF!</definedName>
    <definedName name="H5AGL" localSheetId="2">[3]INPUT!#REF!</definedName>
    <definedName name="H5AGL">[3]INPUT!#REF!</definedName>
    <definedName name="H5AGR" localSheetId="1">[3]INPUT!#REF!</definedName>
    <definedName name="H5AGR" localSheetId="0">[3]INPUT!#REF!</definedName>
    <definedName name="H5AGR" localSheetId="2">[3]INPUT!#REF!</definedName>
    <definedName name="H5AGR">[3]INPUT!#REF!</definedName>
    <definedName name="H5BAL" localSheetId="1">[3]INPUT!#REF!</definedName>
    <definedName name="H5BAL" localSheetId="0">[3]INPUT!#REF!</definedName>
    <definedName name="H5BAL" localSheetId="2">[3]INPUT!#REF!</definedName>
    <definedName name="H5BAL">[3]INPUT!#REF!</definedName>
    <definedName name="H5BAR" localSheetId="1">[3]INPUT!#REF!</definedName>
    <definedName name="H5BAR" localSheetId="0">[3]INPUT!#REF!</definedName>
    <definedName name="H5BAR" localSheetId="2">[3]INPUT!#REF!</definedName>
    <definedName name="H5BAR">[3]INPUT!#REF!</definedName>
    <definedName name="H5BBL" localSheetId="1">[3]INPUT!#REF!</definedName>
    <definedName name="H5BBL" localSheetId="0">[3]INPUT!#REF!</definedName>
    <definedName name="H5BBL" localSheetId="2">[3]INPUT!#REF!</definedName>
    <definedName name="H5BBL">[3]INPUT!#REF!</definedName>
    <definedName name="H5BBR" localSheetId="1">[3]INPUT!#REF!</definedName>
    <definedName name="H5BBR" localSheetId="0">[3]INPUT!#REF!</definedName>
    <definedName name="H5BBR" localSheetId="2">[3]INPUT!#REF!</definedName>
    <definedName name="H5BBR">[3]INPUT!#REF!</definedName>
    <definedName name="H5CAL" localSheetId="1">[3]INPUT!#REF!</definedName>
    <definedName name="H5CAL" localSheetId="0">[3]INPUT!#REF!</definedName>
    <definedName name="H5CAL" localSheetId="2">[3]INPUT!#REF!</definedName>
    <definedName name="H5CAL">[3]INPUT!#REF!</definedName>
    <definedName name="H5CAR" localSheetId="1">[3]INPUT!#REF!</definedName>
    <definedName name="H5CAR" localSheetId="0">[3]INPUT!#REF!</definedName>
    <definedName name="H5CAR" localSheetId="2">[3]INPUT!#REF!</definedName>
    <definedName name="H5CAR">[3]INPUT!#REF!</definedName>
    <definedName name="H5CBL" localSheetId="1">[3]INPUT!#REF!</definedName>
    <definedName name="H5CBL" localSheetId="0">[3]INPUT!#REF!</definedName>
    <definedName name="H5CBL" localSheetId="2">[3]INPUT!#REF!</definedName>
    <definedName name="H5CBL">[3]INPUT!#REF!</definedName>
    <definedName name="H5CBR" localSheetId="1">[3]INPUT!#REF!</definedName>
    <definedName name="H5CBR" localSheetId="0">[3]INPUT!#REF!</definedName>
    <definedName name="H5CBR" localSheetId="2">[3]INPUT!#REF!</definedName>
    <definedName name="H5CBR">[3]INPUT!#REF!</definedName>
    <definedName name="H5CCL" localSheetId="1">[3]INPUT!#REF!</definedName>
    <definedName name="H5CCL" localSheetId="0">[3]INPUT!#REF!</definedName>
    <definedName name="H5CCL" localSheetId="2">[3]INPUT!#REF!</definedName>
    <definedName name="H5CCL">[3]INPUT!#REF!</definedName>
    <definedName name="H5CCR" localSheetId="1">[3]INPUT!#REF!</definedName>
    <definedName name="H5CCR" localSheetId="0">[3]INPUT!#REF!</definedName>
    <definedName name="H5CCR" localSheetId="2">[3]INPUT!#REF!</definedName>
    <definedName name="H5CCR">[3]INPUT!#REF!</definedName>
    <definedName name="H5D1L" localSheetId="1">[3]INPUT!#REF!</definedName>
    <definedName name="H5D1L" localSheetId="0">[3]INPUT!#REF!</definedName>
    <definedName name="H5D1L" localSheetId="2">[3]INPUT!#REF!</definedName>
    <definedName name="H5D1L">[3]INPUT!#REF!</definedName>
    <definedName name="H5D1R" localSheetId="1">[3]INPUT!#REF!</definedName>
    <definedName name="H5D1R" localSheetId="0">[3]INPUT!#REF!</definedName>
    <definedName name="H5D1R" localSheetId="2">[3]INPUT!#REF!</definedName>
    <definedName name="H5D1R">[3]INPUT!#REF!</definedName>
    <definedName name="H5D2L" localSheetId="1">[3]INPUT!#REF!</definedName>
    <definedName name="H5D2L" localSheetId="0">[3]INPUT!#REF!</definedName>
    <definedName name="H5D2L" localSheetId="2">[3]INPUT!#REF!</definedName>
    <definedName name="H5D2L">[3]INPUT!#REF!</definedName>
    <definedName name="H5D2R" localSheetId="1">[3]INPUT!#REF!</definedName>
    <definedName name="H5D2R" localSheetId="0">[3]INPUT!#REF!</definedName>
    <definedName name="H5D2R" localSheetId="2">[3]INPUT!#REF!</definedName>
    <definedName name="H5D2R">[3]INPUT!#REF!</definedName>
    <definedName name="H5D3L" localSheetId="1">[3]INPUT!#REF!</definedName>
    <definedName name="H5D3L" localSheetId="0">[3]INPUT!#REF!</definedName>
    <definedName name="H5D3L" localSheetId="2">[3]INPUT!#REF!</definedName>
    <definedName name="H5D3L">[3]INPUT!#REF!</definedName>
    <definedName name="H5D3R" localSheetId="1">[3]INPUT!#REF!</definedName>
    <definedName name="H5D3R" localSheetId="0">[3]INPUT!#REF!</definedName>
    <definedName name="H5D3R" localSheetId="2">[3]INPUT!#REF!</definedName>
    <definedName name="H5D3R">[3]INPUT!#REF!</definedName>
    <definedName name="H5L">#REF!</definedName>
    <definedName name="H5R">#REF!</definedName>
    <definedName name="h6a">#REF!</definedName>
    <definedName name="H6AAL" localSheetId="1">[3]INPUT!#REF!</definedName>
    <definedName name="H6AAL" localSheetId="0">[3]INPUT!#REF!</definedName>
    <definedName name="H6AAL" localSheetId="2">[3]INPUT!#REF!</definedName>
    <definedName name="H6AAL">[3]INPUT!#REF!</definedName>
    <definedName name="H6AAR" localSheetId="1">[3]INPUT!#REF!</definedName>
    <definedName name="H6AAR" localSheetId="0">[3]INPUT!#REF!</definedName>
    <definedName name="H6AAR" localSheetId="2">[3]INPUT!#REF!</definedName>
    <definedName name="H6AAR">[3]INPUT!#REF!</definedName>
    <definedName name="H6ABL" localSheetId="1">[3]INPUT!#REF!</definedName>
    <definedName name="H6ABL" localSheetId="0">[3]INPUT!#REF!</definedName>
    <definedName name="H6ABL" localSheetId="2">[3]INPUT!#REF!</definedName>
    <definedName name="H6ABL">[3]INPUT!#REF!</definedName>
    <definedName name="H6ABR" localSheetId="1">[3]INPUT!#REF!</definedName>
    <definedName name="H6ABR" localSheetId="0">[3]INPUT!#REF!</definedName>
    <definedName name="H6ABR" localSheetId="2">[3]INPUT!#REF!</definedName>
    <definedName name="H6ABR">[3]INPUT!#REF!</definedName>
    <definedName name="H6ACL" localSheetId="1">[3]INPUT!#REF!</definedName>
    <definedName name="H6ACL" localSheetId="0">[3]INPUT!#REF!</definedName>
    <definedName name="H6ACL" localSheetId="2">[3]INPUT!#REF!</definedName>
    <definedName name="H6ACL">[3]INPUT!#REF!</definedName>
    <definedName name="H6ACR" localSheetId="1">[3]INPUT!#REF!</definedName>
    <definedName name="H6ACR" localSheetId="0">[3]INPUT!#REF!</definedName>
    <definedName name="H6ACR" localSheetId="2">[3]INPUT!#REF!</definedName>
    <definedName name="H6ACR">[3]INPUT!#REF!</definedName>
    <definedName name="H6ADL" localSheetId="1">[3]INPUT!#REF!</definedName>
    <definedName name="H6ADL" localSheetId="0">[3]INPUT!#REF!</definedName>
    <definedName name="H6ADL" localSheetId="2">[3]INPUT!#REF!</definedName>
    <definedName name="H6ADL">[3]INPUT!#REF!</definedName>
    <definedName name="H6ADR" localSheetId="1">[3]INPUT!#REF!</definedName>
    <definedName name="H6ADR" localSheetId="0">[3]INPUT!#REF!</definedName>
    <definedName name="H6ADR" localSheetId="2">[3]INPUT!#REF!</definedName>
    <definedName name="H6ADR">[3]INPUT!#REF!</definedName>
    <definedName name="H6AEL" localSheetId="1">[3]INPUT!#REF!</definedName>
    <definedName name="H6AEL" localSheetId="0">[3]INPUT!#REF!</definedName>
    <definedName name="H6AEL" localSheetId="2">[3]INPUT!#REF!</definedName>
    <definedName name="H6AEL">[3]INPUT!#REF!</definedName>
    <definedName name="H6AER" localSheetId="1">[3]INPUT!#REF!</definedName>
    <definedName name="H6AER" localSheetId="0">[3]INPUT!#REF!</definedName>
    <definedName name="H6AER" localSheetId="2">[3]INPUT!#REF!</definedName>
    <definedName name="H6AER">[3]INPUT!#REF!</definedName>
    <definedName name="H6AFL" localSheetId="1">[3]INPUT!#REF!</definedName>
    <definedName name="H6AFL" localSheetId="0">[3]INPUT!#REF!</definedName>
    <definedName name="H6AFL" localSheetId="2">[3]INPUT!#REF!</definedName>
    <definedName name="H6AFL">[3]INPUT!#REF!</definedName>
    <definedName name="H6AFR" localSheetId="1">[3]INPUT!#REF!</definedName>
    <definedName name="H6AFR" localSheetId="0">[3]INPUT!#REF!</definedName>
    <definedName name="H6AFR" localSheetId="2">[3]INPUT!#REF!</definedName>
    <definedName name="H6AFR">[3]INPUT!#REF!</definedName>
    <definedName name="H6AGL" localSheetId="1">[3]INPUT!#REF!</definedName>
    <definedName name="H6AGL" localSheetId="0">[3]INPUT!#REF!</definedName>
    <definedName name="H6AGL" localSheetId="2">[3]INPUT!#REF!</definedName>
    <definedName name="H6AGL">[3]INPUT!#REF!</definedName>
    <definedName name="H6AGR" localSheetId="1">[3]INPUT!#REF!</definedName>
    <definedName name="H6AGR" localSheetId="0">[3]INPUT!#REF!</definedName>
    <definedName name="H6AGR" localSheetId="2">[3]INPUT!#REF!</definedName>
    <definedName name="H6AGR">[3]INPUT!#REF!</definedName>
    <definedName name="H6BAL" localSheetId="1">[3]INPUT!#REF!</definedName>
    <definedName name="H6BAL" localSheetId="0">[3]INPUT!#REF!</definedName>
    <definedName name="H6BAL" localSheetId="2">[3]INPUT!#REF!</definedName>
    <definedName name="H6BAL">[3]INPUT!#REF!</definedName>
    <definedName name="H6BAR" localSheetId="1">[3]INPUT!#REF!</definedName>
    <definedName name="H6BAR" localSheetId="0">[3]INPUT!#REF!</definedName>
    <definedName name="H6BAR" localSheetId="2">[3]INPUT!#REF!</definedName>
    <definedName name="H6BAR">[3]INPUT!#REF!</definedName>
    <definedName name="H6BBL" localSheetId="1">[3]INPUT!#REF!</definedName>
    <definedName name="H6BBL" localSheetId="0">[3]INPUT!#REF!</definedName>
    <definedName name="H6BBL" localSheetId="2">[3]INPUT!#REF!</definedName>
    <definedName name="H6BBL">[3]INPUT!#REF!</definedName>
    <definedName name="H6BBR" localSheetId="1">[3]INPUT!#REF!</definedName>
    <definedName name="H6BBR" localSheetId="0">[3]INPUT!#REF!</definedName>
    <definedName name="H6BBR" localSheetId="2">[3]INPUT!#REF!</definedName>
    <definedName name="H6BBR">[3]INPUT!#REF!</definedName>
    <definedName name="H6CAL" localSheetId="1">[3]INPUT!#REF!</definedName>
    <definedName name="H6CAL" localSheetId="0">[3]INPUT!#REF!</definedName>
    <definedName name="H6CAL" localSheetId="2">[3]INPUT!#REF!</definedName>
    <definedName name="H6CAL">[3]INPUT!#REF!</definedName>
    <definedName name="H6CAR" localSheetId="1">[3]INPUT!#REF!</definedName>
    <definedName name="H6CAR" localSheetId="0">[3]INPUT!#REF!</definedName>
    <definedName name="H6CAR" localSheetId="2">[3]INPUT!#REF!</definedName>
    <definedName name="H6CAR">[3]INPUT!#REF!</definedName>
    <definedName name="H6CBL" localSheetId="1">[3]INPUT!#REF!</definedName>
    <definedName name="H6CBL" localSheetId="0">[3]INPUT!#REF!</definedName>
    <definedName name="H6CBL" localSheetId="2">[3]INPUT!#REF!</definedName>
    <definedName name="H6CBL">[3]INPUT!#REF!</definedName>
    <definedName name="H6CBR" localSheetId="1">[3]INPUT!#REF!</definedName>
    <definedName name="H6CBR" localSheetId="0">[3]INPUT!#REF!</definedName>
    <definedName name="H6CBR" localSheetId="2">[3]INPUT!#REF!</definedName>
    <definedName name="H6CBR">[3]INPUT!#REF!</definedName>
    <definedName name="H6CCL" localSheetId="1">[3]INPUT!#REF!</definedName>
    <definedName name="H6CCL" localSheetId="0">[3]INPUT!#REF!</definedName>
    <definedName name="H6CCL" localSheetId="2">[3]INPUT!#REF!</definedName>
    <definedName name="H6CCL">[3]INPUT!#REF!</definedName>
    <definedName name="H6CCR" localSheetId="1">[3]INPUT!#REF!</definedName>
    <definedName name="H6CCR" localSheetId="0">[3]INPUT!#REF!</definedName>
    <definedName name="H6CCR" localSheetId="2">[3]INPUT!#REF!</definedName>
    <definedName name="H6CCR">[3]INPUT!#REF!</definedName>
    <definedName name="H6D1L" localSheetId="1">[3]INPUT!#REF!</definedName>
    <definedName name="H6D1L" localSheetId="0">[3]INPUT!#REF!</definedName>
    <definedName name="H6D1L" localSheetId="2">[3]INPUT!#REF!</definedName>
    <definedName name="H6D1L">[3]INPUT!#REF!</definedName>
    <definedName name="H6D1R" localSheetId="1">[3]INPUT!#REF!</definedName>
    <definedName name="H6D1R" localSheetId="0">[3]INPUT!#REF!</definedName>
    <definedName name="H6D1R" localSheetId="2">[3]INPUT!#REF!</definedName>
    <definedName name="H6D1R">[3]INPUT!#REF!</definedName>
    <definedName name="H6D2L" localSheetId="1">[3]INPUT!#REF!</definedName>
    <definedName name="H6D2L" localSheetId="0">[3]INPUT!#REF!</definedName>
    <definedName name="H6D2L" localSheetId="2">[3]INPUT!#REF!</definedName>
    <definedName name="H6D2L">[3]INPUT!#REF!</definedName>
    <definedName name="H6D2R" localSheetId="1">[3]INPUT!#REF!</definedName>
    <definedName name="H6D2R" localSheetId="0">[3]INPUT!#REF!</definedName>
    <definedName name="H6D2R" localSheetId="2">[3]INPUT!#REF!</definedName>
    <definedName name="H6D2R">[3]INPUT!#REF!</definedName>
    <definedName name="H6D3L" localSheetId="1">[3]INPUT!#REF!</definedName>
    <definedName name="H6D3L" localSheetId="0">[3]INPUT!#REF!</definedName>
    <definedName name="H6D3L" localSheetId="2">[3]INPUT!#REF!</definedName>
    <definedName name="H6D3L">[3]INPUT!#REF!</definedName>
    <definedName name="H6D3R" localSheetId="1">[3]INPUT!#REF!</definedName>
    <definedName name="H6D3R" localSheetId="0">[3]INPUT!#REF!</definedName>
    <definedName name="H6D3R" localSheetId="2">[3]INPUT!#REF!</definedName>
    <definedName name="H6D3R">[3]INPUT!#REF!</definedName>
    <definedName name="H6L">#REF!</definedName>
    <definedName name="H6R">#REF!</definedName>
    <definedName name="h7a2p">[4]INPUT!$C$33</definedName>
    <definedName name="H7AAL" localSheetId="1">[3]INPUT!#REF!</definedName>
    <definedName name="H7AAL" localSheetId="0">[3]INPUT!#REF!</definedName>
    <definedName name="H7AAL" localSheetId="2">[3]INPUT!#REF!</definedName>
    <definedName name="H7AAL">[3]INPUT!#REF!</definedName>
    <definedName name="H7AAR" localSheetId="1">[3]INPUT!#REF!</definedName>
    <definedName name="H7AAR" localSheetId="0">[3]INPUT!#REF!</definedName>
    <definedName name="H7AAR" localSheetId="2">[3]INPUT!#REF!</definedName>
    <definedName name="H7AAR">[3]INPUT!#REF!</definedName>
    <definedName name="H7ABL" localSheetId="1">[3]INPUT!#REF!</definedName>
    <definedName name="H7ABL" localSheetId="0">[3]INPUT!#REF!</definedName>
    <definedName name="H7ABL" localSheetId="2">[3]INPUT!#REF!</definedName>
    <definedName name="H7ABL">[3]INPUT!#REF!</definedName>
    <definedName name="H7ABR" localSheetId="1">[3]INPUT!#REF!</definedName>
    <definedName name="H7ABR" localSheetId="0">[3]INPUT!#REF!</definedName>
    <definedName name="H7ABR" localSheetId="2">[3]INPUT!#REF!</definedName>
    <definedName name="H7ABR">[3]INPUT!#REF!</definedName>
    <definedName name="H7ACL" localSheetId="1">[3]INPUT!#REF!</definedName>
    <definedName name="H7ACL" localSheetId="0">[3]INPUT!#REF!</definedName>
    <definedName name="H7ACL" localSheetId="2">[3]INPUT!#REF!</definedName>
    <definedName name="H7ACL">[3]INPUT!#REF!</definedName>
    <definedName name="H7ACR" localSheetId="1">[3]INPUT!#REF!</definedName>
    <definedName name="H7ACR" localSheetId="0">[3]INPUT!#REF!</definedName>
    <definedName name="H7ACR" localSheetId="2">[3]INPUT!#REF!</definedName>
    <definedName name="H7ACR">[3]INPUT!#REF!</definedName>
    <definedName name="H7ADL" localSheetId="1">[3]INPUT!#REF!</definedName>
    <definedName name="H7ADL" localSheetId="0">[3]INPUT!#REF!</definedName>
    <definedName name="H7ADL" localSheetId="2">[3]INPUT!#REF!</definedName>
    <definedName name="H7ADL">[3]INPUT!#REF!</definedName>
    <definedName name="H7ADR" localSheetId="1">[3]INPUT!#REF!</definedName>
    <definedName name="H7ADR" localSheetId="0">[3]INPUT!#REF!</definedName>
    <definedName name="H7ADR" localSheetId="2">[3]INPUT!#REF!</definedName>
    <definedName name="H7ADR">[3]INPUT!#REF!</definedName>
    <definedName name="H7AEL" localSheetId="1">[3]INPUT!#REF!</definedName>
    <definedName name="H7AEL" localSheetId="0">[3]INPUT!#REF!</definedName>
    <definedName name="H7AEL" localSheetId="2">[3]INPUT!#REF!</definedName>
    <definedName name="H7AEL">[3]INPUT!#REF!</definedName>
    <definedName name="H7AER" localSheetId="1">[3]INPUT!#REF!</definedName>
    <definedName name="H7AER" localSheetId="0">[3]INPUT!#REF!</definedName>
    <definedName name="H7AER" localSheetId="2">[3]INPUT!#REF!</definedName>
    <definedName name="H7AER">[3]INPUT!#REF!</definedName>
    <definedName name="H7AFL" localSheetId="1">[3]INPUT!#REF!</definedName>
    <definedName name="H7AFL" localSheetId="0">[3]INPUT!#REF!</definedName>
    <definedName name="H7AFL" localSheetId="2">[3]INPUT!#REF!</definedName>
    <definedName name="H7AFL">[3]INPUT!#REF!</definedName>
    <definedName name="H7AFR" localSheetId="1">[3]INPUT!#REF!</definedName>
    <definedName name="H7AFR" localSheetId="0">[3]INPUT!#REF!</definedName>
    <definedName name="H7AFR" localSheetId="2">[3]INPUT!#REF!</definedName>
    <definedName name="H7AFR">[3]INPUT!#REF!</definedName>
    <definedName name="H7AGL" localSheetId="1">[3]INPUT!#REF!</definedName>
    <definedName name="H7AGL" localSheetId="0">[3]INPUT!#REF!</definedName>
    <definedName name="H7AGL" localSheetId="2">[3]INPUT!#REF!</definedName>
    <definedName name="H7AGL">[3]INPUT!#REF!</definedName>
    <definedName name="H7AGR" localSheetId="1">[3]INPUT!#REF!</definedName>
    <definedName name="H7AGR" localSheetId="0">[3]INPUT!#REF!</definedName>
    <definedName name="H7AGR" localSheetId="2">[3]INPUT!#REF!</definedName>
    <definedName name="H7AGR">[3]INPUT!#REF!</definedName>
    <definedName name="H7BAL" localSheetId="1">[3]INPUT!#REF!</definedName>
    <definedName name="H7BAL" localSheetId="0">[3]INPUT!#REF!</definedName>
    <definedName name="H7BAL" localSheetId="2">[3]INPUT!#REF!</definedName>
    <definedName name="H7BAL">[3]INPUT!#REF!</definedName>
    <definedName name="H7BAR" localSheetId="1">[3]INPUT!#REF!</definedName>
    <definedName name="H7BAR" localSheetId="0">[3]INPUT!#REF!</definedName>
    <definedName name="H7BAR" localSheetId="2">[3]INPUT!#REF!</definedName>
    <definedName name="H7BAR">[3]INPUT!#REF!</definedName>
    <definedName name="H7BBL" localSheetId="1">[3]INPUT!#REF!</definedName>
    <definedName name="H7BBL" localSheetId="0">[3]INPUT!#REF!</definedName>
    <definedName name="H7BBL" localSheetId="2">[3]INPUT!#REF!</definedName>
    <definedName name="H7BBL">[3]INPUT!#REF!</definedName>
    <definedName name="H7BBR" localSheetId="1">[3]INPUT!#REF!</definedName>
    <definedName name="H7BBR" localSheetId="0">[3]INPUT!#REF!</definedName>
    <definedName name="H7BBR" localSheetId="2">[3]INPUT!#REF!</definedName>
    <definedName name="H7BBR">[3]INPUT!#REF!</definedName>
    <definedName name="H7CAL" localSheetId="1">[3]INPUT!#REF!</definedName>
    <definedName name="H7CAL" localSheetId="0">[3]INPUT!#REF!</definedName>
    <definedName name="H7CAL" localSheetId="2">[3]INPUT!#REF!</definedName>
    <definedName name="H7CAL">[3]INPUT!#REF!</definedName>
    <definedName name="H7CAR" localSheetId="1">[3]INPUT!#REF!</definedName>
    <definedName name="H7CAR" localSheetId="0">[3]INPUT!#REF!</definedName>
    <definedName name="H7CAR" localSheetId="2">[3]INPUT!#REF!</definedName>
    <definedName name="H7CAR">[3]INPUT!#REF!</definedName>
    <definedName name="H7CBL" localSheetId="1">[3]INPUT!#REF!</definedName>
    <definedName name="H7CBL" localSheetId="0">[3]INPUT!#REF!</definedName>
    <definedName name="H7CBL" localSheetId="2">[3]INPUT!#REF!</definedName>
    <definedName name="H7CBL">[3]INPUT!#REF!</definedName>
    <definedName name="H7CBR" localSheetId="1">[3]INPUT!#REF!</definedName>
    <definedName name="H7CBR" localSheetId="0">[3]INPUT!#REF!</definedName>
    <definedName name="H7CBR" localSheetId="2">[3]INPUT!#REF!</definedName>
    <definedName name="H7CBR">[3]INPUT!#REF!</definedName>
    <definedName name="H7CCL" localSheetId="1">[3]INPUT!#REF!</definedName>
    <definedName name="H7CCL" localSheetId="0">[3]INPUT!#REF!</definedName>
    <definedName name="H7CCL" localSheetId="2">[3]INPUT!#REF!</definedName>
    <definedName name="H7CCL">[3]INPUT!#REF!</definedName>
    <definedName name="H7CCR" localSheetId="1">[3]INPUT!#REF!</definedName>
    <definedName name="H7CCR" localSheetId="0">[3]INPUT!#REF!</definedName>
    <definedName name="H7CCR" localSheetId="2">[3]INPUT!#REF!</definedName>
    <definedName name="H7CCR">[3]INPUT!#REF!</definedName>
    <definedName name="H7D1L" localSheetId="1">[3]INPUT!#REF!</definedName>
    <definedName name="H7D1L" localSheetId="0">[3]INPUT!#REF!</definedName>
    <definedName name="H7D1L" localSheetId="2">[3]INPUT!#REF!</definedName>
    <definedName name="H7D1L">[3]INPUT!#REF!</definedName>
    <definedName name="H7D1R" localSheetId="1">[3]INPUT!#REF!</definedName>
    <definedName name="H7D1R" localSheetId="0">[3]INPUT!#REF!</definedName>
    <definedName name="H7D1R" localSheetId="2">[3]INPUT!#REF!</definedName>
    <definedName name="H7D1R">[3]INPUT!#REF!</definedName>
    <definedName name="H7D2L" localSheetId="1">[3]INPUT!#REF!</definedName>
    <definedName name="H7D2L" localSheetId="0">[3]INPUT!#REF!</definedName>
    <definedName name="H7D2L" localSheetId="2">[3]INPUT!#REF!</definedName>
    <definedName name="H7D2L">[3]INPUT!#REF!</definedName>
    <definedName name="H7D2R" localSheetId="1">[3]INPUT!#REF!</definedName>
    <definedName name="H7D2R" localSheetId="0">[3]INPUT!#REF!</definedName>
    <definedName name="H7D2R" localSheetId="2">[3]INPUT!#REF!</definedName>
    <definedName name="H7D2R">[3]INPUT!#REF!</definedName>
    <definedName name="H7D3L" localSheetId="1">[3]INPUT!#REF!</definedName>
    <definedName name="H7D3L" localSheetId="0">[3]INPUT!#REF!</definedName>
    <definedName name="H7D3L" localSheetId="2">[3]INPUT!#REF!</definedName>
    <definedName name="H7D3L">[3]INPUT!#REF!</definedName>
    <definedName name="H7D3R" localSheetId="1">[3]INPUT!#REF!</definedName>
    <definedName name="H7D3R" localSheetId="0">[3]INPUT!#REF!</definedName>
    <definedName name="H7D3R" localSheetId="2">[3]INPUT!#REF!</definedName>
    <definedName name="H7D3R">[3]INPUT!#REF!</definedName>
    <definedName name="H7L">#REF!</definedName>
    <definedName name="H7R">#REF!</definedName>
    <definedName name="H8AAL" localSheetId="1">[3]INPUT!#REF!</definedName>
    <definedName name="H8AAL" localSheetId="0">[3]INPUT!#REF!</definedName>
    <definedName name="H8AAL" localSheetId="2">[3]INPUT!#REF!</definedName>
    <definedName name="H8AAL">[3]INPUT!#REF!</definedName>
    <definedName name="H8AAR" localSheetId="1">[3]INPUT!#REF!</definedName>
    <definedName name="H8AAR" localSheetId="0">[3]INPUT!#REF!</definedName>
    <definedName name="H8AAR" localSheetId="2">[3]INPUT!#REF!</definedName>
    <definedName name="H8AAR">[3]INPUT!#REF!</definedName>
    <definedName name="H8ABL" localSheetId="1">[3]INPUT!#REF!</definedName>
    <definedName name="H8ABL" localSheetId="0">[3]INPUT!#REF!</definedName>
    <definedName name="H8ABL" localSheetId="2">[3]INPUT!#REF!</definedName>
    <definedName name="H8ABL">[3]INPUT!#REF!</definedName>
    <definedName name="H8ABR" localSheetId="1">[3]INPUT!#REF!</definedName>
    <definedName name="H8ABR" localSheetId="0">[3]INPUT!#REF!</definedName>
    <definedName name="H8ABR" localSheetId="2">[3]INPUT!#REF!</definedName>
    <definedName name="H8ABR">[3]INPUT!#REF!</definedName>
    <definedName name="H8ACL" localSheetId="1">[3]INPUT!#REF!</definedName>
    <definedName name="H8ACL" localSheetId="0">[3]INPUT!#REF!</definedName>
    <definedName name="H8ACL" localSheetId="2">[3]INPUT!#REF!</definedName>
    <definedName name="H8ACL">[3]INPUT!#REF!</definedName>
    <definedName name="H8ACR" localSheetId="1">[3]INPUT!#REF!</definedName>
    <definedName name="H8ACR" localSheetId="0">[3]INPUT!#REF!</definedName>
    <definedName name="H8ACR" localSheetId="2">[3]INPUT!#REF!</definedName>
    <definedName name="H8ACR">[3]INPUT!#REF!</definedName>
    <definedName name="H8ADL" localSheetId="1">[3]INPUT!#REF!</definedName>
    <definedName name="H8ADL" localSheetId="0">[3]INPUT!#REF!</definedName>
    <definedName name="H8ADL" localSheetId="2">[3]INPUT!#REF!</definedName>
    <definedName name="H8ADL">[3]INPUT!#REF!</definedName>
    <definedName name="H8ADR" localSheetId="1">[3]INPUT!#REF!</definedName>
    <definedName name="H8ADR" localSheetId="0">[3]INPUT!#REF!</definedName>
    <definedName name="H8ADR" localSheetId="2">[3]INPUT!#REF!</definedName>
    <definedName name="H8ADR">[3]INPUT!#REF!</definedName>
    <definedName name="H8AEL" localSheetId="1">[3]INPUT!#REF!</definedName>
    <definedName name="H8AEL" localSheetId="0">[3]INPUT!#REF!</definedName>
    <definedName name="H8AEL" localSheetId="2">[3]INPUT!#REF!</definedName>
    <definedName name="H8AEL">[3]INPUT!#REF!</definedName>
    <definedName name="H8AER" localSheetId="1">[3]INPUT!#REF!</definedName>
    <definedName name="H8AER" localSheetId="0">[3]INPUT!#REF!</definedName>
    <definedName name="H8AER" localSheetId="2">[3]INPUT!#REF!</definedName>
    <definedName name="H8AER">[3]INPUT!#REF!</definedName>
    <definedName name="H8AFL" localSheetId="1">[3]INPUT!#REF!</definedName>
    <definedName name="H8AFL" localSheetId="0">[3]INPUT!#REF!</definedName>
    <definedName name="H8AFL" localSheetId="2">[3]INPUT!#REF!</definedName>
    <definedName name="H8AFL">[3]INPUT!#REF!</definedName>
    <definedName name="H8AFR" localSheetId="1">[3]INPUT!#REF!</definedName>
    <definedName name="H8AFR" localSheetId="0">[3]INPUT!#REF!</definedName>
    <definedName name="H8AFR" localSheetId="2">[3]INPUT!#REF!</definedName>
    <definedName name="H8AFR">[3]INPUT!#REF!</definedName>
    <definedName name="H8AGL" localSheetId="1">[3]INPUT!#REF!</definedName>
    <definedName name="H8AGL" localSheetId="0">[3]INPUT!#REF!</definedName>
    <definedName name="H8AGL" localSheetId="2">[3]INPUT!#REF!</definedName>
    <definedName name="H8AGL">[3]INPUT!#REF!</definedName>
    <definedName name="H8AGR" localSheetId="1">[3]INPUT!#REF!</definedName>
    <definedName name="H8AGR" localSheetId="0">[3]INPUT!#REF!</definedName>
    <definedName name="H8AGR" localSheetId="2">[3]INPUT!#REF!</definedName>
    <definedName name="H8AGR">[3]INPUT!#REF!</definedName>
    <definedName name="H8BAL" localSheetId="1">[3]INPUT!#REF!</definedName>
    <definedName name="H8BAL" localSheetId="0">[3]INPUT!#REF!</definedName>
    <definedName name="H8BAL" localSheetId="2">[3]INPUT!#REF!</definedName>
    <definedName name="H8BAL">[3]INPUT!#REF!</definedName>
    <definedName name="H8BAR" localSheetId="1">[3]INPUT!#REF!</definedName>
    <definedName name="H8BAR" localSheetId="0">[3]INPUT!#REF!</definedName>
    <definedName name="H8BAR" localSheetId="2">[3]INPUT!#REF!</definedName>
    <definedName name="H8BAR">[3]INPUT!#REF!</definedName>
    <definedName name="H8BBL" localSheetId="1">[3]INPUT!#REF!</definedName>
    <definedName name="H8BBL" localSheetId="0">[3]INPUT!#REF!</definedName>
    <definedName name="H8BBL" localSheetId="2">[3]INPUT!#REF!</definedName>
    <definedName name="H8BBL">[3]INPUT!#REF!</definedName>
    <definedName name="H8BBR" localSheetId="1">[3]INPUT!#REF!</definedName>
    <definedName name="H8BBR" localSheetId="0">[3]INPUT!#REF!</definedName>
    <definedName name="H8BBR" localSheetId="2">[3]INPUT!#REF!</definedName>
    <definedName name="H8BBR">[3]INPUT!#REF!</definedName>
    <definedName name="H8CAL" localSheetId="1">[3]INPUT!#REF!</definedName>
    <definedName name="H8CAL" localSheetId="0">[3]INPUT!#REF!</definedName>
    <definedName name="H8CAL" localSheetId="2">[3]INPUT!#REF!</definedName>
    <definedName name="H8CAL">[3]INPUT!#REF!</definedName>
    <definedName name="H8CAR" localSheetId="1">[3]INPUT!#REF!</definedName>
    <definedName name="H8CAR" localSheetId="0">[3]INPUT!#REF!</definedName>
    <definedName name="H8CAR" localSheetId="2">[3]INPUT!#REF!</definedName>
    <definedName name="H8CAR">[3]INPUT!#REF!</definedName>
    <definedName name="H8CBL" localSheetId="1">[3]INPUT!#REF!</definedName>
    <definedName name="H8CBL" localSheetId="0">[3]INPUT!#REF!</definedName>
    <definedName name="H8CBL" localSheetId="2">[3]INPUT!#REF!</definedName>
    <definedName name="H8CBL">[3]INPUT!#REF!</definedName>
    <definedName name="H8CBR" localSheetId="1">[3]INPUT!#REF!</definedName>
    <definedName name="H8CBR" localSheetId="0">[3]INPUT!#REF!</definedName>
    <definedName name="H8CBR" localSheetId="2">[3]INPUT!#REF!</definedName>
    <definedName name="H8CBR">[3]INPUT!#REF!</definedName>
    <definedName name="H8CCL" localSheetId="1">[3]INPUT!#REF!</definedName>
    <definedName name="H8CCL" localSheetId="0">[3]INPUT!#REF!</definedName>
    <definedName name="H8CCL" localSheetId="2">[3]INPUT!#REF!</definedName>
    <definedName name="H8CCL">[3]INPUT!#REF!</definedName>
    <definedName name="H8CCR" localSheetId="1">[3]INPUT!#REF!</definedName>
    <definedName name="H8CCR" localSheetId="0">[3]INPUT!#REF!</definedName>
    <definedName name="H8CCR" localSheetId="2">[3]INPUT!#REF!</definedName>
    <definedName name="H8CCR">[3]INPUT!#REF!</definedName>
    <definedName name="H8D1L" localSheetId="1">[3]INPUT!#REF!</definedName>
    <definedName name="H8D1L" localSheetId="0">[3]INPUT!#REF!</definedName>
    <definedName name="H8D1L" localSheetId="2">[3]INPUT!#REF!</definedName>
    <definedName name="H8D1L">[3]INPUT!#REF!</definedName>
    <definedName name="H8D1R" localSheetId="1">[3]INPUT!#REF!</definedName>
    <definedName name="H8D1R" localSheetId="0">[3]INPUT!#REF!</definedName>
    <definedName name="H8D1R" localSheetId="2">[3]INPUT!#REF!</definedName>
    <definedName name="H8D1R">[3]INPUT!#REF!</definedName>
    <definedName name="H8D2L" localSheetId="1">[3]INPUT!#REF!</definedName>
    <definedName name="H8D2L" localSheetId="0">[3]INPUT!#REF!</definedName>
    <definedName name="H8D2L" localSheetId="2">[3]INPUT!#REF!</definedName>
    <definedName name="H8D2L">[3]INPUT!#REF!</definedName>
    <definedName name="H8D2R" localSheetId="1">[3]INPUT!#REF!</definedName>
    <definedName name="H8D2R" localSheetId="0">[3]INPUT!#REF!</definedName>
    <definedName name="H8D2R" localSheetId="2">[3]INPUT!#REF!</definedName>
    <definedName name="H8D2R">[3]INPUT!#REF!</definedName>
    <definedName name="H8D3L" localSheetId="1">[3]INPUT!#REF!</definedName>
    <definedName name="H8D3L" localSheetId="0">[3]INPUT!#REF!</definedName>
    <definedName name="H8D3L" localSheetId="2">[3]INPUT!#REF!</definedName>
    <definedName name="H8D3L">[3]INPUT!#REF!</definedName>
    <definedName name="H8D3R" localSheetId="1">[3]INPUT!#REF!</definedName>
    <definedName name="H8D3R" localSheetId="0">[3]INPUT!#REF!</definedName>
    <definedName name="H8D3R" localSheetId="2">[3]INPUT!#REF!</definedName>
    <definedName name="H8D3R">[3]INPUT!#REF!</definedName>
    <definedName name="H9A">#REF!</definedName>
    <definedName name="H9AAL" localSheetId="1">[3]INPUT!#REF!</definedName>
    <definedName name="H9AAL" localSheetId="0">[3]INPUT!#REF!</definedName>
    <definedName name="H9AAL" localSheetId="2">[3]INPUT!#REF!</definedName>
    <definedName name="H9AAL">[3]INPUT!#REF!</definedName>
    <definedName name="H9AAR" localSheetId="1">[3]INPUT!#REF!</definedName>
    <definedName name="H9AAR" localSheetId="0">[3]INPUT!#REF!</definedName>
    <definedName name="H9AAR" localSheetId="2">[3]INPUT!#REF!</definedName>
    <definedName name="H9AAR">[3]INPUT!#REF!</definedName>
    <definedName name="H9ABL" localSheetId="1">[3]INPUT!#REF!</definedName>
    <definedName name="H9ABL" localSheetId="0">[3]INPUT!#REF!</definedName>
    <definedName name="H9ABL" localSheetId="2">[3]INPUT!#REF!</definedName>
    <definedName name="H9ABL">[3]INPUT!#REF!</definedName>
    <definedName name="H9ABR" localSheetId="1">[3]INPUT!#REF!</definedName>
    <definedName name="H9ABR" localSheetId="0">[3]INPUT!#REF!</definedName>
    <definedName name="H9ABR" localSheetId="2">[3]INPUT!#REF!</definedName>
    <definedName name="H9ABR">[3]INPUT!#REF!</definedName>
    <definedName name="H9ACL" localSheetId="1">[3]INPUT!#REF!</definedName>
    <definedName name="H9ACL" localSheetId="0">[3]INPUT!#REF!</definedName>
    <definedName name="H9ACL" localSheetId="2">[3]INPUT!#REF!</definedName>
    <definedName name="H9ACL">[3]INPUT!#REF!</definedName>
    <definedName name="H9ACR" localSheetId="1">[3]INPUT!#REF!</definedName>
    <definedName name="H9ACR" localSheetId="0">[3]INPUT!#REF!</definedName>
    <definedName name="H9ACR" localSheetId="2">[3]INPUT!#REF!</definedName>
    <definedName name="H9ACR">[3]INPUT!#REF!</definedName>
    <definedName name="H9ADL" localSheetId="1">[3]INPUT!#REF!</definedName>
    <definedName name="H9ADL" localSheetId="0">[3]INPUT!#REF!</definedName>
    <definedName name="H9ADL" localSheetId="2">[3]INPUT!#REF!</definedName>
    <definedName name="H9ADL">[3]INPUT!#REF!</definedName>
    <definedName name="H9ADR" localSheetId="1">[3]INPUT!#REF!</definedName>
    <definedName name="H9ADR" localSheetId="0">[3]INPUT!#REF!</definedName>
    <definedName name="H9ADR" localSheetId="2">[3]INPUT!#REF!</definedName>
    <definedName name="H9ADR">[3]INPUT!#REF!</definedName>
    <definedName name="H9AEL" localSheetId="1">[3]INPUT!#REF!</definedName>
    <definedName name="H9AEL" localSheetId="0">[3]INPUT!#REF!</definedName>
    <definedName name="H9AEL" localSheetId="2">[3]INPUT!#REF!</definedName>
    <definedName name="H9AEL">[3]INPUT!#REF!</definedName>
    <definedName name="H9AER" localSheetId="1">[3]INPUT!#REF!</definedName>
    <definedName name="H9AER" localSheetId="0">[3]INPUT!#REF!</definedName>
    <definedName name="H9AER" localSheetId="2">[3]INPUT!#REF!</definedName>
    <definedName name="H9AER">[3]INPUT!#REF!</definedName>
    <definedName name="H9AFL" localSheetId="1">[3]INPUT!#REF!</definedName>
    <definedName name="H9AFL" localSheetId="0">[3]INPUT!#REF!</definedName>
    <definedName name="H9AFL" localSheetId="2">[3]INPUT!#REF!</definedName>
    <definedName name="H9AFL">[3]INPUT!#REF!</definedName>
    <definedName name="H9AFR" localSheetId="1">[3]INPUT!#REF!</definedName>
    <definedName name="H9AFR" localSheetId="0">[3]INPUT!#REF!</definedName>
    <definedName name="H9AFR" localSheetId="2">[3]INPUT!#REF!</definedName>
    <definedName name="H9AFR">[3]INPUT!#REF!</definedName>
    <definedName name="H9AGL" localSheetId="1">[3]INPUT!#REF!</definedName>
    <definedName name="H9AGL" localSheetId="0">[3]INPUT!#REF!</definedName>
    <definedName name="H9AGL" localSheetId="2">[3]INPUT!#REF!</definedName>
    <definedName name="H9AGL">[3]INPUT!#REF!</definedName>
    <definedName name="H9AGR" localSheetId="1">[3]INPUT!#REF!</definedName>
    <definedName name="H9AGR" localSheetId="0">[3]INPUT!#REF!</definedName>
    <definedName name="H9AGR" localSheetId="2">[3]INPUT!#REF!</definedName>
    <definedName name="H9AGR">[3]INPUT!#REF!</definedName>
    <definedName name="H9BAL" localSheetId="1">[3]INPUT!#REF!</definedName>
    <definedName name="H9BAL" localSheetId="0">[3]INPUT!#REF!</definedName>
    <definedName name="H9BAL" localSheetId="2">[3]INPUT!#REF!</definedName>
    <definedName name="H9BAL">[3]INPUT!#REF!</definedName>
    <definedName name="H9BAR" localSheetId="1">[3]INPUT!#REF!</definedName>
    <definedName name="H9BAR" localSheetId="0">[3]INPUT!#REF!</definedName>
    <definedName name="H9BAR" localSheetId="2">[3]INPUT!#REF!</definedName>
    <definedName name="H9BAR">[3]INPUT!#REF!</definedName>
    <definedName name="H9BBL" localSheetId="1">[3]INPUT!#REF!</definedName>
    <definedName name="H9BBL" localSheetId="0">[3]INPUT!#REF!</definedName>
    <definedName name="H9BBL" localSheetId="2">[3]INPUT!#REF!</definedName>
    <definedName name="H9BBL">[3]INPUT!#REF!</definedName>
    <definedName name="H9BBR" localSheetId="1">[3]INPUT!#REF!</definedName>
    <definedName name="H9BBR" localSheetId="0">[3]INPUT!#REF!</definedName>
    <definedName name="H9BBR" localSheetId="2">[3]INPUT!#REF!</definedName>
    <definedName name="H9BBR">[3]INPUT!#REF!</definedName>
    <definedName name="H9CAL" localSheetId="1">[3]INPUT!#REF!</definedName>
    <definedName name="H9CAL" localSheetId="0">[3]INPUT!#REF!</definedName>
    <definedName name="H9CAL" localSheetId="2">[3]INPUT!#REF!</definedName>
    <definedName name="H9CAL">[3]INPUT!#REF!</definedName>
    <definedName name="H9CAR" localSheetId="1">[3]INPUT!#REF!</definedName>
    <definedName name="H9CAR" localSheetId="0">[3]INPUT!#REF!</definedName>
    <definedName name="H9CAR" localSheetId="2">[3]INPUT!#REF!</definedName>
    <definedName name="H9CAR">[3]INPUT!#REF!</definedName>
    <definedName name="H9CBL" localSheetId="1">[3]INPUT!#REF!</definedName>
    <definedName name="H9CBL" localSheetId="0">[3]INPUT!#REF!</definedName>
    <definedName name="H9CBL" localSheetId="2">[3]INPUT!#REF!</definedName>
    <definedName name="H9CBL">[3]INPUT!#REF!</definedName>
    <definedName name="H9CBR" localSheetId="1">[3]INPUT!#REF!</definedName>
    <definedName name="H9CBR" localSheetId="0">[3]INPUT!#REF!</definedName>
    <definedName name="H9CBR" localSheetId="2">[3]INPUT!#REF!</definedName>
    <definedName name="H9CBR">[3]INPUT!#REF!</definedName>
    <definedName name="H9CCL" localSheetId="1">[3]INPUT!#REF!</definedName>
    <definedName name="H9CCL" localSheetId="0">[3]INPUT!#REF!</definedName>
    <definedName name="H9CCL" localSheetId="2">[3]INPUT!#REF!</definedName>
    <definedName name="H9CCL">[3]INPUT!#REF!</definedName>
    <definedName name="H9CCR" localSheetId="1">[3]INPUT!#REF!</definedName>
    <definedName name="H9CCR" localSheetId="0">[3]INPUT!#REF!</definedName>
    <definedName name="H9CCR" localSheetId="2">[3]INPUT!#REF!</definedName>
    <definedName name="H9CCR">[3]INPUT!#REF!</definedName>
    <definedName name="H9D1L" localSheetId="1">[3]INPUT!#REF!</definedName>
    <definedName name="H9D1L" localSheetId="0">[3]INPUT!#REF!</definedName>
    <definedName name="H9D1L" localSheetId="2">[3]INPUT!#REF!</definedName>
    <definedName name="H9D1L">[3]INPUT!#REF!</definedName>
    <definedName name="H9D1R" localSheetId="1">[3]INPUT!#REF!</definedName>
    <definedName name="H9D1R" localSheetId="0">[3]INPUT!#REF!</definedName>
    <definedName name="H9D1R" localSheetId="2">[3]INPUT!#REF!</definedName>
    <definedName name="H9D1R">[3]INPUT!#REF!</definedName>
    <definedName name="H9D2L" localSheetId="1">[3]INPUT!#REF!</definedName>
    <definedName name="H9D2L" localSheetId="0">[3]INPUT!#REF!</definedName>
    <definedName name="H9D2L" localSheetId="2">[3]INPUT!#REF!</definedName>
    <definedName name="H9D2L">[3]INPUT!#REF!</definedName>
    <definedName name="H9D2R" localSheetId="1">[3]INPUT!#REF!</definedName>
    <definedName name="H9D2R" localSheetId="0">[3]INPUT!#REF!</definedName>
    <definedName name="H9D2R" localSheetId="2">[3]INPUT!#REF!</definedName>
    <definedName name="H9D2R">[3]INPUT!#REF!</definedName>
    <definedName name="H9D3L" localSheetId="1">[3]INPUT!#REF!</definedName>
    <definedName name="H9D3L" localSheetId="0">[3]INPUT!#REF!</definedName>
    <definedName name="H9D3L" localSheetId="2">[3]INPUT!#REF!</definedName>
    <definedName name="H9D3L">[3]INPUT!#REF!</definedName>
    <definedName name="H9D3R" localSheetId="1">[3]INPUT!#REF!</definedName>
    <definedName name="H9D3R" localSheetId="0">[3]INPUT!#REF!</definedName>
    <definedName name="H9D3R" localSheetId="2">[3]INPUT!#REF!</definedName>
    <definedName name="H9D3R">[3]INPUT!#REF!</definedName>
    <definedName name="HA10L" localSheetId="1">[3]INPUT!#REF!</definedName>
    <definedName name="HA10L" localSheetId="0">[3]INPUT!#REF!</definedName>
    <definedName name="HA10L" localSheetId="2">[3]INPUT!#REF!</definedName>
    <definedName name="HA10L">[3]INPUT!#REF!</definedName>
    <definedName name="HA10R" localSheetId="1">[3]INPUT!#REF!</definedName>
    <definedName name="HA10R" localSheetId="0">[3]INPUT!#REF!</definedName>
    <definedName name="HA10R" localSheetId="2">[3]INPUT!#REF!</definedName>
    <definedName name="HA10R">[3]INPUT!#REF!</definedName>
    <definedName name="HA3L" localSheetId="1">[3]INPUT!#REF!</definedName>
    <definedName name="HA3L" localSheetId="0">[3]INPUT!#REF!</definedName>
    <definedName name="HA3L" localSheetId="2">[3]INPUT!#REF!</definedName>
    <definedName name="HA3L">[3]INPUT!#REF!</definedName>
    <definedName name="HA3R" localSheetId="1">[3]INPUT!#REF!</definedName>
    <definedName name="HA3R" localSheetId="0">[3]INPUT!#REF!</definedName>
    <definedName name="HA3R" localSheetId="2">[3]INPUT!#REF!</definedName>
    <definedName name="HA3R">[3]INPUT!#REF!</definedName>
    <definedName name="HA4L" localSheetId="1">[3]INPUT!#REF!</definedName>
    <definedName name="HA4L" localSheetId="0">[3]INPUT!#REF!</definedName>
    <definedName name="HA4L" localSheetId="2">[3]INPUT!#REF!</definedName>
    <definedName name="HA4L">[3]INPUT!#REF!</definedName>
    <definedName name="HA4R" localSheetId="1">[3]INPUT!#REF!</definedName>
    <definedName name="HA4R" localSheetId="0">[3]INPUT!#REF!</definedName>
    <definedName name="HA4R" localSheetId="2">[3]INPUT!#REF!</definedName>
    <definedName name="HA4R">[3]INPUT!#REF!</definedName>
    <definedName name="HA5L" localSheetId="1">[3]INPUT!#REF!</definedName>
    <definedName name="HA5L" localSheetId="0">[3]INPUT!#REF!</definedName>
    <definedName name="HA5L" localSheetId="2">[3]INPUT!#REF!</definedName>
    <definedName name="HA5L">[3]INPUT!#REF!</definedName>
    <definedName name="HA5R" localSheetId="1">[3]INPUT!#REF!</definedName>
    <definedName name="HA5R" localSheetId="0">[3]INPUT!#REF!</definedName>
    <definedName name="HA5R" localSheetId="2">[3]INPUT!#REF!</definedName>
    <definedName name="HA5R">[3]INPUT!#REF!</definedName>
    <definedName name="HA6L" localSheetId="1">[3]INPUT!#REF!</definedName>
    <definedName name="HA6L" localSheetId="0">[3]INPUT!#REF!</definedName>
    <definedName name="HA6L" localSheetId="2">[3]INPUT!#REF!</definedName>
    <definedName name="HA6L">[3]INPUT!#REF!</definedName>
    <definedName name="HA6R" localSheetId="1">[3]INPUT!#REF!</definedName>
    <definedName name="HA6R" localSheetId="0">[3]INPUT!#REF!</definedName>
    <definedName name="HA6R" localSheetId="2">[3]INPUT!#REF!</definedName>
    <definedName name="HA6R">[3]INPUT!#REF!</definedName>
    <definedName name="HA7L" localSheetId="1">[3]INPUT!#REF!</definedName>
    <definedName name="HA7L" localSheetId="0">[3]INPUT!#REF!</definedName>
    <definedName name="HA7L" localSheetId="2">[3]INPUT!#REF!</definedName>
    <definedName name="HA7L">[3]INPUT!#REF!</definedName>
    <definedName name="HA7R" localSheetId="1">[3]INPUT!#REF!</definedName>
    <definedName name="HA7R" localSheetId="0">[3]INPUT!#REF!</definedName>
    <definedName name="HA7R" localSheetId="2">[3]INPUT!#REF!</definedName>
    <definedName name="HA7R">[3]INPUT!#REF!</definedName>
    <definedName name="HA8L" localSheetId="1">[3]INPUT!#REF!</definedName>
    <definedName name="HA8L" localSheetId="0">[3]INPUT!#REF!</definedName>
    <definedName name="HA8L" localSheetId="2">[3]INPUT!#REF!</definedName>
    <definedName name="HA8L">[3]INPUT!#REF!</definedName>
    <definedName name="HA8R" localSheetId="1">[3]INPUT!#REF!</definedName>
    <definedName name="HA8R" localSheetId="0">[3]INPUT!#REF!</definedName>
    <definedName name="HA8R" localSheetId="2">[3]INPUT!#REF!</definedName>
    <definedName name="HA8R">[3]INPUT!#REF!</definedName>
    <definedName name="HA9L" localSheetId="1">[3]INPUT!#REF!</definedName>
    <definedName name="HA9L" localSheetId="0">[3]INPUT!#REF!</definedName>
    <definedName name="HA9L" localSheetId="2">[3]INPUT!#REF!</definedName>
    <definedName name="HA9L">[3]INPUT!#REF!</definedName>
    <definedName name="HA9R" localSheetId="1">[3]INPUT!#REF!</definedName>
    <definedName name="HA9R" localSheetId="0">[3]INPUT!#REF!</definedName>
    <definedName name="HA9R" localSheetId="2">[3]INPUT!#REF!</definedName>
    <definedName name="HA9R">[3]INPUT!#REF!</definedName>
    <definedName name="HB">#REF!</definedName>
    <definedName name="Hc">#REF!</definedName>
    <definedName name="HH" localSheetId="1">[5]교각1!#REF!</definedName>
    <definedName name="HH" localSheetId="0">[5]교각1!#REF!</definedName>
    <definedName name="HH" localSheetId="2">[5]교각1!#REF!</definedName>
    <definedName name="HH">[5]교각1!#REF!</definedName>
    <definedName name="HH10L" localSheetId="1">[3]INPUT!#REF!</definedName>
    <definedName name="HH10L" localSheetId="0">[3]INPUT!#REF!</definedName>
    <definedName name="HH10L" localSheetId="2">[3]INPUT!#REF!</definedName>
    <definedName name="HH10L">[3]INPUT!#REF!</definedName>
    <definedName name="HH10R" localSheetId="1">[3]INPUT!#REF!</definedName>
    <definedName name="HH10R" localSheetId="0">[3]INPUT!#REF!</definedName>
    <definedName name="HH10R" localSheetId="2">[3]INPUT!#REF!</definedName>
    <definedName name="HH10R">[3]INPUT!#REF!</definedName>
    <definedName name="HH3L" localSheetId="1">[3]INPUT!#REF!</definedName>
    <definedName name="HH3L" localSheetId="0">[3]INPUT!#REF!</definedName>
    <definedName name="HH3L" localSheetId="2">[3]INPUT!#REF!</definedName>
    <definedName name="HH3L">[3]INPUT!#REF!</definedName>
    <definedName name="HH3R" localSheetId="1">[3]INPUT!#REF!</definedName>
    <definedName name="HH3R" localSheetId="0">[3]INPUT!#REF!</definedName>
    <definedName name="HH3R" localSheetId="2">[3]INPUT!#REF!</definedName>
    <definedName name="HH3R">[3]INPUT!#REF!</definedName>
    <definedName name="HH4L" localSheetId="1">[3]INPUT!#REF!</definedName>
    <definedName name="HH4L" localSheetId="0">[3]INPUT!#REF!</definedName>
    <definedName name="HH4L" localSheetId="2">[3]INPUT!#REF!</definedName>
    <definedName name="HH4L">[3]INPUT!#REF!</definedName>
    <definedName name="HH4R" localSheetId="1">[3]INPUT!#REF!</definedName>
    <definedName name="HH4R" localSheetId="0">[3]INPUT!#REF!</definedName>
    <definedName name="HH4R" localSheetId="2">[3]INPUT!#REF!</definedName>
    <definedName name="HH4R">[3]INPUT!#REF!</definedName>
    <definedName name="HH5L" localSheetId="1">[3]INPUT!#REF!</definedName>
    <definedName name="HH5L" localSheetId="0">[3]INPUT!#REF!</definedName>
    <definedName name="HH5L" localSheetId="2">[3]INPUT!#REF!</definedName>
    <definedName name="HH5L">[3]INPUT!#REF!</definedName>
    <definedName name="HH5R" localSheetId="1">[3]INPUT!#REF!</definedName>
    <definedName name="HH5R" localSheetId="0">[3]INPUT!#REF!</definedName>
    <definedName name="HH5R" localSheetId="2">[3]INPUT!#REF!</definedName>
    <definedName name="HH5R">[3]INPUT!#REF!</definedName>
    <definedName name="HH6L" localSheetId="1">[3]INPUT!#REF!</definedName>
    <definedName name="HH6L" localSheetId="0">[3]INPUT!#REF!</definedName>
    <definedName name="HH6L" localSheetId="2">[3]INPUT!#REF!</definedName>
    <definedName name="HH6L">[3]INPUT!#REF!</definedName>
    <definedName name="HH6R" localSheetId="1">[3]INPUT!#REF!</definedName>
    <definedName name="HH6R" localSheetId="0">[3]INPUT!#REF!</definedName>
    <definedName name="HH6R" localSheetId="2">[3]INPUT!#REF!</definedName>
    <definedName name="HH6R">[3]INPUT!#REF!</definedName>
    <definedName name="HH7L" localSheetId="1">[3]INPUT!#REF!</definedName>
    <definedName name="HH7L" localSheetId="0">[3]INPUT!#REF!</definedName>
    <definedName name="HH7L" localSheetId="2">[3]INPUT!#REF!</definedName>
    <definedName name="HH7L">[3]INPUT!#REF!</definedName>
    <definedName name="HH7R" localSheetId="1">[3]INPUT!#REF!</definedName>
    <definedName name="HH7R" localSheetId="0">[3]INPUT!#REF!</definedName>
    <definedName name="HH7R" localSheetId="2">[3]INPUT!#REF!</definedName>
    <definedName name="HH7R">[3]INPUT!#REF!</definedName>
    <definedName name="HH8L" localSheetId="1">[3]INPUT!#REF!</definedName>
    <definedName name="HH8L" localSheetId="0">[3]INPUT!#REF!</definedName>
    <definedName name="HH8L" localSheetId="2">[3]INPUT!#REF!</definedName>
    <definedName name="HH8L">[3]INPUT!#REF!</definedName>
    <definedName name="HH8R" localSheetId="1">[3]INPUT!#REF!</definedName>
    <definedName name="HH8R" localSheetId="0">[3]INPUT!#REF!</definedName>
    <definedName name="HH8R" localSheetId="2">[3]INPUT!#REF!</definedName>
    <definedName name="HH8R">[3]INPUT!#REF!</definedName>
    <definedName name="HH9L" localSheetId="1">[3]INPUT!#REF!</definedName>
    <definedName name="HH9L" localSheetId="0">[3]INPUT!#REF!</definedName>
    <definedName name="HH9L" localSheetId="2">[3]INPUT!#REF!</definedName>
    <definedName name="HH9L">[3]INPUT!#REF!</definedName>
    <definedName name="HH9R" localSheetId="1">[3]INPUT!#REF!</definedName>
    <definedName name="HH9R" localSheetId="0">[3]INPUT!#REF!</definedName>
    <definedName name="HH9R" localSheetId="2">[3]INPUT!#REF!</definedName>
    <definedName name="HH9R">[3]INPUT!#REF!</definedName>
    <definedName name="HL">#REF!</definedName>
    <definedName name="HLB">#REF!</definedName>
    <definedName name="HR">#REF!</definedName>
    <definedName name="HS" localSheetId="1">[5]교각1!#REF!</definedName>
    <definedName name="HS" localSheetId="0">[5]교각1!#REF!</definedName>
    <definedName name="HS" localSheetId="2">[5]교각1!#REF!</definedName>
    <definedName name="HS">[5]교각1!#REF!</definedName>
    <definedName name="HSH">#REF!</definedName>
    <definedName name="HSUM10L" localSheetId="1">[3]INPUT!#REF!</definedName>
    <definedName name="HSUM10L" localSheetId="0">[3]INPUT!#REF!</definedName>
    <definedName name="HSUM10L" localSheetId="2">[3]INPUT!#REF!</definedName>
    <definedName name="HSUM10L">[3]INPUT!#REF!</definedName>
    <definedName name="HSUM10R" localSheetId="1">[3]INPUT!#REF!</definedName>
    <definedName name="HSUM10R" localSheetId="0">[3]INPUT!#REF!</definedName>
    <definedName name="HSUM10R" localSheetId="2">[3]INPUT!#REF!</definedName>
    <definedName name="HSUM10R">[3]INPUT!#REF!</definedName>
    <definedName name="HSUM3L" localSheetId="1">[3]INPUT!#REF!</definedName>
    <definedName name="HSUM3L" localSheetId="0">[3]INPUT!#REF!</definedName>
    <definedName name="HSUM3L" localSheetId="2">[3]INPUT!#REF!</definedName>
    <definedName name="HSUM3L">[3]INPUT!#REF!</definedName>
    <definedName name="HSUM3R" localSheetId="1">[3]INPUT!#REF!</definedName>
    <definedName name="HSUM3R" localSheetId="0">[3]INPUT!#REF!</definedName>
    <definedName name="HSUM3R" localSheetId="2">[3]INPUT!#REF!</definedName>
    <definedName name="HSUM3R">[3]INPUT!#REF!</definedName>
    <definedName name="HSUM4L" localSheetId="1">[3]INPUT!#REF!</definedName>
    <definedName name="HSUM4L" localSheetId="0">[3]INPUT!#REF!</definedName>
    <definedName name="HSUM4L" localSheetId="2">[3]INPUT!#REF!</definedName>
    <definedName name="HSUM4L">[3]INPUT!#REF!</definedName>
    <definedName name="HSUM4R" localSheetId="1">[3]INPUT!#REF!</definedName>
    <definedName name="HSUM4R" localSheetId="0">[3]INPUT!#REF!</definedName>
    <definedName name="HSUM4R" localSheetId="2">[3]INPUT!#REF!</definedName>
    <definedName name="HSUM4R">[3]INPUT!#REF!</definedName>
    <definedName name="HSUM5L" localSheetId="1">[3]INPUT!#REF!</definedName>
    <definedName name="HSUM5L" localSheetId="0">[3]INPUT!#REF!</definedName>
    <definedName name="HSUM5L" localSheetId="2">[3]INPUT!#REF!</definedName>
    <definedName name="HSUM5L">[3]INPUT!#REF!</definedName>
    <definedName name="HSUM5R" localSheetId="1">[3]INPUT!#REF!</definedName>
    <definedName name="HSUM5R" localSheetId="0">[3]INPUT!#REF!</definedName>
    <definedName name="HSUM5R" localSheetId="2">[3]INPUT!#REF!</definedName>
    <definedName name="HSUM5R">[3]INPUT!#REF!</definedName>
    <definedName name="HSUM6L" localSheetId="1">[3]INPUT!#REF!</definedName>
    <definedName name="HSUM6L" localSheetId="0">[3]INPUT!#REF!</definedName>
    <definedName name="HSUM6L" localSheetId="2">[3]INPUT!#REF!</definedName>
    <definedName name="HSUM6L">[3]INPUT!#REF!</definedName>
    <definedName name="HSUM6R" localSheetId="1">[3]INPUT!#REF!</definedName>
    <definedName name="HSUM6R" localSheetId="0">[3]INPUT!#REF!</definedName>
    <definedName name="HSUM6R" localSheetId="2">[3]INPUT!#REF!</definedName>
    <definedName name="HSUM6R">[3]INPUT!#REF!</definedName>
    <definedName name="HSUM7L" localSheetId="1">[3]INPUT!#REF!</definedName>
    <definedName name="HSUM7L" localSheetId="0">[3]INPUT!#REF!</definedName>
    <definedName name="HSUM7L" localSheetId="2">[3]INPUT!#REF!</definedName>
    <definedName name="HSUM7L">[3]INPUT!#REF!</definedName>
    <definedName name="HSUM7R" localSheetId="1">[3]INPUT!#REF!</definedName>
    <definedName name="HSUM7R" localSheetId="0">[3]INPUT!#REF!</definedName>
    <definedName name="HSUM7R" localSheetId="2">[3]INPUT!#REF!</definedName>
    <definedName name="HSUM7R">[3]INPUT!#REF!</definedName>
    <definedName name="HSUM8L" localSheetId="1">[3]INPUT!#REF!</definedName>
    <definedName name="HSUM8L" localSheetId="0">[3]INPUT!#REF!</definedName>
    <definedName name="HSUM8L" localSheetId="2">[3]INPUT!#REF!</definedName>
    <definedName name="HSUM8L">[3]INPUT!#REF!</definedName>
    <definedName name="HSUM8R" localSheetId="1">[3]INPUT!#REF!</definedName>
    <definedName name="HSUM8R" localSheetId="0">[3]INPUT!#REF!</definedName>
    <definedName name="HSUM8R" localSheetId="2">[3]INPUT!#REF!</definedName>
    <definedName name="HSUM8R">[3]INPUT!#REF!</definedName>
    <definedName name="HSUM9L" localSheetId="1">[3]INPUT!#REF!</definedName>
    <definedName name="HSUM9L" localSheetId="0">[3]INPUT!#REF!</definedName>
    <definedName name="HSUM9L" localSheetId="2">[3]INPUT!#REF!</definedName>
    <definedName name="HSUM9L">[3]INPUT!#REF!</definedName>
    <definedName name="HSUM9R" localSheetId="1">[3]INPUT!#REF!</definedName>
    <definedName name="HSUM9R" localSheetId="0">[3]INPUT!#REF!</definedName>
    <definedName name="HSUM9R" localSheetId="2">[3]INPUT!#REF!</definedName>
    <definedName name="HSUM9R">[3]INPUT!#REF!</definedName>
    <definedName name="HTA">#REF!</definedName>
    <definedName name="HTB">#REF!</definedName>
    <definedName name="HTML_CodePage" hidden="1">949</definedName>
    <definedName name="HTML_Control" localSheetId="4" hidden="1">{"'자리배치도'!$AG$1:$CI$28"}</definedName>
    <definedName name="HTML_Control" localSheetId="0" hidden="1">{"'자리배치도'!$AG$1:$CI$28"}</definedName>
    <definedName name="HTML_Control" localSheetId="2" hidden="1">{"'자리배치도'!$AG$1:$CI$28"}</definedName>
    <definedName name="HTML_Control" hidden="1">{"'자리배치도'!$AG$1:$CI$28"}</definedName>
    <definedName name="HTML_Description" hidden="1">""</definedName>
    <definedName name="HTML_Email" hidden="1">""</definedName>
    <definedName name="HTML_Header" hidden="1">"자리배치도"</definedName>
    <definedName name="HTML_LastUpdate" hidden="1">"98-04-21"</definedName>
    <definedName name="HTML_LineAfter" hidden="1">FALSE</definedName>
    <definedName name="HTML_LineBefore" hidden="1">FALSE</definedName>
    <definedName name="HTML_Name" hidden="1">"김회진"</definedName>
    <definedName name="HTML_OBDlg2" hidden="1">TRUE</definedName>
    <definedName name="HTML_OBDlg4" hidden="1">TRUE</definedName>
    <definedName name="HTML_OS" hidden="1">0</definedName>
    <definedName name="HTML_PathFile" hidden="1">"E:\업무분장\DESK.htm"</definedName>
    <definedName name="HTML_Title" hidden="1">"좌석배치"</definedName>
    <definedName name="HWL">#REF!</definedName>
    <definedName name="HWR">#REF!</definedName>
    <definedName name="HX10L" localSheetId="1">[3]INPUT!#REF!</definedName>
    <definedName name="HX10L" localSheetId="0">[3]INPUT!#REF!</definedName>
    <definedName name="HX10L" localSheetId="2">[3]INPUT!#REF!</definedName>
    <definedName name="HX10L">[3]INPUT!#REF!</definedName>
    <definedName name="HX10R" localSheetId="1">[3]INPUT!#REF!</definedName>
    <definedName name="HX10R" localSheetId="0">[3]INPUT!#REF!</definedName>
    <definedName name="HX10R" localSheetId="2">[3]INPUT!#REF!</definedName>
    <definedName name="HX10R">[3]INPUT!#REF!</definedName>
    <definedName name="HX3L" localSheetId="1">[3]INPUT!#REF!</definedName>
    <definedName name="HX3L" localSheetId="0">[3]INPUT!#REF!</definedName>
    <definedName name="HX3L" localSheetId="2">[3]INPUT!#REF!</definedName>
    <definedName name="HX3L">[3]INPUT!#REF!</definedName>
    <definedName name="HX3R" localSheetId="1">[3]INPUT!#REF!</definedName>
    <definedName name="HX3R" localSheetId="0">[3]INPUT!#REF!</definedName>
    <definedName name="HX3R" localSheetId="2">[3]INPUT!#REF!</definedName>
    <definedName name="HX3R">[3]INPUT!#REF!</definedName>
    <definedName name="HX4L" localSheetId="1">[3]INPUT!#REF!</definedName>
    <definedName name="HX4L" localSheetId="0">[3]INPUT!#REF!</definedName>
    <definedName name="HX4L" localSheetId="2">[3]INPUT!#REF!</definedName>
    <definedName name="HX4L">[3]INPUT!#REF!</definedName>
    <definedName name="HX4R" localSheetId="1">[3]INPUT!#REF!</definedName>
    <definedName name="HX4R" localSheetId="0">[3]INPUT!#REF!</definedName>
    <definedName name="HX4R" localSheetId="2">[3]INPUT!#REF!</definedName>
    <definedName name="HX4R">[3]INPUT!#REF!</definedName>
    <definedName name="HX5L" localSheetId="1">[3]INPUT!#REF!</definedName>
    <definedName name="HX5L" localSheetId="0">[3]INPUT!#REF!</definedName>
    <definedName name="HX5L" localSheetId="2">[3]INPUT!#REF!</definedName>
    <definedName name="HX5L">[3]INPUT!#REF!</definedName>
    <definedName name="HX5R" localSheetId="1">[3]INPUT!#REF!</definedName>
    <definedName name="HX5R" localSheetId="0">[3]INPUT!#REF!</definedName>
    <definedName name="HX5R" localSheetId="2">[3]INPUT!#REF!</definedName>
    <definedName name="HX5R">[3]INPUT!#REF!</definedName>
    <definedName name="HX6L" localSheetId="1">[3]INPUT!#REF!</definedName>
    <definedName name="HX6L" localSheetId="0">[3]INPUT!#REF!</definedName>
    <definedName name="HX6L" localSheetId="2">[3]INPUT!#REF!</definedName>
    <definedName name="HX6L">[3]INPUT!#REF!</definedName>
    <definedName name="HX6R" localSheetId="1">[3]INPUT!#REF!</definedName>
    <definedName name="HX6R" localSheetId="0">[3]INPUT!#REF!</definedName>
    <definedName name="HX6R" localSheetId="2">[3]INPUT!#REF!</definedName>
    <definedName name="HX6R">[3]INPUT!#REF!</definedName>
    <definedName name="HX7L" localSheetId="1">[3]INPUT!#REF!</definedName>
    <definedName name="HX7L" localSheetId="0">[3]INPUT!#REF!</definedName>
    <definedName name="HX7L" localSheetId="2">[3]INPUT!#REF!</definedName>
    <definedName name="HX7L">[3]INPUT!#REF!</definedName>
    <definedName name="HX7R" localSheetId="1">[3]INPUT!#REF!</definedName>
    <definedName name="HX7R" localSheetId="0">[3]INPUT!#REF!</definedName>
    <definedName name="HX7R" localSheetId="2">[3]INPUT!#REF!</definedName>
    <definedName name="HX7R">[3]INPUT!#REF!</definedName>
    <definedName name="HX8L" localSheetId="1">[3]INPUT!#REF!</definedName>
    <definedName name="HX8L" localSheetId="0">[3]INPUT!#REF!</definedName>
    <definedName name="HX8L" localSheetId="2">[3]INPUT!#REF!</definedName>
    <definedName name="HX8L">[3]INPUT!#REF!</definedName>
    <definedName name="HX8R" localSheetId="1">[3]INPUT!#REF!</definedName>
    <definedName name="HX8R" localSheetId="0">[3]INPUT!#REF!</definedName>
    <definedName name="HX8R" localSheetId="2">[3]INPUT!#REF!</definedName>
    <definedName name="HX8R">[3]INPUT!#REF!</definedName>
    <definedName name="HX9L" localSheetId="1">[3]INPUT!#REF!</definedName>
    <definedName name="HX9L" localSheetId="0">[3]INPUT!#REF!</definedName>
    <definedName name="HX9L" localSheetId="2">[3]INPUT!#REF!</definedName>
    <definedName name="HX9L">[3]INPUT!#REF!</definedName>
    <definedName name="HX9R" localSheetId="1">[3]INPUT!#REF!</definedName>
    <definedName name="HX9R" localSheetId="0">[3]INPUT!#REF!</definedName>
    <definedName name="HX9R" localSheetId="2">[3]INPUT!#REF!</definedName>
    <definedName name="HX9R">[3]INPUT!#REF!</definedName>
    <definedName name="H간격">#REF!</definedName>
    <definedName name="H단면2차모멘트">#REF!</definedName>
    <definedName name="H단면계수">#REF!</definedName>
    <definedName name="H단면적">#REF!</definedName>
    <definedName name="H모멘트">#REF!</definedName>
    <definedName name="H전단력">#REF!</definedName>
    <definedName name="H전단면적">#REF!</definedName>
    <definedName name="H지간">#REF!</definedName>
    <definedName name="H폭">#REF!</definedName>
    <definedName name="I">#REF!</definedName>
    <definedName name="IELWSALES">#REF!</definedName>
    <definedName name="IELYSALES">#REF!</definedName>
    <definedName name="IEPLANSALES">#REF!</definedName>
    <definedName name="IESP">#REF!</definedName>
    <definedName name="IntFreeCred">#REF!</definedName>
    <definedName name="INTPUT">#REF!</definedName>
    <definedName name="INTPUTDATA">#REF!</definedName>
    <definedName name="J_S_P_용__믹서" localSheetId="1">[10]장비집계!#REF!</definedName>
    <definedName name="J_S_P_용__믹서" localSheetId="0">[10]장비집계!#REF!</definedName>
    <definedName name="J_S_P_용__믹서" localSheetId="2">[10]장비집계!#REF!</definedName>
    <definedName name="J_S_P_용__믹서">[10]장비집계!#REF!</definedName>
    <definedName name="J10L1" localSheetId="1">[1]현황산출서!#REF!</definedName>
    <definedName name="J10L1" localSheetId="0">[1]현황산출서!#REF!</definedName>
    <definedName name="J10L1" localSheetId="2">[1]현황산출서!#REF!</definedName>
    <definedName name="J10L1">[1]현황산출서!#REF!</definedName>
    <definedName name="J10L2" localSheetId="1">[1]현황산출서!#REF!</definedName>
    <definedName name="J10L2" localSheetId="0">[1]현황산출서!#REF!</definedName>
    <definedName name="J10L2" localSheetId="2">[1]현황산출서!#REF!</definedName>
    <definedName name="J10L2">[1]현황산출서!#REF!</definedName>
    <definedName name="J11L1" localSheetId="1">[1]현황산출서!#REF!</definedName>
    <definedName name="J11L1" localSheetId="0">[1]현황산출서!#REF!</definedName>
    <definedName name="J11L1" localSheetId="2">[1]현황산출서!#REF!</definedName>
    <definedName name="J11L1">[1]현황산출서!#REF!</definedName>
    <definedName name="J11L2" localSheetId="1">[1]현황산출서!#REF!</definedName>
    <definedName name="J11L2" localSheetId="0">[1]현황산출서!#REF!</definedName>
    <definedName name="J11L2" localSheetId="2">[1]현황산출서!#REF!</definedName>
    <definedName name="J11L2">[1]현황산출서!#REF!</definedName>
    <definedName name="J12L1" localSheetId="1">[1]현황산출서!#REF!</definedName>
    <definedName name="J12L1" localSheetId="0">[1]현황산출서!#REF!</definedName>
    <definedName name="J12L1" localSheetId="2">[1]현황산출서!#REF!</definedName>
    <definedName name="J12L1">[1]현황산출서!#REF!</definedName>
    <definedName name="J12L2" localSheetId="1">[1]현황산출서!#REF!</definedName>
    <definedName name="J12L2" localSheetId="0">[1]현황산출서!#REF!</definedName>
    <definedName name="J12L2" localSheetId="2">[1]현황산출서!#REF!</definedName>
    <definedName name="J12L2">[1]현황산출서!#REF!</definedName>
    <definedName name="J13L1" localSheetId="1">[1]현황산출서!#REF!</definedName>
    <definedName name="J13L1" localSheetId="0">[1]현황산출서!#REF!</definedName>
    <definedName name="J13L1" localSheetId="2">[1]현황산출서!#REF!</definedName>
    <definedName name="J13L1">[1]현황산출서!#REF!</definedName>
    <definedName name="J13L2" localSheetId="1">[1]현황산출서!#REF!</definedName>
    <definedName name="J13L2" localSheetId="0">[1]현황산출서!#REF!</definedName>
    <definedName name="J13L2" localSheetId="2">[1]현황산출서!#REF!</definedName>
    <definedName name="J13L2">[1]현황산출서!#REF!</definedName>
    <definedName name="J14L1" localSheetId="1">[1]현황산출서!#REF!</definedName>
    <definedName name="J14L1" localSheetId="0">[1]현황산출서!#REF!</definedName>
    <definedName name="J14L1" localSheetId="2">[1]현황산출서!#REF!</definedName>
    <definedName name="J14L1">[1]현황산출서!#REF!</definedName>
    <definedName name="J14L2" localSheetId="1">[1]현황산출서!#REF!</definedName>
    <definedName name="J14L2" localSheetId="0">[1]현황산출서!#REF!</definedName>
    <definedName name="J14L2" localSheetId="2">[1]현황산출서!#REF!</definedName>
    <definedName name="J14L2">[1]현황산출서!#REF!</definedName>
    <definedName name="J15L1" localSheetId="1">[1]현황산출서!#REF!</definedName>
    <definedName name="J15L1" localSheetId="0">[1]현황산출서!#REF!</definedName>
    <definedName name="J15L1" localSheetId="2">[1]현황산출서!#REF!</definedName>
    <definedName name="J15L1">[1]현황산출서!#REF!</definedName>
    <definedName name="J15L2" localSheetId="1">[1]현황산출서!#REF!</definedName>
    <definedName name="J15L2" localSheetId="0">[1]현황산출서!#REF!</definedName>
    <definedName name="J15L2" localSheetId="2">[1]현황산출서!#REF!</definedName>
    <definedName name="J15L2">[1]현황산출서!#REF!</definedName>
    <definedName name="J16L1" localSheetId="1">[1]현황산출서!#REF!</definedName>
    <definedName name="J16L1" localSheetId="0">[1]현황산출서!#REF!</definedName>
    <definedName name="J16L1" localSheetId="2">[1]현황산출서!#REF!</definedName>
    <definedName name="J16L1">[1]현황산출서!#REF!</definedName>
    <definedName name="J16L2" localSheetId="1">[1]현황산출서!#REF!</definedName>
    <definedName name="J16L2" localSheetId="0">[1]현황산출서!#REF!</definedName>
    <definedName name="J16L2" localSheetId="2">[1]현황산출서!#REF!</definedName>
    <definedName name="J16L2">[1]현황산출서!#REF!</definedName>
    <definedName name="J17L1" localSheetId="1">[1]현황산출서!#REF!</definedName>
    <definedName name="J17L1" localSheetId="0">[1]현황산출서!#REF!</definedName>
    <definedName name="J17L1" localSheetId="2">[1]현황산출서!#REF!</definedName>
    <definedName name="J17L1">[1]현황산출서!#REF!</definedName>
    <definedName name="J17L2" localSheetId="1">[1]현황산출서!#REF!</definedName>
    <definedName name="J17L2" localSheetId="0">[1]현황산출서!#REF!</definedName>
    <definedName name="J17L2" localSheetId="2">[1]현황산출서!#REF!</definedName>
    <definedName name="J17L2">[1]현황산출서!#REF!</definedName>
    <definedName name="J18L1" localSheetId="1">[1]현황산출서!#REF!</definedName>
    <definedName name="J18L1" localSheetId="0">[1]현황산출서!#REF!</definedName>
    <definedName name="J18L1" localSheetId="2">[1]현황산출서!#REF!</definedName>
    <definedName name="J18L1">[1]현황산출서!#REF!</definedName>
    <definedName name="J18L2" localSheetId="1">[1]현황산출서!#REF!</definedName>
    <definedName name="J18L2" localSheetId="0">[1]현황산출서!#REF!</definedName>
    <definedName name="J18L2" localSheetId="2">[1]현황산출서!#REF!</definedName>
    <definedName name="J18L2">[1]현황산출서!#REF!</definedName>
    <definedName name="J19L1" localSheetId="1">[1]현황산출서!#REF!</definedName>
    <definedName name="J19L1" localSheetId="0">[1]현황산출서!#REF!</definedName>
    <definedName name="J19L1" localSheetId="2">[1]현황산출서!#REF!</definedName>
    <definedName name="J19L1">[1]현황산출서!#REF!</definedName>
    <definedName name="J19L2" localSheetId="1">[1]현황산출서!#REF!</definedName>
    <definedName name="J19L2" localSheetId="0">[1]현황산출서!#REF!</definedName>
    <definedName name="J19L2" localSheetId="2">[1]현황산출서!#REF!</definedName>
    <definedName name="J19L2">[1]현황산출서!#REF!</definedName>
    <definedName name="J20L1" localSheetId="1">[1]현황산출서!#REF!</definedName>
    <definedName name="J20L1" localSheetId="0">[1]현황산출서!#REF!</definedName>
    <definedName name="J20L1" localSheetId="2">[1]현황산출서!#REF!</definedName>
    <definedName name="J20L1">[1]현황산출서!#REF!</definedName>
    <definedName name="J20L2" localSheetId="1">[1]현황산출서!#REF!</definedName>
    <definedName name="J20L2" localSheetId="0">[1]현황산출서!#REF!</definedName>
    <definedName name="J20L2" localSheetId="2">[1]현황산출서!#REF!</definedName>
    <definedName name="J20L2">[1]현황산출서!#REF!</definedName>
    <definedName name="J21L1" localSheetId="1">[1]현황산출서!#REF!</definedName>
    <definedName name="J21L1" localSheetId="0">[1]현황산출서!#REF!</definedName>
    <definedName name="J21L1" localSheetId="2">[1]현황산출서!#REF!</definedName>
    <definedName name="J21L1">[1]현황산출서!#REF!</definedName>
    <definedName name="J21L2" localSheetId="1">[1]현황산출서!#REF!</definedName>
    <definedName name="J21L2" localSheetId="0">[1]현황산출서!#REF!</definedName>
    <definedName name="J21L2" localSheetId="2">[1]현황산출서!#REF!</definedName>
    <definedName name="J21L2">[1]현황산출서!#REF!</definedName>
    <definedName name="J22L1" localSheetId="1">[1]현황산출서!#REF!</definedName>
    <definedName name="J22L1" localSheetId="0">[1]현황산출서!#REF!</definedName>
    <definedName name="J22L1" localSheetId="2">[1]현황산출서!#REF!</definedName>
    <definedName name="J22L1">[1]현황산출서!#REF!</definedName>
    <definedName name="J22L2" localSheetId="1">[1]현황산출서!#REF!</definedName>
    <definedName name="J22L2" localSheetId="0">[1]현황산출서!#REF!</definedName>
    <definedName name="J22L2" localSheetId="2">[1]현황산출서!#REF!</definedName>
    <definedName name="J22L2">[1]현황산출서!#REF!</definedName>
    <definedName name="J23L1" localSheetId="1">[1]현황산출서!#REF!</definedName>
    <definedName name="J23L1" localSheetId="0">[1]현황산출서!#REF!</definedName>
    <definedName name="J23L1" localSheetId="2">[1]현황산출서!#REF!</definedName>
    <definedName name="J23L1">[1]현황산출서!#REF!</definedName>
    <definedName name="J23L2" localSheetId="1">[1]현황산출서!#REF!</definedName>
    <definedName name="J23L2" localSheetId="0">[1]현황산출서!#REF!</definedName>
    <definedName name="J23L2" localSheetId="2">[1]현황산출서!#REF!</definedName>
    <definedName name="J23L2">[1]현황산출서!#REF!</definedName>
    <definedName name="J24L1" localSheetId="1">[1]현황산출서!#REF!</definedName>
    <definedName name="J24L1" localSheetId="0">[1]현황산출서!#REF!</definedName>
    <definedName name="J24L1" localSheetId="2">[1]현황산출서!#REF!</definedName>
    <definedName name="J24L1">[1]현황산출서!#REF!</definedName>
    <definedName name="J24L2" localSheetId="1">[1]현황산출서!#REF!</definedName>
    <definedName name="J24L2" localSheetId="0">[1]현황산출서!#REF!</definedName>
    <definedName name="J24L2" localSheetId="2">[1]현황산출서!#REF!</definedName>
    <definedName name="J24L2">[1]현황산출서!#REF!</definedName>
    <definedName name="J8L1" localSheetId="1">[1]현황산출서!#REF!</definedName>
    <definedName name="J8L1" localSheetId="0">[1]현황산출서!#REF!</definedName>
    <definedName name="J8L1" localSheetId="2">[1]현황산출서!#REF!</definedName>
    <definedName name="J8L1">[1]현황산출서!#REF!</definedName>
    <definedName name="J8L2" localSheetId="1">[1]현황산출서!#REF!</definedName>
    <definedName name="J8L2" localSheetId="0">[1]현황산출서!#REF!</definedName>
    <definedName name="J8L2" localSheetId="2">[1]현황산출서!#REF!</definedName>
    <definedName name="J8L2">[1]현황산출서!#REF!</definedName>
    <definedName name="J9L1" localSheetId="1">[1]현황산출서!#REF!</definedName>
    <definedName name="J9L1" localSheetId="0">[1]현황산출서!#REF!</definedName>
    <definedName name="J9L1" localSheetId="2">[1]현황산출서!#REF!</definedName>
    <definedName name="J9L1">[1]현황산출서!#REF!</definedName>
    <definedName name="J9L2" localSheetId="1">[1]현황산출서!#REF!</definedName>
    <definedName name="J9L2" localSheetId="0">[1]현황산출서!#REF!</definedName>
    <definedName name="J9L2" localSheetId="2">[1]현황산출서!#REF!</definedName>
    <definedName name="J9L2">[1]현황산출서!#REF!</definedName>
    <definedName name="k">#REF!</definedName>
    <definedName name="KA">#REF!</definedName>
    <definedName name="kFour">#REF!</definedName>
    <definedName name="KH">[11]설계조건!$R$180</definedName>
    <definedName name="KJHGHGGTG">#REF!</definedName>
    <definedName name="KK">#REF!</definedName>
    <definedName name="L" localSheetId="1">[5]교각1!#REF!</definedName>
    <definedName name="L" localSheetId="0">[5]교각1!#REF!</definedName>
    <definedName name="L" localSheetId="2">[5]교각1!#REF!</definedName>
    <definedName name="L">[5]교각1!#REF!</definedName>
    <definedName name="l1a2p">[4]INPUT!$F$27</definedName>
    <definedName name="L1L">#REF!</definedName>
    <definedName name="L2L">#REF!</definedName>
    <definedName name="L2L1" localSheetId="1">[1]현황산출서!#REF!</definedName>
    <definedName name="L2L1" localSheetId="0">[1]현황산출서!#REF!</definedName>
    <definedName name="L2L1" localSheetId="2">[1]현황산출서!#REF!</definedName>
    <definedName name="L2L1">[1]현황산출서!#REF!</definedName>
    <definedName name="L3L">#REF!</definedName>
    <definedName name="L4L">#REF!</definedName>
    <definedName name="LA">#REF!</definedName>
    <definedName name="la2p">[4]INPUT!$F$26</definedName>
    <definedName name="lambda">#REF!</definedName>
    <definedName name="LAN" localSheetId="1">[1]현황산출서!#REF!</definedName>
    <definedName name="LAN" localSheetId="0">[1]현황산출서!#REF!</definedName>
    <definedName name="LAN" localSheetId="2">[1]현황산출서!#REF!</definedName>
    <definedName name="LAN">[1]현황산출서!#REF!</definedName>
    <definedName name="LB">[6]말뚝지지력산정!$L$22</definedName>
    <definedName name="Lc">#REF!</definedName>
    <definedName name="LE">#REF!</definedName>
    <definedName name="Len">#REF!</definedName>
    <definedName name="LfpCon">#REF!</definedName>
    <definedName name="LKLKL">#REF!</definedName>
    <definedName name="LLAN1">[12]현황산출서!$D$25</definedName>
    <definedName name="LLAN2">[12]현황산출서!$D$26</definedName>
    <definedName name="LLAN3">[12]현황산출서!$D$27</definedName>
    <definedName name="LLAN4">[12]현황산출서!$D$28</definedName>
    <definedName name="LLAN5">[12]현황산출서!$D$29</definedName>
    <definedName name="LLAN6">[12]현황산출서!$D$30</definedName>
    <definedName name="LLAN7">[12]현황산출서!$D$31</definedName>
    <definedName name="LMO">#REF!</definedName>
    <definedName name="LPI">#REF!</definedName>
    <definedName name="LSH">#REF!</definedName>
    <definedName name="lt">#REF!</definedName>
    <definedName name="LtCon">#REF!</definedName>
    <definedName name="LWSALES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형측구">#REF!</definedName>
    <definedName name="M">#REF!</definedName>
    <definedName name="MA">#REF!</definedName>
    <definedName name="MaH">#REF!</definedName>
    <definedName name="MARGINPLAN">#REF!</definedName>
    <definedName name="MARGINPROJ">#REF!</definedName>
    <definedName name="Mb">#REF!</definedName>
    <definedName name="Mc">#REF!</definedName>
    <definedName name="MC___1">#REF!</definedName>
    <definedName name="MDA">#REF!</definedName>
    <definedName name="MDE">#REF!</definedName>
    <definedName name="ME">#REF!</definedName>
    <definedName name="mf">#REF!</definedName>
    <definedName name="MJU" localSheetId="1">#REF!</definedName>
    <definedName name="MJU" localSheetId="0">#REF!</definedName>
    <definedName name="MJU" localSheetId="2">#REF!</definedName>
    <definedName name="MJU">#REF!</definedName>
    <definedName name="MLA">#REF!</definedName>
    <definedName name="MLE">#REF!</definedName>
    <definedName name="Mone">#REF!</definedName>
    <definedName name="MOR10L" localSheetId="1">[3]INPUT!#REF!</definedName>
    <definedName name="MOR10L" localSheetId="0">[3]INPUT!#REF!</definedName>
    <definedName name="MOR10L" localSheetId="2">[3]INPUT!#REF!</definedName>
    <definedName name="MOR10L">[3]INPUT!#REF!</definedName>
    <definedName name="MOR10R" localSheetId="1">[3]INPUT!#REF!</definedName>
    <definedName name="MOR10R" localSheetId="0">[3]INPUT!#REF!</definedName>
    <definedName name="MOR10R" localSheetId="2">[3]INPUT!#REF!</definedName>
    <definedName name="MOR10R">[3]INPUT!#REF!</definedName>
    <definedName name="MOR3L" localSheetId="1">[3]INPUT!#REF!</definedName>
    <definedName name="MOR3L" localSheetId="0">[3]INPUT!#REF!</definedName>
    <definedName name="MOR3L" localSheetId="2">[3]INPUT!#REF!</definedName>
    <definedName name="MOR3L">[3]INPUT!#REF!</definedName>
    <definedName name="MOR3R" localSheetId="1">[3]INPUT!#REF!</definedName>
    <definedName name="MOR3R" localSheetId="0">[3]INPUT!#REF!</definedName>
    <definedName name="MOR3R" localSheetId="2">[3]INPUT!#REF!</definedName>
    <definedName name="MOR3R">[3]INPUT!#REF!</definedName>
    <definedName name="MOR4L" localSheetId="1">[3]INPUT!#REF!</definedName>
    <definedName name="MOR4L" localSheetId="0">[3]INPUT!#REF!</definedName>
    <definedName name="MOR4L" localSheetId="2">[3]INPUT!#REF!</definedName>
    <definedName name="MOR4L">[3]INPUT!#REF!</definedName>
    <definedName name="MOR4R" localSheetId="1">[3]INPUT!#REF!</definedName>
    <definedName name="MOR4R" localSheetId="0">[3]INPUT!#REF!</definedName>
    <definedName name="MOR4R" localSheetId="2">[3]INPUT!#REF!</definedName>
    <definedName name="MOR4R">[3]INPUT!#REF!</definedName>
    <definedName name="MOR5L" localSheetId="1">[3]INPUT!#REF!</definedName>
    <definedName name="MOR5L" localSheetId="0">[3]INPUT!#REF!</definedName>
    <definedName name="MOR5L" localSheetId="2">[3]INPUT!#REF!</definedName>
    <definedName name="MOR5L">[3]INPUT!#REF!</definedName>
    <definedName name="MOR5R" localSheetId="1">[3]INPUT!#REF!</definedName>
    <definedName name="MOR5R" localSheetId="0">[3]INPUT!#REF!</definedName>
    <definedName name="MOR5R" localSheetId="2">[3]INPUT!#REF!</definedName>
    <definedName name="MOR5R">[3]INPUT!#REF!</definedName>
    <definedName name="MOR6L" localSheetId="1">[3]INPUT!#REF!</definedName>
    <definedName name="MOR6L" localSheetId="0">[3]INPUT!#REF!</definedName>
    <definedName name="MOR6L" localSheetId="2">[3]INPUT!#REF!</definedName>
    <definedName name="MOR6L">[3]INPUT!#REF!</definedName>
    <definedName name="MOR6R" localSheetId="1">[3]INPUT!#REF!</definedName>
    <definedName name="MOR6R" localSheetId="0">[3]INPUT!#REF!</definedName>
    <definedName name="MOR6R" localSheetId="2">[3]INPUT!#REF!</definedName>
    <definedName name="MOR6R">[3]INPUT!#REF!</definedName>
    <definedName name="MOR7L" localSheetId="1">[3]INPUT!#REF!</definedName>
    <definedName name="MOR7L" localSheetId="0">[3]INPUT!#REF!</definedName>
    <definedName name="MOR7L" localSheetId="2">[3]INPUT!#REF!</definedName>
    <definedName name="MOR7L">[3]INPUT!#REF!</definedName>
    <definedName name="MOR7R" localSheetId="1">[3]INPUT!#REF!</definedName>
    <definedName name="MOR7R" localSheetId="0">[3]INPUT!#REF!</definedName>
    <definedName name="MOR7R" localSheetId="2">[3]INPUT!#REF!</definedName>
    <definedName name="MOR7R">[3]INPUT!#REF!</definedName>
    <definedName name="MOR8L" localSheetId="1">[3]INPUT!#REF!</definedName>
    <definedName name="MOR8L" localSheetId="0">[3]INPUT!#REF!</definedName>
    <definedName name="MOR8L" localSheetId="2">[3]INPUT!#REF!</definedName>
    <definedName name="MOR8L">[3]INPUT!#REF!</definedName>
    <definedName name="MOR8R" localSheetId="1">[3]INPUT!#REF!</definedName>
    <definedName name="MOR8R" localSheetId="0">[3]INPUT!#REF!</definedName>
    <definedName name="MOR8R" localSheetId="2">[3]INPUT!#REF!</definedName>
    <definedName name="MOR8R">[3]INPUT!#REF!</definedName>
    <definedName name="MOR9L" localSheetId="1">[3]INPUT!#REF!</definedName>
    <definedName name="MOR9L" localSheetId="0">[3]INPUT!#REF!</definedName>
    <definedName name="MOR9L" localSheetId="2">[3]INPUT!#REF!</definedName>
    <definedName name="MOR9L">[3]INPUT!#REF!</definedName>
    <definedName name="MOR9R" localSheetId="1">[3]INPUT!#REF!</definedName>
    <definedName name="MOR9R" localSheetId="0">[3]INPUT!#REF!</definedName>
    <definedName name="MOR9R" localSheetId="2">[3]INPUT!#REF!</definedName>
    <definedName name="MOR9R">[3]INPUT!#REF!</definedName>
    <definedName name="Mpf">#REF!</definedName>
    <definedName name="MpLower">#REF!</definedName>
    <definedName name="MpUpper">#REF!</definedName>
    <definedName name="mu">#REF!</definedName>
    <definedName name="n">#REF!</definedName>
    <definedName name="N1S">#REF!</definedName>
    <definedName name="N2S">#REF!</definedName>
    <definedName name="N3S">#REF!</definedName>
    <definedName name="NA">#REF!</definedName>
    <definedName name="NDO">#REF!</definedName>
    <definedName name="NF">#REF!</definedName>
    <definedName name="NoCon">#REF!</definedName>
    <definedName name="NPI">#REF!</definedName>
    <definedName name="NSH">#REF!</definedName>
    <definedName name="NSO">#REF!</definedName>
    <definedName name="p">#REF!</definedName>
    <definedName name="P10TL" localSheetId="1">[3]INPUT!#REF!</definedName>
    <definedName name="P10TL" localSheetId="0">[3]INPUT!#REF!</definedName>
    <definedName name="P10TL" localSheetId="2">[3]INPUT!#REF!</definedName>
    <definedName name="P10TL">[3]INPUT!#REF!</definedName>
    <definedName name="P10TR" localSheetId="1">[3]INPUT!#REF!</definedName>
    <definedName name="P10TR" localSheetId="0">[3]INPUT!#REF!</definedName>
    <definedName name="P10TR" localSheetId="2">[3]INPUT!#REF!</definedName>
    <definedName name="P10TR">[3]INPUT!#REF!</definedName>
    <definedName name="P1H1" localSheetId="1">#REF!</definedName>
    <definedName name="P1H1" localSheetId="0">#REF!</definedName>
    <definedName name="P1H1" localSheetId="2">#REF!</definedName>
    <definedName name="P1H1">#REF!</definedName>
    <definedName name="P3TL" localSheetId="1">[3]INPUT!#REF!</definedName>
    <definedName name="P3TL" localSheetId="0">[3]INPUT!#REF!</definedName>
    <definedName name="P3TL" localSheetId="2">[3]INPUT!#REF!</definedName>
    <definedName name="P3TL">[3]INPUT!#REF!</definedName>
    <definedName name="P3TR" localSheetId="1">[3]INPUT!#REF!</definedName>
    <definedName name="P3TR" localSheetId="0">[3]INPUT!#REF!</definedName>
    <definedName name="P3TR" localSheetId="2">[3]INPUT!#REF!</definedName>
    <definedName name="P3TR">[3]INPUT!#REF!</definedName>
    <definedName name="P4TL" localSheetId="1">[3]INPUT!#REF!</definedName>
    <definedName name="P4TL" localSheetId="0">[3]INPUT!#REF!</definedName>
    <definedName name="P4TL" localSheetId="2">[3]INPUT!#REF!</definedName>
    <definedName name="P4TL">[3]INPUT!#REF!</definedName>
    <definedName name="P4TR" localSheetId="1">[3]INPUT!#REF!</definedName>
    <definedName name="P4TR" localSheetId="0">[3]INPUT!#REF!</definedName>
    <definedName name="P4TR" localSheetId="2">[3]INPUT!#REF!</definedName>
    <definedName name="P4TR">[3]INPUT!#REF!</definedName>
    <definedName name="P5TL" localSheetId="1">[3]INPUT!#REF!</definedName>
    <definedName name="P5TL" localSheetId="0">[3]INPUT!#REF!</definedName>
    <definedName name="P5TL" localSheetId="2">[3]INPUT!#REF!</definedName>
    <definedName name="P5TL">[3]INPUT!#REF!</definedName>
    <definedName name="P5TR" localSheetId="1">[3]INPUT!#REF!</definedName>
    <definedName name="P5TR" localSheetId="0">[3]INPUT!#REF!</definedName>
    <definedName name="P5TR" localSheetId="2">[3]INPUT!#REF!</definedName>
    <definedName name="P5TR">[3]INPUT!#REF!</definedName>
    <definedName name="P6TL" localSheetId="1">[3]INPUT!#REF!</definedName>
    <definedName name="P6TL" localSheetId="0">[3]INPUT!#REF!</definedName>
    <definedName name="P6TL" localSheetId="2">[3]INPUT!#REF!</definedName>
    <definedName name="P6TL">[3]INPUT!#REF!</definedName>
    <definedName name="P6TR" localSheetId="1">[3]INPUT!#REF!</definedName>
    <definedName name="P6TR" localSheetId="0">[3]INPUT!#REF!</definedName>
    <definedName name="P6TR" localSheetId="2">[3]INPUT!#REF!</definedName>
    <definedName name="P6TR">[3]INPUT!#REF!</definedName>
    <definedName name="P7TL" localSheetId="1">[3]INPUT!#REF!</definedName>
    <definedName name="P7TL" localSheetId="0">[3]INPUT!#REF!</definedName>
    <definedName name="P7TL" localSheetId="2">[3]INPUT!#REF!</definedName>
    <definedName name="P7TL">[3]INPUT!#REF!</definedName>
    <definedName name="P7TR" localSheetId="1">[3]INPUT!#REF!</definedName>
    <definedName name="P7TR" localSheetId="0">[3]INPUT!#REF!</definedName>
    <definedName name="P7TR" localSheetId="2">[3]INPUT!#REF!</definedName>
    <definedName name="P7TR">[3]INPUT!#REF!</definedName>
    <definedName name="P8TL" localSheetId="1">[3]INPUT!#REF!</definedName>
    <definedName name="P8TL" localSheetId="0">[3]INPUT!#REF!</definedName>
    <definedName name="P8TL" localSheetId="2">[3]INPUT!#REF!</definedName>
    <definedName name="P8TL">[3]INPUT!#REF!</definedName>
    <definedName name="P8TR" localSheetId="1">[3]INPUT!#REF!</definedName>
    <definedName name="P8TR" localSheetId="0">[3]INPUT!#REF!</definedName>
    <definedName name="P8TR" localSheetId="2">[3]INPUT!#REF!</definedName>
    <definedName name="P8TR">[3]INPUT!#REF!</definedName>
    <definedName name="P9TL" localSheetId="1">[3]INPUT!#REF!</definedName>
    <definedName name="P9TL" localSheetId="0">[3]INPUT!#REF!</definedName>
    <definedName name="P9TL" localSheetId="2">[3]INPUT!#REF!</definedName>
    <definedName name="P9TL">[3]INPUT!#REF!</definedName>
    <definedName name="P9TR" localSheetId="1">[3]INPUT!#REF!</definedName>
    <definedName name="P9TR" localSheetId="0">[3]INPUT!#REF!</definedName>
    <definedName name="P9TR" localSheetId="2">[3]INPUT!#REF!</definedName>
    <definedName name="P9TR">[3]INPUT!#REF!</definedName>
    <definedName name="PA">#REF!</definedName>
    <definedName name="PB">#REF!</definedName>
    <definedName name="PH">#REF!</definedName>
    <definedName name="PhiH">#REF!</definedName>
    <definedName name="PhiJ">#REF!</definedName>
    <definedName name="PhiT">#REF!</definedName>
    <definedName name="pi">3.141592654</definedName>
    <definedName name="PIBA">[11]설계조건!$I$41</definedName>
    <definedName name="pile_s">[6]말뚝지지력산정!$F$116</definedName>
    <definedName name="PILED10L" localSheetId="1">[3]INPUT!#REF!</definedName>
    <definedName name="PILED10L" localSheetId="0">[3]INPUT!#REF!</definedName>
    <definedName name="PILED10L" localSheetId="2">[3]INPUT!#REF!</definedName>
    <definedName name="PILED10L">[3]INPUT!#REF!</definedName>
    <definedName name="PILED10R" localSheetId="1">[3]INPUT!#REF!</definedName>
    <definedName name="PILED10R" localSheetId="0">[3]INPUT!#REF!</definedName>
    <definedName name="PILED10R" localSheetId="2">[3]INPUT!#REF!</definedName>
    <definedName name="PILED10R">[3]INPUT!#REF!</definedName>
    <definedName name="PILED3L" localSheetId="1">[3]INPUT!#REF!</definedName>
    <definedName name="PILED3L" localSheetId="0">[3]INPUT!#REF!</definedName>
    <definedName name="PILED3L" localSheetId="2">[3]INPUT!#REF!</definedName>
    <definedName name="PILED3L">[3]INPUT!#REF!</definedName>
    <definedName name="PILED3R" localSheetId="1">[3]INPUT!#REF!</definedName>
    <definedName name="PILED3R" localSheetId="0">[3]INPUT!#REF!</definedName>
    <definedName name="PILED3R" localSheetId="2">[3]INPUT!#REF!</definedName>
    <definedName name="PILED3R">[3]INPUT!#REF!</definedName>
    <definedName name="PILED4L" localSheetId="1">[3]INPUT!#REF!</definedName>
    <definedName name="PILED4L" localSheetId="0">[3]INPUT!#REF!</definedName>
    <definedName name="PILED4L" localSheetId="2">[3]INPUT!#REF!</definedName>
    <definedName name="PILED4L">[3]INPUT!#REF!</definedName>
    <definedName name="PILED4R" localSheetId="1">[3]INPUT!#REF!</definedName>
    <definedName name="PILED4R" localSheetId="0">[3]INPUT!#REF!</definedName>
    <definedName name="PILED4R" localSheetId="2">[3]INPUT!#REF!</definedName>
    <definedName name="PILED4R">[3]INPUT!#REF!</definedName>
    <definedName name="PILED5L" localSheetId="1">[3]INPUT!#REF!</definedName>
    <definedName name="PILED5L" localSheetId="0">[3]INPUT!#REF!</definedName>
    <definedName name="PILED5L" localSheetId="2">[3]INPUT!#REF!</definedName>
    <definedName name="PILED5L">[3]INPUT!#REF!</definedName>
    <definedName name="PILED5R" localSheetId="1">[3]INPUT!#REF!</definedName>
    <definedName name="PILED5R" localSheetId="0">[3]INPUT!#REF!</definedName>
    <definedName name="PILED5R" localSheetId="2">[3]INPUT!#REF!</definedName>
    <definedName name="PILED5R">[3]INPUT!#REF!</definedName>
    <definedName name="PILED6L" localSheetId="1">[3]INPUT!#REF!</definedName>
    <definedName name="PILED6L" localSheetId="0">[3]INPUT!#REF!</definedName>
    <definedName name="PILED6L" localSheetId="2">[3]INPUT!#REF!</definedName>
    <definedName name="PILED6L">[3]INPUT!#REF!</definedName>
    <definedName name="PILED6R" localSheetId="1">[3]INPUT!#REF!</definedName>
    <definedName name="PILED6R" localSheetId="0">[3]INPUT!#REF!</definedName>
    <definedName name="PILED6R" localSheetId="2">[3]INPUT!#REF!</definedName>
    <definedName name="PILED6R">[3]INPUT!#REF!</definedName>
    <definedName name="PILED7L" localSheetId="1">[3]INPUT!#REF!</definedName>
    <definedName name="PILED7L" localSheetId="0">[3]INPUT!#REF!</definedName>
    <definedName name="PILED7L" localSheetId="2">[3]INPUT!#REF!</definedName>
    <definedName name="PILED7L">[3]INPUT!#REF!</definedName>
    <definedName name="PILED7R" localSheetId="1">[3]INPUT!#REF!</definedName>
    <definedName name="PILED7R" localSheetId="0">[3]INPUT!#REF!</definedName>
    <definedName name="PILED7R" localSheetId="2">[3]INPUT!#REF!</definedName>
    <definedName name="PILED7R">[3]INPUT!#REF!</definedName>
    <definedName name="PILED8L" localSheetId="1">[3]INPUT!#REF!</definedName>
    <definedName name="PILED8L" localSheetId="0">[3]INPUT!#REF!</definedName>
    <definedName name="PILED8L" localSheetId="2">[3]INPUT!#REF!</definedName>
    <definedName name="PILED8L">[3]INPUT!#REF!</definedName>
    <definedName name="PILED8R" localSheetId="1">[3]INPUT!#REF!</definedName>
    <definedName name="PILED8R" localSheetId="0">[3]INPUT!#REF!</definedName>
    <definedName name="PILED8R" localSheetId="2">[3]INPUT!#REF!</definedName>
    <definedName name="PILED8R">[3]INPUT!#REF!</definedName>
    <definedName name="PILED9L" localSheetId="1">[3]INPUT!#REF!</definedName>
    <definedName name="PILED9L" localSheetId="0">[3]INPUT!#REF!</definedName>
    <definedName name="PILED9L" localSheetId="2">[3]INPUT!#REF!</definedName>
    <definedName name="PILED9L">[3]INPUT!#REF!</definedName>
    <definedName name="PILED9R" localSheetId="1">[3]INPUT!#REF!</definedName>
    <definedName name="PILED9R" localSheetId="0">[3]INPUT!#REF!</definedName>
    <definedName name="PILED9R" localSheetId="2">[3]INPUT!#REF!</definedName>
    <definedName name="PILED9R">[3]INPUT!#REF!</definedName>
    <definedName name="PILET10L" localSheetId="1">[3]INPUT!#REF!</definedName>
    <definedName name="PILET10L" localSheetId="0">[3]INPUT!#REF!</definedName>
    <definedName name="PILET10L" localSheetId="2">[3]INPUT!#REF!</definedName>
    <definedName name="PILET10L">[3]INPUT!#REF!</definedName>
    <definedName name="PILET10R" localSheetId="1">[3]INPUT!#REF!</definedName>
    <definedName name="PILET10R" localSheetId="0">[3]INPUT!#REF!</definedName>
    <definedName name="PILET10R" localSheetId="2">[3]INPUT!#REF!</definedName>
    <definedName name="PILET10R">[3]INPUT!#REF!</definedName>
    <definedName name="PILET3L" localSheetId="1">[3]INPUT!#REF!</definedName>
    <definedName name="PILET3L" localSheetId="0">[3]INPUT!#REF!</definedName>
    <definedName name="PILET3L" localSheetId="2">[3]INPUT!#REF!</definedName>
    <definedName name="PILET3L">[3]INPUT!#REF!</definedName>
    <definedName name="PILET3R" localSheetId="1">[3]INPUT!#REF!</definedName>
    <definedName name="PILET3R" localSheetId="0">[3]INPUT!#REF!</definedName>
    <definedName name="PILET3R" localSheetId="2">[3]INPUT!#REF!</definedName>
    <definedName name="PILET3R">[3]INPUT!#REF!</definedName>
    <definedName name="PILET4L" localSheetId="1">[3]INPUT!#REF!</definedName>
    <definedName name="PILET4L" localSheetId="0">[3]INPUT!#REF!</definedName>
    <definedName name="PILET4L" localSheetId="2">[3]INPUT!#REF!</definedName>
    <definedName name="PILET4L">[3]INPUT!#REF!</definedName>
    <definedName name="PILET4R" localSheetId="1">[3]INPUT!#REF!</definedName>
    <definedName name="PILET4R" localSheetId="0">[3]INPUT!#REF!</definedName>
    <definedName name="PILET4R" localSheetId="2">[3]INPUT!#REF!</definedName>
    <definedName name="PILET4R">[3]INPUT!#REF!</definedName>
    <definedName name="PILET5L" localSheetId="1">[3]INPUT!#REF!</definedName>
    <definedName name="PILET5L" localSheetId="0">[3]INPUT!#REF!</definedName>
    <definedName name="PILET5L" localSheetId="2">[3]INPUT!#REF!</definedName>
    <definedName name="PILET5L">[3]INPUT!#REF!</definedName>
    <definedName name="PILET5R" localSheetId="1">[3]INPUT!#REF!</definedName>
    <definedName name="PILET5R" localSheetId="0">[3]INPUT!#REF!</definedName>
    <definedName name="PILET5R" localSheetId="2">[3]INPUT!#REF!</definedName>
    <definedName name="PILET5R">[3]INPUT!#REF!</definedName>
    <definedName name="PILET6L" localSheetId="1">[3]INPUT!#REF!</definedName>
    <definedName name="PILET6L" localSheetId="0">[3]INPUT!#REF!</definedName>
    <definedName name="PILET6L" localSheetId="2">[3]INPUT!#REF!</definedName>
    <definedName name="PILET6L">[3]INPUT!#REF!</definedName>
    <definedName name="PILET6R" localSheetId="1">[3]INPUT!#REF!</definedName>
    <definedName name="PILET6R" localSheetId="0">[3]INPUT!#REF!</definedName>
    <definedName name="PILET6R" localSheetId="2">[3]INPUT!#REF!</definedName>
    <definedName name="PILET6R">[3]INPUT!#REF!</definedName>
    <definedName name="PILET7L" localSheetId="1">[3]INPUT!#REF!</definedName>
    <definedName name="PILET7L" localSheetId="0">[3]INPUT!#REF!</definedName>
    <definedName name="PILET7L" localSheetId="2">[3]INPUT!#REF!</definedName>
    <definedName name="PILET7L">[3]INPUT!#REF!</definedName>
    <definedName name="PILET7R" localSheetId="1">[3]INPUT!#REF!</definedName>
    <definedName name="PILET7R" localSheetId="0">[3]INPUT!#REF!</definedName>
    <definedName name="PILET7R" localSheetId="2">[3]INPUT!#REF!</definedName>
    <definedName name="PILET7R">[3]INPUT!#REF!</definedName>
    <definedName name="PILET8L" localSheetId="1">[3]INPUT!#REF!</definedName>
    <definedName name="PILET8L" localSheetId="0">[3]INPUT!#REF!</definedName>
    <definedName name="PILET8L" localSheetId="2">[3]INPUT!#REF!</definedName>
    <definedName name="PILET8L">[3]INPUT!#REF!</definedName>
    <definedName name="PILET8R" localSheetId="1">[3]INPUT!#REF!</definedName>
    <definedName name="PILET8R" localSheetId="0">[3]INPUT!#REF!</definedName>
    <definedName name="PILET8R" localSheetId="2">[3]INPUT!#REF!</definedName>
    <definedName name="PILET8R">[3]INPUT!#REF!</definedName>
    <definedName name="PILET9L" localSheetId="1">[3]INPUT!#REF!</definedName>
    <definedName name="PILET9L" localSheetId="0">[3]INPUT!#REF!</definedName>
    <definedName name="PILET9L" localSheetId="2">[3]INPUT!#REF!</definedName>
    <definedName name="PILET9L">[3]INPUT!#REF!</definedName>
    <definedName name="PILET9R" localSheetId="1">[3]INPUT!#REF!</definedName>
    <definedName name="PILET9R" localSheetId="0">[3]INPUT!#REF!</definedName>
    <definedName name="PILET9R" localSheetId="2">[3]INPUT!#REF!</definedName>
    <definedName name="PILET9R">[3]INPUT!#REF!</definedName>
    <definedName name="PL" localSheetId="1">[5]교각1!#REF!</definedName>
    <definedName name="PL" localSheetId="0">[5]교각1!#REF!</definedName>
    <definedName name="PL" localSheetId="2">[5]교각1!#REF!</definedName>
    <definedName name="PL">[5]교각1!#REF!</definedName>
    <definedName name="PLB">#REF!</definedName>
    <definedName name="PN" localSheetId="1">[5]교각1!#REF!</definedName>
    <definedName name="PN" localSheetId="0">[5]교각1!#REF!</definedName>
    <definedName name="PN" localSheetId="2">[5]교각1!#REF!</definedName>
    <definedName name="PN">[5]교각1!#REF!</definedName>
    <definedName name="Ppf">#REF!</definedName>
    <definedName name="PRDump">#REF!</definedName>
    <definedName name="prin">#REF!</definedName>
    <definedName name="_xlnm.Print_Area" localSheetId="7">Sheet4!$C$3:$G$22</definedName>
    <definedName name="_xlnm.Print_Area" localSheetId="1">공사비총괄표!$A$1:$M$37</definedName>
    <definedName name="_xlnm.Print_Area" localSheetId="5">'공종별집계표(전기공사)'!$A$1:$M$27</definedName>
    <definedName name="_xlnm.Print_Area" localSheetId="6">'내역서(전기공사)'!$A$1:$N$387</definedName>
    <definedName name="_xlnm.Print_Area" localSheetId="3">'내역서(토목공사)'!$A$1:$M$1819</definedName>
    <definedName name="_xlnm.Print_Area" localSheetId="4">'원가계산서(전기공사)'!$A$1:$G$35</definedName>
    <definedName name="_xlnm.Print_Area" localSheetId="0">'원가계산서(총괄)'!$A$1:$I$37</definedName>
    <definedName name="_xlnm.Print_Area" localSheetId="2">'원가계산서(토목공사)'!$A$1:$G$35</definedName>
    <definedName name="_xlnm.Print_Area">#REF!</definedName>
    <definedName name="Print_Area_MI">#REF!</definedName>
    <definedName name="PRINT_AREA_MI1">#REF!</definedName>
    <definedName name="PRINT_TILIES" localSheetId="1">#REF!,#REF!,#REF!,#REF!,#REF!</definedName>
    <definedName name="PRINT_TILIES" localSheetId="0">#REF!,#REF!,#REF!,#REF!,#REF!</definedName>
    <definedName name="PRINT_TILIES" localSheetId="2">#REF!,#REF!,#REF!,#REF!,#REF!</definedName>
    <definedName name="PRINT_TILIES">#REF!,#REF!,#REF!,#REF!,#REF!</definedName>
    <definedName name="PRINT_TILLES">[13]우수!$1:$3,[13]우수!$A:$D</definedName>
    <definedName name="print_title">#REF!</definedName>
    <definedName name="_xlnm.Print_Titles" localSheetId="1">공사비총괄표!$3:$4</definedName>
    <definedName name="_xlnm.Print_Titles" localSheetId="5">'공종별집계표(전기공사)'!$1:$4</definedName>
    <definedName name="_xlnm.Print_Titles" localSheetId="6">'내역서(전기공사)'!$1:$3</definedName>
    <definedName name="_xlnm.Print_Titles" localSheetId="3">'내역서(토목공사)'!$3:$4</definedName>
    <definedName name="_xlnm.Print_Titles">#REF!</definedName>
    <definedName name="PT" localSheetId="1">[5]교각1!#REF!</definedName>
    <definedName name="PT" localSheetId="0">[5]교각1!#REF!</definedName>
    <definedName name="PT" localSheetId="2">[5]교각1!#REF!</definedName>
    <definedName name="PT">[5]교각1!#REF!</definedName>
    <definedName name="PTA">#REF!</definedName>
    <definedName name="PTB">#REF!</definedName>
    <definedName name="P간격">#REF!</definedName>
    <definedName name="P단면2차모멘트">#REF!</definedName>
    <definedName name="P단면계수">#REF!</definedName>
    <definedName name="P단면적">#REF!</definedName>
    <definedName name="P전단력">#REF!</definedName>
    <definedName name="P전단면적">#REF!</definedName>
    <definedName name="P지간">#REF!</definedName>
    <definedName name="P폭">#REF!</definedName>
    <definedName name="QW" hidden="1">{#N/A,#N/A,FALSE,"배수2"}</definedName>
    <definedName name="Radius">#REF!</definedName>
    <definedName name="RawAgencyPrice">#REF!</definedName>
    <definedName name="RB">#REF!</definedName>
    <definedName name="RBData">#REF!</definedName>
    <definedName name="Rcrown">#REF!</definedName>
    <definedName name="Re">#REF!</definedName>
    <definedName name="_xlnm.Recorder">'[14]tggwan(mac)'!$A:$A</definedName>
    <definedName name="Reselects">#REF!</definedName>
    <definedName name="rho">#REF!</definedName>
    <definedName name="RL">#REF!</definedName>
    <definedName name="ROCK_AUGER" localSheetId="1">[10]장비집계!#REF!</definedName>
    <definedName name="ROCK_AUGER" localSheetId="0">[10]장비집계!#REF!</definedName>
    <definedName name="ROCK_AUGER" localSheetId="2">[10]장비집계!#REF!</definedName>
    <definedName name="ROCK_AUGER">[10]장비집계!#REF!</definedName>
    <definedName name="rog">#REF!</definedName>
    <definedName name="RR">[15]개략!$A$1:$Q$118</definedName>
    <definedName name="RRR" hidden="1">{#N/A,#N/A,FALSE,"포장2"}</definedName>
    <definedName name="S">#REF!</definedName>
    <definedName name="S10FL" localSheetId="1">[2]INPUT!#REF!</definedName>
    <definedName name="S10FL" localSheetId="0">[2]INPUT!#REF!</definedName>
    <definedName name="S10FL" localSheetId="2">[2]INPUT!#REF!</definedName>
    <definedName name="S10FL">[2]INPUT!#REF!</definedName>
    <definedName name="S10FR" localSheetId="1">[2]INPUT!#REF!</definedName>
    <definedName name="S10FR" localSheetId="0">[2]INPUT!#REF!</definedName>
    <definedName name="S10FR" localSheetId="2">[2]INPUT!#REF!</definedName>
    <definedName name="S10FR">[2]INPUT!#REF!</definedName>
    <definedName name="S10L" localSheetId="1">[2]INPUT!#REF!</definedName>
    <definedName name="S10L" localSheetId="0">[2]INPUT!#REF!</definedName>
    <definedName name="S10L" localSheetId="2">[2]INPUT!#REF!</definedName>
    <definedName name="S10L">[2]INPUT!#REF!</definedName>
    <definedName name="S10L1" localSheetId="1">[1]현황산출서!#REF!</definedName>
    <definedName name="S10L1" localSheetId="0">[1]현황산출서!#REF!</definedName>
    <definedName name="S10L1" localSheetId="2">[1]현황산출서!#REF!</definedName>
    <definedName name="S10L1">[1]현황산출서!#REF!</definedName>
    <definedName name="S10L2" localSheetId="1">[1]현황산출서!#REF!</definedName>
    <definedName name="S10L2" localSheetId="0">[1]현황산출서!#REF!</definedName>
    <definedName name="S10L2" localSheetId="2">[1]현황산출서!#REF!</definedName>
    <definedName name="S10L2">[1]현황산출서!#REF!</definedName>
    <definedName name="S10R" localSheetId="1">[2]INPUT!#REF!</definedName>
    <definedName name="S10R" localSheetId="0">[2]INPUT!#REF!</definedName>
    <definedName name="S10R" localSheetId="2">[2]INPUT!#REF!</definedName>
    <definedName name="S10R">[2]INPUT!#REF!</definedName>
    <definedName name="S10RL" localSheetId="1">[2]INPUT!#REF!</definedName>
    <definedName name="S10RL" localSheetId="0">[2]INPUT!#REF!</definedName>
    <definedName name="S10RL" localSheetId="2">[2]INPUT!#REF!</definedName>
    <definedName name="S10RL">[2]INPUT!#REF!</definedName>
    <definedName name="S10RR" localSheetId="1">[2]INPUT!#REF!</definedName>
    <definedName name="S10RR" localSheetId="0">[2]INPUT!#REF!</definedName>
    <definedName name="S10RR" localSheetId="2">[2]INPUT!#REF!</definedName>
    <definedName name="S10RR">[2]INPUT!#REF!</definedName>
    <definedName name="S10TL" localSheetId="1">[3]INPUT!#REF!</definedName>
    <definedName name="S10TL" localSheetId="0">[3]INPUT!#REF!</definedName>
    <definedName name="S10TL" localSheetId="2">[3]INPUT!#REF!</definedName>
    <definedName name="S10TL">[3]INPUT!#REF!</definedName>
    <definedName name="S10TR" localSheetId="1">[3]INPUT!#REF!</definedName>
    <definedName name="S10TR" localSheetId="0">[3]INPUT!#REF!</definedName>
    <definedName name="S10TR" localSheetId="2">[3]INPUT!#REF!</definedName>
    <definedName name="S10TR">[3]INPUT!#REF!</definedName>
    <definedName name="S11L1" localSheetId="1">[1]현황산출서!#REF!</definedName>
    <definedName name="S11L1" localSheetId="0">[1]현황산출서!#REF!</definedName>
    <definedName name="S11L1" localSheetId="2">[1]현황산출서!#REF!</definedName>
    <definedName name="S11L1">[1]현황산출서!#REF!</definedName>
    <definedName name="S11L2" localSheetId="1">[1]현황산출서!#REF!</definedName>
    <definedName name="S11L2" localSheetId="0">[1]현황산출서!#REF!</definedName>
    <definedName name="S11L2" localSheetId="2">[1]현황산출서!#REF!</definedName>
    <definedName name="S11L2">[1]현황산출서!#REF!</definedName>
    <definedName name="S11LA" localSheetId="1">[1]현황산출서!#REF!</definedName>
    <definedName name="S11LA" localSheetId="0">[1]현황산출서!#REF!</definedName>
    <definedName name="S11LA" localSheetId="2">[1]현황산출서!#REF!</definedName>
    <definedName name="S11LA">[1]현황산출서!#REF!</definedName>
    <definedName name="S12L1" localSheetId="1">[1]현황산출서!#REF!</definedName>
    <definedName name="S12L1" localSheetId="0">[1]현황산출서!#REF!</definedName>
    <definedName name="S12L1" localSheetId="2">[1]현황산출서!#REF!</definedName>
    <definedName name="S12L1">[1]현황산출서!#REF!</definedName>
    <definedName name="S12L2" localSheetId="1">[1]현황산출서!#REF!</definedName>
    <definedName name="S12L2" localSheetId="0">[1]현황산출서!#REF!</definedName>
    <definedName name="S12L2" localSheetId="2">[1]현황산출서!#REF!</definedName>
    <definedName name="S12L2">[1]현황산출서!#REF!</definedName>
    <definedName name="S13L1" localSheetId="1">[1]현황산출서!#REF!</definedName>
    <definedName name="S13L1" localSheetId="0">[1]현황산출서!#REF!</definedName>
    <definedName name="S13L1" localSheetId="2">[1]현황산출서!#REF!</definedName>
    <definedName name="S13L1">[1]현황산출서!#REF!</definedName>
    <definedName name="S13L2" localSheetId="1">[1]현황산출서!#REF!</definedName>
    <definedName name="S13L2" localSheetId="0">[1]현황산출서!#REF!</definedName>
    <definedName name="S13L2" localSheetId="2">[1]현황산출서!#REF!</definedName>
    <definedName name="S13L2">[1]현황산출서!#REF!</definedName>
    <definedName name="S14L1" localSheetId="1">[1]현황산출서!#REF!</definedName>
    <definedName name="S14L1" localSheetId="0">[1]현황산출서!#REF!</definedName>
    <definedName name="S14L1" localSheetId="2">[1]현황산출서!#REF!</definedName>
    <definedName name="S14L1">[1]현황산출서!#REF!</definedName>
    <definedName name="S14L2" localSheetId="1">[1]현황산출서!#REF!</definedName>
    <definedName name="S14L2" localSheetId="0">[1]현황산출서!#REF!</definedName>
    <definedName name="S14L2" localSheetId="2">[1]현황산출서!#REF!</definedName>
    <definedName name="S14L2">[1]현황산출서!#REF!</definedName>
    <definedName name="S15L1" localSheetId="1">[1]현황산출서!#REF!</definedName>
    <definedName name="S15L1" localSheetId="0">[1]현황산출서!#REF!</definedName>
    <definedName name="S15L1" localSheetId="2">[1]현황산출서!#REF!</definedName>
    <definedName name="S15L1">[1]현황산출서!#REF!</definedName>
    <definedName name="S15L2" localSheetId="1">[1]현황산출서!#REF!</definedName>
    <definedName name="S15L2" localSheetId="0">[1]현황산출서!#REF!</definedName>
    <definedName name="S15L2" localSheetId="2">[1]현황산출서!#REF!</definedName>
    <definedName name="S15L2">[1]현황산출서!#REF!</definedName>
    <definedName name="S16L1" localSheetId="1">[1]현황산출서!#REF!</definedName>
    <definedName name="S16L1" localSheetId="0">[1]현황산출서!#REF!</definedName>
    <definedName name="S16L1" localSheetId="2">[1]현황산출서!#REF!</definedName>
    <definedName name="S16L1">[1]현황산출서!#REF!</definedName>
    <definedName name="S16L2" localSheetId="1">[1]현황산출서!#REF!</definedName>
    <definedName name="S16L2" localSheetId="0">[1]현황산출서!#REF!</definedName>
    <definedName name="S16L2" localSheetId="2">[1]현황산출서!#REF!</definedName>
    <definedName name="S16L2">[1]현황산출서!#REF!</definedName>
    <definedName name="S17L1" localSheetId="1">[1]현황산출서!#REF!</definedName>
    <definedName name="S17L1" localSheetId="0">[1]현황산출서!#REF!</definedName>
    <definedName name="S17L1" localSheetId="2">[1]현황산출서!#REF!</definedName>
    <definedName name="S17L1">[1]현황산출서!#REF!</definedName>
    <definedName name="S17L2" localSheetId="1">[1]현황산출서!#REF!</definedName>
    <definedName name="S17L2" localSheetId="0">[1]현황산출서!#REF!</definedName>
    <definedName name="S17L2" localSheetId="2">[1]현황산출서!#REF!</definedName>
    <definedName name="S17L2">[1]현황산출서!#REF!</definedName>
    <definedName name="S18L1" localSheetId="1">[1]현황산출서!#REF!</definedName>
    <definedName name="S18L1" localSheetId="0">[1]현황산출서!#REF!</definedName>
    <definedName name="S18L1" localSheetId="2">[1]현황산출서!#REF!</definedName>
    <definedName name="S18L1">[1]현황산출서!#REF!</definedName>
    <definedName name="S18L2" localSheetId="1">[1]현황산출서!#REF!</definedName>
    <definedName name="S18L2" localSheetId="0">[1]현황산출서!#REF!</definedName>
    <definedName name="S18L2" localSheetId="2">[1]현황산출서!#REF!</definedName>
    <definedName name="S18L2">[1]현황산출서!#REF!</definedName>
    <definedName name="S19L1" localSheetId="1">[1]현황산출서!#REF!</definedName>
    <definedName name="S19L1" localSheetId="0">[1]현황산출서!#REF!</definedName>
    <definedName name="S19L1" localSheetId="2">[1]현황산출서!#REF!</definedName>
    <definedName name="S19L1">[1]현황산출서!#REF!</definedName>
    <definedName name="S19L2" localSheetId="1">[1]현황산출서!#REF!</definedName>
    <definedName name="S19L2" localSheetId="0">[1]현황산출서!#REF!</definedName>
    <definedName name="S19L2" localSheetId="2">[1]현황산출서!#REF!</definedName>
    <definedName name="S19L2">[1]현황산출서!#REF!</definedName>
    <definedName name="S1L1" localSheetId="1">[1]현황산출서!#REF!</definedName>
    <definedName name="S1L1" localSheetId="0">[1]현황산출서!#REF!</definedName>
    <definedName name="S1L1" localSheetId="2">[1]현황산출서!#REF!</definedName>
    <definedName name="S1L1">[1]현황산출서!#REF!</definedName>
    <definedName name="S1L2" localSheetId="1">[1]현황산출서!#REF!</definedName>
    <definedName name="S1L2" localSheetId="0">[1]현황산출서!#REF!</definedName>
    <definedName name="S1L2" localSheetId="2">[1]현황산출서!#REF!</definedName>
    <definedName name="S1L2">[1]현황산출서!#REF!</definedName>
    <definedName name="S20L1" localSheetId="1">[1]현황산출서!#REF!</definedName>
    <definedName name="S20L1" localSheetId="0">[1]현황산출서!#REF!</definedName>
    <definedName name="S20L1" localSheetId="2">[1]현황산출서!#REF!</definedName>
    <definedName name="S20L1">[1]현황산출서!#REF!</definedName>
    <definedName name="S20L2" localSheetId="1">[1]현황산출서!#REF!</definedName>
    <definedName name="S20L2" localSheetId="0">[1]현황산출서!#REF!</definedName>
    <definedName name="S20L2" localSheetId="2">[1]현황산출서!#REF!</definedName>
    <definedName name="S20L2">[1]현황산출서!#REF!</definedName>
    <definedName name="S2L">#REF!</definedName>
    <definedName name="S2L1" localSheetId="1">[1]현황산출서!#REF!</definedName>
    <definedName name="S2L1" localSheetId="0">[1]현황산출서!#REF!</definedName>
    <definedName name="S2L1" localSheetId="2">[1]현황산출서!#REF!</definedName>
    <definedName name="S2L1">[1]현황산출서!#REF!</definedName>
    <definedName name="S2L2" localSheetId="1">[1]현황산출서!#REF!</definedName>
    <definedName name="S2L2" localSheetId="0">[1]현황산출서!#REF!</definedName>
    <definedName name="S2L2" localSheetId="2">[1]현황산출서!#REF!</definedName>
    <definedName name="S2L2">[1]현황산출서!#REF!</definedName>
    <definedName name="S3FL" localSheetId="1">[2]INPUT!#REF!</definedName>
    <definedName name="S3FL" localSheetId="0">[2]INPUT!#REF!</definedName>
    <definedName name="S3FL" localSheetId="2">[2]INPUT!#REF!</definedName>
    <definedName name="S3FL">[2]INPUT!#REF!</definedName>
    <definedName name="S3FR" localSheetId="1">[2]INPUT!#REF!</definedName>
    <definedName name="S3FR" localSheetId="0">[2]INPUT!#REF!</definedName>
    <definedName name="S3FR" localSheetId="2">[2]INPUT!#REF!</definedName>
    <definedName name="S3FR">[2]INPUT!#REF!</definedName>
    <definedName name="S3L" localSheetId="1">[2]INPUT!#REF!</definedName>
    <definedName name="S3L" localSheetId="0">[2]INPUT!#REF!</definedName>
    <definedName name="S3L" localSheetId="2">[2]INPUT!#REF!</definedName>
    <definedName name="S3L">[2]INPUT!#REF!</definedName>
    <definedName name="S3L1" localSheetId="1">[1]현황산출서!#REF!</definedName>
    <definedName name="S3L1" localSheetId="0">[1]현황산출서!#REF!</definedName>
    <definedName name="S3L1" localSheetId="2">[1]현황산출서!#REF!</definedName>
    <definedName name="S3L1">[1]현황산출서!#REF!</definedName>
    <definedName name="S3L2" localSheetId="1">[1]현황산출서!#REF!</definedName>
    <definedName name="S3L2" localSheetId="0">[1]현황산출서!#REF!</definedName>
    <definedName name="S3L2" localSheetId="2">[1]현황산출서!#REF!</definedName>
    <definedName name="S3L2">[1]현황산출서!#REF!</definedName>
    <definedName name="S3L3" localSheetId="1">[1]현황산출서!#REF!</definedName>
    <definedName name="S3L3" localSheetId="0">[1]현황산출서!#REF!</definedName>
    <definedName name="S3L3" localSheetId="2">[1]현황산출서!#REF!</definedName>
    <definedName name="S3L3">[1]현황산출서!#REF!</definedName>
    <definedName name="S3R" localSheetId="1">[2]INPUT!#REF!</definedName>
    <definedName name="S3R" localSheetId="0">[2]INPUT!#REF!</definedName>
    <definedName name="S3R" localSheetId="2">[2]INPUT!#REF!</definedName>
    <definedName name="S3R">[2]INPUT!#REF!</definedName>
    <definedName name="S3RL" localSheetId="1">[2]INPUT!#REF!</definedName>
    <definedName name="S3RL" localSheetId="0">[2]INPUT!#REF!</definedName>
    <definedName name="S3RL" localSheetId="2">[2]INPUT!#REF!</definedName>
    <definedName name="S3RL">[2]INPUT!#REF!</definedName>
    <definedName name="S3RR" localSheetId="1">[2]INPUT!#REF!</definedName>
    <definedName name="S3RR" localSheetId="0">[2]INPUT!#REF!</definedName>
    <definedName name="S3RR" localSheetId="2">[2]INPUT!#REF!</definedName>
    <definedName name="S3RR">[2]INPUT!#REF!</definedName>
    <definedName name="S3TL" localSheetId="1">[3]INPUT!#REF!</definedName>
    <definedName name="S3TL" localSheetId="0">[3]INPUT!#REF!</definedName>
    <definedName name="S3TL" localSheetId="2">[3]INPUT!#REF!</definedName>
    <definedName name="S3TL">[3]INPUT!#REF!</definedName>
    <definedName name="S3TR" localSheetId="1">[3]INPUT!#REF!</definedName>
    <definedName name="S3TR" localSheetId="0">[3]INPUT!#REF!</definedName>
    <definedName name="S3TR" localSheetId="2">[3]INPUT!#REF!</definedName>
    <definedName name="S3TR">[3]INPUT!#REF!</definedName>
    <definedName name="S4FL" localSheetId="1">[2]INPUT!#REF!</definedName>
    <definedName name="S4FL" localSheetId="0">[2]INPUT!#REF!</definedName>
    <definedName name="S4FL" localSheetId="2">[2]INPUT!#REF!</definedName>
    <definedName name="S4FL">[2]INPUT!#REF!</definedName>
    <definedName name="S4FR" localSheetId="1">[2]INPUT!#REF!</definedName>
    <definedName name="S4FR" localSheetId="0">[2]INPUT!#REF!</definedName>
    <definedName name="S4FR" localSheetId="2">[2]INPUT!#REF!</definedName>
    <definedName name="S4FR">[2]INPUT!#REF!</definedName>
    <definedName name="S4L" localSheetId="1">[2]INPUT!#REF!</definedName>
    <definedName name="S4L" localSheetId="0">[2]INPUT!#REF!</definedName>
    <definedName name="S4L" localSheetId="2">[2]INPUT!#REF!</definedName>
    <definedName name="S4L">[2]INPUT!#REF!</definedName>
    <definedName name="S4L1" localSheetId="1">[1]현황산출서!#REF!</definedName>
    <definedName name="S4L1" localSheetId="0">[1]현황산출서!#REF!</definedName>
    <definedName name="S4L1" localSheetId="2">[1]현황산출서!#REF!</definedName>
    <definedName name="S4L1">[1]현황산출서!#REF!</definedName>
    <definedName name="S4L2" localSheetId="1">[1]현황산출서!#REF!</definedName>
    <definedName name="S4L2" localSheetId="0">[1]현황산출서!#REF!</definedName>
    <definedName name="S4L2" localSheetId="2">[1]현황산출서!#REF!</definedName>
    <definedName name="S4L2">[1]현황산출서!#REF!</definedName>
    <definedName name="S4R" localSheetId="1">[2]INPUT!#REF!</definedName>
    <definedName name="S4R" localSheetId="0">[2]INPUT!#REF!</definedName>
    <definedName name="S4R" localSheetId="2">[2]INPUT!#REF!</definedName>
    <definedName name="S4R">[2]INPUT!#REF!</definedName>
    <definedName name="S4RL" localSheetId="1">[2]INPUT!#REF!</definedName>
    <definedName name="S4RL" localSheetId="0">[2]INPUT!#REF!</definedName>
    <definedName name="S4RL" localSheetId="2">[2]INPUT!#REF!</definedName>
    <definedName name="S4RL">[2]INPUT!#REF!</definedName>
    <definedName name="S4RR" localSheetId="1">[2]INPUT!#REF!</definedName>
    <definedName name="S4RR" localSheetId="0">[2]INPUT!#REF!</definedName>
    <definedName name="S4RR" localSheetId="2">[2]INPUT!#REF!</definedName>
    <definedName name="S4RR">[2]INPUT!#REF!</definedName>
    <definedName name="S4TL" localSheetId="1">[3]INPUT!#REF!</definedName>
    <definedName name="S4TL" localSheetId="0">[3]INPUT!#REF!</definedName>
    <definedName name="S4TL" localSheetId="2">[3]INPUT!#REF!</definedName>
    <definedName name="S4TL">[3]INPUT!#REF!</definedName>
    <definedName name="S4TR" localSheetId="1">[3]INPUT!#REF!</definedName>
    <definedName name="S4TR" localSheetId="0">[3]INPUT!#REF!</definedName>
    <definedName name="S4TR" localSheetId="2">[3]INPUT!#REF!</definedName>
    <definedName name="S4TR">[3]INPUT!#REF!</definedName>
    <definedName name="S5FL" localSheetId="1">[2]INPUT!#REF!</definedName>
    <definedName name="S5FL" localSheetId="0">[2]INPUT!#REF!</definedName>
    <definedName name="S5FL" localSheetId="2">[2]INPUT!#REF!</definedName>
    <definedName name="S5FL">[2]INPUT!#REF!</definedName>
    <definedName name="S5FR" localSheetId="1">[2]INPUT!#REF!</definedName>
    <definedName name="S5FR" localSheetId="0">[2]INPUT!#REF!</definedName>
    <definedName name="S5FR" localSheetId="2">[2]INPUT!#REF!</definedName>
    <definedName name="S5FR">[2]INPUT!#REF!</definedName>
    <definedName name="S5L" localSheetId="1">[2]INPUT!#REF!</definedName>
    <definedName name="S5L" localSheetId="0">[2]INPUT!#REF!</definedName>
    <definedName name="S5L" localSheetId="2">[2]INPUT!#REF!</definedName>
    <definedName name="S5L">[2]INPUT!#REF!</definedName>
    <definedName name="S5L1" localSheetId="1">[1]현황산출서!#REF!</definedName>
    <definedName name="S5L1" localSheetId="0">[1]현황산출서!#REF!</definedName>
    <definedName name="S5L1" localSheetId="2">[1]현황산출서!#REF!</definedName>
    <definedName name="S5L1">[1]현황산출서!#REF!</definedName>
    <definedName name="S5L2" localSheetId="1">[1]현황산출서!#REF!</definedName>
    <definedName name="S5L2" localSheetId="0">[1]현황산출서!#REF!</definedName>
    <definedName name="S5L2" localSheetId="2">[1]현황산출서!#REF!</definedName>
    <definedName name="S5L2">[1]현황산출서!#REF!</definedName>
    <definedName name="S5R" localSheetId="1">[2]INPUT!#REF!</definedName>
    <definedName name="S5R" localSheetId="0">[2]INPUT!#REF!</definedName>
    <definedName name="S5R" localSheetId="2">[2]INPUT!#REF!</definedName>
    <definedName name="S5R">[2]INPUT!#REF!</definedName>
    <definedName name="S5RL" localSheetId="1">[2]INPUT!#REF!</definedName>
    <definedName name="S5RL" localSheetId="0">[2]INPUT!#REF!</definedName>
    <definedName name="S5RL" localSheetId="2">[2]INPUT!#REF!</definedName>
    <definedName name="S5RL">[2]INPUT!#REF!</definedName>
    <definedName name="S5RR" localSheetId="1">[2]INPUT!#REF!</definedName>
    <definedName name="S5RR" localSheetId="0">[2]INPUT!#REF!</definedName>
    <definedName name="S5RR" localSheetId="2">[2]INPUT!#REF!</definedName>
    <definedName name="S5RR">[2]INPUT!#REF!</definedName>
    <definedName name="S5TL" localSheetId="1">[3]INPUT!#REF!</definedName>
    <definedName name="S5TL" localSheetId="0">[3]INPUT!#REF!</definedName>
    <definedName name="S5TL" localSheetId="2">[3]INPUT!#REF!</definedName>
    <definedName name="S5TL">[3]INPUT!#REF!</definedName>
    <definedName name="S5TR" localSheetId="1">[3]INPUT!#REF!</definedName>
    <definedName name="S5TR" localSheetId="0">[3]INPUT!#REF!</definedName>
    <definedName name="S5TR" localSheetId="2">[3]INPUT!#REF!</definedName>
    <definedName name="S5TR">[3]INPUT!#REF!</definedName>
    <definedName name="S6FL" localSheetId="1">[2]INPUT!#REF!</definedName>
    <definedName name="S6FL" localSheetId="0">[2]INPUT!#REF!</definedName>
    <definedName name="S6FL" localSheetId="2">[2]INPUT!#REF!</definedName>
    <definedName name="S6FL">[2]INPUT!#REF!</definedName>
    <definedName name="S6FR" localSheetId="1">[2]INPUT!#REF!</definedName>
    <definedName name="S6FR" localSheetId="0">[2]INPUT!#REF!</definedName>
    <definedName name="S6FR" localSheetId="2">[2]INPUT!#REF!</definedName>
    <definedName name="S6FR">[2]INPUT!#REF!</definedName>
    <definedName name="S6L" localSheetId="1">[2]INPUT!#REF!</definedName>
    <definedName name="S6L" localSheetId="0">[2]INPUT!#REF!</definedName>
    <definedName name="S6L" localSheetId="2">[2]INPUT!#REF!</definedName>
    <definedName name="S6L">[2]INPUT!#REF!</definedName>
    <definedName name="S6L1" localSheetId="1">[1]현황산출서!#REF!</definedName>
    <definedName name="S6L1" localSheetId="0">[1]현황산출서!#REF!</definedName>
    <definedName name="S6L1" localSheetId="2">[1]현황산출서!#REF!</definedName>
    <definedName name="S6L1">[1]현황산출서!#REF!</definedName>
    <definedName name="S6L2" localSheetId="1">[1]현황산출서!#REF!</definedName>
    <definedName name="S6L2" localSheetId="0">[1]현황산출서!#REF!</definedName>
    <definedName name="S6L2" localSheetId="2">[1]현황산출서!#REF!</definedName>
    <definedName name="S6L2">[1]현황산출서!#REF!</definedName>
    <definedName name="S6R" localSheetId="1">[2]INPUT!#REF!</definedName>
    <definedName name="S6R" localSheetId="0">[2]INPUT!#REF!</definedName>
    <definedName name="S6R" localSheetId="2">[2]INPUT!#REF!</definedName>
    <definedName name="S6R">[2]INPUT!#REF!</definedName>
    <definedName name="S6RL" localSheetId="1">[2]INPUT!#REF!</definedName>
    <definedName name="S6RL" localSheetId="0">[2]INPUT!#REF!</definedName>
    <definedName name="S6RL" localSheetId="2">[2]INPUT!#REF!</definedName>
    <definedName name="S6RL">[2]INPUT!#REF!</definedName>
    <definedName name="S6RR" localSheetId="1">[2]INPUT!#REF!</definedName>
    <definedName name="S6RR" localSheetId="0">[2]INPUT!#REF!</definedName>
    <definedName name="S6RR" localSheetId="2">[2]INPUT!#REF!</definedName>
    <definedName name="S6RR">[2]INPUT!#REF!</definedName>
    <definedName name="S6TL" localSheetId="1">[3]INPUT!#REF!</definedName>
    <definedName name="S6TL" localSheetId="0">[3]INPUT!#REF!</definedName>
    <definedName name="S6TL" localSheetId="2">[3]INPUT!#REF!</definedName>
    <definedName name="S6TL">[3]INPUT!#REF!</definedName>
    <definedName name="S6TR" localSheetId="1">[3]INPUT!#REF!</definedName>
    <definedName name="S6TR" localSheetId="0">[3]INPUT!#REF!</definedName>
    <definedName name="S6TR" localSheetId="2">[3]INPUT!#REF!</definedName>
    <definedName name="S6TR">[3]INPUT!#REF!</definedName>
    <definedName name="S7FL" localSheetId="1">[2]INPUT!#REF!</definedName>
    <definedName name="S7FL" localSheetId="0">[2]INPUT!#REF!</definedName>
    <definedName name="S7FL" localSheetId="2">[2]INPUT!#REF!</definedName>
    <definedName name="S7FL">[2]INPUT!#REF!</definedName>
    <definedName name="S7FR" localSheetId="1">[2]INPUT!#REF!</definedName>
    <definedName name="S7FR" localSheetId="0">[2]INPUT!#REF!</definedName>
    <definedName name="S7FR" localSheetId="2">[2]INPUT!#REF!</definedName>
    <definedName name="S7FR">[2]INPUT!#REF!</definedName>
    <definedName name="S7L" localSheetId="1">[2]INPUT!#REF!</definedName>
    <definedName name="S7L" localSheetId="0">[2]INPUT!#REF!</definedName>
    <definedName name="S7L" localSheetId="2">[2]INPUT!#REF!</definedName>
    <definedName name="S7L">[2]INPUT!#REF!</definedName>
    <definedName name="S7L1" localSheetId="1">[1]현황산출서!#REF!</definedName>
    <definedName name="S7L1" localSheetId="0">[1]현황산출서!#REF!</definedName>
    <definedName name="S7L1" localSheetId="2">[1]현황산출서!#REF!</definedName>
    <definedName name="S7L1">[1]현황산출서!#REF!</definedName>
    <definedName name="S7L2" localSheetId="1">[1]현황산출서!#REF!</definedName>
    <definedName name="S7L2" localSheetId="0">[1]현황산출서!#REF!</definedName>
    <definedName name="S7L2" localSheetId="2">[1]현황산출서!#REF!</definedName>
    <definedName name="S7L2">[1]현황산출서!#REF!</definedName>
    <definedName name="S7R" localSheetId="1">[2]INPUT!#REF!</definedName>
    <definedName name="S7R" localSheetId="0">[2]INPUT!#REF!</definedName>
    <definedName name="S7R" localSheetId="2">[2]INPUT!#REF!</definedName>
    <definedName name="S7R">[2]INPUT!#REF!</definedName>
    <definedName name="S7RL" localSheetId="1">[2]INPUT!#REF!</definedName>
    <definedName name="S7RL" localSheetId="0">[2]INPUT!#REF!</definedName>
    <definedName name="S7RL" localSheetId="2">[2]INPUT!#REF!</definedName>
    <definedName name="S7RL">[2]INPUT!#REF!</definedName>
    <definedName name="S7RR" localSheetId="1">[2]INPUT!#REF!</definedName>
    <definedName name="S7RR" localSheetId="0">[2]INPUT!#REF!</definedName>
    <definedName name="S7RR" localSheetId="2">[2]INPUT!#REF!</definedName>
    <definedName name="S7RR">[2]INPUT!#REF!</definedName>
    <definedName name="S7TL" localSheetId="1">[3]INPUT!#REF!</definedName>
    <definedName name="S7TL" localSheetId="0">[3]INPUT!#REF!</definedName>
    <definedName name="S7TL" localSheetId="2">[3]INPUT!#REF!</definedName>
    <definedName name="S7TL">[3]INPUT!#REF!</definedName>
    <definedName name="S7TR" localSheetId="1">[3]INPUT!#REF!</definedName>
    <definedName name="S7TR" localSheetId="0">[3]INPUT!#REF!</definedName>
    <definedName name="S7TR" localSheetId="2">[3]INPUT!#REF!</definedName>
    <definedName name="S7TR">[3]INPUT!#REF!</definedName>
    <definedName name="S8FL" localSheetId="1">[2]INPUT!#REF!</definedName>
    <definedName name="S8FL" localSheetId="0">[2]INPUT!#REF!</definedName>
    <definedName name="S8FL" localSheetId="2">[2]INPUT!#REF!</definedName>
    <definedName name="S8FL">[2]INPUT!#REF!</definedName>
    <definedName name="S8FR" localSheetId="1">[2]INPUT!#REF!</definedName>
    <definedName name="S8FR" localSheetId="0">[2]INPUT!#REF!</definedName>
    <definedName name="S8FR" localSheetId="2">[2]INPUT!#REF!</definedName>
    <definedName name="S8FR">[2]INPUT!#REF!</definedName>
    <definedName name="S8L" localSheetId="1">[2]INPUT!#REF!</definedName>
    <definedName name="S8L" localSheetId="0">[2]INPUT!#REF!</definedName>
    <definedName name="S8L" localSheetId="2">[2]INPUT!#REF!</definedName>
    <definedName name="S8L">[2]INPUT!#REF!</definedName>
    <definedName name="S8L1" localSheetId="1">[1]현황산출서!#REF!</definedName>
    <definedName name="S8L1" localSheetId="0">[1]현황산출서!#REF!</definedName>
    <definedName name="S8L1" localSheetId="2">[1]현황산출서!#REF!</definedName>
    <definedName name="S8L1">[1]현황산출서!#REF!</definedName>
    <definedName name="S8L2" localSheetId="1">[1]현황산출서!#REF!</definedName>
    <definedName name="S8L2" localSheetId="0">[1]현황산출서!#REF!</definedName>
    <definedName name="S8L2" localSheetId="2">[1]현황산출서!#REF!</definedName>
    <definedName name="S8L2">[1]현황산출서!#REF!</definedName>
    <definedName name="S8R" localSheetId="1">[2]INPUT!#REF!</definedName>
    <definedName name="S8R" localSheetId="0">[2]INPUT!#REF!</definedName>
    <definedName name="S8R" localSheetId="2">[2]INPUT!#REF!</definedName>
    <definedName name="S8R">[2]INPUT!#REF!</definedName>
    <definedName name="S8RL" localSheetId="1">[2]INPUT!#REF!</definedName>
    <definedName name="S8RL" localSheetId="0">[2]INPUT!#REF!</definedName>
    <definedName name="S8RL" localSheetId="2">[2]INPUT!#REF!</definedName>
    <definedName name="S8RL">[2]INPUT!#REF!</definedName>
    <definedName name="S8RR" localSheetId="1">[2]INPUT!#REF!</definedName>
    <definedName name="S8RR" localSheetId="0">[2]INPUT!#REF!</definedName>
    <definedName name="S8RR" localSheetId="2">[2]INPUT!#REF!</definedName>
    <definedName name="S8RR">[2]INPUT!#REF!</definedName>
    <definedName name="S8TL" localSheetId="1">[3]INPUT!#REF!</definedName>
    <definedName name="S8TL" localSheetId="0">[3]INPUT!#REF!</definedName>
    <definedName name="S8TL" localSheetId="2">[3]INPUT!#REF!</definedName>
    <definedName name="S8TL">[3]INPUT!#REF!</definedName>
    <definedName name="S8TR" localSheetId="1">[3]INPUT!#REF!</definedName>
    <definedName name="S8TR" localSheetId="0">[3]INPUT!#REF!</definedName>
    <definedName name="S8TR" localSheetId="2">[3]INPUT!#REF!</definedName>
    <definedName name="S8TR">[3]INPUT!#REF!</definedName>
    <definedName name="S9FL" localSheetId="1">[2]INPUT!#REF!</definedName>
    <definedName name="S9FL" localSheetId="0">[2]INPUT!#REF!</definedName>
    <definedName name="S9FL" localSheetId="2">[2]INPUT!#REF!</definedName>
    <definedName name="S9FL">[2]INPUT!#REF!</definedName>
    <definedName name="S9FR" localSheetId="1">[2]INPUT!#REF!</definedName>
    <definedName name="S9FR" localSheetId="0">[2]INPUT!#REF!</definedName>
    <definedName name="S9FR" localSheetId="2">[2]INPUT!#REF!</definedName>
    <definedName name="S9FR">[2]INPUT!#REF!</definedName>
    <definedName name="S9L" localSheetId="1">[2]INPUT!#REF!</definedName>
    <definedName name="S9L" localSheetId="0">[2]INPUT!#REF!</definedName>
    <definedName name="S9L" localSheetId="2">[2]INPUT!#REF!</definedName>
    <definedName name="S9L">[2]INPUT!#REF!</definedName>
    <definedName name="S9L1" localSheetId="1">[1]현황산출서!#REF!</definedName>
    <definedName name="S9L1" localSheetId="0">[1]현황산출서!#REF!</definedName>
    <definedName name="S9L1" localSheetId="2">[1]현황산출서!#REF!</definedName>
    <definedName name="S9L1">[1]현황산출서!#REF!</definedName>
    <definedName name="S9L2" localSheetId="1">[1]현황산출서!#REF!</definedName>
    <definedName name="S9L2" localSheetId="0">[1]현황산출서!#REF!</definedName>
    <definedName name="S9L2" localSheetId="2">[1]현황산출서!#REF!</definedName>
    <definedName name="S9L2">[1]현황산출서!#REF!</definedName>
    <definedName name="S9R" localSheetId="1">[2]INPUT!#REF!</definedName>
    <definedName name="S9R" localSheetId="0">[2]INPUT!#REF!</definedName>
    <definedName name="S9R" localSheetId="2">[2]INPUT!#REF!</definedName>
    <definedName name="S9R">[2]INPUT!#REF!</definedName>
    <definedName name="S9RL" localSheetId="1">[2]INPUT!#REF!</definedName>
    <definedName name="S9RL" localSheetId="0">[2]INPUT!#REF!</definedName>
    <definedName name="S9RL" localSheetId="2">[2]INPUT!#REF!</definedName>
    <definedName name="S9RL">[2]INPUT!#REF!</definedName>
    <definedName name="S9RR" localSheetId="1">[2]INPUT!#REF!</definedName>
    <definedName name="S9RR" localSheetId="0">[2]INPUT!#REF!</definedName>
    <definedName name="S9RR" localSheetId="2">[2]INPUT!#REF!</definedName>
    <definedName name="S9RR">[2]INPUT!#REF!</definedName>
    <definedName name="S9TL" localSheetId="1">[3]INPUT!#REF!</definedName>
    <definedName name="S9TL" localSheetId="0">[3]INPUT!#REF!</definedName>
    <definedName name="S9TL" localSheetId="2">[3]INPUT!#REF!</definedName>
    <definedName name="S9TL">[3]INPUT!#REF!</definedName>
    <definedName name="S9TR" localSheetId="1">[3]INPUT!#REF!</definedName>
    <definedName name="S9TR" localSheetId="0">[3]INPUT!#REF!</definedName>
    <definedName name="S9TR" localSheetId="2">[3]INPUT!#REF!</definedName>
    <definedName name="S9TR">[3]INPUT!#REF!</definedName>
    <definedName name="SALESPLAN">#REF!</definedName>
    <definedName name="SB">#REF!</definedName>
    <definedName name="SDCFG\" hidden="1">{#N/A,#N/A,FALSE,"운반시간"}</definedName>
    <definedName name="SDF" hidden="1">{#N/A,#N/A,FALSE,"혼합골재"}</definedName>
    <definedName name="SfLower">#REF!</definedName>
    <definedName name="SfUpper">#REF!</definedName>
    <definedName name="SH">#REF!</definedName>
    <definedName name="SH10L" localSheetId="1">[2]INPUT!#REF!</definedName>
    <definedName name="SH10L" localSheetId="0">[2]INPUT!#REF!</definedName>
    <definedName name="SH10L" localSheetId="2">[2]INPUT!#REF!</definedName>
    <definedName name="SH10L">[2]INPUT!#REF!</definedName>
    <definedName name="SH10R" localSheetId="1">[2]INPUT!#REF!</definedName>
    <definedName name="SH10R" localSheetId="0">[2]INPUT!#REF!</definedName>
    <definedName name="SH10R" localSheetId="2">[2]INPUT!#REF!</definedName>
    <definedName name="SH10R">[2]INPUT!#REF!</definedName>
    <definedName name="SH3L" localSheetId="1">[2]INPUT!#REF!</definedName>
    <definedName name="SH3L" localSheetId="0">[2]INPUT!#REF!</definedName>
    <definedName name="SH3L" localSheetId="2">[2]INPUT!#REF!</definedName>
    <definedName name="SH3L">[2]INPUT!#REF!</definedName>
    <definedName name="SH3R" localSheetId="1">[2]INPUT!#REF!</definedName>
    <definedName name="SH3R" localSheetId="0">[2]INPUT!#REF!</definedName>
    <definedName name="SH3R" localSheetId="2">[2]INPUT!#REF!</definedName>
    <definedName name="SH3R">[2]INPUT!#REF!</definedName>
    <definedName name="SH4L" localSheetId="1">[2]INPUT!#REF!</definedName>
    <definedName name="SH4L" localSheetId="0">[2]INPUT!#REF!</definedName>
    <definedName name="SH4L" localSheetId="2">[2]INPUT!#REF!</definedName>
    <definedName name="SH4L">[2]INPUT!#REF!</definedName>
    <definedName name="SH4R" localSheetId="1">[2]INPUT!#REF!</definedName>
    <definedName name="SH4R" localSheetId="0">[2]INPUT!#REF!</definedName>
    <definedName name="SH4R" localSheetId="2">[2]INPUT!#REF!</definedName>
    <definedName name="SH4R">[2]INPUT!#REF!</definedName>
    <definedName name="SH5L" localSheetId="1">[2]INPUT!#REF!</definedName>
    <definedName name="SH5L" localSheetId="0">[2]INPUT!#REF!</definedName>
    <definedName name="SH5L" localSheetId="2">[2]INPUT!#REF!</definedName>
    <definedName name="SH5L">[2]INPUT!#REF!</definedName>
    <definedName name="SH5R" localSheetId="1">[2]INPUT!#REF!</definedName>
    <definedName name="SH5R" localSheetId="0">[2]INPUT!#REF!</definedName>
    <definedName name="SH5R" localSheetId="2">[2]INPUT!#REF!</definedName>
    <definedName name="SH5R">[2]INPUT!#REF!</definedName>
    <definedName name="SH6L" localSheetId="1">[2]INPUT!#REF!</definedName>
    <definedName name="SH6L" localSheetId="0">[2]INPUT!#REF!</definedName>
    <definedName name="SH6L" localSheetId="2">[2]INPUT!#REF!</definedName>
    <definedName name="SH6L">[2]INPUT!#REF!</definedName>
    <definedName name="SH6R" localSheetId="1">[2]INPUT!#REF!</definedName>
    <definedName name="SH6R" localSheetId="0">[2]INPUT!#REF!</definedName>
    <definedName name="SH6R" localSheetId="2">[2]INPUT!#REF!</definedName>
    <definedName name="SH6R">[2]INPUT!#REF!</definedName>
    <definedName name="SH7L" localSheetId="1">[2]INPUT!#REF!</definedName>
    <definedName name="SH7L" localSheetId="0">[2]INPUT!#REF!</definedName>
    <definedName name="SH7L" localSheetId="2">[2]INPUT!#REF!</definedName>
    <definedName name="SH7L">[2]INPUT!#REF!</definedName>
    <definedName name="SH7R" localSheetId="1">[2]INPUT!#REF!</definedName>
    <definedName name="SH7R" localSheetId="0">[2]INPUT!#REF!</definedName>
    <definedName name="SH7R" localSheetId="2">[2]INPUT!#REF!</definedName>
    <definedName name="SH7R">[2]INPUT!#REF!</definedName>
    <definedName name="SH8L" localSheetId="1">[2]INPUT!#REF!</definedName>
    <definedName name="SH8L" localSheetId="0">[2]INPUT!#REF!</definedName>
    <definedName name="SH8L" localSheetId="2">[2]INPUT!#REF!</definedName>
    <definedName name="SH8L">[2]INPUT!#REF!</definedName>
    <definedName name="SH8R" localSheetId="1">[2]INPUT!#REF!</definedName>
    <definedName name="SH8R" localSheetId="0">[2]INPUT!#REF!</definedName>
    <definedName name="SH8R" localSheetId="2">[2]INPUT!#REF!</definedName>
    <definedName name="SH8R">[2]INPUT!#REF!</definedName>
    <definedName name="SH9L" localSheetId="1">[2]INPUT!#REF!</definedName>
    <definedName name="SH9L" localSheetId="0">[2]INPUT!#REF!</definedName>
    <definedName name="SH9L" localSheetId="2">[2]INPUT!#REF!</definedName>
    <definedName name="SH9L">[2]INPUT!#REF!</definedName>
    <definedName name="SH9R" localSheetId="1">[2]INPUT!#REF!</definedName>
    <definedName name="SH9R" localSheetId="0">[2]INPUT!#REF!</definedName>
    <definedName name="SH9R" localSheetId="2">[2]INPUT!#REF!</definedName>
    <definedName name="SH9R">[2]INPUT!#REF!</definedName>
    <definedName name="SHOE10L" localSheetId="1">[3]INPUT!#REF!</definedName>
    <definedName name="SHOE10L" localSheetId="0">[3]INPUT!#REF!</definedName>
    <definedName name="SHOE10L" localSheetId="2">[3]INPUT!#REF!</definedName>
    <definedName name="SHOE10L">[3]INPUT!#REF!</definedName>
    <definedName name="SHOE10R" localSheetId="1">[3]INPUT!#REF!</definedName>
    <definedName name="SHOE10R" localSheetId="0">[3]INPUT!#REF!</definedName>
    <definedName name="SHOE10R" localSheetId="2">[3]INPUT!#REF!</definedName>
    <definedName name="SHOE10R">[3]INPUT!#REF!</definedName>
    <definedName name="SHOE3L" localSheetId="1">[3]INPUT!#REF!</definedName>
    <definedName name="SHOE3L" localSheetId="0">[3]INPUT!#REF!</definedName>
    <definedName name="SHOE3L" localSheetId="2">[3]INPUT!#REF!</definedName>
    <definedName name="SHOE3L">[3]INPUT!#REF!</definedName>
    <definedName name="SHOE3R" localSheetId="1">[3]INPUT!#REF!</definedName>
    <definedName name="SHOE3R" localSheetId="0">[3]INPUT!#REF!</definedName>
    <definedName name="SHOE3R" localSheetId="2">[3]INPUT!#REF!</definedName>
    <definedName name="SHOE3R">[3]INPUT!#REF!</definedName>
    <definedName name="SHOE4L" localSheetId="1">[3]INPUT!#REF!</definedName>
    <definedName name="SHOE4L" localSheetId="0">[3]INPUT!#REF!</definedName>
    <definedName name="SHOE4L" localSheetId="2">[3]INPUT!#REF!</definedName>
    <definedName name="SHOE4L">[3]INPUT!#REF!</definedName>
    <definedName name="SHOE4R" localSheetId="1">[3]INPUT!#REF!</definedName>
    <definedName name="SHOE4R" localSheetId="0">[3]INPUT!#REF!</definedName>
    <definedName name="SHOE4R" localSheetId="2">[3]INPUT!#REF!</definedName>
    <definedName name="SHOE4R">[3]INPUT!#REF!</definedName>
    <definedName name="SHOE5L" localSheetId="1">[3]INPUT!#REF!</definedName>
    <definedName name="SHOE5L" localSheetId="0">[3]INPUT!#REF!</definedName>
    <definedName name="SHOE5L" localSheetId="2">[3]INPUT!#REF!</definedName>
    <definedName name="SHOE5L">[3]INPUT!#REF!</definedName>
    <definedName name="SHOE5R" localSheetId="1">[3]INPUT!#REF!</definedName>
    <definedName name="SHOE5R" localSheetId="0">[3]INPUT!#REF!</definedName>
    <definedName name="SHOE5R" localSheetId="2">[3]INPUT!#REF!</definedName>
    <definedName name="SHOE5R">[3]INPUT!#REF!</definedName>
    <definedName name="SHOE6L" localSheetId="1">[3]INPUT!#REF!</definedName>
    <definedName name="SHOE6L" localSheetId="0">[3]INPUT!#REF!</definedName>
    <definedName name="SHOE6L" localSheetId="2">[3]INPUT!#REF!</definedName>
    <definedName name="SHOE6L">[3]INPUT!#REF!</definedName>
    <definedName name="SHOE6R" localSheetId="1">[3]INPUT!#REF!</definedName>
    <definedName name="SHOE6R" localSheetId="0">[3]INPUT!#REF!</definedName>
    <definedName name="SHOE6R" localSheetId="2">[3]INPUT!#REF!</definedName>
    <definedName name="SHOE6R">[3]INPUT!#REF!</definedName>
    <definedName name="SHOE7L" localSheetId="1">[3]INPUT!#REF!</definedName>
    <definedName name="SHOE7L" localSheetId="0">[3]INPUT!#REF!</definedName>
    <definedName name="SHOE7L" localSheetId="2">[3]INPUT!#REF!</definedName>
    <definedName name="SHOE7L">[3]INPUT!#REF!</definedName>
    <definedName name="SHOE7R" localSheetId="1">[3]INPUT!#REF!</definedName>
    <definedName name="SHOE7R" localSheetId="0">[3]INPUT!#REF!</definedName>
    <definedName name="SHOE7R" localSheetId="2">[3]INPUT!#REF!</definedName>
    <definedName name="SHOE7R">[3]INPUT!#REF!</definedName>
    <definedName name="SHOE8L" localSheetId="1">[3]INPUT!#REF!</definedName>
    <definedName name="SHOE8L" localSheetId="0">[3]INPUT!#REF!</definedName>
    <definedName name="SHOE8L" localSheetId="2">[3]INPUT!#REF!</definedName>
    <definedName name="SHOE8L">[3]INPUT!#REF!</definedName>
    <definedName name="SHOE8R" localSheetId="1">[3]INPUT!#REF!</definedName>
    <definedName name="SHOE8R" localSheetId="0">[3]INPUT!#REF!</definedName>
    <definedName name="SHOE8R" localSheetId="2">[3]INPUT!#REF!</definedName>
    <definedName name="SHOE8R">[3]INPUT!#REF!</definedName>
    <definedName name="SHOE9L" localSheetId="1">[3]INPUT!#REF!</definedName>
    <definedName name="SHOE9L" localSheetId="0">[3]INPUT!#REF!</definedName>
    <definedName name="SHOE9L" localSheetId="2">[3]INPUT!#REF!</definedName>
    <definedName name="SHOE9L">[3]INPUT!#REF!</definedName>
    <definedName name="SHOE9R" localSheetId="1">[3]INPUT!#REF!</definedName>
    <definedName name="SHOE9R" localSheetId="0">[3]INPUT!#REF!</definedName>
    <definedName name="SHOE9R" localSheetId="2">[3]INPUT!#REF!</definedName>
    <definedName name="SHOE9R">[3]INPUT!#REF!</definedName>
    <definedName name="SHT">#REF!</definedName>
    <definedName name="sigma">#REF!</definedName>
    <definedName name="SigmaL">#REF!</definedName>
    <definedName name="sigmaLcon">#REF!</definedName>
    <definedName name="sinchook">#REF!</definedName>
    <definedName name="SK">#REF!</definedName>
    <definedName name="SK10L" localSheetId="1">[3]INPUT!#REF!</definedName>
    <definedName name="SK10L" localSheetId="0">[3]INPUT!#REF!</definedName>
    <definedName name="SK10L" localSheetId="2">[3]INPUT!#REF!</definedName>
    <definedName name="SK10L">[3]INPUT!#REF!</definedName>
    <definedName name="SK10R" localSheetId="1">[3]INPUT!#REF!</definedName>
    <definedName name="SK10R" localSheetId="0">[3]INPUT!#REF!</definedName>
    <definedName name="SK10R" localSheetId="2">[3]INPUT!#REF!</definedName>
    <definedName name="SK10R">[3]INPUT!#REF!</definedName>
    <definedName name="SK3L" localSheetId="1">[3]INPUT!#REF!</definedName>
    <definedName name="SK3L" localSheetId="0">[3]INPUT!#REF!</definedName>
    <definedName name="SK3L" localSheetId="2">[3]INPUT!#REF!</definedName>
    <definedName name="SK3L">[3]INPUT!#REF!</definedName>
    <definedName name="SK3R" localSheetId="1">[3]INPUT!#REF!</definedName>
    <definedName name="SK3R" localSheetId="0">[3]INPUT!#REF!</definedName>
    <definedName name="SK3R" localSheetId="2">[3]INPUT!#REF!</definedName>
    <definedName name="SK3R">[3]INPUT!#REF!</definedName>
    <definedName name="SK4L" localSheetId="1">[3]INPUT!#REF!</definedName>
    <definedName name="SK4L" localSheetId="0">[3]INPUT!#REF!</definedName>
    <definedName name="SK4L" localSheetId="2">[3]INPUT!#REF!</definedName>
    <definedName name="SK4L">[3]INPUT!#REF!</definedName>
    <definedName name="SK4R" localSheetId="1">[3]INPUT!#REF!</definedName>
    <definedName name="SK4R" localSheetId="0">[3]INPUT!#REF!</definedName>
    <definedName name="SK4R" localSheetId="2">[3]INPUT!#REF!</definedName>
    <definedName name="SK4R">[3]INPUT!#REF!</definedName>
    <definedName name="SK5L" localSheetId="1">[3]INPUT!#REF!</definedName>
    <definedName name="SK5L" localSheetId="0">[3]INPUT!#REF!</definedName>
    <definedName name="SK5L" localSheetId="2">[3]INPUT!#REF!</definedName>
    <definedName name="SK5L">[3]INPUT!#REF!</definedName>
    <definedName name="SK5R" localSheetId="1">[3]INPUT!#REF!</definedName>
    <definedName name="SK5R" localSheetId="0">[3]INPUT!#REF!</definedName>
    <definedName name="SK5R" localSheetId="2">[3]INPUT!#REF!</definedName>
    <definedName name="SK5R">[3]INPUT!#REF!</definedName>
    <definedName name="SK6L" localSheetId="1">[3]INPUT!#REF!</definedName>
    <definedName name="SK6L" localSheetId="0">[3]INPUT!#REF!</definedName>
    <definedName name="SK6L" localSheetId="2">[3]INPUT!#REF!</definedName>
    <definedName name="SK6L">[3]INPUT!#REF!</definedName>
    <definedName name="SK6R" localSheetId="1">[3]INPUT!#REF!</definedName>
    <definedName name="SK6R" localSheetId="0">[3]INPUT!#REF!</definedName>
    <definedName name="SK6R" localSheetId="2">[3]INPUT!#REF!</definedName>
    <definedName name="SK6R">[3]INPUT!#REF!</definedName>
    <definedName name="SK7L" localSheetId="1">[3]INPUT!#REF!</definedName>
    <definedName name="SK7L" localSheetId="0">[3]INPUT!#REF!</definedName>
    <definedName name="SK7L" localSheetId="2">[3]INPUT!#REF!</definedName>
    <definedName name="SK7L">[3]INPUT!#REF!</definedName>
    <definedName name="SK7R" localSheetId="1">[3]INPUT!#REF!</definedName>
    <definedName name="SK7R" localSheetId="0">[3]INPUT!#REF!</definedName>
    <definedName name="SK7R" localSheetId="2">[3]INPUT!#REF!</definedName>
    <definedName name="SK7R">[3]INPUT!#REF!</definedName>
    <definedName name="SK8L" localSheetId="1">[3]INPUT!#REF!</definedName>
    <definedName name="SK8L" localSheetId="0">[3]INPUT!#REF!</definedName>
    <definedName name="SK8L" localSheetId="2">[3]INPUT!#REF!</definedName>
    <definedName name="SK8L">[3]INPUT!#REF!</definedName>
    <definedName name="SK8R" localSheetId="1">[3]INPUT!#REF!</definedName>
    <definedName name="SK8R" localSheetId="0">[3]INPUT!#REF!</definedName>
    <definedName name="SK8R" localSheetId="2">[3]INPUT!#REF!</definedName>
    <definedName name="SK8R">[3]INPUT!#REF!</definedName>
    <definedName name="SK9L" localSheetId="1">[3]INPUT!#REF!</definedName>
    <definedName name="SK9L" localSheetId="0">[3]INPUT!#REF!</definedName>
    <definedName name="SK9L" localSheetId="2">[3]INPUT!#REF!</definedName>
    <definedName name="SK9L">[3]INPUT!#REF!</definedName>
    <definedName name="SK9R" localSheetId="1">[3]INPUT!#REF!</definedName>
    <definedName name="SK9R" localSheetId="0">[3]INPUT!#REF!</definedName>
    <definedName name="SK9R" localSheetId="2">[3]INPUT!#REF!</definedName>
    <definedName name="SK9R">[3]INPUT!#REF!</definedName>
    <definedName name="SKE">#REF!</definedName>
    <definedName name="SKE10L" localSheetId="1">[3]INPUT!#REF!</definedName>
    <definedName name="SKE10L" localSheetId="0">[3]INPUT!#REF!</definedName>
    <definedName name="SKE10L" localSheetId="2">[3]INPUT!#REF!</definedName>
    <definedName name="SKE10L">[3]INPUT!#REF!</definedName>
    <definedName name="SKE10R" localSheetId="1">[3]INPUT!#REF!</definedName>
    <definedName name="SKE10R" localSheetId="0">[3]INPUT!#REF!</definedName>
    <definedName name="SKE10R" localSheetId="2">[3]INPUT!#REF!</definedName>
    <definedName name="SKE10R">[3]INPUT!#REF!</definedName>
    <definedName name="SKE3L" localSheetId="1">[3]INPUT!#REF!</definedName>
    <definedName name="SKE3L" localSheetId="0">[3]INPUT!#REF!</definedName>
    <definedName name="SKE3L" localSheetId="2">[3]INPUT!#REF!</definedName>
    <definedName name="SKE3L">[3]INPUT!#REF!</definedName>
    <definedName name="SKE3R" localSheetId="1">[3]INPUT!#REF!</definedName>
    <definedName name="SKE3R" localSheetId="0">[3]INPUT!#REF!</definedName>
    <definedName name="SKE3R" localSheetId="2">[3]INPUT!#REF!</definedName>
    <definedName name="SKE3R">[3]INPUT!#REF!</definedName>
    <definedName name="SKE4L" localSheetId="1">[3]INPUT!#REF!</definedName>
    <definedName name="SKE4L" localSheetId="0">[3]INPUT!#REF!</definedName>
    <definedName name="SKE4L" localSheetId="2">[3]INPUT!#REF!</definedName>
    <definedName name="SKE4L">[3]INPUT!#REF!</definedName>
    <definedName name="SKE4R" localSheetId="1">[3]INPUT!#REF!</definedName>
    <definedName name="SKE4R" localSheetId="0">[3]INPUT!#REF!</definedName>
    <definedName name="SKE4R" localSheetId="2">[3]INPUT!#REF!</definedName>
    <definedName name="SKE4R">[3]INPUT!#REF!</definedName>
    <definedName name="SKE5L" localSheetId="1">[3]INPUT!#REF!</definedName>
    <definedName name="SKE5L" localSheetId="0">[3]INPUT!#REF!</definedName>
    <definedName name="SKE5L" localSheetId="2">[3]INPUT!#REF!</definedName>
    <definedName name="SKE5L">[3]INPUT!#REF!</definedName>
    <definedName name="SKE5R" localSheetId="1">[3]INPUT!#REF!</definedName>
    <definedName name="SKE5R" localSheetId="0">[3]INPUT!#REF!</definedName>
    <definedName name="SKE5R" localSheetId="2">[3]INPUT!#REF!</definedName>
    <definedName name="SKE5R">[3]INPUT!#REF!</definedName>
    <definedName name="SKE6L" localSheetId="1">[3]INPUT!#REF!</definedName>
    <definedName name="SKE6L" localSheetId="0">[3]INPUT!#REF!</definedName>
    <definedName name="SKE6L" localSheetId="2">[3]INPUT!#REF!</definedName>
    <definedName name="SKE6L">[3]INPUT!#REF!</definedName>
    <definedName name="SKE6R" localSheetId="1">[3]INPUT!#REF!</definedName>
    <definedName name="SKE6R" localSheetId="0">[3]INPUT!#REF!</definedName>
    <definedName name="SKE6R" localSheetId="2">[3]INPUT!#REF!</definedName>
    <definedName name="SKE6R">[3]INPUT!#REF!</definedName>
    <definedName name="SKE7L" localSheetId="1">[3]INPUT!#REF!</definedName>
    <definedName name="SKE7L" localSheetId="0">[3]INPUT!#REF!</definedName>
    <definedName name="SKE7L" localSheetId="2">[3]INPUT!#REF!</definedName>
    <definedName name="SKE7L">[3]INPUT!#REF!</definedName>
    <definedName name="SKE7R" localSheetId="1">[3]INPUT!#REF!</definedName>
    <definedName name="SKE7R" localSheetId="0">[3]INPUT!#REF!</definedName>
    <definedName name="SKE7R" localSheetId="2">[3]INPUT!#REF!</definedName>
    <definedName name="SKE7R">[3]INPUT!#REF!</definedName>
    <definedName name="SKE8L" localSheetId="1">[3]INPUT!#REF!</definedName>
    <definedName name="SKE8L" localSheetId="0">[3]INPUT!#REF!</definedName>
    <definedName name="SKE8L" localSheetId="2">[3]INPUT!#REF!</definedName>
    <definedName name="SKE8L">[3]INPUT!#REF!</definedName>
    <definedName name="SKE8R" localSheetId="1">[3]INPUT!#REF!</definedName>
    <definedName name="SKE8R" localSheetId="0">[3]INPUT!#REF!</definedName>
    <definedName name="SKE8R" localSheetId="2">[3]INPUT!#REF!</definedName>
    <definedName name="SKE8R">[3]INPUT!#REF!</definedName>
    <definedName name="SKE9L" localSheetId="1">[3]INPUT!#REF!</definedName>
    <definedName name="SKE9L" localSheetId="0">[3]INPUT!#REF!</definedName>
    <definedName name="SKE9L" localSheetId="2">[3]INPUT!#REF!</definedName>
    <definedName name="SKE9L">[3]INPUT!#REF!</definedName>
    <definedName name="SKE9R" localSheetId="1">[3]INPUT!#REF!</definedName>
    <definedName name="SKE9R" localSheetId="0">[3]INPUT!#REF!</definedName>
    <definedName name="SKE9R" localSheetId="2">[3]INPUT!#REF!</definedName>
    <definedName name="SKE9R">[3]INPUT!#REF!</definedName>
    <definedName name="SLB">#REF!</definedName>
    <definedName name="SLR">#REF!</definedName>
    <definedName name="SPACE">[12]옹벽기초자료!$D$15</definedName>
    <definedName name="SS10L" localSheetId="1">[3]INPUT!#REF!</definedName>
    <definedName name="SS10L" localSheetId="0">[3]INPUT!#REF!</definedName>
    <definedName name="SS10L" localSheetId="2">[3]INPUT!#REF!</definedName>
    <definedName name="SS10L">[3]INPUT!#REF!</definedName>
    <definedName name="SS10TR" localSheetId="1">[3]INPUT!#REF!</definedName>
    <definedName name="SS10TR" localSheetId="0">[3]INPUT!#REF!</definedName>
    <definedName name="SS10TR" localSheetId="2">[3]INPUT!#REF!</definedName>
    <definedName name="SS10TR">[3]INPUT!#REF!</definedName>
    <definedName name="SS3L" localSheetId="1">[3]INPUT!#REF!</definedName>
    <definedName name="SS3L" localSheetId="0">[3]INPUT!#REF!</definedName>
    <definedName name="SS3L" localSheetId="2">[3]INPUT!#REF!</definedName>
    <definedName name="SS3L">[3]INPUT!#REF!</definedName>
    <definedName name="SS3R" localSheetId="1">[3]INPUT!#REF!</definedName>
    <definedName name="SS3R" localSheetId="0">[3]INPUT!#REF!</definedName>
    <definedName name="SS3R" localSheetId="2">[3]INPUT!#REF!</definedName>
    <definedName name="SS3R">[3]INPUT!#REF!</definedName>
    <definedName name="SS4L" localSheetId="1">[3]INPUT!#REF!</definedName>
    <definedName name="SS4L" localSheetId="0">[3]INPUT!#REF!</definedName>
    <definedName name="SS4L" localSheetId="2">[3]INPUT!#REF!</definedName>
    <definedName name="SS4L">[3]INPUT!#REF!</definedName>
    <definedName name="SS4R" localSheetId="1">[3]INPUT!#REF!</definedName>
    <definedName name="SS4R" localSheetId="0">[3]INPUT!#REF!</definedName>
    <definedName name="SS4R" localSheetId="2">[3]INPUT!#REF!</definedName>
    <definedName name="SS4R">[3]INPUT!#REF!</definedName>
    <definedName name="SS5L" localSheetId="1">[3]INPUT!#REF!</definedName>
    <definedName name="SS5L" localSheetId="0">[3]INPUT!#REF!</definedName>
    <definedName name="SS5L" localSheetId="2">[3]INPUT!#REF!</definedName>
    <definedName name="SS5L">[3]INPUT!#REF!</definedName>
    <definedName name="SS5R" localSheetId="1">[3]INPUT!#REF!</definedName>
    <definedName name="SS5R" localSheetId="0">[3]INPUT!#REF!</definedName>
    <definedName name="SS5R" localSheetId="2">[3]INPUT!#REF!</definedName>
    <definedName name="SS5R">[3]INPUT!#REF!</definedName>
    <definedName name="SS6L" localSheetId="1">[3]INPUT!#REF!</definedName>
    <definedName name="SS6L" localSheetId="0">[3]INPUT!#REF!</definedName>
    <definedName name="SS6L" localSheetId="2">[3]INPUT!#REF!</definedName>
    <definedName name="SS6L">[3]INPUT!#REF!</definedName>
    <definedName name="SS6R" localSheetId="1">[3]INPUT!#REF!</definedName>
    <definedName name="SS6R" localSheetId="0">[3]INPUT!#REF!</definedName>
    <definedName name="SS6R" localSheetId="2">[3]INPUT!#REF!</definedName>
    <definedName name="SS6R">[3]INPUT!#REF!</definedName>
    <definedName name="SS7L" localSheetId="1">[3]INPUT!#REF!</definedName>
    <definedName name="SS7L" localSheetId="0">[3]INPUT!#REF!</definedName>
    <definedName name="SS7L" localSheetId="2">[3]INPUT!#REF!</definedName>
    <definedName name="SS7L">[3]INPUT!#REF!</definedName>
    <definedName name="SS7R" localSheetId="1">[3]INPUT!#REF!</definedName>
    <definedName name="SS7R" localSheetId="0">[3]INPUT!#REF!</definedName>
    <definedName name="SS7R" localSheetId="2">[3]INPUT!#REF!</definedName>
    <definedName name="SS7R">[3]INPUT!#REF!</definedName>
    <definedName name="SS8L" localSheetId="1">[3]INPUT!#REF!</definedName>
    <definedName name="SS8L" localSheetId="0">[3]INPUT!#REF!</definedName>
    <definedName name="SS8L" localSheetId="2">[3]INPUT!#REF!</definedName>
    <definedName name="SS8L">[3]INPUT!#REF!</definedName>
    <definedName name="SS8R" localSheetId="1">[3]INPUT!#REF!</definedName>
    <definedName name="SS8R" localSheetId="0">[3]INPUT!#REF!</definedName>
    <definedName name="SS8R" localSheetId="2">[3]INPUT!#REF!</definedName>
    <definedName name="SS8R">[3]INPUT!#REF!</definedName>
    <definedName name="SS9L" localSheetId="1">[3]INPUT!#REF!</definedName>
    <definedName name="SS9L" localSheetId="0">[3]INPUT!#REF!</definedName>
    <definedName name="SS9L" localSheetId="2">[3]INPUT!#REF!</definedName>
    <definedName name="SS9L">[3]INPUT!#REF!</definedName>
    <definedName name="SS9R" localSheetId="1">[3]INPUT!#REF!</definedName>
    <definedName name="SS9R" localSheetId="0">[3]INPUT!#REF!</definedName>
    <definedName name="SS9R" localSheetId="2">[3]INPUT!#REF!</definedName>
    <definedName name="SS9R">[3]INPUT!#REF!</definedName>
    <definedName name="SSC10L" localSheetId="1">[3]INPUT!#REF!</definedName>
    <definedName name="SSC10L" localSheetId="0">[3]INPUT!#REF!</definedName>
    <definedName name="SSC10L" localSheetId="2">[3]INPUT!#REF!</definedName>
    <definedName name="SSC10L">[3]INPUT!#REF!</definedName>
    <definedName name="SSC10R" localSheetId="1">[3]INPUT!#REF!</definedName>
    <definedName name="SSC10R" localSheetId="0">[3]INPUT!#REF!</definedName>
    <definedName name="SSC10R" localSheetId="2">[3]INPUT!#REF!</definedName>
    <definedName name="SSC10R">[3]INPUT!#REF!</definedName>
    <definedName name="SSC3L" localSheetId="1">[3]INPUT!#REF!</definedName>
    <definedName name="SSC3L" localSheetId="0">[3]INPUT!#REF!</definedName>
    <definedName name="SSC3L" localSheetId="2">[3]INPUT!#REF!</definedName>
    <definedName name="SSC3L">[3]INPUT!#REF!</definedName>
    <definedName name="SSC3R" localSheetId="1">[3]INPUT!#REF!</definedName>
    <definedName name="SSC3R" localSheetId="0">[3]INPUT!#REF!</definedName>
    <definedName name="SSC3R" localSheetId="2">[3]INPUT!#REF!</definedName>
    <definedName name="SSC3R">[3]INPUT!#REF!</definedName>
    <definedName name="SSC4L" localSheetId="1">[3]INPUT!#REF!</definedName>
    <definedName name="SSC4L" localSheetId="0">[3]INPUT!#REF!</definedName>
    <definedName name="SSC4L" localSheetId="2">[3]INPUT!#REF!</definedName>
    <definedName name="SSC4L">[3]INPUT!#REF!</definedName>
    <definedName name="SSC4R" localSheetId="1">[3]INPUT!#REF!</definedName>
    <definedName name="SSC4R" localSheetId="0">[3]INPUT!#REF!</definedName>
    <definedName name="SSC4R" localSheetId="2">[3]INPUT!#REF!</definedName>
    <definedName name="SSC4R">[3]INPUT!#REF!</definedName>
    <definedName name="SSC5L" localSheetId="1">[3]INPUT!#REF!</definedName>
    <definedName name="SSC5L" localSheetId="0">[3]INPUT!#REF!</definedName>
    <definedName name="SSC5L" localSheetId="2">[3]INPUT!#REF!</definedName>
    <definedName name="SSC5L">[3]INPUT!#REF!</definedName>
    <definedName name="SSC5R" localSheetId="1">[3]INPUT!#REF!</definedName>
    <definedName name="SSC5R" localSheetId="0">[3]INPUT!#REF!</definedName>
    <definedName name="SSC5R" localSheetId="2">[3]INPUT!#REF!</definedName>
    <definedName name="SSC5R">[3]INPUT!#REF!</definedName>
    <definedName name="SSC6L" localSheetId="1">[3]INPUT!#REF!</definedName>
    <definedName name="SSC6L" localSheetId="0">[3]INPUT!#REF!</definedName>
    <definedName name="SSC6L" localSheetId="2">[3]INPUT!#REF!</definedName>
    <definedName name="SSC6L">[3]INPUT!#REF!</definedName>
    <definedName name="SSC6R" localSheetId="1">[3]INPUT!#REF!</definedName>
    <definedName name="SSC6R" localSheetId="0">[3]INPUT!#REF!</definedName>
    <definedName name="SSC6R" localSheetId="2">[3]INPUT!#REF!</definedName>
    <definedName name="SSC6R">[3]INPUT!#REF!</definedName>
    <definedName name="SSC7L" localSheetId="1">[3]INPUT!#REF!</definedName>
    <definedName name="SSC7L" localSheetId="0">[3]INPUT!#REF!</definedName>
    <definedName name="SSC7L" localSheetId="2">[3]INPUT!#REF!</definedName>
    <definedName name="SSC7L">[3]INPUT!#REF!</definedName>
    <definedName name="SSC7R" localSheetId="1">[3]INPUT!#REF!</definedName>
    <definedName name="SSC7R" localSheetId="0">[3]INPUT!#REF!</definedName>
    <definedName name="SSC7R" localSheetId="2">[3]INPUT!#REF!</definedName>
    <definedName name="SSC7R">[3]INPUT!#REF!</definedName>
    <definedName name="SSC8L" localSheetId="1">[3]INPUT!#REF!</definedName>
    <definedName name="SSC8L" localSheetId="0">[3]INPUT!#REF!</definedName>
    <definedName name="SSC8L" localSheetId="2">[3]INPUT!#REF!</definedName>
    <definedName name="SSC8L">[3]INPUT!#REF!</definedName>
    <definedName name="SSC8R" localSheetId="1">[3]INPUT!#REF!</definedName>
    <definedName name="SSC8R" localSheetId="0">[3]INPUT!#REF!</definedName>
    <definedName name="SSC8R" localSheetId="2">[3]INPUT!#REF!</definedName>
    <definedName name="SSC8R">[3]INPUT!#REF!</definedName>
    <definedName name="SSC9L" localSheetId="1">[3]INPUT!#REF!</definedName>
    <definedName name="SSC9L" localSheetId="0">[3]INPUT!#REF!</definedName>
    <definedName name="SSC9L" localSheetId="2">[3]INPUT!#REF!</definedName>
    <definedName name="SSC9L">[3]INPUT!#REF!</definedName>
    <definedName name="SSC9R" localSheetId="1">[3]INPUT!#REF!</definedName>
    <definedName name="SSC9R" localSheetId="0">[3]INPUT!#REF!</definedName>
    <definedName name="SSC9R" localSheetId="2">[3]INPUT!#REF!</definedName>
    <definedName name="SSC9R">[3]INPUT!#REF!</definedName>
    <definedName name="SSS">#REF!</definedName>
    <definedName name="SST10L" localSheetId="1">[3]INPUT!#REF!</definedName>
    <definedName name="SST10L" localSheetId="0">[3]INPUT!#REF!</definedName>
    <definedName name="SST10L" localSheetId="2">[3]INPUT!#REF!</definedName>
    <definedName name="SST10L">[3]INPUT!#REF!</definedName>
    <definedName name="SST10R" localSheetId="1">[3]INPUT!#REF!</definedName>
    <definedName name="SST10R" localSheetId="0">[3]INPUT!#REF!</definedName>
    <definedName name="SST10R" localSheetId="2">[3]INPUT!#REF!</definedName>
    <definedName name="SST10R">[3]INPUT!#REF!</definedName>
    <definedName name="SST3L" localSheetId="1">[3]INPUT!#REF!</definedName>
    <definedName name="SST3L" localSheetId="0">[3]INPUT!#REF!</definedName>
    <definedName name="SST3L" localSheetId="2">[3]INPUT!#REF!</definedName>
    <definedName name="SST3L">[3]INPUT!#REF!</definedName>
    <definedName name="SST3R" localSheetId="1">[3]INPUT!#REF!</definedName>
    <definedName name="SST3R" localSheetId="0">[3]INPUT!#REF!</definedName>
    <definedName name="SST3R" localSheetId="2">[3]INPUT!#REF!</definedName>
    <definedName name="SST3R">[3]INPUT!#REF!</definedName>
    <definedName name="SST4L" localSheetId="1">[3]INPUT!#REF!</definedName>
    <definedName name="SST4L" localSheetId="0">[3]INPUT!#REF!</definedName>
    <definedName name="SST4L" localSheetId="2">[3]INPUT!#REF!</definedName>
    <definedName name="SST4L">[3]INPUT!#REF!</definedName>
    <definedName name="SST4R" localSheetId="1">[3]INPUT!#REF!</definedName>
    <definedName name="SST4R" localSheetId="0">[3]INPUT!#REF!</definedName>
    <definedName name="SST4R" localSheetId="2">[3]INPUT!#REF!</definedName>
    <definedName name="SST4R">[3]INPUT!#REF!</definedName>
    <definedName name="SST5L" localSheetId="1">[3]INPUT!#REF!</definedName>
    <definedName name="SST5L" localSheetId="0">[3]INPUT!#REF!</definedName>
    <definedName name="SST5L" localSheetId="2">[3]INPUT!#REF!</definedName>
    <definedName name="SST5L">[3]INPUT!#REF!</definedName>
    <definedName name="SST5R" localSheetId="1">[3]INPUT!#REF!</definedName>
    <definedName name="SST5R" localSheetId="0">[3]INPUT!#REF!</definedName>
    <definedName name="SST5R" localSheetId="2">[3]INPUT!#REF!</definedName>
    <definedName name="SST5R">[3]INPUT!#REF!</definedName>
    <definedName name="SST6L" localSheetId="1">[3]INPUT!#REF!</definedName>
    <definedName name="SST6L" localSheetId="0">[3]INPUT!#REF!</definedName>
    <definedName name="SST6L" localSheetId="2">[3]INPUT!#REF!</definedName>
    <definedName name="SST6L">[3]INPUT!#REF!</definedName>
    <definedName name="SST6R" localSheetId="1">[3]INPUT!#REF!</definedName>
    <definedName name="SST6R" localSheetId="0">[3]INPUT!#REF!</definedName>
    <definedName name="SST6R" localSheetId="2">[3]INPUT!#REF!</definedName>
    <definedName name="SST6R">[3]INPUT!#REF!</definedName>
    <definedName name="SST7L" localSheetId="1">[3]INPUT!#REF!</definedName>
    <definedName name="SST7L" localSheetId="0">[3]INPUT!#REF!</definedName>
    <definedName name="SST7L" localSheetId="2">[3]INPUT!#REF!</definedName>
    <definedName name="SST7L">[3]INPUT!#REF!</definedName>
    <definedName name="SST7R" localSheetId="1">[3]INPUT!#REF!</definedName>
    <definedName name="SST7R" localSheetId="0">[3]INPUT!#REF!</definedName>
    <definedName name="SST7R" localSheetId="2">[3]INPUT!#REF!</definedName>
    <definedName name="SST7R">[3]INPUT!#REF!</definedName>
    <definedName name="SST8L" localSheetId="1">[3]INPUT!#REF!</definedName>
    <definedName name="SST8L" localSheetId="0">[3]INPUT!#REF!</definedName>
    <definedName name="SST8L" localSheetId="2">[3]INPUT!#REF!</definedName>
    <definedName name="SST8L">[3]INPUT!#REF!</definedName>
    <definedName name="SST8R" localSheetId="1">[3]INPUT!#REF!</definedName>
    <definedName name="SST8R" localSheetId="0">[3]INPUT!#REF!</definedName>
    <definedName name="SST8R" localSheetId="2">[3]INPUT!#REF!</definedName>
    <definedName name="SST8R">[3]INPUT!#REF!</definedName>
    <definedName name="SST9L" localSheetId="1">[3]INPUT!#REF!</definedName>
    <definedName name="SST9L" localSheetId="0">[3]INPUT!#REF!</definedName>
    <definedName name="SST9L" localSheetId="2">[3]INPUT!#REF!</definedName>
    <definedName name="SST9L">[3]INPUT!#REF!</definedName>
    <definedName name="SST9R" localSheetId="1">[3]INPUT!#REF!</definedName>
    <definedName name="SST9R" localSheetId="0">[3]INPUT!#REF!</definedName>
    <definedName name="SST9R" localSheetId="2">[3]INPUT!#REF!</definedName>
    <definedName name="SST9R">[3]INPUT!#REF!</definedName>
    <definedName name="SSZ10XL" localSheetId="1">[3]INPUT!#REF!</definedName>
    <definedName name="SSZ10XL" localSheetId="0">[3]INPUT!#REF!</definedName>
    <definedName name="SSZ10XL" localSheetId="2">[3]INPUT!#REF!</definedName>
    <definedName name="SSZ10XL">[3]INPUT!#REF!</definedName>
    <definedName name="SSZ10XR" localSheetId="1">[3]INPUT!#REF!</definedName>
    <definedName name="SSZ10XR" localSheetId="0">[3]INPUT!#REF!</definedName>
    <definedName name="SSZ10XR" localSheetId="2">[3]INPUT!#REF!</definedName>
    <definedName name="SSZ10XR">[3]INPUT!#REF!</definedName>
    <definedName name="SSZ10YL" localSheetId="1">[3]INPUT!#REF!</definedName>
    <definedName name="SSZ10YL" localSheetId="0">[3]INPUT!#REF!</definedName>
    <definedName name="SSZ10YL" localSheetId="2">[3]INPUT!#REF!</definedName>
    <definedName name="SSZ10YL">[3]INPUT!#REF!</definedName>
    <definedName name="SSZ10YR" localSheetId="1">[3]INPUT!#REF!</definedName>
    <definedName name="SSZ10YR" localSheetId="0">[3]INPUT!#REF!</definedName>
    <definedName name="SSZ10YR" localSheetId="2">[3]INPUT!#REF!</definedName>
    <definedName name="SSZ10YR">[3]INPUT!#REF!</definedName>
    <definedName name="SSZ3XL" localSheetId="1">[3]INPUT!#REF!</definedName>
    <definedName name="SSZ3XL" localSheetId="0">[3]INPUT!#REF!</definedName>
    <definedName name="SSZ3XL" localSheetId="2">[3]INPUT!#REF!</definedName>
    <definedName name="SSZ3XL">[3]INPUT!#REF!</definedName>
    <definedName name="SSZ3XR" localSheetId="1">[3]INPUT!#REF!</definedName>
    <definedName name="SSZ3XR" localSheetId="0">[3]INPUT!#REF!</definedName>
    <definedName name="SSZ3XR" localSheetId="2">[3]INPUT!#REF!</definedName>
    <definedName name="SSZ3XR">[3]INPUT!#REF!</definedName>
    <definedName name="SSZ3YL" localSheetId="1">[3]INPUT!#REF!</definedName>
    <definedName name="SSZ3YL" localSheetId="0">[3]INPUT!#REF!</definedName>
    <definedName name="SSZ3YL" localSheetId="2">[3]INPUT!#REF!</definedName>
    <definedName name="SSZ3YL">[3]INPUT!#REF!</definedName>
    <definedName name="SSZ3YR" localSheetId="1">[3]INPUT!#REF!</definedName>
    <definedName name="SSZ3YR" localSheetId="0">[3]INPUT!#REF!</definedName>
    <definedName name="SSZ3YR" localSheetId="2">[3]INPUT!#REF!</definedName>
    <definedName name="SSZ3YR">[3]INPUT!#REF!</definedName>
    <definedName name="SSZ4XL" localSheetId="1">[3]INPUT!#REF!</definedName>
    <definedName name="SSZ4XL" localSheetId="0">[3]INPUT!#REF!</definedName>
    <definedName name="SSZ4XL" localSheetId="2">[3]INPUT!#REF!</definedName>
    <definedName name="SSZ4XL">[3]INPUT!#REF!</definedName>
    <definedName name="SSZ4XR" localSheetId="1">[3]INPUT!#REF!</definedName>
    <definedName name="SSZ4XR" localSheetId="0">[3]INPUT!#REF!</definedName>
    <definedName name="SSZ4XR" localSheetId="2">[3]INPUT!#REF!</definedName>
    <definedName name="SSZ4XR">[3]INPUT!#REF!</definedName>
    <definedName name="SSZ4YL" localSheetId="1">[3]INPUT!#REF!</definedName>
    <definedName name="SSZ4YL" localSheetId="0">[3]INPUT!#REF!</definedName>
    <definedName name="SSZ4YL" localSheetId="2">[3]INPUT!#REF!</definedName>
    <definedName name="SSZ4YL">[3]INPUT!#REF!</definedName>
    <definedName name="SSZ4YR" localSheetId="1">[3]INPUT!#REF!</definedName>
    <definedName name="SSZ4YR" localSheetId="0">[3]INPUT!#REF!</definedName>
    <definedName name="SSZ4YR" localSheetId="2">[3]INPUT!#REF!</definedName>
    <definedName name="SSZ4YR">[3]INPUT!#REF!</definedName>
    <definedName name="SSZ5XL" localSheetId="1">[3]INPUT!#REF!</definedName>
    <definedName name="SSZ5XL" localSheetId="0">[3]INPUT!#REF!</definedName>
    <definedName name="SSZ5XL" localSheetId="2">[3]INPUT!#REF!</definedName>
    <definedName name="SSZ5XL">[3]INPUT!#REF!</definedName>
    <definedName name="SSZ5XR" localSheetId="1">[3]INPUT!#REF!</definedName>
    <definedName name="SSZ5XR" localSheetId="0">[3]INPUT!#REF!</definedName>
    <definedName name="SSZ5XR" localSheetId="2">[3]INPUT!#REF!</definedName>
    <definedName name="SSZ5XR">[3]INPUT!#REF!</definedName>
    <definedName name="SSZ5YL" localSheetId="1">[3]INPUT!#REF!</definedName>
    <definedName name="SSZ5YL" localSheetId="0">[3]INPUT!#REF!</definedName>
    <definedName name="SSZ5YL" localSheetId="2">[3]INPUT!#REF!</definedName>
    <definedName name="SSZ5YL">[3]INPUT!#REF!</definedName>
    <definedName name="SSZ5YR" localSheetId="1">[3]INPUT!#REF!</definedName>
    <definedName name="SSZ5YR" localSheetId="0">[3]INPUT!#REF!</definedName>
    <definedName name="SSZ5YR" localSheetId="2">[3]INPUT!#REF!</definedName>
    <definedName name="SSZ5YR">[3]INPUT!#REF!</definedName>
    <definedName name="SSZ6XL" localSheetId="1">[3]INPUT!#REF!</definedName>
    <definedName name="SSZ6XL" localSheetId="0">[3]INPUT!#REF!</definedName>
    <definedName name="SSZ6XL" localSheetId="2">[3]INPUT!#REF!</definedName>
    <definedName name="SSZ6XL">[3]INPUT!#REF!</definedName>
    <definedName name="SSZ6XR" localSheetId="1">[3]INPUT!#REF!</definedName>
    <definedName name="SSZ6XR" localSheetId="0">[3]INPUT!#REF!</definedName>
    <definedName name="SSZ6XR" localSheetId="2">[3]INPUT!#REF!</definedName>
    <definedName name="SSZ6XR">[3]INPUT!#REF!</definedName>
    <definedName name="SSZ6YL" localSheetId="1">[3]INPUT!#REF!</definedName>
    <definedName name="SSZ6YL" localSheetId="0">[3]INPUT!#REF!</definedName>
    <definedName name="SSZ6YL" localSheetId="2">[3]INPUT!#REF!</definedName>
    <definedName name="SSZ6YL">[3]INPUT!#REF!</definedName>
    <definedName name="SSZ6YR" localSheetId="1">[3]INPUT!#REF!</definedName>
    <definedName name="SSZ6YR" localSheetId="0">[3]INPUT!#REF!</definedName>
    <definedName name="SSZ6YR" localSheetId="2">[3]INPUT!#REF!</definedName>
    <definedName name="SSZ6YR">[3]INPUT!#REF!</definedName>
    <definedName name="SSZ7XL" localSheetId="1">[3]INPUT!#REF!</definedName>
    <definedName name="SSZ7XL" localSheetId="0">[3]INPUT!#REF!</definedName>
    <definedName name="SSZ7XL" localSheetId="2">[3]INPUT!#REF!</definedName>
    <definedName name="SSZ7XL">[3]INPUT!#REF!</definedName>
    <definedName name="SSZ7XR" localSheetId="1">[3]INPUT!#REF!</definedName>
    <definedName name="SSZ7XR" localSheetId="0">[3]INPUT!#REF!</definedName>
    <definedName name="SSZ7XR" localSheetId="2">[3]INPUT!#REF!</definedName>
    <definedName name="SSZ7XR">[3]INPUT!#REF!</definedName>
    <definedName name="SSZ7YL" localSheetId="1">[3]INPUT!#REF!</definedName>
    <definedName name="SSZ7YL" localSheetId="0">[3]INPUT!#REF!</definedName>
    <definedName name="SSZ7YL" localSheetId="2">[3]INPUT!#REF!</definedName>
    <definedName name="SSZ7YL">[3]INPUT!#REF!</definedName>
    <definedName name="SSZ7YR" localSheetId="1">[3]INPUT!#REF!</definedName>
    <definedName name="SSZ7YR" localSheetId="0">[3]INPUT!#REF!</definedName>
    <definedName name="SSZ7YR" localSheetId="2">[3]INPUT!#REF!</definedName>
    <definedName name="SSZ7YR">[3]INPUT!#REF!</definedName>
    <definedName name="SSZ8XL" localSheetId="1">[3]INPUT!#REF!</definedName>
    <definedName name="SSZ8XL" localSheetId="0">[3]INPUT!#REF!</definedName>
    <definedName name="SSZ8XL" localSheetId="2">[3]INPUT!#REF!</definedName>
    <definedName name="SSZ8XL">[3]INPUT!#REF!</definedName>
    <definedName name="SSZ8XR" localSheetId="1">[3]INPUT!#REF!</definedName>
    <definedName name="SSZ8XR" localSheetId="0">[3]INPUT!#REF!</definedName>
    <definedName name="SSZ8XR" localSheetId="2">[3]INPUT!#REF!</definedName>
    <definedName name="SSZ8XR">[3]INPUT!#REF!</definedName>
    <definedName name="SSZ8YL" localSheetId="1">[3]INPUT!#REF!</definedName>
    <definedName name="SSZ8YL" localSheetId="0">[3]INPUT!#REF!</definedName>
    <definedName name="SSZ8YL" localSheetId="2">[3]INPUT!#REF!</definedName>
    <definedName name="SSZ8YL">[3]INPUT!#REF!</definedName>
    <definedName name="SSZ8YR" localSheetId="1">[3]INPUT!#REF!</definedName>
    <definedName name="SSZ8YR" localSheetId="0">[3]INPUT!#REF!</definedName>
    <definedName name="SSZ8YR" localSheetId="2">[3]INPUT!#REF!</definedName>
    <definedName name="SSZ8YR">[3]INPUT!#REF!</definedName>
    <definedName name="SSZ9XL" localSheetId="1">[3]INPUT!#REF!</definedName>
    <definedName name="SSZ9XL" localSheetId="0">[3]INPUT!#REF!</definedName>
    <definedName name="SSZ9XL" localSheetId="2">[3]INPUT!#REF!</definedName>
    <definedName name="SSZ9XL">[3]INPUT!#REF!</definedName>
    <definedName name="SSZ9XR" localSheetId="1">[3]INPUT!#REF!</definedName>
    <definedName name="SSZ9XR" localSheetId="0">[3]INPUT!#REF!</definedName>
    <definedName name="SSZ9XR" localSheetId="2">[3]INPUT!#REF!</definedName>
    <definedName name="SSZ9XR">[3]INPUT!#REF!</definedName>
    <definedName name="SSZ9YL" localSheetId="1">[3]INPUT!#REF!</definedName>
    <definedName name="SSZ9YL" localSheetId="0">[3]INPUT!#REF!</definedName>
    <definedName name="SSZ9YL" localSheetId="2">[3]INPUT!#REF!</definedName>
    <definedName name="SSZ9YL">[3]INPUT!#REF!</definedName>
    <definedName name="SSZ9YR" localSheetId="1">[3]INPUT!#REF!</definedName>
    <definedName name="SSZ9YR" localSheetId="0">[3]INPUT!#REF!</definedName>
    <definedName name="SSZ9YR" localSheetId="2">[3]INPUT!#REF!</definedName>
    <definedName name="SSZ9YR">[3]INPUT!#REF!</definedName>
    <definedName name="SSZQ10L" localSheetId="1">[3]INPUT!#REF!</definedName>
    <definedName name="SSZQ10L" localSheetId="0">[3]INPUT!#REF!</definedName>
    <definedName name="SSZQ10L" localSheetId="2">[3]INPUT!#REF!</definedName>
    <definedName name="SSZQ10L">[3]INPUT!#REF!</definedName>
    <definedName name="SSZQ10R" localSheetId="1">[3]INPUT!#REF!</definedName>
    <definedName name="SSZQ10R" localSheetId="0">[3]INPUT!#REF!</definedName>
    <definedName name="SSZQ10R" localSheetId="2">[3]INPUT!#REF!</definedName>
    <definedName name="SSZQ10R">[3]INPUT!#REF!</definedName>
    <definedName name="SSZQ3L" localSheetId="1">[3]INPUT!#REF!</definedName>
    <definedName name="SSZQ3L" localSheetId="0">[3]INPUT!#REF!</definedName>
    <definedName name="SSZQ3L" localSheetId="2">[3]INPUT!#REF!</definedName>
    <definedName name="SSZQ3L">[3]INPUT!#REF!</definedName>
    <definedName name="SSZQ3R" localSheetId="1">[3]INPUT!#REF!</definedName>
    <definedName name="SSZQ3R" localSheetId="0">[3]INPUT!#REF!</definedName>
    <definedName name="SSZQ3R" localSheetId="2">[3]INPUT!#REF!</definedName>
    <definedName name="SSZQ3R">[3]INPUT!#REF!</definedName>
    <definedName name="SSZQ4L" localSheetId="1">[3]INPUT!#REF!</definedName>
    <definedName name="SSZQ4L" localSheetId="0">[3]INPUT!#REF!</definedName>
    <definedName name="SSZQ4L" localSheetId="2">[3]INPUT!#REF!</definedName>
    <definedName name="SSZQ4L">[3]INPUT!#REF!</definedName>
    <definedName name="SSZQ4R" localSheetId="1">[3]INPUT!#REF!</definedName>
    <definedName name="SSZQ4R" localSheetId="0">[3]INPUT!#REF!</definedName>
    <definedName name="SSZQ4R" localSheetId="2">[3]INPUT!#REF!</definedName>
    <definedName name="SSZQ4R">[3]INPUT!#REF!</definedName>
    <definedName name="SSZQ5L" localSheetId="1">[3]INPUT!#REF!</definedName>
    <definedName name="SSZQ5L" localSheetId="0">[3]INPUT!#REF!</definedName>
    <definedName name="SSZQ5L" localSheetId="2">[3]INPUT!#REF!</definedName>
    <definedName name="SSZQ5L">[3]INPUT!#REF!</definedName>
    <definedName name="SSZQ5R" localSheetId="1">[3]INPUT!#REF!</definedName>
    <definedName name="SSZQ5R" localSheetId="0">[3]INPUT!#REF!</definedName>
    <definedName name="SSZQ5R" localSheetId="2">[3]INPUT!#REF!</definedName>
    <definedName name="SSZQ5R">[3]INPUT!#REF!</definedName>
    <definedName name="SSZQ6L" localSheetId="1">[3]INPUT!#REF!</definedName>
    <definedName name="SSZQ6L" localSheetId="0">[3]INPUT!#REF!</definedName>
    <definedName name="SSZQ6L" localSheetId="2">[3]INPUT!#REF!</definedName>
    <definedName name="SSZQ6L">[3]INPUT!#REF!</definedName>
    <definedName name="SSZQ6R" localSheetId="1">[3]INPUT!#REF!</definedName>
    <definedName name="SSZQ6R" localSheetId="0">[3]INPUT!#REF!</definedName>
    <definedName name="SSZQ6R" localSheetId="2">[3]INPUT!#REF!</definedName>
    <definedName name="SSZQ6R">[3]INPUT!#REF!</definedName>
    <definedName name="SSZQ7L" localSheetId="1">[3]INPUT!#REF!</definedName>
    <definedName name="SSZQ7L" localSheetId="0">[3]INPUT!#REF!</definedName>
    <definedName name="SSZQ7L" localSheetId="2">[3]INPUT!#REF!</definedName>
    <definedName name="SSZQ7L">[3]INPUT!#REF!</definedName>
    <definedName name="SSZQ7R" localSheetId="1">[3]INPUT!#REF!</definedName>
    <definedName name="SSZQ7R" localSheetId="0">[3]INPUT!#REF!</definedName>
    <definedName name="SSZQ7R" localSheetId="2">[3]INPUT!#REF!</definedName>
    <definedName name="SSZQ7R">[3]INPUT!#REF!</definedName>
    <definedName name="SSZQ8L" localSheetId="1">[3]INPUT!#REF!</definedName>
    <definedName name="SSZQ8L" localSheetId="0">[3]INPUT!#REF!</definedName>
    <definedName name="SSZQ8L" localSheetId="2">[3]INPUT!#REF!</definedName>
    <definedName name="SSZQ8L">[3]INPUT!#REF!</definedName>
    <definedName name="SSZQ8R" localSheetId="1">[3]INPUT!#REF!</definedName>
    <definedName name="SSZQ8R" localSheetId="0">[3]INPUT!#REF!</definedName>
    <definedName name="SSZQ8R" localSheetId="2">[3]INPUT!#REF!</definedName>
    <definedName name="SSZQ8R">[3]INPUT!#REF!</definedName>
    <definedName name="SSZQ9L" localSheetId="1">[3]INPUT!#REF!</definedName>
    <definedName name="SSZQ9L" localSheetId="0">[3]INPUT!#REF!</definedName>
    <definedName name="SSZQ9L" localSheetId="2">[3]INPUT!#REF!</definedName>
    <definedName name="SSZQ9L">[3]INPUT!#REF!</definedName>
    <definedName name="SSZQ9R" localSheetId="1">[3]INPUT!#REF!</definedName>
    <definedName name="SSZQ9R" localSheetId="0">[3]INPUT!#REF!</definedName>
    <definedName name="SSZQ9R" localSheetId="2">[3]INPUT!#REF!</definedName>
    <definedName name="SSZQ9R">[3]INPUT!#REF!</definedName>
    <definedName name="STA">#REF!</definedName>
    <definedName name="STB">#REF!</definedName>
    <definedName name="STRUT간격">#REF!</definedName>
    <definedName name="STRUT반력">#REF!</definedName>
    <definedName name="SUM10L" localSheetId="1">[2]INPUT!#REF!</definedName>
    <definedName name="SUM10L" localSheetId="0">[2]INPUT!#REF!</definedName>
    <definedName name="SUM10L" localSheetId="2">[2]INPUT!#REF!</definedName>
    <definedName name="SUM10L">[2]INPUT!#REF!</definedName>
    <definedName name="SUM10R" localSheetId="1">[2]INPUT!#REF!</definedName>
    <definedName name="SUM10R" localSheetId="0">[2]INPUT!#REF!</definedName>
    <definedName name="SUM10R" localSheetId="2">[2]INPUT!#REF!</definedName>
    <definedName name="SUM10R">[2]INPUT!#REF!</definedName>
    <definedName name="SUM3L" localSheetId="1">[2]INPUT!#REF!</definedName>
    <definedName name="SUM3L" localSheetId="0">[2]INPUT!#REF!</definedName>
    <definedName name="SUM3L" localSheetId="2">[2]INPUT!#REF!</definedName>
    <definedName name="SUM3L">[2]INPUT!#REF!</definedName>
    <definedName name="SUM3R" localSheetId="1">[2]INPUT!#REF!</definedName>
    <definedName name="SUM3R" localSheetId="0">[2]INPUT!#REF!</definedName>
    <definedName name="SUM3R" localSheetId="2">[2]INPUT!#REF!</definedName>
    <definedName name="SUM3R">[2]INPUT!#REF!</definedName>
    <definedName name="SUM4L" localSheetId="1">[2]INPUT!#REF!</definedName>
    <definedName name="SUM4L" localSheetId="0">[2]INPUT!#REF!</definedName>
    <definedName name="SUM4L" localSheetId="2">[2]INPUT!#REF!</definedName>
    <definedName name="SUM4L">[2]INPUT!#REF!</definedName>
    <definedName name="SUM4R" localSheetId="1">[2]INPUT!#REF!</definedName>
    <definedName name="SUM4R" localSheetId="0">[2]INPUT!#REF!</definedName>
    <definedName name="SUM4R" localSheetId="2">[2]INPUT!#REF!</definedName>
    <definedName name="SUM4R">[2]INPUT!#REF!</definedName>
    <definedName name="SUM5L" localSheetId="1">[2]INPUT!#REF!</definedName>
    <definedName name="SUM5L" localSheetId="0">[2]INPUT!#REF!</definedName>
    <definedName name="SUM5L" localSheetId="2">[2]INPUT!#REF!</definedName>
    <definedName name="SUM5L">[2]INPUT!#REF!</definedName>
    <definedName name="SUM5R" localSheetId="1">[2]INPUT!#REF!</definedName>
    <definedName name="SUM5R" localSheetId="0">[2]INPUT!#REF!</definedName>
    <definedName name="SUM5R" localSheetId="2">[2]INPUT!#REF!</definedName>
    <definedName name="SUM5R">[2]INPUT!#REF!</definedName>
    <definedName name="SUM6L" localSheetId="1">[2]INPUT!#REF!</definedName>
    <definedName name="SUM6L" localSheetId="0">[2]INPUT!#REF!</definedName>
    <definedName name="SUM6L" localSheetId="2">[2]INPUT!#REF!</definedName>
    <definedName name="SUM6L">[2]INPUT!#REF!</definedName>
    <definedName name="SUM6R" localSheetId="1">[2]INPUT!#REF!</definedName>
    <definedName name="SUM6R" localSheetId="0">[2]INPUT!#REF!</definedName>
    <definedName name="SUM6R" localSheetId="2">[2]INPUT!#REF!</definedName>
    <definedName name="SUM6R">[2]INPUT!#REF!</definedName>
    <definedName name="SUM7L" localSheetId="1">[2]INPUT!#REF!</definedName>
    <definedName name="SUM7L" localSheetId="0">[2]INPUT!#REF!</definedName>
    <definedName name="SUM7L" localSheetId="2">[2]INPUT!#REF!</definedName>
    <definedName name="SUM7L">[2]INPUT!#REF!</definedName>
    <definedName name="SUM7R" localSheetId="1">[2]INPUT!#REF!</definedName>
    <definedName name="SUM7R" localSheetId="0">[2]INPUT!#REF!</definedName>
    <definedName name="SUM7R" localSheetId="2">[2]INPUT!#REF!</definedName>
    <definedName name="SUM7R">[2]INPUT!#REF!</definedName>
    <definedName name="SUM8L" localSheetId="1">[2]INPUT!#REF!</definedName>
    <definedName name="SUM8L" localSheetId="0">[2]INPUT!#REF!</definedName>
    <definedName name="SUM8L" localSheetId="2">[2]INPUT!#REF!</definedName>
    <definedName name="SUM8L">[2]INPUT!#REF!</definedName>
    <definedName name="SUM8R" localSheetId="1">[2]INPUT!#REF!</definedName>
    <definedName name="SUM8R" localSheetId="0">[2]INPUT!#REF!</definedName>
    <definedName name="SUM8R" localSheetId="2">[2]INPUT!#REF!</definedName>
    <definedName name="SUM8R">[2]INPUT!#REF!</definedName>
    <definedName name="SUM9L" localSheetId="1">[2]INPUT!#REF!</definedName>
    <definedName name="SUM9L" localSheetId="0">[2]INPUT!#REF!</definedName>
    <definedName name="SUM9L" localSheetId="2">[2]INPUT!#REF!</definedName>
    <definedName name="SUM9L">[2]INPUT!#REF!</definedName>
    <definedName name="SUM9R" localSheetId="1">[2]INPUT!#REF!</definedName>
    <definedName name="SUM9R" localSheetId="0">[2]INPUT!#REF!</definedName>
    <definedName name="SUM9R" localSheetId="2">[2]INPUT!#REF!</definedName>
    <definedName name="SUM9R">[2]INPUT!#REF!</definedName>
    <definedName name="SWL">#REF!</definedName>
    <definedName name="SWR">#REF!</definedName>
    <definedName name="S단면2차모멘트">#REF!</definedName>
    <definedName name="s단면2차반경">#REF!</definedName>
    <definedName name="S단면계수">#REF!</definedName>
    <definedName name="S단면적">#REF!</definedName>
    <definedName name="S모멘트">#REF!</definedName>
    <definedName name="S유효지간">#REF!</definedName>
    <definedName name="S전단면적">#REF!</definedName>
    <definedName name="S폭">#REF!</definedName>
    <definedName name="T" localSheetId="1">#REF!</definedName>
    <definedName name="T" localSheetId="0">#REF!</definedName>
    <definedName name="T" localSheetId="2">#REF!</definedName>
    <definedName name="T">#REF!</definedName>
    <definedName name="T10L" localSheetId="1">[2]INPUT!#REF!</definedName>
    <definedName name="T10L" localSheetId="0">[2]INPUT!#REF!</definedName>
    <definedName name="T10L" localSheetId="2">[2]INPUT!#REF!</definedName>
    <definedName name="T10L">[2]INPUT!#REF!</definedName>
    <definedName name="T10R" localSheetId="1">[2]INPUT!#REF!</definedName>
    <definedName name="T10R" localSheetId="0">[2]INPUT!#REF!</definedName>
    <definedName name="T10R" localSheetId="2">[2]INPUT!#REF!</definedName>
    <definedName name="T10R">[2]INPUT!#REF!</definedName>
    <definedName name="t1a2p">[4]INPUT!$I$45</definedName>
    <definedName name="T1L">[2]INPUT!$C$3</definedName>
    <definedName name="T1R">[2]INPUT!$E$3</definedName>
    <definedName name="T1S">#REF!</definedName>
    <definedName name="t2a2p">[4]INPUT!$I$46</definedName>
    <definedName name="T2L">[2]INPUT!$C$18</definedName>
    <definedName name="T2R">[2]INPUT!$E$18</definedName>
    <definedName name="T2S">#REF!</definedName>
    <definedName name="T3L" localSheetId="1">[2]INPUT!#REF!</definedName>
    <definedName name="T3L" localSheetId="0">[2]INPUT!#REF!</definedName>
    <definedName name="T3L" localSheetId="2">[2]INPUT!#REF!</definedName>
    <definedName name="T3L">[2]INPUT!#REF!</definedName>
    <definedName name="T3R" localSheetId="1">[2]INPUT!#REF!</definedName>
    <definedName name="T3R" localSheetId="0">[2]INPUT!#REF!</definedName>
    <definedName name="T3R" localSheetId="2">[2]INPUT!#REF!</definedName>
    <definedName name="T3R">[2]INPUT!#REF!</definedName>
    <definedName name="T3S">#REF!</definedName>
    <definedName name="T4L" localSheetId="1">[2]INPUT!#REF!</definedName>
    <definedName name="T4L" localSheetId="0">[2]INPUT!#REF!</definedName>
    <definedName name="T4L" localSheetId="2">[2]INPUT!#REF!</definedName>
    <definedName name="T4L">[2]INPUT!#REF!</definedName>
    <definedName name="T4R" localSheetId="1">[2]INPUT!#REF!</definedName>
    <definedName name="T4R" localSheetId="0">[2]INPUT!#REF!</definedName>
    <definedName name="T4R" localSheetId="2">[2]INPUT!#REF!</definedName>
    <definedName name="T4R">[2]INPUT!#REF!</definedName>
    <definedName name="T5L" localSheetId="1">[2]INPUT!#REF!</definedName>
    <definedName name="T5L" localSheetId="0">[2]INPUT!#REF!</definedName>
    <definedName name="T5L" localSheetId="2">[2]INPUT!#REF!</definedName>
    <definedName name="T5L">[2]INPUT!#REF!</definedName>
    <definedName name="T5R" localSheetId="1">[2]INPUT!#REF!</definedName>
    <definedName name="T5R" localSheetId="0">[2]INPUT!#REF!</definedName>
    <definedName name="T5R" localSheetId="2">[2]INPUT!#REF!</definedName>
    <definedName name="T5R">[2]INPUT!#REF!</definedName>
    <definedName name="T6L" localSheetId="1">[2]INPUT!#REF!</definedName>
    <definedName name="T6L" localSheetId="0">[2]INPUT!#REF!</definedName>
    <definedName name="T6L" localSheetId="2">[2]INPUT!#REF!</definedName>
    <definedName name="T6L">[2]INPUT!#REF!</definedName>
    <definedName name="T6R" localSheetId="1">[2]INPUT!#REF!</definedName>
    <definedName name="T6R" localSheetId="0">[2]INPUT!#REF!</definedName>
    <definedName name="T6R" localSheetId="2">[2]INPUT!#REF!</definedName>
    <definedName name="T6R">[2]INPUT!#REF!</definedName>
    <definedName name="T7L" localSheetId="1">[2]INPUT!#REF!</definedName>
    <definedName name="T7L" localSheetId="0">[2]INPUT!#REF!</definedName>
    <definedName name="T7L" localSheetId="2">[2]INPUT!#REF!</definedName>
    <definedName name="T7L">[2]INPUT!#REF!</definedName>
    <definedName name="T7R" localSheetId="1">[2]INPUT!#REF!</definedName>
    <definedName name="T7R" localSheetId="0">[2]INPUT!#REF!</definedName>
    <definedName name="T7R" localSheetId="2">[2]INPUT!#REF!</definedName>
    <definedName name="T7R">[2]INPUT!#REF!</definedName>
    <definedName name="T8L" localSheetId="1">[2]INPUT!#REF!</definedName>
    <definedName name="T8L" localSheetId="0">[2]INPUT!#REF!</definedName>
    <definedName name="T8L" localSheetId="2">[2]INPUT!#REF!</definedName>
    <definedName name="T8L">[2]INPUT!#REF!</definedName>
    <definedName name="T8R" localSheetId="1">[2]INPUT!#REF!</definedName>
    <definedName name="T8R" localSheetId="0">[2]INPUT!#REF!</definedName>
    <definedName name="T8R" localSheetId="2">[2]INPUT!#REF!</definedName>
    <definedName name="T8R">[2]INPUT!#REF!</definedName>
    <definedName name="T9L" localSheetId="1">[2]INPUT!#REF!</definedName>
    <definedName name="T9L" localSheetId="0">[2]INPUT!#REF!</definedName>
    <definedName name="T9L" localSheetId="2">[2]INPUT!#REF!</definedName>
    <definedName name="T9L">[2]INPUT!#REF!</definedName>
    <definedName name="T9R" localSheetId="1">[2]INPUT!#REF!</definedName>
    <definedName name="T9R" localSheetId="0">[2]INPUT!#REF!</definedName>
    <definedName name="T9R" localSheetId="2">[2]INPUT!#REF!</definedName>
    <definedName name="T9R">[2]INPUT!#REF!</definedName>
    <definedName name="TA">#REF!</definedName>
    <definedName name="ta2p">[4]INPUT!$I$44</definedName>
    <definedName name="Table">#REF!</definedName>
    <definedName name="Table1">#REF!</definedName>
    <definedName name="Tc">#REF!</definedName>
    <definedName name="TD">#REF!</definedName>
    <definedName name="TDcon">#REF!</definedName>
    <definedName name="TE">#REF!</definedName>
    <definedName name="text1" localSheetId="1">[16]가도공!#REF!</definedName>
    <definedName name="text1" localSheetId="0">[16]가도공!#REF!</definedName>
    <definedName name="text1" localSheetId="2">[16]가도공!#REF!</definedName>
    <definedName name="text1">[16]가도공!#REF!</definedName>
    <definedName name="Tf">#REF!</definedName>
    <definedName name="TL">#REF!</definedName>
    <definedName name="TMO">#REF!</definedName>
    <definedName name="TW">#REF!</definedName>
    <definedName name="TWL">#REF!</definedName>
    <definedName name="TWR">#REF!</definedName>
    <definedName name="Ty1H1">#REF!</definedName>
    <definedName name="Ty1H2">#REF!</definedName>
    <definedName name="Ty1H3">#REF!</definedName>
    <definedName name="Ty1Hun1">#REF!</definedName>
    <definedName name="Ty1Hun2">#REF!</definedName>
    <definedName name="Ty1K1">#REF!</definedName>
    <definedName name="Ty1K2">#REF!</definedName>
    <definedName name="Ty1L1">#REF!</definedName>
    <definedName name="Ty1L2">#REF!</definedName>
    <definedName name="Ty1L3">#REF!</definedName>
    <definedName name="Ty1L4">#REF!</definedName>
    <definedName name="Ty1L5">#REF!</definedName>
    <definedName name="Ty1L6">#REF!</definedName>
    <definedName name="Ty1TH">#REF!</definedName>
    <definedName name="Ty1TL">#REF!</definedName>
    <definedName name="Ty2H1">#REF!</definedName>
    <definedName name="Ty2H2">#REF!</definedName>
    <definedName name="Ty2H3">#REF!</definedName>
    <definedName name="Ty2Hun1">#REF!</definedName>
    <definedName name="Ty2Hun2">#REF!</definedName>
    <definedName name="Ty2K1">#REF!</definedName>
    <definedName name="Ty2K2">#REF!</definedName>
    <definedName name="Ty2L1">#REF!</definedName>
    <definedName name="Ty2L2">#REF!</definedName>
    <definedName name="Ty2L3">#REF!</definedName>
    <definedName name="Ty2L4">#REF!</definedName>
    <definedName name="Ty2L5">#REF!</definedName>
    <definedName name="Ty2L6">#REF!</definedName>
    <definedName name="Ty2TH">#REF!</definedName>
    <definedName name="Ty2TL">#REF!</definedName>
    <definedName name="TYPE">#REF!</definedName>
    <definedName name="U형수로">'[17]집수정(600-700)'!$P$4</definedName>
    <definedName name="v6a">#REF!</definedName>
    <definedName name="W">#REF!</definedName>
    <definedName name="W10H">#REF!</definedName>
    <definedName name="W10H1">#REF!</definedName>
    <definedName name="W10H10">#REF!</definedName>
    <definedName name="W10H2">#REF!</definedName>
    <definedName name="W10H3">#REF!</definedName>
    <definedName name="W10H4">#REF!</definedName>
    <definedName name="W10H5">#REF!</definedName>
    <definedName name="W10H6">#REF!</definedName>
    <definedName name="W10H7">#REF!</definedName>
    <definedName name="W10H8">#REF!</definedName>
    <definedName name="W10H9">#REF!</definedName>
    <definedName name="W10L" localSheetId="1">[2]INPUT!#REF!</definedName>
    <definedName name="W10L" localSheetId="0">[2]INPUT!#REF!</definedName>
    <definedName name="W10L" localSheetId="2">[2]INPUT!#REF!</definedName>
    <definedName name="W10L">[2]INPUT!#REF!</definedName>
    <definedName name="W10R" localSheetId="1">[2]INPUT!#REF!</definedName>
    <definedName name="W10R" localSheetId="0">[2]INPUT!#REF!</definedName>
    <definedName name="W10R" localSheetId="2">[2]INPUT!#REF!</definedName>
    <definedName name="W10R">[2]INPUT!#REF!</definedName>
    <definedName name="W11H1">#REF!</definedName>
    <definedName name="W11H10">#REF!</definedName>
    <definedName name="W11H2">#REF!</definedName>
    <definedName name="W11H3">#REF!</definedName>
    <definedName name="W11H4">#REF!</definedName>
    <definedName name="W11H5">#REF!</definedName>
    <definedName name="W11H6">#REF!</definedName>
    <definedName name="W11H7">#REF!</definedName>
    <definedName name="W11H8">#REF!</definedName>
    <definedName name="W11H9">#REF!</definedName>
    <definedName name="W12H1">#REF!</definedName>
    <definedName name="W12H10">#REF!</definedName>
    <definedName name="W12H2">#REF!</definedName>
    <definedName name="W12H3">#REF!</definedName>
    <definedName name="W12H4">#REF!</definedName>
    <definedName name="W12H5">#REF!</definedName>
    <definedName name="W12H6">#REF!</definedName>
    <definedName name="W12H7">#REF!</definedName>
    <definedName name="W12H8">#REF!</definedName>
    <definedName name="W12H9">#REF!</definedName>
    <definedName name="W13H1">#REF!</definedName>
    <definedName name="W13H10">#REF!</definedName>
    <definedName name="W13H2">#REF!</definedName>
    <definedName name="W13H3">#REF!</definedName>
    <definedName name="W13H4">#REF!</definedName>
    <definedName name="W13H5">#REF!</definedName>
    <definedName name="W13H6">#REF!</definedName>
    <definedName name="W13H7">#REF!</definedName>
    <definedName name="W13H8">#REF!</definedName>
    <definedName name="W13H9">#REF!</definedName>
    <definedName name="W14H1">#REF!</definedName>
    <definedName name="W14H10">#REF!</definedName>
    <definedName name="W14H2">#REF!</definedName>
    <definedName name="W14H3">#REF!</definedName>
    <definedName name="W14H4">#REF!</definedName>
    <definedName name="W14H5">#REF!</definedName>
    <definedName name="W14H6">#REF!</definedName>
    <definedName name="W14H7">#REF!</definedName>
    <definedName name="W14H8">#REF!</definedName>
    <definedName name="W14H9">#REF!</definedName>
    <definedName name="W15H1">#REF!</definedName>
    <definedName name="W15H10">#REF!</definedName>
    <definedName name="W15H2">#REF!</definedName>
    <definedName name="W15H3">#REF!</definedName>
    <definedName name="W15H4">#REF!</definedName>
    <definedName name="W15H5">#REF!</definedName>
    <definedName name="W15H6">#REF!</definedName>
    <definedName name="W15H7">#REF!</definedName>
    <definedName name="W15H8">#REF!</definedName>
    <definedName name="W15H9">#REF!</definedName>
    <definedName name="W16H1">#REF!</definedName>
    <definedName name="W16H10">#REF!</definedName>
    <definedName name="W16H2">#REF!</definedName>
    <definedName name="W16H3">#REF!</definedName>
    <definedName name="W16H4">#REF!</definedName>
    <definedName name="W16H5">#REF!</definedName>
    <definedName name="W16H6">#REF!</definedName>
    <definedName name="W16H7">#REF!</definedName>
    <definedName name="W16H8">#REF!</definedName>
    <definedName name="W16H9">#REF!</definedName>
    <definedName name="W17H1">#REF!</definedName>
    <definedName name="W17H10">#REF!</definedName>
    <definedName name="W17H2">#REF!</definedName>
    <definedName name="W17H3">#REF!</definedName>
    <definedName name="W17H4">#REF!</definedName>
    <definedName name="W17H5">#REF!</definedName>
    <definedName name="W17H6">#REF!</definedName>
    <definedName name="W17H7">#REF!</definedName>
    <definedName name="W17H8">#REF!</definedName>
    <definedName name="W17H9">#REF!</definedName>
    <definedName name="W18H1">#REF!</definedName>
    <definedName name="W18H10">#REF!</definedName>
    <definedName name="W18H2">#REF!</definedName>
    <definedName name="W18H3">#REF!</definedName>
    <definedName name="W18H4">#REF!</definedName>
    <definedName name="W18H5">#REF!</definedName>
    <definedName name="W18H6">#REF!</definedName>
    <definedName name="W18H7">#REF!</definedName>
    <definedName name="W18H8">#REF!</definedName>
    <definedName name="W18H9">#REF!</definedName>
    <definedName name="W19H1">#REF!</definedName>
    <definedName name="W19H10">#REF!</definedName>
    <definedName name="W19H2">#REF!</definedName>
    <definedName name="W19H3">#REF!</definedName>
    <definedName name="W19H4">#REF!</definedName>
    <definedName name="W19H5">#REF!</definedName>
    <definedName name="W19H6">#REF!</definedName>
    <definedName name="W19H7">#REF!</definedName>
    <definedName name="W19H8">#REF!</definedName>
    <definedName name="W19H9">#REF!</definedName>
    <definedName name="W1H">#REF!</definedName>
    <definedName name="W1H1">#REF!</definedName>
    <definedName name="W1H10">#REF!</definedName>
    <definedName name="W1H2">#REF!</definedName>
    <definedName name="W1H3">#REF!</definedName>
    <definedName name="W1H4">#REF!</definedName>
    <definedName name="W1H5">#REF!</definedName>
    <definedName name="W1H6">#REF!</definedName>
    <definedName name="W1H7">#REF!</definedName>
    <definedName name="W1H8">#REF!</definedName>
    <definedName name="W1H9">#REF!</definedName>
    <definedName name="W20H1">#REF!</definedName>
    <definedName name="W20H10">#REF!</definedName>
    <definedName name="W20H2">#REF!</definedName>
    <definedName name="W20H3">#REF!</definedName>
    <definedName name="W20H4">#REF!</definedName>
    <definedName name="W20H5">#REF!</definedName>
    <definedName name="W20H6">#REF!</definedName>
    <definedName name="W20H7">#REF!</definedName>
    <definedName name="W20H8">#REF!</definedName>
    <definedName name="W20H9">#REF!</definedName>
    <definedName name="W21H1">#REF!</definedName>
    <definedName name="W21H10">#REF!</definedName>
    <definedName name="W21H2">#REF!</definedName>
    <definedName name="W21H3">#REF!</definedName>
    <definedName name="W21H4">#REF!</definedName>
    <definedName name="W21H5">#REF!</definedName>
    <definedName name="W21H6">#REF!</definedName>
    <definedName name="W21H7">#REF!</definedName>
    <definedName name="W21H9">#REF!</definedName>
    <definedName name="W22H1">#REF!</definedName>
    <definedName name="W22H10">#REF!</definedName>
    <definedName name="W22H2">#REF!</definedName>
    <definedName name="W22H3">#REF!</definedName>
    <definedName name="W22H4">#REF!</definedName>
    <definedName name="W22H5">#REF!</definedName>
    <definedName name="W22H6">#REF!</definedName>
    <definedName name="W22H7">#REF!</definedName>
    <definedName name="W22H8">#REF!</definedName>
    <definedName name="W22H9">#REF!</definedName>
    <definedName name="W2H">#REF!</definedName>
    <definedName name="W2H1">#REF!</definedName>
    <definedName name="W2H10">#REF!</definedName>
    <definedName name="W2H2">#REF!</definedName>
    <definedName name="W2H3">#REF!</definedName>
    <definedName name="W2H4">#REF!</definedName>
    <definedName name="W2H5">#REF!</definedName>
    <definedName name="W2H6">#REF!</definedName>
    <definedName name="W2H7">#REF!</definedName>
    <definedName name="W2H8">#REF!</definedName>
    <definedName name="W2H9">#REF!</definedName>
    <definedName name="W3H">#REF!</definedName>
    <definedName name="W3H1">#REF!</definedName>
    <definedName name="W3H10">#REF!</definedName>
    <definedName name="W3H2">#REF!</definedName>
    <definedName name="W3H3">#REF!</definedName>
    <definedName name="W3H4">#REF!</definedName>
    <definedName name="W3H5">#REF!</definedName>
    <definedName name="W3H6">#REF!</definedName>
    <definedName name="W3H7">#REF!</definedName>
    <definedName name="W3H8">#REF!</definedName>
    <definedName name="W3H9">#REF!</definedName>
    <definedName name="W3L" localSheetId="1">[2]INPUT!#REF!</definedName>
    <definedName name="W3L" localSheetId="0">[2]INPUT!#REF!</definedName>
    <definedName name="W3L" localSheetId="2">[2]INPUT!#REF!</definedName>
    <definedName name="W3L">[2]INPUT!#REF!</definedName>
    <definedName name="W3R" localSheetId="1">[2]INPUT!#REF!</definedName>
    <definedName name="W3R" localSheetId="0">[2]INPUT!#REF!</definedName>
    <definedName name="W3R" localSheetId="2">[2]INPUT!#REF!</definedName>
    <definedName name="W3R">[2]INPUT!#REF!</definedName>
    <definedName name="W4H">#REF!</definedName>
    <definedName name="W4H1">#REF!</definedName>
    <definedName name="W4H10">#REF!</definedName>
    <definedName name="W4H2">#REF!</definedName>
    <definedName name="W4H3">#REF!</definedName>
    <definedName name="W4H4">#REF!</definedName>
    <definedName name="W4H5">#REF!</definedName>
    <definedName name="W4H6">#REF!</definedName>
    <definedName name="W4H7">#REF!</definedName>
    <definedName name="W4H8">#REF!</definedName>
    <definedName name="W4H9">#REF!</definedName>
    <definedName name="W4L" localSheetId="1">[2]INPUT!#REF!</definedName>
    <definedName name="W4L" localSheetId="0">[2]INPUT!#REF!</definedName>
    <definedName name="W4L" localSheetId="2">[2]INPUT!#REF!</definedName>
    <definedName name="W4L">[2]INPUT!#REF!</definedName>
    <definedName name="W4R" localSheetId="1">[2]INPUT!#REF!</definedName>
    <definedName name="W4R" localSheetId="0">[2]INPUT!#REF!</definedName>
    <definedName name="W4R" localSheetId="2">[2]INPUT!#REF!</definedName>
    <definedName name="W4R">[2]INPUT!#REF!</definedName>
    <definedName name="W5H">#REF!</definedName>
    <definedName name="W5H1">#REF!</definedName>
    <definedName name="W5H10">#REF!</definedName>
    <definedName name="W5H2">#REF!</definedName>
    <definedName name="W5H3">#REF!</definedName>
    <definedName name="W5H4">#REF!</definedName>
    <definedName name="W5H5">#REF!</definedName>
    <definedName name="W5H6">#REF!</definedName>
    <definedName name="W5H7">#REF!</definedName>
    <definedName name="W5H8">#REF!</definedName>
    <definedName name="W5H9">#REF!</definedName>
    <definedName name="W5L" localSheetId="1">[2]INPUT!#REF!</definedName>
    <definedName name="W5L" localSheetId="0">[2]INPUT!#REF!</definedName>
    <definedName name="W5L" localSheetId="2">[2]INPUT!#REF!</definedName>
    <definedName name="W5L">[2]INPUT!#REF!</definedName>
    <definedName name="W5R" localSheetId="1">[2]INPUT!#REF!</definedName>
    <definedName name="W5R" localSheetId="0">[2]INPUT!#REF!</definedName>
    <definedName name="W5R" localSheetId="2">[2]INPUT!#REF!</definedName>
    <definedName name="W5R">[2]INPUT!#REF!</definedName>
    <definedName name="W6H">#REF!</definedName>
    <definedName name="W6H1">#REF!</definedName>
    <definedName name="W6H10">#REF!</definedName>
    <definedName name="W6H2">#REF!</definedName>
    <definedName name="W6H3">#REF!</definedName>
    <definedName name="W6H4">#REF!</definedName>
    <definedName name="W6H5">#REF!</definedName>
    <definedName name="W6H6">#REF!</definedName>
    <definedName name="W6H7">#REF!</definedName>
    <definedName name="W6H8">#REF!</definedName>
    <definedName name="W6H9">#REF!</definedName>
    <definedName name="W6L" localSheetId="1">[2]INPUT!#REF!</definedName>
    <definedName name="W6L" localSheetId="0">[2]INPUT!#REF!</definedName>
    <definedName name="W6L" localSheetId="2">[2]INPUT!#REF!</definedName>
    <definedName name="W6L">[2]INPUT!#REF!</definedName>
    <definedName name="W6R" localSheetId="1">[2]INPUT!#REF!</definedName>
    <definedName name="W6R" localSheetId="0">[2]INPUT!#REF!</definedName>
    <definedName name="W6R" localSheetId="2">[2]INPUT!#REF!</definedName>
    <definedName name="W6R">[2]INPUT!#REF!</definedName>
    <definedName name="W7H">#REF!</definedName>
    <definedName name="W7H1">#REF!</definedName>
    <definedName name="W7H10">#REF!</definedName>
    <definedName name="W7H2">#REF!</definedName>
    <definedName name="W7H3">#REF!</definedName>
    <definedName name="W7H4">#REF!</definedName>
    <definedName name="W7H5">#REF!</definedName>
    <definedName name="W7H6">#REF!</definedName>
    <definedName name="W7H7">#REF!</definedName>
    <definedName name="W7H8">#REF!</definedName>
    <definedName name="W7H9">#REF!</definedName>
    <definedName name="W7L" localSheetId="1">[2]INPUT!#REF!</definedName>
    <definedName name="W7L" localSheetId="0">[2]INPUT!#REF!</definedName>
    <definedName name="W7L" localSheetId="2">[2]INPUT!#REF!</definedName>
    <definedName name="W7L">[2]INPUT!#REF!</definedName>
    <definedName name="W7R" localSheetId="1">[2]INPUT!#REF!</definedName>
    <definedName name="W7R" localSheetId="0">[2]INPUT!#REF!</definedName>
    <definedName name="W7R" localSheetId="2">[2]INPUT!#REF!</definedName>
    <definedName name="W7R">[2]INPUT!#REF!</definedName>
    <definedName name="W8H">#REF!</definedName>
    <definedName name="W8H1">#REF!</definedName>
    <definedName name="W8H10">#REF!</definedName>
    <definedName name="W8H2">#REF!</definedName>
    <definedName name="W8H3">#REF!</definedName>
    <definedName name="W8H4">#REF!</definedName>
    <definedName name="W8H5">#REF!</definedName>
    <definedName name="W8H6">#REF!</definedName>
    <definedName name="W8H7">#REF!</definedName>
    <definedName name="W8H8">#REF!</definedName>
    <definedName name="W8H9">#REF!</definedName>
    <definedName name="W8L" localSheetId="1">[2]INPUT!#REF!</definedName>
    <definedName name="W8L" localSheetId="0">[2]INPUT!#REF!</definedName>
    <definedName name="W8L" localSheetId="2">[2]INPUT!#REF!</definedName>
    <definedName name="W8L">[2]INPUT!#REF!</definedName>
    <definedName name="W8R" localSheetId="1">[2]INPUT!#REF!</definedName>
    <definedName name="W8R" localSheetId="0">[2]INPUT!#REF!</definedName>
    <definedName name="W8R" localSheetId="2">[2]INPUT!#REF!</definedName>
    <definedName name="W8R">[2]INPUT!#REF!</definedName>
    <definedName name="W9H">#REF!</definedName>
    <definedName name="W9H1">#REF!</definedName>
    <definedName name="W9H10">#REF!</definedName>
    <definedName name="W9H2">#REF!</definedName>
    <definedName name="W9H3">#REF!</definedName>
    <definedName name="W9H4">#REF!</definedName>
    <definedName name="W9H5">#REF!</definedName>
    <definedName name="W9H6">#REF!</definedName>
    <definedName name="W9H7">#REF!</definedName>
    <definedName name="W9H8">#REF!</definedName>
    <definedName name="W9H9">#REF!</definedName>
    <definedName name="W9L" localSheetId="1">[2]INPUT!#REF!</definedName>
    <definedName name="W9L" localSheetId="0">[2]INPUT!#REF!</definedName>
    <definedName name="W9L" localSheetId="2">[2]INPUT!#REF!</definedName>
    <definedName name="W9L">[2]INPUT!#REF!</definedName>
    <definedName name="W9R" localSheetId="1">[2]INPUT!#REF!</definedName>
    <definedName name="W9R" localSheetId="0">[2]INPUT!#REF!</definedName>
    <definedName name="W9R" localSheetId="2">[2]INPUT!#REF!</definedName>
    <definedName name="W9R">[2]INPUT!#REF!</definedName>
    <definedName name="WA">#REF!</definedName>
    <definedName name="WAA">#REF!</definedName>
    <definedName name="WAAA">#REF!</definedName>
    <definedName name="Wcon">#REF!</definedName>
    <definedName name="WfpCon">#REF!</definedName>
    <definedName name="WH">#REF!</definedName>
    <definedName name="WL" localSheetId="1">[5]교각1!#REF!</definedName>
    <definedName name="WL" localSheetId="0">[5]교각1!#REF!</definedName>
    <definedName name="WL" localSheetId="2">[5]교각1!#REF!</definedName>
    <definedName name="WL">[5]교각1!#REF!</definedName>
    <definedName name="WLB">#REF!</definedName>
    <definedName name="WN" localSheetId="1">[5]교각1!#REF!</definedName>
    <definedName name="WN" localSheetId="0">[5]교각1!#REF!</definedName>
    <definedName name="WN" localSheetId="2">[5]교각1!#REF!</definedName>
    <definedName name="WN">[5]교각1!#REF!</definedName>
    <definedName name="wrn.2번." hidden="1">{#N/A,#N/A,FALSE,"2~8번"}</definedName>
    <definedName name="wrn.골재소요량." hidden="1">{#N/A,#N/A,FALSE,"골재소요량";#N/A,#N/A,FALSE,"골재소요량"}</definedName>
    <definedName name="wrn.구조2." hidden="1">{#N/A,#N/A,FALSE,"구조2"}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부대1." hidden="1">{#N/A,#N/A,FALSE,"부대1"}</definedName>
    <definedName name="wrn.부대2." hidden="1">{#N/A,#N/A,FALSE,"부대2"}</definedName>
    <definedName name="wrn.속도." hidden="1">{#N/A,#N/A,FALSE,"속도"}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목차." hidden="1">{#N/A,#N/A,FALSE,"표지목차"}</definedName>
    <definedName name="wrn.혼합골재." hidden="1">{#N/A,#N/A,FALSE,"혼합골재"}</definedName>
    <definedName name="WSO">#REF!</definedName>
    <definedName name="WTA">#REF!</definedName>
    <definedName name="WTB">#REF!</definedName>
    <definedName name="W단면2차모멘트">#REF!</definedName>
    <definedName name="W단면계수">#REF!</definedName>
    <definedName name="W단면적">#REF!</definedName>
    <definedName name="w모멘트">#REF!</definedName>
    <definedName name="w유효지간">#REF!</definedName>
    <definedName name="W전단면적">#REF!</definedName>
    <definedName name="W폭">#REF!</definedName>
    <definedName name="x">#REF!</definedName>
    <definedName name="XA">#REF!</definedName>
    <definedName name="ㄱㄱㄱ" localSheetId="1">BlankMacro1</definedName>
    <definedName name="ㄱㄱㄱ" localSheetId="0">BlankMacro1</definedName>
    <definedName name="ㄱㄱㄱ" localSheetId="2">BlankMacro1</definedName>
    <definedName name="ㄱㄱㄱ">BlankMacro1</definedName>
    <definedName name="가" localSheetId="1">BlankMacro1</definedName>
    <definedName name="가" localSheetId="0">BlankMacro1</definedName>
    <definedName name="가" localSheetId="2">BlankMacro1</definedName>
    <definedName name="가">BlankMacro1</definedName>
    <definedName name="가나다">#REF!</definedName>
    <definedName name="간" localSheetId="1">BlankMacro1</definedName>
    <definedName name="간" localSheetId="0">BlankMacro1</definedName>
    <definedName name="간" localSheetId="2">BlankMacro1</definedName>
    <definedName name="간">BlankMacro1</definedName>
    <definedName name="간지" localSheetId="1">BlankMacro1</definedName>
    <definedName name="간지" localSheetId="0">BlankMacro1</definedName>
    <definedName name="간지" localSheetId="2">BlankMacro1</definedName>
    <definedName name="간지">BlankMacro1</definedName>
    <definedName name="감속턱수량">#REF!</definedName>
    <definedName name="갑지">#REF!</definedName>
    <definedName name="갑지2" localSheetId="1">BlankMacro1</definedName>
    <definedName name="갑지2" localSheetId="0">BlankMacro1</definedName>
    <definedName name="갑지2" localSheetId="2">BlankMacro1</definedName>
    <definedName name="갑지2">BlankMacro1</definedName>
    <definedName name="경비선택" localSheetId="1">#REF!</definedName>
    <definedName name="경비선택" localSheetId="0">#REF!</definedName>
    <definedName name="경비선택" localSheetId="2">#REF!</definedName>
    <definedName name="경비선택">#REF!</definedName>
    <definedName name="계" localSheetId="1">#REF!</definedName>
    <definedName name="계" localSheetId="0">#REF!</definedName>
    <definedName name="계" localSheetId="2">#REF!</definedName>
    <definedName name="계">#REF!</definedName>
    <definedName name="고_압_호_스" localSheetId="1">[10]장비집계!#REF!</definedName>
    <definedName name="고_압_호_스" localSheetId="0">[10]장비집계!#REF!</definedName>
    <definedName name="고_압_호_스" localSheetId="2">[10]장비집계!#REF!</definedName>
    <definedName name="고_압_호_스">[10]장비집계!#REF!</definedName>
    <definedName name="고압블럭수량">#REF!</definedName>
    <definedName name="골재사용료" localSheetId="1">[18]총괄내역서!#REF!</definedName>
    <definedName name="골재사용료" localSheetId="0">[18]총괄내역서!#REF!</definedName>
    <definedName name="골재사용료" localSheetId="2">[18]총괄내역서!#REF!</definedName>
    <definedName name="골재사용료">[18]총괄내역서!#REF!</definedName>
    <definedName name="공_기_압_축_기" localSheetId="1">[10]장비집계!#REF!</definedName>
    <definedName name="공_기_압_축_기" localSheetId="0">[10]장비집계!#REF!</definedName>
    <definedName name="공_기_압_축_기" localSheetId="2">[10]장비집계!#REF!</definedName>
    <definedName name="공_기_압_축_기">[10]장비집계!#REF!</definedName>
    <definedName name="공1" localSheetId="1">#REF!</definedName>
    <definedName name="공1" localSheetId="0">#REF!</definedName>
    <definedName name="공1" localSheetId="2">#REF!</definedName>
    <definedName name="공1">#REF!</definedName>
    <definedName name="공10" localSheetId="1">#REF!</definedName>
    <definedName name="공10" localSheetId="0">#REF!</definedName>
    <definedName name="공10" localSheetId="2">#REF!</definedName>
    <definedName name="공10">#REF!</definedName>
    <definedName name="공11" localSheetId="1">#REF!</definedName>
    <definedName name="공11" localSheetId="0">#REF!</definedName>
    <definedName name="공11" localSheetId="2">#REF!</definedName>
    <definedName name="공11">#REF!</definedName>
    <definedName name="공12" localSheetId="1">#REF!</definedName>
    <definedName name="공12" localSheetId="0">#REF!</definedName>
    <definedName name="공12" localSheetId="2">#REF!</definedName>
    <definedName name="공12">#REF!</definedName>
    <definedName name="공13" localSheetId="1">#REF!</definedName>
    <definedName name="공13" localSheetId="0">#REF!</definedName>
    <definedName name="공13" localSheetId="2">#REF!</definedName>
    <definedName name="공13">#REF!</definedName>
    <definedName name="공14" localSheetId="1">#REF!</definedName>
    <definedName name="공14" localSheetId="0">#REF!</definedName>
    <definedName name="공14" localSheetId="2">#REF!</definedName>
    <definedName name="공14">#REF!</definedName>
    <definedName name="공15" localSheetId="1">#REF!</definedName>
    <definedName name="공15" localSheetId="0">#REF!</definedName>
    <definedName name="공15" localSheetId="2">#REF!</definedName>
    <definedName name="공15">#REF!</definedName>
    <definedName name="공16" localSheetId="1">#REF!</definedName>
    <definedName name="공16" localSheetId="0">#REF!</definedName>
    <definedName name="공16" localSheetId="2">#REF!</definedName>
    <definedName name="공16">#REF!</definedName>
    <definedName name="공17" localSheetId="1">#REF!</definedName>
    <definedName name="공17" localSheetId="0">#REF!</definedName>
    <definedName name="공17" localSheetId="2">#REF!</definedName>
    <definedName name="공17">#REF!</definedName>
    <definedName name="공2" localSheetId="1">#REF!</definedName>
    <definedName name="공2" localSheetId="0">#REF!</definedName>
    <definedName name="공2" localSheetId="2">#REF!</definedName>
    <definedName name="공2">#REF!</definedName>
    <definedName name="공3" localSheetId="1">#REF!</definedName>
    <definedName name="공3" localSheetId="0">#REF!</definedName>
    <definedName name="공3" localSheetId="2">#REF!</definedName>
    <definedName name="공3">#REF!</definedName>
    <definedName name="공4" localSheetId="1">#REF!</definedName>
    <definedName name="공4" localSheetId="0">#REF!</definedName>
    <definedName name="공4" localSheetId="2">#REF!</definedName>
    <definedName name="공4">#REF!</definedName>
    <definedName name="공5" localSheetId="1">#REF!</definedName>
    <definedName name="공5" localSheetId="0">#REF!</definedName>
    <definedName name="공5" localSheetId="2">#REF!</definedName>
    <definedName name="공5">#REF!</definedName>
    <definedName name="공6" localSheetId="1">#REF!</definedName>
    <definedName name="공6" localSheetId="0">#REF!</definedName>
    <definedName name="공6" localSheetId="2">#REF!</definedName>
    <definedName name="공6">#REF!</definedName>
    <definedName name="공7" localSheetId="1">#REF!</definedName>
    <definedName name="공7" localSheetId="0">#REF!</definedName>
    <definedName name="공7" localSheetId="2">#REF!</definedName>
    <definedName name="공7">#REF!</definedName>
    <definedName name="공8" localSheetId="1">#REF!</definedName>
    <definedName name="공8" localSheetId="0">#REF!</definedName>
    <definedName name="공8" localSheetId="2">#REF!</definedName>
    <definedName name="공8">#REF!</definedName>
    <definedName name="공9" localSheetId="1">#REF!</definedName>
    <definedName name="공9" localSheetId="0">#REF!</definedName>
    <definedName name="공9" localSheetId="2">#REF!</definedName>
    <definedName name="공9">#REF!</definedName>
    <definedName name="공A" localSheetId="1">#REF!</definedName>
    <definedName name="공A" localSheetId="0">#REF!</definedName>
    <definedName name="공A" localSheetId="2">#REF!</definedName>
    <definedName name="공A">#REF!</definedName>
    <definedName name="공B" localSheetId="1">#REF!</definedName>
    <definedName name="공B" localSheetId="0">#REF!</definedName>
    <definedName name="공B" localSheetId="2">#REF!</definedName>
    <definedName name="공B">#REF!</definedName>
    <definedName name="공C" localSheetId="1">#REF!</definedName>
    <definedName name="공C" localSheetId="0">#REF!</definedName>
    <definedName name="공C" localSheetId="2">#REF!</definedName>
    <definedName name="공C">#REF!</definedName>
    <definedName name="공D" localSheetId="1">#REF!</definedName>
    <definedName name="공D" localSheetId="0">#REF!</definedName>
    <definedName name="공D" localSheetId="2">#REF!</definedName>
    <definedName name="공D">#REF!</definedName>
    <definedName name="공E" localSheetId="1">#REF!</definedName>
    <definedName name="공E" localSheetId="0">#REF!</definedName>
    <definedName name="공E" localSheetId="2">#REF!</definedName>
    <definedName name="공E">#REF!</definedName>
    <definedName name="공F" localSheetId="1">#REF!</definedName>
    <definedName name="공F" localSheetId="0">#REF!</definedName>
    <definedName name="공F" localSheetId="2">#REF!</definedName>
    <definedName name="공F">#REF!</definedName>
    <definedName name="공G" localSheetId="1">#REF!</definedName>
    <definedName name="공G" localSheetId="0">#REF!</definedName>
    <definedName name="공G" localSheetId="2">#REF!</definedName>
    <definedName name="공G">#REF!</definedName>
    <definedName name="공H" localSheetId="1">#REF!</definedName>
    <definedName name="공H" localSheetId="0">#REF!</definedName>
    <definedName name="공H" localSheetId="2">#REF!</definedName>
    <definedName name="공H">#REF!</definedName>
    <definedName name="공I" localSheetId="1">#REF!</definedName>
    <definedName name="공I" localSheetId="0">#REF!</definedName>
    <definedName name="공I" localSheetId="2">#REF!</definedName>
    <definedName name="공I">#REF!</definedName>
    <definedName name="공J" localSheetId="1">#REF!</definedName>
    <definedName name="공J" localSheetId="0">#REF!</definedName>
    <definedName name="공J" localSheetId="2">#REF!</definedName>
    <definedName name="공J">#REF!</definedName>
    <definedName name="공K" localSheetId="1">#REF!</definedName>
    <definedName name="공K" localSheetId="0">#REF!</definedName>
    <definedName name="공K" localSheetId="2">#REF!</definedName>
    <definedName name="공K">#REF!</definedName>
    <definedName name="공L" localSheetId="1">#REF!</definedName>
    <definedName name="공L" localSheetId="0">#REF!</definedName>
    <definedName name="공L" localSheetId="2">#REF!</definedName>
    <definedName name="공L">#REF!</definedName>
    <definedName name="공M" localSheetId="1">#REF!</definedName>
    <definedName name="공M" localSheetId="0">#REF!</definedName>
    <definedName name="공M" localSheetId="2">#REF!</definedName>
    <definedName name="공M">#REF!</definedName>
    <definedName name="공N" localSheetId="1">#REF!</definedName>
    <definedName name="공N" localSheetId="0">#REF!</definedName>
    <definedName name="공N" localSheetId="2">#REF!</definedName>
    <definedName name="공N">#REF!</definedName>
    <definedName name="공O" localSheetId="1">#REF!</definedName>
    <definedName name="공O" localSheetId="0">#REF!</definedName>
    <definedName name="공O" localSheetId="2">#REF!</definedName>
    <definedName name="공O">#REF!</definedName>
    <definedName name="공P" localSheetId="1">#REF!</definedName>
    <definedName name="공P" localSheetId="0">#REF!</definedName>
    <definedName name="공P" localSheetId="2">#REF!</definedName>
    <definedName name="공P">#REF!</definedName>
    <definedName name="공Q" localSheetId="1">#REF!</definedName>
    <definedName name="공Q" localSheetId="0">#REF!</definedName>
    <definedName name="공Q" localSheetId="2">#REF!</definedName>
    <definedName name="공Q">#REF!</definedName>
    <definedName name="공기_압축기" localSheetId="1">[10]장비집계!#REF!</definedName>
    <definedName name="공기_압축기" localSheetId="0">[10]장비집계!#REF!</definedName>
    <definedName name="공기_압축기" localSheetId="2">[10]장비집계!#REF!</definedName>
    <definedName name="공기_압축기">[10]장비집계!#REF!</definedName>
    <definedName name="공기_압축기__주간" localSheetId="1">[10]장비집계!#REF!</definedName>
    <definedName name="공기_압축기__주간" localSheetId="0">[10]장비집계!#REF!</definedName>
    <definedName name="공기_압축기__주간" localSheetId="2">[10]장비집계!#REF!</definedName>
    <definedName name="공기_압축기__주간">[10]장비집계!#REF!</definedName>
    <definedName name="공동구공">#REF!</definedName>
    <definedName name="공동구공집계표">#REF!</definedName>
    <definedName name="공사1" localSheetId="1">#REF!</definedName>
    <definedName name="공사1" localSheetId="0">#REF!</definedName>
    <definedName name="공사1" localSheetId="2">#REF!</definedName>
    <definedName name="공사1">#REF!</definedName>
    <definedName name="공사10" localSheetId="1">#REF!</definedName>
    <definedName name="공사10" localSheetId="0">#REF!</definedName>
    <definedName name="공사10" localSheetId="2">#REF!</definedName>
    <definedName name="공사10">#REF!</definedName>
    <definedName name="공사11" localSheetId="1">#REF!</definedName>
    <definedName name="공사11" localSheetId="0">#REF!</definedName>
    <definedName name="공사11" localSheetId="2">#REF!</definedName>
    <definedName name="공사11">#REF!</definedName>
    <definedName name="공사12" localSheetId="1">#REF!</definedName>
    <definedName name="공사12" localSheetId="0">#REF!</definedName>
    <definedName name="공사12" localSheetId="2">#REF!</definedName>
    <definedName name="공사12">#REF!</definedName>
    <definedName name="공사13" localSheetId="1">#REF!</definedName>
    <definedName name="공사13" localSheetId="0">#REF!</definedName>
    <definedName name="공사13" localSheetId="2">#REF!</definedName>
    <definedName name="공사13">#REF!</definedName>
    <definedName name="공사14" localSheetId="1">#REF!</definedName>
    <definedName name="공사14" localSheetId="0">#REF!</definedName>
    <definedName name="공사14" localSheetId="2">#REF!</definedName>
    <definedName name="공사14">#REF!</definedName>
    <definedName name="공사15" localSheetId="1">#REF!</definedName>
    <definedName name="공사15" localSheetId="0">#REF!</definedName>
    <definedName name="공사15" localSheetId="2">#REF!</definedName>
    <definedName name="공사15">#REF!</definedName>
    <definedName name="공사16" localSheetId="1">#REF!</definedName>
    <definedName name="공사16" localSheetId="0">#REF!</definedName>
    <definedName name="공사16" localSheetId="2">#REF!</definedName>
    <definedName name="공사16">#REF!</definedName>
    <definedName name="공사17" localSheetId="1">#REF!</definedName>
    <definedName name="공사17" localSheetId="0">#REF!</definedName>
    <definedName name="공사17" localSheetId="2">#REF!</definedName>
    <definedName name="공사17">#REF!</definedName>
    <definedName name="공사2" localSheetId="1">#REF!</definedName>
    <definedName name="공사2" localSheetId="0">#REF!</definedName>
    <definedName name="공사2" localSheetId="2">#REF!</definedName>
    <definedName name="공사2">#REF!</definedName>
    <definedName name="공사3" localSheetId="1">#REF!</definedName>
    <definedName name="공사3" localSheetId="0">#REF!</definedName>
    <definedName name="공사3" localSheetId="2">#REF!</definedName>
    <definedName name="공사3">#REF!</definedName>
    <definedName name="공사4" localSheetId="1">#REF!</definedName>
    <definedName name="공사4" localSheetId="0">#REF!</definedName>
    <definedName name="공사4" localSheetId="2">#REF!</definedName>
    <definedName name="공사4">#REF!</definedName>
    <definedName name="공사5" localSheetId="1">#REF!</definedName>
    <definedName name="공사5" localSheetId="0">#REF!</definedName>
    <definedName name="공사5" localSheetId="2">#REF!</definedName>
    <definedName name="공사5">#REF!</definedName>
    <definedName name="공사6" localSheetId="1">#REF!</definedName>
    <definedName name="공사6" localSheetId="0">#REF!</definedName>
    <definedName name="공사6" localSheetId="2">#REF!</definedName>
    <definedName name="공사6">#REF!</definedName>
    <definedName name="공사7" localSheetId="1">#REF!</definedName>
    <definedName name="공사7" localSheetId="0">#REF!</definedName>
    <definedName name="공사7" localSheetId="2">#REF!</definedName>
    <definedName name="공사7">#REF!</definedName>
    <definedName name="공사8" localSheetId="1">#REF!</definedName>
    <definedName name="공사8" localSheetId="0">#REF!</definedName>
    <definedName name="공사8" localSheetId="2">#REF!</definedName>
    <definedName name="공사8">#REF!</definedName>
    <definedName name="공사9" localSheetId="1">#REF!</definedName>
    <definedName name="공사9" localSheetId="0">#REF!</definedName>
    <definedName name="공사9" localSheetId="2">#REF!</definedName>
    <definedName name="공사9">#REF!</definedName>
    <definedName name="공사개요">#REF!</definedName>
    <definedName name="공사기간">#REF!</definedName>
    <definedName name="공종" localSheetId="1">#REF!</definedName>
    <definedName name="공종" localSheetId="0">#REF!</definedName>
    <definedName name="공종" localSheetId="2">#REF!</definedName>
    <definedName name="공종">#REF!</definedName>
    <definedName name="교각자중" localSheetId="1">#REF!</definedName>
    <definedName name="교각자중" localSheetId="0">#REF!</definedName>
    <definedName name="교각자중" localSheetId="2">#REF!</definedName>
    <definedName name="교각자중">#REF!</definedName>
    <definedName name="구" localSheetId="1">#REF!</definedName>
    <definedName name="구" localSheetId="0">#REF!</definedName>
    <definedName name="구" localSheetId="2">#REF!</definedName>
    <definedName name="구">#REF!</definedName>
    <definedName name="구구" localSheetId="1">#REF!</definedName>
    <definedName name="구구" localSheetId="0">#REF!</definedName>
    <definedName name="구구" localSheetId="2">#REF!</definedName>
    <definedName name="구구">#REF!</definedName>
    <definedName name="구구구" localSheetId="1">#REF!</definedName>
    <definedName name="구구구" localSheetId="0">#REF!</definedName>
    <definedName name="구구구" localSheetId="2">#REF!</definedName>
    <definedName name="구구구">#REF!</definedName>
    <definedName name="구구구구" localSheetId="1">#REF!</definedName>
    <definedName name="구구구구" localSheetId="0">#REF!</definedName>
    <definedName name="구구구구" localSheetId="2">#REF!</definedName>
    <definedName name="구구구구">#REF!</definedName>
    <definedName name="구체거푸집">[12]옹벽기초자료!$D$8</definedName>
    <definedName name="구체콘크리트">[12]옹벽기초자료!$D$5</definedName>
    <definedName name="그라우팅_펌프" localSheetId="1">[10]장비집계!#REF!</definedName>
    <definedName name="그라우팅_펌프" localSheetId="0">[10]장비집계!#REF!</definedName>
    <definedName name="그라우팅_펌프" localSheetId="2">[10]장비집계!#REF!</definedName>
    <definedName name="그라우팅_펌프">[10]장비집계!#REF!</definedName>
    <definedName name="기Q">"기성세부내역서!$B$89"</definedName>
    <definedName name="기초거푸집">[12]옹벽기초자료!$D$9</definedName>
    <definedName name="기초잡석">[12]옹벽기초자료!$D$12</definedName>
    <definedName name="기초콘크리트">[12]옹벽기초자료!$D$6</definedName>
    <definedName name="기타비용1" localSheetId="1">[18]총괄내역서!#REF!</definedName>
    <definedName name="기타비용1" localSheetId="0">[18]총괄내역서!#REF!</definedName>
    <definedName name="기타비용1" localSheetId="2">[18]총괄내역서!#REF!</definedName>
    <definedName name="기타비용1">[18]총괄내역서!#REF!</definedName>
    <definedName name="기타비용1_명칭" localSheetId="1">[18]총괄내역서!#REF!</definedName>
    <definedName name="기타비용1_명칭" localSheetId="0">[18]총괄내역서!#REF!</definedName>
    <definedName name="기타비용1_명칭" localSheetId="2">[18]총괄내역서!#REF!</definedName>
    <definedName name="기타비용1_명칭">[18]총괄내역서!#REF!</definedName>
    <definedName name="기타비용2" localSheetId="1">[18]총괄내역서!#REF!</definedName>
    <definedName name="기타비용2" localSheetId="0">[18]총괄내역서!#REF!</definedName>
    <definedName name="기타비용2" localSheetId="2">[18]총괄내역서!#REF!</definedName>
    <definedName name="기타비용2">[18]총괄내역서!#REF!</definedName>
    <definedName name="기타비용2_명칭" localSheetId="1">[18]총괄내역서!#REF!</definedName>
    <definedName name="기타비용2_명칭" localSheetId="0">[18]총괄내역서!#REF!</definedName>
    <definedName name="기타비용2_명칭" localSheetId="2">[18]총괄내역서!#REF!</definedName>
    <definedName name="기타비용2_명칭">[18]총괄내역서!#REF!</definedName>
    <definedName name="ㄴㄴㄴ" localSheetId="1">BlankMacro1</definedName>
    <definedName name="ㄴㄴㄴ" localSheetId="0">BlankMacro1</definedName>
    <definedName name="ㄴㄴㄴ" localSheetId="2">BlankMacro1</definedName>
    <definedName name="ㄴㄴㄴ">BlankMacro1</definedName>
    <definedName name="내역" hidden="1">{#N/A,#N/A,FALSE,"부대1"}</definedName>
    <definedName name="노무비선택" localSheetId="1">#REF!</definedName>
    <definedName name="노무비선택" localSheetId="0">#REF!</definedName>
    <definedName name="노무비선택" localSheetId="2">#REF!</definedName>
    <definedName name="노무비선택">#REF!</definedName>
    <definedName name="논산" hidden="1">{#N/A,#N/A,FALSE,"2~8번"}</definedName>
    <definedName name="다." localSheetId="1">[18]총괄내역서!#REF!</definedName>
    <definedName name="다." localSheetId="0">[18]총괄내역서!#REF!</definedName>
    <definedName name="다." localSheetId="2">[18]총괄내역서!#REF!</definedName>
    <definedName name="다.">[18]총괄내역서!#REF!</definedName>
    <definedName name="대개소">#REF!</definedName>
    <definedName name="대관경">#REF!</definedName>
    <definedName name="데이타">#REF!</definedName>
    <definedName name="도급공사비" localSheetId="1">[18]총괄내역서!#REF!</definedName>
    <definedName name="도급공사비" localSheetId="0">[18]총괄내역서!#REF!</definedName>
    <definedName name="도급공사비" localSheetId="2">[18]총괄내역서!#REF!</definedName>
    <definedName name="도급공사비">[18]총괄내역서!#REF!</definedName>
    <definedName name="뒷채움">[12]옹벽기초자료!$D$11</definedName>
    <definedName name="ㄹㄹ" localSheetId="1" hidden="1">#REF!</definedName>
    <definedName name="ㄹㄹ" localSheetId="0" hidden="1">#REF!</definedName>
    <definedName name="ㄹㄹ" localSheetId="2" hidden="1">#REF!</definedName>
    <definedName name="ㄹㄹ" hidden="1">#REF!</definedName>
    <definedName name="라__인__마__카" localSheetId="1">[10]장비집계!#REF!</definedName>
    <definedName name="라__인__마__카" localSheetId="0">[10]장비집계!#REF!</definedName>
    <definedName name="라__인__마__카" localSheetId="2">[10]장비집계!#REF!</definedName>
    <definedName name="라__인__마__카">[10]장비집계!#REF!</definedName>
    <definedName name="램__________머" localSheetId="1">[10]장비집계!#REF!</definedName>
    <definedName name="램__________머" localSheetId="0">[10]장비집계!#REF!</definedName>
    <definedName name="램__________머" localSheetId="2">[10]장비집계!#REF!</definedName>
    <definedName name="램__________머">[10]장비집계!#REF!</definedName>
    <definedName name="ㅁ" localSheetId="1">BlankMacro1</definedName>
    <definedName name="ㅁ" localSheetId="0">BlankMacro1</definedName>
    <definedName name="ㅁ" localSheetId="2">BlankMacro1</definedName>
    <definedName name="ㅁ">BlankMacro1</definedName>
    <definedName name="ㅁ2">#REF!</definedName>
    <definedName name="ㅁㄴㅇ" hidden="1">{#N/A,#N/A,FALSE,"배수1"}</definedName>
    <definedName name="ㅁㅁㅁ" localSheetId="1">BlankMacro1</definedName>
    <definedName name="ㅁㅁㅁ" localSheetId="0">BlankMacro1</definedName>
    <definedName name="ㅁㅁㅁ" localSheetId="2">BlankMacro1</definedName>
    <definedName name="ㅁㅁㅁ">BlankMacro1</definedName>
    <definedName name="마스콘수량">#REF!</definedName>
    <definedName name="마원1교" localSheetId="1">#REF!</definedName>
    <definedName name="마원1교" localSheetId="0">#REF!</definedName>
    <definedName name="마원1교" localSheetId="2">#REF!</definedName>
    <definedName name="마원1교">#REF!</definedName>
    <definedName name="마원1상" localSheetId="1">#REF!</definedName>
    <definedName name="마원1상" localSheetId="0">#REF!</definedName>
    <definedName name="마원1상" localSheetId="2">#REF!</definedName>
    <definedName name="마원1상">#REF!</definedName>
    <definedName name="마원1수" localSheetId="1">#REF!</definedName>
    <definedName name="마원1수" localSheetId="0">#REF!</definedName>
    <definedName name="마원1수" localSheetId="2">#REF!</definedName>
    <definedName name="마원1수">#REF!</definedName>
    <definedName name="마찰계수" localSheetId="1">#REF!</definedName>
    <definedName name="마찰계수" localSheetId="0">#REF!</definedName>
    <definedName name="마찰계수" localSheetId="2">#REF!</definedName>
    <definedName name="마찰계수">#REF!</definedName>
    <definedName name="머캐덤_로울러" localSheetId="1">[10]장비집계!#REF!</definedName>
    <definedName name="머캐덤_로울러" localSheetId="0">[10]장비집계!#REF!</definedName>
    <definedName name="머캐덤_로울러" localSheetId="2">[10]장비집계!#REF!</definedName>
    <definedName name="머캐덤_로울러">[10]장비집계!#REF!</definedName>
    <definedName name="메1" localSheetId="1">'[19]교대(A1)'!#REF!</definedName>
    <definedName name="메1" localSheetId="0">'[19]교대(A1)'!#REF!</definedName>
    <definedName name="메1" localSheetId="2">'[19]교대(A1)'!#REF!</definedName>
    <definedName name="메1">'[19]교대(A1)'!#REF!</definedName>
    <definedName name="모________터" localSheetId="1">[10]장비집계!#REF!</definedName>
    <definedName name="모________터" localSheetId="0">[10]장비집계!#REF!</definedName>
    <definedName name="모________터" localSheetId="2">[10]장비집계!#REF!</definedName>
    <definedName name="모________터">[10]장비집계!#REF!</definedName>
    <definedName name="몰1" localSheetId="1">BlankMacro1</definedName>
    <definedName name="몰1" localSheetId="0">BlankMacro1</definedName>
    <definedName name="몰1" localSheetId="2">BlankMacro1</definedName>
    <definedName name="몰1">BlankMacro1</definedName>
    <definedName name="몰2" localSheetId="1">BlankMacro1</definedName>
    <definedName name="몰2" localSheetId="0">BlankMacro1</definedName>
    <definedName name="몰2" localSheetId="2">BlankMacro1</definedName>
    <definedName name="몰2">BlankMacro1</definedName>
    <definedName name="몰3" localSheetId="1">BlankMacro1</definedName>
    <definedName name="몰3" localSheetId="0">BlankMacro1</definedName>
    <definedName name="몰3" localSheetId="2">BlankMacro1</definedName>
    <definedName name="몰3">BlankMacro1</definedName>
    <definedName name="몰4" localSheetId="1">BlankMacro1</definedName>
    <definedName name="몰4" localSheetId="0">BlankMacro1</definedName>
    <definedName name="몰4" localSheetId="2">BlankMacro1</definedName>
    <definedName name="몰4">BlankMacro1</definedName>
    <definedName name="몰5" localSheetId="1">BlankMacro1</definedName>
    <definedName name="몰5" localSheetId="0">BlankMacro1</definedName>
    <definedName name="몰5" localSheetId="2">BlankMacro1</definedName>
    <definedName name="몰5">BlankMacro1</definedName>
    <definedName name="몰6" localSheetId="1">BlankMacro1</definedName>
    <definedName name="몰6" localSheetId="0">BlankMacro1</definedName>
    <definedName name="몰6" localSheetId="2">BlankMacro1</definedName>
    <definedName name="몰6">BlankMacro1</definedName>
    <definedName name="무양거푸집">[12]옹벽기초자료!$D$7</definedName>
    <definedName name="무학고가수축줄눈" localSheetId="1">#REF!</definedName>
    <definedName name="무학고가수축줄눈" localSheetId="0">#REF!</definedName>
    <definedName name="무학고가수축줄눈" localSheetId="2">#REF!</definedName>
    <definedName name="무학고가수축줄눈">#REF!</definedName>
    <definedName name="무학고가스치로폴" localSheetId="1">#REF!</definedName>
    <definedName name="무학고가스치로폴" localSheetId="0">#REF!</definedName>
    <definedName name="무학고가스치로폴" localSheetId="2">#REF!</definedName>
    <definedName name="무학고가스치로폴">#REF!</definedName>
    <definedName name="무학고가실링재" localSheetId="1">#REF!</definedName>
    <definedName name="무학고가실링재" localSheetId="0">#REF!</definedName>
    <definedName name="무학고가실링재" localSheetId="2">#REF!</definedName>
    <definedName name="무학고가실링재">#REF!</definedName>
    <definedName name="물____탱____크" localSheetId="1">[10]장비집계!#REF!</definedName>
    <definedName name="물____탱____크" localSheetId="0">[10]장비집계!#REF!</definedName>
    <definedName name="물____탱____크" localSheetId="2">[10]장비집계!#REF!</definedName>
    <definedName name="물____탱____크">[10]장비집계!#REF!</definedName>
    <definedName name="바이_브레이트" localSheetId="1">[10]장비집계!#REF!</definedName>
    <definedName name="바이_브레이트" localSheetId="0">[10]장비집계!#REF!</definedName>
    <definedName name="바이_브레이트" localSheetId="2">[10]장비집계!#REF!</definedName>
    <definedName name="바이_브레이트">[10]장비집계!#REF!</definedName>
    <definedName name="발____전____기" localSheetId="1">[10]장비집계!#REF!</definedName>
    <definedName name="발____전____기" localSheetId="0">[10]장비집계!#REF!</definedName>
    <definedName name="발____전____기" localSheetId="2">[10]장비집계!#REF!</definedName>
    <definedName name="발____전____기">[10]장비집계!#REF!</definedName>
    <definedName name="방음벽" hidden="1">{#N/A,#N/A,FALSE,"배수2"}</definedName>
    <definedName name="배수PIPE">[12]옹벽기초자료!$D$14</definedName>
    <definedName name="번호" localSheetId="1">#REF!</definedName>
    <definedName name="번호" localSheetId="0">#REF!</definedName>
    <definedName name="번호" localSheetId="2">#REF!</definedName>
    <definedName name="번호">#REF!</definedName>
    <definedName name="보도경계블럭수량">#REF!</definedName>
    <definedName name="보오링_기계_JSP용" localSheetId="1">[10]장비집계!#REF!</definedName>
    <definedName name="보오링_기계_JSP용" localSheetId="0">[10]장비집계!#REF!</definedName>
    <definedName name="보오링_기계_JSP용" localSheetId="2">[10]장비집계!#REF!</definedName>
    <definedName name="보오링_기계_JSP용">[10]장비집계!#REF!</definedName>
    <definedName name="보차도경계블럭수량">#REF!</definedName>
    <definedName name="부가가치세" localSheetId="1">[18]총괄내역서!#REF!</definedName>
    <definedName name="부가가치세" localSheetId="0">[18]총괄내역서!#REF!</definedName>
    <definedName name="부가가치세" localSheetId="2">[18]총괄내역서!#REF!</definedName>
    <definedName name="부가가치세">[18]총괄내역서!#REF!</definedName>
    <definedName name="부가가치세_산식" localSheetId="1">[18]총괄내역서!#REF!</definedName>
    <definedName name="부가가치세_산식" localSheetId="0">[18]총괄내역서!#REF!</definedName>
    <definedName name="부가가치세_산식" localSheetId="2">[18]총괄내역서!#REF!</definedName>
    <definedName name="부가가치세_산식">[18]총괄내역서!#REF!</definedName>
    <definedName name="부직포">[12]옹벽기초자료!$D$13</definedName>
    <definedName name="분리">'[20]빗물받이(910-510-410)'!$P$4</definedName>
    <definedName name="불도우저" localSheetId="1">[10]장비집계!#REF!</definedName>
    <definedName name="불도우저" localSheetId="0">[10]장비집계!#REF!</definedName>
    <definedName name="불도우저" localSheetId="2">[10]장비집계!#REF!</definedName>
    <definedName name="불도우저">[10]장비집계!#REF!</definedName>
    <definedName name="비게">[12]옹벽기초자료!$D$10</definedName>
    <definedName name="비목1">#REF!</definedName>
    <definedName name="비목2">#REF!</definedName>
    <definedName name="비목3">#REF!</definedName>
    <definedName name="비목4">#REF!</definedName>
    <definedName name="빗물받이1">#REF!</definedName>
    <definedName name="빗물받이2">#REF!</definedName>
    <definedName name="사" localSheetId="1">#REF!</definedName>
    <definedName name="사" localSheetId="0">#REF!</definedName>
    <definedName name="사" localSheetId="2">#REF!</definedName>
    <definedName name="사">#REF!</definedName>
    <definedName name="사사" localSheetId="1">#REF!</definedName>
    <definedName name="사사" localSheetId="0">#REF!</definedName>
    <definedName name="사사" localSheetId="2">#REF!</definedName>
    <definedName name="사사">#REF!</definedName>
    <definedName name="사사사" localSheetId="1">#REF!</definedName>
    <definedName name="사사사" localSheetId="0">#REF!</definedName>
    <definedName name="사사사" localSheetId="2">#REF!</definedName>
    <definedName name="사사사">#REF!</definedName>
    <definedName name="사사사사" localSheetId="1">#REF!</definedName>
    <definedName name="사사사사" localSheetId="0">#REF!</definedName>
    <definedName name="사사사사" localSheetId="2">#REF!</definedName>
    <definedName name="사사사사">#REF!</definedName>
    <definedName name="삼" localSheetId="1">#REF!</definedName>
    <definedName name="삼" localSheetId="0">#REF!</definedName>
    <definedName name="삼" localSheetId="2">#REF!</definedName>
    <definedName name="삼">#REF!</definedName>
    <definedName name="삼삼" localSheetId="1">#REF!</definedName>
    <definedName name="삼삼" localSheetId="0">#REF!</definedName>
    <definedName name="삼삼" localSheetId="2">#REF!</definedName>
    <definedName name="삼삼">#REF!</definedName>
    <definedName name="삼삼삼" localSheetId="1">#REF!</definedName>
    <definedName name="삼삼삼" localSheetId="0">#REF!</definedName>
    <definedName name="삼삼삼" localSheetId="2">#REF!</definedName>
    <definedName name="삼삼삼">#REF!</definedName>
    <definedName name="삼삼삼삼" localSheetId="1">#REF!</definedName>
    <definedName name="삼삼삼삼" localSheetId="0">#REF!</definedName>
    <definedName name="삼삼삼삼" localSheetId="2">#REF!</definedName>
    <definedName name="삼삼삼삼">#REF!</definedName>
    <definedName name="삼차선슈활하중" localSheetId="1">#REF!</definedName>
    <definedName name="삼차선슈활하중" localSheetId="0">#REF!</definedName>
    <definedName name="삼차선슈활하중" localSheetId="2">#REF!</definedName>
    <definedName name="삼차선슈활하중">#REF!</definedName>
    <definedName name="상수도공">#REF!</definedName>
    <definedName name="상수도공집계표">#REF!</definedName>
    <definedName name="석남교_주요자재_집계표__2">#REF!</definedName>
    <definedName name="성산교" localSheetId="1">#REF!</definedName>
    <definedName name="성산교" localSheetId="0">#REF!</definedName>
    <definedName name="성산교" localSheetId="2">#REF!</definedName>
    <definedName name="성산교">#REF!</definedName>
    <definedName name="소개소">#REF!</definedName>
    <definedName name="소관경">#REF!</definedName>
    <definedName name="수________조" localSheetId="1">[10]장비집계!#REF!</definedName>
    <definedName name="수________조" localSheetId="0">[10]장비집계!#REF!</definedName>
    <definedName name="수________조" localSheetId="2">[10]장비집계!#REF!</definedName>
    <definedName name="수________조">[10]장비집계!#REF!</definedName>
    <definedName name="수량">#REF!</definedName>
    <definedName name="수식" localSheetId="1">BlankMacro1</definedName>
    <definedName name="수식" localSheetId="0">BlankMacro1</definedName>
    <definedName name="수식" localSheetId="2">BlankMacro1</definedName>
    <definedName name="수식">BlankMacro1</definedName>
    <definedName name="시10" localSheetId="1">[1]현황산출서!#REF!</definedName>
    <definedName name="시10" localSheetId="0">[1]현황산출서!#REF!</definedName>
    <definedName name="시10" localSheetId="2">[1]현황산출서!#REF!</definedName>
    <definedName name="시10">[1]현황산출서!#REF!</definedName>
    <definedName name="시11" localSheetId="1">[1]현황산출서!#REF!</definedName>
    <definedName name="시11" localSheetId="0">[1]현황산출서!#REF!</definedName>
    <definedName name="시11" localSheetId="2">[1]현황산출서!#REF!</definedName>
    <definedName name="시11">[1]현황산출서!#REF!</definedName>
    <definedName name="시12" localSheetId="1">[1]현황산출서!#REF!</definedName>
    <definedName name="시12" localSheetId="0">[1]현황산출서!#REF!</definedName>
    <definedName name="시12" localSheetId="2">[1]현황산출서!#REF!</definedName>
    <definedName name="시12">[1]현황산출서!#REF!</definedName>
    <definedName name="시13" localSheetId="1">[1]현황산출서!#REF!</definedName>
    <definedName name="시13" localSheetId="0">[1]현황산출서!#REF!</definedName>
    <definedName name="시13" localSheetId="2">[1]현황산출서!#REF!</definedName>
    <definedName name="시13">[1]현황산출서!#REF!</definedName>
    <definedName name="시14" localSheetId="1">[1]현황산출서!#REF!</definedName>
    <definedName name="시14" localSheetId="0">[1]현황산출서!#REF!</definedName>
    <definedName name="시14" localSheetId="2">[1]현황산출서!#REF!</definedName>
    <definedName name="시14">[1]현황산출서!#REF!</definedName>
    <definedName name="시15" localSheetId="1">[1]현황산출서!#REF!</definedName>
    <definedName name="시15" localSheetId="0">[1]현황산출서!#REF!</definedName>
    <definedName name="시15" localSheetId="2">[1]현황산출서!#REF!</definedName>
    <definedName name="시15">[1]현황산출서!#REF!</definedName>
    <definedName name="시16" localSheetId="1">[1]현황산출서!#REF!</definedName>
    <definedName name="시16" localSheetId="0">[1]현황산출서!#REF!</definedName>
    <definedName name="시16" localSheetId="2">[1]현황산출서!#REF!</definedName>
    <definedName name="시16">[1]현황산출서!#REF!</definedName>
    <definedName name="시17" localSheetId="1">[1]현황산출서!#REF!</definedName>
    <definedName name="시17" localSheetId="0">[1]현황산출서!#REF!</definedName>
    <definedName name="시17" localSheetId="2">[1]현황산출서!#REF!</definedName>
    <definedName name="시17">[1]현황산출서!#REF!</definedName>
    <definedName name="시18" localSheetId="1">[1]현황산출서!#REF!</definedName>
    <definedName name="시18" localSheetId="0">[1]현황산출서!#REF!</definedName>
    <definedName name="시18" localSheetId="2">[1]현황산출서!#REF!</definedName>
    <definedName name="시18">[1]현황산출서!#REF!</definedName>
    <definedName name="시19" localSheetId="1">[1]현황산출서!#REF!</definedName>
    <definedName name="시19" localSheetId="0">[1]현황산출서!#REF!</definedName>
    <definedName name="시19" localSheetId="2">[1]현황산출서!#REF!</definedName>
    <definedName name="시19">[1]현황산출서!#REF!</definedName>
    <definedName name="시20" localSheetId="1">[1]현황산출서!#REF!</definedName>
    <definedName name="시20" localSheetId="0">[1]현황산출서!#REF!</definedName>
    <definedName name="시20" localSheetId="2">[1]현황산출서!#REF!</definedName>
    <definedName name="시20">[1]현황산출서!#REF!</definedName>
    <definedName name="시8" localSheetId="1">[1]현황산출서!#REF!</definedName>
    <definedName name="시8" localSheetId="0">[1]현황산출서!#REF!</definedName>
    <definedName name="시8" localSheetId="2">[1]현황산출서!#REF!</definedName>
    <definedName name="시8">[1]현황산출서!#REF!</definedName>
    <definedName name="시9" localSheetId="1">[1]현황산출서!#REF!</definedName>
    <definedName name="시9" localSheetId="0">[1]현황산출서!#REF!</definedName>
    <definedName name="시9" localSheetId="2">[1]현황산출서!#REF!</definedName>
    <definedName name="시9">[1]현황산출서!#REF!</definedName>
    <definedName name="신축이음">[12]옹벽기초자료!$D$16</definedName>
    <definedName name="십" localSheetId="1">#REF!</definedName>
    <definedName name="십" localSheetId="0">#REF!</definedName>
    <definedName name="십" localSheetId="2">#REF!</definedName>
    <definedName name="십">#REF!</definedName>
    <definedName name="십사" localSheetId="1">#REF!</definedName>
    <definedName name="십사" localSheetId="0">#REF!</definedName>
    <definedName name="십사" localSheetId="2">#REF!</definedName>
    <definedName name="십사">#REF!</definedName>
    <definedName name="십사십사" localSheetId="1">#REF!</definedName>
    <definedName name="십사십사" localSheetId="0">#REF!</definedName>
    <definedName name="십사십사" localSheetId="2">#REF!</definedName>
    <definedName name="십사십사">#REF!</definedName>
    <definedName name="십사십사십사" localSheetId="1">#REF!</definedName>
    <definedName name="십사십사십사" localSheetId="0">#REF!</definedName>
    <definedName name="십사십사십사" localSheetId="2">#REF!</definedName>
    <definedName name="십사십사십사">#REF!</definedName>
    <definedName name="십사십사십사십사" localSheetId="1">#REF!</definedName>
    <definedName name="십사십사십사십사" localSheetId="0">#REF!</definedName>
    <definedName name="십사십사십사십사" localSheetId="2">#REF!</definedName>
    <definedName name="십사십사십사십사">#REF!</definedName>
    <definedName name="십삼" localSheetId="1">#REF!</definedName>
    <definedName name="십삼" localSheetId="0">#REF!</definedName>
    <definedName name="십삼" localSheetId="2">#REF!</definedName>
    <definedName name="십삼">#REF!</definedName>
    <definedName name="십삼십삼" localSheetId="1">#REF!</definedName>
    <definedName name="십삼십삼" localSheetId="0">#REF!</definedName>
    <definedName name="십삼십삼" localSheetId="2">#REF!</definedName>
    <definedName name="십삼십삼">#REF!</definedName>
    <definedName name="십삼십삼십삼" localSheetId="1">#REF!</definedName>
    <definedName name="십삼십삼십삼" localSheetId="0">#REF!</definedName>
    <definedName name="십삼십삼십삼" localSheetId="2">#REF!</definedName>
    <definedName name="십삼십삼십삼">#REF!</definedName>
    <definedName name="십삼십삼십삼십삼" localSheetId="1">#REF!</definedName>
    <definedName name="십삼십삼십삼십삼" localSheetId="0">#REF!</definedName>
    <definedName name="십삼십삼십삼십삼" localSheetId="2">#REF!</definedName>
    <definedName name="십삼십삼십삼십삼">#REF!</definedName>
    <definedName name="십십" localSheetId="1">#REF!</definedName>
    <definedName name="십십" localSheetId="0">#REF!</definedName>
    <definedName name="십십" localSheetId="2">#REF!</definedName>
    <definedName name="십십">#REF!</definedName>
    <definedName name="십십십" localSheetId="1">#REF!</definedName>
    <definedName name="십십십" localSheetId="0">#REF!</definedName>
    <definedName name="십십십" localSheetId="2">#REF!</definedName>
    <definedName name="십십십">#REF!</definedName>
    <definedName name="십십십십" localSheetId="1">#REF!</definedName>
    <definedName name="십십십십" localSheetId="0">#REF!</definedName>
    <definedName name="십십십십" localSheetId="2">#REF!</definedName>
    <definedName name="십십십십">#REF!</definedName>
    <definedName name="십오" localSheetId="1">#REF!</definedName>
    <definedName name="십오" localSheetId="0">#REF!</definedName>
    <definedName name="십오" localSheetId="2">#REF!</definedName>
    <definedName name="십오">#REF!</definedName>
    <definedName name="십오십오" localSheetId="1">#REF!</definedName>
    <definedName name="십오십오" localSheetId="0">#REF!</definedName>
    <definedName name="십오십오" localSheetId="2">#REF!</definedName>
    <definedName name="십오십오">#REF!</definedName>
    <definedName name="십오십오십오" localSheetId="1">#REF!</definedName>
    <definedName name="십오십오십오" localSheetId="0">#REF!</definedName>
    <definedName name="십오십오십오" localSheetId="2">#REF!</definedName>
    <definedName name="십오십오십오">#REF!</definedName>
    <definedName name="십오십오십오십오" localSheetId="1">#REF!</definedName>
    <definedName name="십오십오십오십오" localSheetId="0">#REF!</definedName>
    <definedName name="십오십오십오십오" localSheetId="2">#REF!</definedName>
    <definedName name="십오십오십오십오">#REF!</definedName>
    <definedName name="십육" localSheetId="1">#REF!</definedName>
    <definedName name="십육" localSheetId="0">#REF!</definedName>
    <definedName name="십육" localSheetId="2">#REF!</definedName>
    <definedName name="십육">#REF!</definedName>
    <definedName name="십육십육" localSheetId="1">#REF!</definedName>
    <definedName name="십육십육" localSheetId="0">#REF!</definedName>
    <definedName name="십육십육" localSheetId="2">#REF!</definedName>
    <definedName name="십육십육">#REF!</definedName>
    <definedName name="십육십육십육" localSheetId="1">#REF!</definedName>
    <definedName name="십육십육십육" localSheetId="0">#REF!</definedName>
    <definedName name="십육십육십육" localSheetId="2">#REF!</definedName>
    <definedName name="십육십육십육">#REF!</definedName>
    <definedName name="십육십육십육십육" localSheetId="1">#REF!</definedName>
    <definedName name="십육십육십육십육" localSheetId="0">#REF!</definedName>
    <definedName name="십육십육십육십육" localSheetId="2">#REF!</definedName>
    <definedName name="십육십육십육십육">#REF!</definedName>
    <definedName name="십이" localSheetId="1">#REF!</definedName>
    <definedName name="십이" localSheetId="0">#REF!</definedName>
    <definedName name="십이" localSheetId="2">#REF!</definedName>
    <definedName name="십이">#REF!</definedName>
    <definedName name="십이십이" localSheetId="1">#REF!</definedName>
    <definedName name="십이십이" localSheetId="0">#REF!</definedName>
    <definedName name="십이십이" localSheetId="2">#REF!</definedName>
    <definedName name="십이십이">#REF!</definedName>
    <definedName name="십이십이십이" localSheetId="1">#REF!</definedName>
    <definedName name="십이십이십이" localSheetId="0">#REF!</definedName>
    <definedName name="십이십이십이" localSheetId="2">#REF!</definedName>
    <definedName name="십이십이십이">#REF!</definedName>
    <definedName name="십이십이십이십이" localSheetId="1">#REF!</definedName>
    <definedName name="십이십이십이십이" localSheetId="0">#REF!</definedName>
    <definedName name="십이십이십이십이" localSheetId="2">#REF!</definedName>
    <definedName name="십이십이십이십이">#REF!</definedName>
    <definedName name="십일" localSheetId="1">#REF!</definedName>
    <definedName name="십일" localSheetId="0">#REF!</definedName>
    <definedName name="십일" localSheetId="2">#REF!</definedName>
    <definedName name="십일">#REF!</definedName>
    <definedName name="십일십일" localSheetId="1">#REF!</definedName>
    <definedName name="십일십일" localSheetId="0">#REF!</definedName>
    <definedName name="십일십일" localSheetId="2">#REF!</definedName>
    <definedName name="십일십일">#REF!</definedName>
    <definedName name="십일십일십일" localSheetId="1">#REF!</definedName>
    <definedName name="십일십일십일" localSheetId="0">#REF!</definedName>
    <definedName name="십일십일십일" localSheetId="2">#REF!</definedName>
    <definedName name="십일십일십일">#REF!</definedName>
    <definedName name="십일십일십일십일" localSheetId="1">#REF!</definedName>
    <definedName name="십일십일십일십일" localSheetId="0">#REF!</definedName>
    <definedName name="십일십일십일십일" localSheetId="2">#REF!</definedName>
    <definedName name="십일십일십일십일">#REF!</definedName>
    <definedName name="십칠" localSheetId="1">#REF!</definedName>
    <definedName name="십칠" localSheetId="0">#REF!</definedName>
    <definedName name="십칠" localSheetId="2">#REF!</definedName>
    <definedName name="십칠">#REF!</definedName>
    <definedName name="십칠십칠" localSheetId="1">#REF!</definedName>
    <definedName name="십칠십칠" localSheetId="0">#REF!</definedName>
    <definedName name="십칠십칠" localSheetId="2">#REF!</definedName>
    <definedName name="십칠십칠">#REF!</definedName>
    <definedName name="십칠십칠십칠" localSheetId="1">#REF!</definedName>
    <definedName name="십칠십칠십칠" localSheetId="0">#REF!</definedName>
    <definedName name="십칠십칠십칠" localSheetId="2">#REF!</definedName>
    <definedName name="십칠십칠십칠">#REF!</definedName>
    <definedName name="십칠십칠십칠십칠" localSheetId="1">#REF!</definedName>
    <definedName name="십칠십칠십칠십칠" localSheetId="0">#REF!</definedName>
    <definedName name="십칠십칠십칠십칠" localSheetId="2">#REF!</definedName>
    <definedName name="십칠십칠십칠십칠">#REF!</definedName>
    <definedName name="ㅇㅇ" localSheetId="1" hidden="1">#REF!</definedName>
    <definedName name="ㅇㅇ" localSheetId="0" hidden="1">#REF!</definedName>
    <definedName name="ㅇㅇ" localSheetId="2" hidden="1">#REF!</definedName>
    <definedName name="ㅇㅇ" hidden="1">#REF!</definedName>
    <definedName name="아스콘수량">#REF!</definedName>
    <definedName name="아스팔트_페이버" localSheetId="1">[10]장비집계!#REF!</definedName>
    <definedName name="아스팔트_페이버" localSheetId="0">[10]장비집계!#REF!</definedName>
    <definedName name="아스팔트_페이버" localSheetId="2">[10]장비집계!#REF!</definedName>
    <definedName name="아스팔트_페이버">[10]장비집계!#REF!</definedName>
    <definedName name="아스팔트디스트리뷰터" localSheetId="1">[10]장비집계!#REF!</definedName>
    <definedName name="아스팔트디스트리뷰터" localSheetId="0">[10]장비집계!#REF!</definedName>
    <definedName name="아스팔트디스트리뷰터" localSheetId="2">[10]장비집계!#REF!</definedName>
    <definedName name="아스팔트디스트리뷰터">[10]장비집계!#REF!</definedName>
    <definedName name="앵커간격">#REF!</definedName>
    <definedName name="앵커경사">#REF!</definedName>
    <definedName name="앵커반력">#REF!</definedName>
    <definedName name="앵커수평반력">#REF!</definedName>
    <definedName name="앵커안전율">#REF!</definedName>
    <definedName name="앵커체직경">#REF!</definedName>
    <definedName name="양수기_건설용펌프" localSheetId="1">[10]장비집계!#REF!</definedName>
    <definedName name="양수기_건설용펌프" localSheetId="0">[10]장비집계!#REF!</definedName>
    <definedName name="양수기_건설용펌프" localSheetId="2">[10]장비집계!#REF!</definedName>
    <definedName name="양수기_건설용펌프">[10]장비집계!#REF!</definedName>
    <definedName name="에_어_호_스" localSheetId="1">[10]장비집계!#REF!</definedName>
    <definedName name="에_어_호_스" localSheetId="0">[10]장비집계!#REF!</definedName>
    <definedName name="에_어_호_스" localSheetId="2">[10]장비집계!#REF!</definedName>
    <definedName name="에_어_호_스">[10]장비집계!#REF!</definedName>
    <definedName name="연장" localSheetId="1">[21]산출근거!#REF!</definedName>
    <definedName name="연장" localSheetId="0">[21]산출근거!#REF!</definedName>
    <definedName name="연장" localSheetId="2">[21]산출근거!#REF!</definedName>
    <definedName name="연장">[21]산출근거!#REF!</definedName>
    <definedName name="오" localSheetId="1">#REF!</definedName>
    <definedName name="오" localSheetId="0">#REF!</definedName>
    <definedName name="오" localSheetId="2">#REF!</definedName>
    <definedName name="오">#REF!</definedName>
    <definedName name="오수공">#REF!</definedName>
    <definedName name="오수공수량">#REF!</definedName>
    <definedName name="오수공수량집계표">#REF!</definedName>
    <definedName name="오오" localSheetId="1">#REF!</definedName>
    <definedName name="오오" localSheetId="0">#REF!</definedName>
    <definedName name="오오" localSheetId="2">#REF!</definedName>
    <definedName name="오오">#REF!</definedName>
    <definedName name="오오오" localSheetId="1">#REF!</definedName>
    <definedName name="오오오" localSheetId="0">#REF!</definedName>
    <definedName name="오오오" localSheetId="2">#REF!</definedName>
    <definedName name="오오오">#REF!</definedName>
    <definedName name="오오오오" localSheetId="1">#REF!</definedName>
    <definedName name="오오오오" localSheetId="0">#REF!</definedName>
    <definedName name="오오오오" localSheetId="2">#REF!</definedName>
    <definedName name="오오오오">#REF!</definedName>
    <definedName name="옹벽공">#REF!</definedName>
    <definedName name="옹벽공집계표">#REF!</definedName>
    <definedName name="용접기__교류" localSheetId="1">[10]장비집계!#REF!</definedName>
    <definedName name="용접기__교류" localSheetId="0">[10]장비집계!#REF!</definedName>
    <definedName name="용접기__교류" localSheetId="2">[10]장비집계!#REF!</definedName>
    <definedName name="용접기__교류">[10]장비집계!#REF!</definedName>
    <definedName name="우수공">#REF!</definedName>
    <definedName name="우수공수량집계표">#REF!</definedName>
    <definedName name="유" localSheetId="1">BlankMacro1</definedName>
    <definedName name="유" localSheetId="0">BlankMacro1</definedName>
    <definedName name="유" localSheetId="2">BlankMacro1</definedName>
    <definedName name="유">BlankMacro1</definedName>
    <definedName name="유미애" localSheetId="1">BlankMacro1</definedName>
    <definedName name="유미애" localSheetId="0">BlankMacro1</definedName>
    <definedName name="유미애" localSheetId="2">BlankMacro1</definedName>
    <definedName name="유미애">BlankMacro1</definedName>
    <definedName name="육" localSheetId="1">#REF!</definedName>
    <definedName name="육" localSheetId="0">#REF!</definedName>
    <definedName name="육" localSheetId="2">#REF!</definedName>
    <definedName name="육">#REF!</definedName>
    <definedName name="육육" localSheetId="1">#REF!</definedName>
    <definedName name="육육" localSheetId="0">#REF!</definedName>
    <definedName name="육육" localSheetId="2">#REF!</definedName>
    <definedName name="육육">#REF!</definedName>
    <definedName name="육육육" localSheetId="1">#REF!</definedName>
    <definedName name="육육육" localSheetId="0">#REF!</definedName>
    <definedName name="육육육" localSheetId="2">#REF!</definedName>
    <definedName name="육육육">#REF!</definedName>
    <definedName name="육육육육" localSheetId="1">#REF!</definedName>
    <definedName name="육육육육" localSheetId="0">#REF!</definedName>
    <definedName name="육육육육" localSheetId="2">#REF!</definedName>
    <definedName name="육육육육">#REF!</definedName>
    <definedName name="응력증가계수">#REF!</definedName>
    <definedName name="이" localSheetId="1">#REF!</definedName>
    <definedName name="이" localSheetId="0">#REF!</definedName>
    <definedName name="이" localSheetId="2">#REF!</definedName>
    <definedName name="이">#REF!</definedName>
    <definedName name="이이" localSheetId="1">#REF!</definedName>
    <definedName name="이이" localSheetId="0">#REF!</definedName>
    <definedName name="이이" localSheetId="2">#REF!</definedName>
    <definedName name="이이">#REF!</definedName>
    <definedName name="이이이" localSheetId="1">#REF!</definedName>
    <definedName name="이이이" localSheetId="0">#REF!</definedName>
    <definedName name="이이이" localSheetId="2">#REF!</definedName>
    <definedName name="이이이">#REF!</definedName>
    <definedName name="이이이이" localSheetId="1">#REF!</definedName>
    <definedName name="이이이이" localSheetId="0">#REF!</definedName>
    <definedName name="이이이이" localSheetId="2">#REF!</definedName>
    <definedName name="이이이이">#REF!</definedName>
    <definedName name="이정" hidden="1">{#N/A,#N/A,FALSE,"2~8번"}</definedName>
    <definedName name="인장재직경">#REF!</definedName>
    <definedName name="일" localSheetId="1">#REF!</definedName>
    <definedName name="일" localSheetId="0">#REF!</definedName>
    <definedName name="일" localSheetId="2">#REF!</definedName>
    <definedName name="일">#REF!</definedName>
    <definedName name="일위">#REF!</definedName>
    <definedName name="일일" localSheetId="1">#REF!</definedName>
    <definedName name="일일" localSheetId="0">#REF!</definedName>
    <definedName name="일일" localSheetId="2">#REF!</definedName>
    <definedName name="일일">#REF!</definedName>
    <definedName name="일일일" localSheetId="1">#REF!</definedName>
    <definedName name="일일일" localSheetId="0">#REF!</definedName>
    <definedName name="일일일" localSheetId="2">#REF!</definedName>
    <definedName name="일일일">#REF!</definedName>
    <definedName name="일일일일" localSheetId="1">#REF!</definedName>
    <definedName name="일일일일" localSheetId="0">#REF!</definedName>
    <definedName name="일일일일" localSheetId="2">#REF!</definedName>
    <definedName name="일일일일">#REF!</definedName>
    <definedName name="ㅈ" localSheetId="1">BlankMacro1</definedName>
    <definedName name="ㅈ" localSheetId="0">BlankMacro1</definedName>
    <definedName name="ㅈ" localSheetId="2">BlankMacro1</definedName>
    <definedName name="ㅈ">BlankMacro1</definedName>
    <definedName name="ㅈㄷ" localSheetId="1">BlankMacro1</definedName>
    <definedName name="ㅈㄷ" localSheetId="0">BlankMacro1</definedName>
    <definedName name="ㅈㄷ" localSheetId="2">BlankMacro1</definedName>
    <definedName name="ㅈㄷ">BlankMacro1</definedName>
    <definedName name="ㅈㅈ" localSheetId="1" hidden="1">#REF!</definedName>
    <definedName name="ㅈㅈ" localSheetId="0" hidden="1">#REF!</definedName>
    <definedName name="ㅈㅈ" localSheetId="2" hidden="1">#REF!</definedName>
    <definedName name="ㅈㅈ" hidden="1">#REF!</definedName>
    <definedName name="자재집계표">#REF!</definedName>
    <definedName name="장산교" localSheetId="1">#REF!</definedName>
    <definedName name="장산교" localSheetId="0">#REF!</definedName>
    <definedName name="장산교" localSheetId="2">#REF!</definedName>
    <definedName name="장산교">#REF!</definedName>
    <definedName name="재경비21">[22]원가계산서구조조정!$U$14</definedName>
    <definedName name="재경비22">[22]원가계산서구조조정!$U$15</definedName>
    <definedName name="재경비23">[22]원가계산서구조조정!$U$16</definedName>
    <definedName name="재경비24">[22]원가계산서구조조정!$U$17</definedName>
    <definedName name="재경비25">[22]원가계산서구조조정!$U$18</definedName>
    <definedName name="재경비26">[22]원가계산서구조조정!$U$19</definedName>
    <definedName name="재경비27">[22]원가계산서구조조정!$U$20</definedName>
    <definedName name="재경비28">[22]원가계산서구조조정!$U$21</definedName>
    <definedName name="재경비29">[22]원가계산서구조조정!$U$22</definedName>
    <definedName name="재경비30">[22]원가계산서구조조정!$U$23</definedName>
    <definedName name="재경비31">[22]원가계산서구조조정!$U$24</definedName>
    <definedName name="재경비32">[22]원가계산서구조조정!$U$25</definedName>
    <definedName name="재료비선택" localSheetId="1">#REF!</definedName>
    <definedName name="재료비선택" localSheetId="0">#REF!</definedName>
    <definedName name="재료비선택" localSheetId="2">#REF!</definedName>
    <definedName name="재료비선택">#REF!</definedName>
    <definedName name="저판높이" localSheetId="1">#REF!</definedName>
    <definedName name="저판높이" localSheetId="0">#REF!</definedName>
    <definedName name="저판높이" localSheetId="2">#REF!</definedName>
    <definedName name="저판높이">#REF!</definedName>
    <definedName name="저판폭" localSheetId="1">#REF!</definedName>
    <definedName name="저판폭" localSheetId="0">#REF!</definedName>
    <definedName name="저판폭" localSheetId="2">#REF!</definedName>
    <definedName name="저판폭">#REF!</definedName>
    <definedName name="주변저항">#REF!</definedName>
    <definedName name="주영돈" localSheetId="1">BlankMacro1</definedName>
    <definedName name="주영돈" localSheetId="0">BlankMacro1</definedName>
    <definedName name="주영돈" localSheetId="2">BlankMacro1</definedName>
    <definedName name="주영돈">BlankMacro1</definedName>
    <definedName name="진동_파일_햄머" localSheetId="1">[10]장비집계!#REF!</definedName>
    <definedName name="진동_파일_햄머" localSheetId="0">[10]장비집계!#REF!</definedName>
    <definedName name="진동_파일_햄머" localSheetId="2">[10]장비집계!#REF!</definedName>
    <definedName name="진동_파일_햄머">[10]장비집계!#REF!</definedName>
    <definedName name="집계표1">#REF!</definedName>
    <definedName name="집계표2">#REF!</definedName>
    <definedName name="집계표3">#REF!</definedName>
    <definedName name="집계표4">#REF!</definedName>
    <definedName name="집계표5">#REF!</definedName>
    <definedName name="집수정" localSheetId="1">BlankMacro1</definedName>
    <definedName name="집수정" localSheetId="0">BlankMacro1</definedName>
    <definedName name="집수정" localSheetId="2">BlankMacro1</definedName>
    <definedName name="집수정">BlankMacro1</definedName>
    <definedName name="집수정공" localSheetId="1">BlankMacro1</definedName>
    <definedName name="집수정공" localSheetId="0">BlankMacro1</definedName>
    <definedName name="집수정공" localSheetId="2">BlankMacro1</definedName>
    <definedName name="집수정공">BlankMacro1</definedName>
    <definedName name="집수정수량" localSheetId="1">[21]산출근거!#REF!</definedName>
    <definedName name="집수정수량" localSheetId="0">[21]산출근거!#REF!</definedName>
    <definedName name="집수정수량" localSheetId="2">[21]산출근거!#REF!</definedName>
    <definedName name="집수정수량">[21]산출근거!#REF!</definedName>
    <definedName name="차선도색중앙선수량">#REF!</definedName>
    <definedName name="차선도색직각주차수량">#REF!</definedName>
    <definedName name="차선도색평행주차수량">#REF!</definedName>
    <definedName name="착_암_기__주간" localSheetId="1">[10]장비집계!#REF!</definedName>
    <definedName name="착_암_기__주간" localSheetId="0">[10]장비집계!#REF!</definedName>
    <definedName name="착_암_기__주간" localSheetId="2">[10]장비집계!#REF!</definedName>
    <definedName name="착_암_기__주간">[10]장비집계!#REF!</definedName>
    <definedName name="천안토공_토공_List" localSheetId="1">#REF!</definedName>
    <definedName name="천안토공_토공_List" localSheetId="0">#REF!</definedName>
    <definedName name="천안토공_토공_List" localSheetId="2">#REF!</definedName>
    <definedName name="천안토공_토공_List">#REF!</definedName>
    <definedName name="초_고_압_펌_프" localSheetId="1">[10]장비집계!#REF!</definedName>
    <definedName name="초_고_압_펌_프" localSheetId="0">[10]장비집계!#REF!</definedName>
    <definedName name="초_고_압_펌_프" localSheetId="2">[10]장비집계!#REF!</definedName>
    <definedName name="초_고_압_펌_프">[10]장비집계!#REF!</definedName>
    <definedName name="충진제">[12]옹벽기초자료!$D$17</definedName>
    <definedName name="측구공" localSheetId="1">BlankMacro1</definedName>
    <definedName name="측구공" localSheetId="0">BlankMacro1</definedName>
    <definedName name="측구공" localSheetId="2">BlankMacro1</definedName>
    <definedName name="측구공">BlankMacro1</definedName>
    <definedName name="칠" localSheetId="1">#REF!</definedName>
    <definedName name="칠" localSheetId="0">#REF!</definedName>
    <definedName name="칠" localSheetId="2">#REF!</definedName>
    <definedName name="칠">#REF!</definedName>
    <definedName name="칠칠" localSheetId="1">#REF!</definedName>
    <definedName name="칠칠" localSheetId="0">#REF!</definedName>
    <definedName name="칠칠" localSheetId="2">#REF!</definedName>
    <definedName name="칠칠">#REF!</definedName>
    <definedName name="칠칠칠" localSheetId="1">#REF!</definedName>
    <definedName name="칠칠칠" localSheetId="0">#REF!</definedName>
    <definedName name="칠칠칠" localSheetId="2">#REF!</definedName>
    <definedName name="칠칠칠">#REF!</definedName>
    <definedName name="칠칠칠칠" localSheetId="1">#REF!</definedName>
    <definedName name="칠칠칠칠" localSheetId="0">#REF!</definedName>
    <definedName name="칠칠칠칠" localSheetId="2">#REF!</definedName>
    <definedName name="칠칠칠칠">#REF!</definedName>
    <definedName name="ㅋ248" localSheetId="1">#REF!</definedName>
    <definedName name="ㅋ248" localSheetId="0">#REF!</definedName>
    <definedName name="ㅋ248" localSheetId="2">#REF!</definedName>
    <definedName name="ㅋ248">#REF!</definedName>
    <definedName name="칼라샌드블록수량">#REF!</definedName>
    <definedName name="코핑B" localSheetId="1">#REF!</definedName>
    <definedName name="코핑B" localSheetId="0">#REF!</definedName>
    <definedName name="코핑B" localSheetId="2">#REF!</definedName>
    <definedName name="코핑B">#REF!</definedName>
    <definedName name="코핑길이" localSheetId="1">#REF!</definedName>
    <definedName name="코핑길이" localSheetId="0">#REF!</definedName>
    <definedName name="코핑길이" localSheetId="2">#REF!</definedName>
    <definedName name="코핑길이">#REF!</definedName>
    <definedName name="코핑높이" localSheetId="1">#REF!</definedName>
    <definedName name="코핑높이" localSheetId="0">#REF!</definedName>
    <definedName name="코핑높이" localSheetId="2">#REF!</definedName>
    <definedName name="코핑높이">#REF!</definedName>
    <definedName name="콘크리트_진동기" localSheetId="1">[10]장비집계!#REF!</definedName>
    <definedName name="콘크리트_진동기" localSheetId="0">[10]장비집계!#REF!</definedName>
    <definedName name="콘크리트_진동기" localSheetId="2">[10]장비집계!#REF!</definedName>
    <definedName name="콘크리트_진동기">[10]장비집계!#REF!</definedName>
    <definedName name="콘크리트_커트" localSheetId="1">[10]장비집계!#REF!</definedName>
    <definedName name="콘크리트_커트" localSheetId="0">[10]장비집계!#REF!</definedName>
    <definedName name="콘크리트_커트" localSheetId="2">[10]장비집계!#REF!</definedName>
    <definedName name="콘크리트_커트">[10]장비집계!#REF!</definedName>
    <definedName name="크____람____셸" localSheetId="1">[10]장비집계!#REF!</definedName>
    <definedName name="크____람____셸" localSheetId="0">[10]장비집계!#REF!</definedName>
    <definedName name="크____람____셸" localSheetId="2">[10]장비집계!#REF!</definedName>
    <definedName name="크____람____셸">[10]장비집계!#REF!</definedName>
    <definedName name="크____레____인" localSheetId="1">[10]장비집계!#REF!</definedName>
    <definedName name="크____레____인" localSheetId="0">[10]장비집계!#REF!</definedName>
    <definedName name="크____레____인" localSheetId="2">[10]장비집계!#REF!</definedName>
    <definedName name="크____레____인">[10]장비집계!#REF!</definedName>
    <definedName name="크_레_인__트럭" localSheetId="1">[10]장비집계!#REF!</definedName>
    <definedName name="크_레_인__트럭" localSheetId="0">[10]장비집계!#REF!</definedName>
    <definedName name="크_레_인__트럭" localSheetId="2">[10]장비집계!#REF!</definedName>
    <definedName name="크_레_인__트럭">[10]장비집계!#REF!</definedName>
    <definedName name="크레인__트럭" localSheetId="1">[10]장비집계!#REF!</definedName>
    <definedName name="크레인__트럭" localSheetId="0">[10]장비집계!#REF!</definedName>
    <definedName name="크레인__트럭" localSheetId="2">[10]장비집계!#REF!</definedName>
    <definedName name="크레인__트럭">[10]장비집계!#REF!</definedName>
    <definedName name="크레인_트럭탑재형" localSheetId="1">[10]장비집계!#REF!</definedName>
    <definedName name="크레인_트럭탑재형" localSheetId="0">[10]장비집계!#REF!</definedName>
    <definedName name="크레인_트럭탑재형" localSheetId="2">[10]장비집계!#REF!</definedName>
    <definedName name="크레인_트럭탑재형">[10]장비집계!#REF!</definedName>
    <definedName name="타이어_롤러" localSheetId="1">[10]장비집계!#REF!</definedName>
    <definedName name="타이어_롤러" localSheetId="0">[10]장비집계!#REF!</definedName>
    <definedName name="타이어_롤러" localSheetId="2">[10]장비집계!#REF!</definedName>
    <definedName name="타이어_롤러">[10]장비집계!#REF!</definedName>
    <definedName name="탠덤_로울러" localSheetId="1">[10]장비집계!#REF!</definedName>
    <definedName name="탠덤_로울러" localSheetId="0">[10]장비집계!#REF!</definedName>
    <definedName name="탠덤_로울러" localSheetId="2">[10]장비집계!#REF!</definedName>
    <definedName name="탠덤_로울러">[10]장비집계!#REF!</definedName>
    <definedName name="템플리트모듈1" localSheetId="1">BlankMacro1</definedName>
    <definedName name="템플리트모듈1" localSheetId="0">BlankMacro1</definedName>
    <definedName name="템플리트모듈1" localSheetId="2">BlankMacro1</definedName>
    <definedName name="템플리트모듈1">BlankMacro1</definedName>
    <definedName name="템플리트모듈2" localSheetId="1">BlankMacro1</definedName>
    <definedName name="템플리트모듈2" localSheetId="0">BlankMacro1</definedName>
    <definedName name="템플리트모듈2" localSheetId="2">BlankMacro1</definedName>
    <definedName name="템플리트모듈2">BlankMacro1</definedName>
    <definedName name="템플리트모듈3" localSheetId="1">BlankMacro1</definedName>
    <definedName name="템플리트모듈3" localSheetId="0">BlankMacro1</definedName>
    <definedName name="템플리트모듈3" localSheetId="2">BlankMacro1</definedName>
    <definedName name="템플리트모듈3">BlankMacro1</definedName>
    <definedName name="템플리트모듈4" localSheetId="1">BlankMacro1</definedName>
    <definedName name="템플리트모듈4" localSheetId="0">BlankMacro1</definedName>
    <definedName name="템플리트모듈4" localSheetId="2">BlankMacro1</definedName>
    <definedName name="템플리트모듈4">BlankMacro1</definedName>
    <definedName name="템플리트모듈5" localSheetId="1">BlankMacro1</definedName>
    <definedName name="템플리트모듈5" localSheetId="0">BlankMacro1</definedName>
    <definedName name="템플리트모듈5" localSheetId="2">BlankMacro1</definedName>
    <definedName name="템플리트모듈5">BlankMacro1</definedName>
    <definedName name="템플리트모듈6" localSheetId="1">BlankMacro1</definedName>
    <definedName name="템플리트모듈6" localSheetId="0">BlankMacro1</definedName>
    <definedName name="템플리트모듈6" localSheetId="2">BlankMacro1</definedName>
    <definedName name="템플리트모듈6">BlankMacro1</definedName>
    <definedName name="텤" localSheetId="1">BlankMacro1</definedName>
    <definedName name="텤" localSheetId="0">BlankMacro1</definedName>
    <definedName name="텤" localSheetId="2">BlankMacro1</definedName>
    <definedName name="텤">BlankMacro1</definedName>
    <definedName name="트렉트_및_트레일러" localSheetId="1">[10]장비집계!#REF!</definedName>
    <definedName name="트렉트_및_트레일러" localSheetId="0">[10]장비집계!#REF!</definedName>
    <definedName name="트렉트_및_트레일러" localSheetId="2">[10]장비집계!#REF!</definedName>
    <definedName name="트렉트_및_트레일러">[10]장비집계!#REF!</definedName>
    <definedName name="파일" localSheetId="1" hidden="1">#REF!</definedName>
    <definedName name="파일" localSheetId="0" hidden="1">#REF!</definedName>
    <definedName name="파일" localSheetId="2" hidden="1">#REF!</definedName>
    <definedName name="파일" hidden="1">#REF!</definedName>
    <definedName name="팔" localSheetId="1">#REF!</definedName>
    <definedName name="팔" localSheetId="0">#REF!</definedName>
    <definedName name="팔" localSheetId="2">#REF!</definedName>
    <definedName name="팔">#REF!</definedName>
    <definedName name="팔팔" localSheetId="1">#REF!</definedName>
    <definedName name="팔팔" localSheetId="0">#REF!</definedName>
    <definedName name="팔팔" localSheetId="2">#REF!</definedName>
    <definedName name="팔팔">#REF!</definedName>
    <definedName name="팔팔팔" localSheetId="1">#REF!</definedName>
    <definedName name="팔팔팔" localSheetId="0">#REF!</definedName>
    <definedName name="팔팔팔" localSheetId="2">#REF!</definedName>
    <definedName name="팔팔팔">#REF!</definedName>
    <definedName name="팔팔팔팔" localSheetId="1">#REF!</definedName>
    <definedName name="팔팔팔팔" localSheetId="0">#REF!</definedName>
    <definedName name="팔팔팔팔" localSheetId="2">#REF!</definedName>
    <definedName name="팔팔팔팔">#REF!</definedName>
    <definedName name="페이브먼트_브레카" localSheetId="1">[10]장비집계!#REF!</definedName>
    <definedName name="페이브먼트_브레카" localSheetId="0">[10]장비집계!#REF!</definedName>
    <definedName name="페이브먼트_브레카" localSheetId="2">[10]장비집계!#REF!</definedName>
    <definedName name="페이브먼트_브레카">[10]장비집계!#REF!</definedName>
    <definedName name="폐기물" localSheetId="1">BlankMacro1</definedName>
    <definedName name="폐기물" localSheetId="0">BlankMacro1</definedName>
    <definedName name="폐기물" localSheetId="2">BlankMacro1</definedName>
    <definedName name="폐기물">BlankMacro1</definedName>
    <definedName name="폐기물갑지" localSheetId="1">BlankMacro1</definedName>
    <definedName name="폐기물갑지" localSheetId="0">BlankMacro1</definedName>
    <definedName name="폐기물갑지" localSheetId="2">BlankMacro1</definedName>
    <definedName name="폐기물갑지">BlankMacro1</definedName>
    <definedName name="폐기물수수료" localSheetId="1">[18]총괄내역서!#REF!</definedName>
    <definedName name="폐기물수수료" localSheetId="0">[18]총괄내역서!#REF!</definedName>
    <definedName name="폐기물수수료" localSheetId="2">[18]총괄내역서!#REF!</definedName>
    <definedName name="폐기물수수료">[18]총괄내역서!#REF!</definedName>
    <definedName name="포장공">#REF!</definedName>
    <definedName name="포장공수량집계표">#REF!</definedName>
    <definedName name="표지">#REF!</definedName>
    <definedName name="풍하중모멘트" localSheetId="1">#REF!</definedName>
    <definedName name="풍하중모멘트" localSheetId="0">#REF!</definedName>
    <definedName name="풍하중모멘트" localSheetId="2">#REF!</definedName>
    <definedName name="풍하중모멘트">#REF!</definedName>
    <definedName name="학산P2" localSheetId="1">BlankMacro1</definedName>
    <definedName name="학산P2" localSheetId="0">BlankMacro1</definedName>
    <definedName name="학산P2" localSheetId="2">BlankMacro1</definedName>
    <definedName name="학산P2">BlankMacro1</definedName>
    <definedName name="허용응력">#REF!</definedName>
    <definedName name="허용응력계수">#REF!</definedName>
    <definedName name="허용응력증가계수">#REF!</definedName>
    <definedName name="홈통받이수량">#REF!</definedName>
    <definedName name="ㅛ" hidden="1">{#N/A,#N/A,FALSE,"부대1"}</definedName>
    <definedName name="ㅣ3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5" i="10" l="1"/>
  <c r="K368" i="3"/>
  <c r="L368" i="3"/>
  <c r="F368" i="3"/>
  <c r="F27" i="1" l="1"/>
  <c r="F40" i="10"/>
  <c r="K34" i="11" l="1"/>
  <c r="K33" i="11"/>
  <c r="K67" i="6"/>
  <c r="L67" i="6"/>
  <c r="K69" i="6"/>
  <c r="K70" i="6"/>
  <c r="F71" i="6"/>
  <c r="H71" i="6"/>
  <c r="J71" i="6"/>
  <c r="K71" i="6"/>
  <c r="F72" i="6"/>
  <c r="H72" i="6"/>
  <c r="J72" i="6"/>
  <c r="K72" i="6"/>
  <c r="K73" i="6"/>
  <c r="F74" i="6"/>
  <c r="H74" i="6"/>
  <c r="J74" i="6"/>
  <c r="K74" i="6"/>
  <c r="F75" i="6"/>
  <c r="H75" i="6"/>
  <c r="J75" i="6"/>
  <c r="K75" i="6"/>
  <c r="K76" i="6"/>
  <c r="F77" i="6"/>
  <c r="H77" i="6"/>
  <c r="J77" i="6"/>
  <c r="K77" i="6"/>
  <c r="F78" i="6"/>
  <c r="H78" i="6"/>
  <c r="J78" i="6"/>
  <c r="K78" i="6"/>
  <c r="F79" i="6"/>
  <c r="H79" i="6"/>
  <c r="J79" i="6"/>
  <c r="K79" i="6"/>
  <c r="F80" i="6"/>
  <c r="H80" i="6"/>
  <c r="J80" i="6"/>
  <c r="K80" i="6"/>
  <c r="K81" i="6"/>
  <c r="F82" i="6"/>
  <c r="H82" i="6"/>
  <c r="J82" i="6"/>
  <c r="K82" i="6"/>
  <c r="F83" i="6"/>
  <c r="H83" i="6"/>
  <c r="J83" i="6"/>
  <c r="K83" i="6"/>
  <c r="F84" i="6"/>
  <c r="H84" i="6"/>
  <c r="J84" i="6"/>
  <c r="K84" i="6"/>
  <c r="F85" i="6"/>
  <c r="H85" i="6"/>
  <c r="J85" i="6"/>
  <c r="K85" i="6"/>
  <c r="K86" i="6"/>
  <c r="F87" i="6"/>
  <c r="H87" i="6"/>
  <c r="J87" i="6"/>
  <c r="K87" i="6"/>
  <c r="F88" i="6"/>
  <c r="H88" i="6"/>
  <c r="J88" i="6"/>
  <c r="K88" i="6"/>
  <c r="K89" i="6"/>
  <c r="F90" i="6"/>
  <c r="F89" i="6" s="1"/>
  <c r="H90" i="6"/>
  <c r="H89" i="6" s="1"/>
  <c r="J90" i="6"/>
  <c r="J89" i="6" s="1"/>
  <c r="K90" i="6"/>
  <c r="K91" i="6"/>
  <c r="F92" i="6"/>
  <c r="F91" i="6" s="1"/>
  <c r="H92" i="6"/>
  <c r="H91" i="6" s="1"/>
  <c r="J92" i="6"/>
  <c r="J91" i="6" s="1"/>
  <c r="K92" i="6"/>
  <c r="K93" i="6"/>
  <c r="F94" i="6"/>
  <c r="H94" i="6"/>
  <c r="J94" i="6"/>
  <c r="K94" i="6"/>
  <c r="F95" i="6"/>
  <c r="H95" i="6"/>
  <c r="J95" i="6"/>
  <c r="K95" i="6"/>
  <c r="F96" i="6"/>
  <c r="H96" i="6"/>
  <c r="J96" i="6"/>
  <c r="K96" i="6"/>
  <c r="F97" i="6"/>
  <c r="H97" i="6"/>
  <c r="J97" i="6"/>
  <c r="K97" i="6"/>
  <c r="K98" i="6"/>
  <c r="F99" i="6"/>
  <c r="F98" i="6" s="1"/>
  <c r="H99" i="6"/>
  <c r="H98" i="6" s="1"/>
  <c r="J99" i="6"/>
  <c r="J98" i="6" s="1"/>
  <c r="K99" i="6"/>
  <c r="K100" i="6"/>
  <c r="F101" i="6"/>
  <c r="H101" i="6"/>
  <c r="J101" i="6"/>
  <c r="K101" i="6"/>
  <c r="F102" i="6"/>
  <c r="H102" i="6"/>
  <c r="J102" i="6"/>
  <c r="K102" i="6"/>
  <c r="F103" i="6"/>
  <c r="H103" i="6"/>
  <c r="J103" i="6"/>
  <c r="K103" i="6"/>
  <c r="F104" i="6"/>
  <c r="H104" i="6"/>
  <c r="J104" i="6"/>
  <c r="K104" i="6"/>
  <c r="K105" i="6"/>
  <c r="F106" i="6"/>
  <c r="H106" i="6"/>
  <c r="J106" i="6"/>
  <c r="K106" i="6"/>
  <c r="F107" i="6"/>
  <c r="H107" i="6"/>
  <c r="J107" i="6"/>
  <c r="K107" i="6"/>
  <c r="K108" i="6"/>
  <c r="K109" i="6"/>
  <c r="F110" i="6"/>
  <c r="H110" i="6"/>
  <c r="J110" i="6"/>
  <c r="K110" i="6"/>
  <c r="F111" i="6"/>
  <c r="H111" i="6"/>
  <c r="J111" i="6"/>
  <c r="K111" i="6"/>
  <c r="K112" i="6"/>
  <c r="F113" i="6"/>
  <c r="F112" i="6" s="1"/>
  <c r="H113" i="6"/>
  <c r="H112" i="6" s="1"/>
  <c r="J113" i="6"/>
  <c r="J112" i="6" s="1"/>
  <c r="K113" i="6"/>
  <c r="K114" i="6"/>
  <c r="F115" i="6"/>
  <c r="H115" i="6"/>
  <c r="J115" i="6"/>
  <c r="K115" i="6"/>
  <c r="F116" i="6"/>
  <c r="H116" i="6"/>
  <c r="J116" i="6"/>
  <c r="K116" i="6"/>
  <c r="F117" i="6"/>
  <c r="H117" i="6"/>
  <c r="J117" i="6"/>
  <c r="K117" i="6"/>
  <c r="F118" i="6"/>
  <c r="H118" i="6"/>
  <c r="J118" i="6"/>
  <c r="K118" i="6"/>
  <c r="F119" i="6"/>
  <c r="H119" i="6"/>
  <c r="J119" i="6"/>
  <c r="K119" i="6"/>
  <c r="F120" i="6"/>
  <c r="H120" i="6"/>
  <c r="J120" i="6"/>
  <c r="K120" i="6"/>
  <c r="F121" i="6"/>
  <c r="H121" i="6"/>
  <c r="J121" i="6"/>
  <c r="K121" i="6"/>
  <c r="F122" i="6"/>
  <c r="H122" i="6"/>
  <c r="J122" i="6"/>
  <c r="K122" i="6"/>
  <c r="F123" i="6"/>
  <c r="H123" i="6"/>
  <c r="J123" i="6"/>
  <c r="K123" i="6"/>
  <c r="F124" i="6"/>
  <c r="H124" i="6"/>
  <c r="J124" i="6"/>
  <c r="K124" i="6"/>
  <c r="K125" i="6"/>
  <c r="K126" i="6"/>
  <c r="F127" i="6"/>
  <c r="H127" i="6"/>
  <c r="J127" i="6"/>
  <c r="K127" i="6"/>
  <c r="F128" i="6"/>
  <c r="H128" i="6"/>
  <c r="J128" i="6"/>
  <c r="K128" i="6"/>
  <c r="F129" i="6"/>
  <c r="H129" i="6"/>
  <c r="J129" i="6"/>
  <c r="K129" i="6"/>
  <c r="K130" i="6"/>
  <c r="F131" i="6"/>
  <c r="H131" i="6"/>
  <c r="J131" i="6"/>
  <c r="K131" i="6"/>
  <c r="F132" i="6"/>
  <c r="H132" i="6"/>
  <c r="J132" i="6"/>
  <c r="K132" i="6"/>
  <c r="F133" i="6"/>
  <c r="H133" i="6"/>
  <c r="J133" i="6"/>
  <c r="K133" i="6"/>
  <c r="K134" i="6"/>
  <c r="F135" i="6"/>
  <c r="H135" i="6"/>
  <c r="J135" i="6"/>
  <c r="K135" i="6"/>
  <c r="F136" i="6"/>
  <c r="H136" i="6"/>
  <c r="J136" i="6"/>
  <c r="K136" i="6"/>
  <c r="F137" i="6"/>
  <c r="F134" i="6" s="1"/>
  <c r="H137" i="6"/>
  <c r="J137" i="6"/>
  <c r="K137" i="6"/>
  <c r="K138" i="6"/>
  <c r="F139" i="6"/>
  <c r="H139" i="6"/>
  <c r="J139" i="6"/>
  <c r="K139" i="6"/>
  <c r="F140" i="6"/>
  <c r="H140" i="6"/>
  <c r="J140" i="6"/>
  <c r="K140" i="6"/>
  <c r="F141" i="6"/>
  <c r="H141" i="6"/>
  <c r="J141" i="6"/>
  <c r="K141" i="6"/>
  <c r="K142" i="6"/>
  <c r="F143" i="6"/>
  <c r="H143" i="6"/>
  <c r="J143" i="6"/>
  <c r="K143" i="6"/>
  <c r="F144" i="6"/>
  <c r="H144" i="6"/>
  <c r="J144" i="6"/>
  <c r="K144" i="6"/>
  <c r="K145" i="6"/>
  <c r="F146" i="6"/>
  <c r="H146" i="6"/>
  <c r="J146" i="6"/>
  <c r="K146" i="6"/>
  <c r="F147" i="6"/>
  <c r="H147" i="6"/>
  <c r="J147" i="6"/>
  <c r="K147" i="6"/>
  <c r="F148" i="6"/>
  <c r="H148" i="6"/>
  <c r="J148" i="6"/>
  <c r="K148" i="6"/>
  <c r="K149" i="6"/>
  <c r="F150" i="6"/>
  <c r="H150" i="6"/>
  <c r="J150" i="6"/>
  <c r="K150" i="6"/>
  <c r="F151" i="6"/>
  <c r="H151" i="6"/>
  <c r="J151" i="6"/>
  <c r="K151" i="6"/>
  <c r="K152" i="6"/>
  <c r="F153" i="6"/>
  <c r="H153" i="6"/>
  <c r="J153" i="6"/>
  <c r="K153" i="6"/>
  <c r="F154" i="6"/>
  <c r="H154" i="6"/>
  <c r="J154" i="6"/>
  <c r="K154" i="6"/>
  <c r="K155" i="6"/>
  <c r="F156" i="6"/>
  <c r="H156" i="6"/>
  <c r="J156" i="6"/>
  <c r="K156" i="6"/>
  <c r="F157" i="6"/>
  <c r="H157" i="6"/>
  <c r="J157" i="6"/>
  <c r="K157" i="6"/>
  <c r="F158" i="6"/>
  <c r="H158" i="6"/>
  <c r="J158" i="6"/>
  <c r="K158" i="6"/>
  <c r="K159" i="6"/>
  <c r="F160" i="6"/>
  <c r="F159" i="6" s="1"/>
  <c r="H160" i="6"/>
  <c r="H159" i="6" s="1"/>
  <c r="J160" i="6"/>
  <c r="J159" i="6" s="1"/>
  <c r="K160" i="6"/>
  <c r="K161" i="6"/>
  <c r="K162" i="6"/>
  <c r="F163" i="6"/>
  <c r="H163" i="6"/>
  <c r="J163" i="6"/>
  <c r="K163" i="6"/>
  <c r="F164" i="6"/>
  <c r="H164" i="6"/>
  <c r="J164" i="6"/>
  <c r="K164" i="6"/>
  <c r="F165" i="6"/>
  <c r="H165" i="6"/>
  <c r="J165" i="6"/>
  <c r="K165" i="6"/>
  <c r="F166" i="6"/>
  <c r="H166" i="6"/>
  <c r="J166" i="6"/>
  <c r="K166" i="6"/>
  <c r="F167" i="6"/>
  <c r="H167" i="6"/>
  <c r="J167" i="6"/>
  <c r="K167" i="6"/>
  <c r="K168" i="6"/>
  <c r="F169" i="6"/>
  <c r="H169" i="6"/>
  <c r="J169" i="6"/>
  <c r="K169" i="6"/>
  <c r="F170" i="6"/>
  <c r="H170" i="6"/>
  <c r="J170" i="6"/>
  <c r="K170" i="6"/>
  <c r="F171" i="6"/>
  <c r="H171" i="6"/>
  <c r="J171" i="6"/>
  <c r="K171" i="6"/>
  <c r="K172" i="6"/>
  <c r="F173" i="6"/>
  <c r="H173" i="6"/>
  <c r="J173" i="6"/>
  <c r="K173" i="6"/>
  <c r="F174" i="6"/>
  <c r="H174" i="6"/>
  <c r="J174" i="6"/>
  <c r="K174" i="6"/>
  <c r="K175" i="6"/>
  <c r="F176" i="6"/>
  <c r="H176" i="6"/>
  <c r="J176" i="6"/>
  <c r="K176" i="6"/>
  <c r="F177" i="6"/>
  <c r="H177" i="6"/>
  <c r="J177" i="6"/>
  <c r="K177" i="6"/>
  <c r="F178" i="6"/>
  <c r="H178" i="6"/>
  <c r="J178" i="6"/>
  <c r="K178" i="6"/>
  <c r="K179" i="6"/>
  <c r="F180" i="6"/>
  <c r="H180" i="6"/>
  <c r="J180" i="6"/>
  <c r="K180" i="6"/>
  <c r="F181" i="6"/>
  <c r="H181" i="6"/>
  <c r="J181" i="6"/>
  <c r="K181" i="6"/>
  <c r="F182" i="6"/>
  <c r="H182" i="6"/>
  <c r="J182" i="6"/>
  <c r="K182" i="6"/>
  <c r="K183" i="6"/>
  <c r="F184" i="6"/>
  <c r="H184" i="6"/>
  <c r="J184" i="6"/>
  <c r="K184" i="6"/>
  <c r="F185" i="6"/>
  <c r="H185" i="6"/>
  <c r="J185" i="6"/>
  <c r="K185" i="6"/>
  <c r="F186" i="6"/>
  <c r="H186" i="6"/>
  <c r="J186" i="6"/>
  <c r="K186" i="6"/>
  <c r="K187" i="6"/>
  <c r="F188" i="6"/>
  <c r="H188" i="6"/>
  <c r="J188" i="6"/>
  <c r="K188" i="6"/>
  <c r="F189" i="6"/>
  <c r="H189" i="6"/>
  <c r="J189" i="6"/>
  <c r="K189" i="6"/>
  <c r="F190" i="6"/>
  <c r="H190" i="6"/>
  <c r="J190" i="6"/>
  <c r="K190" i="6"/>
  <c r="K191" i="6"/>
  <c r="L191" i="6"/>
  <c r="K193" i="6"/>
  <c r="K194" i="6"/>
  <c r="F195" i="6"/>
  <c r="H195" i="6"/>
  <c r="J195" i="6"/>
  <c r="K195" i="6"/>
  <c r="F196" i="6"/>
  <c r="H196" i="6"/>
  <c r="J196" i="6"/>
  <c r="K196" i="6"/>
  <c r="F197" i="6"/>
  <c r="H197" i="6"/>
  <c r="J197" i="6"/>
  <c r="K197" i="6"/>
  <c r="K198" i="6"/>
  <c r="F199" i="6"/>
  <c r="H199" i="6"/>
  <c r="J199" i="6"/>
  <c r="K199" i="6"/>
  <c r="F200" i="6"/>
  <c r="H200" i="6"/>
  <c r="J200" i="6"/>
  <c r="K200" i="6"/>
  <c r="F201" i="6"/>
  <c r="H201" i="6"/>
  <c r="J201" i="6"/>
  <c r="K201" i="6"/>
  <c r="K202" i="6"/>
  <c r="K203" i="6"/>
  <c r="F204" i="6"/>
  <c r="F203" i="6" s="1"/>
  <c r="H204" i="6"/>
  <c r="H203" i="6" s="1"/>
  <c r="J204" i="6"/>
  <c r="K204" i="6"/>
  <c r="K205" i="6"/>
  <c r="F206" i="6"/>
  <c r="H206" i="6"/>
  <c r="J206" i="6"/>
  <c r="K206" i="6"/>
  <c r="F207" i="6"/>
  <c r="H207" i="6"/>
  <c r="J207" i="6"/>
  <c r="K207" i="6"/>
  <c r="F208" i="6"/>
  <c r="H208" i="6"/>
  <c r="J208" i="6"/>
  <c r="K208" i="6"/>
  <c r="F209" i="6"/>
  <c r="H209" i="6"/>
  <c r="J209" i="6"/>
  <c r="K209" i="6"/>
  <c r="F210" i="6"/>
  <c r="H210" i="6"/>
  <c r="J210" i="6"/>
  <c r="K210" i="6"/>
  <c r="F211" i="6"/>
  <c r="H211" i="6"/>
  <c r="J211" i="6"/>
  <c r="K211" i="6"/>
  <c r="K212" i="6"/>
  <c r="F213" i="6"/>
  <c r="H213" i="6"/>
  <c r="J213" i="6"/>
  <c r="K213" i="6"/>
  <c r="F214" i="6"/>
  <c r="H214" i="6"/>
  <c r="J214" i="6"/>
  <c r="K214" i="6"/>
  <c r="K215" i="6"/>
  <c r="F216" i="6"/>
  <c r="H216" i="6"/>
  <c r="J216" i="6"/>
  <c r="K216" i="6"/>
  <c r="F217" i="6"/>
  <c r="H217" i="6"/>
  <c r="J217" i="6"/>
  <c r="K217" i="6"/>
  <c r="F218" i="6"/>
  <c r="H218" i="6"/>
  <c r="J218" i="6"/>
  <c r="K218" i="6"/>
  <c r="F219" i="6"/>
  <c r="H219" i="6"/>
  <c r="J219" i="6"/>
  <c r="K219" i="6"/>
  <c r="F220" i="6"/>
  <c r="H220" i="6"/>
  <c r="J220" i="6"/>
  <c r="K220" i="6"/>
  <c r="F221" i="6"/>
  <c r="H221" i="6"/>
  <c r="J221" i="6"/>
  <c r="K221" i="6"/>
  <c r="K222" i="6"/>
  <c r="K223" i="6"/>
  <c r="K224" i="6"/>
  <c r="F225" i="6"/>
  <c r="H225" i="6"/>
  <c r="J225" i="6"/>
  <c r="K225" i="6"/>
  <c r="F226" i="6"/>
  <c r="H226" i="6"/>
  <c r="J226" i="6"/>
  <c r="K226" i="6"/>
  <c r="F227" i="6"/>
  <c r="H227" i="6"/>
  <c r="J227" i="6"/>
  <c r="K227" i="6"/>
  <c r="F228" i="6"/>
  <c r="H228" i="6"/>
  <c r="J228" i="6"/>
  <c r="K228" i="6"/>
  <c r="F229" i="6"/>
  <c r="H229" i="6"/>
  <c r="J229" i="6"/>
  <c r="K229" i="6"/>
  <c r="F230" i="6"/>
  <c r="H230" i="6"/>
  <c r="J230" i="6"/>
  <c r="K230" i="6"/>
  <c r="F231" i="6"/>
  <c r="H231" i="6"/>
  <c r="J231" i="6"/>
  <c r="K231" i="6"/>
  <c r="F232" i="6"/>
  <c r="H232" i="6"/>
  <c r="J232" i="6"/>
  <c r="K232" i="6"/>
  <c r="F233" i="6"/>
  <c r="H233" i="6"/>
  <c r="J233" i="6"/>
  <c r="K233" i="6"/>
  <c r="F234" i="6"/>
  <c r="H234" i="6"/>
  <c r="J234" i="6"/>
  <c r="K234" i="6"/>
  <c r="F235" i="6"/>
  <c r="H235" i="6"/>
  <c r="J235" i="6"/>
  <c r="K235" i="6"/>
  <c r="F236" i="6"/>
  <c r="H236" i="6"/>
  <c r="J236" i="6"/>
  <c r="K236" i="6"/>
  <c r="F237" i="6"/>
  <c r="H237" i="6"/>
  <c r="J237" i="6"/>
  <c r="K237" i="6"/>
  <c r="F238" i="6"/>
  <c r="H238" i="6"/>
  <c r="J238" i="6"/>
  <c r="K238" i="6"/>
  <c r="F239" i="6"/>
  <c r="H239" i="6"/>
  <c r="J239" i="6"/>
  <c r="K239" i="6"/>
  <c r="F240" i="6"/>
  <c r="H240" i="6"/>
  <c r="J240" i="6"/>
  <c r="K240" i="6"/>
  <c r="F241" i="6"/>
  <c r="H241" i="6"/>
  <c r="J241" i="6"/>
  <c r="K241" i="6"/>
  <c r="F242" i="6"/>
  <c r="H242" i="6"/>
  <c r="J242" i="6"/>
  <c r="K242" i="6"/>
  <c r="F243" i="6"/>
  <c r="H243" i="6"/>
  <c r="J243" i="6"/>
  <c r="K243" i="6"/>
  <c r="F244" i="6"/>
  <c r="H244" i="6"/>
  <c r="J244" i="6"/>
  <c r="K244" i="6"/>
  <c r="F245" i="6"/>
  <c r="H245" i="6"/>
  <c r="J245" i="6"/>
  <c r="K245" i="6"/>
  <c r="F246" i="6"/>
  <c r="H246" i="6"/>
  <c r="J246" i="6"/>
  <c r="K246" i="6"/>
  <c r="K247" i="6"/>
  <c r="F248" i="6"/>
  <c r="H248" i="6"/>
  <c r="J248" i="6"/>
  <c r="K248" i="6"/>
  <c r="F249" i="6"/>
  <c r="H249" i="6"/>
  <c r="J249" i="6"/>
  <c r="K249" i="6"/>
  <c r="F250" i="6"/>
  <c r="H250" i="6"/>
  <c r="J250" i="6"/>
  <c r="K250" i="6"/>
  <c r="F251" i="6"/>
  <c r="H251" i="6"/>
  <c r="J251" i="6"/>
  <c r="K251" i="6"/>
  <c r="F252" i="6"/>
  <c r="H252" i="6"/>
  <c r="J252" i="6"/>
  <c r="K252" i="6"/>
  <c r="F253" i="6"/>
  <c r="H253" i="6"/>
  <c r="J253" i="6"/>
  <c r="K253" i="6"/>
  <c r="F254" i="6"/>
  <c r="H254" i="6"/>
  <c r="J254" i="6"/>
  <c r="K254" i="6"/>
  <c r="F255" i="6"/>
  <c r="H255" i="6"/>
  <c r="J255" i="6"/>
  <c r="K255" i="6"/>
  <c r="F256" i="6"/>
  <c r="H256" i="6"/>
  <c r="J256" i="6"/>
  <c r="K256" i="6"/>
  <c r="F257" i="6"/>
  <c r="H257" i="6"/>
  <c r="J257" i="6"/>
  <c r="K257" i="6"/>
  <c r="F258" i="6"/>
  <c r="H258" i="6"/>
  <c r="J258" i="6"/>
  <c r="K258" i="6"/>
  <c r="F259" i="6"/>
  <c r="H259" i="6"/>
  <c r="J259" i="6"/>
  <c r="K259" i="6"/>
  <c r="F260" i="6"/>
  <c r="H260" i="6"/>
  <c r="J260" i="6"/>
  <c r="K260" i="6"/>
  <c r="F261" i="6"/>
  <c r="H261" i="6"/>
  <c r="J261" i="6"/>
  <c r="K261" i="6"/>
  <c r="K262" i="6"/>
  <c r="F263" i="6"/>
  <c r="H263" i="6"/>
  <c r="J263" i="6"/>
  <c r="K263" i="6"/>
  <c r="F264" i="6"/>
  <c r="H264" i="6"/>
  <c r="J264" i="6"/>
  <c r="K264" i="6"/>
  <c r="F265" i="6"/>
  <c r="H265" i="6"/>
  <c r="J265" i="6"/>
  <c r="K265" i="6"/>
  <c r="K266" i="6"/>
  <c r="F267" i="6"/>
  <c r="H267" i="6"/>
  <c r="J267" i="6"/>
  <c r="K267" i="6"/>
  <c r="F268" i="6"/>
  <c r="H268" i="6"/>
  <c r="J268" i="6"/>
  <c r="K268" i="6"/>
  <c r="F269" i="6"/>
  <c r="H269" i="6"/>
  <c r="J269" i="6"/>
  <c r="K269" i="6"/>
  <c r="F270" i="6"/>
  <c r="H270" i="6"/>
  <c r="J270" i="6"/>
  <c r="K270" i="6"/>
  <c r="F271" i="6"/>
  <c r="H271" i="6"/>
  <c r="J271" i="6"/>
  <c r="K271" i="6"/>
  <c r="F272" i="6"/>
  <c r="H272" i="6"/>
  <c r="J272" i="6"/>
  <c r="K272" i="6"/>
  <c r="K273" i="6"/>
  <c r="K274" i="6"/>
  <c r="F275" i="6"/>
  <c r="H275" i="6"/>
  <c r="J275" i="6"/>
  <c r="K275" i="6"/>
  <c r="F276" i="6"/>
  <c r="H276" i="6"/>
  <c r="J276" i="6"/>
  <c r="K276" i="6"/>
  <c r="K277" i="6"/>
  <c r="F278" i="6"/>
  <c r="H278" i="6"/>
  <c r="J278" i="6"/>
  <c r="K278" i="6"/>
  <c r="F279" i="6"/>
  <c r="H279" i="6"/>
  <c r="J279" i="6"/>
  <c r="K279" i="6"/>
  <c r="F280" i="6"/>
  <c r="H280" i="6"/>
  <c r="J280" i="6"/>
  <c r="K280" i="6"/>
  <c r="F281" i="6"/>
  <c r="H281" i="6"/>
  <c r="J281" i="6"/>
  <c r="K281" i="6"/>
  <c r="F282" i="6"/>
  <c r="H282" i="6"/>
  <c r="J282" i="6"/>
  <c r="K282" i="6"/>
  <c r="K283" i="6"/>
  <c r="F284" i="6"/>
  <c r="H284" i="6"/>
  <c r="J284" i="6"/>
  <c r="K284" i="6"/>
  <c r="F285" i="6"/>
  <c r="H285" i="6"/>
  <c r="J285" i="6"/>
  <c r="K285" i="6"/>
  <c r="F286" i="6"/>
  <c r="H286" i="6"/>
  <c r="J286" i="6"/>
  <c r="K286" i="6"/>
  <c r="F287" i="6"/>
  <c r="H287" i="6"/>
  <c r="J287" i="6"/>
  <c r="K287" i="6"/>
  <c r="F288" i="6"/>
  <c r="H288" i="6"/>
  <c r="J288" i="6"/>
  <c r="K288" i="6"/>
  <c r="K289" i="6"/>
  <c r="F290" i="6"/>
  <c r="H290" i="6"/>
  <c r="J290" i="6"/>
  <c r="K290" i="6"/>
  <c r="F291" i="6"/>
  <c r="H291" i="6"/>
  <c r="J291" i="6"/>
  <c r="K291" i="6"/>
  <c r="F292" i="6"/>
  <c r="H292" i="6"/>
  <c r="J292" i="6"/>
  <c r="K292" i="6"/>
  <c r="F293" i="6"/>
  <c r="H293" i="6"/>
  <c r="J293" i="6"/>
  <c r="K293" i="6"/>
  <c r="F294" i="6"/>
  <c r="H294" i="6"/>
  <c r="J294" i="6"/>
  <c r="K294" i="6"/>
  <c r="F295" i="6"/>
  <c r="H295" i="6"/>
  <c r="J295" i="6"/>
  <c r="K295" i="6"/>
  <c r="F296" i="6"/>
  <c r="H296" i="6"/>
  <c r="J296" i="6"/>
  <c r="K296" i="6"/>
  <c r="K297" i="6"/>
  <c r="F298" i="6"/>
  <c r="H298" i="6"/>
  <c r="J298" i="6"/>
  <c r="K298" i="6"/>
  <c r="F299" i="6"/>
  <c r="H299" i="6"/>
  <c r="J299" i="6"/>
  <c r="K299" i="6"/>
  <c r="F300" i="6"/>
  <c r="H300" i="6"/>
  <c r="J300" i="6"/>
  <c r="K300" i="6"/>
  <c r="F301" i="6"/>
  <c r="H301" i="6"/>
  <c r="J301" i="6"/>
  <c r="K301" i="6"/>
  <c r="F302" i="6"/>
  <c r="H302" i="6"/>
  <c r="J302" i="6"/>
  <c r="K302" i="6"/>
  <c r="F303" i="6"/>
  <c r="H303" i="6"/>
  <c r="J303" i="6"/>
  <c r="K303" i="6"/>
  <c r="K304" i="6"/>
  <c r="F305" i="6"/>
  <c r="F304" i="6" s="1"/>
  <c r="H305" i="6"/>
  <c r="H304" i="6" s="1"/>
  <c r="J305" i="6"/>
  <c r="J304" i="6" s="1"/>
  <c r="K305" i="6"/>
  <c r="K306" i="6"/>
  <c r="F307" i="6"/>
  <c r="H307" i="6"/>
  <c r="J307" i="6"/>
  <c r="K307" i="6"/>
  <c r="F308" i="6"/>
  <c r="H308" i="6"/>
  <c r="J308" i="6"/>
  <c r="K308" i="6"/>
  <c r="K309" i="6"/>
  <c r="F310" i="6"/>
  <c r="H310" i="6"/>
  <c r="J310" i="6"/>
  <c r="K310" i="6"/>
  <c r="F311" i="6"/>
  <c r="H311" i="6"/>
  <c r="J311" i="6"/>
  <c r="K311" i="6"/>
  <c r="K312" i="6"/>
  <c r="F313" i="6"/>
  <c r="H313" i="6"/>
  <c r="J313" i="6"/>
  <c r="K313" i="6"/>
  <c r="F314" i="6"/>
  <c r="H314" i="6"/>
  <c r="J314" i="6"/>
  <c r="K314" i="6"/>
  <c r="K315" i="6"/>
  <c r="K316" i="6"/>
  <c r="F317" i="6"/>
  <c r="H317" i="6"/>
  <c r="J317" i="6"/>
  <c r="K317" i="6"/>
  <c r="F318" i="6"/>
  <c r="H318" i="6"/>
  <c r="J318" i="6"/>
  <c r="K318" i="6"/>
  <c r="K319" i="6"/>
  <c r="F320" i="6"/>
  <c r="H320" i="6"/>
  <c r="J320" i="6"/>
  <c r="K320" i="6"/>
  <c r="F321" i="6"/>
  <c r="H321" i="6"/>
  <c r="J321" i="6"/>
  <c r="K321" i="6"/>
  <c r="F322" i="6"/>
  <c r="H322" i="6"/>
  <c r="J322" i="6"/>
  <c r="K322" i="6"/>
  <c r="F323" i="6"/>
  <c r="H323" i="6"/>
  <c r="J323" i="6"/>
  <c r="K323" i="6"/>
  <c r="F324" i="6"/>
  <c r="H324" i="6"/>
  <c r="J324" i="6"/>
  <c r="K324" i="6"/>
  <c r="F325" i="6"/>
  <c r="H325" i="6"/>
  <c r="J325" i="6"/>
  <c r="K325" i="6"/>
  <c r="F326" i="6"/>
  <c r="H326" i="6"/>
  <c r="J326" i="6"/>
  <c r="K326" i="6"/>
  <c r="K327" i="6"/>
  <c r="F328" i="6"/>
  <c r="H328" i="6"/>
  <c r="J328" i="6"/>
  <c r="K328" i="6"/>
  <c r="F329" i="6"/>
  <c r="H329" i="6"/>
  <c r="J329" i="6"/>
  <c r="K329" i="6"/>
  <c r="K330" i="6"/>
  <c r="F331" i="6"/>
  <c r="H331" i="6"/>
  <c r="J331" i="6"/>
  <c r="K331" i="6"/>
  <c r="F332" i="6"/>
  <c r="H332" i="6"/>
  <c r="J332" i="6"/>
  <c r="K332" i="6"/>
  <c r="F333" i="6"/>
  <c r="H333" i="6"/>
  <c r="J333" i="6"/>
  <c r="K333" i="6"/>
  <c r="K334" i="6"/>
  <c r="F335" i="6"/>
  <c r="F334" i="6" s="1"/>
  <c r="H335" i="6"/>
  <c r="H334" i="6" s="1"/>
  <c r="J335" i="6"/>
  <c r="J334" i="6" s="1"/>
  <c r="K335" i="6"/>
  <c r="K336" i="6"/>
  <c r="K337" i="6"/>
  <c r="F338" i="6"/>
  <c r="H338" i="6"/>
  <c r="J338" i="6"/>
  <c r="K338" i="6"/>
  <c r="F339" i="6"/>
  <c r="H339" i="6"/>
  <c r="J339" i="6"/>
  <c r="K339" i="6"/>
  <c r="K340" i="6"/>
  <c r="F341" i="6"/>
  <c r="H341" i="6"/>
  <c r="J341" i="6"/>
  <c r="K341" i="6"/>
  <c r="F342" i="6"/>
  <c r="H342" i="6"/>
  <c r="J342" i="6"/>
  <c r="K342" i="6"/>
  <c r="F343" i="6"/>
  <c r="H343" i="6"/>
  <c r="J343" i="6"/>
  <c r="K343" i="6"/>
  <c r="F344" i="6"/>
  <c r="H344" i="6"/>
  <c r="J344" i="6"/>
  <c r="K344" i="6"/>
  <c r="F345" i="6"/>
  <c r="H345" i="6"/>
  <c r="J345" i="6"/>
  <c r="K345" i="6"/>
  <c r="K346" i="6"/>
  <c r="K347" i="6"/>
  <c r="F348" i="6"/>
  <c r="F347" i="6" s="1"/>
  <c r="H348" i="6"/>
  <c r="H347" i="6" s="1"/>
  <c r="J348" i="6"/>
  <c r="J347" i="6" s="1"/>
  <c r="K348" i="6"/>
  <c r="K349" i="6"/>
  <c r="F350" i="6"/>
  <c r="H350" i="6"/>
  <c r="J350" i="6"/>
  <c r="K350" i="6"/>
  <c r="F351" i="6"/>
  <c r="H351" i="6"/>
  <c r="J351" i="6"/>
  <c r="K351" i="6"/>
  <c r="K352" i="6"/>
  <c r="F353" i="6"/>
  <c r="H353" i="6"/>
  <c r="J353" i="6"/>
  <c r="K353" i="6"/>
  <c r="F354" i="6"/>
  <c r="H354" i="6"/>
  <c r="J354" i="6"/>
  <c r="K354" i="6"/>
  <c r="F355" i="6"/>
  <c r="H355" i="6"/>
  <c r="J355" i="6"/>
  <c r="K355" i="6"/>
  <c r="K356" i="6"/>
  <c r="F357" i="6"/>
  <c r="H357" i="6"/>
  <c r="J357" i="6"/>
  <c r="K357" i="6"/>
  <c r="F358" i="6"/>
  <c r="H358" i="6"/>
  <c r="J358" i="6"/>
  <c r="K358" i="6"/>
  <c r="F359" i="6"/>
  <c r="H359" i="6"/>
  <c r="J359" i="6"/>
  <c r="K359" i="6"/>
  <c r="F360" i="6"/>
  <c r="H360" i="6"/>
  <c r="J360" i="6"/>
  <c r="K360" i="6"/>
  <c r="K361" i="6"/>
  <c r="F362" i="6"/>
  <c r="H362" i="6"/>
  <c r="J362" i="6"/>
  <c r="K362" i="6"/>
  <c r="F363" i="6"/>
  <c r="H363" i="6"/>
  <c r="J363" i="6"/>
  <c r="K363" i="6"/>
  <c r="F364" i="6"/>
  <c r="H364" i="6"/>
  <c r="J364" i="6"/>
  <c r="K364" i="6"/>
  <c r="F365" i="6"/>
  <c r="H365" i="6"/>
  <c r="J365" i="6"/>
  <c r="K365" i="6"/>
  <c r="K366" i="6"/>
  <c r="F367" i="6"/>
  <c r="H367" i="6"/>
  <c r="J367" i="6"/>
  <c r="K367" i="6"/>
  <c r="F368" i="6"/>
  <c r="H368" i="6"/>
  <c r="J368" i="6"/>
  <c r="K368" i="6"/>
  <c r="F369" i="6"/>
  <c r="H369" i="6"/>
  <c r="J369" i="6"/>
  <c r="K369" i="6"/>
  <c r="K370" i="6"/>
  <c r="F371" i="6"/>
  <c r="H371" i="6"/>
  <c r="J371" i="6"/>
  <c r="K371" i="6"/>
  <c r="F372" i="6"/>
  <c r="H372" i="6"/>
  <c r="J372" i="6"/>
  <c r="K372" i="6"/>
  <c r="F373" i="6"/>
  <c r="H373" i="6"/>
  <c r="J373" i="6"/>
  <c r="K373" i="6"/>
  <c r="K374" i="6"/>
  <c r="F375" i="6"/>
  <c r="H375" i="6"/>
  <c r="J375" i="6"/>
  <c r="K375" i="6"/>
  <c r="F376" i="6"/>
  <c r="H376" i="6"/>
  <c r="J376" i="6"/>
  <c r="K376" i="6"/>
  <c r="F377" i="6"/>
  <c r="H377" i="6"/>
  <c r="J377" i="6"/>
  <c r="K377" i="6"/>
  <c r="F378" i="6"/>
  <c r="H378" i="6"/>
  <c r="J378" i="6"/>
  <c r="K378" i="6"/>
  <c r="F379" i="6"/>
  <c r="H379" i="6"/>
  <c r="J379" i="6"/>
  <c r="K379" i="6"/>
  <c r="F380" i="6"/>
  <c r="H380" i="6"/>
  <c r="J380" i="6"/>
  <c r="K380" i="6"/>
  <c r="K381" i="6"/>
  <c r="K382" i="6"/>
  <c r="F383" i="6"/>
  <c r="H383" i="6"/>
  <c r="J383" i="6"/>
  <c r="K383" i="6"/>
  <c r="F384" i="6"/>
  <c r="H384" i="6"/>
  <c r="J384" i="6"/>
  <c r="K384" i="6"/>
  <c r="F385" i="6"/>
  <c r="H385" i="6"/>
  <c r="J385" i="6"/>
  <c r="K385" i="6"/>
  <c r="F386" i="6"/>
  <c r="H386" i="6"/>
  <c r="J386" i="6"/>
  <c r="K386" i="6"/>
  <c r="F387" i="6"/>
  <c r="H387" i="6"/>
  <c r="J387" i="6"/>
  <c r="K387" i="6"/>
  <c r="F388" i="6"/>
  <c r="H388" i="6"/>
  <c r="J388" i="6"/>
  <c r="K388" i="6"/>
  <c r="K389" i="6"/>
  <c r="F390" i="6"/>
  <c r="F389" i="6" s="1"/>
  <c r="H390" i="6"/>
  <c r="H389" i="6" s="1"/>
  <c r="J390" i="6"/>
  <c r="J389" i="6" s="1"/>
  <c r="K390" i="6"/>
  <c r="K391" i="6"/>
  <c r="K392" i="6"/>
  <c r="F393" i="6"/>
  <c r="H393" i="6"/>
  <c r="J393" i="6"/>
  <c r="K393" i="6"/>
  <c r="F394" i="6"/>
  <c r="H394" i="6"/>
  <c r="J394" i="6"/>
  <c r="K394" i="6"/>
  <c r="F395" i="6"/>
  <c r="H395" i="6"/>
  <c r="J395" i="6"/>
  <c r="K395" i="6"/>
  <c r="F396" i="6"/>
  <c r="H396" i="6"/>
  <c r="J396" i="6"/>
  <c r="K396" i="6"/>
  <c r="F397" i="6"/>
  <c r="H397" i="6"/>
  <c r="J397" i="6"/>
  <c r="K397" i="6"/>
  <c r="F398" i="6"/>
  <c r="H398" i="6"/>
  <c r="J398" i="6"/>
  <c r="K398" i="6"/>
  <c r="F399" i="6"/>
  <c r="H399" i="6"/>
  <c r="J399" i="6"/>
  <c r="K399" i="6"/>
  <c r="F400" i="6"/>
  <c r="H400" i="6"/>
  <c r="J400" i="6"/>
  <c r="K400" i="6"/>
  <c r="F401" i="6"/>
  <c r="H401" i="6"/>
  <c r="J401" i="6"/>
  <c r="K401" i="6"/>
  <c r="F402" i="6"/>
  <c r="H402" i="6"/>
  <c r="J402" i="6"/>
  <c r="K402" i="6"/>
  <c r="F403" i="6"/>
  <c r="H403" i="6"/>
  <c r="J403" i="6"/>
  <c r="K403" i="6"/>
  <c r="F404" i="6"/>
  <c r="H404" i="6"/>
  <c r="J404" i="6"/>
  <c r="K404" i="6"/>
  <c r="F405" i="6"/>
  <c r="H405" i="6"/>
  <c r="J405" i="6"/>
  <c r="K405" i="6"/>
  <c r="F406" i="6"/>
  <c r="H406" i="6"/>
  <c r="J406" i="6"/>
  <c r="K406" i="6"/>
  <c r="F407" i="6"/>
  <c r="H407" i="6"/>
  <c r="J407" i="6"/>
  <c r="K407" i="6"/>
  <c r="F408" i="6"/>
  <c r="H408" i="6"/>
  <c r="J408" i="6"/>
  <c r="K408" i="6"/>
  <c r="F409" i="6"/>
  <c r="H409" i="6"/>
  <c r="J409" i="6"/>
  <c r="K409" i="6"/>
  <c r="F410" i="6"/>
  <c r="H410" i="6"/>
  <c r="J410" i="6"/>
  <c r="K410" i="6"/>
  <c r="F411" i="6"/>
  <c r="H411" i="6"/>
  <c r="J411" i="6"/>
  <c r="K411" i="6"/>
  <c r="F412" i="6"/>
  <c r="H412" i="6"/>
  <c r="J412" i="6"/>
  <c r="K412" i="6"/>
  <c r="F413" i="6"/>
  <c r="H413" i="6"/>
  <c r="J413" i="6"/>
  <c r="K413" i="6"/>
  <c r="F414" i="6"/>
  <c r="H414" i="6"/>
  <c r="J414" i="6"/>
  <c r="K414" i="6"/>
  <c r="K415" i="6"/>
  <c r="F416" i="6"/>
  <c r="H416" i="6"/>
  <c r="J416" i="6"/>
  <c r="K416" i="6"/>
  <c r="F417" i="6"/>
  <c r="H417" i="6"/>
  <c r="J417" i="6"/>
  <c r="K417" i="6"/>
  <c r="F418" i="6"/>
  <c r="H418" i="6"/>
  <c r="J418" i="6"/>
  <c r="K418" i="6"/>
  <c r="F419" i="6"/>
  <c r="H419" i="6"/>
  <c r="J419" i="6"/>
  <c r="K419" i="6"/>
  <c r="F420" i="6"/>
  <c r="H420" i="6"/>
  <c r="J420" i="6"/>
  <c r="K420" i="6"/>
  <c r="F421" i="6"/>
  <c r="H421" i="6"/>
  <c r="J421" i="6"/>
  <c r="K421" i="6"/>
  <c r="F422" i="6"/>
  <c r="H422" i="6"/>
  <c r="J422" i="6"/>
  <c r="K422" i="6"/>
  <c r="F423" i="6"/>
  <c r="H423" i="6"/>
  <c r="J423" i="6"/>
  <c r="K423" i="6"/>
  <c r="F424" i="6"/>
  <c r="H424" i="6"/>
  <c r="J424" i="6"/>
  <c r="K424" i="6"/>
  <c r="F425" i="6"/>
  <c r="H425" i="6"/>
  <c r="J425" i="6"/>
  <c r="K425" i="6"/>
  <c r="F426" i="6"/>
  <c r="H426" i="6"/>
  <c r="J426" i="6"/>
  <c r="K426" i="6"/>
  <c r="F427" i="6"/>
  <c r="H427" i="6"/>
  <c r="J427" i="6"/>
  <c r="K427" i="6"/>
  <c r="F428" i="6"/>
  <c r="H428" i="6"/>
  <c r="J428" i="6"/>
  <c r="K428" i="6"/>
  <c r="F429" i="6"/>
  <c r="H429" i="6"/>
  <c r="J429" i="6"/>
  <c r="K429" i="6"/>
  <c r="K430" i="6"/>
  <c r="K431" i="6"/>
  <c r="F432" i="6"/>
  <c r="H432" i="6"/>
  <c r="J432" i="6"/>
  <c r="K432" i="6"/>
  <c r="F433" i="6"/>
  <c r="H433" i="6"/>
  <c r="J433" i="6"/>
  <c r="K433" i="6"/>
  <c r="F434" i="6"/>
  <c r="H434" i="6"/>
  <c r="J434" i="6"/>
  <c r="K434" i="6"/>
  <c r="F435" i="6"/>
  <c r="H435" i="6"/>
  <c r="J435" i="6"/>
  <c r="K435" i="6"/>
  <c r="F436" i="6"/>
  <c r="H436" i="6"/>
  <c r="J436" i="6"/>
  <c r="K436" i="6"/>
  <c r="K437" i="6"/>
  <c r="F438" i="6"/>
  <c r="F437" i="6" s="1"/>
  <c r="H438" i="6"/>
  <c r="H437" i="6" s="1"/>
  <c r="J438" i="6"/>
  <c r="J437" i="6" s="1"/>
  <c r="K438" i="6"/>
  <c r="K439" i="6"/>
  <c r="F440" i="6"/>
  <c r="F439" i="6" s="1"/>
  <c r="H440" i="6"/>
  <c r="H439" i="6" s="1"/>
  <c r="J440" i="6"/>
  <c r="J439" i="6" s="1"/>
  <c r="K440" i="6"/>
  <c r="K441" i="6"/>
  <c r="F442" i="6"/>
  <c r="F441" i="6" s="1"/>
  <c r="H442" i="6"/>
  <c r="J442" i="6"/>
  <c r="J441" i="6" s="1"/>
  <c r="K442" i="6"/>
  <c r="K443" i="6"/>
  <c r="F444" i="6"/>
  <c r="H444" i="6"/>
  <c r="J444" i="6"/>
  <c r="K444" i="6"/>
  <c r="F445" i="6"/>
  <c r="H445" i="6"/>
  <c r="J445" i="6"/>
  <c r="K445" i="6"/>
  <c r="F446" i="6"/>
  <c r="H446" i="6"/>
  <c r="J446" i="6"/>
  <c r="K446" i="6"/>
  <c r="F447" i="6"/>
  <c r="H447" i="6"/>
  <c r="J447" i="6"/>
  <c r="K447" i="6"/>
  <c r="F448" i="6"/>
  <c r="H448" i="6"/>
  <c r="J448" i="6"/>
  <c r="K448" i="6"/>
  <c r="F449" i="6"/>
  <c r="H449" i="6"/>
  <c r="J449" i="6"/>
  <c r="K449" i="6"/>
  <c r="K450" i="6"/>
  <c r="F451" i="6"/>
  <c r="H451" i="6"/>
  <c r="J451" i="6"/>
  <c r="K451" i="6"/>
  <c r="F452" i="6"/>
  <c r="H452" i="6"/>
  <c r="J452" i="6"/>
  <c r="K452" i="6"/>
  <c r="F453" i="6"/>
  <c r="H453" i="6"/>
  <c r="J453" i="6"/>
  <c r="K453" i="6"/>
  <c r="F454" i="6"/>
  <c r="H454" i="6"/>
  <c r="J454" i="6"/>
  <c r="K454" i="6"/>
  <c r="F455" i="6"/>
  <c r="H455" i="6"/>
  <c r="J455" i="6"/>
  <c r="K455" i="6"/>
  <c r="F456" i="6"/>
  <c r="H456" i="6"/>
  <c r="J456" i="6"/>
  <c r="K456" i="6"/>
  <c r="K457" i="6"/>
  <c r="K458" i="6"/>
  <c r="F459" i="6"/>
  <c r="H459" i="6"/>
  <c r="H458" i="6" s="1"/>
  <c r="J459" i="6"/>
  <c r="J458" i="6" s="1"/>
  <c r="K459" i="6"/>
  <c r="K460" i="6"/>
  <c r="F461" i="6"/>
  <c r="H461" i="6"/>
  <c r="J461" i="6"/>
  <c r="K461" i="6"/>
  <c r="F462" i="6"/>
  <c r="H462" i="6"/>
  <c r="J462" i="6"/>
  <c r="K462" i="6"/>
  <c r="F463" i="6"/>
  <c r="H463" i="6"/>
  <c r="J463" i="6"/>
  <c r="K463" i="6"/>
  <c r="F464" i="6"/>
  <c r="H464" i="6"/>
  <c r="J464" i="6"/>
  <c r="K464" i="6"/>
  <c r="F465" i="6"/>
  <c r="H465" i="6"/>
  <c r="J465" i="6"/>
  <c r="K465" i="6"/>
  <c r="K466" i="6"/>
  <c r="K467" i="6"/>
  <c r="F468" i="6"/>
  <c r="H468" i="6"/>
  <c r="J468" i="6"/>
  <c r="K468" i="6"/>
  <c r="F469" i="6"/>
  <c r="H469" i="6"/>
  <c r="J469" i="6"/>
  <c r="K469" i="6"/>
  <c r="F470" i="6"/>
  <c r="H470" i="6"/>
  <c r="J470" i="6"/>
  <c r="K470" i="6"/>
  <c r="F471" i="6"/>
  <c r="H471" i="6"/>
  <c r="J471" i="6"/>
  <c r="K471" i="6"/>
  <c r="F472" i="6"/>
  <c r="H472" i="6"/>
  <c r="J472" i="6"/>
  <c r="K472" i="6"/>
  <c r="F473" i="6"/>
  <c r="H473" i="6"/>
  <c r="J473" i="6"/>
  <c r="K473" i="6"/>
  <c r="F474" i="6"/>
  <c r="H474" i="6"/>
  <c r="J474" i="6"/>
  <c r="K474" i="6"/>
  <c r="F475" i="6"/>
  <c r="H475" i="6"/>
  <c r="J475" i="6"/>
  <c r="K475" i="6"/>
  <c r="F476" i="6"/>
  <c r="H476" i="6"/>
  <c r="J476" i="6"/>
  <c r="K476" i="6"/>
  <c r="F477" i="6"/>
  <c r="H477" i="6"/>
  <c r="J477" i="6"/>
  <c r="K477" i="6"/>
  <c r="F478" i="6"/>
  <c r="H478" i="6"/>
  <c r="J478" i="6"/>
  <c r="K478" i="6"/>
  <c r="F479" i="6"/>
  <c r="H479" i="6"/>
  <c r="J479" i="6"/>
  <c r="K479" i="6"/>
  <c r="F480" i="6"/>
  <c r="H480" i="6"/>
  <c r="J480" i="6"/>
  <c r="K480" i="6"/>
  <c r="F481" i="6"/>
  <c r="H481" i="6"/>
  <c r="J481" i="6"/>
  <c r="K481" i="6"/>
  <c r="F482" i="6"/>
  <c r="H482" i="6"/>
  <c r="J482" i="6"/>
  <c r="K482" i="6"/>
  <c r="F483" i="6"/>
  <c r="H483" i="6"/>
  <c r="J483" i="6"/>
  <c r="K483" i="6"/>
  <c r="F484" i="6"/>
  <c r="H484" i="6"/>
  <c r="J484" i="6"/>
  <c r="K484" i="6"/>
  <c r="F485" i="6"/>
  <c r="H485" i="6"/>
  <c r="J485" i="6"/>
  <c r="K485" i="6"/>
  <c r="F486" i="6"/>
  <c r="H486" i="6"/>
  <c r="J486" i="6"/>
  <c r="K486" i="6"/>
  <c r="F487" i="6"/>
  <c r="H487" i="6"/>
  <c r="J487" i="6"/>
  <c r="K487" i="6"/>
  <c r="F488" i="6"/>
  <c r="H488" i="6"/>
  <c r="J488" i="6"/>
  <c r="K488" i="6"/>
  <c r="F489" i="6"/>
  <c r="H489" i="6"/>
  <c r="J489" i="6"/>
  <c r="K489" i="6"/>
  <c r="K490" i="6"/>
  <c r="F491" i="6"/>
  <c r="H491" i="6"/>
  <c r="J491" i="6"/>
  <c r="K491" i="6"/>
  <c r="F492" i="6"/>
  <c r="H492" i="6"/>
  <c r="J492" i="6"/>
  <c r="K492" i="6"/>
  <c r="F493" i="6"/>
  <c r="H493" i="6"/>
  <c r="J493" i="6"/>
  <c r="K493" i="6"/>
  <c r="F494" i="6"/>
  <c r="H494" i="6"/>
  <c r="J494" i="6"/>
  <c r="K494" i="6"/>
  <c r="F495" i="6"/>
  <c r="H495" i="6"/>
  <c r="J495" i="6"/>
  <c r="K495" i="6"/>
  <c r="F496" i="6"/>
  <c r="H496" i="6"/>
  <c r="J496" i="6"/>
  <c r="K496" i="6"/>
  <c r="F497" i="6"/>
  <c r="H497" i="6"/>
  <c r="J497" i="6"/>
  <c r="K497" i="6"/>
  <c r="F498" i="6"/>
  <c r="H498" i="6"/>
  <c r="J498" i="6"/>
  <c r="K498" i="6"/>
  <c r="F499" i="6"/>
  <c r="H499" i="6"/>
  <c r="J499" i="6"/>
  <c r="K499" i="6"/>
  <c r="F500" i="6"/>
  <c r="H500" i="6"/>
  <c r="J500" i="6"/>
  <c r="K500" i="6"/>
  <c r="F501" i="6"/>
  <c r="H501" i="6"/>
  <c r="J501" i="6"/>
  <c r="K501" i="6"/>
  <c r="F502" i="6"/>
  <c r="H502" i="6"/>
  <c r="J502" i="6"/>
  <c r="K502" i="6"/>
  <c r="F503" i="6"/>
  <c r="H503" i="6"/>
  <c r="J503" i="6"/>
  <c r="K503" i="6"/>
  <c r="F504" i="6"/>
  <c r="H504" i="6"/>
  <c r="J504" i="6"/>
  <c r="K504" i="6"/>
  <c r="K505" i="6"/>
  <c r="F506" i="6"/>
  <c r="H506" i="6"/>
  <c r="J506" i="6"/>
  <c r="K506" i="6"/>
  <c r="F507" i="6"/>
  <c r="H507" i="6"/>
  <c r="J507" i="6"/>
  <c r="K507" i="6"/>
  <c r="F508" i="6"/>
  <c r="H508" i="6"/>
  <c r="J508" i="6"/>
  <c r="K508" i="6"/>
  <c r="F509" i="6"/>
  <c r="H509" i="6"/>
  <c r="J509" i="6"/>
  <c r="K509" i="6"/>
  <c r="F510" i="6"/>
  <c r="H510" i="6"/>
  <c r="J510" i="6"/>
  <c r="K510" i="6"/>
  <c r="F511" i="6"/>
  <c r="H511" i="6"/>
  <c r="J511" i="6"/>
  <c r="K511" i="6"/>
  <c r="K512" i="6"/>
  <c r="F513" i="6"/>
  <c r="F512" i="6" s="1"/>
  <c r="H513" i="6"/>
  <c r="H512" i="6" s="1"/>
  <c r="J513" i="6"/>
  <c r="K513" i="6"/>
  <c r="K514" i="6"/>
  <c r="F515" i="6"/>
  <c r="H515" i="6"/>
  <c r="J515" i="6"/>
  <c r="K515" i="6"/>
  <c r="F516" i="6"/>
  <c r="H516" i="6"/>
  <c r="J516" i="6"/>
  <c r="K516" i="6"/>
  <c r="F517" i="6"/>
  <c r="H517" i="6"/>
  <c r="J517" i="6"/>
  <c r="K517" i="6"/>
  <c r="F518" i="6"/>
  <c r="H518" i="6"/>
  <c r="J518" i="6"/>
  <c r="K518" i="6"/>
  <c r="K519" i="6"/>
  <c r="F520" i="6"/>
  <c r="H520" i="6"/>
  <c r="J520" i="6"/>
  <c r="K520" i="6"/>
  <c r="F521" i="6"/>
  <c r="H521" i="6"/>
  <c r="J521" i="6"/>
  <c r="K521" i="6"/>
  <c r="F522" i="6"/>
  <c r="H522" i="6"/>
  <c r="J522" i="6"/>
  <c r="K522" i="6"/>
  <c r="F523" i="6"/>
  <c r="H523" i="6"/>
  <c r="J523" i="6"/>
  <c r="K523" i="6"/>
  <c r="K524" i="6"/>
  <c r="F525" i="6"/>
  <c r="H525" i="6"/>
  <c r="J525" i="6"/>
  <c r="K525" i="6"/>
  <c r="F526" i="6"/>
  <c r="H526" i="6"/>
  <c r="J526" i="6"/>
  <c r="K526" i="6"/>
  <c r="F527" i="6"/>
  <c r="H527" i="6"/>
  <c r="J527" i="6"/>
  <c r="K527" i="6"/>
  <c r="K528" i="6"/>
  <c r="L528" i="6"/>
  <c r="K530" i="6"/>
  <c r="K531" i="6"/>
  <c r="F532" i="6"/>
  <c r="H532" i="6"/>
  <c r="J532" i="6"/>
  <c r="K532" i="6"/>
  <c r="F533" i="6"/>
  <c r="H533" i="6"/>
  <c r="J533" i="6"/>
  <c r="K533" i="6"/>
  <c r="F534" i="6"/>
  <c r="H534" i="6"/>
  <c r="J534" i="6"/>
  <c r="K534" i="6"/>
  <c r="K535" i="6"/>
  <c r="F536" i="6"/>
  <c r="H536" i="6"/>
  <c r="J536" i="6"/>
  <c r="K536" i="6"/>
  <c r="F537" i="6"/>
  <c r="H537" i="6"/>
  <c r="J537" i="6"/>
  <c r="K537" i="6"/>
  <c r="K538" i="6"/>
  <c r="K539" i="6"/>
  <c r="K540" i="6"/>
  <c r="F541" i="6"/>
  <c r="H541" i="6"/>
  <c r="J541" i="6"/>
  <c r="K541" i="6"/>
  <c r="F542" i="6"/>
  <c r="H542" i="6"/>
  <c r="J542" i="6"/>
  <c r="K542" i="6"/>
  <c r="F543" i="6"/>
  <c r="H543" i="6"/>
  <c r="J543" i="6"/>
  <c r="K543" i="6"/>
  <c r="F544" i="6"/>
  <c r="H544" i="6"/>
  <c r="J544" i="6"/>
  <c r="K544" i="6"/>
  <c r="F545" i="6"/>
  <c r="H545" i="6"/>
  <c r="J545" i="6"/>
  <c r="K545" i="6"/>
  <c r="K546" i="6"/>
  <c r="F547" i="6"/>
  <c r="H547" i="6"/>
  <c r="J547" i="6"/>
  <c r="K547" i="6"/>
  <c r="F548" i="6"/>
  <c r="H548" i="6"/>
  <c r="J548" i="6"/>
  <c r="K548" i="6"/>
  <c r="F549" i="6"/>
  <c r="H549" i="6"/>
  <c r="J549" i="6"/>
  <c r="K549" i="6"/>
  <c r="K550" i="6"/>
  <c r="K551" i="6"/>
  <c r="F552" i="6"/>
  <c r="H552" i="6"/>
  <c r="J552" i="6"/>
  <c r="K552" i="6"/>
  <c r="F553" i="6"/>
  <c r="H553" i="6"/>
  <c r="J553" i="6"/>
  <c r="K553" i="6"/>
  <c r="F554" i="6"/>
  <c r="H554" i="6"/>
  <c r="J554" i="6"/>
  <c r="K554" i="6"/>
  <c r="F555" i="6"/>
  <c r="H555" i="6"/>
  <c r="J555" i="6"/>
  <c r="K555" i="6"/>
  <c r="F556" i="6"/>
  <c r="H556" i="6"/>
  <c r="J556" i="6"/>
  <c r="K556" i="6"/>
  <c r="F557" i="6"/>
  <c r="H557" i="6"/>
  <c r="J557" i="6"/>
  <c r="K557" i="6"/>
  <c r="F558" i="6"/>
  <c r="H558" i="6"/>
  <c r="J558" i="6"/>
  <c r="K558" i="6"/>
  <c r="K559" i="6"/>
  <c r="F560" i="6"/>
  <c r="H560" i="6"/>
  <c r="J560" i="6"/>
  <c r="K560" i="6"/>
  <c r="F561" i="6"/>
  <c r="H561" i="6"/>
  <c r="J561" i="6"/>
  <c r="K561" i="6"/>
  <c r="F562" i="6"/>
  <c r="H562" i="6"/>
  <c r="J562" i="6"/>
  <c r="K562" i="6"/>
  <c r="F563" i="6"/>
  <c r="H563" i="6"/>
  <c r="J563" i="6"/>
  <c r="K563" i="6"/>
  <c r="F564" i="6"/>
  <c r="H564" i="6"/>
  <c r="J564" i="6"/>
  <c r="K564" i="6"/>
  <c r="F565" i="6"/>
  <c r="H565" i="6"/>
  <c r="J565" i="6"/>
  <c r="K565" i="6"/>
  <c r="F566" i="6"/>
  <c r="H566" i="6"/>
  <c r="J566" i="6"/>
  <c r="K566" i="6"/>
  <c r="K567" i="6"/>
  <c r="F568" i="6"/>
  <c r="H568" i="6"/>
  <c r="J568" i="6"/>
  <c r="K568" i="6"/>
  <c r="F569" i="6"/>
  <c r="H569" i="6"/>
  <c r="J569" i="6"/>
  <c r="K569" i="6"/>
  <c r="F570" i="6"/>
  <c r="H570" i="6"/>
  <c r="J570" i="6"/>
  <c r="K570" i="6"/>
  <c r="F571" i="6"/>
  <c r="H571" i="6"/>
  <c r="J571" i="6"/>
  <c r="K571" i="6"/>
  <c r="F572" i="6"/>
  <c r="H572" i="6"/>
  <c r="J572" i="6"/>
  <c r="K572" i="6"/>
  <c r="F573" i="6"/>
  <c r="H573" i="6"/>
  <c r="J573" i="6"/>
  <c r="K573" i="6"/>
  <c r="F574" i="6"/>
  <c r="H574" i="6"/>
  <c r="J574" i="6"/>
  <c r="K574" i="6"/>
  <c r="K575" i="6"/>
  <c r="F576" i="6"/>
  <c r="H576" i="6"/>
  <c r="J576" i="6"/>
  <c r="K576" i="6"/>
  <c r="F577" i="6"/>
  <c r="F575" i="6" s="1"/>
  <c r="H577" i="6"/>
  <c r="J577" i="6"/>
  <c r="K577" i="6"/>
  <c r="K578" i="6"/>
  <c r="F579" i="6"/>
  <c r="H579" i="6"/>
  <c r="J579" i="6"/>
  <c r="K579" i="6"/>
  <c r="F580" i="6"/>
  <c r="H580" i="6"/>
  <c r="J580" i="6"/>
  <c r="K580" i="6"/>
  <c r="K581" i="6"/>
  <c r="F582" i="6"/>
  <c r="F581" i="6" s="1"/>
  <c r="H582" i="6"/>
  <c r="J582" i="6"/>
  <c r="J581" i="6" s="1"/>
  <c r="K582" i="6"/>
  <c r="K583" i="6"/>
  <c r="K584" i="6"/>
  <c r="F585" i="6"/>
  <c r="H585" i="6"/>
  <c r="J585" i="6"/>
  <c r="K585" i="6"/>
  <c r="F586" i="6"/>
  <c r="H586" i="6"/>
  <c r="J586" i="6"/>
  <c r="K586" i="6"/>
  <c r="F587" i="6"/>
  <c r="H587" i="6"/>
  <c r="J587" i="6"/>
  <c r="K587" i="6"/>
  <c r="F588" i="6"/>
  <c r="H588" i="6"/>
  <c r="J588" i="6"/>
  <c r="K588" i="6"/>
  <c r="F589" i="6"/>
  <c r="H589" i="6"/>
  <c r="J589" i="6"/>
  <c r="K589" i="6"/>
  <c r="K590" i="6"/>
  <c r="K591" i="6"/>
  <c r="F592" i="6"/>
  <c r="H592" i="6"/>
  <c r="J592" i="6"/>
  <c r="K592" i="6"/>
  <c r="F593" i="6"/>
  <c r="H593" i="6"/>
  <c r="J593" i="6"/>
  <c r="K593" i="6"/>
  <c r="F594" i="6"/>
  <c r="H594" i="6"/>
  <c r="J594" i="6"/>
  <c r="K594" i="6"/>
  <c r="F595" i="6"/>
  <c r="H595" i="6"/>
  <c r="J595" i="6"/>
  <c r="K595" i="6"/>
  <c r="K596" i="6"/>
  <c r="F597" i="6"/>
  <c r="H597" i="6"/>
  <c r="J597" i="6"/>
  <c r="K597" i="6"/>
  <c r="F598" i="6"/>
  <c r="H598" i="6"/>
  <c r="J598" i="6"/>
  <c r="K598" i="6"/>
  <c r="F599" i="6"/>
  <c r="H599" i="6"/>
  <c r="J599" i="6"/>
  <c r="K599" i="6"/>
  <c r="F600" i="6"/>
  <c r="H600" i="6"/>
  <c r="J600" i="6"/>
  <c r="K600" i="6"/>
  <c r="F601" i="6"/>
  <c r="H601" i="6"/>
  <c r="J601" i="6"/>
  <c r="K601" i="6"/>
  <c r="F602" i="6"/>
  <c r="H602" i="6"/>
  <c r="J602" i="6"/>
  <c r="K602" i="6"/>
  <c r="F603" i="6"/>
  <c r="H603" i="6"/>
  <c r="J603" i="6"/>
  <c r="K603" i="6"/>
  <c r="F604" i="6"/>
  <c r="H604" i="6"/>
  <c r="J604" i="6"/>
  <c r="K604" i="6"/>
  <c r="F605" i="6"/>
  <c r="H605" i="6"/>
  <c r="J605" i="6"/>
  <c r="K605" i="6"/>
  <c r="F606" i="6"/>
  <c r="H606" i="6"/>
  <c r="J606" i="6"/>
  <c r="K606" i="6"/>
  <c r="K607" i="6"/>
  <c r="F608" i="6"/>
  <c r="H608" i="6"/>
  <c r="J608" i="6"/>
  <c r="K608" i="6"/>
  <c r="F609" i="6"/>
  <c r="H609" i="6"/>
  <c r="J609" i="6"/>
  <c r="K609" i="6"/>
  <c r="F610" i="6"/>
  <c r="H610" i="6"/>
  <c r="J610" i="6"/>
  <c r="K610" i="6"/>
  <c r="K611" i="6"/>
  <c r="K612" i="6"/>
  <c r="F613" i="6"/>
  <c r="F612" i="6" s="1"/>
  <c r="H613" i="6"/>
  <c r="J613" i="6"/>
  <c r="K613" i="6"/>
  <c r="K614" i="6"/>
  <c r="F615" i="6"/>
  <c r="H615" i="6"/>
  <c r="J615" i="6"/>
  <c r="J614" i="6" s="1"/>
  <c r="K615" i="6"/>
  <c r="K616" i="6"/>
  <c r="F617" i="6"/>
  <c r="H617" i="6"/>
  <c r="J617" i="6"/>
  <c r="K617" i="6"/>
  <c r="F618" i="6"/>
  <c r="H618" i="6"/>
  <c r="J618" i="6"/>
  <c r="K618" i="6"/>
  <c r="F619" i="6"/>
  <c r="H619" i="6"/>
  <c r="J619" i="6"/>
  <c r="K619" i="6"/>
  <c r="F620" i="6"/>
  <c r="H620" i="6"/>
  <c r="J620" i="6"/>
  <c r="K620" i="6"/>
  <c r="K621" i="6"/>
  <c r="F622" i="6"/>
  <c r="H622" i="6"/>
  <c r="J622" i="6"/>
  <c r="K622" i="6"/>
  <c r="F623" i="6"/>
  <c r="H623" i="6"/>
  <c r="J623" i="6"/>
  <c r="K623" i="6"/>
  <c r="F624" i="6"/>
  <c r="H624" i="6"/>
  <c r="J624" i="6"/>
  <c r="K624" i="6"/>
  <c r="F625" i="6"/>
  <c r="H625" i="6"/>
  <c r="J625" i="6"/>
  <c r="K625" i="6"/>
  <c r="K626" i="6"/>
  <c r="F627" i="6"/>
  <c r="F626" i="6" s="1"/>
  <c r="H627" i="6"/>
  <c r="J627" i="6"/>
  <c r="J626" i="6" s="1"/>
  <c r="K627" i="6"/>
  <c r="K628" i="6"/>
  <c r="K629" i="6"/>
  <c r="F630" i="6"/>
  <c r="H630" i="6"/>
  <c r="J630" i="6"/>
  <c r="K630" i="6"/>
  <c r="F631" i="6"/>
  <c r="H631" i="6"/>
  <c r="J631" i="6"/>
  <c r="K631" i="6"/>
  <c r="F632" i="6"/>
  <c r="H632" i="6"/>
  <c r="J632" i="6"/>
  <c r="K632" i="6"/>
  <c r="F633" i="6"/>
  <c r="H633" i="6"/>
  <c r="J633" i="6"/>
  <c r="K633" i="6"/>
  <c r="F634" i="6"/>
  <c r="H634" i="6"/>
  <c r="J634" i="6"/>
  <c r="K634" i="6"/>
  <c r="F635" i="6"/>
  <c r="H635" i="6"/>
  <c r="J635" i="6"/>
  <c r="K635" i="6"/>
  <c r="F636" i="6"/>
  <c r="H636" i="6"/>
  <c r="J636" i="6"/>
  <c r="K636" i="6"/>
  <c r="K637" i="6"/>
  <c r="F638" i="6"/>
  <c r="H638" i="6"/>
  <c r="J638" i="6"/>
  <c r="K638" i="6"/>
  <c r="F639" i="6"/>
  <c r="H639" i="6"/>
  <c r="J639" i="6"/>
  <c r="K639" i="6"/>
  <c r="F640" i="6"/>
  <c r="H640" i="6"/>
  <c r="J640" i="6"/>
  <c r="K640" i="6"/>
  <c r="F641" i="6"/>
  <c r="H641" i="6"/>
  <c r="J641" i="6"/>
  <c r="K641" i="6"/>
  <c r="F642" i="6"/>
  <c r="H642" i="6"/>
  <c r="J642" i="6"/>
  <c r="K642" i="6"/>
  <c r="K643" i="6"/>
  <c r="F644" i="6"/>
  <c r="H644" i="6"/>
  <c r="J644" i="6"/>
  <c r="K644" i="6"/>
  <c r="F645" i="6"/>
  <c r="H645" i="6"/>
  <c r="J645" i="6"/>
  <c r="K645" i="6"/>
  <c r="F646" i="6"/>
  <c r="H646" i="6"/>
  <c r="J646" i="6"/>
  <c r="K646" i="6"/>
  <c r="K647" i="6"/>
  <c r="F648" i="6"/>
  <c r="H648" i="6"/>
  <c r="J648" i="6"/>
  <c r="K648" i="6"/>
  <c r="F649" i="6"/>
  <c r="H649" i="6"/>
  <c r="J649" i="6"/>
  <c r="K649" i="6"/>
  <c r="F650" i="6"/>
  <c r="H650" i="6"/>
  <c r="J650" i="6"/>
  <c r="K650" i="6"/>
  <c r="F651" i="6"/>
  <c r="H651" i="6"/>
  <c r="J651" i="6"/>
  <c r="K651" i="6"/>
  <c r="F652" i="6"/>
  <c r="H652" i="6"/>
  <c r="J652" i="6"/>
  <c r="K652" i="6"/>
  <c r="F653" i="6"/>
  <c r="H653" i="6"/>
  <c r="J653" i="6"/>
  <c r="K653" i="6"/>
  <c r="F654" i="6"/>
  <c r="H654" i="6"/>
  <c r="J654" i="6"/>
  <c r="K654" i="6"/>
  <c r="F655" i="6"/>
  <c r="H655" i="6"/>
  <c r="J655" i="6"/>
  <c r="K655" i="6"/>
  <c r="F656" i="6"/>
  <c r="H656" i="6"/>
  <c r="J656" i="6"/>
  <c r="K656" i="6"/>
  <c r="F657" i="6"/>
  <c r="H657" i="6"/>
  <c r="J657" i="6"/>
  <c r="K657" i="6"/>
  <c r="K658" i="6"/>
  <c r="L658" i="6"/>
  <c r="K660" i="6"/>
  <c r="K661" i="6"/>
  <c r="K662" i="6"/>
  <c r="F663" i="6"/>
  <c r="H663" i="6"/>
  <c r="J663" i="6"/>
  <c r="K663" i="6"/>
  <c r="F664" i="6"/>
  <c r="H664" i="6"/>
  <c r="J664" i="6"/>
  <c r="K664" i="6"/>
  <c r="K665" i="6"/>
  <c r="F666" i="6"/>
  <c r="H666" i="6"/>
  <c r="J666" i="6"/>
  <c r="K666" i="6"/>
  <c r="F667" i="6"/>
  <c r="H667" i="6"/>
  <c r="J667" i="6"/>
  <c r="K667" i="6"/>
  <c r="F668" i="6"/>
  <c r="H668" i="6"/>
  <c r="J668" i="6"/>
  <c r="K668" i="6"/>
  <c r="K669" i="6"/>
  <c r="K670" i="6"/>
  <c r="K671" i="6"/>
  <c r="F672" i="6"/>
  <c r="H672" i="6"/>
  <c r="J672" i="6"/>
  <c r="K672" i="6"/>
  <c r="F673" i="6"/>
  <c r="H673" i="6"/>
  <c r="J673" i="6"/>
  <c r="K673" i="6"/>
  <c r="F674" i="6"/>
  <c r="H674" i="6"/>
  <c r="J674" i="6"/>
  <c r="K674" i="6"/>
  <c r="K675" i="6"/>
  <c r="F676" i="6"/>
  <c r="H676" i="6"/>
  <c r="J676" i="6"/>
  <c r="K676" i="6"/>
  <c r="F677" i="6"/>
  <c r="H677" i="6"/>
  <c r="J677" i="6"/>
  <c r="K677" i="6"/>
  <c r="F678" i="6"/>
  <c r="H678" i="6"/>
  <c r="J678" i="6"/>
  <c r="K678" i="6"/>
  <c r="F679" i="6"/>
  <c r="H679" i="6"/>
  <c r="J679" i="6"/>
  <c r="K679" i="6"/>
  <c r="K680" i="6"/>
  <c r="F681" i="6"/>
  <c r="H681" i="6"/>
  <c r="J681" i="6"/>
  <c r="K681" i="6"/>
  <c r="F682" i="6"/>
  <c r="H682" i="6"/>
  <c r="J682" i="6"/>
  <c r="K682" i="6"/>
  <c r="F683" i="6"/>
  <c r="H683" i="6"/>
  <c r="J683" i="6"/>
  <c r="K683" i="6"/>
  <c r="F684" i="6"/>
  <c r="H684" i="6"/>
  <c r="J684" i="6"/>
  <c r="K684" i="6"/>
  <c r="F685" i="6"/>
  <c r="H685" i="6"/>
  <c r="J685" i="6"/>
  <c r="K685" i="6"/>
  <c r="F686" i="6"/>
  <c r="H686" i="6"/>
  <c r="J686" i="6"/>
  <c r="K686" i="6"/>
  <c r="F687" i="6"/>
  <c r="H687" i="6"/>
  <c r="J687" i="6"/>
  <c r="K687" i="6"/>
  <c r="K688" i="6"/>
  <c r="F689" i="6"/>
  <c r="H689" i="6"/>
  <c r="J689" i="6"/>
  <c r="K689" i="6"/>
  <c r="F690" i="6"/>
  <c r="H690" i="6"/>
  <c r="J690" i="6"/>
  <c r="K690" i="6"/>
  <c r="F691" i="6"/>
  <c r="H691" i="6"/>
  <c r="J691" i="6"/>
  <c r="K691" i="6"/>
  <c r="F692" i="6"/>
  <c r="H692" i="6"/>
  <c r="J692" i="6"/>
  <c r="K692" i="6"/>
  <c r="F693" i="6"/>
  <c r="H693" i="6"/>
  <c r="J693" i="6"/>
  <c r="K693" i="6"/>
  <c r="F694" i="6"/>
  <c r="H694" i="6"/>
  <c r="J694" i="6"/>
  <c r="K694" i="6"/>
  <c r="F695" i="6"/>
  <c r="H695" i="6"/>
  <c r="J695" i="6"/>
  <c r="K695" i="6"/>
  <c r="K696" i="6"/>
  <c r="K697" i="6"/>
  <c r="F698" i="6"/>
  <c r="H698" i="6"/>
  <c r="J698" i="6"/>
  <c r="K698" i="6"/>
  <c r="F699" i="6"/>
  <c r="H699" i="6"/>
  <c r="J699" i="6"/>
  <c r="K699" i="6"/>
  <c r="F700" i="6"/>
  <c r="H700" i="6"/>
  <c r="J700" i="6"/>
  <c r="K700" i="6"/>
  <c r="F701" i="6"/>
  <c r="H701" i="6"/>
  <c r="J701" i="6"/>
  <c r="K701" i="6"/>
  <c r="F702" i="6"/>
  <c r="H702" i="6"/>
  <c r="J702" i="6"/>
  <c r="K702" i="6"/>
  <c r="F703" i="6"/>
  <c r="H703" i="6"/>
  <c r="J703" i="6"/>
  <c r="K703" i="6"/>
  <c r="F704" i="6"/>
  <c r="H704" i="6"/>
  <c r="J704" i="6"/>
  <c r="K704" i="6"/>
  <c r="F705" i="6"/>
  <c r="H705" i="6"/>
  <c r="J705" i="6"/>
  <c r="K705" i="6"/>
  <c r="K706" i="6"/>
  <c r="F707" i="6"/>
  <c r="H707" i="6"/>
  <c r="J707" i="6"/>
  <c r="K707" i="6"/>
  <c r="F708" i="6"/>
  <c r="H708" i="6"/>
  <c r="J708" i="6"/>
  <c r="K708" i="6"/>
  <c r="F709" i="6"/>
  <c r="H709" i="6"/>
  <c r="J709" i="6"/>
  <c r="K709" i="6"/>
  <c r="F710" i="6"/>
  <c r="H710" i="6"/>
  <c r="J710" i="6"/>
  <c r="K710" i="6"/>
  <c r="F711" i="6"/>
  <c r="H711" i="6"/>
  <c r="J711" i="6"/>
  <c r="K711" i="6"/>
  <c r="F712" i="6"/>
  <c r="H712" i="6"/>
  <c r="J712" i="6"/>
  <c r="K712" i="6"/>
  <c r="F713" i="6"/>
  <c r="H713" i="6"/>
  <c r="J713" i="6"/>
  <c r="K713" i="6"/>
  <c r="F714" i="6"/>
  <c r="H714" i="6"/>
  <c r="J714" i="6"/>
  <c r="K714" i="6"/>
  <c r="K715" i="6"/>
  <c r="F716" i="6"/>
  <c r="H716" i="6"/>
  <c r="J716" i="6"/>
  <c r="K716" i="6"/>
  <c r="F717" i="6"/>
  <c r="H717" i="6"/>
  <c r="J717" i="6"/>
  <c r="K717" i="6"/>
  <c r="F718" i="6"/>
  <c r="H718" i="6"/>
  <c r="J718" i="6"/>
  <c r="K718" i="6"/>
  <c r="F719" i="6"/>
  <c r="H719" i="6"/>
  <c r="J719" i="6"/>
  <c r="K719" i="6"/>
  <c r="F720" i="6"/>
  <c r="H720" i="6"/>
  <c r="J720" i="6"/>
  <c r="K720" i="6"/>
  <c r="F721" i="6"/>
  <c r="H721" i="6"/>
  <c r="J721" i="6"/>
  <c r="K721" i="6"/>
  <c r="F722" i="6"/>
  <c r="H722" i="6"/>
  <c r="J722" i="6"/>
  <c r="K722" i="6"/>
  <c r="F723" i="6"/>
  <c r="H723" i="6"/>
  <c r="J723" i="6"/>
  <c r="K723" i="6"/>
  <c r="K724" i="6"/>
  <c r="F725" i="6"/>
  <c r="H725" i="6"/>
  <c r="J725" i="6"/>
  <c r="K725" i="6"/>
  <c r="F726" i="6"/>
  <c r="H726" i="6"/>
  <c r="J726" i="6"/>
  <c r="K726" i="6"/>
  <c r="F727" i="6"/>
  <c r="H727" i="6"/>
  <c r="J727" i="6"/>
  <c r="K727" i="6"/>
  <c r="F728" i="6"/>
  <c r="H728" i="6"/>
  <c r="J728" i="6"/>
  <c r="K728" i="6"/>
  <c r="F729" i="6"/>
  <c r="H729" i="6"/>
  <c r="J729" i="6"/>
  <c r="K729" i="6"/>
  <c r="F730" i="6"/>
  <c r="H730" i="6"/>
  <c r="J730" i="6"/>
  <c r="K730" i="6"/>
  <c r="F731" i="6"/>
  <c r="H731" i="6"/>
  <c r="J731" i="6"/>
  <c r="K731" i="6"/>
  <c r="F732" i="6"/>
  <c r="H732" i="6"/>
  <c r="J732" i="6"/>
  <c r="K732" i="6"/>
  <c r="K733" i="6"/>
  <c r="F734" i="6"/>
  <c r="H734" i="6"/>
  <c r="J734" i="6"/>
  <c r="K734" i="6"/>
  <c r="F735" i="6"/>
  <c r="H735" i="6"/>
  <c r="J735" i="6"/>
  <c r="K735" i="6"/>
  <c r="F736" i="6"/>
  <c r="H736" i="6"/>
  <c r="J736" i="6"/>
  <c r="K736" i="6"/>
  <c r="F737" i="6"/>
  <c r="H737" i="6"/>
  <c r="J737" i="6"/>
  <c r="K737" i="6"/>
  <c r="F738" i="6"/>
  <c r="H738" i="6"/>
  <c r="J738" i="6"/>
  <c r="K738" i="6"/>
  <c r="F739" i="6"/>
  <c r="H739" i="6"/>
  <c r="J739" i="6"/>
  <c r="K739" i="6"/>
  <c r="F740" i="6"/>
  <c r="H740" i="6"/>
  <c r="J740" i="6"/>
  <c r="K740" i="6"/>
  <c r="K741" i="6"/>
  <c r="F742" i="6"/>
  <c r="H742" i="6"/>
  <c r="J742" i="6"/>
  <c r="K742" i="6"/>
  <c r="F743" i="6"/>
  <c r="F741" i="6" s="1"/>
  <c r="H743" i="6"/>
  <c r="J743" i="6"/>
  <c r="K743" i="6"/>
  <c r="K744" i="6"/>
  <c r="K745" i="6"/>
  <c r="F746" i="6"/>
  <c r="H746" i="6"/>
  <c r="J746" i="6"/>
  <c r="K746" i="6"/>
  <c r="F747" i="6"/>
  <c r="H747" i="6"/>
  <c r="J747" i="6"/>
  <c r="K747" i="6"/>
  <c r="F748" i="6"/>
  <c r="H748" i="6"/>
  <c r="J748" i="6"/>
  <c r="K748" i="6"/>
  <c r="F749" i="6"/>
  <c r="H749" i="6"/>
  <c r="J749" i="6"/>
  <c r="K749" i="6"/>
  <c r="F750" i="6"/>
  <c r="H750" i="6"/>
  <c r="J750" i="6"/>
  <c r="K750" i="6"/>
  <c r="F751" i="6"/>
  <c r="H751" i="6"/>
  <c r="J751" i="6"/>
  <c r="K751" i="6"/>
  <c r="F752" i="6"/>
  <c r="H752" i="6"/>
  <c r="J752" i="6"/>
  <c r="K752" i="6"/>
  <c r="K753" i="6"/>
  <c r="F754" i="6"/>
  <c r="H754" i="6"/>
  <c r="J754" i="6"/>
  <c r="K754" i="6"/>
  <c r="F755" i="6"/>
  <c r="H755" i="6"/>
  <c r="J755" i="6"/>
  <c r="K755" i="6"/>
  <c r="F756" i="6"/>
  <c r="H756" i="6"/>
  <c r="J756" i="6"/>
  <c r="K756" i="6"/>
  <c r="K757" i="6"/>
  <c r="F758" i="6"/>
  <c r="H758" i="6"/>
  <c r="J758" i="6"/>
  <c r="K758" i="6"/>
  <c r="F759" i="6"/>
  <c r="H759" i="6"/>
  <c r="J759" i="6"/>
  <c r="K759" i="6"/>
  <c r="F760" i="6"/>
  <c r="H760" i="6"/>
  <c r="J760" i="6"/>
  <c r="K760" i="6"/>
  <c r="F761" i="6"/>
  <c r="H761" i="6"/>
  <c r="J761" i="6"/>
  <c r="K761" i="6"/>
  <c r="K762" i="6"/>
  <c r="F763" i="6"/>
  <c r="H763" i="6"/>
  <c r="J763" i="6"/>
  <c r="K763" i="6"/>
  <c r="F764" i="6"/>
  <c r="H764" i="6"/>
  <c r="J764" i="6"/>
  <c r="K764" i="6"/>
  <c r="F765" i="6"/>
  <c r="H765" i="6"/>
  <c r="J765" i="6"/>
  <c r="K765" i="6"/>
  <c r="K766" i="6"/>
  <c r="F767" i="6"/>
  <c r="H767" i="6"/>
  <c r="J767" i="6"/>
  <c r="K767" i="6"/>
  <c r="F768" i="6"/>
  <c r="H768" i="6"/>
  <c r="J768" i="6"/>
  <c r="K768" i="6"/>
  <c r="F769" i="6"/>
  <c r="H769" i="6"/>
  <c r="J769" i="6"/>
  <c r="K769" i="6"/>
  <c r="F770" i="6"/>
  <c r="H770" i="6"/>
  <c r="J770" i="6"/>
  <c r="K770" i="6"/>
  <c r="F771" i="6"/>
  <c r="H771" i="6"/>
  <c r="J771" i="6"/>
  <c r="K771" i="6"/>
  <c r="F772" i="6"/>
  <c r="H772" i="6"/>
  <c r="J772" i="6"/>
  <c r="K772" i="6"/>
  <c r="F773" i="6"/>
  <c r="H773" i="6"/>
  <c r="J773" i="6"/>
  <c r="K773" i="6"/>
  <c r="F774" i="6"/>
  <c r="H774" i="6"/>
  <c r="J774" i="6"/>
  <c r="K774" i="6"/>
  <c r="F775" i="6"/>
  <c r="H775" i="6"/>
  <c r="J775" i="6"/>
  <c r="K775" i="6"/>
  <c r="K776" i="6"/>
  <c r="K777" i="6"/>
  <c r="F778" i="6"/>
  <c r="H778" i="6"/>
  <c r="J778" i="6"/>
  <c r="K778" i="6"/>
  <c r="F779" i="6"/>
  <c r="H779" i="6"/>
  <c r="J779" i="6"/>
  <c r="K779" i="6"/>
  <c r="F780" i="6"/>
  <c r="H780" i="6"/>
  <c r="J780" i="6"/>
  <c r="K780" i="6"/>
  <c r="F781" i="6"/>
  <c r="H781" i="6"/>
  <c r="J781" i="6"/>
  <c r="K781" i="6"/>
  <c r="K782" i="6"/>
  <c r="F783" i="6"/>
  <c r="H783" i="6"/>
  <c r="J783" i="6"/>
  <c r="K783" i="6"/>
  <c r="F784" i="6"/>
  <c r="H784" i="6"/>
  <c r="J784" i="6"/>
  <c r="K784" i="6"/>
  <c r="K785" i="6"/>
  <c r="F786" i="6"/>
  <c r="H786" i="6"/>
  <c r="J786" i="6"/>
  <c r="K786" i="6"/>
  <c r="F787" i="6"/>
  <c r="H787" i="6"/>
  <c r="J787" i="6"/>
  <c r="K787" i="6"/>
  <c r="K788" i="6"/>
  <c r="F789" i="6"/>
  <c r="H789" i="6"/>
  <c r="J789" i="6"/>
  <c r="K789" i="6"/>
  <c r="F790" i="6"/>
  <c r="H790" i="6"/>
  <c r="J790" i="6"/>
  <c r="K790" i="6"/>
  <c r="K791" i="6"/>
  <c r="F792" i="6"/>
  <c r="H792" i="6"/>
  <c r="J792" i="6"/>
  <c r="K792" i="6"/>
  <c r="F793" i="6"/>
  <c r="H793" i="6"/>
  <c r="J793" i="6"/>
  <c r="K793" i="6"/>
  <c r="K794" i="6"/>
  <c r="K795" i="6"/>
  <c r="F796" i="6"/>
  <c r="H796" i="6"/>
  <c r="J796" i="6"/>
  <c r="K796" i="6"/>
  <c r="F797" i="6"/>
  <c r="H797" i="6"/>
  <c r="J797" i="6"/>
  <c r="K797" i="6"/>
  <c r="K798" i="6"/>
  <c r="K799" i="6"/>
  <c r="F800" i="6"/>
  <c r="F799" i="6" s="1"/>
  <c r="H800" i="6"/>
  <c r="H799" i="6" s="1"/>
  <c r="J800" i="6"/>
  <c r="K800" i="6"/>
  <c r="K801" i="6"/>
  <c r="F802" i="6"/>
  <c r="F801" i="6" s="1"/>
  <c r="H802" i="6"/>
  <c r="H801" i="6" s="1"/>
  <c r="J802" i="6"/>
  <c r="J801" i="6" s="1"/>
  <c r="K802" i="6"/>
  <c r="K803" i="6"/>
  <c r="F804" i="6"/>
  <c r="F803" i="6" s="1"/>
  <c r="H804" i="6"/>
  <c r="J804" i="6"/>
  <c r="K804" i="6"/>
  <c r="K805" i="6"/>
  <c r="K806" i="6"/>
  <c r="F807" i="6"/>
  <c r="H807" i="6"/>
  <c r="J807" i="6"/>
  <c r="K807" i="6"/>
  <c r="F808" i="6"/>
  <c r="H808" i="6"/>
  <c r="J808" i="6"/>
  <c r="K808" i="6"/>
  <c r="K809" i="6"/>
  <c r="F810" i="6"/>
  <c r="H810" i="6"/>
  <c r="J810" i="6"/>
  <c r="K810" i="6"/>
  <c r="F811" i="6"/>
  <c r="H811" i="6"/>
  <c r="J811" i="6"/>
  <c r="K811" i="6"/>
  <c r="F812" i="6"/>
  <c r="H812" i="6"/>
  <c r="J812" i="6"/>
  <c r="K812" i="6"/>
  <c r="F813" i="6"/>
  <c r="H813" i="6"/>
  <c r="J813" i="6"/>
  <c r="K813" i="6"/>
  <c r="K814" i="6"/>
  <c r="F815" i="6"/>
  <c r="H815" i="6"/>
  <c r="J815" i="6"/>
  <c r="K815" i="6"/>
  <c r="F816" i="6"/>
  <c r="H816" i="6"/>
  <c r="J816" i="6"/>
  <c r="K816" i="6"/>
  <c r="F817" i="6"/>
  <c r="H817" i="6"/>
  <c r="J817" i="6"/>
  <c r="K817" i="6"/>
  <c r="F818" i="6"/>
  <c r="H818" i="6"/>
  <c r="J818" i="6"/>
  <c r="K818" i="6"/>
  <c r="K819" i="6"/>
  <c r="F820" i="6"/>
  <c r="H820" i="6"/>
  <c r="J820" i="6"/>
  <c r="K820" i="6"/>
  <c r="F821" i="6"/>
  <c r="H821" i="6"/>
  <c r="J821" i="6"/>
  <c r="K821" i="6"/>
  <c r="F822" i="6"/>
  <c r="H822" i="6"/>
  <c r="J822" i="6"/>
  <c r="K822" i="6"/>
  <c r="K823" i="6"/>
  <c r="K824" i="6"/>
  <c r="F825" i="6"/>
  <c r="H825" i="6"/>
  <c r="J825" i="6"/>
  <c r="K825" i="6"/>
  <c r="F826" i="6"/>
  <c r="H826" i="6"/>
  <c r="J826" i="6"/>
  <c r="K826" i="6"/>
  <c r="F827" i="6"/>
  <c r="H827" i="6"/>
  <c r="J827" i="6"/>
  <c r="K827" i="6"/>
  <c r="F828" i="6"/>
  <c r="H828" i="6"/>
  <c r="J828" i="6"/>
  <c r="K828" i="6"/>
  <c r="K829" i="6"/>
  <c r="F830" i="6"/>
  <c r="H830" i="6"/>
  <c r="J830" i="6"/>
  <c r="K830" i="6"/>
  <c r="F831" i="6"/>
  <c r="H831" i="6"/>
  <c r="J831" i="6"/>
  <c r="K831" i="6"/>
  <c r="F832" i="6"/>
  <c r="H832" i="6"/>
  <c r="J832" i="6"/>
  <c r="K832" i="6"/>
  <c r="F833" i="6"/>
  <c r="H833" i="6"/>
  <c r="J833" i="6"/>
  <c r="K833" i="6"/>
  <c r="K834" i="6"/>
  <c r="K835" i="6"/>
  <c r="F836" i="6"/>
  <c r="H836" i="6"/>
  <c r="J836" i="6"/>
  <c r="K836" i="6"/>
  <c r="F837" i="6"/>
  <c r="H837" i="6"/>
  <c r="J837" i="6"/>
  <c r="K837" i="6"/>
  <c r="F838" i="6"/>
  <c r="H838" i="6"/>
  <c r="J838" i="6"/>
  <c r="K838" i="6"/>
  <c r="F839" i="6"/>
  <c r="H839" i="6"/>
  <c r="J839" i="6"/>
  <c r="K839" i="6"/>
  <c r="F840" i="6"/>
  <c r="H840" i="6"/>
  <c r="J840" i="6"/>
  <c r="K840" i="6"/>
  <c r="F841" i="6"/>
  <c r="H841" i="6"/>
  <c r="J841" i="6"/>
  <c r="K841" i="6"/>
  <c r="F842" i="6"/>
  <c r="H842" i="6"/>
  <c r="J842" i="6"/>
  <c r="K842" i="6"/>
  <c r="F843" i="6"/>
  <c r="H843" i="6"/>
  <c r="J843" i="6"/>
  <c r="K843" i="6"/>
  <c r="F844" i="6"/>
  <c r="H844" i="6"/>
  <c r="J844" i="6"/>
  <c r="K844" i="6"/>
  <c r="F845" i="6"/>
  <c r="H845" i="6"/>
  <c r="J845" i="6"/>
  <c r="K845" i="6"/>
  <c r="K846" i="6"/>
  <c r="F847" i="6"/>
  <c r="H847" i="6"/>
  <c r="J847" i="6"/>
  <c r="K847" i="6"/>
  <c r="F848" i="6"/>
  <c r="H848" i="6"/>
  <c r="J848" i="6"/>
  <c r="K848" i="6"/>
  <c r="F849" i="6"/>
  <c r="H849" i="6"/>
  <c r="J849" i="6"/>
  <c r="K849" i="6"/>
  <c r="F850" i="6"/>
  <c r="H850" i="6"/>
  <c r="J850" i="6"/>
  <c r="K850" i="6"/>
  <c r="F851" i="6"/>
  <c r="H851" i="6"/>
  <c r="J851" i="6"/>
  <c r="K851" i="6"/>
  <c r="F852" i="6"/>
  <c r="H852" i="6"/>
  <c r="J852" i="6"/>
  <c r="K852" i="6"/>
  <c r="F853" i="6"/>
  <c r="H853" i="6"/>
  <c r="J853" i="6"/>
  <c r="K853" i="6"/>
  <c r="F854" i="6"/>
  <c r="H854" i="6"/>
  <c r="J854" i="6"/>
  <c r="K854" i="6"/>
  <c r="F855" i="6"/>
  <c r="H855" i="6"/>
  <c r="J855" i="6"/>
  <c r="K855" i="6"/>
  <c r="K856" i="6"/>
  <c r="F857" i="6"/>
  <c r="H857" i="6"/>
  <c r="J857" i="6"/>
  <c r="K857" i="6"/>
  <c r="F858" i="6"/>
  <c r="H858" i="6"/>
  <c r="J858" i="6"/>
  <c r="K858" i="6"/>
  <c r="F859" i="6"/>
  <c r="H859" i="6"/>
  <c r="J859" i="6"/>
  <c r="K859" i="6"/>
  <c r="F860" i="6"/>
  <c r="H860" i="6"/>
  <c r="J860" i="6"/>
  <c r="K860" i="6"/>
  <c r="F861" i="6"/>
  <c r="H861" i="6"/>
  <c r="J861" i="6"/>
  <c r="K861" i="6"/>
  <c r="F862" i="6"/>
  <c r="H862" i="6"/>
  <c r="J862" i="6"/>
  <c r="K862" i="6"/>
  <c r="F863" i="6"/>
  <c r="H863" i="6"/>
  <c r="J863" i="6"/>
  <c r="K863" i="6"/>
  <c r="F864" i="6"/>
  <c r="H864" i="6"/>
  <c r="J864" i="6"/>
  <c r="K864" i="6"/>
  <c r="F865" i="6"/>
  <c r="H865" i="6"/>
  <c r="J865" i="6"/>
  <c r="K865" i="6"/>
  <c r="F866" i="6"/>
  <c r="H866" i="6"/>
  <c r="J866" i="6"/>
  <c r="K866" i="6"/>
  <c r="K867" i="6"/>
  <c r="F868" i="6"/>
  <c r="H868" i="6"/>
  <c r="J868" i="6"/>
  <c r="K868" i="6"/>
  <c r="F869" i="6"/>
  <c r="H869" i="6"/>
  <c r="J869" i="6"/>
  <c r="K869" i="6"/>
  <c r="F870" i="6"/>
  <c r="H870" i="6"/>
  <c r="J870" i="6"/>
  <c r="K870" i="6"/>
  <c r="F871" i="6"/>
  <c r="H871" i="6"/>
  <c r="J871" i="6"/>
  <c r="K871" i="6"/>
  <c r="F872" i="6"/>
  <c r="H872" i="6"/>
  <c r="J872" i="6"/>
  <c r="K872" i="6"/>
  <c r="F873" i="6"/>
  <c r="H873" i="6"/>
  <c r="J873" i="6"/>
  <c r="K873" i="6"/>
  <c r="F874" i="6"/>
  <c r="H874" i="6"/>
  <c r="J874" i="6"/>
  <c r="K874" i="6"/>
  <c r="F875" i="6"/>
  <c r="H875" i="6"/>
  <c r="J875" i="6"/>
  <c r="K875" i="6"/>
  <c r="F876" i="6"/>
  <c r="H876" i="6"/>
  <c r="J876" i="6"/>
  <c r="K876" i="6"/>
  <c r="F877" i="6"/>
  <c r="H877" i="6"/>
  <c r="J877" i="6"/>
  <c r="K877" i="6"/>
  <c r="F878" i="6"/>
  <c r="H878" i="6"/>
  <c r="J878" i="6"/>
  <c r="K878" i="6"/>
  <c r="F879" i="6"/>
  <c r="H879" i="6"/>
  <c r="J879" i="6"/>
  <c r="K879" i="6"/>
  <c r="F880" i="6"/>
  <c r="H880" i="6"/>
  <c r="J880" i="6"/>
  <c r="K880" i="6"/>
  <c r="K881" i="6"/>
  <c r="K882" i="6"/>
  <c r="F883" i="6"/>
  <c r="H883" i="6"/>
  <c r="J883" i="6"/>
  <c r="K883" i="6"/>
  <c r="F884" i="6"/>
  <c r="H884" i="6"/>
  <c r="J884" i="6"/>
  <c r="K884" i="6"/>
  <c r="F885" i="6"/>
  <c r="H885" i="6"/>
  <c r="J885" i="6"/>
  <c r="K885" i="6"/>
  <c r="F886" i="6"/>
  <c r="H886" i="6"/>
  <c r="J886" i="6"/>
  <c r="K886" i="6"/>
  <c r="F887" i="6"/>
  <c r="H887" i="6"/>
  <c r="J887" i="6"/>
  <c r="K887" i="6"/>
  <c r="F888" i="6"/>
  <c r="H888" i="6"/>
  <c r="J888" i="6"/>
  <c r="K888" i="6"/>
  <c r="F889" i="6"/>
  <c r="H889" i="6"/>
  <c r="J889" i="6"/>
  <c r="K889" i="6"/>
  <c r="F890" i="6"/>
  <c r="H890" i="6"/>
  <c r="J890" i="6"/>
  <c r="K890" i="6"/>
  <c r="F891" i="6"/>
  <c r="H891" i="6"/>
  <c r="J891" i="6"/>
  <c r="K891" i="6"/>
  <c r="F892" i="6"/>
  <c r="H892" i="6"/>
  <c r="J892" i="6"/>
  <c r="K892" i="6"/>
  <c r="F893" i="6"/>
  <c r="H893" i="6"/>
  <c r="J893" i="6"/>
  <c r="K893" i="6"/>
  <c r="F894" i="6"/>
  <c r="H894" i="6"/>
  <c r="J894" i="6"/>
  <c r="K894" i="6"/>
  <c r="K895" i="6"/>
  <c r="F896" i="6"/>
  <c r="H896" i="6"/>
  <c r="J896" i="6"/>
  <c r="K896" i="6"/>
  <c r="F897" i="6"/>
  <c r="H897" i="6"/>
  <c r="J897" i="6"/>
  <c r="K897" i="6"/>
  <c r="F898" i="6"/>
  <c r="H898" i="6"/>
  <c r="J898" i="6"/>
  <c r="K898" i="6"/>
  <c r="F899" i="6"/>
  <c r="H899" i="6"/>
  <c r="J899" i="6"/>
  <c r="K899" i="6"/>
  <c r="F900" i="6"/>
  <c r="H900" i="6"/>
  <c r="J900" i="6"/>
  <c r="K900" i="6"/>
  <c r="F901" i="6"/>
  <c r="H901" i="6"/>
  <c r="J901" i="6"/>
  <c r="K901" i="6"/>
  <c r="F902" i="6"/>
  <c r="H902" i="6"/>
  <c r="J902" i="6"/>
  <c r="K902" i="6"/>
  <c r="F903" i="6"/>
  <c r="H903" i="6"/>
  <c r="J903" i="6"/>
  <c r="K903" i="6"/>
  <c r="F904" i="6"/>
  <c r="H904" i="6"/>
  <c r="J904" i="6"/>
  <c r="K904" i="6"/>
  <c r="F905" i="6"/>
  <c r="H905" i="6"/>
  <c r="J905" i="6"/>
  <c r="K905" i="6"/>
  <c r="K906" i="6"/>
  <c r="F907" i="6"/>
  <c r="H907" i="6"/>
  <c r="J907" i="6"/>
  <c r="K907" i="6"/>
  <c r="F908" i="6"/>
  <c r="H908" i="6"/>
  <c r="J908" i="6"/>
  <c r="K908" i="6"/>
  <c r="F909" i="6"/>
  <c r="H909" i="6"/>
  <c r="J909" i="6"/>
  <c r="K909" i="6"/>
  <c r="F910" i="6"/>
  <c r="H910" i="6"/>
  <c r="J910" i="6"/>
  <c r="K910" i="6"/>
  <c r="F911" i="6"/>
  <c r="H911" i="6"/>
  <c r="J911" i="6"/>
  <c r="K911" i="6"/>
  <c r="F912" i="6"/>
  <c r="H912" i="6"/>
  <c r="J912" i="6"/>
  <c r="K912" i="6"/>
  <c r="F913" i="6"/>
  <c r="H913" i="6"/>
  <c r="J913" i="6"/>
  <c r="K913" i="6"/>
  <c r="K914" i="6"/>
  <c r="F915" i="6"/>
  <c r="H915" i="6"/>
  <c r="J915" i="6"/>
  <c r="K915" i="6"/>
  <c r="F916" i="6"/>
  <c r="H916" i="6"/>
  <c r="J916" i="6"/>
  <c r="K916" i="6"/>
  <c r="K917" i="6"/>
  <c r="F918" i="6"/>
  <c r="H918" i="6"/>
  <c r="J918" i="6"/>
  <c r="K918" i="6"/>
  <c r="F919" i="6"/>
  <c r="H919" i="6"/>
  <c r="J919" i="6"/>
  <c r="K919" i="6"/>
  <c r="F920" i="6"/>
  <c r="H920" i="6"/>
  <c r="J920" i="6"/>
  <c r="K920" i="6"/>
  <c r="F921" i="6"/>
  <c r="H921" i="6"/>
  <c r="J921" i="6"/>
  <c r="K921" i="6"/>
  <c r="F922" i="6"/>
  <c r="H922" i="6"/>
  <c r="J922" i="6"/>
  <c r="K922" i="6"/>
  <c r="F923" i="6"/>
  <c r="H923" i="6"/>
  <c r="J923" i="6"/>
  <c r="K923" i="6"/>
  <c r="F924" i="6"/>
  <c r="H924" i="6"/>
  <c r="J924" i="6"/>
  <c r="K924" i="6"/>
  <c r="F925" i="6"/>
  <c r="H925" i="6"/>
  <c r="J925" i="6"/>
  <c r="K925" i="6"/>
  <c r="F926" i="6"/>
  <c r="H926" i="6"/>
  <c r="J926" i="6"/>
  <c r="K926" i="6"/>
  <c r="K927" i="6"/>
  <c r="L927" i="6"/>
  <c r="K928" i="6"/>
  <c r="K929" i="6"/>
  <c r="K930" i="6"/>
  <c r="F931" i="6"/>
  <c r="H931" i="6"/>
  <c r="J931" i="6"/>
  <c r="K931" i="6"/>
  <c r="F932" i="6"/>
  <c r="H932" i="6"/>
  <c r="J932" i="6"/>
  <c r="K932" i="6"/>
  <c r="K933" i="6"/>
  <c r="F934" i="6"/>
  <c r="H934" i="6"/>
  <c r="J934" i="6"/>
  <c r="K934" i="6"/>
  <c r="F935" i="6"/>
  <c r="H935" i="6"/>
  <c r="J935" i="6"/>
  <c r="K935" i="6"/>
  <c r="F936" i="6"/>
  <c r="H936" i="6"/>
  <c r="J936" i="6"/>
  <c r="K936" i="6"/>
  <c r="K937" i="6"/>
  <c r="K938" i="6"/>
  <c r="K939" i="6"/>
  <c r="F940" i="6"/>
  <c r="H940" i="6"/>
  <c r="J940" i="6"/>
  <c r="K940" i="6"/>
  <c r="F941" i="6"/>
  <c r="H941" i="6"/>
  <c r="J941" i="6"/>
  <c r="K941" i="6"/>
  <c r="F942" i="6"/>
  <c r="H942" i="6"/>
  <c r="J942" i="6"/>
  <c r="K942" i="6"/>
  <c r="K943" i="6"/>
  <c r="F944" i="6"/>
  <c r="H944" i="6"/>
  <c r="J944" i="6"/>
  <c r="K944" i="6"/>
  <c r="F945" i="6"/>
  <c r="H945" i="6"/>
  <c r="J945" i="6"/>
  <c r="K945" i="6"/>
  <c r="K946" i="6"/>
  <c r="F947" i="6"/>
  <c r="H947" i="6"/>
  <c r="J947" i="6"/>
  <c r="K947" i="6"/>
  <c r="F948" i="6"/>
  <c r="H948" i="6"/>
  <c r="J948" i="6"/>
  <c r="K948" i="6"/>
  <c r="F949" i="6"/>
  <c r="H949" i="6"/>
  <c r="J949" i="6"/>
  <c r="K949" i="6"/>
  <c r="F950" i="6"/>
  <c r="H950" i="6"/>
  <c r="J950" i="6"/>
  <c r="K950" i="6"/>
  <c r="F951" i="6"/>
  <c r="H951" i="6"/>
  <c r="J951" i="6"/>
  <c r="K951" i="6"/>
  <c r="F952" i="6"/>
  <c r="H952" i="6"/>
  <c r="J952" i="6"/>
  <c r="K952" i="6"/>
  <c r="F953" i="6"/>
  <c r="H953" i="6"/>
  <c r="J953" i="6"/>
  <c r="K953" i="6"/>
  <c r="K954" i="6"/>
  <c r="K955" i="6"/>
  <c r="F956" i="6"/>
  <c r="H956" i="6"/>
  <c r="J956" i="6"/>
  <c r="K956" i="6"/>
  <c r="F957" i="6"/>
  <c r="H957" i="6"/>
  <c r="J957" i="6"/>
  <c r="K957" i="6"/>
  <c r="F958" i="6"/>
  <c r="H958" i="6"/>
  <c r="J958" i="6"/>
  <c r="K958" i="6"/>
  <c r="F959" i="6"/>
  <c r="H959" i="6"/>
  <c r="J959" i="6"/>
  <c r="K959" i="6"/>
  <c r="F960" i="6"/>
  <c r="H960" i="6"/>
  <c r="J960" i="6"/>
  <c r="K960" i="6"/>
  <c r="F961" i="6"/>
  <c r="H961" i="6"/>
  <c r="J961" i="6"/>
  <c r="K961" i="6"/>
  <c r="F962" i="6"/>
  <c r="H962" i="6"/>
  <c r="J962" i="6"/>
  <c r="K962" i="6"/>
  <c r="F963" i="6"/>
  <c r="H963" i="6"/>
  <c r="J963" i="6"/>
  <c r="K963" i="6"/>
  <c r="K964" i="6"/>
  <c r="F965" i="6"/>
  <c r="H965" i="6"/>
  <c r="J965" i="6"/>
  <c r="K965" i="6"/>
  <c r="F966" i="6"/>
  <c r="H966" i="6"/>
  <c r="J966" i="6"/>
  <c r="K966" i="6"/>
  <c r="F967" i="6"/>
  <c r="H967" i="6"/>
  <c r="J967" i="6"/>
  <c r="K967" i="6"/>
  <c r="F968" i="6"/>
  <c r="H968" i="6"/>
  <c r="J968" i="6"/>
  <c r="K968" i="6"/>
  <c r="F969" i="6"/>
  <c r="H969" i="6"/>
  <c r="J969" i="6"/>
  <c r="K969" i="6"/>
  <c r="F970" i="6"/>
  <c r="H970" i="6"/>
  <c r="J970" i="6"/>
  <c r="K970" i="6"/>
  <c r="F971" i="6"/>
  <c r="H971" i="6"/>
  <c r="J971" i="6"/>
  <c r="K971" i="6"/>
  <c r="F972" i="6"/>
  <c r="H972" i="6"/>
  <c r="J972" i="6"/>
  <c r="K972" i="6"/>
  <c r="K973" i="6"/>
  <c r="F974" i="6"/>
  <c r="H974" i="6"/>
  <c r="J974" i="6"/>
  <c r="K974" i="6"/>
  <c r="F975" i="6"/>
  <c r="H975" i="6"/>
  <c r="J975" i="6"/>
  <c r="K975" i="6"/>
  <c r="F976" i="6"/>
  <c r="H976" i="6"/>
  <c r="J976" i="6"/>
  <c r="K976" i="6"/>
  <c r="K977" i="6"/>
  <c r="F978" i="6"/>
  <c r="H978" i="6"/>
  <c r="J978" i="6"/>
  <c r="K978" i="6"/>
  <c r="F979" i="6"/>
  <c r="H979" i="6"/>
  <c r="J979" i="6"/>
  <c r="K979" i="6"/>
  <c r="K980" i="6"/>
  <c r="K981" i="6"/>
  <c r="F982" i="6"/>
  <c r="H982" i="6"/>
  <c r="J982" i="6"/>
  <c r="K982" i="6"/>
  <c r="F983" i="6"/>
  <c r="H983" i="6"/>
  <c r="J983" i="6"/>
  <c r="K983" i="6"/>
  <c r="F984" i="6"/>
  <c r="H984" i="6"/>
  <c r="J984" i="6"/>
  <c r="K984" i="6"/>
  <c r="F985" i="6"/>
  <c r="H985" i="6"/>
  <c r="J985" i="6"/>
  <c r="K985" i="6"/>
  <c r="F986" i="6"/>
  <c r="H986" i="6"/>
  <c r="J986" i="6"/>
  <c r="K986" i="6"/>
  <c r="K987" i="6"/>
  <c r="F988" i="6"/>
  <c r="H988" i="6"/>
  <c r="J988" i="6"/>
  <c r="K988" i="6"/>
  <c r="F989" i="6"/>
  <c r="F987" i="6" s="1"/>
  <c r="H989" i="6"/>
  <c r="J989" i="6"/>
  <c r="K989" i="6"/>
  <c r="K990" i="6"/>
  <c r="F991" i="6"/>
  <c r="H991" i="6"/>
  <c r="J991" i="6"/>
  <c r="K991" i="6"/>
  <c r="F992" i="6"/>
  <c r="H992" i="6"/>
  <c r="J992" i="6"/>
  <c r="K992" i="6"/>
  <c r="F993" i="6"/>
  <c r="H993" i="6"/>
  <c r="J993" i="6"/>
  <c r="K993" i="6"/>
  <c r="K994" i="6"/>
  <c r="F995" i="6"/>
  <c r="H995" i="6"/>
  <c r="J995" i="6"/>
  <c r="K995" i="6"/>
  <c r="F996" i="6"/>
  <c r="H996" i="6"/>
  <c r="J996" i="6"/>
  <c r="K996" i="6"/>
  <c r="F997" i="6"/>
  <c r="H997" i="6"/>
  <c r="J997" i="6"/>
  <c r="K997" i="6"/>
  <c r="F998" i="6"/>
  <c r="H998" i="6"/>
  <c r="J998" i="6"/>
  <c r="K998" i="6"/>
  <c r="K999" i="6"/>
  <c r="K1000" i="6"/>
  <c r="F1001" i="6"/>
  <c r="H1001" i="6"/>
  <c r="J1001" i="6"/>
  <c r="K1001" i="6"/>
  <c r="F1002" i="6"/>
  <c r="H1002" i="6"/>
  <c r="J1002" i="6"/>
  <c r="K1002" i="6"/>
  <c r="K1003" i="6"/>
  <c r="F1004" i="6"/>
  <c r="H1004" i="6"/>
  <c r="J1004" i="6"/>
  <c r="K1004" i="6"/>
  <c r="F1005" i="6"/>
  <c r="F1003" i="6" s="1"/>
  <c r="H1005" i="6"/>
  <c r="H1003" i="6" s="1"/>
  <c r="J1005" i="6"/>
  <c r="K1005" i="6"/>
  <c r="K1006" i="6"/>
  <c r="F1007" i="6"/>
  <c r="H1007" i="6"/>
  <c r="J1007" i="6"/>
  <c r="K1007" i="6"/>
  <c r="F1008" i="6"/>
  <c r="H1008" i="6"/>
  <c r="J1008" i="6"/>
  <c r="K1008" i="6"/>
  <c r="K1009" i="6"/>
  <c r="F1010" i="6"/>
  <c r="F1009" i="6" s="1"/>
  <c r="H1010" i="6"/>
  <c r="H1009" i="6" s="1"/>
  <c r="J1010" i="6"/>
  <c r="J1009" i="6" s="1"/>
  <c r="K1010" i="6"/>
  <c r="K1011" i="6"/>
  <c r="K1012" i="6"/>
  <c r="F1013" i="6"/>
  <c r="H1013" i="6"/>
  <c r="J1013" i="6"/>
  <c r="K1013" i="6"/>
  <c r="F1014" i="6"/>
  <c r="H1014" i="6"/>
  <c r="J1014" i="6"/>
  <c r="K1014" i="6"/>
  <c r="K1015" i="6"/>
  <c r="K1016" i="6"/>
  <c r="F1017" i="6"/>
  <c r="F1016" i="6" s="1"/>
  <c r="H1017" i="6"/>
  <c r="J1017" i="6"/>
  <c r="J1016" i="6" s="1"/>
  <c r="K1017" i="6"/>
  <c r="K1018" i="6"/>
  <c r="F1019" i="6"/>
  <c r="F1018" i="6" s="1"/>
  <c r="H1019" i="6"/>
  <c r="J1019" i="6"/>
  <c r="J1018" i="6" s="1"/>
  <c r="K1019" i="6"/>
  <c r="K1020" i="6"/>
  <c r="F1021" i="6"/>
  <c r="F1020" i="6" s="1"/>
  <c r="H1021" i="6"/>
  <c r="J1021" i="6"/>
  <c r="K1021" i="6"/>
  <c r="K1022" i="6"/>
  <c r="K1023" i="6"/>
  <c r="F1024" i="6"/>
  <c r="H1024" i="6"/>
  <c r="J1024" i="6"/>
  <c r="K1024" i="6"/>
  <c r="F1025" i="6"/>
  <c r="H1025" i="6"/>
  <c r="J1025" i="6"/>
  <c r="K1025" i="6"/>
  <c r="K1026" i="6"/>
  <c r="F1027" i="6"/>
  <c r="F1026" i="6" s="1"/>
  <c r="H1027" i="6"/>
  <c r="H1026" i="6" s="1"/>
  <c r="J1027" i="6"/>
  <c r="J1026" i="6" s="1"/>
  <c r="K1027" i="6"/>
  <c r="K1028" i="6"/>
  <c r="F1029" i="6"/>
  <c r="H1029" i="6"/>
  <c r="J1029" i="6"/>
  <c r="K1029" i="6"/>
  <c r="F1030" i="6"/>
  <c r="H1030" i="6"/>
  <c r="J1030" i="6"/>
  <c r="K1030" i="6"/>
  <c r="K1031" i="6"/>
  <c r="F1032" i="6"/>
  <c r="F1031" i="6" s="1"/>
  <c r="H1032" i="6"/>
  <c r="J1032" i="6"/>
  <c r="J1031" i="6" s="1"/>
  <c r="K1032" i="6"/>
  <c r="K1033" i="6"/>
  <c r="F1034" i="6"/>
  <c r="H1034" i="6"/>
  <c r="J1034" i="6"/>
  <c r="K1034" i="6"/>
  <c r="F1035" i="6"/>
  <c r="H1035" i="6"/>
  <c r="J1035" i="6"/>
  <c r="K1035" i="6"/>
  <c r="K1036" i="6"/>
  <c r="F1037" i="6"/>
  <c r="H1037" i="6"/>
  <c r="J1037" i="6"/>
  <c r="K1037" i="6"/>
  <c r="F1038" i="6"/>
  <c r="H1038" i="6"/>
  <c r="J1038" i="6"/>
  <c r="K1038" i="6"/>
  <c r="K1039" i="6"/>
  <c r="K1040" i="6"/>
  <c r="F1041" i="6"/>
  <c r="H1041" i="6"/>
  <c r="J1041" i="6"/>
  <c r="K1041" i="6"/>
  <c r="F1042" i="6"/>
  <c r="H1042" i="6"/>
  <c r="J1042" i="6"/>
  <c r="K1042" i="6"/>
  <c r="K1043" i="6"/>
  <c r="F1044" i="6"/>
  <c r="H1044" i="6"/>
  <c r="J1044" i="6"/>
  <c r="K1044" i="6"/>
  <c r="F1045" i="6"/>
  <c r="H1045" i="6"/>
  <c r="J1045" i="6"/>
  <c r="K1045" i="6"/>
  <c r="K1046" i="6"/>
  <c r="K1047" i="6"/>
  <c r="F1048" i="6"/>
  <c r="H1048" i="6"/>
  <c r="J1048" i="6"/>
  <c r="K1048" i="6"/>
  <c r="F1049" i="6"/>
  <c r="H1049" i="6"/>
  <c r="J1049" i="6"/>
  <c r="K1049" i="6"/>
  <c r="F1050" i="6"/>
  <c r="H1050" i="6"/>
  <c r="J1050" i="6"/>
  <c r="K1050" i="6"/>
  <c r="F1051" i="6"/>
  <c r="H1051" i="6"/>
  <c r="J1051" i="6"/>
  <c r="K1051" i="6"/>
  <c r="F1052" i="6"/>
  <c r="H1052" i="6"/>
  <c r="J1052" i="6"/>
  <c r="K1052" i="6"/>
  <c r="F1053" i="6"/>
  <c r="H1053" i="6"/>
  <c r="J1053" i="6"/>
  <c r="K1053" i="6"/>
  <c r="F1054" i="6"/>
  <c r="H1054" i="6"/>
  <c r="J1054" i="6"/>
  <c r="K1054" i="6"/>
  <c r="F1055" i="6"/>
  <c r="H1055" i="6"/>
  <c r="J1055" i="6"/>
  <c r="K1055" i="6"/>
  <c r="F1056" i="6"/>
  <c r="H1056" i="6"/>
  <c r="J1056" i="6"/>
  <c r="K1056" i="6"/>
  <c r="F1057" i="6"/>
  <c r="H1057" i="6"/>
  <c r="J1057" i="6"/>
  <c r="K1057" i="6"/>
  <c r="F1058" i="6"/>
  <c r="H1058" i="6"/>
  <c r="J1058" i="6"/>
  <c r="K1058" i="6"/>
  <c r="K1059" i="6"/>
  <c r="F1060" i="6"/>
  <c r="H1060" i="6"/>
  <c r="J1060" i="6"/>
  <c r="K1060" i="6"/>
  <c r="F1061" i="6"/>
  <c r="H1061" i="6"/>
  <c r="J1061" i="6"/>
  <c r="K1061" i="6"/>
  <c r="F1062" i="6"/>
  <c r="H1062" i="6"/>
  <c r="J1062" i="6"/>
  <c r="K1062" i="6"/>
  <c r="F1063" i="6"/>
  <c r="H1063" i="6"/>
  <c r="J1063" i="6"/>
  <c r="K1063" i="6"/>
  <c r="F1064" i="6"/>
  <c r="H1064" i="6"/>
  <c r="J1064" i="6"/>
  <c r="K1064" i="6"/>
  <c r="F1065" i="6"/>
  <c r="H1065" i="6"/>
  <c r="J1065" i="6"/>
  <c r="K1065" i="6"/>
  <c r="F1066" i="6"/>
  <c r="H1066" i="6"/>
  <c r="J1066" i="6"/>
  <c r="K1066" i="6"/>
  <c r="F1067" i="6"/>
  <c r="H1067" i="6"/>
  <c r="J1067" i="6"/>
  <c r="K1067" i="6"/>
  <c r="F1068" i="6"/>
  <c r="H1068" i="6"/>
  <c r="J1068" i="6"/>
  <c r="K1068" i="6"/>
  <c r="F1069" i="6"/>
  <c r="H1069" i="6"/>
  <c r="J1069" i="6"/>
  <c r="K1069" i="6"/>
  <c r="F1070" i="6"/>
  <c r="H1070" i="6"/>
  <c r="J1070" i="6"/>
  <c r="K1070" i="6"/>
  <c r="K1071" i="6"/>
  <c r="K1072" i="6"/>
  <c r="F1073" i="6"/>
  <c r="H1073" i="6"/>
  <c r="J1073" i="6"/>
  <c r="K1073" i="6"/>
  <c r="F1074" i="6"/>
  <c r="H1074" i="6"/>
  <c r="J1074" i="6"/>
  <c r="K1074" i="6"/>
  <c r="F1075" i="6"/>
  <c r="H1075" i="6"/>
  <c r="J1075" i="6"/>
  <c r="K1075" i="6"/>
  <c r="F1076" i="6"/>
  <c r="H1076" i="6"/>
  <c r="J1076" i="6"/>
  <c r="K1076" i="6"/>
  <c r="F1077" i="6"/>
  <c r="H1077" i="6"/>
  <c r="J1077" i="6"/>
  <c r="K1077" i="6"/>
  <c r="F1078" i="6"/>
  <c r="H1078" i="6"/>
  <c r="J1078" i="6"/>
  <c r="K1078" i="6"/>
  <c r="F1079" i="6"/>
  <c r="H1079" i="6"/>
  <c r="J1079" i="6"/>
  <c r="K1079" i="6"/>
  <c r="F1080" i="6"/>
  <c r="H1080" i="6"/>
  <c r="J1080" i="6"/>
  <c r="K1080" i="6"/>
  <c r="F1081" i="6"/>
  <c r="H1081" i="6"/>
  <c r="J1081" i="6"/>
  <c r="K1081" i="6"/>
  <c r="K1082" i="6"/>
  <c r="F1083" i="6"/>
  <c r="H1083" i="6"/>
  <c r="J1083" i="6"/>
  <c r="K1083" i="6"/>
  <c r="F1084" i="6"/>
  <c r="H1084" i="6"/>
  <c r="J1084" i="6"/>
  <c r="K1084" i="6"/>
  <c r="F1085" i="6"/>
  <c r="H1085" i="6"/>
  <c r="J1085" i="6"/>
  <c r="K1085" i="6"/>
  <c r="K1086" i="6"/>
  <c r="F1087" i="6"/>
  <c r="H1087" i="6"/>
  <c r="J1087" i="6"/>
  <c r="K1087" i="6"/>
  <c r="F1088" i="6"/>
  <c r="H1088" i="6"/>
  <c r="J1088" i="6"/>
  <c r="K1088" i="6"/>
  <c r="F1089" i="6"/>
  <c r="H1089" i="6"/>
  <c r="J1089" i="6"/>
  <c r="K1089" i="6"/>
  <c r="K1090" i="6"/>
  <c r="L1090" i="6"/>
  <c r="K1092" i="6"/>
  <c r="K1093" i="6"/>
  <c r="F1094" i="6"/>
  <c r="H1094" i="6"/>
  <c r="J1094" i="6"/>
  <c r="K1094" i="6"/>
  <c r="F1095" i="6"/>
  <c r="H1095" i="6"/>
  <c r="J1095" i="6"/>
  <c r="K1095" i="6"/>
  <c r="K1096" i="6"/>
  <c r="F1097" i="6"/>
  <c r="F1096" i="6" s="1"/>
  <c r="H1097" i="6"/>
  <c r="H1096" i="6" s="1"/>
  <c r="J1097" i="6"/>
  <c r="J1096" i="6" s="1"/>
  <c r="K1097" i="6"/>
  <c r="K1098" i="6"/>
  <c r="F1099" i="6"/>
  <c r="F1098" i="6" s="1"/>
  <c r="H1099" i="6"/>
  <c r="H1098" i="6" s="1"/>
  <c r="J1099" i="6"/>
  <c r="J1098" i="6" s="1"/>
  <c r="K1099" i="6"/>
  <c r="K1100" i="6"/>
  <c r="F1101" i="6"/>
  <c r="H1101" i="6"/>
  <c r="J1101" i="6"/>
  <c r="K1101" i="6"/>
  <c r="F1102" i="6"/>
  <c r="H1102" i="6"/>
  <c r="J1102" i="6"/>
  <c r="K1102" i="6"/>
  <c r="F1103" i="6"/>
  <c r="H1103" i="6"/>
  <c r="J1103" i="6"/>
  <c r="K1103" i="6"/>
  <c r="F1104" i="6"/>
  <c r="H1104" i="6"/>
  <c r="J1104" i="6"/>
  <c r="K1104" i="6"/>
  <c r="F1105" i="6"/>
  <c r="H1105" i="6"/>
  <c r="J1105" i="6"/>
  <c r="K1105" i="6"/>
  <c r="K1106" i="6"/>
  <c r="K1107" i="6"/>
  <c r="K1108" i="6"/>
  <c r="F1109" i="6"/>
  <c r="H1109" i="6"/>
  <c r="J1109" i="6"/>
  <c r="K1109" i="6"/>
  <c r="F1110" i="6"/>
  <c r="H1110" i="6"/>
  <c r="J1110" i="6"/>
  <c r="K1110" i="6"/>
  <c r="K1111" i="6"/>
  <c r="F1112" i="6"/>
  <c r="H1112" i="6"/>
  <c r="J1112" i="6"/>
  <c r="K1112" i="6"/>
  <c r="F1113" i="6"/>
  <c r="H1113" i="6"/>
  <c r="J1113" i="6"/>
  <c r="K1113" i="6"/>
  <c r="K1114" i="6"/>
  <c r="F1115" i="6"/>
  <c r="F1114" i="6" s="1"/>
  <c r="H1115" i="6"/>
  <c r="H1114" i="6" s="1"/>
  <c r="J1115" i="6"/>
  <c r="J1114" i="6" s="1"/>
  <c r="K1115" i="6"/>
  <c r="K1116" i="6"/>
  <c r="F1117" i="6"/>
  <c r="H1117" i="6"/>
  <c r="J1117" i="6"/>
  <c r="K1117" i="6"/>
  <c r="F1118" i="6"/>
  <c r="H1118" i="6"/>
  <c r="J1118" i="6"/>
  <c r="K1118" i="6"/>
  <c r="K1119" i="6"/>
  <c r="F1120" i="6"/>
  <c r="H1120" i="6"/>
  <c r="J1120" i="6"/>
  <c r="K1120" i="6"/>
  <c r="F1121" i="6"/>
  <c r="H1121" i="6"/>
  <c r="J1121" i="6"/>
  <c r="K1121" i="6"/>
  <c r="K1122" i="6"/>
  <c r="K1123" i="6"/>
  <c r="K1124" i="6"/>
  <c r="F1125" i="6"/>
  <c r="H1125" i="6"/>
  <c r="J1125" i="6"/>
  <c r="K1125" i="6"/>
  <c r="F1126" i="6"/>
  <c r="H1126" i="6"/>
  <c r="J1126" i="6"/>
  <c r="K1126" i="6"/>
  <c r="F1127" i="6"/>
  <c r="H1127" i="6"/>
  <c r="J1127" i="6"/>
  <c r="K1127" i="6"/>
  <c r="F1128" i="6"/>
  <c r="H1128" i="6"/>
  <c r="J1128" i="6"/>
  <c r="K1128" i="6"/>
  <c r="K1129" i="6"/>
  <c r="F1130" i="6"/>
  <c r="H1130" i="6"/>
  <c r="J1130" i="6"/>
  <c r="K1130" i="6"/>
  <c r="F1131" i="6"/>
  <c r="H1131" i="6"/>
  <c r="J1131" i="6"/>
  <c r="K1131" i="6"/>
  <c r="F1132" i="6"/>
  <c r="H1132" i="6"/>
  <c r="J1132" i="6"/>
  <c r="K1132" i="6"/>
  <c r="F1133" i="6"/>
  <c r="H1133" i="6"/>
  <c r="J1133" i="6"/>
  <c r="K1133" i="6"/>
  <c r="F1134" i="6"/>
  <c r="H1134" i="6"/>
  <c r="J1134" i="6"/>
  <c r="K1134" i="6"/>
  <c r="F1135" i="6"/>
  <c r="H1135" i="6"/>
  <c r="J1135" i="6"/>
  <c r="K1135" i="6"/>
  <c r="F1136" i="6"/>
  <c r="H1136" i="6"/>
  <c r="J1136" i="6"/>
  <c r="K1136" i="6"/>
  <c r="F1137" i="6"/>
  <c r="H1137" i="6"/>
  <c r="J1137" i="6"/>
  <c r="K1137" i="6"/>
  <c r="F1138" i="6"/>
  <c r="H1138" i="6"/>
  <c r="J1138" i="6"/>
  <c r="K1138" i="6"/>
  <c r="K1139" i="6"/>
  <c r="F1140" i="6"/>
  <c r="H1140" i="6"/>
  <c r="J1140" i="6"/>
  <c r="K1140" i="6"/>
  <c r="F1141" i="6"/>
  <c r="H1141" i="6"/>
  <c r="J1141" i="6"/>
  <c r="K1141" i="6"/>
  <c r="F1142" i="6"/>
  <c r="H1142" i="6"/>
  <c r="J1142" i="6"/>
  <c r="K1142" i="6"/>
  <c r="F1143" i="6"/>
  <c r="H1143" i="6"/>
  <c r="J1143" i="6"/>
  <c r="K1143" i="6"/>
  <c r="K1144" i="6"/>
  <c r="K1145" i="6"/>
  <c r="F1146" i="6"/>
  <c r="H1146" i="6"/>
  <c r="J1146" i="6"/>
  <c r="K1146" i="6"/>
  <c r="F1147" i="6"/>
  <c r="H1147" i="6"/>
  <c r="J1147" i="6"/>
  <c r="K1147" i="6"/>
  <c r="K1148" i="6"/>
  <c r="F1149" i="6"/>
  <c r="H1149" i="6"/>
  <c r="J1149" i="6"/>
  <c r="K1149" i="6"/>
  <c r="F1150" i="6"/>
  <c r="H1150" i="6"/>
  <c r="J1150" i="6"/>
  <c r="K1150" i="6"/>
  <c r="F1151" i="6"/>
  <c r="H1151" i="6"/>
  <c r="J1151" i="6"/>
  <c r="K1151" i="6"/>
  <c r="K1152" i="6"/>
  <c r="K1153" i="6"/>
  <c r="F1154" i="6"/>
  <c r="H1154" i="6"/>
  <c r="J1154" i="6"/>
  <c r="K1154" i="6"/>
  <c r="F1155" i="6"/>
  <c r="H1155" i="6"/>
  <c r="J1155" i="6"/>
  <c r="K1155" i="6"/>
  <c r="F1156" i="6"/>
  <c r="H1156" i="6"/>
  <c r="J1156" i="6"/>
  <c r="K1156" i="6"/>
  <c r="K1157" i="6"/>
  <c r="F1158" i="6"/>
  <c r="F1157" i="6" s="1"/>
  <c r="H1158" i="6"/>
  <c r="H1157" i="6" s="1"/>
  <c r="J1158" i="6"/>
  <c r="J1157" i="6" s="1"/>
  <c r="K1158" i="6"/>
  <c r="K1159" i="6"/>
  <c r="F1160" i="6"/>
  <c r="F1159" i="6" s="1"/>
  <c r="H1160" i="6"/>
  <c r="H1159" i="6" s="1"/>
  <c r="J1160" i="6"/>
  <c r="K1160" i="6"/>
  <c r="K1161" i="6"/>
  <c r="F1162" i="6"/>
  <c r="H1162" i="6"/>
  <c r="J1162" i="6"/>
  <c r="K1162" i="6"/>
  <c r="F1163" i="6"/>
  <c r="H1163" i="6"/>
  <c r="J1163" i="6"/>
  <c r="K1163" i="6"/>
  <c r="F1164" i="6"/>
  <c r="H1164" i="6"/>
  <c r="J1164" i="6"/>
  <c r="K1164" i="6"/>
  <c r="F1165" i="6"/>
  <c r="H1165" i="6"/>
  <c r="J1165" i="6"/>
  <c r="K1165" i="6"/>
  <c r="F1166" i="6"/>
  <c r="H1166" i="6"/>
  <c r="J1166" i="6"/>
  <c r="K1166" i="6"/>
  <c r="K1167" i="6"/>
  <c r="F1168" i="6"/>
  <c r="H1168" i="6"/>
  <c r="J1168" i="6"/>
  <c r="K1168" i="6"/>
  <c r="F1169" i="6"/>
  <c r="H1169" i="6"/>
  <c r="J1169" i="6"/>
  <c r="K1169" i="6"/>
  <c r="F1170" i="6"/>
  <c r="H1170" i="6"/>
  <c r="J1170" i="6"/>
  <c r="K1170" i="6"/>
  <c r="K1171" i="6"/>
  <c r="F1172" i="6"/>
  <c r="H1172" i="6"/>
  <c r="J1172" i="6"/>
  <c r="K1172" i="6"/>
  <c r="F1173" i="6"/>
  <c r="H1173" i="6"/>
  <c r="J1173" i="6"/>
  <c r="K1173" i="6"/>
  <c r="K1174" i="6"/>
  <c r="F1175" i="6"/>
  <c r="F1174" i="6" s="1"/>
  <c r="H1175" i="6"/>
  <c r="J1175" i="6"/>
  <c r="J1174" i="6" s="1"/>
  <c r="K1175" i="6"/>
  <c r="K1176" i="6"/>
  <c r="F1177" i="6"/>
  <c r="F1176" i="6" s="1"/>
  <c r="H1177" i="6"/>
  <c r="H1176" i="6" s="1"/>
  <c r="J1177" i="6"/>
  <c r="J1176" i="6" s="1"/>
  <c r="K1177" i="6"/>
  <c r="K1178" i="6"/>
  <c r="F1179" i="6"/>
  <c r="F1178" i="6" s="1"/>
  <c r="H1179" i="6"/>
  <c r="H1178" i="6" s="1"/>
  <c r="J1179" i="6"/>
  <c r="J1178" i="6" s="1"/>
  <c r="K1179" i="6"/>
  <c r="K1180" i="6"/>
  <c r="F1181" i="6"/>
  <c r="H1181" i="6"/>
  <c r="J1181" i="6"/>
  <c r="K1181" i="6"/>
  <c r="F1182" i="6"/>
  <c r="H1182" i="6"/>
  <c r="J1182" i="6"/>
  <c r="K1182" i="6"/>
  <c r="K1183" i="6"/>
  <c r="F1184" i="6"/>
  <c r="F1183" i="6" s="1"/>
  <c r="H1184" i="6"/>
  <c r="J1184" i="6"/>
  <c r="J1183" i="6" s="1"/>
  <c r="K1184" i="6"/>
  <c r="K1185" i="6"/>
  <c r="F1186" i="6"/>
  <c r="H1186" i="6"/>
  <c r="J1186" i="6"/>
  <c r="K1186" i="6"/>
  <c r="F1187" i="6"/>
  <c r="H1187" i="6"/>
  <c r="J1187" i="6"/>
  <c r="K1187" i="6"/>
  <c r="F1188" i="6"/>
  <c r="H1188" i="6"/>
  <c r="J1188" i="6"/>
  <c r="K1188" i="6"/>
  <c r="K1189" i="6"/>
  <c r="F1190" i="6"/>
  <c r="H1190" i="6"/>
  <c r="J1190" i="6"/>
  <c r="K1190" i="6"/>
  <c r="F1191" i="6"/>
  <c r="H1191" i="6"/>
  <c r="J1191" i="6"/>
  <c r="K1191" i="6"/>
  <c r="K1192" i="6"/>
  <c r="K1193" i="6"/>
  <c r="F1194" i="6"/>
  <c r="H1194" i="6"/>
  <c r="J1194" i="6"/>
  <c r="K1194" i="6"/>
  <c r="F1195" i="6"/>
  <c r="H1195" i="6"/>
  <c r="J1195" i="6"/>
  <c r="K1195" i="6"/>
  <c r="F1196" i="6"/>
  <c r="H1196" i="6"/>
  <c r="J1196" i="6"/>
  <c r="K1196" i="6"/>
  <c r="F1197" i="6"/>
  <c r="H1197" i="6"/>
  <c r="J1197" i="6"/>
  <c r="K1197" i="6"/>
  <c r="F1198" i="6"/>
  <c r="H1198" i="6"/>
  <c r="J1198" i="6"/>
  <c r="K1198" i="6"/>
  <c r="F1199" i="6"/>
  <c r="H1199" i="6"/>
  <c r="J1199" i="6"/>
  <c r="K1199" i="6"/>
  <c r="K1200" i="6"/>
  <c r="F1201" i="6"/>
  <c r="H1201" i="6"/>
  <c r="J1201" i="6"/>
  <c r="K1201" i="6"/>
  <c r="F1202" i="6"/>
  <c r="H1202" i="6"/>
  <c r="J1202" i="6"/>
  <c r="K1202" i="6"/>
  <c r="F1203" i="6"/>
  <c r="H1203" i="6"/>
  <c r="J1203" i="6"/>
  <c r="K1203" i="6"/>
  <c r="F1204" i="6"/>
  <c r="H1204" i="6"/>
  <c r="J1204" i="6"/>
  <c r="K1204" i="6"/>
  <c r="F1205" i="6"/>
  <c r="H1205" i="6"/>
  <c r="J1205" i="6"/>
  <c r="K1205" i="6"/>
  <c r="K1206" i="6"/>
  <c r="F1207" i="6"/>
  <c r="F1206" i="6" s="1"/>
  <c r="H1207" i="6"/>
  <c r="J1207" i="6"/>
  <c r="J1206" i="6" s="1"/>
  <c r="K1207" i="6"/>
  <c r="K1208" i="6"/>
  <c r="F1209" i="6"/>
  <c r="H1209" i="6"/>
  <c r="J1209" i="6"/>
  <c r="K1209" i="6"/>
  <c r="F1210" i="6"/>
  <c r="H1210" i="6"/>
  <c r="J1210" i="6"/>
  <c r="K1210" i="6"/>
  <c r="F1211" i="6"/>
  <c r="H1211" i="6"/>
  <c r="J1211" i="6"/>
  <c r="K1211" i="6"/>
  <c r="F1212" i="6"/>
  <c r="H1212" i="6"/>
  <c r="J1212" i="6"/>
  <c r="K1212" i="6"/>
  <c r="F1213" i="6"/>
  <c r="H1213" i="6"/>
  <c r="J1213" i="6"/>
  <c r="K1213" i="6"/>
  <c r="F1214" i="6"/>
  <c r="H1214" i="6"/>
  <c r="J1214" i="6"/>
  <c r="K1214" i="6"/>
  <c r="F1215" i="6"/>
  <c r="H1215" i="6"/>
  <c r="J1215" i="6"/>
  <c r="K1215" i="6"/>
  <c r="F1216" i="6"/>
  <c r="H1216" i="6"/>
  <c r="J1216" i="6"/>
  <c r="K1216" i="6"/>
  <c r="F1217" i="6"/>
  <c r="H1217" i="6"/>
  <c r="J1217" i="6"/>
  <c r="K1217" i="6"/>
  <c r="K1218" i="6"/>
  <c r="F1219" i="6"/>
  <c r="H1219" i="6"/>
  <c r="J1219" i="6"/>
  <c r="K1219" i="6"/>
  <c r="F1220" i="6"/>
  <c r="H1220" i="6"/>
  <c r="J1220" i="6"/>
  <c r="K1220" i="6"/>
  <c r="F1221" i="6"/>
  <c r="H1221" i="6"/>
  <c r="J1221" i="6"/>
  <c r="K1221" i="6"/>
  <c r="F1222" i="6"/>
  <c r="H1222" i="6"/>
  <c r="J1222" i="6"/>
  <c r="K1222" i="6"/>
  <c r="F1223" i="6"/>
  <c r="H1223" i="6"/>
  <c r="J1223" i="6"/>
  <c r="K1223" i="6"/>
  <c r="F1224" i="6"/>
  <c r="H1224" i="6"/>
  <c r="J1224" i="6"/>
  <c r="K1224" i="6"/>
  <c r="F1225" i="6"/>
  <c r="H1225" i="6"/>
  <c r="J1225" i="6"/>
  <c r="K1225" i="6"/>
  <c r="F1226" i="6"/>
  <c r="H1226" i="6"/>
  <c r="J1226" i="6"/>
  <c r="K1226" i="6"/>
  <c r="F1227" i="6"/>
  <c r="H1227" i="6"/>
  <c r="J1227" i="6"/>
  <c r="K1227" i="6"/>
  <c r="F1228" i="6"/>
  <c r="H1228" i="6"/>
  <c r="J1228" i="6"/>
  <c r="K1228" i="6"/>
  <c r="F1229" i="6"/>
  <c r="H1229" i="6"/>
  <c r="J1229" i="6"/>
  <c r="K1229" i="6"/>
  <c r="F1230" i="6"/>
  <c r="H1230" i="6"/>
  <c r="J1230" i="6"/>
  <c r="K1230" i="6"/>
  <c r="F1231" i="6"/>
  <c r="H1231" i="6"/>
  <c r="J1231" i="6"/>
  <c r="K1231" i="6"/>
  <c r="F1232" i="6"/>
  <c r="H1232" i="6"/>
  <c r="J1232" i="6"/>
  <c r="K1232" i="6"/>
  <c r="K1233" i="6"/>
  <c r="F1234" i="6"/>
  <c r="H1234" i="6"/>
  <c r="J1234" i="6"/>
  <c r="K1234" i="6"/>
  <c r="F1235" i="6"/>
  <c r="H1235" i="6"/>
  <c r="J1235" i="6"/>
  <c r="K1235" i="6"/>
  <c r="K1236" i="6"/>
  <c r="F1237" i="6"/>
  <c r="H1237" i="6"/>
  <c r="J1237" i="6"/>
  <c r="K1237" i="6"/>
  <c r="F1238" i="6"/>
  <c r="H1238" i="6"/>
  <c r="J1238" i="6"/>
  <c r="K1238" i="6"/>
  <c r="K1239" i="6"/>
  <c r="L1239" i="6"/>
  <c r="K1241" i="6"/>
  <c r="K1242" i="6"/>
  <c r="F1243" i="6"/>
  <c r="H1243" i="6"/>
  <c r="J1243" i="6"/>
  <c r="K1243" i="6"/>
  <c r="F1244" i="6"/>
  <c r="H1244" i="6"/>
  <c r="J1244" i="6"/>
  <c r="K1244" i="6"/>
  <c r="F1245" i="6"/>
  <c r="H1245" i="6"/>
  <c r="J1245" i="6"/>
  <c r="K1245" i="6"/>
  <c r="K1246" i="6"/>
  <c r="K1247" i="6"/>
  <c r="F1248" i="6"/>
  <c r="H1248" i="6"/>
  <c r="J1248" i="6"/>
  <c r="K1248" i="6"/>
  <c r="F1249" i="6"/>
  <c r="H1249" i="6"/>
  <c r="J1249" i="6"/>
  <c r="K1249" i="6"/>
  <c r="F1250" i="6"/>
  <c r="H1250" i="6"/>
  <c r="J1250" i="6"/>
  <c r="K1250" i="6"/>
  <c r="F1251" i="6"/>
  <c r="H1251" i="6"/>
  <c r="J1251" i="6"/>
  <c r="K1251" i="6"/>
  <c r="F1252" i="6"/>
  <c r="H1252" i="6"/>
  <c r="J1252" i="6"/>
  <c r="K1252" i="6"/>
  <c r="F1253" i="6"/>
  <c r="H1253" i="6"/>
  <c r="J1253" i="6"/>
  <c r="K1253" i="6"/>
  <c r="F1254" i="6"/>
  <c r="H1254" i="6"/>
  <c r="J1254" i="6"/>
  <c r="K1254" i="6"/>
  <c r="F1255" i="6"/>
  <c r="H1255" i="6"/>
  <c r="J1255" i="6"/>
  <c r="K1255" i="6"/>
  <c r="K1256" i="6"/>
  <c r="F1257" i="6"/>
  <c r="H1257" i="6"/>
  <c r="J1257" i="6"/>
  <c r="K1257" i="6"/>
  <c r="F1258" i="6"/>
  <c r="H1258" i="6"/>
  <c r="J1258" i="6"/>
  <c r="K1258" i="6"/>
  <c r="K1259" i="6"/>
  <c r="F1260" i="6"/>
  <c r="H1260" i="6"/>
  <c r="J1260" i="6"/>
  <c r="K1260" i="6"/>
  <c r="F1261" i="6"/>
  <c r="H1261" i="6"/>
  <c r="J1261" i="6"/>
  <c r="K1261" i="6"/>
  <c r="F1262" i="6"/>
  <c r="H1262" i="6"/>
  <c r="J1262" i="6"/>
  <c r="K1262" i="6"/>
  <c r="F1263" i="6"/>
  <c r="H1263" i="6"/>
  <c r="J1263" i="6"/>
  <c r="K1263" i="6"/>
  <c r="K1264" i="6"/>
  <c r="F1265" i="6"/>
  <c r="H1265" i="6"/>
  <c r="J1265" i="6"/>
  <c r="K1265" i="6"/>
  <c r="F1266" i="6"/>
  <c r="H1266" i="6"/>
  <c r="J1266" i="6"/>
  <c r="K1266" i="6"/>
  <c r="F1267" i="6"/>
  <c r="H1267" i="6"/>
  <c r="J1267" i="6"/>
  <c r="K1267" i="6"/>
  <c r="F1268" i="6"/>
  <c r="H1268" i="6"/>
  <c r="J1268" i="6"/>
  <c r="K1268" i="6"/>
  <c r="F1269" i="6"/>
  <c r="H1269" i="6"/>
  <c r="J1269" i="6"/>
  <c r="K1269" i="6"/>
  <c r="F1270" i="6"/>
  <c r="H1270" i="6"/>
  <c r="J1270" i="6"/>
  <c r="K1270" i="6"/>
  <c r="F1271" i="6"/>
  <c r="H1271" i="6"/>
  <c r="J1271" i="6"/>
  <c r="K1271" i="6"/>
  <c r="F1272" i="6"/>
  <c r="H1272" i="6"/>
  <c r="J1272" i="6"/>
  <c r="K1272" i="6"/>
  <c r="F1273" i="6"/>
  <c r="H1273" i="6"/>
  <c r="J1273" i="6"/>
  <c r="K1273" i="6"/>
  <c r="F1274" i="6"/>
  <c r="H1274" i="6"/>
  <c r="J1274" i="6"/>
  <c r="K1274" i="6"/>
  <c r="F1275" i="6"/>
  <c r="H1275" i="6"/>
  <c r="J1275" i="6"/>
  <c r="K1275" i="6"/>
  <c r="F1276" i="6"/>
  <c r="H1276" i="6"/>
  <c r="J1276" i="6"/>
  <c r="K1276" i="6"/>
  <c r="F1277" i="6"/>
  <c r="H1277" i="6"/>
  <c r="J1277" i="6"/>
  <c r="K1277" i="6"/>
  <c r="F1278" i="6"/>
  <c r="H1278" i="6"/>
  <c r="J1278" i="6"/>
  <c r="K1278" i="6"/>
  <c r="K1279" i="6"/>
  <c r="F1280" i="6"/>
  <c r="H1280" i="6"/>
  <c r="J1280" i="6"/>
  <c r="K1280" i="6"/>
  <c r="F1281" i="6"/>
  <c r="H1281" i="6"/>
  <c r="J1281" i="6"/>
  <c r="K1281" i="6"/>
  <c r="F1282" i="6"/>
  <c r="H1282" i="6"/>
  <c r="J1282" i="6"/>
  <c r="K1282" i="6"/>
  <c r="F1283" i="6"/>
  <c r="H1283" i="6"/>
  <c r="J1283" i="6"/>
  <c r="K1283" i="6"/>
  <c r="K1284" i="6"/>
  <c r="F1285" i="6"/>
  <c r="H1285" i="6"/>
  <c r="J1285" i="6"/>
  <c r="K1285" i="6"/>
  <c r="F1286" i="6"/>
  <c r="H1286" i="6"/>
  <c r="J1286" i="6"/>
  <c r="K1286" i="6"/>
  <c r="F1287" i="6"/>
  <c r="H1287" i="6"/>
  <c r="J1287" i="6"/>
  <c r="K1287" i="6"/>
  <c r="F1288" i="6"/>
  <c r="H1288" i="6"/>
  <c r="J1288" i="6"/>
  <c r="K1288" i="6"/>
  <c r="F1289" i="6"/>
  <c r="H1289" i="6"/>
  <c r="J1289" i="6"/>
  <c r="K1289" i="6"/>
  <c r="F1290" i="6"/>
  <c r="H1290" i="6"/>
  <c r="J1290" i="6"/>
  <c r="K1290" i="6"/>
  <c r="F1291" i="6"/>
  <c r="H1291" i="6"/>
  <c r="J1291" i="6"/>
  <c r="K1291" i="6"/>
  <c r="F1292" i="6"/>
  <c r="H1292" i="6"/>
  <c r="J1292" i="6"/>
  <c r="K1292" i="6"/>
  <c r="K1293" i="6"/>
  <c r="K1294" i="6"/>
  <c r="F1295" i="6"/>
  <c r="F1294" i="6" s="1"/>
  <c r="H1295" i="6"/>
  <c r="H1294" i="6" s="1"/>
  <c r="J1295" i="6"/>
  <c r="K1295" i="6"/>
  <c r="K1296" i="6"/>
  <c r="F1297" i="6"/>
  <c r="H1297" i="6"/>
  <c r="J1297" i="6"/>
  <c r="K1297" i="6"/>
  <c r="F1298" i="6"/>
  <c r="H1298" i="6"/>
  <c r="J1298" i="6"/>
  <c r="K1298" i="6"/>
  <c r="F1299" i="6"/>
  <c r="H1299" i="6"/>
  <c r="J1299" i="6"/>
  <c r="K1299" i="6"/>
  <c r="F1300" i="6"/>
  <c r="H1300" i="6"/>
  <c r="J1300" i="6"/>
  <c r="K1300" i="6"/>
  <c r="K1301" i="6"/>
  <c r="F1302" i="6"/>
  <c r="H1302" i="6"/>
  <c r="J1302" i="6"/>
  <c r="K1302" i="6"/>
  <c r="F1303" i="6"/>
  <c r="H1303" i="6"/>
  <c r="J1303" i="6"/>
  <c r="K1303" i="6"/>
  <c r="F1304" i="6"/>
  <c r="H1304" i="6"/>
  <c r="J1304" i="6"/>
  <c r="K1304" i="6"/>
  <c r="K1305" i="6"/>
  <c r="F1306" i="6"/>
  <c r="H1306" i="6"/>
  <c r="J1306" i="6"/>
  <c r="K1306" i="6"/>
  <c r="F1307" i="6"/>
  <c r="H1307" i="6"/>
  <c r="J1307" i="6"/>
  <c r="K1307" i="6"/>
  <c r="F1308" i="6"/>
  <c r="H1308" i="6"/>
  <c r="J1308" i="6"/>
  <c r="K1308" i="6"/>
  <c r="F1309" i="6"/>
  <c r="H1309" i="6"/>
  <c r="J1309" i="6"/>
  <c r="K1309" i="6"/>
  <c r="F1310" i="6"/>
  <c r="H1310" i="6"/>
  <c r="J1310" i="6"/>
  <c r="K1310" i="6"/>
  <c r="F1311" i="6"/>
  <c r="H1311" i="6"/>
  <c r="J1311" i="6"/>
  <c r="K1311" i="6"/>
  <c r="F1312" i="6"/>
  <c r="H1312" i="6"/>
  <c r="J1312" i="6"/>
  <c r="K1312" i="6"/>
  <c r="F1313" i="6"/>
  <c r="H1313" i="6"/>
  <c r="J1313" i="6"/>
  <c r="K1313" i="6"/>
  <c r="F1314" i="6"/>
  <c r="H1314" i="6"/>
  <c r="J1314" i="6"/>
  <c r="K1314" i="6"/>
  <c r="F1315" i="6"/>
  <c r="H1315" i="6"/>
  <c r="J1315" i="6"/>
  <c r="K1315" i="6"/>
  <c r="F1316" i="6"/>
  <c r="H1316" i="6"/>
  <c r="J1316" i="6"/>
  <c r="K1316" i="6"/>
  <c r="F1317" i="6"/>
  <c r="H1317" i="6"/>
  <c r="J1317" i="6"/>
  <c r="K1317" i="6"/>
  <c r="F1318" i="6"/>
  <c r="H1318" i="6"/>
  <c r="J1318" i="6"/>
  <c r="K1318" i="6"/>
  <c r="F1319" i="6"/>
  <c r="H1319" i="6"/>
  <c r="J1319" i="6"/>
  <c r="K1319" i="6"/>
  <c r="F1320" i="6"/>
  <c r="H1320" i="6"/>
  <c r="J1320" i="6"/>
  <c r="K1320" i="6"/>
  <c r="K1321" i="6"/>
  <c r="F1322" i="6"/>
  <c r="H1322" i="6"/>
  <c r="J1322" i="6"/>
  <c r="K1322" i="6"/>
  <c r="F1323" i="6"/>
  <c r="H1323" i="6"/>
  <c r="J1323" i="6"/>
  <c r="K1323" i="6"/>
  <c r="F1324" i="6"/>
  <c r="H1324" i="6"/>
  <c r="J1324" i="6"/>
  <c r="K1324" i="6"/>
  <c r="K1325" i="6"/>
  <c r="F1326" i="6"/>
  <c r="H1326" i="6"/>
  <c r="J1326" i="6"/>
  <c r="K1326" i="6"/>
  <c r="F1327" i="6"/>
  <c r="H1327" i="6"/>
  <c r="J1327" i="6"/>
  <c r="K1327" i="6"/>
  <c r="F1328" i="6"/>
  <c r="H1328" i="6"/>
  <c r="J1328" i="6"/>
  <c r="K1328" i="6"/>
  <c r="F1329" i="6"/>
  <c r="H1329" i="6"/>
  <c r="J1329" i="6"/>
  <c r="K1329" i="6"/>
  <c r="F1330" i="6"/>
  <c r="H1330" i="6"/>
  <c r="J1330" i="6"/>
  <c r="K1330" i="6"/>
  <c r="F1331" i="6"/>
  <c r="H1331" i="6"/>
  <c r="J1331" i="6"/>
  <c r="K1331" i="6"/>
  <c r="F1332" i="6"/>
  <c r="H1332" i="6"/>
  <c r="J1332" i="6"/>
  <c r="K1332" i="6"/>
  <c r="F1333" i="6"/>
  <c r="H1333" i="6"/>
  <c r="J1333" i="6"/>
  <c r="K1333" i="6"/>
  <c r="K1334" i="6"/>
  <c r="F1335" i="6"/>
  <c r="F1334" i="6" s="1"/>
  <c r="H1335" i="6"/>
  <c r="H1334" i="6" s="1"/>
  <c r="J1335" i="6"/>
  <c r="J1334" i="6" s="1"/>
  <c r="K1335" i="6"/>
  <c r="K1336" i="6"/>
  <c r="F1337" i="6"/>
  <c r="F1336" i="6" s="1"/>
  <c r="H1337" i="6"/>
  <c r="H1336" i="6" s="1"/>
  <c r="J1337" i="6"/>
  <c r="J1336" i="6" s="1"/>
  <c r="K1337" i="6"/>
  <c r="K1338" i="6"/>
  <c r="K1339" i="6"/>
  <c r="K1340" i="6"/>
  <c r="F1341" i="6"/>
  <c r="H1341" i="6"/>
  <c r="J1341" i="6"/>
  <c r="K1341" i="6"/>
  <c r="F1342" i="6"/>
  <c r="H1342" i="6"/>
  <c r="J1342" i="6"/>
  <c r="K1342" i="6"/>
  <c r="F1343" i="6"/>
  <c r="H1343" i="6"/>
  <c r="J1343" i="6"/>
  <c r="K1343" i="6"/>
  <c r="F1344" i="6"/>
  <c r="H1344" i="6"/>
  <c r="J1344" i="6"/>
  <c r="K1344" i="6"/>
  <c r="F1345" i="6"/>
  <c r="H1345" i="6"/>
  <c r="J1345" i="6"/>
  <c r="K1345" i="6"/>
  <c r="K1346" i="6"/>
  <c r="F1347" i="6"/>
  <c r="F1346" i="6" s="1"/>
  <c r="H1347" i="6"/>
  <c r="H1346" i="6" s="1"/>
  <c r="J1347" i="6"/>
  <c r="J1346" i="6" s="1"/>
  <c r="K1347" i="6"/>
  <c r="K1348" i="6"/>
  <c r="K1349" i="6"/>
  <c r="F1350" i="6"/>
  <c r="H1350" i="6"/>
  <c r="J1350" i="6"/>
  <c r="K1350" i="6"/>
  <c r="F1351" i="6"/>
  <c r="H1351" i="6"/>
  <c r="J1351" i="6"/>
  <c r="K1351" i="6"/>
  <c r="F1352" i="6"/>
  <c r="H1352" i="6"/>
  <c r="J1352" i="6"/>
  <c r="K1352" i="6"/>
  <c r="F1353" i="6"/>
  <c r="H1353" i="6"/>
  <c r="J1353" i="6"/>
  <c r="K1353" i="6"/>
  <c r="K1354" i="6"/>
  <c r="F1355" i="6"/>
  <c r="F1354" i="6" s="1"/>
  <c r="H1355" i="6"/>
  <c r="H1354" i="6" s="1"/>
  <c r="J1355" i="6"/>
  <c r="J1354" i="6" s="1"/>
  <c r="K1355" i="6"/>
  <c r="K1356" i="6"/>
  <c r="K1357" i="6"/>
  <c r="F1358" i="6"/>
  <c r="H1358" i="6"/>
  <c r="J1358" i="6"/>
  <c r="K1358" i="6"/>
  <c r="F1359" i="6"/>
  <c r="H1359" i="6"/>
  <c r="J1359" i="6"/>
  <c r="K1359" i="6"/>
  <c r="F1360" i="6"/>
  <c r="H1360" i="6"/>
  <c r="J1360" i="6"/>
  <c r="K1360" i="6"/>
  <c r="K1361" i="6"/>
  <c r="F1362" i="6"/>
  <c r="F1361" i="6" s="1"/>
  <c r="H1362" i="6"/>
  <c r="H1361" i="6" s="1"/>
  <c r="J1362" i="6"/>
  <c r="J1361" i="6" s="1"/>
  <c r="K1362" i="6"/>
  <c r="K1363" i="6"/>
  <c r="K1364" i="6"/>
  <c r="F1365" i="6"/>
  <c r="H1365" i="6"/>
  <c r="J1365" i="6"/>
  <c r="K1365" i="6"/>
  <c r="F1366" i="6"/>
  <c r="H1366" i="6"/>
  <c r="J1366" i="6"/>
  <c r="K1366" i="6"/>
  <c r="F1367" i="6"/>
  <c r="H1367" i="6"/>
  <c r="J1367" i="6"/>
  <c r="K1367" i="6"/>
  <c r="F1368" i="6"/>
  <c r="H1368" i="6"/>
  <c r="J1368" i="6"/>
  <c r="K1368" i="6"/>
  <c r="K1369" i="6"/>
  <c r="F1370" i="6"/>
  <c r="F1369" i="6" s="1"/>
  <c r="H1370" i="6"/>
  <c r="J1370" i="6"/>
  <c r="J1369" i="6" s="1"/>
  <c r="K1370" i="6"/>
  <c r="K1371" i="6"/>
  <c r="K1372" i="6"/>
  <c r="F1373" i="6"/>
  <c r="H1373" i="6"/>
  <c r="J1373" i="6"/>
  <c r="K1373" i="6"/>
  <c r="F1374" i="6"/>
  <c r="H1374" i="6"/>
  <c r="J1374" i="6"/>
  <c r="K1374" i="6"/>
  <c r="F1375" i="6"/>
  <c r="H1375" i="6"/>
  <c r="J1375" i="6"/>
  <c r="K1375" i="6"/>
  <c r="K1376" i="6"/>
  <c r="F1377" i="6"/>
  <c r="F1376" i="6" s="1"/>
  <c r="H1377" i="6"/>
  <c r="H1376" i="6" s="1"/>
  <c r="J1377" i="6"/>
  <c r="J1376" i="6" s="1"/>
  <c r="K1377" i="6"/>
  <c r="K1378" i="6"/>
  <c r="K1379" i="6"/>
  <c r="F1380" i="6"/>
  <c r="H1380" i="6"/>
  <c r="J1380" i="6"/>
  <c r="K1380" i="6"/>
  <c r="K1381" i="6"/>
  <c r="F1382" i="6"/>
  <c r="F1381" i="6" s="1"/>
  <c r="H1382" i="6"/>
  <c r="H1381" i="6" s="1"/>
  <c r="J1382" i="6"/>
  <c r="K1382" i="6"/>
  <c r="K1383" i="6"/>
  <c r="K1384" i="6"/>
  <c r="F1385" i="6"/>
  <c r="H1385" i="6"/>
  <c r="J1385" i="6"/>
  <c r="K1385" i="6"/>
  <c r="F1386" i="6"/>
  <c r="H1386" i="6"/>
  <c r="J1386" i="6"/>
  <c r="K1386" i="6"/>
  <c r="F1387" i="6"/>
  <c r="H1387" i="6"/>
  <c r="J1387" i="6"/>
  <c r="K1387" i="6"/>
  <c r="K1388" i="6"/>
  <c r="F1389" i="6"/>
  <c r="F1388" i="6" s="1"/>
  <c r="H1389" i="6"/>
  <c r="H1388" i="6" s="1"/>
  <c r="J1389" i="6"/>
  <c r="J1388" i="6" s="1"/>
  <c r="K1389" i="6"/>
  <c r="K1390" i="6"/>
  <c r="K1391" i="6"/>
  <c r="F1392" i="6"/>
  <c r="H1392" i="6"/>
  <c r="J1392" i="6"/>
  <c r="K1392" i="6"/>
  <c r="F1393" i="6"/>
  <c r="H1393" i="6"/>
  <c r="J1393" i="6"/>
  <c r="K1393" i="6"/>
  <c r="F1394" i="6"/>
  <c r="H1394" i="6"/>
  <c r="J1394" i="6"/>
  <c r="K1394" i="6"/>
  <c r="K1395" i="6"/>
  <c r="F1396" i="6"/>
  <c r="F1395" i="6" s="1"/>
  <c r="H1396" i="6"/>
  <c r="J1396" i="6"/>
  <c r="J1395" i="6" s="1"/>
  <c r="K1396" i="6"/>
  <c r="K1397" i="6"/>
  <c r="K1398" i="6"/>
  <c r="F1399" i="6"/>
  <c r="H1399" i="6"/>
  <c r="J1399" i="6"/>
  <c r="K1399" i="6"/>
  <c r="F1400" i="6"/>
  <c r="H1400" i="6"/>
  <c r="J1400" i="6"/>
  <c r="K1400" i="6"/>
  <c r="F1401" i="6"/>
  <c r="H1401" i="6"/>
  <c r="J1401" i="6"/>
  <c r="K1401" i="6"/>
  <c r="F1402" i="6"/>
  <c r="H1402" i="6"/>
  <c r="J1402" i="6"/>
  <c r="K1402" i="6"/>
  <c r="F1403" i="6"/>
  <c r="H1403" i="6"/>
  <c r="J1403" i="6"/>
  <c r="K1403" i="6"/>
  <c r="K1404" i="6"/>
  <c r="F1405" i="6"/>
  <c r="F1404" i="6" s="1"/>
  <c r="H1405" i="6"/>
  <c r="J1405" i="6"/>
  <c r="J1404" i="6" s="1"/>
  <c r="K1405" i="6"/>
  <c r="K1406" i="6"/>
  <c r="K1407" i="6"/>
  <c r="F1408" i="6"/>
  <c r="H1408" i="6"/>
  <c r="J1408" i="6"/>
  <c r="K1408" i="6"/>
  <c r="F1409" i="6"/>
  <c r="H1409" i="6"/>
  <c r="J1409" i="6"/>
  <c r="K1409" i="6"/>
  <c r="F1410" i="6"/>
  <c r="H1410" i="6"/>
  <c r="J1410" i="6"/>
  <c r="K1410" i="6"/>
  <c r="F1411" i="6"/>
  <c r="H1411" i="6"/>
  <c r="J1411" i="6"/>
  <c r="K1411" i="6"/>
  <c r="F1412" i="6"/>
  <c r="H1412" i="6"/>
  <c r="J1412" i="6"/>
  <c r="K1412" i="6"/>
  <c r="K1413" i="6"/>
  <c r="F1414" i="6"/>
  <c r="F1413" i="6" s="1"/>
  <c r="H1414" i="6"/>
  <c r="H1413" i="6" s="1"/>
  <c r="J1414" i="6"/>
  <c r="K1414" i="6"/>
  <c r="K1415" i="6"/>
  <c r="K1416" i="6"/>
  <c r="F1417" i="6"/>
  <c r="H1417" i="6"/>
  <c r="J1417" i="6"/>
  <c r="K1417" i="6"/>
  <c r="F1418" i="6"/>
  <c r="H1418" i="6"/>
  <c r="J1418" i="6"/>
  <c r="K1418" i="6"/>
  <c r="F1419" i="6"/>
  <c r="H1419" i="6"/>
  <c r="J1419" i="6"/>
  <c r="K1419" i="6"/>
  <c r="K1420" i="6"/>
  <c r="F1421" i="6"/>
  <c r="F1420" i="6" s="1"/>
  <c r="H1421" i="6"/>
  <c r="H1420" i="6" s="1"/>
  <c r="J1421" i="6"/>
  <c r="J1420" i="6" s="1"/>
  <c r="K1421" i="6"/>
  <c r="K1422" i="6"/>
  <c r="F1423" i="6"/>
  <c r="F1422" i="6" s="1"/>
  <c r="H1423" i="6"/>
  <c r="H1422" i="6" s="1"/>
  <c r="J1423" i="6"/>
  <c r="J1422" i="6" s="1"/>
  <c r="K1423" i="6"/>
  <c r="K1424" i="6"/>
  <c r="K1425" i="6"/>
  <c r="F1426" i="6"/>
  <c r="H1426" i="6"/>
  <c r="J1426" i="6"/>
  <c r="K1426" i="6"/>
  <c r="F1427" i="6"/>
  <c r="H1427" i="6"/>
  <c r="J1427" i="6"/>
  <c r="K1427" i="6"/>
  <c r="F1428" i="6"/>
  <c r="H1428" i="6"/>
  <c r="J1428" i="6"/>
  <c r="K1428" i="6"/>
  <c r="F1429" i="6"/>
  <c r="H1429" i="6"/>
  <c r="J1429" i="6"/>
  <c r="K1429" i="6"/>
  <c r="F1430" i="6"/>
  <c r="H1430" i="6"/>
  <c r="J1430" i="6"/>
  <c r="K1430" i="6"/>
  <c r="K1431" i="6"/>
  <c r="K1432" i="6"/>
  <c r="F1433" i="6"/>
  <c r="H1433" i="6"/>
  <c r="J1433" i="6"/>
  <c r="K1433" i="6"/>
  <c r="F1434" i="6"/>
  <c r="H1434" i="6"/>
  <c r="J1434" i="6"/>
  <c r="K1434" i="6"/>
  <c r="F1435" i="6"/>
  <c r="H1435" i="6"/>
  <c r="J1435" i="6"/>
  <c r="K1435" i="6"/>
  <c r="K1436" i="6"/>
  <c r="F1437" i="6"/>
  <c r="H1437" i="6"/>
  <c r="J1437" i="6"/>
  <c r="K1437" i="6"/>
  <c r="F1438" i="6"/>
  <c r="H1438" i="6"/>
  <c r="J1438" i="6"/>
  <c r="K1438" i="6"/>
  <c r="K1439" i="6"/>
  <c r="F1440" i="6"/>
  <c r="H1440" i="6"/>
  <c r="J1440" i="6"/>
  <c r="K1440" i="6"/>
  <c r="F1441" i="6"/>
  <c r="H1441" i="6"/>
  <c r="J1441" i="6"/>
  <c r="K1441" i="6"/>
  <c r="K1442" i="6"/>
  <c r="F1443" i="6"/>
  <c r="H1443" i="6"/>
  <c r="J1443" i="6"/>
  <c r="K1443" i="6"/>
  <c r="F1444" i="6"/>
  <c r="H1444" i="6"/>
  <c r="J1444" i="6"/>
  <c r="K1444" i="6"/>
  <c r="F1445" i="6"/>
  <c r="H1445" i="6"/>
  <c r="J1445" i="6"/>
  <c r="K1445" i="6"/>
  <c r="K1446" i="6"/>
  <c r="F1447" i="6"/>
  <c r="H1447" i="6"/>
  <c r="J1447" i="6"/>
  <c r="K1447" i="6"/>
  <c r="F1448" i="6"/>
  <c r="H1448" i="6"/>
  <c r="J1448" i="6"/>
  <c r="K1448" i="6"/>
  <c r="F1449" i="6"/>
  <c r="H1449" i="6"/>
  <c r="J1449" i="6"/>
  <c r="K1449" i="6"/>
  <c r="K1450" i="6"/>
  <c r="F1451" i="6"/>
  <c r="F1450" i="6" s="1"/>
  <c r="H1451" i="6"/>
  <c r="H1450" i="6" s="1"/>
  <c r="J1451" i="6"/>
  <c r="J1450" i="6" s="1"/>
  <c r="K1451" i="6"/>
  <c r="K1452" i="6"/>
  <c r="K1453" i="6"/>
  <c r="F1454" i="6"/>
  <c r="H1454" i="6"/>
  <c r="J1454" i="6"/>
  <c r="K1454" i="6"/>
  <c r="F1455" i="6"/>
  <c r="H1455" i="6"/>
  <c r="J1455" i="6"/>
  <c r="K1455" i="6"/>
  <c r="K1456" i="6"/>
  <c r="F1457" i="6"/>
  <c r="H1457" i="6"/>
  <c r="J1457" i="6"/>
  <c r="K1457" i="6"/>
  <c r="F1458" i="6"/>
  <c r="H1458" i="6"/>
  <c r="J1458" i="6"/>
  <c r="K1458" i="6"/>
  <c r="K1459" i="6"/>
  <c r="F1460" i="6"/>
  <c r="F1459" i="6" s="1"/>
  <c r="H1460" i="6"/>
  <c r="H1459" i="6" s="1"/>
  <c r="J1460" i="6"/>
  <c r="K1460" i="6"/>
  <c r="K1461" i="6"/>
  <c r="F1462" i="6"/>
  <c r="F1461" i="6" s="1"/>
  <c r="H1462" i="6"/>
  <c r="H1461" i="6" s="1"/>
  <c r="J1462" i="6"/>
  <c r="J1461" i="6" s="1"/>
  <c r="K1462" i="6"/>
  <c r="K1463" i="6"/>
  <c r="F1464" i="6"/>
  <c r="H1464" i="6"/>
  <c r="J1464" i="6"/>
  <c r="K1464" i="6"/>
  <c r="F1465" i="6"/>
  <c r="H1465" i="6"/>
  <c r="J1465" i="6"/>
  <c r="K1465" i="6"/>
  <c r="F1466" i="6"/>
  <c r="H1466" i="6"/>
  <c r="J1466" i="6"/>
  <c r="K1466" i="6"/>
  <c r="F1467" i="6"/>
  <c r="H1467" i="6"/>
  <c r="J1467" i="6"/>
  <c r="K1467" i="6"/>
  <c r="K1468" i="6"/>
  <c r="F1469" i="6"/>
  <c r="H1469" i="6"/>
  <c r="J1469" i="6"/>
  <c r="K1469" i="6"/>
  <c r="F1470" i="6"/>
  <c r="H1470" i="6"/>
  <c r="J1470" i="6"/>
  <c r="K1470" i="6"/>
  <c r="K1471" i="6"/>
  <c r="F1472" i="6"/>
  <c r="F1471" i="6" s="1"/>
  <c r="H1472" i="6"/>
  <c r="H1471" i="6" s="1"/>
  <c r="J1472" i="6"/>
  <c r="K1472" i="6"/>
  <c r="K1473" i="6"/>
  <c r="F1474" i="6"/>
  <c r="H1474" i="6"/>
  <c r="J1474" i="6"/>
  <c r="K1474" i="6"/>
  <c r="F1475" i="6"/>
  <c r="H1475" i="6"/>
  <c r="J1475" i="6"/>
  <c r="K1475" i="6"/>
  <c r="F1476" i="6"/>
  <c r="H1476" i="6"/>
  <c r="J1476" i="6"/>
  <c r="K1476" i="6"/>
  <c r="K1477" i="6"/>
  <c r="F1478" i="6"/>
  <c r="H1478" i="6"/>
  <c r="J1478" i="6"/>
  <c r="K1478" i="6"/>
  <c r="F1479" i="6"/>
  <c r="H1479" i="6"/>
  <c r="J1479" i="6"/>
  <c r="K1479" i="6"/>
  <c r="F1480" i="6"/>
  <c r="H1480" i="6"/>
  <c r="J1480" i="6"/>
  <c r="K1480" i="6"/>
  <c r="K1481" i="6"/>
  <c r="F1482" i="6"/>
  <c r="F1481" i="6" s="1"/>
  <c r="H1482" i="6"/>
  <c r="H1481" i="6" s="1"/>
  <c r="J1482" i="6"/>
  <c r="J1481" i="6" s="1"/>
  <c r="K1482" i="6"/>
  <c r="K1483" i="6"/>
  <c r="F1484" i="6"/>
  <c r="H1484" i="6"/>
  <c r="J1484" i="6"/>
  <c r="K1484" i="6"/>
  <c r="F1485" i="6"/>
  <c r="H1485" i="6"/>
  <c r="J1485" i="6"/>
  <c r="K1485" i="6"/>
  <c r="K1486" i="6"/>
  <c r="F1487" i="6"/>
  <c r="H1487" i="6"/>
  <c r="J1487" i="6"/>
  <c r="K1487" i="6"/>
  <c r="F1488" i="6"/>
  <c r="H1488" i="6"/>
  <c r="J1488" i="6"/>
  <c r="K1488" i="6"/>
  <c r="K1489" i="6"/>
  <c r="L1489" i="6"/>
  <c r="K1491" i="6"/>
  <c r="K1492" i="6"/>
  <c r="F1493" i="6"/>
  <c r="H1493" i="6"/>
  <c r="J1493" i="6"/>
  <c r="K1493" i="6"/>
  <c r="F1494" i="6"/>
  <c r="H1494" i="6"/>
  <c r="J1494" i="6"/>
  <c r="K1494" i="6"/>
  <c r="F1495" i="6"/>
  <c r="H1495" i="6"/>
  <c r="J1495" i="6"/>
  <c r="K1495" i="6"/>
  <c r="F1496" i="6"/>
  <c r="H1496" i="6"/>
  <c r="J1496" i="6"/>
  <c r="K1496" i="6"/>
  <c r="F1497" i="6"/>
  <c r="H1497" i="6"/>
  <c r="J1497" i="6"/>
  <c r="K1497" i="6"/>
  <c r="K1498" i="6"/>
  <c r="K1499" i="6"/>
  <c r="K1500" i="6"/>
  <c r="F1501" i="6"/>
  <c r="H1501" i="6"/>
  <c r="H1500" i="6" s="1"/>
  <c r="J1501" i="6"/>
  <c r="K1501" i="6"/>
  <c r="K1502" i="6"/>
  <c r="F1503" i="6"/>
  <c r="H1503" i="6"/>
  <c r="J1503" i="6"/>
  <c r="K1503" i="6"/>
  <c r="F1504" i="6"/>
  <c r="H1504" i="6"/>
  <c r="J1504" i="6"/>
  <c r="K1504" i="6"/>
  <c r="F1505" i="6"/>
  <c r="H1505" i="6"/>
  <c r="J1505" i="6"/>
  <c r="K1505" i="6"/>
  <c r="K1506" i="6"/>
  <c r="F1507" i="6"/>
  <c r="F1506" i="6" s="1"/>
  <c r="H1507" i="6"/>
  <c r="H1506" i="6" s="1"/>
  <c r="J1507" i="6"/>
  <c r="K1507" i="6"/>
  <c r="K1508" i="6"/>
  <c r="F1509" i="6"/>
  <c r="F1508" i="6" s="1"/>
  <c r="H1509" i="6"/>
  <c r="H1508" i="6" s="1"/>
  <c r="J1509" i="6"/>
  <c r="J1508" i="6" s="1"/>
  <c r="K1509" i="6"/>
  <c r="K1510" i="6"/>
  <c r="F1511" i="6"/>
  <c r="H1511" i="6"/>
  <c r="J1511" i="6"/>
  <c r="K1511" i="6"/>
  <c r="F1512" i="6"/>
  <c r="H1512" i="6"/>
  <c r="J1512" i="6"/>
  <c r="K1512" i="6"/>
  <c r="K1513" i="6"/>
  <c r="K1514" i="6"/>
  <c r="F1515" i="6"/>
  <c r="H1515" i="6"/>
  <c r="J1515" i="6"/>
  <c r="K1515" i="6"/>
  <c r="F1516" i="6"/>
  <c r="H1516" i="6"/>
  <c r="J1516" i="6"/>
  <c r="K1516" i="6"/>
  <c r="F1517" i="6"/>
  <c r="F1514" i="6" s="1"/>
  <c r="H1517" i="6"/>
  <c r="J1517" i="6"/>
  <c r="K1517" i="6"/>
  <c r="K1518" i="6"/>
  <c r="F1519" i="6"/>
  <c r="F1518" i="6" s="1"/>
  <c r="H1519" i="6"/>
  <c r="H1518" i="6" s="1"/>
  <c r="J1519" i="6"/>
  <c r="J1518" i="6" s="1"/>
  <c r="K1519" i="6"/>
  <c r="K1520" i="6"/>
  <c r="F1521" i="6"/>
  <c r="F1520" i="6" s="1"/>
  <c r="H1521" i="6"/>
  <c r="H1520" i="6" s="1"/>
  <c r="J1521" i="6"/>
  <c r="J1520" i="6" s="1"/>
  <c r="K1521" i="6"/>
  <c r="K1522" i="6"/>
  <c r="F1523" i="6"/>
  <c r="F1522" i="6" s="1"/>
  <c r="H1523" i="6"/>
  <c r="H1522" i="6" s="1"/>
  <c r="J1523" i="6"/>
  <c r="J1522" i="6" s="1"/>
  <c r="K1523" i="6"/>
  <c r="K1524" i="6"/>
  <c r="F1525" i="6"/>
  <c r="F1524" i="6" s="1"/>
  <c r="H1525" i="6"/>
  <c r="H1524" i="6" s="1"/>
  <c r="J1525" i="6"/>
  <c r="J1524" i="6" s="1"/>
  <c r="K1525" i="6"/>
  <c r="K1526" i="6"/>
  <c r="F1527" i="6"/>
  <c r="F1526" i="6" s="1"/>
  <c r="H1527" i="6"/>
  <c r="H1526" i="6" s="1"/>
  <c r="J1527" i="6"/>
  <c r="J1526" i="6" s="1"/>
  <c r="K1527" i="6"/>
  <c r="K1528" i="6"/>
  <c r="F1529" i="6"/>
  <c r="H1529" i="6"/>
  <c r="J1529" i="6"/>
  <c r="K1529" i="6"/>
  <c r="F1530" i="6"/>
  <c r="H1530" i="6"/>
  <c r="J1530" i="6"/>
  <c r="K1530" i="6"/>
  <c r="F1531" i="6"/>
  <c r="H1531" i="6"/>
  <c r="J1531" i="6"/>
  <c r="K1531" i="6"/>
  <c r="K1532" i="6"/>
  <c r="F1533" i="6"/>
  <c r="H1533" i="6"/>
  <c r="J1533" i="6"/>
  <c r="K1533" i="6"/>
  <c r="F1534" i="6"/>
  <c r="H1534" i="6"/>
  <c r="J1534" i="6"/>
  <c r="K1534" i="6"/>
  <c r="F1535" i="6"/>
  <c r="H1535" i="6"/>
  <c r="J1535" i="6"/>
  <c r="K1535" i="6"/>
  <c r="K1536" i="6"/>
  <c r="K1537" i="6"/>
  <c r="F1538" i="6"/>
  <c r="H1538" i="6"/>
  <c r="J1538" i="6"/>
  <c r="K1538" i="6"/>
  <c r="F1539" i="6"/>
  <c r="H1539" i="6"/>
  <c r="J1539" i="6"/>
  <c r="K1539" i="6"/>
  <c r="K1540" i="6"/>
  <c r="F1541" i="6"/>
  <c r="H1541" i="6"/>
  <c r="J1541" i="6"/>
  <c r="K1541" i="6"/>
  <c r="F1542" i="6"/>
  <c r="H1542" i="6"/>
  <c r="J1542" i="6"/>
  <c r="K1542" i="6"/>
  <c r="F1543" i="6"/>
  <c r="H1543" i="6"/>
  <c r="J1543" i="6"/>
  <c r="K1543" i="6"/>
  <c r="K1544" i="6"/>
  <c r="F1545" i="6"/>
  <c r="F1544" i="6" s="1"/>
  <c r="H1545" i="6"/>
  <c r="H1544" i="6" s="1"/>
  <c r="J1545" i="6"/>
  <c r="J1544" i="6" s="1"/>
  <c r="K1545" i="6"/>
  <c r="K1546" i="6"/>
  <c r="F1547" i="6"/>
  <c r="F1546" i="6" s="1"/>
  <c r="H1547" i="6"/>
  <c r="H1546" i="6" s="1"/>
  <c r="J1547" i="6"/>
  <c r="J1546" i="6" s="1"/>
  <c r="K1547" i="6"/>
  <c r="F1548" i="6"/>
  <c r="H1548" i="6"/>
  <c r="J1548" i="6"/>
  <c r="K1548" i="6"/>
  <c r="F1549" i="6"/>
  <c r="H1549" i="6"/>
  <c r="J1549" i="6"/>
  <c r="K1549" i="6"/>
  <c r="F1550" i="6"/>
  <c r="H1550" i="6"/>
  <c r="J1550" i="6"/>
  <c r="K1550" i="6"/>
  <c r="K1551" i="6"/>
  <c r="L1551" i="6"/>
  <c r="K1553" i="6"/>
  <c r="K1554" i="6"/>
  <c r="F1555" i="6"/>
  <c r="F1554" i="6" s="1"/>
  <c r="H1555" i="6"/>
  <c r="H1554" i="6" s="1"/>
  <c r="J1555" i="6"/>
  <c r="K1555" i="6"/>
  <c r="K1556" i="6"/>
  <c r="F1557" i="6"/>
  <c r="H1557" i="6"/>
  <c r="J1557" i="6"/>
  <c r="K1557" i="6"/>
  <c r="F1558" i="6"/>
  <c r="H1558" i="6"/>
  <c r="J1558" i="6"/>
  <c r="K1558" i="6"/>
  <c r="K1559" i="6"/>
  <c r="K1560" i="6"/>
  <c r="F1561" i="6"/>
  <c r="F1560" i="6" s="1"/>
  <c r="H1561" i="6"/>
  <c r="J1561" i="6"/>
  <c r="J1560" i="6" s="1"/>
  <c r="K1561" i="6"/>
  <c r="K1562" i="6"/>
  <c r="F1563" i="6"/>
  <c r="F1562" i="6" s="1"/>
  <c r="H1563" i="6"/>
  <c r="H1562" i="6" s="1"/>
  <c r="J1563" i="6"/>
  <c r="J1562" i="6" s="1"/>
  <c r="K1563" i="6"/>
  <c r="K1564" i="6"/>
  <c r="F1565" i="6"/>
  <c r="F1564" i="6" s="1"/>
  <c r="H1565" i="6"/>
  <c r="H1564" i="6" s="1"/>
  <c r="J1565" i="6"/>
  <c r="J1564" i="6" s="1"/>
  <c r="K1565" i="6"/>
  <c r="K1566" i="6"/>
  <c r="F1567" i="6"/>
  <c r="F1566" i="6" s="1"/>
  <c r="H1567" i="6"/>
  <c r="H1566" i="6" s="1"/>
  <c r="J1567" i="6"/>
  <c r="J1566" i="6" s="1"/>
  <c r="K1567" i="6"/>
  <c r="K1568" i="6"/>
  <c r="F1569" i="6"/>
  <c r="H1569" i="6"/>
  <c r="J1569" i="6"/>
  <c r="K1569" i="6"/>
  <c r="F1570" i="6"/>
  <c r="H1570" i="6"/>
  <c r="J1570" i="6"/>
  <c r="K1570" i="6"/>
  <c r="F1571" i="6"/>
  <c r="H1571" i="6"/>
  <c r="J1571" i="6"/>
  <c r="K1571" i="6"/>
  <c r="F1572" i="6"/>
  <c r="H1572" i="6"/>
  <c r="J1572" i="6"/>
  <c r="K1572" i="6"/>
  <c r="K1573" i="6"/>
  <c r="K1574" i="6"/>
  <c r="F1575" i="6"/>
  <c r="F1574" i="6" s="1"/>
  <c r="H1575" i="6"/>
  <c r="H1574" i="6" s="1"/>
  <c r="J1575" i="6"/>
  <c r="J1574" i="6" s="1"/>
  <c r="K1575" i="6"/>
  <c r="K1576" i="6"/>
  <c r="K1577" i="6"/>
  <c r="F1578" i="6"/>
  <c r="F1577" i="6" s="1"/>
  <c r="H1578" i="6"/>
  <c r="H1577" i="6" s="1"/>
  <c r="J1578" i="6"/>
  <c r="J1577" i="6" s="1"/>
  <c r="K1578" i="6"/>
  <c r="K1579" i="6"/>
  <c r="L1579" i="6"/>
  <c r="K1581" i="6"/>
  <c r="F1582" i="6"/>
  <c r="H1582" i="6"/>
  <c r="J1582" i="6"/>
  <c r="K1582" i="6"/>
  <c r="F1583" i="6"/>
  <c r="H1583" i="6"/>
  <c r="J1583" i="6"/>
  <c r="K1583" i="6"/>
  <c r="F1584" i="6"/>
  <c r="H1584" i="6"/>
  <c r="J1584" i="6"/>
  <c r="K1584" i="6"/>
  <c r="K1585" i="6"/>
  <c r="F1586" i="6"/>
  <c r="H1586" i="6"/>
  <c r="J1586" i="6"/>
  <c r="K1586" i="6"/>
  <c r="F1587" i="6"/>
  <c r="H1587" i="6"/>
  <c r="J1587" i="6"/>
  <c r="K1587" i="6"/>
  <c r="F1588" i="6"/>
  <c r="H1588" i="6"/>
  <c r="J1588" i="6"/>
  <c r="K1588" i="6"/>
  <c r="F1589" i="6"/>
  <c r="H1589" i="6"/>
  <c r="J1589" i="6"/>
  <c r="K1589" i="6"/>
  <c r="F1590" i="6"/>
  <c r="H1590" i="6"/>
  <c r="J1590" i="6"/>
  <c r="K1590" i="6"/>
  <c r="K1591" i="6"/>
  <c r="F1592" i="6"/>
  <c r="H1592" i="6"/>
  <c r="J1592" i="6"/>
  <c r="K1592" i="6"/>
  <c r="F1593" i="6"/>
  <c r="H1593" i="6"/>
  <c r="J1593" i="6"/>
  <c r="K1593" i="6"/>
  <c r="K1594" i="6"/>
  <c r="F1595" i="6"/>
  <c r="H1595" i="6"/>
  <c r="J1595" i="6"/>
  <c r="K1595" i="6"/>
  <c r="F1596" i="6"/>
  <c r="H1596" i="6"/>
  <c r="J1596" i="6"/>
  <c r="K1596" i="6"/>
  <c r="K1597" i="6"/>
  <c r="F1598" i="6"/>
  <c r="H1598" i="6"/>
  <c r="J1598" i="6"/>
  <c r="K1598" i="6"/>
  <c r="F1599" i="6"/>
  <c r="H1599" i="6"/>
  <c r="J1599" i="6"/>
  <c r="K1599" i="6"/>
  <c r="F1600" i="6"/>
  <c r="H1600" i="6"/>
  <c r="J1600" i="6"/>
  <c r="K1600" i="6"/>
  <c r="F1601" i="6"/>
  <c r="H1601" i="6"/>
  <c r="J1601" i="6"/>
  <c r="K1601" i="6"/>
  <c r="F1602" i="6"/>
  <c r="H1602" i="6"/>
  <c r="J1602" i="6"/>
  <c r="K1602" i="6"/>
  <c r="F1603" i="6"/>
  <c r="H1603" i="6"/>
  <c r="J1603" i="6"/>
  <c r="K1603" i="6"/>
  <c r="K1604" i="6"/>
  <c r="K1605" i="6"/>
  <c r="F1606" i="6"/>
  <c r="H1606" i="6"/>
  <c r="J1606" i="6"/>
  <c r="K1606" i="6"/>
  <c r="F1607" i="6"/>
  <c r="H1607" i="6"/>
  <c r="J1607" i="6"/>
  <c r="K1607" i="6"/>
  <c r="K1608" i="6"/>
  <c r="F1609" i="6"/>
  <c r="H1609" i="6"/>
  <c r="J1609" i="6"/>
  <c r="K1609" i="6"/>
  <c r="F1610" i="6"/>
  <c r="H1610" i="6"/>
  <c r="J1610" i="6"/>
  <c r="K1610" i="6"/>
  <c r="F1611" i="6"/>
  <c r="H1611" i="6"/>
  <c r="J1611" i="6"/>
  <c r="K1611" i="6"/>
  <c r="F1612" i="6"/>
  <c r="H1612" i="6"/>
  <c r="J1612" i="6"/>
  <c r="K1612" i="6"/>
  <c r="F1613" i="6"/>
  <c r="H1613" i="6"/>
  <c r="J1613" i="6"/>
  <c r="K1613" i="6"/>
  <c r="F1614" i="6"/>
  <c r="H1614" i="6"/>
  <c r="J1614" i="6"/>
  <c r="K1614" i="6"/>
  <c r="F1615" i="6"/>
  <c r="H1615" i="6"/>
  <c r="J1615" i="6"/>
  <c r="K1615" i="6"/>
  <c r="F1616" i="6"/>
  <c r="H1616" i="6"/>
  <c r="J1616" i="6"/>
  <c r="K1616" i="6"/>
  <c r="F1617" i="6"/>
  <c r="H1617" i="6"/>
  <c r="J1617" i="6"/>
  <c r="K1617" i="6"/>
  <c r="F1618" i="6"/>
  <c r="H1618" i="6"/>
  <c r="J1618" i="6"/>
  <c r="K1618" i="6"/>
  <c r="K1619" i="6"/>
  <c r="F1620" i="6"/>
  <c r="H1620" i="6"/>
  <c r="J1620" i="6"/>
  <c r="K1620" i="6"/>
  <c r="F1621" i="6"/>
  <c r="H1621" i="6"/>
  <c r="J1621" i="6"/>
  <c r="K1621" i="6"/>
  <c r="K1622" i="6"/>
  <c r="F1623" i="6"/>
  <c r="H1623" i="6"/>
  <c r="J1623" i="6"/>
  <c r="K1623" i="6"/>
  <c r="F1624" i="6"/>
  <c r="H1624" i="6"/>
  <c r="J1624" i="6"/>
  <c r="K1624" i="6"/>
  <c r="F1625" i="6"/>
  <c r="H1625" i="6"/>
  <c r="J1625" i="6"/>
  <c r="K1625" i="6"/>
  <c r="K1626" i="6"/>
  <c r="F1627" i="6"/>
  <c r="H1627" i="6"/>
  <c r="J1627" i="6"/>
  <c r="K1627" i="6"/>
  <c r="F1628" i="6"/>
  <c r="H1628" i="6"/>
  <c r="J1628" i="6"/>
  <c r="K1628" i="6"/>
  <c r="K1629" i="6"/>
  <c r="F1630" i="6"/>
  <c r="H1630" i="6"/>
  <c r="J1630" i="6"/>
  <c r="K1630" i="6"/>
  <c r="F1631" i="6"/>
  <c r="H1631" i="6"/>
  <c r="J1631" i="6"/>
  <c r="K1631" i="6"/>
  <c r="K1632" i="6"/>
  <c r="K1633" i="6"/>
  <c r="F1634" i="6"/>
  <c r="H1634" i="6"/>
  <c r="J1634" i="6"/>
  <c r="K1634" i="6"/>
  <c r="F1635" i="6"/>
  <c r="H1635" i="6"/>
  <c r="J1635" i="6"/>
  <c r="K1635" i="6"/>
  <c r="K1636" i="6"/>
  <c r="F1637" i="6"/>
  <c r="H1637" i="6"/>
  <c r="J1637" i="6"/>
  <c r="K1637" i="6"/>
  <c r="F1638" i="6"/>
  <c r="H1638" i="6"/>
  <c r="J1638" i="6"/>
  <c r="K1638" i="6"/>
  <c r="F1639" i="6"/>
  <c r="H1639" i="6"/>
  <c r="J1639" i="6"/>
  <c r="K1639" i="6"/>
  <c r="F1640" i="6"/>
  <c r="H1640" i="6"/>
  <c r="J1640" i="6"/>
  <c r="K1640" i="6"/>
  <c r="K1641" i="6"/>
  <c r="F1642" i="6"/>
  <c r="F1641" i="6" s="1"/>
  <c r="H1642" i="6"/>
  <c r="H1641" i="6" s="1"/>
  <c r="J1642" i="6"/>
  <c r="J1641" i="6" s="1"/>
  <c r="K1642" i="6"/>
  <c r="K1643" i="6"/>
  <c r="F1644" i="6"/>
  <c r="F1643" i="6" s="1"/>
  <c r="H1644" i="6"/>
  <c r="H1643" i="6" s="1"/>
  <c r="J1644" i="6"/>
  <c r="J1643" i="6" s="1"/>
  <c r="K1644" i="6"/>
  <c r="K1645" i="6"/>
  <c r="F1646" i="6"/>
  <c r="F1645" i="6" s="1"/>
  <c r="H1646" i="6"/>
  <c r="H1645" i="6" s="1"/>
  <c r="J1646" i="6"/>
  <c r="J1645" i="6" s="1"/>
  <c r="K1646" i="6"/>
  <c r="K1647" i="6"/>
  <c r="F1648" i="6"/>
  <c r="F1647" i="6" s="1"/>
  <c r="H1648" i="6"/>
  <c r="J1648" i="6"/>
  <c r="J1647" i="6" s="1"/>
  <c r="K1648" i="6"/>
  <c r="K1649" i="6"/>
  <c r="F1650" i="6"/>
  <c r="H1650" i="6"/>
  <c r="J1650" i="6"/>
  <c r="K1650" i="6"/>
  <c r="F1651" i="6"/>
  <c r="H1651" i="6"/>
  <c r="J1651" i="6"/>
  <c r="K1651" i="6"/>
  <c r="K1652" i="6"/>
  <c r="L1652" i="6"/>
  <c r="K1654" i="6"/>
  <c r="F1655" i="6"/>
  <c r="H1655" i="6"/>
  <c r="J1655" i="6"/>
  <c r="K1655" i="6"/>
  <c r="F1656" i="6"/>
  <c r="H1656" i="6"/>
  <c r="J1656" i="6"/>
  <c r="K1656" i="6"/>
  <c r="K1657" i="6"/>
  <c r="F1658" i="6"/>
  <c r="H1658" i="6"/>
  <c r="J1658" i="6"/>
  <c r="K1658" i="6"/>
  <c r="F1659" i="6"/>
  <c r="H1659" i="6"/>
  <c r="J1659" i="6"/>
  <c r="K1659" i="6"/>
  <c r="F1660" i="6"/>
  <c r="H1660" i="6"/>
  <c r="J1660" i="6"/>
  <c r="K1660" i="6"/>
  <c r="F1661" i="6"/>
  <c r="H1661" i="6"/>
  <c r="J1661" i="6"/>
  <c r="K1661" i="6"/>
  <c r="F1662" i="6"/>
  <c r="H1662" i="6"/>
  <c r="J1662" i="6"/>
  <c r="K1662" i="6"/>
  <c r="F1663" i="6"/>
  <c r="H1663" i="6"/>
  <c r="J1663" i="6"/>
  <c r="K1663" i="6"/>
  <c r="K1664" i="6"/>
  <c r="F1665" i="6"/>
  <c r="H1665" i="6"/>
  <c r="J1665" i="6"/>
  <c r="K1665" i="6"/>
  <c r="F1666" i="6"/>
  <c r="H1666" i="6"/>
  <c r="J1666" i="6"/>
  <c r="K1666" i="6"/>
  <c r="K1667" i="6"/>
  <c r="F1668" i="6"/>
  <c r="H1668" i="6"/>
  <c r="J1668" i="6"/>
  <c r="K1668" i="6"/>
  <c r="F1669" i="6"/>
  <c r="H1669" i="6"/>
  <c r="J1669" i="6"/>
  <c r="K1669" i="6"/>
  <c r="F1670" i="6"/>
  <c r="H1670" i="6"/>
  <c r="J1670" i="6"/>
  <c r="K1670" i="6"/>
  <c r="F1671" i="6"/>
  <c r="H1671" i="6"/>
  <c r="J1671" i="6"/>
  <c r="K1671" i="6"/>
  <c r="K1672" i="6"/>
  <c r="F1673" i="6"/>
  <c r="H1673" i="6"/>
  <c r="J1673" i="6"/>
  <c r="K1673" i="6"/>
  <c r="F1674" i="6"/>
  <c r="H1674" i="6"/>
  <c r="J1674" i="6"/>
  <c r="K1674" i="6"/>
  <c r="K1675" i="6"/>
  <c r="F1676" i="6"/>
  <c r="F1675" i="6" s="1"/>
  <c r="H1676" i="6"/>
  <c r="H1675" i="6" s="1"/>
  <c r="J1676" i="6"/>
  <c r="J1675" i="6" s="1"/>
  <c r="K1676" i="6"/>
  <c r="K1677" i="6"/>
  <c r="K1678" i="6"/>
  <c r="F1679" i="6"/>
  <c r="H1679" i="6"/>
  <c r="J1679" i="6"/>
  <c r="K1679" i="6"/>
  <c r="F1680" i="6"/>
  <c r="H1680" i="6"/>
  <c r="J1680" i="6"/>
  <c r="K1680" i="6"/>
  <c r="K1681" i="6"/>
  <c r="F1682" i="6"/>
  <c r="F1681" i="6" s="1"/>
  <c r="H1682" i="6"/>
  <c r="J1682" i="6"/>
  <c r="J1681" i="6" s="1"/>
  <c r="K1682" i="6"/>
  <c r="K1683" i="6"/>
  <c r="F1684" i="6"/>
  <c r="F1683" i="6" s="1"/>
  <c r="H1684" i="6"/>
  <c r="H1683" i="6" s="1"/>
  <c r="J1684" i="6"/>
  <c r="J1683" i="6" s="1"/>
  <c r="K1684" i="6"/>
  <c r="K1685" i="6"/>
  <c r="F1686" i="6"/>
  <c r="H1686" i="6"/>
  <c r="J1686" i="6"/>
  <c r="K1686" i="6"/>
  <c r="F1687" i="6"/>
  <c r="H1687" i="6"/>
  <c r="J1687" i="6"/>
  <c r="K1687" i="6"/>
  <c r="K1688" i="6"/>
  <c r="F1689" i="6"/>
  <c r="F1688" i="6" s="1"/>
  <c r="H1689" i="6"/>
  <c r="H1688" i="6" s="1"/>
  <c r="J1689" i="6"/>
  <c r="J1688" i="6" s="1"/>
  <c r="K1689" i="6"/>
  <c r="K1690" i="6"/>
  <c r="F1691" i="6"/>
  <c r="F1690" i="6" s="1"/>
  <c r="H1691" i="6"/>
  <c r="H1690" i="6" s="1"/>
  <c r="J1691" i="6"/>
  <c r="K1691" i="6"/>
  <c r="K1692" i="6"/>
  <c r="F1693" i="6"/>
  <c r="F1692" i="6" s="1"/>
  <c r="H1693" i="6"/>
  <c r="H1692" i="6" s="1"/>
  <c r="J1693" i="6"/>
  <c r="J1692" i="6" s="1"/>
  <c r="K1693" i="6"/>
  <c r="K1694" i="6"/>
  <c r="L1694" i="6"/>
  <c r="K1696" i="6"/>
  <c r="F1697" i="6"/>
  <c r="H1697" i="6"/>
  <c r="J1697" i="6"/>
  <c r="K1697" i="6"/>
  <c r="F1698" i="6"/>
  <c r="H1698" i="6"/>
  <c r="J1698" i="6"/>
  <c r="K1698" i="6"/>
  <c r="F1699" i="6"/>
  <c r="H1699" i="6"/>
  <c r="J1699" i="6"/>
  <c r="K1699" i="6"/>
  <c r="F1700" i="6"/>
  <c r="H1700" i="6"/>
  <c r="J1700" i="6"/>
  <c r="K1700" i="6"/>
  <c r="K1701" i="6"/>
  <c r="F1702" i="6"/>
  <c r="F1701" i="6" s="1"/>
  <c r="H1702" i="6"/>
  <c r="H1701" i="6" s="1"/>
  <c r="J1702" i="6"/>
  <c r="J1701" i="6" s="1"/>
  <c r="K1702" i="6"/>
  <c r="K1703" i="6"/>
  <c r="F1704" i="6"/>
  <c r="H1704" i="6"/>
  <c r="J1704" i="6"/>
  <c r="K1704" i="6"/>
  <c r="F1705" i="6"/>
  <c r="H1705" i="6"/>
  <c r="J1705" i="6"/>
  <c r="K1705" i="6"/>
  <c r="F1706" i="6"/>
  <c r="H1706" i="6"/>
  <c r="J1706" i="6"/>
  <c r="K1706" i="6"/>
  <c r="K1707" i="6"/>
  <c r="F1708" i="6"/>
  <c r="H1708" i="6"/>
  <c r="J1708" i="6"/>
  <c r="K1708" i="6"/>
  <c r="F1709" i="6"/>
  <c r="H1709" i="6"/>
  <c r="J1709" i="6"/>
  <c r="K1709" i="6"/>
  <c r="K1710" i="6"/>
  <c r="F1711" i="6"/>
  <c r="F1710" i="6" s="1"/>
  <c r="H1711" i="6"/>
  <c r="H1710" i="6" s="1"/>
  <c r="J1711" i="6"/>
  <c r="K1711" i="6"/>
  <c r="K1712" i="6"/>
  <c r="F1713" i="6"/>
  <c r="F1712" i="6" s="1"/>
  <c r="H1713" i="6"/>
  <c r="J1713" i="6"/>
  <c r="J1712" i="6" s="1"/>
  <c r="K1713" i="6"/>
  <c r="K1714" i="6"/>
  <c r="F1715" i="6"/>
  <c r="H1715" i="6"/>
  <c r="J1715" i="6"/>
  <c r="K1715" i="6"/>
  <c r="F1716" i="6"/>
  <c r="H1716" i="6"/>
  <c r="J1716" i="6"/>
  <c r="K1716" i="6"/>
  <c r="F1717" i="6"/>
  <c r="H1717" i="6"/>
  <c r="J1717" i="6"/>
  <c r="K1717" i="6"/>
  <c r="F1718" i="6"/>
  <c r="H1718" i="6"/>
  <c r="J1718" i="6"/>
  <c r="K1718" i="6"/>
  <c r="F1719" i="6"/>
  <c r="H1719" i="6"/>
  <c r="J1719" i="6"/>
  <c r="K1719" i="6"/>
  <c r="K1720" i="6"/>
  <c r="F1721" i="6"/>
  <c r="H1721" i="6"/>
  <c r="J1721" i="6"/>
  <c r="K1721" i="6"/>
  <c r="F1722" i="6"/>
  <c r="H1722" i="6"/>
  <c r="J1722" i="6"/>
  <c r="K1722" i="6"/>
  <c r="K1723" i="6"/>
  <c r="F1724" i="6"/>
  <c r="H1724" i="6"/>
  <c r="J1724" i="6"/>
  <c r="K1724" i="6"/>
  <c r="F1725" i="6"/>
  <c r="H1725" i="6"/>
  <c r="J1725" i="6"/>
  <c r="K1725" i="6"/>
  <c r="F1726" i="6"/>
  <c r="H1726" i="6"/>
  <c r="J1726" i="6"/>
  <c r="K1726" i="6"/>
  <c r="F1727" i="6"/>
  <c r="H1727" i="6"/>
  <c r="J1727" i="6"/>
  <c r="K1727" i="6"/>
  <c r="F1728" i="6"/>
  <c r="H1728" i="6"/>
  <c r="J1728" i="6"/>
  <c r="K1728" i="6"/>
  <c r="F1729" i="6"/>
  <c r="H1729" i="6"/>
  <c r="J1729" i="6"/>
  <c r="K1729" i="6"/>
  <c r="K1730" i="6"/>
  <c r="F1731" i="6"/>
  <c r="F1730" i="6" s="1"/>
  <c r="H1731" i="6"/>
  <c r="H1730" i="6" s="1"/>
  <c r="J1731" i="6"/>
  <c r="K1731" i="6"/>
  <c r="K1732" i="6"/>
  <c r="F1733" i="6"/>
  <c r="F1732" i="6" s="1"/>
  <c r="H1733" i="6"/>
  <c r="H1732" i="6" s="1"/>
  <c r="J1733" i="6"/>
  <c r="K1733" i="6"/>
  <c r="K1734" i="6"/>
  <c r="F1735" i="6"/>
  <c r="F1734" i="6" s="1"/>
  <c r="H1735" i="6"/>
  <c r="J1735" i="6"/>
  <c r="J1734" i="6" s="1"/>
  <c r="K1735" i="6"/>
  <c r="K1736" i="6"/>
  <c r="F1737" i="6"/>
  <c r="F1736" i="6" s="1"/>
  <c r="H1737" i="6"/>
  <c r="H1736" i="6" s="1"/>
  <c r="J1737" i="6"/>
  <c r="K1737" i="6"/>
  <c r="K1738" i="6"/>
  <c r="K1739" i="6"/>
  <c r="F1740" i="6"/>
  <c r="H1740" i="6"/>
  <c r="J1740" i="6"/>
  <c r="K1740" i="6"/>
  <c r="F1741" i="6"/>
  <c r="H1741" i="6"/>
  <c r="J1741" i="6"/>
  <c r="K1741" i="6"/>
  <c r="K1742" i="6"/>
  <c r="F1743" i="6"/>
  <c r="H1743" i="6"/>
  <c r="J1743" i="6"/>
  <c r="K1743" i="6"/>
  <c r="F1744" i="6"/>
  <c r="H1744" i="6"/>
  <c r="J1744" i="6"/>
  <c r="J1742" i="6" s="1"/>
  <c r="K1744" i="6"/>
  <c r="K1745" i="6"/>
  <c r="F1746" i="6"/>
  <c r="F1745" i="6" s="1"/>
  <c r="H1746" i="6"/>
  <c r="H1745" i="6" s="1"/>
  <c r="J1746" i="6"/>
  <c r="J1745" i="6" s="1"/>
  <c r="K1746" i="6"/>
  <c r="K1747" i="6"/>
  <c r="F1748" i="6"/>
  <c r="F1747" i="6" s="1"/>
  <c r="H1748" i="6"/>
  <c r="H1747" i="6" s="1"/>
  <c r="J1748" i="6"/>
  <c r="K1748" i="6"/>
  <c r="K1749" i="6"/>
  <c r="F1750" i="6"/>
  <c r="F1749" i="6" s="1"/>
  <c r="H1750" i="6"/>
  <c r="H1749" i="6" s="1"/>
  <c r="J1750" i="6"/>
  <c r="J1749" i="6" s="1"/>
  <c r="K1750" i="6"/>
  <c r="K1751" i="6"/>
  <c r="F1752" i="6"/>
  <c r="H1752" i="6"/>
  <c r="J1752" i="6"/>
  <c r="K1752" i="6"/>
  <c r="F1753" i="6"/>
  <c r="H1753" i="6"/>
  <c r="J1753" i="6"/>
  <c r="K1753" i="6"/>
  <c r="F1754" i="6"/>
  <c r="H1754" i="6"/>
  <c r="J1754" i="6"/>
  <c r="K1754" i="6"/>
  <c r="K1755" i="6"/>
  <c r="F1756" i="6"/>
  <c r="H1756" i="6"/>
  <c r="J1756" i="6"/>
  <c r="K1756" i="6"/>
  <c r="F1757" i="6"/>
  <c r="H1757" i="6"/>
  <c r="J1757" i="6"/>
  <c r="K1757" i="6"/>
  <c r="K1758" i="6"/>
  <c r="F1759" i="6"/>
  <c r="F1758" i="6" s="1"/>
  <c r="H1759" i="6"/>
  <c r="H1758" i="6" s="1"/>
  <c r="J1759" i="6"/>
  <c r="J1758" i="6" s="1"/>
  <c r="K1759" i="6"/>
  <c r="K1760" i="6"/>
  <c r="F1761" i="6"/>
  <c r="F1760" i="6" s="1"/>
  <c r="H1761" i="6"/>
  <c r="J1761" i="6"/>
  <c r="J1760" i="6" s="1"/>
  <c r="K1761" i="6"/>
  <c r="K1762" i="6"/>
  <c r="F1763" i="6"/>
  <c r="H1763" i="6"/>
  <c r="J1763" i="6"/>
  <c r="K1763" i="6"/>
  <c r="F1764" i="6"/>
  <c r="H1764" i="6"/>
  <c r="J1764" i="6"/>
  <c r="K1764" i="6"/>
  <c r="F1765" i="6"/>
  <c r="H1765" i="6"/>
  <c r="J1765" i="6"/>
  <c r="K1765" i="6"/>
  <c r="K1766" i="6"/>
  <c r="F1767" i="6"/>
  <c r="F1766" i="6" s="1"/>
  <c r="H1767" i="6"/>
  <c r="H1766" i="6" s="1"/>
  <c r="J1767" i="6"/>
  <c r="J1766" i="6" s="1"/>
  <c r="K1767" i="6"/>
  <c r="K1768" i="6"/>
  <c r="F1769" i="6"/>
  <c r="H1769" i="6"/>
  <c r="J1769" i="6"/>
  <c r="K1769" i="6"/>
  <c r="F1770" i="6"/>
  <c r="H1770" i="6"/>
  <c r="J1770" i="6"/>
  <c r="K1770" i="6"/>
  <c r="F1771" i="6"/>
  <c r="H1771" i="6"/>
  <c r="J1771" i="6"/>
  <c r="K1771" i="6"/>
  <c r="F1772" i="6"/>
  <c r="H1772" i="6"/>
  <c r="J1772" i="6"/>
  <c r="K1772" i="6"/>
  <c r="F1773" i="6"/>
  <c r="H1773" i="6"/>
  <c r="J1773" i="6"/>
  <c r="K1773" i="6"/>
  <c r="K1774" i="6"/>
  <c r="F1775" i="6"/>
  <c r="F1774" i="6" s="1"/>
  <c r="H1775" i="6"/>
  <c r="H1774" i="6" s="1"/>
  <c r="J1775" i="6"/>
  <c r="J1774" i="6" s="1"/>
  <c r="K1775" i="6"/>
  <c r="K1776" i="6"/>
  <c r="F1777" i="6"/>
  <c r="F1776" i="6" s="1"/>
  <c r="H1777" i="6"/>
  <c r="J1777" i="6"/>
  <c r="J1776" i="6" s="1"/>
  <c r="K1777" i="6"/>
  <c r="K1778" i="6"/>
  <c r="F1779" i="6"/>
  <c r="F1778" i="6" s="1"/>
  <c r="H1779" i="6"/>
  <c r="H1778" i="6" s="1"/>
  <c r="J1779" i="6"/>
  <c r="J1778" i="6" s="1"/>
  <c r="K1779" i="6"/>
  <c r="K1780" i="6"/>
  <c r="F1781" i="6"/>
  <c r="F1780" i="6" s="1"/>
  <c r="H1781" i="6"/>
  <c r="H1780" i="6" s="1"/>
  <c r="J1781" i="6"/>
  <c r="J1780" i="6" s="1"/>
  <c r="K1781" i="6"/>
  <c r="K1782" i="6"/>
  <c r="F1783" i="6"/>
  <c r="F1782" i="6" s="1"/>
  <c r="H1783" i="6"/>
  <c r="H1782" i="6" s="1"/>
  <c r="J1783" i="6"/>
  <c r="J1782" i="6" s="1"/>
  <c r="K1783" i="6"/>
  <c r="K1784" i="6"/>
  <c r="F1785" i="6"/>
  <c r="F1784" i="6" s="1"/>
  <c r="H1785" i="6"/>
  <c r="J1785" i="6"/>
  <c r="J1784" i="6" s="1"/>
  <c r="K1785" i="6"/>
  <c r="K1786" i="6"/>
  <c r="F1787" i="6"/>
  <c r="H1787" i="6"/>
  <c r="J1787" i="6"/>
  <c r="K1787" i="6"/>
  <c r="F1788" i="6"/>
  <c r="H1788" i="6"/>
  <c r="J1788" i="6"/>
  <c r="K1788" i="6"/>
  <c r="F1789" i="6"/>
  <c r="H1789" i="6"/>
  <c r="J1789" i="6"/>
  <c r="K1789" i="6"/>
  <c r="K1790" i="6"/>
  <c r="K1791" i="6"/>
  <c r="F1792" i="6"/>
  <c r="H1792" i="6"/>
  <c r="J1792" i="6"/>
  <c r="K1792" i="6"/>
  <c r="F1793" i="6"/>
  <c r="H1793" i="6"/>
  <c r="J1793" i="6"/>
  <c r="K1793" i="6"/>
  <c r="K1794" i="6"/>
  <c r="F1795" i="6"/>
  <c r="H1795" i="6"/>
  <c r="J1795" i="6"/>
  <c r="K1795" i="6"/>
  <c r="F1796" i="6"/>
  <c r="H1796" i="6"/>
  <c r="J1796" i="6"/>
  <c r="K1796" i="6"/>
  <c r="K1797" i="6"/>
  <c r="F1798" i="6"/>
  <c r="F1797" i="6" s="1"/>
  <c r="H1798" i="6"/>
  <c r="H1797" i="6" s="1"/>
  <c r="J1798" i="6"/>
  <c r="J1797" i="6" s="1"/>
  <c r="K1798" i="6"/>
  <c r="K1799" i="6"/>
  <c r="F1800" i="6"/>
  <c r="F1799" i="6" s="1"/>
  <c r="H1800" i="6"/>
  <c r="H1799" i="6" s="1"/>
  <c r="J1800" i="6"/>
  <c r="K1800" i="6"/>
  <c r="K1801" i="6"/>
  <c r="F1802" i="6"/>
  <c r="F1801" i="6" s="1"/>
  <c r="H1802" i="6"/>
  <c r="H1801" i="6" s="1"/>
  <c r="J1802" i="6"/>
  <c r="J1801" i="6" s="1"/>
  <c r="K1802" i="6"/>
  <c r="K1803" i="6"/>
  <c r="F1804" i="6"/>
  <c r="F1803" i="6" s="1"/>
  <c r="H1804" i="6"/>
  <c r="H1803" i="6" s="1"/>
  <c r="J1804" i="6"/>
  <c r="J1803" i="6" s="1"/>
  <c r="K1804" i="6"/>
  <c r="K1805" i="6"/>
  <c r="L1805" i="6"/>
  <c r="K1807" i="6"/>
  <c r="F1808" i="6"/>
  <c r="H1808" i="6"/>
  <c r="J1808" i="6"/>
  <c r="J1807" i="6" s="1"/>
  <c r="K1808" i="6"/>
  <c r="K1809" i="6"/>
  <c r="F1810" i="6"/>
  <c r="H1810" i="6"/>
  <c r="J1810" i="6"/>
  <c r="K1810" i="6"/>
  <c r="F1811" i="6"/>
  <c r="H1811" i="6"/>
  <c r="J1811" i="6"/>
  <c r="K1811" i="6"/>
  <c r="F1812" i="6"/>
  <c r="H1812" i="6"/>
  <c r="J1812" i="6"/>
  <c r="K1812" i="6"/>
  <c r="F1813" i="6"/>
  <c r="H1813" i="6"/>
  <c r="J1813" i="6"/>
  <c r="K1813" i="6"/>
  <c r="F1814" i="6"/>
  <c r="H1814" i="6"/>
  <c r="J1814" i="6"/>
  <c r="K1814" i="6"/>
  <c r="K1815" i="6"/>
  <c r="F1816" i="6"/>
  <c r="H1816" i="6"/>
  <c r="J1816" i="6"/>
  <c r="K1816" i="6"/>
  <c r="F1817" i="6"/>
  <c r="F1815" i="6" s="1"/>
  <c r="H1817" i="6"/>
  <c r="J1817" i="6"/>
  <c r="K1817" i="6"/>
  <c r="F1818" i="6"/>
  <c r="H1818" i="6"/>
  <c r="J1818" i="6"/>
  <c r="K1818" i="6"/>
  <c r="K32" i="11"/>
  <c r="K31" i="11"/>
  <c r="K30" i="11"/>
  <c r="K29" i="11" s="1"/>
  <c r="H28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K13" i="11"/>
  <c r="K12" i="11"/>
  <c r="K11" i="11"/>
  <c r="K10" i="11"/>
  <c r="H10" i="11"/>
  <c r="L10" i="11" s="1"/>
  <c r="K9" i="11"/>
  <c r="L8" i="11"/>
  <c r="K8" i="11"/>
  <c r="H7" i="10"/>
  <c r="F36" i="10"/>
  <c r="J38" i="6"/>
  <c r="L38" i="6" s="1"/>
  <c r="F32" i="9" s="1"/>
  <c r="F32" i="10" s="1"/>
  <c r="H32" i="10" s="1"/>
  <c r="J29" i="11" s="1"/>
  <c r="L29" i="11" s="1"/>
  <c r="K39" i="6"/>
  <c r="F1755" i="6" l="1"/>
  <c r="H788" i="6"/>
  <c r="F1436" i="6"/>
  <c r="H1111" i="6"/>
  <c r="F1111" i="6"/>
  <c r="F1011" i="6"/>
  <c r="F1678" i="6"/>
  <c r="J1456" i="6"/>
  <c r="H162" i="6"/>
  <c r="F1006" i="6"/>
  <c r="L1216" i="6"/>
  <c r="H1556" i="6"/>
  <c r="L1583" i="6"/>
  <c r="L1599" i="6"/>
  <c r="F1116" i="6"/>
  <c r="F662" i="6"/>
  <c r="H1815" i="6"/>
  <c r="L1603" i="6"/>
  <c r="L1211" i="6"/>
  <c r="L1025" i="6"/>
  <c r="H352" i="6"/>
  <c r="J149" i="6"/>
  <c r="F1384" i="6"/>
  <c r="J1180" i="6"/>
  <c r="F319" i="6"/>
  <c r="H1473" i="6"/>
  <c r="J1390" i="6"/>
  <c r="F1171" i="6"/>
  <c r="F86" i="6"/>
  <c r="J1794" i="6"/>
  <c r="F1236" i="6"/>
  <c r="J1036" i="6"/>
  <c r="F274" i="6"/>
  <c r="J352" i="6"/>
  <c r="H1116" i="6"/>
  <c r="F340" i="6"/>
  <c r="F578" i="6"/>
  <c r="J1594" i="6"/>
  <c r="L1788" i="6"/>
  <c r="L996" i="6"/>
  <c r="L400" i="6"/>
  <c r="L296" i="6"/>
  <c r="L845" i="6"/>
  <c r="L1570" i="6"/>
  <c r="L869" i="6"/>
  <c r="L1079" i="6"/>
  <c r="L258" i="6"/>
  <c r="L1068" i="6"/>
  <c r="L1813" i="6"/>
  <c r="L1785" i="6"/>
  <c r="L786" i="6"/>
  <c r="L587" i="6"/>
  <c r="L1017" i="6"/>
  <c r="L426" i="6"/>
  <c r="L1088" i="6"/>
  <c r="L487" i="6"/>
  <c r="L1143" i="6"/>
  <c r="L1142" i="6"/>
  <c r="L685" i="6"/>
  <c r="L1045" i="6"/>
  <c r="L1035" i="6"/>
  <c r="L672" i="6"/>
  <c r="L1209" i="6"/>
  <c r="L1196" i="6"/>
  <c r="L1194" i="6"/>
  <c r="L1184" i="6"/>
  <c r="L737" i="6"/>
  <c r="L579" i="6"/>
  <c r="L526" i="6"/>
  <c r="L326" i="6"/>
  <c r="L305" i="6"/>
  <c r="L301" i="6"/>
  <c r="L148" i="6"/>
  <c r="L102" i="6"/>
  <c r="L654" i="6"/>
  <c r="L652" i="6"/>
  <c r="L371" i="6"/>
  <c r="L333" i="6"/>
  <c r="L1764" i="6"/>
  <c r="L1763" i="6"/>
  <c r="L1661" i="6"/>
  <c r="L1428" i="6"/>
  <c r="L1150" i="6"/>
  <c r="L1054" i="6"/>
  <c r="L705" i="6"/>
  <c r="L703" i="6"/>
  <c r="F524" i="6"/>
  <c r="L462" i="6"/>
  <c r="L449" i="6"/>
  <c r="L448" i="6"/>
  <c r="L435" i="6"/>
  <c r="L408" i="6"/>
  <c r="H337" i="6"/>
  <c r="L167" i="6"/>
  <c r="L95" i="6"/>
  <c r="L1628" i="6"/>
  <c r="J1622" i="6"/>
  <c r="L1590" i="6"/>
  <c r="L1588" i="6"/>
  <c r="L1467" i="6"/>
  <c r="L1443" i="6"/>
  <c r="L1399" i="6"/>
  <c r="L1253" i="6"/>
  <c r="L1249" i="6"/>
  <c r="L1235" i="6"/>
  <c r="L1224" i="6"/>
  <c r="L1220" i="6"/>
  <c r="L1207" i="6"/>
  <c r="L1203" i="6"/>
  <c r="L1191" i="6"/>
  <c r="L789" i="6"/>
  <c r="L784" i="6"/>
  <c r="L764" i="6"/>
  <c r="L743" i="6"/>
  <c r="L732" i="6"/>
  <c r="L731" i="6"/>
  <c r="L730" i="6"/>
  <c r="L667" i="6"/>
  <c r="L641" i="6"/>
  <c r="L623" i="6"/>
  <c r="L620" i="6"/>
  <c r="L582" i="6"/>
  <c r="L580" i="6"/>
  <c r="L570" i="6"/>
  <c r="L267" i="6"/>
  <c r="L206" i="6"/>
  <c r="L137" i="6"/>
  <c r="L1772" i="6"/>
  <c r="L1717" i="6"/>
  <c r="L1680" i="6"/>
  <c r="L1670" i="6"/>
  <c r="J1664" i="6"/>
  <c r="F1654" i="6"/>
  <c r="L1549" i="6"/>
  <c r="L1488" i="6"/>
  <c r="L1001" i="6"/>
  <c r="L978" i="6"/>
  <c r="L926" i="6"/>
  <c r="L924" i="6"/>
  <c r="L922" i="6"/>
  <c r="L918" i="6"/>
  <c r="L894" i="6"/>
  <c r="L892" i="6"/>
  <c r="L890" i="6"/>
  <c r="L886" i="6"/>
  <c r="L884" i="6"/>
  <c r="L866" i="6"/>
  <c r="L862" i="6"/>
  <c r="L860" i="6"/>
  <c r="L858" i="6"/>
  <c r="L848" i="6"/>
  <c r="L692" i="6"/>
  <c r="L690" i="6"/>
  <c r="J1486" i="6"/>
  <c r="H1468" i="6"/>
  <c r="J1463" i="6"/>
  <c r="H1456" i="6"/>
  <c r="F1364" i="6"/>
  <c r="L1133" i="6"/>
  <c r="L1132" i="6"/>
  <c r="L1131" i="6"/>
  <c r="L1110" i="6"/>
  <c r="L1064" i="6"/>
  <c r="L1063" i="6"/>
  <c r="L1014" i="6"/>
  <c r="L1008" i="6"/>
  <c r="L989" i="6"/>
  <c r="L972" i="6"/>
  <c r="F1794" i="6"/>
  <c r="L1793" i="6"/>
  <c r="H1739" i="6"/>
  <c r="L1693" i="6"/>
  <c r="F1685" i="6"/>
  <c r="L1643" i="6"/>
  <c r="J1576" i="6"/>
  <c r="L1534" i="6"/>
  <c r="L1512" i="6"/>
  <c r="L1505" i="6"/>
  <c r="L1494" i="6"/>
  <c r="L1449" i="6"/>
  <c r="L1420" i="6"/>
  <c r="L1409" i="6"/>
  <c r="L1351" i="6"/>
  <c r="L1333" i="6"/>
  <c r="L1330" i="6"/>
  <c r="L1329" i="6"/>
  <c r="L1327" i="6"/>
  <c r="L1299" i="6"/>
  <c r="L1282" i="6"/>
  <c r="L1281" i="6"/>
  <c r="L1255" i="6"/>
  <c r="L1232" i="6"/>
  <c r="L1231" i="6"/>
  <c r="L1230" i="6"/>
  <c r="L1226" i="6"/>
  <c r="L1202" i="6"/>
  <c r="L1176" i="6"/>
  <c r="L1165" i="6"/>
  <c r="L1162" i="6"/>
  <c r="L1156" i="6"/>
  <c r="L1155" i="6"/>
  <c r="L1147" i="6"/>
  <c r="L1127" i="6"/>
  <c r="L1125" i="6"/>
  <c r="L1081" i="6"/>
  <c r="L1056" i="6"/>
  <c r="L1055" i="6"/>
  <c r="L1048" i="6"/>
  <c r="L1818" i="6"/>
  <c r="L1655" i="6"/>
  <c r="L1613" i="6"/>
  <c r="L1611" i="6"/>
  <c r="L1572" i="6"/>
  <c r="L1539" i="6"/>
  <c r="L1504" i="6"/>
  <c r="L1476" i="6"/>
  <c r="L1366" i="6"/>
  <c r="L1360" i="6"/>
  <c r="L1306" i="6"/>
  <c r="L1002" i="6"/>
  <c r="L992" i="6"/>
  <c r="F933" i="6"/>
  <c r="L1728" i="6"/>
  <c r="J1723" i="6"/>
  <c r="L1663" i="6"/>
  <c r="L1615" i="6"/>
  <c r="L1614" i="6"/>
  <c r="H1594" i="6"/>
  <c r="L1479" i="6"/>
  <c r="L1394" i="6"/>
  <c r="L1392" i="6"/>
  <c r="L1368" i="6"/>
  <c r="H1092" i="6"/>
  <c r="L920" i="6"/>
  <c r="L904" i="6"/>
  <c r="L902" i="6"/>
  <c r="L900" i="6"/>
  <c r="L896" i="6"/>
  <c r="L888" i="6"/>
  <c r="L864" i="6"/>
  <c r="L843" i="6"/>
  <c r="L839" i="6"/>
  <c r="F809" i="6"/>
  <c r="L807" i="6"/>
  <c r="L772" i="6"/>
  <c r="L768" i="6"/>
  <c r="L750" i="6"/>
  <c r="L746" i="6"/>
  <c r="L735" i="6"/>
  <c r="L713" i="6"/>
  <c r="L712" i="6"/>
  <c r="L694" i="6"/>
  <c r="L577" i="6"/>
  <c r="L571" i="6"/>
  <c r="L511" i="6"/>
  <c r="L510" i="6"/>
  <c r="L507" i="6"/>
  <c r="L502" i="6"/>
  <c r="L498" i="6"/>
  <c r="L494" i="6"/>
  <c r="L418" i="6"/>
  <c r="L416" i="6"/>
  <c r="L412" i="6"/>
  <c r="L379" i="6"/>
  <c r="L362" i="6"/>
  <c r="L359" i="6"/>
  <c r="L298" i="6"/>
  <c r="L288" i="6"/>
  <c r="L287" i="6"/>
  <c r="L270" i="6"/>
  <c r="H316" i="6"/>
  <c r="L147" i="6"/>
  <c r="L132" i="6"/>
  <c r="L934" i="6"/>
  <c r="L909" i="6"/>
  <c r="L877" i="6"/>
  <c r="L850" i="6"/>
  <c r="L849" i="6"/>
  <c r="L810" i="6"/>
  <c r="L779" i="6"/>
  <c r="L759" i="6"/>
  <c r="L718" i="6"/>
  <c r="L701" i="6"/>
  <c r="L636" i="6"/>
  <c r="L632" i="6"/>
  <c r="L518" i="6"/>
  <c r="L517" i="6"/>
  <c r="H514" i="6"/>
  <c r="L471" i="6"/>
  <c r="L328" i="6"/>
  <c r="H306" i="6"/>
  <c r="L276" i="6"/>
  <c r="L208" i="6"/>
  <c r="L141" i="6"/>
  <c r="L1318" i="6"/>
  <c r="L1317" i="6"/>
  <c r="L1316" i="6"/>
  <c r="L1313" i="6"/>
  <c r="L1312" i="6"/>
  <c r="L1310" i="6"/>
  <c r="L1261" i="6"/>
  <c r="L1244" i="6"/>
  <c r="L1173" i="6"/>
  <c r="F1161" i="6"/>
  <c r="L1104" i="6"/>
  <c r="H1036" i="6"/>
  <c r="L998" i="6"/>
  <c r="L997" i="6"/>
  <c r="L970" i="6"/>
  <c r="L968" i="6"/>
  <c r="L966" i="6"/>
  <c r="L944" i="6"/>
  <c r="L941" i="6"/>
  <c r="L936" i="6"/>
  <c r="L913" i="6"/>
  <c r="L911" i="6"/>
  <c r="L907" i="6"/>
  <c r="L898" i="6"/>
  <c r="L879" i="6"/>
  <c r="L875" i="6"/>
  <c r="L873" i="6"/>
  <c r="L871" i="6"/>
  <c r="L837" i="6"/>
  <c r="L828" i="6"/>
  <c r="L826" i="6"/>
  <c r="L813" i="6"/>
  <c r="L812" i="6"/>
  <c r="F788" i="6"/>
  <c r="L770" i="6"/>
  <c r="L748" i="6"/>
  <c r="L739" i="6"/>
  <c r="L720" i="6"/>
  <c r="L716" i="6"/>
  <c r="L711" i="6"/>
  <c r="L709" i="6"/>
  <c r="L664" i="6"/>
  <c r="L606" i="6"/>
  <c r="L602" i="6"/>
  <c r="L600" i="6"/>
  <c r="L562" i="6"/>
  <c r="L543" i="6"/>
  <c r="L542" i="6"/>
  <c r="L534" i="6"/>
  <c r="L532" i="6"/>
  <c r="L479" i="6"/>
  <c r="L478" i="6"/>
  <c r="L477" i="6"/>
  <c r="L474" i="6"/>
  <c r="L473" i="6"/>
  <c r="F370" i="6"/>
  <c r="L345" i="6"/>
  <c r="L341" i="6"/>
  <c r="L338" i="6"/>
  <c r="L310" i="6"/>
  <c r="L307" i="6"/>
  <c r="F306" i="6"/>
  <c r="L285" i="6"/>
  <c r="H187" i="6"/>
  <c r="L186" i="6"/>
  <c r="L170" i="6"/>
  <c r="H138" i="6"/>
  <c r="L88" i="6"/>
  <c r="L1816" i="6"/>
  <c r="L1800" i="6"/>
  <c r="L1796" i="6"/>
  <c r="L1795" i="6"/>
  <c r="H1786" i="6"/>
  <c r="L1765" i="6"/>
  <c r="J1755" i="6"/>
  <c r="F1742" i="6"/>
  <c r="L1729" i="6"/>
  <c r="F1720" i="6"/>
  <c r="L1719" i="6"/>
  <c r="L1709" i="6"/>
  <c r="L1708" i="6"/>
  <c r="F1696" i="6"/>
  <c r="L1668" i="6"/>
  <c r="L1662" i="6"/>
  <c r="L1659" i="6"/>
  <c r="L1627" i="6"/>
  <c r="L1617" i="6"/>
  <c r="L1602" i="6"/>
  <c r="L1598" i="6"/>
  <c r="L1595" i="6"/>
  <c r="F1594" i="6"/>
  <c r="H1591" i="6"/>
  <c r="L1578" i="6"/>
  <c r="H1576" i="6"/>
  <c r="H1573" i="6"/>
  <c r="L1565" i="6"/>
  <c r="J1540" i="6"/>
  <c r="L1516" i="6"/>
  <c r="L1507" i="6"/>
  <c r="L1496" i="6"/>
  <c r="F1483" i="6"/>
  <c r="L1470" i="6"/>
  <c r="L1457" i="6"/>
  <c r="F1456" i="6"/>
  <c r="H1453" i="6"/>
  <c r="J1442" i="6"/>
  <c r="F1439" i="6"/>
  <c r="F1407" i="6"/>
  <c r="F1378" i="6"/>
  <c r="J1357" i="6"/>
  <c r="L1353" i="6"/>
  <c r="L1345" i="6"/>
  <c r="L1343" i="6"/>
  <c r="L1331" i="6"/>
  <c r="L1320" i="6"/>
  <c r="L1314" i="6"/>
  <c r="F1301" i="6"/>
  <c r="F1591" i="6"/>
  <c r="H1532" i="6"/>
  <c r="J1510" i="6"/>
  <c r="L1509" i="6"/>
  <c r="L1421" i="6"/>
  <c r="L1812" i="6"/>
  <c r="L1811" i="6"/>
  <c r="F1791" i="6"/>
  <c r="L1761" i="6"/>
  <c r="L1754" i="6"/>
  <c r="L1753" i="6"/>
  <c r="L1733" i="6"/>
  <c r="L1726" i="6"/>
  <c r="L1724" i="6"/>
  <c r="J1720" i="6"/>
  <c r="L1713" i="6"/>
  <c r="L1651" i="6"/>
  <c r="L1646" i="6"/>
  <c r="H1633" i="6"/>
  <c r="L1624" i="6"/>
  <c r="J1605" i="6"/>
  <c r="F1597" i="6"/>
  <c r="L1596" i="6"/>
  <c r="H1585" i="6"/>
  <c r="L1582" i="6"/>
  <c r="H1559" i="6"/>
  <c r="H1528" i="6"/>
  <c r="H1510" i="6"/>
  <c r="F1491" i="6"/>
  <c r="H1486" i="6"/>
  <c r="L1480" i="6"/>
  <c r="L1469" i="6"/>
  <c r="F1468" i="6"/>
  <c r="H1463" i="6"/>
  <c r="L1458" i="6"/>
  <c r="J1439" i="6"/>
  <c r="L1419" i="6"/>
  <c r="L1411" i="6"/>
  <c r="L1388" i="6"/>
  <c r="J1383" i="6"/>
  <c r="L1375" i="6"/>
  <c r="F1348" i="6"/>
  <c r="J1321" i="6"/>
  <c r="L1309" i="6"/>
  <c r="L1308" i="6"/>
  <c r="J1159" i="6"/>
  <c r="L1159" i="6" s="1"/>
  <c r="L1160" i="6"/>
  <c r="F1672" i="6"/>
  <c r="J1649" i="6"/>
  <c r="J1585" i="6"/>
  <c r="J1528" i="6"/>
  <c r="J1477" i="6"/>
  <c r="J1372" i="6"/>
  <c r="J1815" i="6"/>
  <c r="J1786" i="6"/>
  <c r="L1777" i="6"/>
  <c r="L1771" i="6"/>
  <c r="L1770" i="6"/>
  <c r="L1748" i="6"/>
  <c r="L1744" i="6"/>
  <c r="H1742" i="6"/>
  <c r="L1740" i="6"/>
  <c r="L1731" i="6"/>
  <c r="L1722" i="6"/>
  <c r="L1718" i="6"/>
  <c r="J1707" i="6"/>
  <c r="L1691" i="6"/>
  <c r="L1686" i="6"/>
  <c r="F1633" i="6"/>
  <c r="H1605" i="6"/>
  <c r="L1593" i="6"/>
  <c r="J1591" i="6"/>
  <c r="J1556" i="6"/>
  <c r="F1537" i="6"/>
  <c r="J1513" i="6"/>
  <c r="F1510" i="6"/>
  <c r="F1477" i="6"/>
  <c r="J1473" i="6"/>
  <c r="J1453" i="6"/>
  <c r="J1446" i="6"/>
  <c r="J1436" i="6"/>
  <c r="H1391" i="6"/>
  <c r="L1389" i="6"/>
  <c r="H1383" i="6"/>
  <c r="J1339" i="6"/>
  <c r="J1340" i="6"/>
  <c r="L1324" i="6"/>
  <c r="H1321" i="6"/>
  <c r="J1284" i="6"/>
  <c r="H1242" i="6"/>
  <c r="H1236" i="6"/>
  <c r="H1171" i="6"/>
  <c r="J1167" i="6"/>
  <c r="L1298" i="6"/>
  <c r="L1297" i="6"/>
  <c r="L1295" i="6"/>
  <c r="L1283" i="6"/>
  <c r="H1256" i="6"/>
  <c r="J1236" i="6"/>
  <c r="L1228" i="6"/>
  <c r="F1200" i="6"/>
  <c r="L1199" i="6"/>
  <c r="L1198" i="6"/>
  <c r="J1153" i="6"/>
  <c r="H1148" i="6"/>
  <c r="L1137" i="6"/>
  <c r="L1136" i="6"/>
  <c r="F1124" i="6"/>
  <c r="L1114" i="6"/>
  <c r="L1094" i="6"/>
  <c r="F1092" i="6"/>
  <c r="L1078" i="6"/>
  <c r="L1077" i="6"/>
  <c r="L1074" i="6"/>
  <c r="L1058" i="6"/>
  <c r="J1043" i="6"/>
  <c r="L1032" i="6"/>
  <c r="L1027" i="6"/>
  <c r="J1023" i="6"/>
  <c r="L1019" i="6"/>
  <c r="H1016" i="6"/>
  <c r="L1016" i="6" s="1"/>
  <c r="J1006" i="6"/>
  <c r="L985" i="6"/>
  <c r="L983" i="6"/>
  <c r="F977" i="6"/>
  <c r="H973" i="6"/>
  <c r="L963" i="6"/>
  <c r="L959" i="6"/>
  <c r="J929" i="6"/>
  <c r="L854" i="6"/>
  <c r="L852" i="6"/>
  <c r="L841" i="6"/>
  <c r="L830" i="6"/>
  <c r="J824" i="6"/>
  <c r="L816" i="6"/>
  <c r="L804" i="6"/>
  <c r="H791" i="6"/>
  <c r="H785" i="6"/>
  <c r="J782" i="6"/>
  <c r="F777" i="6"/>
  <c r="L774" i="6"/>
  <c r="F757" i="6"/>
  <c r="L755" i="6"/>
  <c r="L752" i="6"/>
  <c r="L736" i="6"/>
  <c r="J733" i="6"/>
  <c r="L726" i="6"/>
  <c r="L722" i="6"/>
  <c r="F715" i="6"/>
  <c r="L702" i="6"/>
  <c r="L699" i="6"/>
  <c r="L679" i="6"/>
  <c r="L677" i="6"/>
  <c r="J671" i="6"/>
  <c r="J1119" i="6"/>
  <c r="J1111" i="6"/>
  <c r="L1111" i="6" s="1"/>
  <c r="H1086" i="6"/>
  <c r="J1082" i="6"/>
  <c r="H1023" i="6"/>
  <c r="J1011" i="6"/>
  <c r="J1003" i="6"/>
  <c r="L1003" i="6" s="1"/>
  <c r="J990" i="6"/>
  <c r="J846" i="6"/>
  <c r="H762" i="6"/>
  <c r="J741" i="6"/>
  <c r="L741" i="6" s="1"/>
  <c r="L1262" i="6"/>
  <c r="L1252" i="6"/>
  <c r="L1251" i="6"/>
  <c r="F1242" i="6"/>
  <c r="L1223" i="6"/>
  <c r="L1222" i="6"/>
  <c r="L1217" i="6"/>
  <c r="L1210" i="6"/>
  <c r="L1204" i="6"/>
  <c r="J1189" i="6"/>
  <c r="L1181" i="6"/>
  <c r="L1170" i="6"/>
  <c r="L1169" i="6"/>
  <c r="L1166" i="6"/>
  <c r="F1153" i="6"/>
  <c r="L1140" i="6"/>
  <c r="L1121" i="6"/>
  <c r="J1116" i="6"/>
  <c r="L1103" i="6"/>
  <c r="L1102" i="6"/>
  <c r="H1093" i="6"/>
  <c r="F1086" i="6"/>
  <c r="L1085" i="6"/>
  <c r="L1084" i="6"/>
  <c r="L1070" i="6"/>
  <c r="L1067" i="6"/>
  <c r="L1066" i="6"/>
  <c r="L1052" i="6"/>
  <c r="L1050" i="6"/>
  <c r="L1042" i="6"/>
  <c r="L1037" i="6"/>
  <c r="F1036" i="6"/>
  <c r="J1033" i="6"/>
  <c r="F1028" i="6"/>
  <c r="H1011" i="6"/>
  <c r="L1004" i="6"/>
  <c r="H990" i="6"/>
  <c r="J987" i="6"/>
  <c r="L971" i="6"/>
  <c r="L952" i="6"/>
  <c r="L948" i="6"/>
  <c r="H943" i="6"/>
  <c r="J930" i="6"/>
  <c r="L919" i="6"/>
  <c r="H895" i="6"/>
  <c r="L887" i="6"/>
  <c r="J882" i="6"/>
  <c r="L876" i="6"/>
  <c r="F824" i="6"/>
  <c r="L821" i="6"/>
  <c r="J819" i="6"/>
  <c r="L797" i="6"/>
  <c r="J785" i="6"/>
  <c r="L781" i="6"/>
  <c r="L769" i="6"/>
  <c r="L761" i="6"/>
  <c r="L747" i="6"/>
  <c r="H741" i="6"/>
  <c r="H706" i="6"/>
  <c r="L687" i="6"/>
  <c r="L686" i="6"/>
  <c r="L589" i="6"/>
  <c r="F1264" i="6"/>
  <c r="H1259" i="6"/>
  <c r="J1256" i="6"/>
  <c r="H1233" i="6"/>
  <c r="F1167" i="6"/>
  <c r="H1161" i="6"/>
  <c r="J1148" i="6"/>
  <c r="L1138" i="6"/>
  <c r="H1108" i="6"/>
  <c r="L1075" i="6"/>
  <c r="H1033" i="6"/>
  <c r="H1015" i="6"/>
  <c r="J914" i="6"/>
  <c r="J867" i="6"/>
  <c r="L832" i="6"/>
  <c r="H819" i="6"/>
  <c r="L793" i="6"/>
  <c r="J753" i="6"/>
  <c r="H745" i="6"/>
  <c r="L728" i="6"/>
  <c r="J675" i="6"/>
  <c r="H662" i="6"/>
  <c r="F647" i="6"/>
  <c r="L598" i="6"/>
  <c r="F665" i="6"/>
  <c r="L648" i="6"/>
  <c r="L645" i="6"/>
  <c r="L634" i="6"/>
  <c r="L627" i="6"/>
  <c r="L625" i="6"/>
  <c r="J621" i="6"/>
  <c r="F611" i="6"/>
  <c r="F607" i="6"/>
  <c r="L604" i="6"/>
  <c r="L601" i="6"/>
  <c r="L599" i="6"/>
  <c r="L565" i="6"/>
  <c r="L564" i="6"/>
  <c r="L544" i="6"/>
  <c r="H535" i="6"/>
  <c r="L523" i="6"/>
  <c r="L521" i="6"/>
  <c r="L515" i="6"/>
  <c r="L508" i="6"/>
  <c r="L486" i="6"/>
  <c r="L485" i="6"/>
  <c r="L482" i="6"/>
  <c r="L481" i="6"/>
  <c r="L475" i="6"/>
  <c r="L465" i="6"/>
  <c r="L464" i="6"/>
  <c r="L456" i="6"/>
  <c r="L454" i="6"/>
  <c r="L452" i="6"/>
  <c r="L434" i="6"/>
  <c r="L424" i="6"/>
  <c r="L420" i="6"/>
  <c r="L399" i="6"/>
  <c r="L398" i="6"/>
  <c r="L395" i="6"/>
  <c r="L394" i="6"/>
  <c r="L377" i="6"/>
  <c r="H366" i="6"/>
  <c r="L364" i="6"/>
  <c r="F352" i="6"/>
  <c r="H349" i="6"/>
  <c r="L343" i="6"/>
  <c r="F330" i="6"/>
  <c r="H327" i="6"/>
  <c r="L325" i="6"/>
  <c r="L324" i="6"/>
  <c r="L320" i="6"/>
  <c r="L317" i="6"/>
  <c r="L314" i="6"/>
  <c r="L302" i="6"/>
  <c r="L295" i="6"/>
  <c r="L294" i="6"/>
  <c r="L290" i="6"/>
  <c r="F277" i="6"/>
  <c r="L244" i="6"/>
  <c r="L240" i="6"/>
  <c r="L238" i="6"/>
  <c r="L234" i="6"/>
  <c r="L230" i="6"/>
  <c r="J205" i="6"/>
  <c r="L190" i="6"/>
  <c r="L178" i="6"/>
  <c r="L174" i="6"/>
  <c r="L166" i="6"/>
  <c r="L163" i="6"/>
  <c r="J145" i="6"/>
  <c r="H126" i="6"/>
  <c r="H109" i="6"/>
  <c r="L83" i="6"/>
  <c r="J76" i="6"/>
  <c r="F546" i="6"/>
  <c r="F519" i="6"/>
  <c r="J490" i="6"/>
  <c r="F450" i="6"/>
  <c r="H374" i="6"/>
  <c r="J370" i="6"/>
  <c r="F349" i="6"/>
  <c r="L347" i="6"/>
  <c r="H297" i="6"/>
  <c r="H274" i="6"/>
  <c r="F212" i="6"/>
  <c r="H172" i="6"/>
  <c r="J168" i="6"/>
  <c r="J142" i="6"/>
  <c r="F109" i="6"/>
  <c r="J105" i="6"/>
  <c r="L97" i="6"/>
  <c r="L90" i="6"/>
  <c r="L80" i="6"/>
  <c r="L75" i="6"/>
  <c r="L683" i="6"/>
  <c r="L674" i="6"/>
  <c r="L668" i="6"/>
  <c r="J665" i="6"/>
  <c r="L656" i="6"/>
  <c r="L642" i="6"/>
  <c r="L639" i="6"/>
  <c r="J637" i="6"/>
  <c r="H629" i="6"/>
  <c r="L618" i="6"/>
  <c r="H596" i="6"/>
  <c r="L574" i="6"/>
  <c r="L572" i="6"/>
  <c r="L503" i="6"/>
  <c r="L501" i="6"/>
  <c r="L499" i="6"/>
  <c r="L497" i="6"/>
  <c r="L495" i="6"/>
  <c r="L493" i="6"/>
  <c r="L470" i="6"/>
  <c r="L469" i="6"/>
  <c r="F460" i="6"/>
  <c r="L427" i="6"/>
  <c r="L414" i="6"/>
  <c r="L411" i="6"/>
  <c r="L410" i="6"/>
  <c r="L404" i="6"/>
  <c r="L386" i="6"/>
  <c r="L383" i="6"/>
  <c r="L373" i="6"/>
  <c r="F361" i="6"/>
  <c r="H356" i="6"/>
  <c r="L353" i="6"/>
  <c r="F327" i="6"/>
  <c r="J306" i="6"/>
  <c r="L281" i="6"/>
  <c r="J277" i="6"/>
  <c r="L271" i="6"/>
  <c r="L260" i="6"/>
  <c r="L251" i="6"/>
  <c r="L221" i="6"/>
  <c r="L201" i="6"/>
  <c r="L188" i="6"/>
  <c r="F187" i="6"/>
  <c r="F155" i="6"/>
  <c r="H152" i="6"/>
  <c r="J138" i="6"/>
  <c r="L124" i="6"/>
  <c r="L120" i="6"/>
  <c r="L116" i="6"/>
  <c r="H105" i="6"/>
  <c r="J86" i="6"/>
  <c r="F76" i="6"/>
  <c r="H73" i="6"/>
  <c r="J697" i="6"/>
  <c r="L691" i="6"/>
  <c r="J688" i="6"/>
  <c r="H680" i="6"/>
  <c r="H671" i="6"/>
  <c r="L653" i="6"/>
  <c r="L650" i="6"/>
  <c r="L630" i="6"/>
  <c r="J611" i="6"/>
  <c r="L594" i="6"/>
  <c r="L592" i="6"/>
  <c r="L585" i="6"/>
  <c r="H578" i="6"/>
  <c r="L566" i="6"/>
  <c r="F551" i="6"/>
  <c r="L537" i="6"/>
  <c r="F531" i="6"/>
  <c r="H524" i="6"/>
  <c r="L520" i="6"/>
  <c r="L489" i="6"/>
  <c r="L483" i="6"/>
  <c r="L453" i="6"/>
  <c r="L428" i="6"/>
  <c r="L422" i="6"/>
  <c r="L419" i="6"/>
  <c r="L407" i="6"/>
  <c r="L406" i="6"/>
  <c r="L403" i="6"/>
  <c r="L402" i="6"/>
  <c r="L396" i="6"/>
  <c r="J392" i="6"/>
  <c r="L388" i="6"/>
  <c r="H382" i="6"/>
  <c r="L367" i="6"/>
  <c r="L355" i="6"/>
  <c r="H330" i="6"/>
  <c r="L331" i="6"/>
  <c r="J327" i="6"/>
  <c r="L322" i="6"/>
  <c r="J319" i="6"/>
  <c r="J312" i="6"/>
  <c r="L292" i="6"/>
  <c r="L282" i="6"/>
  <c r="L279" i="6"/>
  <c r="H266" i="6"/>
  <c r="L257" i="6"/>
  <c r="L253" i="6"/>
  <c r="L250" i="6"/>
  <c r="L246" i="6"/>
  <c r="L243" i="6"/>
  <c r="L239" i="6"/>
  <c r="L237" i="6"/>
  <c r="L233" i="6"/>
  <c r="L229" i="6"/>
  <c r="L225" i="6"/>
  <c r="L217" i="6"/>
  <c r="J187" i="6"/>
  <c r="L181" i="6"/>
  <c r="L177" i="6"/>
  <c r="J175" i="6"/>
  <c r="F168" i="6"/>
  <c r="L165" i="6"/>
  <c r="J162" i="6"/>
  <c r="F152" i="6"/>
  <c r="F142" i="6"/>
  <c r="L139" i="6"/>
  <c r="H130" i="6"/>
  <c r="J126" i="6"/>
  <c r="F114" i="6"/>
  <c r="L104" i="6"/>
  <c r="L85" i="6"/>
  <c r="F73" i="6"/>
  <c r="H70" i="6"/>
  <c r="K26" i="11"/>
  <c r="K27" i="11"/>
  <c r="F1809" i="6"/>
  <c r="H1809" i="6"/>
  <c r="L1798" i="6"/>
  <c r="H1794" i="6"/>
  <c r="F1768" i="6"/>
  <c r="H1768" i="6"/>
  <c r="H1762" i="6"/>
  <c r="H1760" i="6"/>
  <c r="L1760" i="6" s="1"/>
  <c r="H1755" i="6"/>
  <c r="F1751" i="6"/>
  <c r="H1751" i="6"/>
  <c r="L1746" i="6"/>
  <c r="L1741" i="6"/>
  <c r="L1727" i="6"/>
  <c r="L1716" i="6"/>
  <c r="H1712" i="6"/>
  <c r="L1712" i="6" s="1"/>
  <c r="L1697" i="6"/>
  <c r="L1683" i="6"/>
  <c r="H1677" i="6"/>
  <c r="H1649" i="6"/>
  <c r="L1640" i="6"/>
  <c r="L1639" i="6"/>
  <c r="F1636" i="6"/>
  <c r="L1634" i="6"/>
  <c r="L1461" i="6"/>
  <c r="J1799" i="6"/>
  <c r="L1799" i="6" s="1"/>
  <c r="J1790" i="6"/>
  <c r="J1791" i="6"/>
  <c r="H1784" i="6"/>
  <c r="L1784" i="6" s="1"/>
  <c r="L1782" i="6"/>
  <c r="H1776" i="6"/>
  <c r="L1776" i="6" s="1"/>
  <c r="L1774" i="6"/>
  <c r="J1747" i="6"/>
  <c r="L1747" i="6" s="1"/>
  <c r="J1732" i="6"/>
  <c r="L1732" i="6" s="1"/>
  <c r="J1730" i="6"/>
  <c r="L1730" i="6" s="1"/>
  <c r="L1814" i="6"/>
  <c r="H1806" i="6"/>
  <c r="L1801" i="6"/>
  <c r="L1797" i="6"/>
  <c r="F1790" i="6"/>
  <c r="H1790" i="6"/>
  <c r="L1789" i="6"/>
  <c r="F1786" i="6"/>
  <c r="L1780" i="6"/>
  <c r="L1773" i="6"/>
  <c r="L1766" i="6"/>
  <c r="J1762" i="6"/>
  <c r="F1762" i="6"/>
  <c r="L1749" i="6"/>
  <c r="L1745" i="6"/>
  <c r="L1743" i="6"/>
  <c r="L1715" i="6"/>
  <c r="F1707" i="6"/>
  <c r="L1706" i="6"/>
  <c r="F1703" i="6"/>
  <c r="L1700" i="6"/>
  <c r="L1699" i="6"/>
  <c r="L1673" i="6"/>
  <c r="H1667" i="6"/>
  <c r="F1664" i="6"/>
  <c r="L1631" i="6"/>
  <c r="J1629" i="6"/>
  <c r="H1608" i="6"/>
  <c r="L1609" i="6"/>
  <c r="J1809" i="6"/>
  <c r="F1806" i="6"/>
  <c r="L1783" i="6"/>
  <c r="L1775" i="6"/>
  <c r="J1768" i="6"/>
  <c r="L1756" i="6"/>
  <c r="J1751" i="6"/>
  <c r="F1738" i="6"/>
  <c r="L1725" i="6"/>
  <c r="H1703" i="6"/>
  <c r="L1704" i="6"/>
  <c r="L1688" i="6"/>
  <c r="L1669" i="6"/>
  <c r="L1666" i="6"/>
  <c r="J1657" i="6"/>
  <c r="L1638" i="6"/>
  <c r="L1637" i="6"/>
  <c r="F1626" i="6"/>
  <c r="H1629" i="6"/>
  <c r="F1619" i="6"/>
  <c r="H1622" i="6"/>
  <c r="L1616" i="6"/>
  <c r="J1608" i="6"/>
  <c r="F1608" i="6"/>
  <c r="F1604" i="6"/>
  <c r="L1586" i="6"/>
  <c r="F1585" i="6"/>
  <c r="H1581" i="6"/>
  <c r="L1571" i="6"/>
  <c r="F1568" i="6"/>
  <c r="H1553" i="6"/>
  <c r="L1548" i="6"/>
  <c r="H1540" i="6"/>
  <c r="J1537" i="6"/>
  <c r="L1535" i="6"/>
  <c r="F1532" i="6"/>
  <c r="F1528" i="6"/>
  <c r="L1527" i="6"/>
  <c r="L1519" i="6"/>
  <c r="F1513" i="6"/>
  <c r="H1514" i="6"/>
  <c r="L1495" i="6"/>
  <c r="L1485" i="6"/>
  <c r="L1484" i="6"/>
  <c r="J1468" i="6"/>
  <c r="F1463" i="6"/>
  <c r="L1462" i="6"/>
  <c r="H1446" i="6"/>
  <c r="L1440" i="6"/>
  <c r="L1401" i="6"/>
  <c r="L1400" i="6"/>
  <c r="L1382" i="6"/>
  <c r="F1379" i="6"/>
  <c r="F1371" i="6"/>
  <c r="F1356" i="6"/>
  <c r="L1352" i="6"/>
  <c r="L1328" i="6"/>
  <c r="F1321" i="6"/>
  <c r="L1319" i="6"/>
  <c r="L1311" i="6"/>
  <c r="L1303" i="6"/>
  <c r="L1302" i="6"/>
  <c r="L1300" i="6"/>
  <c r="H1296" i="6"/>
  <c r="L1292" i="6"/>
  <c r="L1289" i="6"/>
  <c r="L1288" i="6"/>
  <c r="H1284" i="6"/>
  <c r="F1279" i="6"/>
  <c r="H1279" i="6"/>
  <c r="L1276" i="6"/>
  <c r="L1275" i="6"/>
  <c r="L1272" i="6"/>
  <c r="L1271" i="6"/>
  <c r="L1268" i="6"/>
  <c r="L1267" i="6"/>
  <c r="J1259" i="6"/>
  <c r="L1260" i="6"/>
  <c r="F1259" i="6"/>
  <c r="F1256" i="6"/>
  <c r="L1254" i="6"/>
  <c r="J1247" i="6"/>
  <c r="L1245" i="6"/>
  <c r="L1238" i="6"/>
  <c r="J1218" i="6"/>
  <c r="L1213" i="6"/>
  <c r="L1212" i="6"/>
  <c r="L1205" i="6"/>
  <c r="L1188" i="6"/>
  <c r="L1187" i="6"/>
  <c r="H1183" i="6"/>
  <c r="L1183" i="6" s="1"/>
  <c r="L1164" i="6"/>
  <c r="L1163" i="6"/>
  <c r="F1152" i="6"/>
  <c r="L1151" i="6"/>
  <c r="F1148" i="6"/>
  <c r="F1144" i="6"/>
  <c r="H1145" i="6"/>
  <c r="L1135" i="6"/>
  <c r="L1134" i="6"/>
  <c r="L1128" i="6"/>
  <c r="J1124" i="6"/>
  <c r="F1119" i="6"/>
  <c r="H1119" i="6"/>
  <c r="J1100" i="6"/>
  <c r="H1100" i="6"/>
  <c r="L1099" i="6"/>
  <c r="L1095" i="6"/>
  <c r="L1089" i="6"/>
  <c r="H1082" i="6"/>
  <c r="L1065" i="6"/>
  <c r="L1062" i="6"/>
  <c r="L1053" i="6"/>
  <c r="H1031" i="6"/>
  <c r="L1031" i="6" s="1"/>
  <c r="L1030" i="6"/>
  <c r="J1028" i="6"/>
  <c r="L1026" i="6"/>
  <c r="H1657" i="6"/>
  <c r="L1625" i="6"/>
  <c r="L1618" i="6"/>
  <c r="L1610" i="6"/>
  <c r="J1604" i="6"/>
  <c r="L1601" i="6"/>
  <c r="L1600" i="6"/>
  <c r="L1587" i="6"/>
  <c r="L1584" i="6"/>
  <c r="L1575" i="6"/>
  <c r="J1573" i="6"/>
  <c r="L1557" i="6"/>
  <c r="F1552" i="6"/>
  <c r="E13" i="6" s="1"/>
  <c r="F13" i="6" s="1"/>
  <c r="L1546" i="6"/>
  <c r="F1540" i="6"/>
  <c r="F1536" i="6"/>
  <c r="H1536" i="6"/>
  <c r="L1531" i="6"/>
  <c r="L1517" i="6"/>
  <c r="J1499" i="6"/>
  <c r="F1499" i="6"/>
  <c r="L1497" i="6"/>
  <c r="H1477" i="6"/>
  <c r="L1474" i="6"/>
  <c r="F1473" i="6"/>
  <c r="L1466" i="6"/>
  <c r="L1465" i="6"/>
  <c r="L1448" i="6"/>
  <c r="L1447" i="6"/>
  <c r="L1435" i="6"/>
  <c r="L1434" i="6"/>
  <c r="L1427" i="6"/>
  <c r="H1416" i="6"/>
  <c r="L1412" i="6"/>
  <c r="L1387" i="6"/>
  <c r="H1378" i="6"/>
  <c r="L1344" i="6"/>
  <c r="H1340" i="6"/>
  <c r="L1334" i="6"/>
  <c r="L1323" i="6"/>
  <c r="J1305" i="6"/>
  <c r="F1305" i="6"/>
  <c r="F1284" i="6"/>
  <c r="L1258" i="6"/>
  <c r="F1246" i="6"/>
  <c r="H1246" i="6"/>
  <c r="H1206" i="6"/>
  <c r="L1206" i="6" s="1"/>
  <c r="L1179" i="6"/>
  <c r="L1178" i="6"/>
  <c r="J1139" i="6"/>
  <c r="F1139" i="6"/>
  <c r="J1129" i="6"/>
  <c r="L1117" i="6"/>
  <c r="L1112" i="6"/>
  <c r="H1106" i="6"/>
  <c r="F1100" i="6"/>
  <c r="L1097" i="6"/>
  <c r="H1059" i="6"/>
  <c r="L1621" i="6"/>
  <c r="L1620" i="6"/>
  <c r="L1612" i="6"/>
  <c r="L1589" i="6"/>
  <c r="J1568" i="6"/>
  <c r="L1558" i="6"/>
  <c r="J1552" i="6"/>
  <c r="I13" i="6" s="1"/>
  <c r="J13" i="6" s="1"/>
  <c r="L1550" i="6"/>
  <c r="L1543" i="6"/>
  <c r="L1542" i="6"/>
  <c r="J1532" i="6"/>
  <c r="L1530" i="6"/>
  <c r="L1524" i="6"/>
  <c r="F1498" i="6"/>
  <c r="H1502" i="6"/>
  <c r="J1492" i="6"/>
  <c r="F1486" i="6"/>
  <c r="L1486" i="6" s="1"/>
  <c r="L1475" i="6"/>
  <c r="L1472" i="6"/>
  <c r="L1460" i="6"/>
  <c r="F1452" i="6"/>
  <c r="L1445" i="6"/>
  <c r="F1442" i="6"/>
  <c r="L1441" i="6"/>
  <c r="L1438" i="6"/>
  <c r="J1431" i="6"/>
  <c r="L1430" i="6"/>
  <c r="L1429" i="6"/>
  <c r="L1422" i="6"/>
  <c r="F1415" i="6"/>
  <c r="J1406" i="6"/>
  <c r="L1403" i="6"/>
  <c r="L1402" i="6"/>
  <c r="L1396" i="6"/>
  <c r="J1391" i="6"/>
  <c r="L1376" i="6"/>
  <c r="J1349" i="6"/>
  <c r="F1339" i="6"/>
  <c r="L1332" i="6"/>
  <c r="J1325" i="6"/>
  <c r="L1315" i="6"/>
  <c r="L1307" i="6"/>
  <c r="L1304" i="6"/>
  <c r="J1296" i="6"/>
  <c r="F1296" i="6"/>
  <c r="L1291" i="6"/>
  <c r="L1290" i="6"/>
  <c r="L1287" i="6"/>
  <c r="L1286" i="6"/>
  <c r="L1278" i="6"/>
  <c r="L1277" i="6"/>
  <c r="L1274" i="6"/>
  <c r="L1273" i="6"/>
  <c r="L1270" i="6"/>
  <c r="L1269" i="6"/>
  <c r="L1266" i="6"/>
  <c r="L1265" i="6"/>
  <c r="L1263" i="6"/>
  <c r="L1250" i="6"/>
  <c r="J1242" i="6"/>
  <c r="J1233" i="6"/>
  <c r="L1229" i="6"/>
  <c r="L1221" i="6"/>
  <c r="L1215" i="6"/>
  <c r="L1214" i="6"/>
  <c r="H1208" i="6"/>
  <c r="J1193" i="6"/>
  <c r="F1193" i="6"/>
  <c r="F1189" i="6"/>
  <c r="L1186" i="6"/>
  <c r="F1180" i="6"/>
  <c r="J1171" i="6"/>
  <c r="L1141" i="6"/>
  <c r="F1129" i="6"/>
  <c r="H1129" i="6"/>
  <c r="J1123" i="6"/>
  <c r="F1122" i="6"/>
  <c r="J1107" i="6"/>
  <c r="L1109" i="6"/>
  <c r="F1106" i="6"/>
  <c r="L1105" i="6"/>
  <c r="J1086" i="6"/>
  <c r="H1072" i="6"/>
  <c r="L1076" i="6"/>
  <c r="H1071" i="6"/>
  <c r="L1073" i="6"/>
  <c r="L1060" i="6"/>
  <c r="H1568" i="6"/>
  <c r="L1520" i="6"/>
  <c r="J1498" i="6"/>
  <c r="J1500" i="6"/>
  <c r="H1491" i="6"/>
  <c r="J1452" i="6"/>
  <c r="F1406" i="6"/>
  <c r="H1348" i="6"/>
  <c r="F1325" i="6"/>
  <c r="H1325" i="6"/>
  <c r="H1305" i="6"/>
  <c r="J1279" i="6"/>
  <c r="H1193" i="6"/>
  <c r="J1161" i="6"/>
  <c r="H1144" i="6"/>
  <c r="J1144" i="6"/>
  <c r="H1139" i="6"/>
  <c r="J1122" i="6"/>
  <c r="H1123" i="6"/>
  <c r="L1096" i="6"/>
  <c r="J1092" i="6"/>
  <c r="J1046" i="6"/>
  <c r="F1046" i="6"/>
  <c r="F1047" i="6"/>
  <c r="F1082" i="6"/>
  <c r="L1080" i="6"/>
  <c r="J1071" i="6"/>
  <c r="F1071" i="6"/>
  <c r="L1069" i="6"/>
  <c r="L1051" i="6"/>
  <c r="J1047" i="6"/>
  <c r="F1043" i="6"/>
  <c r="F1040" i="6"/>
  <c r="H1040" i="6"/>
  <c r="H1028" i="6"/>
  <c r="F1015" i="6"/>
  <c r="H999" i="6"/>
  <c r="J994" i="6"/>
  <c r="L984" i="6"/>
  <c r="F981" i="6"/>
  <c r="J977" i="6"/>
  <c r="L976" i="6"/>
  <c r="L967" i="6"/>
  <c r="L961" i="6"/>
  <c r="L957" i="6"/>
  <c r="L950" i="6"/>
  <c r="F943" i="6"/>
  <c r="H938" i="6"/>
  <c r="F914" i="6"/>
  <c r="F906" i="6"/>
  <c r="L912" i="6"/>
  <c r="L891" i="6"/>
  <c r="L880" i="6"/>
  <c r="L872" i="6"/>
  <c r="L853" i="6"/>
  <c r="L831" i="6"/>
  <c r="J809" i="6"/>
  <c r="L808" i="6"/>
  <c r="H806" i="6"/>
  <c r="H795" i="6"/>
  <c r="F785" i="6"/>
  <c r="L785" i="6" s="1"/>
  <c r="J1015" i="6"/>
  <c r="J1020" i="6"/>
  <c r="J1012" i="6"/>
  <c r="J999" i="6"/>
  <c r="F999" i="6"/>
  <c r="F994" i="6"/>
  <c r="H994" i="6"/>
  <c r="L986" i="6"/>
  <c r="L969" i="6"/>
  <c r="F954" i="6"/>
  <c r="F938" i="6"/>
  <c r="H939" i="6"/>
  <c r="F917" i="6"/>
  <c r="L893" i="6"/>
  <c r="L885" i="6"/>
  <c r="F882" i="6"/>
  <c r="L874" i="6"/>
  <c r="L855" i="6"/>
  <c r="L833" i="6"/>
  <c r="H829" i="6"/>
  <c r="J803" i="6"/>
  <c r="H794" i="6"/>
  <c r="L796" i="6"/>
  <c r="H776" i="6"/>
  <c r="J776" i="6"/>
  <c r="L775" i="6"/>
  <c r="H1018" i="6"/>
  <c r="L1018" i="6" s="1"/>
  <c r="J980" i="6"/>
  <c r="J981" i="6"/>
  <c r="J964" i="6"/>
  <c r="F846" i="6"/>
  <c r="H835" i="6"/>
  <c r="J814" i="6"/>
  <c r="H777" i="6"/>
  <c r="H757" i="6"/>
  <c r="J1059" i="6"/>
  <c r="F1059" i="6"/>
  <c r="L1057" i="6"/>
  <c r="H1046" i="6"/>
  <c r="H1043" i="6"/>
  <c r="J1040" i="6"/>
  <c r="L1038" i="6"/>
  <c r="F1033" i="6"/>
  <c r="F1023" i="6"/>
  <c r="F1012" i="6"/>
  <c r="H1006" i="6"/>
  <c r="H1000" i="6"/>
  <c r="L993" i="6"/>
  <c r="F990" i="6"/>
  <c r="H987" i="6"/>
  <c r="F980" i="6"/>
  <c r="H980" i="6"/>
  <c r="H977" i="6"/>
  <c r="J973" i="6"/>
  <c r="F973" i="6"/>
  <c r="L965" i="6"/>
  <c r="L962" i="6"/>
  <c r="L951" i="6"/>
  <c r="F946" i="6"/>
  <c r="H933" i="6"/>
  <c r="L932" i="6"/>
  <c r="H914" i="6"/>
  <c r="L910" i="6"/>
  <c r="J906" i="6"/>
  <c r="L899" i="6"/>
  <c r="L889" i="6"/>
  <c r="L878" i="6"/>
  <c r="L870" i="6"/>
  <c r="F867" i="6"/>
  <c r="L865" i="6"/>
  <c r="H856" i="6"/>
  <c r="L851" i="6"/>
  <c r="L838" i="6"/>
  <c r="J829" i="6"/>
  <c r="F829" i="6"/>
  <c r="L827" i="6"/>
  <c r="L818" i="6"/>
  <c r="F814" i="6"/>
  <c r="H814" i="6"/>
  <c r="L802" i="6"/>
  <c r="F791" i="6"/>
  <c r="H782" i="6"/>
  <c r="F766" i="6"/>
  <c r="J762" i="6"/>
  <c r="F733" i="6"/>
  <c r="J724" i="6"/>
  <c r="H715" i="6"/>
  <c r="F688" i="6"/>
  <c r="H675" i="6"/>
  <c r="F670" i="6"/>
  <c r="J629" i="6"/>
  <c r="F628" i="6"/>
  <c r="H626" i="6"/>
  <c r="L626" i="6" s="1"/>
  <c r="F596" i="6"/>
  <c r="J591" i="6"/>
  <c r="L563" i="6"/>
  <c r="L560" i="6"/>
  <c r="J535" i="6"/>
  <c r="H824" i="6"/>
  <c r="L822" i="6"/>
  <c r="F819" i="6"/>
  <c r="L817" i="6"/>
  <c r="H809" i="6"/>
  <c r="J806" i="6"/>
  <c r="F806" i="6"/>
  <c r="H798" i="6"/>
  <c r="H803" i="6"/>
  <c r="L801" i="6"/>
  <c r="J798" i="6"/>
  <c r="J795" i="6"/>
  <c r="F794" i="6"/>
  <c r="J791" i="6"/>
  <c r="J788" i="6"/>
  <c r="L787" i="6"/>
  <c r="F782" i="6"/>
  <c r="L780" i="6"/>
  <c r="L771" i="6"/>
  <c r="L765" i="6"/>
  <c r="F762" i="6"/>
  <c r="L760" i="6"/>
  <c r="H753" i="6"/>
  <c r="L749" i="6"/>
  <c r="L738" i="6"/>
  <c r="F724" i="6"/>
  <c r="H724" i="6"/>
  <c r="L719" i="6"/>
  <c r="J715" i="6"/>
  <c r="L714" i="6"/>
  <c r="J706" i="6"/>
  <c r="L707" i="6"/>
  <c r="F706" i="6"/>
  <c r="L704" i="6"/>
  <c r="L693" i="6"/>
  <c r="J680" i="6"/>
  <c r="L681" i="6"/>
  <c r="F680" i="6"/>
  <c r="L678" i="6"/>
  <c r="F675" i="6"/>
  <c r="L673" i="6"/>
  <c r="L655" i="6"/>
  <c r="J643" i="6"/>
  <c r="L631" i="6"/>
  <c r="H621" i="6"/>
  <c r="L603" i="6"/>
  <c r="H581" i="6"/>
  <c r="L581" i="6" s="1"/>
  <c r="L573" i="6"/>
  <c r="H567" i="6"/>
  <c r="H531" i="6"/>
  <c r="H505" i="6"/>
  <c r="L773" i="6"/>
  <c r="J766" i="6"/>
  <c r="L756" i="6"/>
  <c r="F753" i="6"/>
  <c r="L751" i="6"/>
  <c r="H744" i="6"/>
  <c r="L740" i="6"/>
  <c r="L727" i="6"/>
  <c r="L721" i="6"/>
  <c r="L708" i="6"/>
  <c r="H697" i="6"/>
  <c r="L695" i="6"/>
  <c r="L682" i="6"/>
  <c r="L657" i="6"/>
  <c r="H647" i="6"/>
  <c r="F643" i="6"/>
  <c r="H643" i="6"/>
  <c r="H637" i="6"/>
  <c r="L633" i="6"/>
  <c r="L624" i="6"/>
  <c r="F621" i="6"/>
  <c r="L619" i="6"/>
  <c r="L609" i="6"/>
  <c r="J607" i="6"/>
  <c r="L605" i="6"/>
  <c r="J575" i="6"/>
  <c r="L569" i="6"/>
  <c r="L568" i="6"/>
  <c r="H766" i="6"/>
  <c r="J757" i="6"/>
  <c r="J745" i="6"/>
  <c r="F744" i="6"/>
  <c r="H733" i="6"/>
  <c r="L729" i="6"/>
  <c r="L723" i="6"/>
  <c r="L710" i="6"/>
  <c r="L700" i="6"/>
  <c r="F697" i="6"/>
  <c r="H688" i="6"/>
  <c r="L684" i="6"/>
  <c r="H670" i="6"/>
  <c r="H665" i="6"/>
  <c r="H661" i="6"/>
  <c r="J661" i="6"/>
  <c r="L651" i="6"/>
  <c r="J647" i="6"/>
  <c r="L646" i="6"/>
  <c r="L640" i="6"/>
  <c r="F637" i="6"/>
  <c r="L635" i="6"/>
  <c r="H628" i="6"/>
  <c r="L615" i="6"/>
  <c r="J583" i="6"/>
  <c r="L586" i="6"/>
  <c r="J530" i="6"/>
  <c r="J559" i="6"/>
  <c r="L558" i="6"/>
  <c r="L555" i="6"/>
  <c r="L554" i="6"/>
  <c r="L547" i="6"/>
  <c r="F535" i="6"/>
  <c r="H530" i="6"/>
  <c r="L527" i="6"/>
  <c r="J505" i="6"/>
  <c r="L506" i="6"/>
  <c r="F505" i="6"/>
  <c r="F490" i="6"/>
  <c r="L488" i="6"/>
  <c r="L480" i="6"/>
  <c r="L472" i="6"/>
  <c r="L463" i="6"/>
  <c r="L447" i="6"/>
  <c r="L438" i="6"/>
  <c r="L437" i="6"/>
  <c r="L429" i="6"/>
  <c r="L421" i="6"/>
  <c r="H415" i="6"/>
  <c r="L409" i="6"/>
  <c r="L401" i="6"/>
  <c r="F392" i="6"/>
  <c r="L389" i="6"/>
  <c r="L385" i="6"/>
  <c r="L384" i="6"/>
  <c r="F382" i="6"/>
  <c r="J374" i="6"/>
  <c r="L375" i="6"/>
  <c r="F374" i="6"/>
  <c r="H370" i="6"/>
  <c r="L369" i="6"/>
  <c r="L368" i="6"/>
  <c r="F366" i="6"/>
  <c r="J361" i="6"/>
  <c r="J356" i="6"/>
  <c r="L357" i="6"/>
  <c r="F356" i="6"/>
  <c r="J346" i="6"/>
  <c r="L350" i="6"/>
  <c r="L348" i="6"/>
  <c r="F346" i="6"/>
  <c r="L344" i="6"/>
  <c r="L335" i="6"/>
  <c r="L323" i="6"/>
  <c r="L318" i="6"/>
  <c r="F312" i="6"/>
  <c r="H312" i="6"/>
  <c r="L303" i="6"/>
  <c r="L293" i="6"/>
  <c r="J289" i="6"/>
  <c r="J283" i="6"/>
  <c r="L219" i="6"/>
  <c r="F198" i="6"/>
  <c r="F183" i="6"/>
  <c r="L522" i="6"/>
  <c r="J514" i="6"/>
  <c r="F514" i="6"/>
  <c r="L504" i="6"/>
  <c r="L500" i="6"/>
  <c r="L496" i="6"/>
  <c r="L492" i="6"/>
  <c r="J467" i="6"/>
  <c r="L455" i="6"/>
  <c r="L451" i="6"/>
  <c r="H431" i="6"/>
  <c r="L423" i="6"/>
  <c r="L387" i="6"/>
  <c r="L378" i="6"/>
  <c r="H361" i="6"/>
  <c r="L360" i="6"/>
  <c r="J297" i="6"/>
  <c r="F297" i="6"/>
  <c r="J266" i="6"/>
  <c r="F266" i="6"/>
  <c r="L210" i="6"/>
  <c r="L557" i="6"/>
  <c r="L556" i="6"/>
  <c r="L549" i="6"/>
  <c r="J524" i="6"/>
  <c r="L516" i="6"/>
  <c r="L513" i="6"/>
  <c r="L509" i="6"/>
  <c r="L484" i="6"/>
  <c r="L476" i="6"/>
  <c r="F467" i="6"/>
  <c r="H467" i="6"/>
  <c r="J457" i="6"/>
  <c r="F457" i="6"/>
  <c r="L445" i="6"/>
  <c r="L436" i="6"/>
  <c r="F431" i="6"/>
  <c r="L425" i="6"/>
  <c r="L413" i="6"/>
  <c r="L405" i="6"/>
  <c r="L397" i="6"/>
  <c r="L380" i="6"/>
  <c r="L365" i="6"/>
  <c r="J340" i="6"/>
  <c r="H336" i="6"/>
  <c r="J330" i="6"/>
  <c r="L329" i="6"/>
  <c r="H315" i="6"/>
  <c r="H309" i="6"/>
  <c r="L308" i="6"/>
  <c r="L300" i="6"/>
  <c r="L299" i="6"/>
  <c r="L286" i="6"/>
  <c r="L280" i="6"/>
  <c r="L269" i="6"/>
  <c r="L268" i="6"/>
  <c r="L265" i="6"/>
  <c r="F262" i="6"/>
  <c r="L259" i="6"/>
  <c r="J215" i="6"/>
  <c r="L196" i="6"/>
  <c r="H490" i="6"/>
  <c r="H460" i="6"/>
  <c r="F443" i="6"/>
  <c r="L439" i="6"/>
  <c r="H340" i="6"/>
  <c r="J337" i="6"/>
  <c r="F336" i="6"/>
  <c r="H319" i="6"/>
  <c r="J316" i="6"/>
  <c r="F315" i="6"/>
  <c r="J309" i="6"/>
  <c r="L304" i="6"/>
  <c r="H289" i="6"/>
  <c r="H149" i="6"/>
  <c r="J114" i="6"/>
  <c r="H100" i="6"/>
  <c r="L91" i="6"/>
  <c r="J69" i="6"/>
  <c r="F224" i="6"/>
  <c r="H215" i="6"/>
  <c r="L207" i="6"/>
  <c r="J194" i="6"/>
  <c r="L189" i="6"/>
  <c r="J179" i="6"/>
  <c r="L171" i="6"/>
  <c r="L158" i="6"/>
  <c r="L153" i="6"/>
  <c r="F149" i="6"/>
  <c r="H145" i="6"/>
  <c r="L144" i="6"/>
  <c r="L136" i="6"/>
  <c r="J134" i="6"/>
  <c r="L133" i="6"/>
  <c r="F130" i="6"/>
  <c r="F125" i="6"/>
  <c r="L123" i="6"/>
  <c r="L119" i="6"/>
  <c r="H114" i="6"/>
  <c r="F105" i="6"/>
  <c r="L103" i="6"/>
  <c r="F100" i="6"/>
  <c r="J93" i="6"/>
  <c r="H86" i="6"/>
  <c r="J81" i="6"/>
  <c r="L79" i="6"/>
  <c r="L74" i="6"/>
  <c r="F283" i="6"/>
  <c r="H283" i="6"/>
  <c r="H277" i="6"/>
  <c r="H273" i="6"/>
  <c r="J273" i="6"/>
  <c r="L272" i="6"/>
  <c r="H262" i="6"/>
  <c r="L263" i="6"/>
  <c r="L261" i="6"/>
  <c r="L255" i="6"/>
  <c r="L252" i="6"/>
  <c r="L249" i="6"/>
  <c r="J247" i="6"/>
  <c r="L245" i="6"/>
  <c r="L242" i="6"/>
  <c r="L241" i="6"/>
  <c r="L236" i="6"/>
  <c r="L235" i="6"/>
  <c r="L232" i="6"/>
  <c r="L231" i="6"/>
  <c r="L228" i="6"/>
  <c r="L227" i="6"/>
  <c r="L209" i="6"/>
  <c r="F193" i="6"/>
  <c r="H193" i="6"/>
  <c r="F179" i="6"/>
  <c r="H179" i="6"/>
  <c r="H175" i="6"/>
  <c r="J172" i="6"/>
  <c r="J161" i="6"/>
  <c r="F162" i="6"/>
  <c r="L157" i="6"/>
  <c r="J155" i="6"/>
  <c r="L154" i="6"/>
  <c r="H142" i="6"/>
  <c r="F138" i="6"/>
  <c r="H134" i="6"/>
  <c r="L129" i="6"/>
  <c r="J125" i="6"/>
  <c r="L122" i="6"/>
  <c r="L118" i="6"/>
  <c r="L111" i="6"/>
  <c r="J108" i="6"/>
  <c r="L96" i="6"/>
  <c r="L84" i="6"/>
  <c r="L78" i="6"/>
  <c r="L72" i="6"/>
  <c r="L71" i="6"/>
  <c r="F69" i="6"/>
  <c r="L220" i="6"/>
  <c r="L213" i="6"/>
  <c r="L211" i="6"/>
  <c r="L200" i="6"/>
  <c r="L199" i="6"/>
  <c r="L197" i="6"/>
  <c r="L185" i="6"/>
  <c r="L184" i="6"/>
  <c r="L182" i="6"/>
  <c r="F175" i="6"/>
  <c r="F172" i="6"/>
  <c r="H168" i="6"/>
  <c r="H161" i="6"/>
  <c r="L160" i="6"/>
  <c r="H155" i="6"/>
  <c r="J152" i="6"/>
  <c r="L151" i="6"/>
  <c r="L146" i="6"/>
  <c r="F145" i="6"/>
  <c r="L140" i="6"/>
  <c r="J130" i="6"/>
  <c r="L128" i="6"/>
  <c r="L121" i="6"/>
  <c r="L117" i="6"/>
  <c r="F108" i="6"/>
  <c r="L107" i="6"/>
  <c r="J100" i="6"/>
  <c r="H93" i="6"/>
  <c r="F93" i="6"/>
  <c r="H81" i="6"/>
  <c r="F81" i="6"/>
  <c r="H76" i="6"/>
  <c r="J73" i="6"/>
  <c r="L1803" i="6"/>
  <c r="L1778" i="6"/>
  <c r="L1758" i="6"/>
  <c r="J1806" i="6"/>
  <c r="F1739" i="6"/>
  <c r="J1714" i="6"/>
  <c r="L1674" i="6"/>
  <c r="H1672" i="6"/>
  <c r="L1526" i="6"/>
  <c r="L1518" i="6"/>
  <c r="L1817" i="6"/>
  <c r="L1808" i="6"/>
  <c r="H1807" i="6"/>
  <c r="L1802" i="6"/>
  <c r="L1792" i="6"/>
  <c r="H1791" i="6"/>
  <c r="L1787" i="6"/>
  <c r="L1779" i="6"/>
  <c r="L1767" i="6"/>
  <c r="L1757" i="6"/>
  <c r="L1750" i="6"/>
  <c r="H1734" i="6"/>
  <c r="L1734" i="6" s="1"/>
  <c r="L1735" i="6"/>
  <c r="H1723" i="6"/>
  <c r="H1714" i="6"/>
  <c r="H1707" i="6"/>
  <c r="L1705" i="6"/>
  <c r="L1701" i="6"/>
  <c r="F1677" i="6"/>
  <c r="L1675" i="6"/>
  <c r="L1671" i="6"/>
  <c r="J1632" i="6"/>
  <c r="L1574" i="6"/>
  <c r="L1810" i="6"/>
  <c r="F1807" i="6"/>
  <c r="L1804" i="6"/>
  <c r="L1781" i="6"/>
  <c r="L1769" i="6"/>
  <c r="L1759" i="6"/>
  <c r="L1752" i="6"/>
  <c r="J1738" i="6"/>
  <c r="J1739" i="6"/>
  <c r="F1723" i="6"/>
  <c r="F1714" i="6"/>
  <c r="L1711" i="6"/>
  <c r="J1710" i="6"/>
  <c r="L1710" i="6" s="1"/>
  <c r="L1698" i="6"/>
  <c r="H1696" i="6"/>
  <c r="H1664" i="6"/>
  <c r="L1665" i="6"/>
  <c r="L1660" i="6"/>
  <c r="F1657" i="6"/>
  <c r="F1649" i="6"/>
  <c r="L1645" i="6"/>
  <c r="L1641" i="6"/>
  <c r="H1632" i="6"/>
  <c r="L1577" i="6"/>
  <c r="L1564" i="6"/>
  <c r="L1562" i="6"/>
  <c r="L1544" i="6"/>
  <c r="L1508" i="6"/>
  <c r="L1481" i="6"/>
  <c r="H1738" i="6"/>
  <c r="L1737" i="6"/>
  <c r="J1736" i="6"/>
  <c r="L1736" i="6" s="1"/>
  <c r="H1720" i="6"/>
  <c r="L1721" i="6"/>
  <c r="L1692" i="6"/>
  <c r="L1687" i="6"/>
  <c r="H1685" i="6"/>
  <c r="H1681" i="6"/>
  <c r="L1681" i="6" s="1"/>
  <c r="L1682" i="6"/>
  <c r="J1678" i="6"/>
  <c r="J1677" i="6"/>
  <c r="J1667" i="6"/>
  <c r="F1667" i="6"/>
  <c r="L1656" i="6"/>
  <c r="H1654" i="6"/>
  <c r="H1647" i="6"/>
  <c r="L1647" i="6" s="1"/>
  <c r="L1648" i="6"/>
  <c r="L1566" i="6"/>
  <c r="L1522" i="6"/>
  <c r="L1450" i="6"/>
  <c r="J1703" i="6"/>
  <c r="L1702" i="6"/>
  <c r="J1696" i="6"/>
  <c r="J1690" i="6"/>
  <c r="L1690" i="6" s="1"/>
  <c r="L1689" i="6"/>
  <c r="J1685" i="6"/>
  <c r="L1684" i="6"/>
  <c r="L1679" i="6"/>
  <c r="H1678" i="6"/>
  <c r="L1676" i="6"/>
  <c r="J1672" i="6"/>
  <c r="L1658" i="6"/>
  <c r="J1654" i="6"/>
  <c r="L1650" i="6"/>
  <c r="L1642" i="6"/>
  <c r="J1636" i="6"/>
  <c r="L1635" i="6"/>
  <c r="F1632" i="6"/>
  <c r="L1630" i="6"/>
  <c r="J1626" i="6"/>
  <c r="L1623" i="6"/>
  <c r="J1619" i="6"/>
  <c r="F1605" i="6"/>
  <c r="H1604" i="6"/>
  <c r="J1597" i="6"/>
  <c r="J1581" i="6"/>
  <c r="F1576" i="6"/>
  <c r="F1573" i="6"/>
  <c r="L1569" i="6"/>
  <c r="L1561" i="6"/>
  <c r="H1560" i="6"/>
  <c r="L1560" i="6" s="1"/>
  <c r="J1559" i="6"/>
  <c r="J1554" i="6"/>
  <c r="L1554" i="6" s="1"/>
  <c r="L1545" i="6"/>
  <c r="L1538" i="6"/>
  <c r="H1537" i="6"/>
  <c r="J1536" i="6"/>
  <c r="L1533" i="6"/>
  <c r="L1523" i="6"/>
  <c r="J1514" i="6"/>
  <c r="J1506" i="6"/>
  <c r="L1506" i="6" s="1"/>
  <c r="L1503" i="6"/>
  <c r="F1500" i="6"/>
  <c r="H1499" i="6"/>
  <c r="L1493" i="6"/>
  <c r="H1492" i="6"/>
  <c r="J1491" i="6"/>
  <c r="L1487" i="6"/>
  <c r="J1483" i="6"/>
  <c r="L1482" i="6"/>
  <c r="J1471" i="6"/>
  <c r="L1471" i="6" s="1"/>
  <c r="J1459" i="6"/>
  <c r="L1459" i="6" s="1"/>
  <c r="F1453" i="6"/>
  <c r="H1452" i="6"/>
  <c r="H1436" i="6"/>
  <c r="L1436" i="6" s="1"/>
  <c r="L1437" i="6"/>
  <c r="H1424" i="6"/>
  <c r="H1425" i="6"/>
  <c r="L1423" i="6"/>
  <c r="J1415" i="6"/>
  <c r="L1417" i="6"/>
  <c r="J1416" i="6"/>
  <c r="H1415" i="6"/>
  <c r="L1414" i="6"/>
  <c r="J1413" i="6"/>
  <c r="L1413" i="6" s="1"/>
  <c r="H1406" i="6"/>
  <c r="H1407" i="6"/>
  <c r="L1408" i="6"/>
  <c r="J1398" i="6"/>
  <c r="H1395" i="6"/>
  <c r="L1395" i="6" s="1"/>
  <c r="L1386" i="6"/>
  <c r="H1384" i="6"/>
  <c r="L1367" i="6"/>
  <c r="F1363" i="6"/>
  <c r="L1361" i="6"/>
  <c r="L1346" i="6"/>
  <c r="L1336" i="6"/>
  <c r="L1644" i="6"/>
  <c r="H1636" i="6"/>
  <c r="J1633" i="6"/>
  <c r="F1629" i="6"/>
  <c r="H1626" i="6"/>
  <c r="F1622" i="6"/>
  <c r="H1619" i="6"/>
  <c r="L1607" i="6"/>
  <c r="H1597" i="6"/>
  <c r="L1563" i="6"/>
  <c r="L1555" i="6"/>
  <c r="J1553" i="6"/>
  <c r="L1547" i="6"/>
  <c r="L1525" i="6"/>
  <c r="L1515" i="6"/>
  <c r="F1502" i="6"/>
  <c r="H1498" i="6"/>
  <c r="F1492" i="6"/>
  <c r="H1483" i="6"/>
  <c r="L1455" i="6"/>
  <c r="J1432" i="6"/>
  <c r="L1426" i="6"/>
  <c r="F1424" i="6"/>
  <c r="F1425" i="6"/>
  <c r="L1418" i="6"/>
  <c r="F1416" i="6"/>
  <c r="L1410" i="6"/>
  <c r="H1397" i="6"/>
  <c r="H1398" i="6"/>
  <c r="F1391" i="6"/>
  <c r="F1390" i="6"/>
  <c r="F1383" i="6"/>
  <c r="J1371" i="6"/>
  <c r="H1357" i="6"/>
  <c r="L1358" i="6"/>
  <c r="H1356" i="6"/>
  <c r="L1354" i="6"/>
  <c r="F1581" i="6"/>
  <c r="F1559" i="6"/>
  <c r="H1552" i="6"/>
  <c r="H1513" i="6"/>
  <c r="F1446" i="6"/>
  <c r="H1442" i="6"/>
  <c r="H1439" i="6"/>
  <c r="H1431" i="6"/>
  <c r="H1432" i="6"/>
  <c r="J1424" i="6"/>
  <c r="H1404" i="6"/>
  <c r="L1404" i="6" s="1"/>
  <c r="L1405" i="6"/>
  <c r="F1397" i="6"/>
  <c r="F1398" i="6"/>
  <c r="H1390" i="6"/>
  <c r="L1393" i="6"/>
  <c r="J1364" i="6"/>
  <c r="J1363" i="6"/>
  <c r="L1606" i="6"/>
  <c r="L1592" i="6"/>
  <c r="L1567" i="6"/>
  <c r="F1556" i="6"/>
  <c r="F1553" i="6"/>
  <c r="L1541" i="6"/>
  <c r="L1529" i="6"/>
  <c r="L1521" i="6"/>
  <c r="L1511" i="6"/>
  <c r="J1502" i="6"/>
  <c r="L1501" i="6"/>
  <c r="L1478" i="6"/>
  <c r="L1464" i="6"/>
  <c r="L1454" i="6"/>
  <c r="L1451" i="6"/>
  <c r="L1444" i="6"/>
  <c r="L1433" i="6"/>
  <c r="F1431" i="6"/>
  <c r="F1432" i="6"/>
  <c r="J1425" i="6"/>
  <c r="J1407" i="6"/>
  <c r="J1397" i="6"/>
  <c r="J1379" i="6"/>
  <c r="J1378" i="6"/>
  <c r="L1378" i="6" s="1"/>
  <c r="H1372" i="6"/>
  <c r="L1373" i="6"/>
  <c r="H1371" i="6"/>
  <c r="H1369" i="6"/>
  <c r="L1369" i="6" s="1"/>
  <c r="L1370" i="6"/>
  <c r="H1363" i="6"/>
  <c r="J1356" i="6"/>
  <c r="J1384" i="6"/>
  <c r="J1381" i="6"/>
  <c r="L1381" i="6" s="1"/>
  <c r="L1380" i="6"/>
  <c r="H1379" i="6"/>
  <c r="L1377" i="6"/>
  <c r="F1372" i="6"/>
  <c r="L1365" i="6"/>
  <c r="H1364" i="6"/>
  <c r="L1362" i="6"/>
  <c r="F1357" i="6"/>
  <c r="L1350" i="6"/>
  <c r="H1349" i="6"/>
  <c r="J1348" i="6"/>
  <c r="L1347" i="6"/>
  <c r="F1340" i="6"/>
  <c r="H1339" i="6"/>
  <c r="L1337" i="6"/>
  <c r="L1326" i="6"/>
  <c r="J1301" i="6"/>
  <c r="J1294" i="6"/>
  <c r="L1280" i="6"/>
  <c r="J1264" i="6"/>
  <c r="L1248" i="6"/>
  <c r="H1247" i="6"/>
  <c r="J1246" i="6"/>
  <c r="L1243" i="6"/>
  <c r="L1237" i="6"/>
  <c r="L1227" i="6"/>
  <c r="H1218" i="6"/>
  <c r="L1219" i="6"/>
  <c r="H1200" i="6"/>
  <c r="L1201" i="6"/>
  <c r="J1200" i="6"/>
  <c r="L1197" i="6"/>
  <c r="L1182" i="6"/>
  <c r="H1174" i="6"/>
  <c r="L1174" i="6" s="1"/>
  <c r="L1175" i="6"/>
  <c r="L1157" i="6"/>
  <c r="L1385" i="6"/>
  <c r="L1374" i="6"/>
  <c r="L1359" i="6"/>
  <c r="F1349" i="6"/>
  <c r="L1342" i="6"/>
  <c r="H1301" i="6"/>
  <c r="H1264" i="6"/>
  <c r="F1247" i="6"/>
  <c r="L1234" i="6"/>
  <c r="F1233" i="6"/>
  <c r="F1218" i="6"/>
  <c r="F1208" i="6"/>
  <c r="J1185" i="6"/>
  <c r="J1152" i="6"/>
  <c r="L1098" i="6"/>
  <c r="L1009" i="6"/>
  <c r="H1185" i="6"/>
  <c r="H1180" i="6"/>
  <c r="H1167" i="6"/>
  <c r="L1168" i="6"/>
  <c r="H1152" i="6"/>
  <c r="L1355" i="6"/>
  <c r="L1341" i="6"/>
  <c r="L1335" i="6"/>
  <c r="L1322" i="6"/>
  <c r="L1285" i="6"/>
  <c r="L1257" i="6"/>
  <c r="L1225" i="6"/>
  <c r="J1208" i="6"/>
  <c r="L1195" i="6"/>
  <c r="H1189" i="6"/>
  <c r="L1190" i="6"/>
  <c r="F1185" i="6"/>
  <c r="L1154" i="6"/>
  <c r="H1153" i="6"/>
  <c r="L1149" i="6"/>
  <c r="J1145" i="6"/>
  <c r="L1126" i="6"/>
  <c r="F1123" i="6"/>
  <c r="H1122" i="6"/>
  <c r="L1118" i="6"/>
  <c r="L1113" i="6"/>
  <c r="F1108" i="6"/>
  <c r="H1107" i="6"/>
  <c r="J1106" i="6"/>
  <c r="L1101" i="6"/>
  <c r="F1093" i="6"/>
  <c r="L1083" i="6"/>
  <c r="F1072" i="6"/>
  <c r="L1049" i="6"/>
  <c r="L1044" i="6"/>
  <c r="L1034" i="6"/>
  <c r="L1029" i="6"/>
  <c r="L1024" i="6"/>
  <c r="L1021" i="6"/>
  <c r="H1020" i="6"/>
  <c r="L1013" i="6"/>
  <c r="H1012" i="6"/>
  <c r="L1010" i="6"/>
  <c r="L1005" i="6"/>
  <c r="F1000" i="6"/>
  <c r="L991" i="6"/>
  <c r="L982" i="6"/>
  <c r="H981" i="6"/>
  <c r="L979" i="6"/>
  <c r="L974" i="6"/>
  <c r="H964" i="6"/>
  <c r="L958" i="6"/>
  <c r="H946" i="6"/>
  <c r="L945" i="6"/>
  <c r="J933" i="6"/>
  <c r="H929" i="6"/>
  <c r="H930" i="6"/>
  <c r="L923" i="6"/>
  <c r="H917" i="6"/>
  <c r="L915" i="6"/>
  <c r="L903" i="6"/>
  <c r="J895" i="6"/>
  <c r="F895" i="6"/>
  <c r="L861" i="6"/>
  <c r="H846" i="6"/>
  <c r="L847" i="6"/>
  <c r="L842" i="6"/>
  <c r="J835" i="6"/>
  <c r="L1177" i="6"/>
  <c r="L1172" i="6"/>
  <c r="L1158" i="6"/>
  <c r="L1146" i="6"/>
  <c r="L1130" i="6"/>
  <c r="L1120" i="6"/>
  <c r="L1115" i="6"/>
  <c r="F1107" i="6"/>
  <c r="L1087" i="6"/>
  <c r="L1061" i="6"/>
  <c r="L1041" i="6"/>
  <c r="L1007" i="6"/>
  <c r="L995" i="6"/>
  <c r="L988" i="6"/>
  <c r="L975" i="6"/>
  <c r="F964" i="6"/>
  <c r="L960" i="6"/>
  <c r="L949" i="6"/>
  <c r="J943" i="6"/>
  <c r="J938" i="6"/>
  <c r="J939" i="6"/>
  <c r="L931" i="6"/>
  <c r="F929" i="6"/>
  <c r="F930" i="6"/>
  <c r="L925" i="6"/>
  <c r="L916" i="6"/>
  <c r="L905" i="6"/>
  <c r="L897" i="6"/>
  <c r="H867" i="6"/>
  <c r="L868" i="6"/>
  <c r="L863" i="6"/>
  <c r="J856" i="6"/>
  <c r="L844" i="6"/>
  <c r="F835" i="6"/>
  <c r="F1145" i="6"/>
  <c r="H1124" i="6"/>
  <c r="J1108" i="6"/>
  <c r="J1093" i="6"/>
  <c r="J1072" i="6"/>
  <c r="H1047" i="6"/>
  <c r="J1000" i="6"/>
  <c r="J954" i="6"/>
  <c r="J955" i="6"/>
  <c r="H954" i="6"/>
  <c r="F939" i="6"/>
  <c r="F856" i="6"/>
  <c r="H955" i="6"/>
  <c r="F955" i="6"/>
  <c r="L953" i="6"/>
  <c r="J946" i="6"/>
  <c r="L942" i="6"/>
  <c r="L935" i="6"/>
  <c r="L921" i="6"/>
  <c r="J917" i="6"/>
  <c r="H906" i="6"/>
  <c r="L908" i="6"/>
  <c r="L901" i="6"/>
  <c r="H882" i="6"/>
  <c r="L883" i="6"/>
  <c r="L859" i="6"/>
  <c r="L840" i="6"/>
  <c r="F798" i="6"/>
  <c r="J794" i="6"/>
  <c r="F776" i="6"/>
  <c r="J744" i="6"/>
  <c r="J670" i="6"/>
  <c r="F661" i="6"/>
  <c r="J628" i="6"/>
  <c r="H614" i="6"/>
  <c r="J596" i="6"/>
  <c r="F590" i="6"/>
  <c r="F591" i="6"/>
  <c r="L553" i="6"/>
  <c r="H551" i="6"/>
  <c r="J550" i="6"/>
  <c r="L548" i="6"/>
  <c r="H538" i="6"/>
  <c r="H546" i="6"/>
  <c r="L825" i="6"/>
  <c r="L820" i="6"/>
  <c r="L811" i="6"/>
  <c r="J799" i="6"/>
  <c r="L799" i="6" s="1"/>
  <c r="F795" i="6"/>
  <c r="L790" i="6"/>
  <c r="L783" i="6"/>
  <c r="J777" i="6"/>
  <c r="L763" i="6"/>
  <c r="L754" i="6"/>
  <c r="F745" i="6"/>
  <c r="L734" i="6"/>
  <c r="L717" i="6"/>
  <c r="L698" i="6"/>
  <c r="L689" i="6"/>
  <c r="L676" i="6"/>
  <c r="F671" i="6"/>
  <c r="L666" i="6"/>
  <c r="J662" i="6"/>
  <c r="L649" i="6"/>
  <c r="L638" i="6"/>
  <c r="F629" i="6"/>
  <c r="L622" i="6"/>
  <c r="F614" i="6"/>
  <c r="H612" i="6"/>
  <c r="L613" i="6"/>
  <c r="J612" i="6"/>
  <c r="H611" i="6"/>
  <c r="H607" i="6"/>
  <c r="L608" i="6"/>
  <c r="L593" i="6"/>
  <c r="L588" i="6"/>
  <c r="H575" i="6"/>
  <c r="L576" i="6"/>
  <c r="J567" i="6"/>
  <c r="F559" i="6"/>
  <c r="F550" i="6"/>
  <c r="L545" i="6"/>
  <c r="L956" i="6"/>
  <c r="L947" i="6"/>
  <c r="L940" i="6"/>
  <c r="L857" i="6"/>
  <c r="L836" i="6"/>
  <c r="L815" i="6"/>
  <c r="L800" i="6"/>
  <c r="L792" i="6"/>
  <c r="L778" i="6"/>
  <c r="L767" i="6"/>
  <c r="L758" i="6"/>
  <c r="L742" i="6"/>
  <c r="L725" i="6"/>
  <c r="L663" i="6"/>
  <c r="L644" i="6"/>
  <c r="L617" i="6"/>
  <c r="L610" i="6"/>
  <c r="L597" i="6"/>
  <c r="L595" i="6"/>
  <c r="J590" i="6"/>
  <c r="H584" i="6"/>
  <c r="H583" i="6"/>
  <c r="J578" i="6"/>
  <c r="L561" i="6"/>
  <c r="J540" i="6"/>
  <c r="J538" i="6"/>
  <c r="J539" i="6"/>
  <c r="H591" i="6"/>
  <c r="H590" i="6"/>
  <c r="J584" i="6"/>
  <c r="F583" i="6"/>
  <c r="F584" i="6"/>
  <c r="F567" i="6"/>
  <c r="H559" i="6"/>
  <c r="H550" i="6"/>
  <c r="F538" i="6"/>
  <c r="F539" i="6"/>
  <c r="F540" i="6"/>
  <c r="H539" i="6"/>
  <c r="J551" i="6"/>
  <c r="J546" i="6"/>
  <c r="L541" i="6"/>
  <c r="H540" i="6"/>
  <c r="L533" i="6"/>
  <c r="F530" i="6"/>
  <c r="L525" i="6"/>
  <c r="J519" i="6"/>
  <c r="J512" i="6"/>
  <c r="L512" i="6" s="1"/>
  <c r="L468" i="6"/>
  <c r="L461" i="6"/>
  <c r="F458" i="6"/>
  <c r="L458" i="6" s="1"/>
  <c r="H457" i="6"/>
  <c r="J450" i="6"/>
  <c r="L446" i="6"/>
  <c r="L440" i="6"/>
  <c r="J415" i="6"/>
  <c r="L417" i="6"/>
  <c r="F415" i="6"/>
  <c r="L552" i="6"/>
  <c r="J531" i="6"/>
  <c r="H519" i="6"/>
  <c r="H450" i="6"/>
  <c r="L334" i="6"/>
  <c r="L444" i="6"/>
  <c r="J443" i="6"/>
  <c r="L432" i="6"/>
  <c r="J431" i="6"/>
  <c r="H392" i="6"/>
  <c r="L393" i="6"/>
  <c r="L536" i="6"/>
  <c r="L491" i="6"/>
  <c r="J460" i="6"/>
  <c r="L459" i="6"/>
  <c r="H443" i="6"/>
  <c r="H441" i="6"/>
  <c r="L441" i="6" s="1"/>
  <c r="L442" i="6"/>
  <c r="L433" i="6"/>
  <c r="H346" i="6"/>
  <c r="J336" i="6"/>
  <c r="J315" i="6"/>
  <c r="F309" i="6"/>
  <c r="F289" i="6"/>
  <c r="F273" i="6"/>
  <c r="L226" i="6"/>
  <c r="H224" i="6"/>
  <c r="L390" i="6"/>
  <c r="J382" i="6"/>
  <c r="L372" i="6"/>
  <c r="J366" i="6"/>
  <c r="L363" i="6"/>
  <c r="L354" i="6"/>
  <c r="L342" i="6"/>
  <c r="F337" i="6"/>
  <c r="L332" i="6"/>
  <c r="L321" i="6"/>
  <c r="F316" i="6"/>
  <c r="L311" i="6"/>
  <c r="L291" i="6"/>
  <c r="L278" i="6"/>
  <c r="J274" i="6"/>
  <c r="L264" i="6"/>
  <c r="L254" i="6"/>
  <c r="F215" i="6"/>
  <c r="F202" i="6"/>
  <c r="J202" i="6"/>
  <c r="L112" i="6"/>
  <c r="L89" i="6"/>
  <c r="L376" i="6"/>
  <c r="L358" i="6"/>
  <c r="L351" i="6"/>
  <c r="L339" i="6"/>
  <c r="L313" i="6"/>
  <c r="L284" i="6"/>
  <c r="L275" i="6"/>
  <c r="J262" i="6"/>
  <c r="L256" i="6"/>
  <c r="F247" i="6"/>
  <c r="H247" i="6"/>
  <c r="L248" i="6"/>
  <c r="L218" i="6"/>
  <c r="L159" i="6"/>
  <c r="J349" i="6"/>
  <c r="L214" i="6"/>
  <c r="H202" i="6"/>
  <c r="H205" i="6"/>
  <c r="H212" i="6"/>
  <c r="L98" i="6"/>
  <c r="J224" i="6"/>
  <c r="L216" i="6"/>
  <c r="J212" i="6"/>
  <c r="J203" i="6"/>
  <c r="L203" i="6" s="1"/>
  <c r="J198" i="6"/>
  <c r="L195" i="6"/>
  <c r="H194" i="6"/>
  <c r="J193" i="6"/>
  <c r="J183" i="6"/>
  <c r="L180" i="6"/>
  <c r="L173" i="6"/>
  <c r="L164" i="6"/>
  <c r="F161" i="6"/>
  <c r="L131" i="6"/>
  <c r="F126" i="6"/>
  <c r="L126" i="6" s="1"/>
  <c r="H125" i="6"/>
  <c r="L113" i="6"/>
  <c r="J109" i="6"/>
  <c r="L101" i="6"/>
  <c r="L94" i="6"/>
  <c r="L82" i="6"/>
  <c r="F70" i="6"/>
  <c r="H69" i="6"/>
  <c r="L204" i="6"/>
  <c r="H198" i="6"/>
  <c r="F194" i="6"/>
  <c r="H183" i="6"/>
  <c r="L156" i="6"/>
  <c r="L135" i="6"/>
  <c r="L115" i="6"/>
  <c r="L110" i="6"/>
  <c r="L77" i="6"/>
  <c r="H108" i="6"/>
  <c r="J70" i="6"/>
  <c r="F205" i="6"/>
  <c r="L176" i="6"/>
  <c r="L169" i="6"/>
  <c r="L150" i="6"/>
  <c r="L143" i="6"/>
  <c r="L127" i="6"/>
  <c r="L106" i="6"/>
  <c r="L99" i="6"/>
  <c r="L92" i="6"/>
  <c r="L87" i="6"/>
  <c r="K38" i="6"/>
  <c r="K41" i="6"/>
  <c r="K40" i="6"/>
  <c r="J36" i="6"/>
  <c r="L36" i="6" s="1"/>
  <c r="J35" i="6"/>
  <c r="L35" i="6" s="1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H19" i="6"/>
  <c r="L19" i="6" s="1"/>
  <c r="K18" i="6"/>
  <c r="L17" i="6"/>
  <c r="K17" i="6"/>
  <c r="L1456" i="6" l="1"/>
  <c r="L1116" i="6"/>
  <c r="L1011" i="6"/>
  <c r="H696" i="6"/>
  <c r="H669" i="6" s="1"/>
  <c r="L1106" i="6"/>
  <c r="L1383" i="6"/>
  <c r="L1815" i="6"/>
  <c r="L198" i="6"/>
  <c r="L1514" i="6"/>
  <c r="L352" i="6"/>
  <c r="L1446" i="6"/>
  <c r="L662" i="6"/>
  <c r="L943" i="6"/>
  <c r="L274" i="6"/>
  <c r="L306" i="6"/>
  <c r="L1036" i="6"/>
  <c r="L1086" i="6"/>
  <c r="L1556" i="6"/>
  <c r="L319" i="6"/>
  <c r="L1540" i="6"/>
  <c r="L1233" i="6"/>
  <c r="L356" i="6"/>
  <c r="L1171" i="6"/>
  <c r="L1585" i="6"/>
  <c r="L1463" i="6"/>
  <c r="L1576" i="6"/>
  <c r="H616" i="6"/>
  <c r="L973" i="6"/>
  <c r="L994" i="6"/>
  <c r="L1148" i="6"/>
  <c r="L309" i="6"/>
  <c r="L1122" i="6"/>
  <c r="L1573" i="6"/>
  <c r="L1321" i="6"/>
  <c r="L1453" i="6"/>
  <c r="L1023" i="6"/>
  <c r="L1786" i="6"/>
  <c r="J391" i="6"/>
  <c r="J381" i="6" s="1"/>
  <c r="L987" i="6"/>
  <c r="L152" i="6"/>
  <c r="L175" i="6"/>
  <c r="L1568" i="6"/>
  <c r="L1477" i="6"/>
  <c r="L1161" i="6"/>
  <c r="L1809" i="6"/>
  <c r="L1153" i="6"/>
  <c r="L1379" i="6"/>
  <c r="L336" i="6"/>
  <c r="L906" i="6"/>
  <c r="L1513" i="6"/>
  <c r="L809" i="6"/>
  <c r="L125" i="6"/>
  <c r="L777" i="6"/>
  <c r="L596" i="6"/>
  <c r="L670" i="6"/>
  <c r="L1664" i="6"/>
  <c r="L73" i="6"/>
  <c r="L283" i="6"/>
  <c r="F937" i="6"/>
  <c r="L1532" i="6"/>
  <c r="L1768" i="6"/>
  <c r="L172" i="6"/>
  <c r="L829" i="6"/>
  <c r="L1468" i="6"/>
  <c r="L1806" i="6"/>
  <c r="L361" i="6"/>
  <c r="L788" i="6"/>
  <c r="L349" i="6"/>
  <c r="L109" i="6"/>
  <c r="L846" i="6"/>
  <c r="L1633" i="6"/>
  <c r="L806" i="6"/>
  <c r="F616" i="6"/>
  <c r="F529" i="6" s="1"/>
  <c r="E8" i="6" s="1"/>
  <c r="F8" i="6" s="1"/>
  <c r="L1139" i="6"/>
  <c r="L1242" i="6"/>
  <c r="L327" i="6"/>
  <c r="L530" i="6"/>
  <c r="L665" i="6"/>
  <c r="L621" i="6"/>
  <c r="L1033" i="6"/>
  <c r="L1473" i="6"/>
  <c r="L1279" i="6"/>
  <c r="L745" i="6"/>
  <c r="J881" i="6"/>
  <c r="L1622" i="6"/>
  <c r="L1707" i="6"/>
  <c r="L86" i="6"/>
  <c r="L1006" i="6"/>
  <c r="L316" i="6"/>
  <c r="L289" i="6"/>
  <c r="L346" i="6"/>
  <c r="L575" i="6"/>
  <c r="L795" i="6"/>
  <c r="L1167" i="6"/>
  <c r="L1406" i="6"/>
  <c r="L138" i="6"/>
  <c r="L114" i="6"/>
  <c r="L130" i="6"/>
  <c r="J68" i="6"/>
  <c r="L514" i="6"/>
  <c r="L791" i="6"/>
  <c r="L990" i="6"/>
  <c r="L145" i="6"/>
  <c r="L1059" i="6"/>
  <c r="L1794" i="6"/>
  <c r="L142" i="6"/>
  <c r="L824" i="6"/>
  <c r="L1193" i="6"/>
  <c r="L312" i="6"/>
  <c r="L262" i="6"/>
  <c r="L450" i="6"/>
  <c r="L1439" i="6"/>
  <c r="F68" i="6"/>
  <c r="L366" i="6"/>
  <c r="L628" i="6"/>
  <c r="F1580" i="6"/>
  <c r="E14" i="6" s="1"/>
  <c r="F14" i="6" s="1"/>
  <c r="L724" i="6"/>
  <c r="L753" i="6"/>
  <c r="L1047" i="6"/>
  <c r="L1124" i="6"/>
  <c r="L1536" i="6"/>
  <c r="L1703" i="6"/>
  <c r="L1129" i="6"/>
  <c r="F1490" i="6"/>
  <c r="E12" i="6" s="1"/>
  <c r="F12" i="6" s="1"/>
  <c r="L1100" i="6"/>
  <c r="L382" i="6"/>
  <c r="I37" i="6"/>
  <c r="J37" i="6" s="1"/>
  <c r="L183" i="6"/>
  <c r="F391" i="6"/>
  <c r="F381" i="6" s="1"/>
  <c r="L607" i="6"/>
  <c r="L671" i="6"/>
  <c r="L776" i="6"/>
  <c r="L867" i="6"/>
  <c r="L981" i="6"/>
  <c r="L1020" i="6"/>
  <c r="L1180" i="6"/>
  <c r="L1483" i="6"/>
  <c r="L1499" i="6"/>
  <c r="L1537" i="6"/>
  <c r="L1604" i="6"/>
  <c r="L179" i="6"/>
  <c r="L100" i="6"/>
  <c r="L697" i="6"/>
  <c r="J696" i="6"/>
  <c r="J669" i="6" s="1"/>
  <c r="L803" i="6"/>
  <c r="L814" i="6"/>
  <c r="L980" i="6"/>
  <c r="H1039" i="6"/>
  <c r="L757" i="6"/>
  <c r="F1039" i="6"/>
  <c r="F1022" i="6" s="1"/>
  <c r="L1325" i="6"/>
  <c r="L1790" i="6"/>
  <c r="L162" i="6"/>
  <c r="L297" i="6"/>
  <c r="L374" i="6"/>
  <c r="L1092" i="6"/>
  <c r="L1236" i="6"/>
  <c r="L1528" i="6"/>
  <c r="L1510" i="6"/>
  <c r="L1591" i="6"/>
  <c r="L1742" i="6"/>
  <c r="L187" i="6"/>
  <c r="L578" i="6"/>
  <c r="L531" i="6"/>
  <c r="L70" i="6"/>
  <c r="L337" i="6"/>
  <c r="L273" i="6"/>
  <c r="L460" i="6"/>
  <c r="L567" i="6"/>
  <c r="L611" i="6"/>
  <c r="L661" i="6"/>
  <c r="L1123" i="6"/>
  <c r="L1442" i="6"/>
  <c r="L1391" i="6"/>
  <c r="L1636" i="6"/>
  <c r="L1500" i="6"/>
  <c r="L134" i="6"/>
  <c r="L105" i="6"/>
  <c r="H466" i="6"/>
  <c r="H430" i="6" s="1"/>
  <c r="J466" i="6"/>
  <c r="J430" i="6" s="1"/>
  <c r="L733" i="6"/>
  <c r="L766" i="6"/>
  <c r="L643" i="6"/>
  <c r="L798" i="6"/>
  <c r="L1144" i="6"/>
  <c r="L1305" i="6"/>
  <c r="L1119" i="6"/>
  <c r="L1259" i="6"/>
  <c r="L1751" i="6"/>
  <c r="L1762" i="6"/>
  <c r="L524" i="6"/>
  <c r="L1256" i="6"/>
  <c r="L1594" i="6"/>
  <c r="L457" i="6"/>
  <c r="L1720" i="6"/>
  <c r="L1739" i="6"/>
  <c r="L76" i="6"/>
  <c r="L168" i="6"/>
  <c r="L535" i="6"/>
  <c r="L782" i="6"/>
  <c r="F223" i="6"/>
  <c r="F222" i="6" s="1"/>
  <c r="L467" i="6"/>
  <c r="L856" i="6"/>
  <c r="L1145" i="6"/>
  <c r="L835" i="6"/>
  <c r="F881" i="6"/>
  <c r="L933" i="6"/>
  <c r="L1498" i="6"/>
  <c r="L1605" i="6"/>
  <c r="L1649" i="6"/>
  <c r="L370" i="6"/>
  <c r="L819" i="6"/>
  <c r="L215" i="6"/>
  <c r="L744" i="6"/>
  <c r="J834" i="6"/>
  <c r="J823" i="6" s="1"/>
  <c r="J805" i="6" s="1"/>
  <c r="L1040" i="6"/>
  <c r="L1340" i="6"/>
  <c r="F1293" i="6"/>
  <c r="F1241" i="6" s="1"/>
  <c r="L1390" i="6"/>
  <c r="L108" i="6"/>
  <c r="L161" i="6"/>
  <c r="J223" i="6"/>
  <c r="J222" i="6" s="1"/>
  <c r="L315" i="6"/>
  <c r="L431" i="6"/>
  <c r="L559" i="6"/>
  <c r="L629" i="6"/>
  <c r="L794" i="6"/>
  <c r="L1012" i="6"/>
  <c r="L1189" i="6"/>
  <c r="L1246" i="6"/>
  <c r="L1348" i="6"/>
  <c r="L1553" i="6"/>
  <c r="L1629" i="6"/>
  <c r="L1452" i="6"/>
  <c r="L1667" i="6"/>
  <c r="L1657" i="6"/>
  <c r="F1695" i="6"/>
  <c r="E16" i="6" s="1"/>
  <c r="F16" i="6" s="1"/>
  <c r="L1791" i="6"/>
  <c r="L277" i="6"/>
  <c r="L330" i="6"/>
  <c r="L688" i="6"/>
  <c r="L1043" i="6"/>
  <c r="L1755" i="6"/>
  <c r="L1597" i="6"/>
  <c r="J1490" i="6"/>
  <c r="I12" i="6" s="1"/>
  <c r="J12" i="6" s="1"/>
  <c r="L149" i="6"/>
  <c r="F466" i="6"/>
  <c r="F430" i="6" s="1"/>
  <c r="J1039" i="6"/>
  <c r="J1022" i="6" s="1"/>
  <c r="L1028" i="6"/>
  <c r="L1301" i="6"/>
  <c r="L1364" i="6"/>
  <c r="F696" i="6"/>
  <c r="F669" i="6" s="1"/>
  <c r="L762" i="6"/>
  <c r="L1046" i="6"/>
  <c r="L1015" i="6"/>
  <c r="H529" i="6"/>
  <c r="G8" i="6" s="1"/>
  <c r="H8" i="6" s="1"/>
  <c r="H1293" i="6"/>
  <c r="H1241" i="6" s="1"/>
  <c r="L1208" i="6"/>
  <c r="L1416" i="6"/>
  <c r="L93" i="6"/>
  <c r="L266" i="6"/>
  <c r="L706" i="6"/>
  <c r="L1502" i="6"/>
  <c r="L81" i="6"/>
  <c r="L675" i="6"/>
  <c r="L914" i="6"/>
  <c r="L939" i="6"/>
  <c r="L895" i="6"/>
  <c r="L647" i="6"/>
  <c r="L680" i="6"/>
  <c r="L977" i="6"/>
  <c r="L954" i="6"/>
  <c r="L930" i="6"/>
  <c r="L1000" i="6"/>
  <c r="L1072" i="6"/>
  <c r="L1152" i="6"/>
  <c r="L1185" i="6"/>
  <c r="H1192" i="6"/>
  <c r="H1091" i="6" s="1"/>
  <c r="L1371" i="6"/>
  <c r="L1619" i="6"/>
  <c r="L1678" i="6"/>
  <c r="L1738" i="6"/>
  <c r="L340" i="6"/>
  <c r="L490" i="6"/>
  <c r="L505" i="6"/>
  <c r="L715" i="6"/>
  <c r="L1071" i="6"/>
  <c r="L1082" i="6"/>
  <c r="L1552" i="6"/>
  <c r="G13" i="6"/>
  <c r="L194" i="6"/>
  <c r="L202" i="6"/>
  <c r="L247" i="6"/>
  <c r="L540" i="6"/>
  <c r="L964" i="6"/>
  <c r="L1093" i="6"/>
  <c r="L1108" i="6"/>
  <c r="L1264" i="6"/>
  <c r="J1192" i="6"/>
  <c r="J1091" i="6" s="1"/>
  <c r="I10" i="6" s="1"/>
  <c r="J10" i="6" s="1"/>
  <c r="L1372" i="6"/>
  <c r="L1559" i="6"/>
  <c r="L1626" i="6"/>
  <c r="L1415" i="6"/>
  <c r="J1695" i="6"/>
  <c r="I16" i="6" s="1"/>
  <c r="J16" i="6" s="1"/>
  <c r="L1677" i="6"/>
  <c r="L155" i="6"/>
  <c r="L637" i="6"/>
  <c r="L999" i="6"/>
  <c r="L1284" i="6"/>
  <c r="L1296" i="6"/>
  <c r="L415" i="6"/>
  <c r="L612" i="6"/>
  <c r="L955" i="6"/>
  <c r="F1338" i="6"/>
  <c r="J1580" i="6"/>
  <c r="I14" i="6" s="1"/>
  <c r="J14" i="6" s="1"/>
  <c r="L1608" i="6"/>
  <c r="L212" i="6"/>
  <c r="H223" i="6"/>
  <c r="L224" i="6"/>
  <c r="L591" i="6"/>
  <c r="L583" i="6"/>
  <c r="L546" i="6"/>
  <c r="L551" i="6"/>
  <c r="J937" i="6"/>
  <c r="J616" i="6"/>
  <c r="J529" i="6" s="1"/>
  <c r="L929" i="6"/>
  <c r="L1107" i="6"/>
  <c r="L938" i="6"/>
  <c r="H1022" i="6"/>
  <c r="L1431" i="6"/>
  <c r="L1398" i="6"/>
  <c r="L1384" i="6"/>
  <c r="H1580" i="6"/>
  <c r="L1723" i="6"/>
  <c r="L1672" i="6"/>
  <c r="L205" i="6"/>
  <c r="L443" i="6"/>
  <c r="L519" i="6"/>
  <c r="L539" i="6"/>
  <c r="L550" i="6"/>
  <c r="L584" i="6"/>
  <c r="L538" i="6"/>
  <c r="L614" i="6"/>
  <c r="H834" i="6"/>
  <c r="L917" i="6"/>
  <c r="L1218" i="6"/>
  <c r="L1363" i="6"/>
  <c r="L1356" i="6"/>
  <c r="L1397" i="6"/>
  <c r="F1192" i="6"/>
  <c r="F1091" i="6" s="1"/>
  <c r="E10" i="6" s="1"/>
  <c r="F10" i="6" s="1"/>
  <c r="L1407" i="6"/>
  <c r="L1581" i="6"/>
  <c r="L1632" i="6"/>
  <c r="H1695" i="6"/>
  <c r="L1696" i="6"/>
  <c r="F1653" i="6"/>
  <c r="E15" i="6" s="1"/>
  <c r="F15" i="6" s="1"/>
  <c r="L193" i="6"/>
  <c r="H391" i="6"/>
  <c r="L392" i="6"/>
  <c r="F834" i="6"/>
  <c r="L1247" i="6"/>
  <c r="L1294" i="6"/>
  <c r="J1293" i="6"/>
  <c r="J1241" i="6" s="1"/>
  <c r="H1338" i="6"/>
  <c r="L1339" i="6"/>
  <c r="L1349" i="6"/>
  <c r="J1338" i="6"/>
  <c r="L1425" i="6"/>
  <c r="L1492" i="6"/>
  <c r="H1653" i="6"/>
  <c r="G15" i="6" s="1"/>
  <c r="L1654" i="6"/>
  <c r="L1685" i="6"/>
  <c r="H1490" i="6"/>
  <c r="L69" i="6"/>
  <c r="H68" i="6"/>
  <c r="L590" i="6"/>
  <c r="H881" i="6"/>
  <c r="L882" i="6"/>
  <c r="L946" i="6"/>
  <c r="H937" i="6"/>
  <c r="L1200" i="6"/>
  <c r="L1432" i="6"/>
  <c r="L1357" i="6"/>
  <c r="L1424" i="6"/>
  <c r="J1653" i="6"/>
  <c r="I15" i="6" s="1"/>
  <c r="J15" i="6" s="1"/>
  <c r="L1491" i="6"/>
  <c r="L1714" i="6"/>
  <c r="L1807" i="6"/>
  <c r="K35" i="6"/>
  <c r="F29" i="9"/>
  <c r="F29" i="10" s="1"/>
  <c r="H29" i="10" s="1"/>
  <c r="J26" i="11" s="1"/>
  <c r="L26" i="11" s="1"/>
  <c r="F30" i="9"/>
  <c r="F30" i="10" s="1"/>
  <c r="H30" i="10" s="1"/>
  <c r="J27" i="11" s="1"/>
  <c r="L27" i="11" s="1"/>
  <c r="K28" i="11"/>
  <c r="K36" i="6"/>
  <c r="G37" i="6"/>
  <c r="E37" i="6"/>
  <c r="J355" i="3"/>
  <c r="J227" i="3"/>
  <c r="J163" i="3"/>
  <c r="J100" i="3"/>
  <c r="J84" i="3"/>
  <c r="J16" i="3"/>
  <c r="J246" i="3"/>
  <c r="J87" i="3"/>
  <c r="J357" i="3"/>
  <c r="J341" i="3"/>
  <c r="J293" i="3"/>
  <c r="J277" i="3"/>
  <c r="J245" i="3"/>
  <c r="J229" i="3"/>
  <c r="J197" i="3"/>
  <c r="J165" i="3"/>
  <c r="J149" i="3"/>
  <c r="J133" i="3"/>
  <c r="J102" i="3"/>
  <c r="J86" i="3"/>
  <c r="J67" i="3"/>
  <c r="J34" i="3"/>
  <c r="J18" i="3"/>
  <c r="J344" i="3"/>
  <c r="J296" i="3"/>
  <c r="J280" i="3"/>
  <c r="J248" i="3"/>
  <c r="J232" i="3"/>
  <c r="J200" i="3"/>
  <c r="J168" i="3"/>
  <c r="J152" i="3"/>
  <c r="J136" i="3"/>
  <c r="J105" i="3"/>
  <c r="J89" i="3"/>
  <c r="J70" i="3"/>
  <c r="J54" i="3"/>
  <c r="J21" i="3"/>
  <c r="J5" i="3"/>
  <c r="J8" i="3"/>
  <c r="H105" i="3"/>
  <c r="H89" i="3"/>
  <c r="H70" i="3"/>
  <c r="H54" i="3"/>
  <c r="H21" i="3"/>
  <c r="H5" i="3"/>
  <c r="H203" i="3"/>
  <c r="H139" i="3"/>
  <c r="H92" i="3"/>
  <c r="H73" i="3"/>
  <c r="H57" i="3"/>
  <c r="H24" i="3"/>
  <c r="H8" i="3"/>
  <c r="H95" i="3"/>
  <c r="H79" i="3"/>
  <c r="H60" i="3"/>
  <c r="H27" i="3"/>
  <c r="H11" i="3"/>
  <c r="H197" i="3"/>
  <c r="H133" i="3"/>
  <c r="H34" i="3"/>
  <c r="K226" i="3"/>
  <c r="K162" i="3"/>
  <c r="K146" i="3"/>
  <c r="K130" i="3"/>
  <c r="K99" i="3"/>
  <c r="K63" i="3"/>
  <c r="K229" i="3"/>
  <c r="K197" i="3"/>
  <c r="K165" i="3"/>
  <c r="K149" i="3"/>
  <c r="K133" i="3"/>
  <c r="K102" i="3"/>
  <c r="F86" i="3"/>
  <c r="F67" i="3"/>
  <c r="K125" i="3"/>
  <c r="H26" i="3"/>
  <c r="K348" i="3"/>
  <c r="K224" i="3"/>
  <c r="K176" i="3"/>
  <c r="K160" i="3"/>
  <c r="K144" i="3"/>
  <c r="K128" i="3"/>
  <c r="F97" i="3"/>
  <c r="F81" i="3"/>
  <c r="F62" i="3"/>
  <c r="F29" i="3"/>
  <c r="F13" i="3"/>
  <c r="K343" i="3"/>
  <c r="K279" i="3"/>
  <c r="K167" i="3"/>
  <c r="F88" i="3"/>
  <c r="F56" i="3"/>
  <c r="F18" i="3"/>
  <c r="K201" i="3"/>
  <c r="F275" i="3"/>
  <c r="K227" i="3"/>
  <c r="K163" i="3"/>
  <c r="F87" i="3"/>
  <c r="F55" i="3"/>
  <c r="F16" i="3"/>
  <c r="K319" i="3"/>
  <c r="F271" i="3"/>
  <c r="K223" i="3"/>
  <c r="K159" i="3"/>
  <c r="K143" i="3"/>
  <c r="F84" i="3"/>
  <c r="F53" i="3"/>
  <c r="F15" i="3"/>
  <c r="K297" i="3"/>
  <c r="F251" i="3"/>
  <c r="K203" i="3"/>
  <c r="K139" i="3"/>
  <c r="F108" i="3"/>
  <c r="F72" i="3"/>
  <c r="F30" i="3"/>
  <c r="F8" i="3"/>
  <c r="I23" i="2"/>
  <c r="J23" i="2" s="1"/>
  <c r="G23" i="2"/>
  <c r="H23" i="2" s="1"/>
  <c r="K367" i="3"/>
  <c r="J367" i="3"/>
  <c r="H367" i="3"/>
  <c r="F367" i="3"/>
  <c r="J366" i="3"/>
  <c r="F366" i="3"/>
  <c r="J365" i="3"/>
  <c r="F365" i="3"/>
  <c r="H358" i="3"/>
  <c r="F358" i="3"/>
  <c r="H357" i="3"/>
  <c r="J356" i="3"/>
  <c r="H356" i="3"/>
  <c r="H355" i="3"/>
  <c r="K354" i="3"/>
  <c r="J354" i="3"/>
  <c r="H354" i="3"/>
  <c r="F354" i="3"/>
  <c r="J353" i="3"/>
  <c r="H353" i="3"/>
  <c r="J352" i="3"/>
  <c r="H352" i="3"/>
  <c r="K351" i="3"/>
  <c r="J351" i="3"/>
  <c r="H351" i="3"/>
  <c r="F351" i="3"/>
  <c r="J350" i="3"/>
  <c r="F350" i="3"/>
  <c r="K349" i="3"/>
  <c r="J349" i="3"/>
  <c r="H349" i="3"/>
  <c r="F349" i="3"/>
  <c r="J348" i="3"/>
  <c r="H348" i="3"/>
  <c r="F348" i="3"/>
  <c r="J347" i="3"/>
  <c r="F347" i="3"/>
  <c r="K346" i="3"/>
  <c r="J346" i="3"/>
  <c r="H346" i="3"/>
  <c r="F346" i="3"/>
  <c r="K345" i="3"/>
  <c r="J345" i="3"/>
  <c r="H345" i="3"/>
  <c r="F345" i="3"/>
  <c r="F344" i="3"/>
  <c r="J343" i="3"/>
  <c r="H343" i="3"/>
  <c r="F343" i="3"/>
  <c r="H342" i="3"/>
  <c r="F342" i="3"/>
  <c r="H341" i="3"/>
  <c r="K324" i="3"/>
  <c r="J324" i="3"/>
  <c r="H324" i="3"/>
  <c r="F324" i="3"/>
  <c r="H323" i="3"/>
  <c r="F323" i="3"/>
  <c r="J322" i="3"/>
  <c r="H322" i="3"/>
  <c r="K321" i="3"/>
  <c r="J321" i="3"/>
  <c r="H321" i="3"/>
  <c r="F321" i="3"/>
  <c r="J320" i="3"/>
  <c r="H320" i="3"/>
  <c r="J319" i="3"/>
  <c r="H319" i="3"/>
  <c r="F319" i="3"/>
  <c r="J318" i="3"/>
  <c r="F318" i="3"/>
  <c r="J317" i="3"/>
  <c r="F317" i="3"/>
  <c r="K298" i="3"/>
  <c r="J298" i="3"/>
  <c r="H298" i="3"/>
  <c r="F298" i="3"/>
  <c r="J297" i="3"/>
  <c r="H297" i="3"/>
  <c r="F297" i="3"/>
  <c r="F296" i="3"/>
  <c r="J295" i="3"/>
  <c r="H295" i="3"/>
  <c r="H294" i="3"/>
  <c r="F294" i="3"/>
  <c r="H293" i="3"/>
  <c r="J281" i="3"/>
  <c r="F281" i="3"/>
  <c r="F280" i="3"/>
  <c r="J279" i="3"/>
  <c r="H279" i="3"/>
  <c r="H278" i="3"/>
  <c r="F278" i="3"/>
  <c r="H277" i="3"/>
  <c r="K276" i="3"/>
  <c r="J276" i="3"/>
  <c r="H276" i="3"/>
  <c r="F276" i="3"/>
  <c r="H275" i="3"/>
  <c r="J274" i="3"/>
  <c r="H274" i="3"/>
  <c r="J273" i="3"/>
  <c r="F273" i="3"/>
  <c r="J272" i="3"/>
  <c r="H272" i="3"/>
  <c r="J271" i="3"/>
  <c r="H271" i="3"/>
  <c r="J270" i="3"/>
  <c r="F270" i="3"/>
  <c r="K269" i="3"/>
  <c r="J269" i="3"/>
  <c r="H269" i="3"/>
  <c r="F269" i="3"/>
  <c r="J251" i="3"/>
  <c r="K250" i="3"/>
  <c r="J250" i="3"/>
  <c r="H250" i="3"/>
  <c r="F250" i="3"/>
  <c r="J249" i="3"/>
  <c r="F249" i="3"/>
  <c r="F248" i="3"/>
  <c r="K247" i="3"/>
  <c r="J247" i="3"/>
  <c r="H247" i="3"/>
  <c r="F247" i="3"/>
  <c r="H246" i="3"/>
  <c r="F246" i="3"/>
  <c r="H245" i="3"/>
  <c r="K234" i="3"/>
  <c r="J234" i="3"/>
  <c r="H234" i="3"/>
  <c r="F234" i="3"/>
  <c r="K233" i="3"/>
  <c r="J233" i="3"/>
  <c r="H233" i="3"/>
  <c r="F233" i="3"/>
  <c r="F232" i="3"/>
  <c r="J231" i="3"/>
  <c r="H231" i="3"/>
  <c r="H230" i="3"/>
  <c r="F230" i="3"/>
  <c r="H229" i="3"/>
  <c r="K228" i="3"/>
  <c r="J228" i="3"/>
  <c r="H228" i="3"/>
  <c r="F228" i="3"/>
  <c r="H227" i="3"/>
  <c r="J226" i="3"/>
  <c r="H226" i="3"/>
  <c r="K225" i="3"/>
  <c r="J225" i="3"/>
  <c r="H225" i="3"/>
  <c r="F225" i="3"/>
  <c r="J224" i="3"/>
  <c r="H224" i="3"/>
  <c r="J223" i="3"/>
  <c r="H223" i="3"/>
  <c r="J222" i="3"/>
  <c r="F222" i="3"/>
  <c r="K221" i="3"/>
  <c r="J221" i="3"/>
  <c r="H221" i="3"/>
  <c r="F221" i="3"/>
  <c r="J203" i="3"/>
  <c r="K202" i="3"/>
  <c r="J202" i="3"/>
  <c r="H202" i="3"/>
  <c r="F202" i="3"/>
  <c r="J201" i="3"/>
  <c r="H201" i="3"/>
  <c r="F201" i="3"/>
  <c r="F200" i="3"/>
  <c r="K199" i="3"/>
  <c r="J199" i="3"/>
  <c r="H199" i="3"/>
  <c r="F199" i="3"/>
  <c r="H198" i="3"/>
  <c r="F198" i="3"/>
  <c r="K177" i="3"/>
  <c r="J177" i="3"/>
  <c r="H177" i="3"/>
  <c r="F177" i="3"/>
  <c r="J176" i="3"/>
  <c r="H176" i="3"/>
  <c r="K175" i="3"/>
  <c r="J175" i="3"/>
  <c r="H175" i="3"/>
  <c r="F175" i="3"/>
  <c r="J174" i="3"/>
  <c r="F174" i="3"/>
  <c r="K173" i="3"/>
  <c r="J173" i="3"/>
  <c r="H173" i="3"/>
  <c r="F173" i="3"/>
  <c r="K170" i="3"/>
  <c r="J170" i="3"/>
  <c r="H170" i="3"/>
  <c r="F170" i="3"/>
  <c r="J169" i="3"/>
  <c r="F169" i="3"/>
  <c r="F168" i="3"/>
  <c r="J167" i="3"/>
  <c r="H167" i="3"/>
  <c r="H166" i="3"/>
  <c r="F166" i="3"/>
  <c r="H165" i="3"/>
  <c r="K164" i="3"/>
  <c r="J164" i="3"/>
  <c r="H164" i="3"/>
  <c r="F164" i="3"/>
  <c r="H163" i="3"/>
  <c r="J162" i="3"/>
  <c r="H162" i="3"/>
  <c r="K161" i="3"/>
  <c r="J161" i="3"/>
  <c r="H161" i="3"/>
  <c r="F161" i="3"/>
  <c r="J160" i="3"/>
  <c r="H160" i="3"/>
  <c r="J159" i="3"/>
  <c r="H159" i="3"/>
  <c r="J158" i="3"/>
  <c r="F158" i="3"/>
  <c r="K157" i="3"/>
  <c r="J157" i="3"/>
  <c r="H157" i="3"/>
  <c r="F157" i="3"/>
  <c r="K156" i="3"/>
  <c r="J156" i="3"/>
  <c r="H156" i="3"/>
  <c r="F156" i="3"/>
  <c r="J155" i="3"/>
  <c r="F155" i="3"/>
  <c r="K154" i="3"/>
  <c r="J154" i="3"/>
  <c r="H154" i="3"/>
  <c r="F154" i="3"/>
  <c r="K153" i="3"/>
  <c r="J153" i="3"/>
  <c r="H153" i="3"/>
  <c r="F153" i="3"/>
  <c r="F152" i="3"/>
  <c r="K151" i="3"/>
  <c r="J151" i="3"/>
  <c r="H151" i="3"/>
  <c r="F151" i="3"/>
  <c r="H150" i="3"/>
  <c r="F150" i="3"/>
  <c r="H149" i="3"/>
  <c r="J146" i="3"/>
  <c r="H146" i="3"/>
  <c r="J145" i="3"/>
  <c r="F145" i="3"/>
  <c r="J144" i="3"/>
  <c r="H144" i="3"/>
  <c r="J143" i="3"/>
  <c r="H143" i="3"/>
  <c r="F143" i="3"/>
  <c r="J142" i="3"/>
  <c r="F142" i="3"/>
  <c r="K141" i="3"/>
  <c r="J141" i="3"/>
  <c r="H141" i="3"/>
  <c r="F141" i="3"/>
  <c r="K140" i="3"/>
  <c r="J140" i="3"/>
  <c r="H140" i="3"/>
  <c r="F140" i="3"/>
  <c r="J139" i="3"/>
  <c r="K138" i="3"/>
  <c r="J138" i="3"/>
  <c r="H138" i="3"/>
  <c r="F138" i="3"/>
  <c r="K137" i="3"/>
  <c r="J137" i="3"/>
  <c r="H137" i="3"/>
  <c r="F137" i="3"/>
  <c r="F136" i="3"/>
  <c r="K135" i="3"/>
  <c r="J135" i="3"/>
  <c r="H135" i="3"/>
  <c r="F135" i="3"/>
  <c r="H134" i="3"/>
  <c r="F134" i="3"/>
  <c r="K132" i="3"/>
  <c r="J132" i="3"/>
  <c r="H132" i="3"/>
  <c r="F132" i="3"/>
  <c r="H131" i="3"/>
  <c r="F131" i="3"/>
  <c r="J130" i="3"/>
  <c r="H130" i="3"/>
  <c r="K129" i="3"/>
  <c r="J129" i="3"/>
  <c r="H129" i="3"/>
  <c r="F129" i="3"/>
  <c r="J128" i="3"/>
  <c r="H128" i="3"/>
  <c r="K127" i="3"/>
  <c r="J127" i="3"/>
  <c r="H127" i="3"/>
  <c r="F127" i="3"/>
  <c r="J126" i="3"/>
  <c r="F126" i="3"/>
  <c r="J125" i="3"/>
  <c r="F125" i="3"/>
  <c r="K109" i="3"/>
  <c r="J109" i="3"/>
  <c r="H109" i="3"/>
  <c r="F109" i="3"/>
  <c r="J108" i="3"/>
  <c r="K107" i="3"/>
  <c r="J107" i="3"/>
  <c r="H107" i="3"/>
  <c r="F107" i="3"/>
  <c r="K106" i="3"/>
  <c r="J106" i="3"/>
  <c r="H106" i="3"/>
  <c r="F106" i="3"/>
  <c r="F105" i="3"/>
  <c r="K104" i="3"/>
  <c r="J104" i="3"/>
  <c r="H104" i="3"/>
  <c r="F104" i="3"/>
  <c r="H103" i="3"/>
  <c r="F103" i="3"/>
  <c r="H102" i="3"/>
  <c r="K101" i="3"/>
  <c r="J101" i="3"/>
  <c r="H101" i="3"/>
  <c r="F101" i="3"/>
  <c r="H100" i="3"/>
  <c r="F100" i="3"/>
  <c r="J99" i="3"/>
  <c r="H99" i="3"/>
  <c r="K98" i="3"/>
  <c r="J98" i="3"/>
  <c r="H98" i="3"/>
  <c r="F98" i="3"/>
  <c r="J97" i="3"/>
  <c r="H97" i="3"/>
  <c r="K96" i="3"/>
  <c r="J96" i="3"/>
  <c r="H96" i="3"/>
  <c r="F96" i="3"/>
  <c r="J95" i="3"/>
  <c r="F95" i="3"/>
  <c r="K94" i="3"/>
  <c r="J94" i="3"/>
  <c r="H94" i="3"/>
  <c r="F94" i="3"/>
  <c r="K93" i="3"/>
  <c r="J93" i="3"/>
  <c r="H93" i="3"/>
  <c r="F93" i="3"/>
  <c r="J92" i="3"/>
  <c r="F92" i="3"/>
  <c r="K91" i="3"/>
  <c r="J91" i="3"/>
  <c r="H91" i="3"/>
  <c r="F91" i="3"/>
  <c r="K90" i="3"/>
  <c r="J90" i="3"/>
  <c r="H90" i="3"/>
  <c r="F90" i="3"/>
  <c r="F89" i="3"/>
  <c r="J88" i="3"/>
  <c r="H88" i="3"/>
  <c r="H87" i="3"/>
  <c r="H86" i="3"/>
  <c r="K85" i="3"/>
  <c r="J85" i="3"/>
  <c r="H85" i="3"/>
  <c r="F85" i="3"/>
  <c r="H84" i="3"/>
  <c r="K83" i="3"/>
  <c r="J83" i="3"/>
  <c r="H83" i="3"/>
  <c r="F83" i="3"/>
  <c r="K82" i="3"/>
  <c r="J82" i="3"/>
  <c r="H82" i="3"/>
  <c r="F82" i="3"/>
  <c r="J81" i="3"/>
  <c r="H81" i="3"/>
  <c r="K80" i="3"/>
  <c r="J80" i="3"/>
  <c r="H80" i="3"/>
  <c r="F80" i="3"/>
  <c r="J79" i="3"/>
  <c r="F79" i="3"/>
  <c r="K78" i="3"/>
  <c r="J78" i="3"/>
  <c r="H78" i="3"/>
  <c r="F78" i="3"/>
  <c r="K77" i="3"/>
  <c r="J77" i="3"/>
  <c r="H77" i="3"/>
  <c r="F77" i="3"/>
  <c r="J73" i="3"/>
  <c r="F73" i="3"/>
  <c r="J72" i="3"/>
  <c r="H72" i="3"/>
  <c r="K71" i="3"/>
  <c r="J71" i="3"/>
  <c r="H71" i="3"/>
  <c r="F71" i="3"/>
  <c r="F70" i="3"/>
  <c r="K69" i="3"/>
  <c r="J69" i="3"/>
  <c r="H69" i="3"/>
  <c r="F69" i="3"/>
  <c r="H68" i="3"/>
  <c r="F68" i="3"/>
  <c r="H67" i="3"/>
  <c r="K66" i="3"/>
  <c r="J66" i="3"/>
  <c r="H66" i="3"/>
  <c r="F66" i="3"/>
  <c r="H65" i="3"/>
  <c r="F65" i="3"/>
  <c r="K64" i="3"/>
  <c r="J64" i="3"/>
  <c r="H64" i="3"/>
  <c r="F64" i="3"/>
  <c r="J63" i="3"/>
  <c r="F63" i="3"/>
  <c r="J62" i="3"/>
  <c r="H62" i="3"/>
  <c r="K61" i="3"/>
  <c r="J61" i="3"/>
  <c r="H61" i="3"/>
  <c r="F61" i="3"/>
  <c r="J60" i="3"/>
  <c r="F60" i="3"/>
  <c r="K59" i="3"/>
  <c r="J59" i="3"/>
  <c r="H59" i="3"/>
  <c r="F59" i="3"/>
  <c r="K58" i="3"/>
  <c r="J58" i="3"/>
  <c r="H58" i="3"/>
  <c r="F58" i="3"/>
  <c r="J57" i="3"/>
  <c r="F57" i="3"/>
  <c r="J56" i="3"/>
  <c r="H56" i="3"/>
  <c r="J55" i="3"/>
  <c r="H55" i="3"/>
  <c r="F54" i="3"/>
  <c r="J53" i="3"/>
  <c r="H53" i="3"/>
  <c r="H35" i="3"/>
  <c r="F35" i="3"/>
  <c r="F34" i="3"/>
  <c r="K33" i="3"/>
  <c r="J33" i="3"/>
  <c r="H33" i="3"/>
  <c r="F33" i="3"/>
  <c r="H32" i="3"/>
  <c r="F32" i="3"/>
  <c r="K31" i="3"/>
  <c r="J31" i="3"/>
  <c r="H31" i="3"/>
  <c r="F31" i="3"/>
  <c r="J30" i="3"/>
  <c r="H30" i="3"/>
  <c r="J29" i="3"/>
  <c r="H29" i="3"/>
  <c r="K28" i="3"/>
  <c r="J28" i="3"/>
  <c r="H28" i="3"/>
  <c r="F28" i="3"/>
  <c r="J27" i="3"/>
  <c r="F27" i="3"/>
  <c r="J26" i="3"/>
  <c r="F26" i="3"/>
  <c r="K25" i="3"/>
  <c r="J25" i="3"/>
  <c r="H25" i="3"/>
  <c r="F25" i="3"/>
  <c r="J24" i="3"/>
  <c r="F24" i="3"/>
  <c r="K23" i="3"/>
  <c r="J23" i="3"/>
  <c r="H23" i="3"/>
  <c r="F23" i="3"/>
  <c r="K22" i="3"/>
  <c r="J22" i="3"/>
  <c r="H22" i="3"/>
  <c r="F22" i="3"/>
  <c r="F21" i="3"/>
  <c r="K20" i="3"/>
  <c r="J20" i="3"/>
  <c r="H20" i="3"/>
  <c r="F20" i="3"/>
  <c r="H19" i="3"/>
  <c r="F19" i="3"/>
  <c r="H18" i="3"/>
  <c r="K17" i="3"/>
  <c r="J17" i="3"/>
  <c r="H17" i="3"/>
  <c r="F17" i="3"/>
  <c r="H16" i="3"/>
  <c r="J15" i="3"/>
  <c r="H15" i="3"/>
  <c r="K14" i="3"/>
  <c r="J14" i="3"/>
  <c r="H14" i="3"/>
  <c r="F14" i="3"/>
  <c r="J13" i="3"/>
  <c r="H13" i="3"/>
  <c r="K12" i="3"/>
  <c r="J12" i="3"/>
  <c r="H12" i="3"/>
  <c r="F12" i="3"/>
  <c r="J11" i="3"/>
  <c r="F11" i="3"/>
  <c r="K10" i="3"/>
  <c r="J10" i="3"/>
  <c r="H10" i="3"/>
  <c r="F10" i="3"/>
  <c r="K9" i="3"/>
  <c r="J9" i="3"/>
  <c r="H9" i="3"/>
  <c r="F9" i="3"/>
  <c r="K7" i="3"/>
  <c r="J7" i="3"/>
  <c r="H7" i="3"/>
  <c r="F7" i="3"/>
  <c r="K6" i="3"/>
  <c r="J6" i="3"/>
  <c r="H6" i="3"/>
  <c r="F6" i="3"/>
  <c r="F5" i="3"/>
  <c r="F32" i="1"/>
  <c r="F31" i="1"/>
  <c r="F33" i="1" s="1"/>
  <c r="F928" i="6" l="1"/>
  <c r="F192" i="6"/>
  <c r="J928" i="6"/>
  <c r="L68" i="6"/>
  <c r="L616" i="6"/>
  <c r="L881" i="6"/>
  <c r="F1240" i="6"/>
  <c r="E11" i="6" s="1"/>
  <c r="F11" i="6" s="1"/>
  <c r="J660" i="6"/>
  <c r="J659" i="6" s="1"/>
  <c r="I9" i="6" s="1"/>
  <c r="J9" i="6" s="1"/>
  <c r="F823" i="6"/>
  <c r="F805" i="6" s="1"/>
  <c r="F660" i="6" s="1"/>
  <c r="J192" i="6"/>
  <c r="I7" i="6" s="1"/>
  <c r="J7" i="6" s="1"/>
  <c r="L1039" i="6"/>
  <c r="L696" i="6"/>
  <c r="L937" i="6"/>
  <c r="L1022" i="6"/>
  <c r="L669" i="6"/>
  <c r="L1338" i="6"/>
  <c r="L466" i="6"/>
  <c r="L1293" i="6"/>
  <c r="L430" i="6"/>
  <c r="L1091" i="6"/>
  <c r="G10" i="6"/>
  <c r="J1240" i="6"/>
  <c r="I11" i="6" s="1"/>
  <c r="J11" i="6" s="1"/>
  <c r="K15" i="6"/>
  <c r="H15" i="6"/>
  <c r="L15" i="6" s="1"/>
  <c r="L1490" i="6"/>
  <c r="G12" i="6"/>
  <c r="L1695" i="6"/>
  <c r="G16" i="6"/>
  <c r="L1580" i="6"/>
  <c r="G14" i="6"/>
  <c r="L529" i="6"/>
  <c r="I8" i="6"/>
  <c r="J8" i="6" s="1"/>
  <c r="L8" i="6" s="1"/>
  <c r="H13" i="6"/>
  <c r="L13" i="6" s="1"/>
  <c r="K13" i="6"/>
  <c r="L834" i="6"/>
  <c r="H823" i="6"/>
  <c r="H928" i="6"/>
  <c r="L1241" i="6"/>
  <c r="H1240" i="6"/>
  <c r="L391" i="6"/>
  <c r="H381" i="6"/>
  <c r="L381" i="6" s="1"/>
  <c r="L1653" i="6"/>
  <c r="H222" i="6"/>
  <c r="L223" i="6"/>
  <c r="L1192" i="6"/>
  <c r="K37" i="6"/>
  <c r="H37" i="6"/>
  <c r="L37" i="6" s="1"/>
  <c r="E7" i="6"/>
  <c r="F7" i="6" s="1"/>
  <c r="E6" i="6"/>
  <c r="F6" i="6" s="1"/>
  <c r="I6" i="6"/>
  <c r="J6" i="6" s="1"/>
  <c r="F279" i="3"/>
  <c r="K271" i="3"/>
  <c r="J195" i="3"/>
  <c r="I13" i="2" s="1"/>
  <c r="J13" i="2" s="1"/>
  <c r="F176" i="3"/>
  <c r="F195" i="3" s="1"/>
  <c r="E13" i="2" s="1"/>
  <c r="H63" i="3"/>
  <c r="H75" i="3" s="1"/>
  <c r="G8" i="2" s="1"/>
  <c r="H8" i="2" s="1"/>
  <c r="F133" i="3"/>
  <c r="L133" i="3" s="1"/>
  <c r="F226" i="3"/>
  <c r="F160" i="3"/>
  <c r="L160" i="3" s="1"/>
  <c r="K26" i="3"/>
  <c r="K34" i="3"/>
  <c r="K11" i="3"/>
  <c r="K27" i="3"/>
  <c r="K60" i="3"/>
  <c r="K79" i="3"/>
  <c r="K95" i="3"/>
  <c r="K126" i="3"/>
  <c r="K24" i="3"/>
  <c r="K57" i="3"/>
  <c r="K73" i="3"/>
  <c r="K92" i="3"/>
  <c r="K108" i="3"/>
  <c r="K5" i="3"/>
  <c r="K21" i="3"/>
  <c r="K54" i="3"/>
  <c r="K70" i="3"/>
  <c r="K89" i="3"/>
  <c r="K105" i="3"/>
  <c r="K136" i="3"/>
  <c r="K19" i="3"/>
  <c r="K35" i="3"/>
  <c r="K68" i="3"/>
  <c r="K103" i="3"/>
  <c r="K134" i="3"/>
  <c r="K150" i="3"/>
  <c r="K166" i="3"/>
  <c r="K198" i="3"/>
  <c r="K230" i="3"/>
  <c r="K246" i="3"/>
  <c r="K278" i="3"/>
  <c r="K294" i="3"/>
  <c r="K342" i="3"/>
  <c r="K358" i="3"/>
  <c r="K32" i="3"/>
  <c r="K65" i="3"/>
  <c r="K100" i="3"/>
  <c r="K131" i="3"/>
  <c r="K275" i="3"/>
  <c r="K323" i="3"/>
  <c r="H51" i="3"/>
  <c r="G7" i="2" s="1"/>
  <c r="H7" i="2" s="1"/>
  <c r="F75" i="3"/>
  <c r="E8" i="2" s="1"/>
  <c r="F8" i="2" s="1"/>
  <c r="J267" i="3"/>
  <c r="I17" i="2" s="1"/>
  <c r="J17" i="2" s="1"/>
  <c r="F352" i="3"/>
  <c r="L352" i="3" s="1"/>
  <c r="K352" i="3"/>
  <c r="H249" i="3"/>
  <c r="L249" i="3" s="1"/>
  <c r="K249" i="3"/>
  <c r="F295" i="3"/>
  <c r="L295" i="3" s="1"/>
  <c r="K295" i="3"/>
  <c r="H281" i="3"/>
  <c r="L281" i="3" s="1"/>
  <c r="K281" i="3"/>
  <c r="F353" i="3"/>
  <c r="L353" i="3" s="1"/>
  <c r="K353" i="3"/>
  <c r="F277" i="3"/>
  <c r="K277" i="3"/>
  <c r="H174" i="3"/>
  <c r="H195" i="3" s="1"/>
  <c r="G13" i="2" s="1"/>
  <c r="H13" i="2" s="1"/>
  <c r="K174" i="3"/>
  <c r="H222" i="3"/>
  <c r="L222" i="3" s="1"/>
  <c r="K222" i="3"/>
  <c r="H270" i="3"/>
  <c r="K270" i="3"/>
  <c r="H318" i="3"/>
  <c r="L318" i="3" s="1"/>
  <c r="K318" i="3"/>
  <c r="F355" i="3"/>
  <c r="L355" i="3" s="1"/>
  <c r="K355" i="3"/>
  <c r="H251" i="3"/>
  <c r="L251" i="3" s="1"/>
  <c r="K251" i="3"/>
  <c r="H200" i="3"/>
  <c r="H219" i="3" s="1"/>
  <c r="G14" i="2" s="1"/>
  <c r="H14" i="2" s="1"/>
  <c r="K200" i="3"/>
  <c r="H248" i="3"/>
  <c r="L248" i="3" s="1"/>
  <c r="K248" i="3"/>
  <c r="J19" i="3"/>
  <c r="L19" i="3" s="1"/>
  <c r="J32" i="3"/>
  <c r="J35" i="3"/>
  <c r="L35" i="3" s="1"/>
  <c r="J65" i="3"/>
  <c r="L65" i="3" s="1"/>
  <c r="J68" i="3"/>
  <c r="L68" i="3" s="1"/>
  <c r="F102" i="3"/>
  <c r="L102" i="3" s="1"/>
  <c r="H126" i="3"/>
  <c r="L126" i="3" s="1"/>
  <c r="J134" i="3"/>
  <c r="L134" i="3" s="1"/>
  <c r="F139" i="3"/>
  <c r="L139" i="3" s="1"/>
  <c r="F144" i="3"/>
  <c r="F149" i="3"/>
  <c r="L149" i="3" s="1"/>
  <c r="F159" i="3"/>
  <c r="F165" i="3"/>
  <c r="L165" i="3" s="1"/>
  <c r="F224" i="3"/>
  <c r="J275" i="3"/>
  <c r="L275" i="3" s="1"/>
  <c r="J323" i="3"/>
  <c r="J339" i="3" s="1"/>
  <c r="I21" i="2" s="1"/>
  <c r="J358" i="3"/>
  <c r="L358" i="3" s="1"/>
  <c r="F231" i="3"/>
  <c r="L231" i="3" s="1"/>
  <c r="K231" i="3"/>
  <c r="F272" i="3"/>
  <c r="K272" i="3"/>
  <c r="H317" i="3"/>
  <c r="K317" i="3"/>
  <c r="F245" i="3"/>
  <c r="L245" i="3" s="1"/>
  <c r="K245" i="3"/>
  <c r="F293" i="3"/>
  <c r="K293" i="3"/>
  <c r="F322" i="3"/>
  <c r="K322" i="3"/>
  <c r="F356" i="3"/>
  <c r="L356" i="3" s="1"/>
  <c r="K356" i="3"/>
  <c r="H158" i="3"/>
  <c r="K158" i="3"/>
  <c r="H350" i="3"/>
  <c r="L350" i="3" s="1"/>
  <c r="K350" i="3"/>
  <c r="H347" i="3"/>
  <c r="K347" i="3"/>
  <c r="H168" i="3"/>
  <c r="L168" i="3" s="1"/>
  <c r="K168" i="3"/>
  <c r="H296" i="3"/>
  <c r="H315" i="3" s="1"/>
  <c r="G20" i="2" s="1"/>
  <c r="H20" i="2" s="1"/>
  <c r="K296" i="3"/>
  <c r="H366" i="3"/>
  <c r="L366" i="3" s="1"/>
  <c r="K366" i="3"/>
  <c r="K8" i="3"/>
  <c r="K13" i="3"/>
  <c r="K15" i="3"/>
  <c r="K16" i="3"/>
  <c r="K18" i="3"/>
  <c r="K29" i="3"/>
  <c r="K30" i="3"/>
  <c r="K53" i="3"/>
  <c r="K55" i="3"/>
  <c r="K56" i="3"/>
  <c r="K62" i="3"/>
  <c r="K67" i="3"/>
  <c r="K72" i="3"/>
  <c r="K81" i="3"/>
  <c r="K84" i="3"/>
  <c r="K86" i="3"/>
  <c r="K87" i="3"/>
  <c r="K88" i="3"/>
  <c r="K97" i="3"/>
  <c r="J103" i="3"/>
  <c r="L103" i="3" s="1"/>
  <c r="H125" i="3"/>
  <c r="L125" i="3" s="1"/>
  <c r="F130" i="3"/>
  <c r="L130" i="3" s="1"/>
  <c r="F146" i="3"/>
  <c r="L146" i="3" s="1"/>
  <c r="J150" i="3"/>
  <c r="F163" i="3"/>
  <c r="L163" i="3" s="1"/>
  <c r="J166" i="3"/>
  <c r="L166" i="3" s="1"/>
  <c r="F203" i="3"/>
  <c r="L203" i="3" s="1"/>
  <c r="F223" i="3"/>
  <c r="L223" i="3" s="1"/>
  <c r="F229" i="3"/>
  <c r="J278" i="3"/>
  <c r="J342" i="3"/>
  <c r="H169" i="3"/>
  <c r="L169" i="3" s="1"/>
  <c r="K169" i="3"/>
  <c r="F357" i="3"/>
  <c r="L357" i="3" s="1"/>
  <c r="K357" i="3"/>
  <c r="F320" i="3"/>
  <c r="L320" i="3" s="1"/>
  <c r="K320" i="3"/>
  <c r="F341" i="3"/>
  <c r="K341" i="3"/>
  <c r="H145" i="3"/>
  <c r="L145" i="3" s="1"/>
  <c r="K145" i="3"/>
  <c r="H273" i="3"/>
  <c r="L273" i="3" s="1"/>
  <c r="K273" i="3"/>
  <c r="F274" i="3"/>
  <c r="L274" i="3" s="1"/>
  <c r="K274" i="3"/>
  <c r="H142" i="3"/>
  <c r="L142" i="3" s="1"/>
  <c r="K142" i="3"/>
  <c r="H155" i="3"/>
  <c r="L155" i="3" s="1"/>
  <c r="K155" i="3"/>
  <c r="H152" i="3"/>
  <c r="L152" i="3" s="1"/>
  <c r="K152" i="3"/>
  <c r="H232" i="3"/>
  <c r="H243" i="3" s="1"/>
  <c r="G16" i="2" s="1"/>
  <c r="H16" i="2" s="1"/>
  <c r="K232" i="3"/>
  <c r="H280" i="3"/>
  <c r="L280" i="3" s="1"/>
  <c r="K280" i="3"/>
  <c r="H344" i="3"/>
  <c r="K344" i="3"/>
  <c r="H365" i="3"/>
  <c r="K365" i="3"/>
  <c r="F99" i="3"/>
  <c r="L99" i="3" s="1"/>
  <c r="H108" i="3"/>
  <c r="H123" i="3" s="1"/>
  <c r="G9" i="2" s="1"/>
  <c r="H9" i="2" s="1"/>
  <c r="F128" i="3"/>
  <c r="L128" i="3" s="1"/>
  <c r="J131" i="3"/>
  <c r="H136" i="3"/>
  <c r="L136" i="3" s="1"/>
  <c r="F162" i="3"/>
  <c r="L162" i="3" s="1"/>
  <c r="F167" i="3"/>
  <c r="L167" i="3" s="1"/>
  <c r="F197" i="3"/>
  <c r="F219" i="3" s="1"/>
  <c r="E14" i="2" s="1"/>
  <c r="J198" i="3"/>
  <c r="J219" i="3" s="1"/>
  <c r="I14" i="2" s="1"/>
  <c r="J14" i="2" s="1"/>
  <c r="F227" i="3"/>
  <c r="L227" i="3" s="1"/>
  <c r="J230" i="3"/>
  <c r="J243" i="3" s="1"/>
  <c r="I16" i="2" s="1"/>
  <c r="J16" i="2" s="1"/>
  <c r="J294" i="3"/>
  <c r="J315" i="3" s="1"/>
  <c r="I20" i="2" s="1"/>
  <c r="J20" i="2" s="1"/>
  <c r="J387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54" i="3"/>
  <c r="L55" i="3"/>
  <c r="L56" i="3"/>
  <c r="L57" i="3"/>
  <c r="L58" i="3"/>
  <c r="L59" i="3"/>
  <c r="L60" i="3"/>
  <c r="L61" i="3"/>
  <c r="L62" i="3"/>
  <c r="L63" i="3"/>
  <c r="L64" i="3"/>
  <c r="L66" i="3"/>
  <c r="L67" i="3"/>
  <c r="L69" i="3"/>
  <c r="L70" i="3"/>
  <c r="L71" i="3"/>
  <c r="L72" i="3"/>
  <c r="L73" i="3"/>
  <c r="L77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100" i="3"/>
  <c r="L101" i="3"/>
  <c r="L104" i="3"/>
  <c r="L105" i="3"/>
  <c r="L106" i="3"/>
  <c r="L107" i="3"/>
  <c r="L109" i="3"/>
  <c r="L127" i="3"/>
  <c r="L129" i="3"/>
  <c r="L131" i="3"/>
  <c r="L132" i="3"/>
  <c r="L135" i="3"/>
  <c r="L137" i="3"/>
  <c r="L138" i="3"/>
  <c r="L140" i="3"/>
  <c r="L141" i="3"/>
  <c r="L143" i="3"/>
  <c r="L144" i="3"/>
  <c r="L151" i="3"/>
  <c r="L153" i="3"/>
  <c r="L154" i="3"/>
  <c r="L156" i="3"/>
  <c r="L157" i="3"/>
  <c r="L158" i="3"/>
  <c r="L159" i="3"/>
  <c r="L161" i="3"/>
  <c r="L164" i="3"/>
  <c r="L170" i="3"/>
  <c r="L173" i="3"/>
  <c r="L175" i="3"/>
  <c r="L177" i="3"/>
  <c r="L199" i="3"/>
  <c r="L201" i="3"/>
  <c r="L202" i="3"/>
  <c r="L221" i="3"/>
  <c r="L224" i="3"/>
  <c r="L225" i="3"/>
  <c r="L226" i="3"/>
  <c r="L228" i="3"/>
  <c r="L229" i="3"/>
  <c r="L233" i="3"/>
  <c r="L234" i="3"/>
  <c r="L246" i="3"/>
  <c r="L247" i="3"/>
  <c r="L250" i="3"/>
  <c r="L271" i="3"/>
  <c r="L272" i="3"/>
  <c r="L276" i="3"/>
  <c r="L279" i="3"/>
  <c r="L293" i="3"/>
  <c r="L296" i="3"/>
  <c r="L297" i="3"/>
  <c r="L298" i="3"/>
  <c r="L319" i="3"/>
  <c r="L321" i="3"/>
  <c r="L322" i="3"/>
  <c r="L324" i="3"/>
  <c r="L343" i="3"/>
  <c r="L345" i="3"/>
  <c r="L346" i="3"/>
  <c r="L347" i="3"/>
  <c r="L348" i="3"/>
  <c r="L349" i="3"/>
  <c r="L351" i="3"/>
  <c r="L354" i="3"/>
  <c r="L367" i="3"/>
  <c r="F267" i="3"/>
  <c r="E17" i="2" s="1"/>
  <c r="L269" i="3"/>
  <c r="F387" i="3"/>
  <c r="E23" i="2" s="1"/>
  <c r="K23" i="2" s="1"/>
  <c r="F51" i="3"/>
  <c r="E7" i="2" s="1"/>
  <c r="F7" i="2" s="1"/>
  <c r="L53" i="3"/>
  <c r="L78" i="3"/>
  <c r="L928" i="6" l="1"/>
  <c r="F659" i="6"/>
  <c r="E9" i="6" s="1"/>
  <c r="F9" i="6" s="1"/>
  <c r="F31" i="9"/>
  <c r="F31" i="10" s="1"/>
  <c r="H31" i="10" s="1"/>
  <c r="J28" i="11" s="1"/>
  <c r="L28" i="11" s="1"/>
  <c r="F363" i="3"/>
  <c r="E22" i="2" s="1"/>
  <c r="H387" i="3"/>
  <c r="K12" i="6"/>
  <c r="H12" i="6"/>
  <c r="L12" i="6" s="1"/>
  <c r="K16" i="6"/>
  <c r="H16" i="6"/>
  <c r="L16" i="6" s="1"/>
  <c r="L1240" i="6"/>
  <c r="G11" i="6"/>
  <c r="K10" i="6"/>
  <c r="H10" i="6"/>
  <c r="L10" i="6" s="1"/>
  <c r="K14" i="6"/>
  <c r="H14" i="6"/>
  <c r="L14" i="6" s="1"/>
  <c r="K8" i="6"/>
  <c r="L823" i="6"/>
  <c r="H805" i="6"/>
  <c r="L222" i="6"/>
  <c r="H192" i="6"/>
  <c r="L192" i="6" s="1"/>
  <c r="G6" i="6"/>
  <c r="F18" i="6"/>
  <c r="H363" i="3"/>
  <c r="G22" i="2" s="1"/>
  <c r="H22" i="2" s="1"/>
  <c r="L230" i="3"/>
  <c r="L176" i="3"/>
  <c r="J147" i="3"/>
  <c r="I11" i="2" s="1"/>
  <c r="J11" i="2" s="1"/>
  <c r="L198" i="3"/>
  <c r="J123" i="3"/>
  <c r="I9" i="2" s="1"/>
  <c r="J9" i="2" s="1"/>
  <c r="L294" i="3"/>
  <c r="L315" i="3" s="1"/>
  <c r="L232" i="3"/>
  <c r="L344" i="3"/>
  <c r="F339" i="3"/>
  <c r="E21" i="2" s="1"/>
  <c r="F21" i="2" s="1"/>
  <c r="J291" i="3"/>
  <c r="I18" i="2" s="1"/>
  <c r="J18" i="2" s="1"/>
  <c r="L197" i="3"/>
  <c r="L278" i="3"/>
  <c r="H291" i="3"/>
  <c r="G18" i="2" s="1"/>
  <c r="H18" i="2" s="1"/>
  <c r="L200" i="3"/>
  <c r="L108" i="3"/>
  <c r="L123" i="3" s="1"/>
  <c r="L51" i="3"/>
  <c r="F123" i="3"/>
  <c r="E9" i="2" s="1"/>
  <c r="F9" i="2" s="1"/>
  <c r="H171" i="3"/>
  <c r="G12" i="2" s="1"/>
  <c r="H12" i="2" s="1"/>
  <c r="F315" i="3"/>
  <c r="E20" i="2" s="1"/>
  <c r="F20" i="2" s="1"/>
  <c r="L341" i="3"/>
  <c r="L270" i="3"/>
  <c r="F147" i="3"/>
  <c r="E11" i="2" s="1"/>
  <c r="F11" i="2" s="1"/>
  <c r="J363" i="3"/>
  <c r="I22" i="2" s="1"/>
  <c r="J22" i="2" s="1"/>
  <c r="H339" i="3"/>
  <c r="G21" i="2" s="1"/>
  <c r="H21" i="2" s="1"/>
  <c r="J75" i="3"/>
  <c r="I8" i="2" s="1"/>
  <c r="J8" i="2" s="1"/>
  <c r="J171" i="3"/>
  <c r="I12" i="2" s="1"/>
  <c r="J12" i="2" s="1"/>
  <c r="J51" i="3"/>
  <c r="I7" i="2" s="1"/>
  <c r="J7" i="2" s="1"/>
  <c r="F291" i="3"/>
  <c r="E18" i="2" s="1"/>
  <c r="F18" i="2" s="1"/>
  <c r="J21" i="2"/>
  <c r="L147" i="3"/>
  <c r="L277" i="3"/>
  <c r="L150" i="3"/>
  <c r="L171" i="3" s="1"/>
  <c r="L317" i="3"/>
  <c r="L75" i="3"/>
  <c r="L365" i="3"/>
  <c r="L387" i="3" s="1"/>
  <c r="L323" i="3"/>
  <c r="F171" i="3"/>
  <c r="E12" i="2" s="1"/>
  <c r="H267" i="3"/>
  <c r="G17" i="2" s="1"/>
  <c r="H17" i="2" s="1"/>
  <c r="F243" i="3"/>
  <c r="E16" i="2" s="1"/>
  <c r="K16" i="2" s="1"/>
  <c r="K13" i="2"/>
  <c r="L342" i="3"/>
  <c r="L174" i="3"/>
  <c r="L195" i="3" s="1"/>
  <c r="H147" i="3"/>
  <c r="G11" i="2" s="1"/>
  <c r="H11" i="2" s="1"/>
  <c r="F23" i="2"/>
  <c r="L267" i="3"/>
  <c r="F22" i="2"/>
  <c r="F17" i="2"/>
  <c r="F14" i="2"/>
  <c r="K14" i="2"/>
  <c r="F13" i="2"/>
  <c r="L243" i="3" l="1"/>
  <c r="F9" i="9"/>
  <c r="E6" i="11" s="1"/>
  <c r="F6" i="11" s="1"/>
  <c r="K11" i="6"/>
  <c r="H11" i="6"/>
  <c r="L11" i="6" s="1"/>
  <c r="L805" i="6"/>
  <c r="H660" i="6"/>
  <c r="F9" i="10"/>
  <c r="F17" i="9"/>
  <c r="F17" i="10" s="1"/>
  <c r="F18" i="9"/>
  <c r="F18" i="10" s="1"/>
  <c r="F15" i="9"/>
  <c r="F10" i="9"/>
  <c r="F14" i="9" s="1"/>
  <c r="F14" i="10" s="1"/>
  <c r="K6" i="6"/>
  <c r="H6" i="6"/>
  <c r="J23" i="6"/>
  <c r="F20" i="6"/>
  <c r="J25" i="6"/>
  <c r="L25" i="6" s="1"/>
  <c r="J26" i="6"/>
  <c r="L26" i="6" s="1"/>
  <c r="J18" i="6"/>
  <c r="L363" i="3"/>
  <c r="L219" i="3"/>
  <c r="K18" i="2"/>
  <c r="K9" i="2"/>
  <c r="E19" i="2"/>
  <c r="F19" i="2" s="1"/>
  <c r="K17" i="2"/>
  <c r="K8" i="2"/>
  <c r="L291" i="3"/>
  <c r="K21" i="2"/>
  <c r="K7" i="2"/>
  <c r="K20" i="2"/>
  <c r="K22" i="2"/>
  <c r="K11" i="2"/>
  <c r="L339" i="3"/>
  <c r="F16" i="2"/>
  <c r="F12" i="2"/>
  <c r="K12" i="2"/>
  <c r="L17" i="2"/>
  <c r="L8" i="2"/>
  <c r="F13" i="9" l="1"/>
  <c r="F13" i="10" s="1"/>
  <c r="J22" i="6"/>
  <c r="L22" i="6" s="1"/>
  <c r="F5" i="6"/>
  <c r="L660" i="6"/>
  <c r="H659" i="6"/>
  <c r="F12" i="9"/>
  <c r="I6" i="11" s="1"/>
  <c r="J6" i="11" s="1"/>
  <c r="F16" i="9"/>
  <c r="F16" i="10" s="1"/>
  <c r="F15" i="10"/>
  <c r="F11" i="9"/>
  <c r="F10" i="10"/>
  <c r="J21" i="6"/>
  <c r="L20" i="6"/>
  <c r="G7" i="6"/>
  <c r="J24" i="6"/>
  <c r="L24" i="6" s="1"/>
  <c r="L23" i="6"/>
  <c r="L6" i="6"/>
  <c r="L14" i="2"/>
  <c r="L12" i="2"/>
  <c r="I10" i="2"/>
  <c r="J10" i="2" s="1"/>
  <c r="E10" i="2"/>
  <c r="F10" i="2" s="1"/>
  <c r="L13" i="2"/>
  <c r="L23" i="2"/>
  <c r="L7" i="2"/>
  <c r="T23" i="2"/>
  <c r="F11" i="10" l="1"/>
  <c r="G34" i="1"/>
  <c r="F34" i="1" s="1"/>
  <c r="G36" i="10" s="1"/>
  <c r="H36" i="10" s="1"/>
  <c r="J33" i="11" s="1"/>
  <c r="L21" i="6"/>
  <c r="L659" i="6"/>
  <c r="G9" i="6"/>
  <c r="F12" i="10"/>
  <c r="H7" i="6"/>
  <c r="K7" i="6"/>
  <c r="G10" i="2"/>
  <c r="H10" i="2" s="1"/>
  <c r="I19" i="2"/>
  <c r="J19" i="2" s="1"/>
  <c r="G19" i="2"/>
  <c r="H19" i="2" s="1"/>
  <c r="L18" i="2"/>
  <c r="L21" i="2"/>
  <c r="L11" i="2"/>
  <c r="L22" i="2"/>
  <c r="H9" i="6" l="1"/>
  <c r="L9" i="6" s="1"/>
  <c r="K9" i="6"/>
  <c r="L7" i="6"/>
  <c r="K10" i="2"/>
  <c r="L10" i="2"/>
  <c r="G6" i="2"/>
  <c r="H6" i="2" s="1"/>
  <c r="F9" i="1" s="1"/>
  <c r="G15" i="2"/>
  <c r="H15" i="2" s="1"/>
  <c r="L9" i="2"/>
  <c r="L16" i="2"/>
  <c r="L20" i="2"/>
  <c r="I6" i="2"/>
  <c r="J6" i="2" s="1"/>
  <c r="F12" i="1" s="1"/>
  <c r="I15" i="2"/>
  <c r="J15" i="2" s="1"/>
  <c r="H18" i="6" l="1"/>
  <c r="F6" i="9" s="1"/>
  <c r="H5" i="6"/>
  <c r="J31" i="6"/>
  <c r="L31" i="6" s="1"/>
  <c r="J27" i="6"/>
  <c r="L18" i="6"/>
  <c r="J29" i="6"/>
  <c r="L29" i="6" s="1"/>
  <c r="J30" i="6"/>
  <c r="L30" i="6" s="1"/>
  <c r="I5" i="2"/>
  <c r="K19" i="2"/>
  <c r="E6" i="2"/>
  <c r="F6" i="2" s="1"/>
  <c r="T15" i="2"/>
  <c r="G5" i="2"/>
  <c r="J28" i="6" l="1"/>
  <c r="L28" i="6" s="1"/>
  <c r="G6" i="11"/>
  <c r="F19" i="9"/>
  <c r="F19" i="10" s="1"/>
  <c r="F8" i="9"/>
  <c r="F21" i="9"/>
  <c r="F21" i="10" s="1"/>
  <c r="H21" i="10" s="1"/>
  <c r="J20" i="11" s="1"/>
  <c r="L20" i="11" s="1"/>
  <c r="F20" i="9"/>
  <c r="F20" i="10" s="1"/>
  <c r="F22" i="9"/>
  <c r="F22" i="10" s="1"/>
  <c r="H22" i="10" s="1"/>
  <c r="J21" i="11" s="1"/>
  <c r="L21" i="11" s="1"/>
  <c r="F6" i="10"/>
  <c r="L24" i="10" s="1"/>
  <c r="F23" i="9"/>
  <c r="F23" i="10" s="1"/>
  <c r="F8" i="10"/>
  <c r="L27" i="6"/>
  <c r="H5" i="2"/>
  <c r="J5" i="2"/>
  <c r="G12" i="10" s="1"/>
  <c r="K6" i="2"/>
  <c r="L19" i="2"/>
  <c r="E15" i="2"/>
  <c r="F15" i="2" s="1"/>
  <c r="F6" i="1" s="1"/>
  <c r="J32" i="6" l="1"/>
  <c r="L32" i="6" s="1"/>
  <c r="F24" i="9"/>
  <c r="K6" i="11"/>
  <c r="H6" i="11"/>
  <c r="L6" i="11" s="1"/>
  <c r="I7" i="11"/>
  <c r="J7" i="11" s="1"/>
  <c r="J9" i="11" s="1"/>
  <c r="H12" i="10"/>
  <c r="F10" i="1"/>
  <c r="G9" i="10"/>
  <c r="H19" i="10"/>
  <c r="J18" i="11" s="1"/>
  <c r="F24" i="10"/>
  <c r="J33" i="6"/>
  <c r="F16" i="1"/>
  <c r="G17" i="10" s="1"/>
  <c r="H17" i="10" s="1"/>
  <c r="J16" i="11" s="1"/>
  <c r="L16" i="11" s="1"/>
  <c r="F15" i="1"/>
  <c r="G15" i="10" s="1"/>
  <c r="H15" i="10" s="1"/>
  <c r="J14" i="11" s="1"/>
  <c r="L14" i="11" s="1"/>
  <c r="F17" i="1"/>
  <c r="G18" i="10" s="1"/>
  <c r="H18" i="10" s="1"/>
  <c r="J17" i="11" s="1"/>
  <c r="L17" i="11" s="1"/>
  <c r="L6" i="2"/>
  <c r="E5" i="2"/>
  <c r="K15" i="2"/>
  <c r="L15" i="2"/>
  <c r="J34" i="6" l="1"/>
  <c r="F25" i="9"/>
  <c r="F26" i="9" s="1"/>
  <c r="F18" i="1"/>
  <c r="G16" i="10" s="1"/>
  <c r="H16" i="10" s="1"/>
  <c r="J15" i="11" s="1"/>
  <c r="L15" i="11" s="1"/>
  <c r="F11" i="1"/>
  <c r="G10" i="10"/>
  <c r="H10" i="10" s="1"/>
  <c r="F11" i="11" s="1"/>
  <c r="L11" i="11" s="1"/>
  <c r="E7" i="11"/>
  <c r="F7" i="11" s="1"/>
  <c r="H9" i="10"/>
  <c r="L18" i="11"/>
  <c r="F25" i="10"/>
  <c r="L33" i="6"/>
  <c r="F5" i="2"/>
  <c r="H27" i="2"/>
  <c r="J27" i="2"/>
  <c r="K5" i="2"/>
  <c r="F27" i="9" l="1"/>
  <c r="F28" i="9" s="1"/>
  <c r="F26" i="10"/>
  <c r="F9" i="11"/>
  <c r="F5" i="11"/>
  <c r="F14" i="1"/>
  <c r="G14" i="10" s="1"/>
  <c r="H14" i="10" s="1"/>
  <c r="J13" i="11" s="1"/>
  <c r="L13" i="11" s="1"/>
  <c r="F13" i="1"/>
  <c r="G13" i="10" s="1"/>
  <c r="F8" i="1"/>
  <c r="K20" i="1" s="1"/>
  <c r="G6" i="10"/>
  <c r="G11" i="10"/>
  <c r="H11" i="10" s="1"/>
  <c r="L34" i="6"/>
  <c r="J39" i="6"/>
  <c r="L5" i="2"/>
  <c r="L27" i="2" s="1"/>
  <c r="F27" i="2"/>
  <c r="F27" i="10" l="1"/>
  <c r="F28" i="10"/>
  <c r="L25" i="10" s="1"/>
  <c r="L27" i="10" s="1"/>
  <c r="F21" i="1"/>
  <c r="G23" i="10" s="1"/>
  <c r="H23" i="10" s="1"/>
  <c r="J22" i="11" s="1"/>
  <c r="L22" i="11" s="1"/>
  <c r="F19" i="1"/>
  <c r="G20" i="10" s="1"/>
  <c r="G8" i="10"/>
  <c r="G7" i="11"/>
  <c r="H6" i="10"/>
  <c r="H13" i="10"/>
  <c r="J12" i="11" s="1"/>
  <c r="L12" i="11" s="1"/>
  <c r="L33" i="11"/>
  <c r="L39" i="6"/>
  <c r="J40" i="6"/>
  <c r="J5" i="6" s="1"/>
  <c r="F33" i="9" l="1"/>
  <c r="F33" i="10"/>
  <c r="J41" i="6"/>
  <c r="H20" i="10"/>
  <c r="J19" i="11" s="1"/>
  <c r="L19" i="11" s="1"/>
  <c r="G24" i="10"/>
  <c r="H24" i="10" s="1"/>
  <c r="F24" i="1"/>
  <c r="K7" i="11"/>
  <c r="H7" i="11"/>
  <c r="H8" i="10"/>
  <c r="L41" i="6"/>
  <c r="L5" i="6"/>
  <c r="L40" i="6"/>
  <c r="F34" i="10" l="1"/>
  <c r="F35" i="10" s="1"/>
  <c r="F37" i="10" s="1"/>
  <c r="F34" i="9"/>
  <c r="F35" i="9" s="1"/>
  <c r="G25" i="10"/>
  <c r="H25" i="10" s="1"/>
  <c r="F25" i="1"/>
  <c r="F26" i="1" s="1"/>
  <c r="G26" i="10" s="1"/>
  <c r="H26" i="10" s="1"/>
  <c r="J23" i="11" s="1"/>
  <c r="L23" i="11" s="1"/>
  <c r="H9" i="11"/>
  <c r="L9" i="11" s="1"/>
  <c r="L7" i="11"/>
  <c r="H5" i="11"/>
  <c r="H27" i="10" l="1"/>
  <c r="J24" i="11" s="1"/>
  <c r="G28" i="10" l="1"/>
  <c r="F28" i="1"/>
  <c r="L24" i="11"/>
  <c r="F29" i="1" l="1"/>
  <c r="F30" i="1" s="1"/>
  <c r="I34" i="1" s="1"/>
  <c r="H28" i="10"/>
  <c r="J25" i="11" s="1"/>
  <c r="G33" i="10"/>
  <c r="G34" i="10" s="1"/>
  <c r="F35" i="1" l="1"/>
  <c r="H34" i="10"/>
  <c r="J31" i="11" s="1"/>
  <c r="L31" i="11" s="1"/>
  <c r="H33" i="10"/>
  <c r="L25" i="11"/>
  <c r="J30" i="11"/>
  <c r="F38" i="1"/>
  <c r="G36" i="1"/>
  <c r="J5" i="11" l="1"/>
  <c r="L5" i="11" s="1"/>
  <c r="G35" i="10"/>
  <c r="J32" i="11"/>
  <c r="L30" i="11"/>
  <c r="G37" i="10" l="1"/>
  <c r="H37" i="10" s="1"/>
  <c r="L32" i="11"/>
  <c r="J34" i="11"/>
  <c r="L34" i="11" s="1"/>
</calcChain>
</file>

<file path=xl/sharedStrings.xml><?xml version="1.0" encoding="utf-8"?>
<sst xmlns="http://schemas.openxmlformats.org/spreadsheetml/2006/main" count="8932" uniqueCount="2548">
  <si>
    <t>가로등, 공원등, 신호등</t>
  </si>
  <si>
    <t>그외</t>
  </si>
  <si>
    <t>공 종 별 집 계 표</t>
  </si>
  <si>
    <t>품      명</t>
  </si>
  <si>
    <t>규      격</t>
  </si>
  <si>
    <t>단위</t>
  </si>
  <si>
    <t>수량</t>
  </si>
  <si>
    <t>재  료  비</t>
  </si>
  <si>
    <t>노  무  비</t>
  </si>
  <si>
    <t>경      비</t>
  </si>
  <si>
    <t>합      계</t>
  </si>
  <si>
    <t>비  고</t>
  </si>
  <si>
    <t>공종코드</t>
  </si>
  <si>
    <t>변수</t>
  </si>
  <si>
    <t>상위공종</t>
  </si>
  <si>
    <t>공종구분</t>
  </si>
  <si>
    <t>공종레벨</t>
  </si>
  <si>
    <t>공종소계</t>
  </si>
  <si>
    <t>원가계산서 연결금액</t>
  </si>
  <si>
    <t>단  가</t>
  </si>
  <si>
    <t>금  액</t>
  </si>
  <si>
    <t>진천 메가폴리스 일반산업단지 조성사업 전기공사</t>
  </si>
  <si>
    <t/>
  </si>
  <si>
    <t>01</t>
  </si>
  <si>
    <t>1. 전기공사</t>
  </si>
  <si>
    <t>0101</t>
  </si>
  <si>
    <t>1.1 가로등설비</t>
  </si>
  <si>
    <t>010101</t>
  </si>
  <si>
    <t>1.2 공원등설비</t>
  </si>
  <si>
    <t>010102</t>
  </si>
  <si>
    <t>1.3 신호등설비</t>
  </si>
  <si>
    <t>010103</t>
  </si>
  <si>
    <t>1.4 주차장 전기설비</t>
  </si>
  <si>
    <t>010104</t>
  </si>
  <si>
    <t>1.4.1 주차장 전력간선설비</t>
  </si>
  <si>
    <t>01010401</t>
  </si>
  <si>
    <t>1.4.2 주차장 조명설비</t>
  </si>
  <si>
    <t>01010402</t>
  </si>
  <si>
    <t>1.5 교통신호제어기 온라인공사</t>
  </si>
  <si>
    <t>010105</t>
  </si>
  <si>
    <t>1.6 공원 CCTV설비</t>
  </si>
  <si>
    <t>010106</t>
  </si>
  <si>
    <t>2. 사급자재비</t>
  </si>
  <si>
    <t>0102</t>
  </si>
  <si>
    <t>3</t>
  </si>
  <si>
    <t>2.1 가로등설비 기자재비</t>
  </si>
  <si>
    <t>010201</t>
  </si>
  <si>
    <t>2.2 공원등설비 기자재비</t>
  </si>
  <si>
    <t>010202</t>
  </si>
  <si>
    <t>2.3 신호등설비 기자재비</t>
  </si>
  <si>
    <t>010203</t>
  </si>
  <si>
    <t>2.4 주차장 전기설비 기자재비</t>
  </si>
  <si>
    <t>010204</t>
  </si>
  <si>
    <t>2.4.1 주차장 전력간선설비 기자재비</t>
  </si>
  <si>
    <t>01020401</t>
  </si>
  <si>
    <t>2.4.2 주차장 조명설비 기자재비</t>
  </si>
  <si>
    <t>01020402</t>
  </si>
  <si>
    <t>2.5 공원 CCTV설비 기자재비</t>
  </si>
  <si>
    <t>010205</t>
  </si>
  <si>
    <t>3. 수탁비</t>
  </si>
  <si>
    <t>0103</t>
  </si>
  <si>
    <t>5</t>
  </si>
  <si>
    <t>[ 합           계 ]</t>
  </si>
  <si>
    <t>품목코드</t>
  </si>
  <si>
    <t>설정</t>
  </si>
  <si>
    <t>일위</t>
  </si>
  <si>
    <t>단산</t>
  </si>
  <si>
    <t>자재</t>
  </si>
  <si>
    <t>손료적용</t>
  </si>
  <si>
    <t>손료저장</t>
  </si>
  <si>
    <t>적용율</t>
  </si>
  <si>
    <t>JUK1</t>
  </si>
  <si>
    <t>JUK2</t>
  </si>
  <si>
    <t>JUK3</t>
  </si>
  <si>
    <t>JUK4</t>
  </si>
  <si>
    <t>JUK5</t>
  </si>
  <si>
    <t>JUK6</t>
  </si>
  <si>
    <t>JUK7</t>
  </si>
  <si>
    <t>JUK8</t>
  </si>
  <si>
    <t>JUK9</t>
  </si>
  <si>
    <t>JUK10</t>
  </si>
  <si>
    <t>JUK11</t>
  </si>
  <si>
    <t>JUK12</t>
  </si>
  <si>
    <t>JUK13</t>
  </si>
  <si>
    <t>JUK14</t>
  </si>
  <si>
    <t>JUK15</t>
  </si>
  <si>
    <t>JUK16</t>
  </si>
  <si>
    <t>JUK17</t>
  </si>
  <si>
    <t>JUK18</t>
  </si>
  <si>
    <t>JUK19</t>
  </si>
  <si>
    <t>JUK20</t>
  </si>
  <si>
    <t>자재구분</t>
  </si>
  <si>
    <t>공종+자재</t>
  </si>
  <si>
    <t>고유번호</t>
  </si>
  <si>
    <t>폴리에틸렌 전선관-지중매입 가로/신호등</t>
  </si>
  <si>
    <t>PE  28㎜</t>
  </si>
  <si>
    <t>M</t>
  </si>
  <si>
    <t>호표 45</t>
  </si>
  <si>
    <t>53A91303286374986FE7050F73DB0C</t>
  </si>
  <si>
    <t>T</t>
  </si>
  <si>
    <t>F</t>
  </si>
  <si>
    <t>01010153A91303286374986FE7050F73DB0C</t>
  </si>
  <si>
    <t>PE  36㎜</t>
  </si>
  <si>
    <t>호표 46</t>
  </si>
  <si>
    <t>53A91303286374986FE7050F73DA65</t>
  </si>
  <si>
    <t>01010153A91303286374986FE7050F73DA65</t>
  </si>
  <si>
    <t>PE  42㎜</t>
  </si>
  <si>
    <t>호표 47</t>
  </si>
  <si>
    <t>53A91303286374986FE7050F73D95E</t>
  </si>
  <si>
    <t>01010153A91303286374986FE7050F73D95E</t>
  </si>
  <si>
    <t>PE 100㎜</t>
  </si>
  <si>
    <t>호표 51</t>
  </si>
  <si>
    <t>53A91303286374986FE7050F7238BE</t>
  </si>
  <si>
    <t>01010153A91303286374986FE7050F7238BE</t>
  </si>
  <si>
    <t>0.6/1kV 난연 전력 케이블(F-CV)-등주내배선</t>
  </si>
  <si>
    <t>2C 2.5㎟</t>
  </si>
  <si>
    <t>m</t>
  </si>
  <si>
    <t>호표 62</t>
  </si>
  <si>
    <t>53A91303286146836D538707D24684</t>
  </si>
  <si>
    <t>01010153A91303286146836D538707D24684</t>
  </si>
  <si>
    <t>0.6/1kV 난연 전력 케이블(F-CV)-2열가로/신호등</t>
  </si>
  <si>
    <t>1C 6㎟</t>
  </si>
  <si>
    <t>호표 58</t>
  </si>
  <si>
    <t>53A91303286146836D53BC0EA53FC4</t>
  </si>
  <si>
    <t>01010153A91303286146836D53BC0EA53FC4</t>
  </si>
  <si>
    <t>0.6/1kV 난연 전력 케이블(F-CV)-4열가로/신호등</t>
  </si>
  <si>
    <t>호표 60</t>
  </si>
  <si>
    <t>53A91303286146836D53BC0D9ECEB3</t>
  </si>
  <si>
    <t>01010153A91303286146836D53BC0D9ECEB3</t>
  </si>
  <si>
    <t>1C 10㎟</t>
  </si>
  <si>
    <t>호표 61</t>
  </si>
  <si>
    <t>53A91303286146836D53BC0D9ECF5A</t>
  </si>
  <si>
    <t>01010153A91303286146836D53BC0D9ECF5A</t>
  </si>
  <si>
    <t>0.6/1kV 난연 전력 케이블(F-CV)-가로/신호등</t>
  </si>
  <si>
    <t>2C 16㎟</t>
  </si>
  <si>
    <t>호표 64</t>
  </si>
  <si>
    <t>53A91303286146836D5387041ED84D</t>
  </si>
  <si>
    <t>01010153A91303286146836D5387041ED84D</t>
  </si>
  <si>
    <t>2C 25㎟</t>
  </si>
  <si>
    <t>호표 65</t>
  </si>
  <si>
    <t>53A91303286146836D5387041ED954</t>
  </si>
  <si>
    <t>01010153A91303286146836D5387041ED954</t>
  </si>
  <si>
    <t>난연 비닐 절연 접지용전선(F-GV)</t>
  </si>
  <si>
    <t>0.6/1kV  6㎟</t>
  </si>
  <si>
    <t>호표 52</t>
  </si>
  <si>
    <t>53A913032860A03F6C74A20C8B1E1B</t>
  </si>
  <si>
    <t>01010153A913032860A03F6C74A20C8B1E1B</t>
  </si>
  <si>
    <t>터미널</t>
  </si>
  <si>
    <t>압착단자, 터미널, 16㎟</t>
  </si>
  <si>
    <t>개</t>
  </si>
  <si>
    <t>호표 85</t>
  </si>
  <si>
    <t>53A91303286B4AD36052AE0839886A</t>
  </si>
  <si>
    <t>01010153A91303286B4AD36052AE0839886A</t>
  </si>
  <si>
    <t>가로등주 설치</t>
  </si>
  <si>
    <t>8M</t>
  </si>
  <si>
    <t>개소</t>
  </si>
  <si>
    <t>호표 27</t>
  </si>
  <si>
    <t>53A9130328626DAA68276903798160</t>
  </si>
  <si>
    <t>01010153A9130328626DAA68276903798160</t>
  </si>
  <si>
    <t>보안등주 설치</t>
  </si>
  <si>
    <t>5M</t>
  </si>
  <si>
    <t>호표 28</t>
  </si>
  <si>
    <t>53A9130328626DAA68276903798162</t>
  </si>
  <si>
    <t>01010153A9130328626DAA68276903798162</t>
  </si>
  <si>
    <t>가로등기구 설치</t>
  </si>
  <si>
    <t>LED 100W</t>
  </si>
  <si>
    <t>EA</t>
  </si>
  <si>
    <t>호표 33</t>
  </si>
  <si>
    <t>53A9130328626DAA6827690378FF13</t>
  </si>
  <si>
    <t>01010153A9130328626DAA6827690378FF13</t>
  </si>
  <si>
    <t>보안등기구 설치</t>
  </si>
  <si>
    <t>LED 50W</t>
  </si>
  <si>
    <t>호표 34</t>
  </si>
  <si>
    <t>53A9130328626DAA6827690378FF17</t>
  </si>
  <si>
    <t>01010153A9130328626DAA6827690378FF17</t>
  </si>
  <si>
    <t>보행등기구 설치</t>
  </si>
  <si>
    <t>호표 36</t>
  </si>
  <si>
    <t>53A9130328626DAA6827690378FF19</t>
  </si>
  <si>
    <t>01010153A9130328626DAA6827690378FF19</t>
  </si>
  <si>
    <t>가로등기초(8m)</t>
  </si>
  <si>
    <t>직각형(500*750*1000*1000)</t>
  </si>
  <si>
    <t>호표 17</t>
  </si>
  <si>
    <t>53A9130328626DA86D49FE0D513F88</t>
  </si>
  <si>
    <t>01010153A9130328626DA86D49FE0D513F88</t>
  </si>
  <si>
    <t>보안등기초(5m)</t>
  </si>
  <si>
    <t>직각형(500*675*850*700)</t>
  </si>
  <si>
    <t>호표 18</t>
  </si>
  <si>
    <t>53A9130328626DA86D49FE0D513F89</t>
  </si>
  <si>
    <t>01010153A9130328626DA86D49FE0D513F89</t>
  </si>
  <si>
    <t>택지용 보안등기초(현장타설)</t>
  </si>
  <si>
    <t>(150+375)*600*200</t>
  </si>
  <si>
    <t>호표 15</t>
  </si>
  <si>
    <t>53A9130328626DA86D49FE0D513961</t>
  </si>
  <si>
    <t>01010153A9130328626DA86D49FE0D513961</t>
  </si>
  <si>
    <t>분전반 설치</t>
  </si>
  <si>
    <t>4회로</t>
  </si>
  <si>
    <t>호표 25</t>
  </si>
  <si>
    <t>53A9130328626DAB6A87B30846F9AE</t>
  </si>
  <si>
    <t>01010153A9130328626DAB6A87B30846F9AE</t>
  </si>
  <si>
    <t>제어반기초</t>
  </si>
  <si>
    <t>정방형, 500*800*700</t>
  </si>
  <si>
    <t>호표 14</t>
  </si>
  <si>
    <t>53A9130328626DA86D49FE0D513853</t>
  </si>
  <si>
    <t>01010153A9130328626DA86D49FE0D513853</t>
  </si>
  <si>
    <t>관로굴착 (일반)</t>
  </si>
  <si>
    <t>400Wx600Wx750D</t>
  </si>
  <si>
    <t>호표 10</t>
  </si>
  <si>
    <t>53A9130328626DA86D4994044EE4F2</t>
  </si>
  <si>
    <t>01010153A9130328626DA86D4994044EE4F2</t>
  </si>
  <si>
    <t>관로굴착 (도로)</t>
  </si>
  <si>
    <t>400Wx800Wx1150D</t>
  </si>
  <si>
    <t>호표 11</t>
  </si>
  <si>
    <t>53A9130328626DA86D4994044EE746</t>
  </si>
  <si>
    <t>01010153A9130328626DA86D4994044EE746</t>
  </si>
  <si>
    <t>맨홀(가로등용)</t>
  </si>
  <si>
    <t>800*800*800</t>
  </si>
  <si>
    <t>호표 82</t>
  </si>
  <si>
    <t>53A91303286B4AD16574EA00799CFB</t>
  </si>
  <si>
    <t>01010153A91303286B4AD16574EA00799CFB</t>
  </si>
  <si>
    <t>분전함 표찰</t>
  </si>
  <si>
    <t>SUS</t>
  </si>
  <si>
    <t>호표 40</t>
  </si>
  <si>
    <t>53A9130328626DAA682769037D7FBD</t>
  </si>
  <si>
    <t>01010153A9130328626DAA682769037D7FBD</t>
  </si>
  <si>
    <t>가로등 표찰</t>
  </si>
  <si>
    <t>SUS 밴드식</t>
  </si>
  <si>
    <t>호표 38</t>
  </si>
  <si>
    <t>53A9130328626DAA682769037D7D8F</t>
  </si>
  <si>
    <t>01010153A9130328626DAA682769037D7D8F</t>
  </si>
  <si>
    <t>디밍제어기(컨버터) 설치</t>
  </si>
  <si>
    <t>등주용</t>
  </si>
  <si>
    <t>호표 41</t>
  </si>
  <si>
    <t>53A9130328626DAA682769037D7FB8</t>
  </si>
  <si>
    <t>01010153A9130328626DAA682769037D7FB8</t>
  </si>
  <si>
    <t>방수형 접속함</t>
  </si>
  <si>
    <t>ELB 방수형</t>
  </si>
  <si>
    <t>호표 37</t>
  </si>
  <si>
    <t>53A9130328626DAA682769037AA911</t>
  </si>
  <si>
    <t>01010153A9130328626DAA682769037AA911</t>
  </si>
  <si>
    <t>BY-PASS용</t>
  </si>
  <si>
    <t>54C3432D206059FB6015D20D6D8D83753D2032</t>
  </si>
  <si>
    <t>01010154C3432D206059FB6015D20D6D8D83753D2032</t>
  </si>
  <si>
    <t>한전인입</t>
  </si>
  <si>
    <t>저압</t>
  </si>
  <si>
    <t>호표 24</t>
  </si>
  <si>
    <t>53A9130328626DA86D49EC0647538E</t>
  </si>
  <si>
    <t>01010153A9130328626DA86D49EC0647538E</t>
  </si>
  <si>
    <t>TOTAL</t>
  </si>
  <si>
    <t>01010253A91303286374986FE7050F73DB0C</t>
  </si>
  <si>
    <t>01010253A91303286374986FE7050F73DA65</t>
  </si>
  <si>
    <t>01010253A91303286146836D538707D24684</t>
  </si>
  <si>
    <t>01010253A91303286146836D53BC0EA53FC4</t>
  </si>
  <si>
    <t>01010253A91303286146836D53BC0D9ECEB3</t>
  </si>
  <si>
    <t>1C 16㎟</t>
  </si>
  <si>
    <t>호표 59</t>
  </si>
  <si>
    <t>53A91303286146836D53BC0EA53D17</t>
  </si>
  <si>
    <t>01010253A91303286146836D53BC0EA53D17</t>
  </si>
  <si>
    <t>01010253A913032860A03F6C74A20C8B1E1B</t>
  </si>
  <si>
    <t>01010253A91303286B4AD36052AE0839886A</t>
  </si>
  <si>
    <t>공원등주 설치</t>
  </si>
  <si>
    <t>5M 1등용</t>
  </si>
  <si>
    <t>호표 29</t>
  </si>
  <si>
    <t>53A9130328626DAA68276903798163</t>
  </si>
  <si>
    <t>01010253A9130328626DAA68276903798163</t>
  </si>
  <si>
    <t>공원등기구 설치</t>
  </si>
  <si>
    <t>호표 35</t>
  </si>
  <si>
    <t>53A9130328626DAA6827690378FF18</t>
  </si>
  <si>
    <t>01010253A9130328626DAA6827690378FF18</t>
  </si>
  <si>
    <t>공원등기초(5m)</t>
  </si>
  <si>
    <t>호표 19</t>
  </si>
  <si>
    <t>53A9130328626DA86D49FE0D513F8E</t>
  </si>
  <si>
    <t>01010253A9130328626DA86D49FE0D513F8E</t>
  </si>
  <si>
    <t>01010253A9130328626DAB6A87B30846F9AE</t>
  </si>
  <si>
    <t>01010253A9130328626DA86D49FE0D513853</t>
  </si>
  <si>
    <t>01010253A9130328626DA86D4994044EE4F2</t>
  </si>
  <si>
    <t>01010253A91303286B4AD16574EA00799CFB</t>
  </si>
  <si>
    <t>01010253A9130328626DAA682769037D7FBD</t>
  </si>
  <si>
    <t>공원등 표찰</t>
  </si>
  <si>
    <t>호표 39</t>
  </si>
  <si>
    <t>53A9130328626DAA682769037D7CE8</t>
  </si>
  <si>
    <t>01010253A9130328626DAA682769037D7CE8</t>
  </si>
  <si>
    <t>01010253A9130328626DAA682769037D7FB8</t>
  </si>
  <si>
    <t>01010253A9130328626DAA682769037AA911</t>
  </si>
  <si>
    <t>01010254C3432D206059FB6015D20D6D8D83753D2032</t>
  </si>
  <si>
    <t>01010253A9130328626DA86D49EC0647538E</t>
  </si>
  <si>
    <t>01010353A91303286374986FE7050F73DB0C</t>
  </si>
  <si>
    <t>01010353A91303286374986FE7050F73DA65</t>
  </si>
  <si>
    <t>PE  54㎜</t>
  </si>
  <si>
    <t>호표 48</t>
  </si>
  <si>
    <t>53A91303286374986FE7050F73D8B7</t>
  </si>
  <si>
    <t>01010353A91303286374986FE7050F73D8B7</t>
  </si>
  <si>
    <t>PE  70㎜</t>
  </si>
  <si>
    <t>호표 49</t>
  </si>
  <si>
    <t>53A91303286374986FE7050F73D791</t>
  </si>
  <si>
    <t>01010353A91303286374986FE7050F73D791</t>
  </si>
  <si>
    <t>PE  82㎜</t>
  </si>
  <si>
    <t>호표 50</t>
  </si>
  <si>
    <t>53A91303286374986FE7050F73D68A</t>
  </si>
  <si>
    <t>01010353A91303286374986FE7050F73D68A</t>
  </si>
  <si>
    <t>01010353A91303286374986FE7050F7238BE</t>
  </si>
  <si>
    <t>01010353A91303286146836D538707D24684</t>
  </si>
  <si>
    <t>0.6/1kV 트레이용 절연난연 제어용케이블(F-CVV)</t>
  </si>
  <si>
    <t>5C 2.5㎟</t>
  </si>
  <si>
    <t>호표 66</t>
  </si>
  <si>
    <t>53A91303286147A66036F9053D12F9</t>
  </si>
  <si>
    <t>01010353A91303286147A66036F9053D12F9</t>
  </si>
  <si>
    <t>01010353A91303286146836D53BC0EA53FC4</t>
  </si>
  <si>
    <t>01010353A91303286146836D53BC0D9ECEB3</t>
  </si>
  <si>
    <t>01010353A91303286146836D5387041ED84D</t>
  </si>
  <si>
    <t>UTP 케이블</t>
  </si>
  <si>
    <t>UTP Cat.5E, 4P</t>
  </si>
  <si>
    <t>호표 88</t>
  </si>
  <si>
    <t>53A913012D6745296D6C74021B9936</t>
  </si>
  <si>
    <t>01010353A913012D6745296D6C74021B9936</t>
  </si>
  <si>
    <t>01010353A913032860A03F6C74A20C8B1E1B</t>
  </si>
  <si>
    <t>01010353A9130328626DA86D4994044EE4F2</t>
  </si>
  <si>
    <t>01010353A9130328626DA86D4994044EE746</t>
  </si>
  <si>
    <t>보행등철주 설치</t>
  </si>
  <si>
    <t>ø125*4m</t>
  </si>
  <si>
    <t>본</t>
  </si>
  <si>
    <t>호표 77</t>
  </si>
  <si>
    <t>53A91303286B4AD16574EA00799AC2</t>
  </si>
  <si>
    <t>01010353A91303286B4AD16574EA00799AC2</t>
  </si>
  <si>
    <t>신호등철주 설치</t>
  </si>
  <si>
    <t>ø250*8m, 부착대 5m</t>
  </si>
  <si>
    <t>호표 78</t>
  </si>
  <si>
    <t>53A91303286B4AD16574EA00799AC3</t>
  </si>
  <si>
    <t>01010353A91303286B4AD16574EA00799AC3</t>
  </si>
  <si>
    <t>ø250*8m, 부착대 7m</t>
  </si>
  <si>
    <t>호표 79</t>
  </si>
  <si>
    <t>53A91303286B4AD16574EA00799AC1</t>
  </si>
  <si>
    <t>01010353A91303286B4AD16574EA00799AC1</t>
  </si>
  <si>
    <t>ø250*8m, 부착대 9m</t>
  </si>
  <si>
    <t>호표 80</t>
  </si>
  <si>
    <t>53A91303286B4AD16574EA00799ACE</t>
  </si>
  <si>
    <t>01010353A91303286B4AD16574EA00799ACE</t>
  </si>
  <si>
    <t>차량철주기초 125Φ</t>
  </si>
  <si>
    <t>450*600*800</t>
  </si>
  <si>
    <t>호표 84</t>
  </si>
  <si>
    <t>53A91303286B4AD16574EA00799D9F</t>
  </si>
  <si>
    <t>01010353A91303286B4AD16574EA00799D9F</t>
  </si>
  <si>
    <t>차량철주기초 250Φ</t>
  </si>
  <si>
    <t>700*1200*1800</t>
  </si>
  <si>
    <t>호표 83</t>
  </si>
  <si>
    <t>53A91303286B4AD16574EA00799D99</t>
  </si>
  <si>
    <t>01010353A91303286B4AD16574EA00799D99</t>
  </si>
  <si>
    <t>교통신호등 설치</t>
  </si>
  <si>
    <t>1면 4색</t>
  </si>
  <si>
    <t>호표 71</t>
  </si>
  <si>
    <t>53A91303286B4AD16574EA00799938</t>
  </si>
  <si>
    <t>01010353A91303286B4AD16574EA00799938</t>
  </si>
  <si>
    <t>1면 3색</t>
  </si>
  <si>
    <t>호표 72</t>
  </si>
  <si>
    <t>53A91303286B4AD16574EA00799937</t>
  </si>
  <si>
    <t>01010353A91303286B4AD16574EA00799937</t>
  </si>
  <si>
    <t>1면 2색(보행등)</t>
  </si>
  <si>
    <t>호표 73</t>
  </si>
  <si>
    <t>53A91303286B4AD16574EA00799936</t>
  </si>
  <si>
    <t>01010353A91303286B4AD16574EA00799936</t>
  </si>
  <si>
    <t>시각장애인용음향신호기설치</t>
  </si>
  <si>
    <t>대</t>
  </si>
  <si>
    <t>호표 75</t>
  </si>
  <si>
    <t>53A91303286B4AD16574EA00799AC7</t>
  </si>
  <si>
    <t>01010353A91303286B4AD16574EA00799AC7</t>
  </si>
  <si>
    <t>보행잔여시간표시기설치</t>
  </si>
  <si>
    <t>숫자형</t>
  </si>
  <si>
    <t>호표 74</t>
  </si>
  <si>
    <t>53A91303286B4AD16574EA00799AC6</t>
  </si>
  <si>
    <t>01010353A91303286B4AD16574EA00799AC6</t>
  </si>
  <si>
    <t>교통신호제어기 설치</t>
  </si>
  <si>
    <t>호표 76</t>
  </si>
  <si>
    <t>53A91303286B4AD16574EA00799AC4</t>
  </si>
  <si>
    <t>01010353A91303286B4AD16574EA00799AC4</t>
  </si>
  <si>
    <t>01010353A9130328626DA86D49FE0D513853</t>
  </si>
  <si>
    <t>맨홀(신호등용)</t>
  </si>
  <si>
    <t>호표 81</t>
  </si>
  <si>
    <t>53A91303286B4AD16574EA00799CF5</t>
  </si>
  <si>
    <t>01010353A91303286B4AD16574EA00799CF5</t>
  </si>
  <si>
    <t>통합폴 설치</t>
  </si>
  <si>
    <t>호표 31</t>
  </si>
  <si>
    <t>53A9130328626DAA682769037986E0</t>
  </si>
  <si>
    <t>01010353A9130328626DAA682769037986E0</t>
  </si>
  <si>
    <t>통합폴 점멸기 설치</t>
  </si>
  <si>
    <t>GPS</t>
  </si>
  <si>
    <t>호표 32</t>
  </si>
  <si>
    <t>53A9130328626DAA682769037986E4</t>
  </si>
  <si>
    <t>01010353A9130328626DAA682769037986E4</t>
  </si>
  <si>
    <t>01010353A9130328626DAA6827690378FF13</t>
  </si>
  <si>
    <t>01010353A9130328626DA86D49EC0647538E</t>
  </si>
  <si>
    <t>폴리에틸렌 전선관-지중매입</t>
  </si>
  <si>
    <t>호표 42</t>
  </si>
  <si>
    <t>53A91303286374986FE7050E6CE9B4</t>
  </si>
  <si>
    <t>0101040153A91303286374986FE7050E6CE9B4</t>
  </si>
  <si>
    <t>호표 43</t>
  </si>
  <si>
    <t>53A91303286374986FE7050E6CEA5B</t>
  </si>
  <si>
    <t>0101040153A91303286374986FE7050E6CEA5B</t>
  </si>
  <si>
    <t>호표 44</t>
  </si>
  <si>
    <t>53A91303286374986FE7050E6DF401</t>
  </si>
  <si>
    <t>0101040153A91303286374986FE7050E6DF401</t>
  </si>
  <si>
    <t>0.6/1kV 난연 전력 케이블(F-CV)-2열</t>
  </si>
  <si>
    <t>호표 54</t>
  </si>
  <si>
    <t>53A91303286146836D53BC092326A1</t>
  </si>
  <si>
    <t>0101040153A91303286146836D53BC092326A1</t>
  </si>
  <si>
    <t>호표 55</t>
  </si>
  <si>
    <t>53A91303286146836D53BC092324F3</t>
  </si>
  <si>
    <t>0101040153A91303286146836D53BC092324F3</t>
  </si>
  <si>
    <t>0.6/1kV 난연 전력 케이블(F-CV)-4열</t>
  </si>
  <si>
    <t>1C 35㎟</t>
  </si>
  <si>
    <t>호표 56</t>
  </si>
  <si>
    <t>53A91303286146836D53BC0F4B97D9</t>
  </si>
  <si>
    <t>0101040153A91303286146836D53BC0F4B97D9</t>
  </si>
  <si>
    <t>1C 240㎟</t>
  </si>
  <si>
    <t>호표 57</t>
  </si>
  <si>
    <t>53A91303286146836D53BC0F4AFD26</t>
  </si>
  <si>
    <t>0101040153A91303286146836D53BC0F4AFD26</t>
  </si>
  <si>
    <t>0101040153A913032860A03F6C74A20C8B1E1B</t>
  </si>
  <si>
    <t>0.6/1kV  25㎟</t>
  </si>
  <si>
    <t>호표 53</t>
  </si>
  <si>
    <t>53A913032860A03F6C74A20C8B1B47</t>
  </si>
  <si>
    <t>0101040153A913032860A03F6C74A20C8B1B47</t>
  </si>
  <si>
    <t>0101040153A91303286B4AD36052AE0839886A</t>
  </si>
  <si>
    <t>압착단자, 터미널, 35㎟</t>
  </si>
  <si>
    <t>호표 86</t>
  </si>
  <si>
    <t>53A91303286B4AD36052AE08398A17</t>
  </si>
  <si>
    <t>0101040153A91303286B4AD36052AE08398A17</t>
  </si>
  <si>
    <t>압착단자, 터미널, 240㎟</t>
  </si>
  <si>
    <t>호표 87</t>
  </si>
  <si>
    <t>53A91303286B4AD36052AE0838E3AD</t>
  </si>
  <si>
    <t>0101040153A91303286B4AD36052AE0838E3AD</t>
  </si>
  <si>
    <t>전기충전기 분전반 설치</t>
  </si>
  <si>
    <t>호표 26</t>
  </si>
  <si>
    <t>53A9130328626DAB6A87B30846FE2C</t>
  </si>
  <si>
    <t>0101040153A9130328626DAB6A87B30846FE2C</t>
  </si>
  <si>
    <t>전기충전기분전반 기초</t>
  </si>
  <si>
    <t>1000*400*200</t>
  </si>
  <si>
    <t>호표 21</t>
  </si>
  <si>
    <t>53A9130328626DA86D49FE0D5133D9</t>
  </si>
  <si>
    <t>0101040153A9130328626DA86D49FE0D5133D9</t>
  </si>
  <si>
    <t>급속충전기 패드 기초</t>
  </si>
  <si>
    <t>2100*1400*200</t>
  </si>
  <si>
    <t>호표 22</t>
  </si>
  <si>
    <t>53A9130328626DA86D49FE0D501406</t>
  </si>
  <si>
    <t>0101040153A9130328626DA86D49FE0D501406</t>
  </si>
  <si>
    <t>완속충전기 패드 기초</t>
  </si>
  <si>
    <t>1000*750*200</t>
  </si>
  <si>
    <t>호표 23</t>
  </si>
  <si>
    <t>53A9130328626DA86D49FE0D501403</t>
  </si>
  <si>
    <t>0101040153A9130328626DA86D49FE0D501403</t>
  </si>
  <si>
    <t>0101040153A9130328626DAA682769037D7FBD</t>
  </si>
  <si>
    <t>풀박스(벽면)-노출</t>
  </si>
  <si>
    <t>150X150X100</t>
  </si>
  <si>
    <t>호표 69</t>
  </si>
  <si>
    <t>53A91303286B4AD56321C407A1652E</t>
  </si>
  <si>
    <t>0101040153A91303286B4AD56321C407A1652E</t>
  </si>
  <si>
    <t>400X400X200</t>
  </si>
  <si>
    <t>호표 70</t>
  </si>
  <si>
    <t>53A91303286B4AD56321C407A05C0F</t>
  </si>
  <si>
    <t>0101040153A91303286B4AD56321C407A05C0F</t>
  </si>
  <si>
    <t>0101040153A9130328626DA86D4994044EE4F2</t>
  </si>
  <si>
    <t>맨홀</t>
  </si>
  <si>
    <t>600*600*600</t>
  </si>
  <si>
    <t>호표 12</t>
  </si>
  <si>
    <t>53A9130328626DA86D498B0DFB9E63</t>
  </si>
  <si>
    <t>0101040153A9130328626DA86D498B0DFB9E63</t>
  </si>
  <si>
    <t>0101040153A9130328626DA86D49EC0647538E</t>
  </si>
  <si>
    <t>0101040253A91303286374986FE7050F73DB0C</t>
  </si>
  <si>
    <t>0101040253A91303286374986FE7050F73DA65</t>
  </si>
  <si>
    <t>0101040253A91303286146836D538707D24684</t>
  </si>
  <si>
    <t>0101040253A91303286146836D53BC0EA53FC4</t>
  </si>
  <si>
    <t>0101040253A91303286146836D53BC0D9ECEB3</t>
  </si>
  <si>
    <t>0101040253A91303286146836D53BC0EA53D17</t>
  </si>
  <si>
    <t>0101040253A913032860A03F6C74A20C8B1E1B</t>
  </si>
  <si>
    <t>0101040253A91303286B4AD36052AE0839886A</t>
  </si>
  <si>
    <t>0101040253A9130328626DAA68276903798163</t>
  </si>
  <si>
    <t>5M 2등용</t>
  </si>
  <si>
    <t>호표 30</t>
  </si>
  <si>
    <t>53A9130328626DAA68276903798165</t>
  </si>
  <si>
    <t>0101040253A9130328626DAA68276903798165</t>
  </si>
  <si>
    <t>0101040253A9130328626DAA6827690378FF18</t>
  </si>
  <si>
    <t>0101040253A9130328626DA86D49FE0D513F8E</t>
  </si>
  <si>
    <t>0101040253A9130328626DAB6A87B30846F9AE</t>
  </si>
  <si>
    <t>0101040253A9130328626DA86D49FE0D513853</t>
  </si>
  <si>
    <t>0101040253A9130328626DA86D4994044EE4F2</t>
  </si>
  <si>
    <t>0101040253A91303286B4AD16574EA00799CFB</t>
  </si>
  <si>
    <t>0101040253A9130328626DAA682769037D7FBD</t>
  </si>
  <si>
    <t>0101040253A9130328626DAA682769037D7FB8</t>
  </si>
  <si>
    <t>0101040253A9130328626DAA682769037D7CE8</t>
  </si>
  <si>
    <t>0101040253A9130328626DAA682769037AA911</t>
  </si>
  <si>
    <t>0101040254C3432D206059FB6015D20D6D8D83753D2032</t>
  </si>
  <si>
    <t>0101040253A9130328626DA86D49EC0647538E</t>
  </si>
  <si>
    <t>신호ROM DB입력 및 BIN파일 수정</t>
  </si>
  <si>
    <t>신호DB입력,긴급차량우선신호-현장</t>
  </si>
  <si>
    <t>식</t>
  </si>
  <si>
    <t>호표 91</t>
  </si>
  <si>
    <t>53A913012D63EAF5622511083AC10D</t>
  </si>
  <si>
    <t>01010553A913012D63EAF5622511083AC10D</t>
  </si>
  <si>
    <t>무선LTE 모뎀 설치</t>
  </si>
  <si>
    <t>보안유저 COPY 무선LTE-현장</t>
  </si>
  <si>
    <t>호표 90</t>
  </si>
  <si>
    <t>53A913012D63EAF5622511083AC213</t>
  </si>
  <si>
    <t>01010553A913012D63EAF5622511083AC213</t>
  </si>
  <si>
    <t>신호제어서버 네트워크 트래픽 확장(증설)</t>
  </si>
  <si>
    <t>VPN,긴급차량신호,시스템오류검사-센터</t>
  </si>
  <si>
    <t>호표 92</t>
  </si>
  <si>
    <t>53A913012D63EAF5622511083AC066</t>
  </si>
  <si>
    <t>01010553A913012D63EAF5622511083AC066</t>
  </si>
  <si>
    <t>데이터베이스 구축-신호</t>
  </si>
  <si>
    <t>MMI전도,신호DB,무선통신S/W,신호DB-센터</t>
  </si>
  <si>
    <t>호표 93</t>
  </si>
  <si>
    <t>53A913012D63EAF5622511083AC795</t>
  </si>
  <si>
    <t>01010553A913012D63EAF5622511083AC795</t>
  </si>
  <si>
    <t>정위치편집-MMI전도 수정</t>
  </si>
  <si>
    <t>운영자MMI</t>
  </si>
  <si>
    <t>km</t>
  </si>
  <si>
    <t>호표 94</t>
  </si>
  <si>
    <t>53A913012D63EAF5622511083AC68E</t>
  </si>
  <si>
    <t>01010553A913012D63EAF5622511083AC68E</t>
  </si>
  <si>
    <t>01010653A91303286374986FE7050E6CE9B4</t>
  </si>
  <si>
    <t>0.6/1kV 난연 전력 케이블(F-CV)</t>
  </si>
  <si>
    <t>2C 6㎟</t>
  </si>
  <si>
    <t>호표 63</t>
  </si>
  <si>
    <t>53A91303286146836D538707D2407B</t>
  </si>
  <si>
    <t>01010653A91303286146836D538707D2407B</t>
  </si>
  <si>
    <t>01010653A913032860A03F6C74A20C8B1E1B</t>
  </si>
  <si>
    <t>광케이블</t>
  </si>
  <si>
    <t>F/O SM 16CORE</t>
  </si>
  <si>
    <t>호표 89</t>
  </si>
  <si>
    <t>53A913012D6745296D6C74021B9932</t>
  </si>
  <si>
    <t>01010653A913012D6745296D6C74021B9932</t>
  </si>
  <si>
    <t>01010653A9130328626DA86D4994044EE4F2</t>
  </si>
  <si>
    <t>CCTV POLE 기초</t>
  </si>
  <si>
    <t>정방형(500*800*700)</t>
  </si>
  <si>
    <t>호표 16</t>
  </si>
  <si>
    <t>53A9130328626DA86D49FE0D513EE5</t>
  </si>
  <si>
    <t>01010653A9130328626DA86D49FE0D513EE5</t>
  </si>
  <si>
    <t>접지봉 (단독)</t>
  </si>
  <si>
    <t>16Φ×1800 mm -3EA</t>
  </si>
  <si>
    <t>호표 68</t>
  </si>
  <si>
    <t>53A913032867EFA2666C6F0A20F204</t>
  </si>
  <si>
    <t>01010653A913032867EFA2666C6F0A20F204</t>
  </si>
  <si>
    <t>철재 가로등주</t>
  </si>
  <si>
    <t>H:8M, ARM:1.5M</t>
  </si>
  <si>
    <t>54C3432D206059F864EB8A0A14AF9C646C5FB2</t>
  </si>
  <si>
    <t>01020154C3432D206059F864EB8A0A14AF9C646C5FB2</t>
  </si>
  <si>
    <t>STS 보조암대</t>
  </si>
  <si>
    <t>1M이하</t>
  </si>
  <si>
    <t>54C3432D206059F864EB8A0A14AF9C646C5FBC</t>
  </si>
  <si>
    <t>01020154C3432D206059F864EB8A0A14AF9C646C5FBC</t>
  </si>
  <si>
    <t>철재 보안등주</t>
  </si>
  <si>
    <t>H:5M</t>
  </si>
  <si>
    <t>54C3432D206059F864EB8A0A14AF9C646C5FB3</t>
  </si>
  <si>
    <t>01020154C3432D206059F864EB8A0A14AF9C646C5FB3</t>
  </si>
  <si>
    <t>베이스커버</t>
  </si>
  <si>
    <t>가로등용</t>
  </si>
  <si>
    <t>54C3432D206059F864EB8A0A14AF9C646C5FBD</t>
  </si>
  <si>
    <t>01020154C3432D206059F864EB8A0A14AF9C646C5FBD</t>
  </si>
  <si>
    <t>공원등용</t>
  </si>
  <si>
    <t>54C3432D206059F864EB8A0A14AF9C646C5EAD</t>
  </si>
  <si>
    <t>01020154C3432D206059F864EB8A0A14AF9C646C5EAD</t>
  </si>
  <si>
    <t>배너걸이</t>
  </si>
  <si>
    <t>54C3432D206059F864EB8A0A14AF9C646C5EAC</t>
  </si>
  <si>
    <t>01020154C3432D206059F864EB8A0A14AF9C646C5EAC</t>
  </si>
  <si>
    <t>가로등기구</t>
  </si>
  <si>
    <t>54C3432D206059FB6015D20D6D8D83753C1AE7</t>
  </si>
  <si>
    <t>01020154C3432D206059FB6015D20D6D8D83753C1AE7</t>
  </si>
  <si>
    <t>보안등기구</t>
  </si>
  <si>
    <t>54C3432D206059FB6015D20D6D8D83753C1AE6</t>
  </si>
  <si>
    <t>01020154C3432D206059FB6015D20D6D8D83753C1AE6</t>
  </si>
  <si>
    <t>500*750*1000*1000</t>
  </si>
  <si>
    <t>5469C37A2B647335670C710AAC7D3CD474E657</t>
  </si>
  <si>
    <t>0102015469C37A2B647335670C710AAC7D3CD474E657</t>
  </si>
  <si>
    <t>500*675*850*700</t>
  </si>
  <si>
    <t>5469C37A2B647335670C710AAC7D3CD474E656</t>
  </si>
  <si>
    <t>0102015469C37A2B647335670C710AAC7D3CD474E656</t>
  </si>
  <si>
    <t>500*800*700</t>
  </si>
  <si>
    <t>5469C37A2B647335670C710AAC7D3CD474E77B</t>
  </si>
  <si>
    <t>0102015469C37A2B647335670C710AAC7D3CD474E77B</t>
  </si>
  <si>
    <t>분전반</t>
  </si>
  <si>
    <t>면</t>
  </si>
  <si>
    <t>54C3432D20632CB361601C0B0823D1CB849D2C</t>
  </si>
  <si>
    <t>01020154C3432D20632CB361601C0B0823D1CB849D2C</t>
  </si>
  <si>
    <t>디밍양방향점멸기</t>
  </si>
  <si>
    <t>디밍제어, 감시</t>
  </si>
  <si>
    <t>54C3432D20632CB361601C0B0823D1CB849A5C</t>
  </si>
  <si>
    <t>01020154C3432D20632CB361601C0B0823D1CB849A5C</t>
  </si>
  <si>
    <t>디밍제어기</t>
  </si>
  <si>
    <t>54C3432D206059FB6015D20D6D8D83753A6C03</t>
  </si>
  <si>
    <t>01020154C3432D206059FB6015D20D6D8D83753A6C03</t>
  </si>
  <si>
    <t>01020254C3432D206059F864EB8A0A14AF9C646C5FB3</t>
  </si>
  <si>
    <t>01020254C3432D206059FB6015D20D6D8D83753C1AE6</t>
  </si>
  <si>
    <t>0102025469C37A2B647335670C710AAC7D3CD474E656</t>
  </si>
  <si>
    <t>0102025469C37A2B647335670C710AAC7D3CD474E77B</t>
  </si>
  <si>
    <t>01020254C3432D20632CB361601C0B0823D1CB849D2C</t>
  </si>
  <si>
    <t>01020254C3432D20632CB361601C0B0823D1CB849A5C</t>
  </si>
  <si>
    <t>01020254C3432D206059FB6015D20D6D8D83753A6C03</t>
  </si>
  <si>
    <t>차량등 철주</t>
  </si>
  <si>
    <t>Φ125×4m</t>
  </si>
  <si>
    <t>54C3432D20632F0B63646C0D68E48F1DB3A4C1</t>
  </si>
  <si>
    <t>01020354C3432D20632F0B63646C0D68E48F1DB3A4C1</t>
  </si>
  <si>
    <t>Φ250×8m</t>
  </si>
  <si>
    <t>54C3432D20632F0B63646C0D68E48F1DB3A4C0</t>
  </si>
  <si>
    <t>01020354C3432D20632F0B63646C0D68E48F1DB3A4C0</t>
  </si>
  <si>
    <t>교통신호등</t>
  </si>
  <si>
    <t>신호등부착대, 차량등부착대, 5m</t>
  </si>
  <si>
    <t>54B103D62161F5B96FAEAE0EA67C8358E47175</t>
  </si>
  <si>
    <t>01020354B103D62161F5B96FAEAE0EA67C8358E47175</t>
  </si>
  <si>
    <t>신호등부착대, 차량등부착대, 7m</t>
  </si>
  <si>
    <t>54B103D62161F5B96FAEAE0EA67C8358E47066</t>
  </si>
  <si>
    <t>01020354B103D62161F5B96FAEAE0EA67C8358E47066</t>
  </si>
  <si>
    <t>신호등부착대, 차량등부착대, 9m</t>
  </si>
  <si>
    <t>54B103D62161F5B96FAEAE0EA67C8358E47069</t>
  </si>
  <si>
    <t>01020354B103D62161F5B96FAEAE0EA67C8358E47069</t>
  </si>
  <si>
    <t>차량신호등, 1면4색</t>
  </si>
  <si>
    <t>54B103D62161F5B96FAEAE0EA67C8358EBA0CA</t>
  </si>
  <si>
    <t>01020354B103D62161F5B96FAEAE0EA67C8358EBA0CA</t>
  </si>
  <si>
    <t>차량신호등, 1면3색</t>
  </si>
  <si>
    <t>54B103D62161F5B96FAEAE0EA67C8358EBAF48</t>
  </si>
  <si>
    <t>01020354B103D62161F5B96FAEAE0EA67C8358EBAF48</t>
  </si>
  <si>
    <t>보행신호등, 1면2색</t>
  </si>
  <si>
    <t>54B103D62161F5B96FAEAE0EA67C8358EBAF49</t>
  </si>
  <si>
    <t>01020354B103D62161F5B96FAEAE0EA67C8358EBAF49</t>
  </si>
  <si>
    <t>보행잔여시간표시기</t>
  </si>
  <si>
    <t>54B103D62161F5B96FAEAE0EA67C8358E51E07</t>
  </si>
  <si>
    <t>01020354B103D62161F5B96FAEAE0EA67C8358E51E07</t>
  </si>
  <si>
    <t>교통신호제어기</t>
  </si>
  <si>
    <t>10년형, A타입</t>
  </si>
  <si>
    <t>54B103D62161F5B96FAEAE0EA67C8358E478A1</t>
  </si>
  <si>
    <t>01020354B103D62161F5B96FAEAE0EA67C8358E478A1</t>
  </si>
  <si>
    <t>통합폴 가로등</t>
  </si>
  <si>
    <t>1.5M 2등용</t>
  </si>
  <si>
    <t>54C3432D206059F864EB8A0A14AF9C646C592F</t>
  </si>
  <si>
    <t>01020354C3432D206059F864EB8A0A14AF9C646C592F</t>
  </si>
  <si>
    <t>01020354C3432D206059FB6015D20D6D8D83753C1AE7</t>
  </si>
  <si>
    <t>0102035469C37A2B647335670C710AAC7D3CD474E77B</t>
  </si>
  <si>
    <t>전기충전기 분전반</t>
  </si>
  <si>
    <t>LP-CP1</t>
  </si>
  <si>
    <t>5469C37A2B64733763E5BE0D4347C61F54D556</t>
  </si>
  <si>
    <t>010204015469C37A2B64733763E5BE0D4347C61F54D556</t>
  </si>
  <si>
    <t>LP-CP2</t>
  </si>
  <si>
    <t>5469C37A2B64733763E5BE0D4347C61F54D67D</t>
  </si>
  <si>
    <t>010204015469C37A2B64733763E5BE0D4347C61F54D67D</t>
  </si>
  <si>
    <t>50kW 급속충전기</t>
  </si>
  <si>
    <t>자립식</t>
  </si>
  <si>
    <t>5469C37A2B64733763E5BE0D4347C61F55FAB2</t>
  </si>
  <si>
    <t>010204015469C37A2B64733763E5BE0D4347C61F55FAB2</t>
  </si>
  <si>
    <t>7kW 완속충전기</t>
  </si>
  <si>
    <t>5469C37A2B64733763E5BE0D4347C61F55F9AC</t>
  </si>
  <si>
    <t>010204015469C37A2B64733763E5BE0D4347C61F55F9AC</t>
  </si>
  <si>
    <t>실외 전기충전기 캐노피</t>
  </si>
  <si>
    <t>급속 충전기용</t>
  </si>
  <si>
    <t>5469C37A2B64733763E5BE0D4347C61F55FE2D</t>
  </si>
  <si>
    <t>010204015469C37A2B64733763E5BE0D4347C61F55FE2D</t>
  </si>
  <si>
    <t>완속 충전기용</t>
  </si>
  <si>
    <t>5469C37A2B64733763E5BE0D4347C61F55FD07</t>
  </si>
  <si>
    <t>010204015469C37A2B64733763E5BE0D4347C61F55FD07</t>
  </si>
  <si>
    <t>0102040254C3432D206059F864EB8A0A14AF9C646C5FB3</t>
  </si>
  <si>
    <t>H:5M, 2등용</t>
  </si>
  <si>
    <t>54C3432D206059F864EB8A0A14AF9C646C5EAF</t>
  </si>
  <si>
    <t>0102040254C3432D206059F864EB8A0A14AF9C646C5EAF</t>
  </si>
  <si>
    <t>0102040254C3432D206059FB6015D20D6D8D83753C1AE6</t>
  </si>
  <si>
    <t>010204025469C37A2B647335670C710AAC7D3CD474E656</t>
  </si>
  <si>
    <t>010204025469C37A2B647335670C710AAC7D3CD474E77B</t>
  </si>
  <si>
    <t>0102040254C3432D20632CB361601C0B0823D1CB849D2C</t>
  </si>
  <si>
    <t>0102040254C3432D20632CB361601C0B0823D1CB849A5C</t>
  </si>
  <si>
    <t>0102040254C3432D206059FB6015D20D6D8D83753A6C03</t>
  </si>
  <si>
    <t>영상감시장치</t>
  </si>
  <si>
    <t>32CH, 200만화소이상</t>
  </si>
  <si>
    <t>54A723482A6C43386C1C690ED1BEF01BE4F52E</t>
  </si>
  <si>
    <t>01020554A723482A6C43386C1C690ED1BEF01BE4F52E</t>
  </si>
  <si>
    <t>보안용카메라</t>
  </si>
  <si>
    <t>200만화소, 9.07mmCMOS</t>
  </si>
  <si>
    <t>54A723482A6C43386C1C690ED1BEF01BE4F52F</t>
  </si>
  <si>
    <t>01020554A723482A6C43386C1C690ED1BEF01BE4F52F</t>
  </si>
  <si>
    <t>200만화소, 12.7mmCMOS, 36배줌</t>
  </si>
  <si>
    <t>54A723482A6C43386C1C690ED1BEF01BE4F528</t>
  </si>
  <si>
    <t>01020554A723482A6C43386C1C690ED1BEF01BE4F528</t>
  </si>
  <si>
    <t>하드디스크드라이브</t>
  </si>
  <si>
    <t>8TB</t>
  </si>
  <si>
    <t>54A723482A6C43386C1C690ED1BEF01BE4F529</t>
  </si>
  <si>
    <t>01020554A723482A6C43386C1C690ED1BEF01BE4F529</t>
  </si>
  <si>
    <t>네트워크스위치</t>
  </si>
  <si>
    <t>UTP 8Port, SFP 24Port</t>
  </si>
  <si>
    <t>54A723482A6C43386C1C690ED1BEF01BE4F52A</t>
  </si>
  <si>
    <t>01020554A723482A6C43386C1C690ED1BEF01BE4F52A</t>
  </si>
  <si>
    <t>UTP 24Port, SFP/TP 4Port, PoE</t>
  </si>
  <si>
    <t>54A723482A6C43386C1C690ED1BEF01BE4F52B</t>
  </si>
  <si>
    <t>01020554A723482A6C43386C1C690ED1BEF01BE4F52B</t>
  </si>
  <si>
    <t>UTP 8Port, SFP 2Port, 2.5G, PoE</t>
  </si>
  <si>
    <t>54A723482A6C43386C1C690ED1BEF01BE4F524</t>
  </si>
  <si>
    <t>01020554A723482A6C43386C1C690ED1BEF01BE4F524</t>
  </si>
  <si>
    <t>Single Mode, 1.25G, 광모듈</t>
  </si>
  <si>
    <t>54A723482A6C43386C1C690ED1BEF01BE4F525</t>
  </si>
  <si>
    <t>01020554A723482A6C43386C1C690ED1BEF01BE4F525</t>
  </si>
  <si>
    <t>광분배함</t>
  </si>
  <si>
    <t>48Core</t>
  </si>
  <si>
    <t>54A723482A6C43386C1C690ED1BEF01BE4F405</t>
  </si>
  <si>
    <t>01020554A723482A6C43386C1C690ED1BEF01BE4F405</t>
  </si>
  <si>
    <t>4Core</t>
  </si>
  <si>
    <t>54A723482A6C43386C1C690ED1BEF01BE4F404</t>
  </si>
  <si>
    <t>01020554A723482A6C43386C1C690ED1BEF01BE4F404</t>
  </si>
  <si>
    <t>광점퍼코드</t>
  </si>
  <si>
    <t>3m, Single</t>
  </si>
  <si>
    <t>54A723482A6C43386C1C690ED1BEF01BE4F407</t>
  </si>
  <si>
    <t>01020554A723482A6C43386C1C690ED1BEF01BE4F407</t>
  </si>
  <si>
    <t>서지보호기</t>
  </si>
  <si>
    <t>전원/통신용</t>
  </si>
  <si>
    <t>54A723482A6C43386C1C690ED1BEF01BE4F406</t>
  </si>
  <si>
    <t>01020554A723482A6C43386C1C690ED1BEF01BE4F406</t>
  </si>
  <si>
    <t>누전차단기</t>
  </si>
  <si>
    <t>AC 220V, 60Hz</t>
  </si>
  <si>
    <t>54A723482A6C43386C1C690ED1BEF01BE4F403</t>
  </si>
  <si>
    <t>01020554A723482A6C43386C1C690ED1BEF01BE4F403</t>
  </si>
  <si>
    <t>액정모니터</t>
  </si>
  <si>
    <t>22"</t>
  </si>
  <si>
    <t>54A723482A6C43386C1C690ED1BEF01BE4F402</t>
  </si>
  <si>
    <t>01020554A723482A6C43386C1C690ED1BEF01BE4F402</t>
  </si>
  <si>
    <t>네트워크시스템장비용랙</t>
  </si>
  <si>
    <t>600×2000×750mm</t>
  </si>
  <si>
    <t>54A723482A6C43386C1C690ED1BEF01BE4F40D</t>
  </si>
  <si>
    <t>01020554A723482A6C43386C1C690ED1BEF01BE4F40D</t>
  </si>
  <si>
    <t>전원공급장치</t>
  </si>
  <si>
    <t>8CH</t>
  </si>
  <si>
    <t>54A723482A6C43386C1C690ED1BEF01BE4F40C</t>
  </si>
  <si>
    <t>01020554A723482A6C43386C1C690ED1BEF01BE4F40C</t>
  </si>
  <si>
    <t>카메라브래킷</t>
  </si>
  <si>
    <t>기둥형</t>
  </si>
  <si>
    <t>54A723482A6C43386C1C690ED1BEF01BE4F7D8</t>
  </si>
  <si>
    <t>01020554A723482A6C43386C1C690ED1BEF01BE4F7D8</t>
  </si>
  <si>
    <t>금속기둥</t>
  </si>
  <si>
    <t>Φ127×4m×2T</t>
  </si>
  <si>
    <t>54A723482A6C43386C1C690ED1BEF01BE4F7DB</t>
  </si>
  <si>
    <t>01020554A723482A6C43386C1C690ED1BEF01BE4F7DB</t>
  </si>
  <si>
    <t>한전수탁비</t>
  </si>
  <si>
    <t>5469C37A2B64733763E581081F12CD22DB842D</t>
  </si>
  <si>
    <t>01035469C37A2B64733763E581081F12CD22DB842D</t>
  </si>
  <si>
    <t>안전진단 수수료</t>
  </si>
  <si>
    <t>5469C37A2B64733763E5BE0D4347C452E8320C</t>
  </si>
  <si>
    <t>01035469C37A2B64733763E5BE0D4347C452E8320C</t>
  </si>
  <si>
    <t>신호등 샘플링검사 수수료</t>
  </si>
  <si>
    <t>5469C37A2B64733763E5BE0D4347C452E8320D</t>
  </si>
  <si>
    <t>01035469C37A2B64733763E5BE0D4347C452E8320D</t>
  </si>
  <si>
    <r>
      <rPr>
        <b/>
        <sz val="24"/>
        <color indexed="8"/>
        <rFont val="굴림체"/>
        <family val="3"/>
        <charset val="129"/>
      </rPr>
      <t>도</t>
    </r>
    <r>
      <rPr>
        <b/>
        <sz val="24"/>
        <color indexed="8"/>
        <rFont val="Arial Narrow"/>
        <family val="2"/>
      </rPr>
      <t xml:space="preserve">  </t>
    </r>
    <r>
      <rPr>
        <b/>
        <sz val="24"/>
        <color indexed="8"/>
        <rFont val="굴림체"/>
        <family val="3"/>
        <charset val="129"/>
      </rPr>
      <t>급</t>
    </r>
    <r>
      <rPr>
        <b/>
        <sz val="24"/>
        <color indexed="8"/>
        <rFont val="Arial Narrow"/>
        <family val="2"/>
      </rPr>
      <t xml:space="preserve">  </t>
    </r>
    <r>
      <rPr>
        <b/>
        <sz val="24"/>
        <color indexed="8"/>
        <rFont val="굴림체"/>
        <family val="3"/>
        <charset val="129"/>
      </rPr>
      <t>내</t>
    </r>
    <r>
      <rPr>
        <b/>
        <sz val="24"/>
        <color indexed="8"/>
        <rFont val="Arial Narrow"/>
        <family val="2"/>
      </rPr>
      <t xml:space="preserve">  </t>
    </r>
    <r>
      <rPr>
        <b/>
        <sz val="24"/>
        <color indexed="8"/>
        <rFont val="굴림체"/>
        <family val="3"/>
        <charset val="129"/>
      </rPr>
      <t>역</t>
    </r>
    <r>
      <rPr>
        <b/>
        <sz val="24"/>
        <color indexed="8"/>
        <rFont val="Arial Narrow"/>
        <family val="2"/>
      </rPr>
      <t xml:space="preserve">  </t>
    </r>
    <r>
      <rPr>
        <b/>
        <sz val="24"/>
        <color indexed="8"/>
        <rFont val="굴림체"/>
        <family val="3"/>
        <charset val="129"/>
      </rPr>
      <t>서</t>
    </r>
    <phoneticPr fontId="27" type="noConversion"/>
  </si>
  <si>
    <r>
      <rPr>
        <sz val="11"/>
        <color indexed="8"/>
        <rFont val="굴림"/>
        <family val="3"/>
        <charset val="129"/>
      </rPr>
      <t>공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종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명</t>
    </r>
  </si>
  <si>
    <r>
      <rPr>
        <sz val="11"/>
        <color indexed="8"/>
        <rFont val="굴림"/>
        <family val="3"/>
        <charset val="129"/>
      </rPr>
      <t>규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격</t>
    </r>
  </si>
  <si>
    <r>
      <rPr>
        <sz val="11"/>
        <color indexed="8"/>
        <rFont val="굴림"/>
        <family val="3"/>
        <charset val="129"/>
      </rPr>
      <t>수량</t>
    </r>
  </si>
  <si>
    <r>
      <rPr>
        <sz val="11"/>
        <color indexed="8"/>
        <rFont val="굴림"/>
        <family val="3"/>
        <charset val="129"/>
      </rPr>
      <t>단위</t>
    </r>
  </si>
  <si>
    <t>노 무 비</t>
  </si>
  <si>
    <t>재 료 비</t>
  </si>
  <si>
    <t>경    비</t>
  </si>
  <si>
    <t>합    계</t>
  </si>
  <si>
    <r>
      <rPr>
        <sz val="11"/>
        <color indexed="8"/>
        <rFont val="굴림"/>
        <family val="3"/>
        <charset val="129"/>
      </rPr>
      <t>비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고</t>
    </r>
  </si>
  <si>
    <r>
      <rPr>
        <sz val="11"/>
        <color indexed="8"/>
        <rFont val="굴림"/>
        <family val="3"/>
        <charset val="129"/>
      </rPr>
      <t>단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가</t>
    </r>
  </si>
  <si>
    <r>
      <rPr>
        <sz val="11"/>
        <color indexed="8"/>
        <rFont val="굴림"/>
        <family val="3"/>
        <charset val="129"/>
      </rPr>
      <t>금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액</t>
    </r>
  </si>
  <si>
    <r>
      <rPr>
        <sz val="11"/>
        <color indexed="8"/>
        <rFont val="굴림"/>
        <family val="3"/>
        <charset val="129"/>
      </rPr>
      <t>진천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메가폴리스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일반산업단지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조성사업</t>
    </r>
    <phoneticPr fontId="27" type="noConversion"/>
  </si>
  <si>
    <r>
      <rPr>
        <sz val="11"/>
        <color indexed="8"/>
        <rFont val="굴림"/>
        <family val="3"/>
        <charset val="129"/>
      </rPr>
      <t>식</t>
    </r>
  </si>
  <si>
    <r>
      <t xml:space="preserve">   1.</t>
    </r>
    <r>
      <rPr>
        <sz val="11"/>
        <color indexed="8"/>
        <rFont val="굴림"/>
        <family val="3"/>
        <charset val="129"/>
      </rPr>
      <t>토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공</t>
    </r>
  </si>
  <si>
    <r>
      <t xml:space="preserve">   2.</t>
    </r>
    <r>
      <rPr>
        <sz val="11"/>
        <color indexed="8"/>
        <rFont val="굴림"/>
        <family val="3"/>
        <charset val="129"/>
      </rPr>
      <t>우수공</t>
    </r>
  </si>
  <si>
    <r>
      <t xml:space="preserve">   3.</t>
    </r>
    <r>
      <rPr>
        <sz val="11"/>
        <color indexed="8"/>
        <rFont val="굴림"/>
        <family val="3"/>
        <charset val="129"/>
      </rPr>
      <t>오수공</t>
    </r>
  </si>
  <si>
    <r>
      <t xml:space="preserve">   4.</t>
    </r>
    <r>
      <rPr>
        <sz val="11"/>
        <color indexed="8"/>
        <rFont val="굴림"/>
        <family val="3"/>
        <charset val="129"/>
      </rPr>
      <t>상수공</t>
    </r>
  </si>
  <si>
    <r>
      <t xml:space="preserve">   5.</t>
    </r>
    <r>
      <rPr>
        <sz val="11"/>
        <color indexed="8"/>
        <rFont val="굴림"/>
        <family val="3"/>
        <charset val="129"/>
      </rPr>
      <t>포장공</t>
    </r>
  </si>
  <si>
    <r>
      <t xml:space="preserve">   6.</t>
    </r>
    <r>
      <rPr>
        <sz val="11"/>
        <color indexed="8"/>
        <rFont val="굴림"/>
        <family val="3"/>
        <charset val="129"/>
      </rPr>
      <t>조경공</t>
    </r>
  </si>
  <si>
    <r>
      <t xml:space="preserve">   8.</t>
    </r>
    <r>
      <rPr>
        <sz val="11"/>
        <color indexed="8"/>
        <rFont val="굴림"/>
        <family val="3"/>
        <charset val="129"/>
      </rPr>
      <t>구조물공</t>
    </r>
  </si>
  <si>
    <r>
      <t xml:space="preserve">   9.</t>
    </r>
    <r>
      <rPr>
        <sz val="11"/>
        <color indexed="8"/>
        <rFont val="굴림"/>
        <family val="3"/>
        <charset val="129"/>
      </rPr>
      <t>농수로공</t>
    </r>
  </si>
  <si>
    <r>
      <t xml:space="preserve">   10.</t>
    </r>
    <r>
      <rPr>
        <sz val="11"/>
        <color indexed="8"/>
        <rFont val="굴림"/>
        <family val="3"/>
        <charset val="129"/>
      </rPr>
      <t>하천공</t>
    </r>
  </si>
  <si>
    <r>
      <t xml:space="preserve">   11.</t>
    </r>
    <r>
      <rPr>
        <sz val="11"/>
        <color indexed="8"/>
        <rFont val="굴림"/>
        <family val="3"/>
        <charset val="129"/>
      </rPr>
      <t>저류지공</t>
    </r>
  </si>
  <si>
    <r>
      <t xml:space="preserve">   12.</t>
    </r>
    <r>
      <rPr>
        <sz val="11"/>
        <color indexed="8"/>
        <rFont val="굴림"/>
        <family val="3"/>
        <charset val="129"/>
      </rPr>
      <t>부대공</t>
    </r>
  </si>
  <si>
    <t xml:space="preserve">   </t>
  </si>
  <si>
    <r>
      <t xml:space="preserve">   </t>
    </r>
    <r>
      <rPr>
        <sz val="11"/>
        <color indexed="8"/>
        <rFont val="굴림"/>
        <family val="3"/>
        <charset val="129"/>
      </rPr>
      <t>직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접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공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사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비</t>
    </r>
  </si>
  <si>
    <r>
      <t xml:space="preserve">   </t>
    </r>
    <r>
      <rPr>
        <sz val="11"/>
        <color indexed="8"/>
        <rFont val="굴림"/>
        <family val="3"/>
        <charset val="129"/>
      </rPr>
      <t>간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접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재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료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비</t>
    </r>
  </si>
  <si>
    <r>
      <t xml:space="preserve">   </t>
    </r>
    <r>
      <rPr>
        <sz val="11"/>
        <color indexed="8"/>
        <rFont val="굴림"/>
        <family val="3"/>
        <charset val="129"/>
      </rPr>
      <t>간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접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노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무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비</t>
    </r>
  </si>
  <si>
    <r>
      <rPr>
        <sz val="11"/>
        <color indexed="8"/>
        <rFont val="굴림"/>
        <family val="3"/>
        <charset val="129"/>
      </rPr>
      <t>직접노무비의</t>
    </r>
    <r>
      <rPr>
        <sz val="11"/>
        <color indexed="8"/>
        <rFont val="Arial Narrow"/>
        <family val="2"/>
      </rPr>
      <t xml:space="preserve"> 13.4%</t>
    </r>
  </si>
  <si>
    <r>
      <t xml:space="preserve">   </t>
    </r>
    <r>
      <rPr>
        <sz val="11"/>
        <color indexed="8"/>
        <rFont val="굴림"/>
        <family val="3"/>
        <charset val="129"/>
      </rPr>
      <t>산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재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보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험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료</t>
    </r>
  </si>
  <si>
    <r>
      <rPr>
        <sz val="11"/>
        <color indexed="8"/>
        <rFont val="굴림"/>
        <family val="3"/>
        <charset val="129"/>
      </rPr>
      <t>노무비의</t>
    </r>
    <r>
      <rPr>
        <sz val="11"/>
        <color indexed="8"/>
        <rFont val="Arial Narrow"/>
        <family val="2"/>
      </rPr>
      <t xml:space="preserve"> 3.56%</t>
    </r>
  </si>
  <si>
    <r>
      <t xml:space="preserve">   </t>
    </r>
    <r>
      <rPr>
        <sz val="11"/>
        <color indexed="8"/>
        <rFont val="굴림"/>
        <family val="3"/>
        <charset val="129"/>
      </rPr>
      <t>고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용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보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험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료</t>
    </r>
  </si>
  <si>
    <r>
      <rPr>
        <sz val="11"/>
        <color indexed="8"/>
        <rFont val="굴림"/>
        <family val="3"/>
        <charset val="129"/>
      </rPr>
      <t>노무비의</t>
    </r>
    <r>
      <rPr>
        <sz val="11"/>
        <color indexed="8"/>
        <rFont val="Arial Narrow"/>
        <family val="2"/>
      </rPr>
      <t xml:space="preserve"> 1.57%</t>
    </r>
  </si>
  <si>
    <r>
      <rPr>
        <sz val="11"/>
        <color indexed="8"/>
        <rFont val="굴림"/>
        <family val="3"/>
        <charset val="129"/>
      </rPr>
      <t>설계금액</t>
    </r>
    <phoneticPr fontId="27" type="noConversion"/>
  </si>
  <si>
    <r>
      <t xml:space="preserve">   </t>
    </r>
    <r>
      <rPr>
        <sz val="11"/>
        <color indexed="8"/>
        <rFont val="굴림"/>
        <family val="3"/>
        <charset val="129"/>
      </rPr>
      <t>건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강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보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험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료</t>
    </r>
  </si>
  <si>
    <r>
      <rPr>
        <sz val="11"/>
        <color indexed="8"/>
        <rFont val="굴림"/>
        <family val="3"/>
        <charset val="129"/>
      </rPr>
      <t>직접노무비의</t>
    </r>
    <r>
      <rPr>
        <sz val="11"/>
        <color indexed="8"/>
        <rFont val="Arial Narrow"/>
        <family val="2"/>
      </rPr>
      <t xml:space="preserve"> 3.545%</t>
    </r>
  </si>
  <si>
    <r>
      <t xml:space="preserve">   </t>
    </r>
    <r>
      <rPr>
        <sz val="11"/>
        <color indexed="8"/>
        <rFont val="굴림"/>
        <family val="3"/>
        <charset val="129"/>
      </rPr>
      <t>노인장기요양보험료</t>
    </r>
  </si>
  <si>
    <r>
      <rPr>
        <sz val="11"/>
        <color indexed="8"/>
        <rFont val="굴림"/>
        <family val="3"/>
        <charset val="129"/>
      </rPr>
      <t>건강보험료의</t>
    </r>
    <r>
      <rPr>
        <sz val="11"/>
        <color indexed="8"/>
        <rFont val="Arial Narrow"/>
        <family val="2"/>
      </rPr>
      <t xml:space="preserve"> 12.95%</t>
    </r>
  </si>
  <si>
    <r>
      <t xml:space="preserve">   </t>
    </r>
    <r>
      <rPr>
        <sz val="11"/>
        <color indexed="8"/>
        <rFont val="굴림"/>
        <family val="3"/>
        <charset val="129"/>
      </rPr>
      <t>연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금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보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험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료</t>
    </r>
  </si>
  <si>
    <r>
      <rPr>
        <sz val="11"/>
        <color indexed="8"/>
        <rFont val="굴림"/>
        <family val="3"/>
        <charset val="129"/>
      </rPr>
      <t>직접노무비의</t>
    </r>
    <r>
      <rPr>
        <sz val="11"/>
        <color indexed="8"/>
        <rFont val="Arial Narrow"/>
        <family val="2"/>
      </rPr>
      <t xml:space="preserve"> 4.5%</t>
    </r>
  </si>
  <si>
    <r>
      <t xml:space="preserve">   </t>
    </r>
    <r>
      <rPr>
        <sz val="11"/>
        <color indexed="8"/>
        <rFont val="굴림"/>
        <family val="3"/>
        <charset val="129"/>
      </rPr>
      <t>퇴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직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공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제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부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금</t>
    </r>
  </si>
  <si>
    <r>
      <rPr>
        <sz val="11"/>
        <color indexed="8"/>
        <rFont val="굴림"/>
        <family val="3"/>
        <charset val="129"/>
      </rPr>
      <t>직접노무비의</t>
    </r>
    <r>
      <rPr>
        <sz val="11"/>
        <color indexed="8"/>
        <rFont val="Arial Narrow"/>
        <family val="2"/>
      </rPr>
      <t xml:space="preserve"> 2.3%</t>
    </r>
  </si>
  <si>
    <r>
      <t xml:space="preserve">   </t>
    </r>
    <r>
      <rPr>
        <sz val="11"/>
        <color indexed="8"/>
        <rFont val="굴림"/>
        <family val="3"/>
        <charset val="129"/>
      </rPr>
      <t>건설기계대여대금지급보증서</t>
    </r>
  </si>
  <si>
    <r>
      <rPr>
        <sz val="11"/>
        <color indexed="8"/>
        <rFont val="굴림"/>
        <family val="3"/>
        <charset val="129"/>
      </rPr>
      <t>직접재료비</t>
    </r>
    <r>
      <rPr>
        <sz val="11"/>
        <color indexed="8"/>
        <rFont val="Arial Narrow"/>
        <family val="2"/>
      </rPr>
      <t>,</t>
    </r>
    <r>
      <rPr>
        <sz val="11"/>
        <color indexed="8"/>
        <rFont val="굴림"/>
        <family val="3"/>
        <charset val="129"/>
      </rPr>
      <t>직접노무비</t>
    </r>
    <r>
      <rPr>
        <sz val="11"/>
        <color indexed="8"/>
        <rFont val="Arial Narrow"/>
        <family val="2"/>
      </rPr>
      <t>,</t>
    </r>
    <r>
      <rPr>
        <sz val="11"/>
        <color indexed="8"/>
        <rFont val="굴림"/>
        <family val="3"/>
        <charset val="129"/>
      </rPr>
      <t>경비의</t>
    </r>
    <r>
      <rPr>
        <sz val="11"/>
        <color indexed="8"/>
        <rFont val="Arial Narrow"/>
        <family val="2"/>
      </rPr>
      <t xml:space="preserve"> 0.40%</t>
    </r>
  </si>
  <si>
    <r>
      <t xml:space="preserve">   </t>
    </r>
    <r>
      <rPr>
        <sz val="11"/>
        <color indexed="8"/>
        <rFont val="굴림"/>
        <family val="3"/>
        <charset val="129"/>
      </rPr>
      <t>산업안전보건관리비</t>
    </r>
  </si>
  <si>
    <r>
      <rPr>
        <sz val="11"/>
        <color indexed="8"/>
        <rFont val="굴림"/>
        <family val="3"/>
        <charset val="129"/>
      </rPr>
      <t>재료비</t>
    </r>
    <r>
      <rPr>
        <sz val="11"/>
        <color indexed="8"/>
        <rFont val="Arial Narrow"/>
        <family val="2"/>
      </rPr>
      <t>,</t>
    </r>
    <r>
      <rPr>
        <sz val="11"/>
        <color indexed="8"/>
        <rFont val="굴림"/>
        <family val="3"/>
        <charset val="129"/>
      </rPr>
      <t>직접노무비의</t>
    </r>
    <r>
      <rPr>
        <sz val="11"/>
        <color indexed="8"/>
        <rFont val="Arial Narrow"/>
        <family val="2"/>
      </rPr>
      <t xml:space="preserve"> 1.38%</t>
    </r>
  </si>
  <si>
    <r>
      <t xml:space="preserve">   </t>
    </r>
    <r>
      <rPr>
        <sz val="11"/>
        <color indexed="8"/>
        <rFont val="굴림"/>
        <family val="3"/>
        <charset val="129"/>
      </rPr>
      <t>환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경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보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전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비</t>
    </r>
  </si>
  <si>
    <r>
      <rPr>
        <sz val="11"/>
        <color indexed="8"/>
        <rFont val="굴림"/>
        <family val="3"/>
        <charset val="129"/>
      </rPr>
      <t>직접재료비</t>
    </r>
    <r>
      <rPr>
        <sz val="11"/>
        <color indexed="8"/>
        <rFont val="Arial Narrow"/>
        <family val="2"/>
      </rPr>
      <t>,</t>
    </r>
    <r>
      <rPr>
        <sz val="11"/>
        <color indexed="8"/>
        <rFont val="굴림"/>
        <family val="3"/>
        <charset val="129"/>
      </rPr>
      <t>직접노무비</t>
    </r>
    <r>
      <rPr>
        <sz val="11"/>
        <color indexed="8"/>
        <rFont val="Arial Narrow"/>
        <family val="2"/>
      </rPr>
      <t>,</t>
    </r>
    <r>
      <rPr>
        <sz val="11"/>
        <color indexed="8"/>
        <rFont val="굴림"/>
        <family val="3"/>
        <charset val="129"/>
      </rPr>
      <t>경비의</t>
    </r>
    <r>
      <rPr>
        <sz val="11"/>
        <color indexed="8"/>
        <rFont val="Arial Narrow"/>
        <family val="2"/>
      </rPr>
      <t xml:space="preserve"> 0.6%</t>
    </r>
  </si>
  <si>
    <r>
      <t xml:space="preserve">   </t>
    </r>
    <r>
      <rPr>
        <sz val="11"/>
        <color indexed="8"/>
        <rFont val="굴림"/>
        <family val="3"/>
        <charset val="129"/>
      </rPr>
      <t>건설하도급대금지급보증서발급수수료</t>
    </r>
  </si>
  <si>
    <r>
      <rPr>
        <sz val="11"/>
        <color indexed="8"/>
        <rFont val="굴림"/>
        <family val="3"/>
        <charset val="129"/>
      </rPr>
      <t>직접재료비</t>
    </r>
    <r>
      <rPr>
        <sz val="11"/>
        <color indexed="8"/>
        <rFont val="Arial Narrow"/>
        <family val="2"/>
      </rPr>
      <t>,</t>
    </r>
    <r>
      <rPr>
        <sz val="11"/>
        <color indexed="8"/>
        <rFont val="굴림"/>
        <family val="3"/>
        <charset val="129"/>
      </rPr>
      <t>직접노무비</t>
    </r>
    <r>
      <rPr>
        <sz val="11"/>
        <color indexed="8"/>
        <rFont val="Arial Narrow"/>
        <family val="2"/>
      </rPr>
      <t>,</t>
    </r>
    <r>
      <rPr>
        <sz val="11"/>
        <color indexed="8"/>
        <rFont val="굴림"/>
        <family val="3"/>
        <charset val="129"/>
      </rPr>
      <t>경비의</t>
    </r>
    <r>
      <rPr>
        <sz val="11"/>
        <color indexed="8"/>
        <rFont val="Arial Narrow"/>
        <family val="2"/>
      </rPr>
      <t xml:space="preserve"> 0.071%</t>
    </r>
  </si>
  <si>
    <r>
      <t xml:space="preserve">   </t>
    </r>
    <r>
      <rPr>
        <sz val="11"/>
        <color indexed="8"/>
        <rFont val="굴림"/>
        <family val="3"/>
        <charset val="129"/>
      </rPr>
      <t>기</t>
    </r>
    <r>
      <rPr>
        <sz val="11"/>
        <color indexed="8"/>
        <rFont val="Arial Narrow"/>
        <family val="2"/>
      </rPr>
      <t xml:space="preserve">   </t>
    </r>
    <r>
      <rPr>
        <sz val="11"/>
        <color indexed="8"/>
        <rFont val="굴림"/>
        <family val="3"/>
        <charset val="129"/>
      </rPr>
      <t>타</t>
    </r>
    <r>
      <rPr>
        <sz val="11"/>
        <color indexed="8"/>
        <rFont val="Arial Narrow"/>
        <family val="2"/>
      </rPr>
      <t xml:space="preserve">    </t>
    </r>
    <r>
      <rPr>
        <sz val="11"/>
        <color indexed="8"/>
        <rFont val="굴림"/>
        <family val="3"/>
        <charset val="129"/>
      </rPr>
      <t>경</t>
    </r>
    <r>
      <rPr>
        <sz val="11"/>
        <color indexed="8"/>
        <rFont val="Arial Narrow"/>
        <family val="2"/>
      </rPr>
      <t xml:space="preserve">   </t>
    </r>
    <r>
      <rPr>
        <sz val="11"/>
        <color indexed="8"/>
        <rFont val="굴림"/>
        <family val="3"/>
        <charset val="129"/>
      </rPr>
      <t>비</t>
    </r>
  </si>
  <si>
    <r>
      <rPr>
        <sz val="11"/>
        <color indexed="8"/>
        <rFont val="굴림"/>
        <family val="3"/>
        <charset val="129"/>
      </rPr>
      <t>재료비</t>
    </r>
    <r>
      <rPr>
        <sz val="11"/>
        <color indexed="8"/>
        <rFont val="Arial Narrow"/>
        <family val="2"/>
      </rPr>
      <t>,</t>
    </r>
    <r>
      <rPr>
        <sz val="11"/>
        <color indexed="8"/>
        <rFont val="굴림"/>
        <family val="3"/>
        <charset val="129"/>
      </rPr>
      <t>노무비의</t>
    </r>
    <r>
      <rPr>
        <sz val="11"/>
        <color indexed="8"/>
        <rFont val="Arial Narrow"/>
        <family val="2"/>
      </rPr>
      <t xml:space="preserve"> 6.9%</t>
    </r>
  </si>
  <si>
    <r>
      <t xml:space="preserve">   </t>
    </r>
    <r>
      <rPr>
        <sz val="11"/>
        <color indexed="8"/>
        <rFont val="굴림"/>
        <family val="3"/>
        <charset val="129"/>
      </rPr>
      <t>일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반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관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리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비</t>
    </r>
  </si>
  <si>
    <r>
      <rPr>
        <sz val="11"/>
        <color indexed="8"/>
        <rFont val="굴림"/>
        <family val="3"/>
        <charset val="129"/>
      </rPr>
      <t>순공사원가의</t>
    </r>
    <r>
      <rPr>
        <sz val="11"/>
        <color indexed="8"/>
        <rFont val="Arial Narrow"/>
        <family val="2"/>
      </rPr>
      <t xml:space="preserve"> 4.5%</t>
    </r>
  </si>
  <si>
    <r>
      <t xml:space="preserve">   </t>
    </r>
    <r>
      <rPr>
        <sz val="11"/>
        <color indexed="8"/>
        <rFont val="굴림"/>
        <family val="3"/>
        <charset val="129"/>
      </rPr>
      <t>피해방지대책비용</t>
    </r>
  </si>
  <si>
    <r>
      <t>(</t>
    </r>
    <r>
      <rPr>
        <sz val="11"/>
        <color indexed="8"/>
        <rFont val="굴림"/>
        <family val="3"/>
        <charset val="129"/>
      </rPr>
      <t>순공사원가</t>
    </r>
    <r>
      <rPr>
        <sz val="11"/>
        <color indexed="8"/>
        <rFont val="Arial Narrow"/>
        <family val="2"/>
      </rPr>
      <t>+</t>
    </r>
    <r>
      <rPr>
        <sz val="11"/>
        <color indexed="8"/>
        <rFont val="굴림"/>
        <family val="3"/>
        <charset val="129"/>
      </rPr>
      <t>일반관리비</t>
    </r>
    <r>
      <rPr>
        <sz val="11"/>
        <color indexed="8"/>
        <rFont val="Arial Narrow"/>
        <family val="2"/>
      </rPr>
      <t>)×0.11%</t>
    </r>
  </si>
  <si>
    <r>
      <t xml:space="preserve">   </t>
    </r>
    <r>
      <rPr>
        <sz val="11"/>
        <color indexed="8"/>
        <rFont val="굴림"/>
        <family val="3"/>
        <charset val="129"/>
      </rPr>
      <t>이</t>
    </r>
    <r>
      <rPr>
        <sz val="11"/>
        <color indexed="8"/>
        <rFont val="Arial Narrow"/>
        <family val="2"/>
      </rPr>
      <t xml:space="preserve">              </t>
    </r>
    <r>
      <rPr>
        <sz val="11"/>
        <color indexed="8"/>
        <rFont val="굴림"/>
        <family val="3"/>
        <charset val="129"/>
      </rPr>
      <t>윤</t>
    </r>
  </si>
  <si>
    <r>
      <rPr>
        <sz val="11"/>
        <color indexed="8"/>
        <rFont val="굴림"/>
        <family val="3"/>
        <charset val="129"/>
      </rPr>
      <t>노무비</t>
    </r>
    <r>
      <rPr>
        <sz val="11"/>
        <color indexed="8"/>
        <rFont val="Arial Narrow"/>
        <family val="2"/>
      </rPr>
      <t>,</t>
    </r>
    <r>
      <rPr>
        <sz val="11"/>
        <color indexed="8"/>
        <rFont val="굴림"/>
        <family val="3"/>
        <charset val="129"/>
      </rPr>
      <t>경비</t>
    </r>
    <r>
      <rPr>
        <sz val="11"/>
        <color indexed="8"/>
        <rFont val="Arial Narrow"/>
        <family val="2"/>
      </rPr>
      <t>,</t>
    </r>
    <r>
      <rPr>
        <sz val="11"/>
        <color indexed="8"/>
        <rFont val="굴림"/>
        <family val="3"/>
        <charset val="129"/>
      </rPr>
      <t>일반관리비의</t>
    </r>
    <r>
      <rPr>
        <sz val="11"/>
        <color indexed="8"/>
        <rFont val="Arial Narrow"/>
        <family val="2"/>
      </rPr>
      <t xml:space="preserve"> 9%</t>
    </r>
  </si>
  <si>
    <r>
      <t xml:space="preserve">   GIS</t>
    </r>
    <r>
      <rPr>
        <sz val="11"/>
        <color indexed="8"/>
        <rFont val="굴림"/>
        <family val="3"/>
        <charset val="129"/>
      </rPr>
      <t>측량성과비</t>
    </r>
  </si>
  <si>
    <r>
      <t xml:space="preserve">   </t>
    </r>
    <r>
      <rPr>
        <sz val="11"/>
        <color indexed="8"/>
        <rFont val="굴림"/>
        <family val="3"/>
        <charset val="129"/>
      </rPr>
      <t>시공측량비</t>
    </r>
  </si>
  <si>
    <r>
      <t xml:space="preserve">   </t>
    </r>
    <r>
      <rPr>
        <sz val="11"/>
        <color indexed="8"/>
        <rFont val="굴림"/>
        <family val="3"/>
        <charset val="129"/>
      </rPr>
      <t>폐기물처리용역</t>
    </r>
  </si>
  <si>
    <r>
      <t xml:space="preserve">   </t>
    </r>
    <r>
      <rPr>
        <sz val="11"/>
        <color indexed="8"/>
        <rFont val="굴림"/>
        <family val="3"/>
        <charset val="129"/>
      </rPr>
      <t>계측관리</t>
    </r>
  </si>
  <si>
    <r>
      <rPr>
        <sz val="11"/>
        <color indexed="8"/>
        <rFont val="굴림"/>
        <family val="3"/>
        <charset val="129"/>
      </rPr>
      <t>사면</t>
    </r>
  </si>
  <si>
    <r>
      <rPr>
        <sz val="11"/>
        <color indexed="8"/>
        <rFont val="굴림"/>
        <family val="3"/>
        <charset val="129"/>
      </rPr>
      <t>순공사원가</t>
    </r>
    <r>
      <rPr>
        <sz val="11"/>
        <color indexed="8"/>
        <rFont val="Arial Narrow"/>
        <family val="2"/>
      </rPr>
      <t>,</t>
    </r>
    <r>
      <rPr>
        <sz val="11"/>
        <color indexed="8"/>
        <rFont val="굴림"/>
        <family val="3"/>
        <charset val="129"/>
      </rPr>
      <t>일반관리비</t>
    </r>
    <r>
      <rPr>
        <sz val="11"/>
        <color indexed="8"/>
        <rFont val="Arial Narrow"/>
        <family val="2"/>
      </rPr>
      <t>,</t>
    </r>
    <r>
      <rPr>
        <sz val="11"/>
        <color indexed="8"/>
        <rFont val="굴림"/>
        <family val="3"/>
        <charset val="129"/>
      </rPr>
      <t>이윤</t>
    </r>
  </si>
  <si>
    <r>
      <t xml:space="preserve">   </t>
    </r>
    <r>
      <rPr>
        <sz val="11"/>
        <color indexed="8"/>
        <rFont val="굴림"/>
        <family val="3"/>
        <charset val="129"/>
      </rPr>
      <t>부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가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가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치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세</t>
    </r>
  </si>
  <si>
    <r>
      <rPr>
        <sz val="11"/>
        <color indexed="8"/>
        <rFont val="굴림"/>
        <family val="3"/>
        <charset val="129"/>
      </rPr>
      <t>총원가의</t>
    </r>
    <r>
      <rPr>
        <sz val="11"/>
        <color indexed="8"/>
        <rFont val="Arial Narrow"/>
        <family val="2"/>
      </rPr>
      <t xml:space="preserve"> 10%</t>
    </r>
  </si>
  <si>
    <r>
      <t xml:space="preserve">   </t>
    </r>
    <r>
      <rPr>
        <sz val="11"/>
        <color indexed="8"/>
        <rFont val="굴림"/>
        <family val="3"/>
        <charset val="129"/>
      </rPr>
      <t>총</t>
    </r>
    <r>
      <rPr>
        <sz val="11"/>
        <color indexed="8"/>
        <rFont val="Arial Narrow"/>
        <family val="2"/>
      </rPr>
      <t xml:space="preserve">    </t>
    </r>
    <r>
      <rPr>
        <sz val="11"/>
        <color indexed="8"/>
        <rFont val="굴림"/>
        <family val="3"/>
        <charset val="129"/>
      </rPr>
      <t>공</t>
    </r>
    <r>
      <rPr>
        <sz val="11"/>
        <color indexed="8"/>
        <rFont val="Arial Narrow"/>
        <family val="2"/>
      </rPr>
      <t xml:space="preserve">   </t>
    </r>
    <r>
      <rPr>
        <sz val="11"/>
        <color indexed="8"/>
        <rFont val="굴림"/>
        <family val="3"/>
        <charset val="129"/>
      </rPr>
      <t>사</t>
    </r>
    <r>
      <rPr>
        <sz val="11"/>
        <color indexed="8"/>
        <rFont val="Arial Narrow"/>
        <family val="2"/>
      </rPr>
      <t xml:space="preserve">   </t>
    </r>
    <r>
      <rPr>
        <sz val="11"/>
        <color indexed="8"/>
        <rFont val="굴림"/>
        <family val="3"/>
        <charset val="129"/>
      </rPr>
      <t>비</t>
    </r>
  </si>
  <si>
    <r>
      <rPr>
        <sz val="11"/>
        <color indexed="8"/>
        <rFont val="굴림"/>
        <family val="3"/>
        <charset val="129"/>
      </rPr>
      <t>총원가</t>
    </r>
    <r>
      <rPr>
        <sz val="11"/>
        <color indexed="8"/>
        <rFont val="Arial Narrow"/>
        <family val="2"/>
      </rPr>
      <t>,</t>
    </r>
    <r>
      <rPr>
        <sz val="11"/>
        <color indexed="8"/>
        <rFont val="굴림"/>
        <family val="3"/>
        <charset val="129"/>
      </rPr>
      <t>부가가치세</t>
    </r>
  </si>
  <si>
    <r>
      <t>01.</t>
    </r>
    <r>
      <rPr>
        <sz val="11"/>
        <color indexed="8"/>
        <rFont val="굴림"/>
        <family val="3"/>
        <charset val="129"/>
      </rPr>
      <t>토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공</t>
    </r>
  </si>
  <si>
    <r>
      <t xml:space="preserve">    1.01.</t>
    </r>
    <r>
      <rPr>
        <sz val="11"/>
        <color indexed="8"/>
        <rFont val="굴림"/>
        <family val="3"/>
        <charset val="129"/>
      </rPr>
      <t>기존구조물철거</t>
    </r>
  </si>
  <si>
    <r>
      <t xml:space="preserve">     a.</t>
    </r>
    <r>
      <rPr>
        <sz val="11"/>
        <color indexed="8"/>
        <rFont val="굴림"/>
        <family val="3"/>
        <charset val="129"/>
      </rPr>
      <t>철근콘크리트깨기</t>
    </r>
  </si>
  <si>
    <r>
      <t xml:space="preserve">      </t>
    </r>
    <r>
      <rPr>
        <sz val="11"/>
        <color indexed="8"/>
        <rFont val="굴림"/>
        <family val="3"/>
        <charset val="129"/>
      </rPr>
      <t>철근콘크리트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깨기</t>
    </r>
  </si>
  <si>
    <r>
      <t>T=30cm</t>
    </r>
    <r>
      <rPr>
        <sz val="11"/>
        <color indexed="8"/>
        <rFont val="굴림"/>
        <family val="3"/>
        <charset val="129"/>
      </rPr>
      <t>미만</t>
    </r>
  </si>
  <si>
    <r>
      <rPr>
        <sz val="11"/>
        <color indexed="8"/>
        <rFont val="굴림"/>
        <family val="3"/>
        <charset val="129"/>
      </rPr>
      <t>㎥</t>
    </r>
  </si>
  <si>
    <r>
      <t>T=30cm</t>
    </r>
    <r>
      <rPr>
        <sz val="11"/>
        <color indexed="8"/>
        <rFont val="굴림"/>
        <family val="3"/>
        <charset val="129"/>
      </rPr>
      <t>이상</t>
    </r>
  </si>
  <si>
    <r>
      <t xml:space="preserve">     b.</t>
    </r>
    <r>
      <rPr>
        <sz val="11"/>
        <color indexed="8"/>
        <rFont val="굴림"/>
        <family val="3"/>
        <charset val="129"/>
      </rPr>
      <t>무근콘크리트깨기</t>
    </r>
  </si>
  <si>
    <r>
      <t xml:space="preserve">      </t>
    </r>
    <r>
      <rPr>
        <sz val="11"/>
        <color indexed="8"/>
        <rFont val="굴림"/>
        <family val="3"/>
        <charset val="129"/>
      </rPr>
      <t>무근콘크리트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깨기</t>
    </r>
    <r>
      <rPr>
        <sz val="11"/>
        <color indexed="8"/>
        <rFont val="Arial Narrow"/>
        <family val="2"/>
      </rPr>
      <t>/ T=30cm</t>
    </r>
    <r>
      <rPr>
        <sz val="11"/>
        <color indexed="8"/>
        <rFont val="굴림"/>
        <family val="3"/>
        <charset val="129"/>
      </rPr>
      <t>미만</t>
    </r>
  </si>
  <si>
    <r>
      <rPr>
        <sz val="11"/>
        <color indexed="8"/>
        <rFont val="굴림"/>
        <family val="3"/>
        <charset val="129"/>
      </rPr>
      <t>양호</t>
    </r>
  </si>
  <si>
    <t>m3</t>
  </si>
  <si>
    <r>
      <t xml:space="preserve">      </t>
    </r>
    <r>
      <rPr>
        <sz val="11"/>
        <color indexed="8"/>
        <rFont val="굴림"/>
        <family val="3"/>
        <charset val="129"/>
      </rPr>
      <t>무근콘크리트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깨기</t>
    </r>
    <r>
      <rPr>
        <sz val="11"/>
        <color indexed="8"/>
        <rFont val="Arial Narrow"/>
        <family val="2"/>
      </rPr>
      <t>/ T=30cm</t>
    </r>
    <r>
      <rPr>
        <sz val="11"/>
        <color indexed="8"/>
        <rFont val="굴림"/>
        <family val="3"/>
        <charset val="129"/>
      </rPr>
      <t>이상</t>
    </r>
  </si>
  <si>
    <r>
      <t xml:space="preserve">     c.</t>
    </r>
    <r>
      <rPr>
        <sz val="11"/>
        <color indexed="8"/>
        <rFont val="굴림"/>
        <family val="3"/>
        <charset val="129"/>
      </rPr>
      <t>포장깨기</t>
    </r>
  </si>
  <si>
    <r>
      <t xml:space="preserve">      </t>
    </r>
    <r>
      <rPr>
        <sz val="11"/>
        <color indexed="8"/>
        <rFont val="굴림"/>
        <family val="3"/>
        <charset val="129"/>
      </rPr>
      <t>콘크리트포장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깨기</t>
    </r>
  </si>
  <si>
    <r>
      <t xml:space="preserve">      </t>
    </r>
    <r>
      <rPr>
        <sz val="11"/>
        <color indexed="8"/>
        <rFont val="굴림"/>
        <family val="3"/>
        <charset val="129"/>
      </rPr>
      <t>아스팔트포장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깨기</t>
    </r>
  </si>
  <si>
    <r>
      <t xml:space="preserve">      </t>
    </r>
    <r>
      <rPr>
        <sz val="11"/>
        <color indexed="8"/>
        <rFont val="굴림"/>
        <family val="3"/>
        <charset val="129"/>
      </rPr>
      <t>포장절단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콘크리트</t>
    </r>
  </si>
  <si>
    <t>-</t>
  </si>
  <si>
    <r>
      <t xml:space="preserve">      </t>
    </r>
    <r>
      <rPr>
        <sz val="11"/>
        <color indexed="8"/>
        <rFont val="굴림"/>
        <family val="3"/>
        <charset val="129"/>
      </rPr>
      <t>포장절단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아스팔트</t>
    </r>
  </si>
  <si>
    <r>
      <t xml:space="preserve">     d.</t>
    </r>
    <r>
      <rPr>
        <sz val="11"/>
        <color indexed="8"/>
        <rFont val="굴림"/>
        <family val="3"/>
        <charset val="129"/>
      </rPr>
      <t>구조물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헐기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철거</t>
    </r>
  </si>
  <si>
    <r>
      <t xml:space="preserve">      </t>
    </r>
    <r>
      <rPr>
        <sz val="11"/>
        <color indexed="8"/>
        <rFont val="굴림"/>
        <family val="3"/>
        <charset val="129"/>
      </rPr>
      <t>석축헐기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찰쌓기</t>
    </r>
    <r>
      <rPr>
        <sz val="11"/>
        <color indexed="8"/>
        <rFont val="Arial Narrow"/>
        <family val="2"/>
      </rPr>
      <t>)</t>
    </r>
  </si>
  <si>
    <r>
      <rPr>
        <sz val="11"/>
        <color indexed="8"/>
        <rFont val="굴림"/>
        <family val="3"/>
        <charset val="129"/>
      </rPr>
      <t>기계</t>
    </r>
  </si>
  <si>
    <t>m2</t>
  </si>
  <si>
    <r>
      <t xml:space="preserve">      </t>
    </r>
    <r>
      <rPr>
        <sz val="11"/>
        <color indexed="8"/>
        <rFont val="굴림"/>
        <family val="3"/>
        <charset val="129"/>
      </rPr>
      <t>돌망태헐기</t>
    </r>
  </si>
  <si>
    <r>
      <t xml:space="preserve">      </t>
    </r>
    <r>
      <rPr>
        <sz val="11"/>
        <color indexed="8"/>
        <rFont val="굴림"/>
        <family val="3"/>
        <charset val="129"/>
      </rPr>
      <t>호안블록헐기</t>
    </r>
  </si>
  <si>
    <r>
      <t xml:space="preserve">      </t>
    </r>
    <r>
      <rPr>
        <sz val="11"/>
        <color indexed="8"/>
        <rFont val="굴림"/>
        <family val="3"/>
        <charset val="129"/>
      </rPr>
      <t>보강토옹벽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철거</t>
    </r>
  </si>
  <si>
    <r>
      <t xml:space="preserve">     e.</t>
    </r>
    <r>
      <rPr>
        <sz val="11"/>
        <color indexed="8"/>
        <rFont val="굴림"/>
        <family val="3"/>
        <charset val="129"/>
      </rPr>
      <t>관깨기</t>
    </r>
  </si>
  <si>
    <r>
      <t xml:space="preserve">      </t>
    </r>
    <r>
      <rPr>
        <sz val="11"/>
        <color indexed="8"/>
        <rFont val="굴림"/>
        <family val="3"/>
        <charset val="129"/>
      </rPr>
      <t>콘크리트관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깨기</t>
    </r>
  </si>
  <si>
    <t>D=300~500mm</t>
  </si>
  <si>
    <r>
      <t>D=500mm</t>
    </r>
    <r>
      <rPr>
        <sz val="11"/>
        <color indexed="8"/>
        <rFont val="굴림"/>
        <family val="3"/>
        <charset val="129"/>
      </rPr>
      <t>초과</t>
    </r>
  </si>
  <si>
    <r>
      <t xml:space="preserve">     f.</t>
    </r>
    <r>
      <rPr>
        <sz val="11"/>
        <color indexed="8"/>
        <rFont val="굴림"/>
        <family val="3"/>
        <charset val="129"/>
      </rPr>
      <t>가드레일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철거</t>
    </r>
  </si>
  <si>
    <r>
      <t xml:space="preserve">      </t>
    </r>
    <r>
      <rPr>
        <sz val="11"/>
        <color indexed="8"/>
        <rFont val="굴림"/>
        <family val="3"/>
        <charset val="129"/>
      </rPr>
      <t>가드레일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철거</t>
    </r>
  </si>
  <si>
    <r>
      <t>4M/</t>
    </r>
    <r>
      <rPr>
        <sz val="11"/>
        <color indexed="8"/>
        <rFont val="굴림"/>
        <family val="3"/>
        <charset val="129"/>
      </rPr>
      <t>경간</t>
    </r>
  </si>
  <si>
    <r>
      <t xml:space="preserve">     g.</t>
    </r>
    <r>
      <rPr>
        <sz val="11"/>
        <color indexed="8"/>
        <rFont val="굴림"/>
        <family val="3"/>
        <charset val="129"/>
      </rPr>
      <t>낙석방지책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철거</t>
    </r>
  </si>
  <si>
    <r>
      <t xml:space="preserve">      </t>
    </r>
    <r>
      <rPr>
        <sz val="11"/>
        <color indexed="8"/>
        <rFont val="굴림"/>
        <family val="3"/>
        <charset val="129"/>
      </rPr>
      <t>낙석방지책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철거</t>
    </r>
  </si>
  <si>
    <r>
      <t xml:space="preserve">     h.</t>
    </r>
    <r>
      <rPr>
        <sz val="11"/>
        <color indexed="8"/>
        <rFont val="굴림"/>
        <family val="3"/>
        <charset val="129"/>
      </rPr>
      <t>건축구조물헐기</t>
    </r>
  </si>
  <si>
    <r>
      <t xml:space="preserve">      </t>
    </r>
    <r>
      <rPr>
        <sz val="11"/>
        <color indexed="8"/>
        <rFont val="굴림"/>
        <family val="3"/>
        <charset val="129"/>
      </rPr>
      <t>건축구조물철거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주거용</t>
    </r>
    <r>
      <rPr>
        <sz val="11"/>
        <color indexed="8"/>
        <rFont val="Arial Narrow"/>
        <family val="2"/>
      </rPr>
      <t>)</t>
    </r>
  </si>
  <si>
    <r>
      <rPr>
        <sz val="11"/>
        <color indexed="8"/>
        <rFont val="굴림"/>
        <family val="3"/>
        <charset val="129"/>
      </rPr>
      <t>단독주택</t>
    </r>
  </si>
  <si>
    <r>
      <rPr>
        <sz val="11"/>
        <color indexed="8"/>
        <rFont val="굴림"/>
        <family val="3"/>
        <charset val="129"/>
      </rPr>
      <t>㎡</t>
    </r>
  </si>
  <si>
    <r>
      <t xml:space="preserve">      </t>
    </r>
    <r>
      <rPr>
        <sz val="11"/>
        <color indexed="8"/>
        <rFont val="굴림"/>
        <family val="3"/>
        <charset val="129"/>
      </rPr>
      <t>건축구조물철거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업무용</t>
    </r>
    <r>
      <rPr>
        <sz val="11"/>
        <color indexed="8"/>
        <rFont val="Arial Narrow"/>
        <family val="2"/>
      </rPr>
      <t>)</t>
    </r>
  </si>
  <si>
    <r>
      <rPr>
        <sz val="11"/>
        <color indexed="8"/>
        <rFont val="굴림"/>
        <family val="3"/>
        <charset val="129"/>
      </rPr>
      <t>철근콘크리트조</t>
    </r>
  </si>
  <si>
    <r>
      <rPr>
        <sz val="11"/>
        <color indexed="8"/>
        <rFont val="굴림"/>
        <family val="3"/>
        <charset val="129"/>
      </rPr>
      <t>철골조</t>
    </r>
  </si>
  <si>
    <r>
      <t xml:space="preserve">      </t>
    </r>
    <r>
      <rPr>
        <sz val="11"/>
        <color indexed="8"/>
        <rFont val="굴림"/>
        <family val="3"/>
        <charset val="129"/>
      </rPr>
      <t>건축구조물철거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공공용</t>
    </r>
    <r>
      <rPr>
        <sz val="11"/>
        <color indexed="8"/>
        <rFont val="Arial Narrow"/>
        <family val="2"/>
      </rPr>
      <t>)</t>
    </r>
  </si>
  <si>
    <r>
      <t xml:space="preserve">     i.</t>
    </r>
    <r>
      <rPr>
        <sz val="11"/>
        <color indexed="8"/>
        <rFont val="굴림"/>
        <family val="3"/>
        <charset val="129"/>
      </rPr>
      <t>폐기물적재</t>
    </r>
  </si>
  <si>
    <r>
      <t xml:space="preserve">      </t>
    </r>
    <r>
      <rPr>
        <sz val="11"/>
        <color indexed="8"/>
        <rFont val="굴림"/>
        <family val="3"/>
        <charset val="129"/>
      </rPr>
      <t>폐기물적재</t>
    </r>
  </si>
  <si>
    <r>
      <rPr>
        <sz val="11"/>
        <color indexed="8"/>
        <rFont val="굴림"/>
        <family val="3"/>
        <charset val="129"/>
      </rPr>
      <t>굴삭기</t>
    </r>
    <r>
      <rPr>
        <sz val="11"/>
        <color indexed="8"/>
        <rFont val="Arial Narrow"/>
        <family val="2"/>
      </rPr>
      <t xml:space="preserve"> 0.7</t>
    </r>
    <r>
      <rPr>
        <sz val="11"/>
        <color indexed="8"/>
        <rFont val="굴림"/>
        <family val="3"/>
        <charset val="129"/>
      </rPr>
      <t>㎥</t>
    </r>
  </si>
  <si>
    <r>
      <t xml:space="preserve">    1.02.</t>
    </r>
    <r>
      <rPr>
        <sz val="11"/>
        <color indexed="8"/>
        <rFont val="굴림"/>
        <family val="3"/>
        <charset val="129"/>
      </rPr>
      <t>벌개제근</t>
    </r>
  </si>
  <si>
    <r>
      <t xml:space="preserve">     </t>
    </r>
    <r>
      <rPr>
        <sz val="11"/>
        <color indexed="8"/>
        <rFont val="굴림"/>
        <family val="3"/>
        <charset val="129"/>
      </rPr>
      <t>뿌리뽑기</t>
    </r>
  </si>
  <si>
    <r>
      <t xml:space="preserve">     </t>
    </r>
    <r>
      <rPr>
        <sz val="11"/>
        <color indexed="8"/>
        <rFont val="굴림"/>
        <family val="3"/>
        <charset val="129"/>
      </rPr>
      <t>벌목</t>
    </r>
  </si>
  <si>
    <r>
      <t>5m</t>
    </r>
    <r>
      <rPr>
        <sz val="11"/>
        <color indexed="8"/>
        <rFont val="굴림"/>
        <family val="3"/>
        <charset val="129"/>
      </rPr>
      <t>미만</t>
    </r>
  </si>
  <si>
    <r>
      <t>5</t>
    </r>
    <r>
      <rPr>
        <sz val="11"/>
        <color indexed="8"/>
        <rFont val="굴림"/>
        <family val="3"/>
        <charset val="129"/>
      </rPr>
      <t>～</t>
    </r>
    <r>
      <rPr>
        <sz val="11"/>
        <color indexed="8"/>
        <rFont val="Arial Narrow"/>
        <family val="2"/>
      </rPr>
      <t>8m</t>
    </r>
    <r>
      <rPr>
        <sz val="11"/>
        <color indexed="8"/>
        <rFont val="굴림"/>
        <family val="3"/>
        <charset val="129"/>
      </rPr>
      <t>미만</t>
    </r>
  </si>
  <si>
    <r>
      <t>8m</t>
    </r>
    <r>
      <rPr>
        <sz val="11"/>
        <color indexed="8"/>
        <rFont val="굴림"/>
        <family val="3"/>
        <charset val="129"/>
      </rPr>
      <t>이상</t>
    </r>
  </si>
  <si>
    <r>
      <t xml:space="preserve">    1.03.</t>
    </r>
    <r>
      <rPr>
        <sz val="11"/>
        <color indexed="8"/>
        <rFont val="굴림"/>
        <family val="3"/>
        <charset val="129"/>
      </rPr>
      <t>표토제거</t>
    </r>
  </si>
  <si>
    <r>
      <t xml:space="preserve">     </t>
    </r>
    <r>
      <rPr>
        <sz val="11"/>
        <color indexed="8"/>
        <rFont val="굴림"/>
        <family val="3"/>
        <charset val="129"/>
      </rPr>
      <t>표토제거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답구간</t>
    </r>
  </si>
  <si>
    <t>T=20cm</t>
  </si>
  <si>
    <r>
      <t xml:space="preserve">     </t>
    </r>
    <r>
      <rPr>
        <sz val="11"/>
        <color indexed="8"/>
        <rFont val="굴림"/>
        <family val="3"/>
        <charset val="129"/>
      </rPr>
      <t>표토제거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답외구간</t>
    </r>
  </si>
  <si>
    <r>
      <t xml:space="preserve">    1.04.</t>
    </r>
    <r>
      <rPr>
        <sz val="11"/>
        <color indexed="8"/>
        <rFont val="굴림"/>
        <family val="3"/>
        <charset val="129"/>
      </rPr>
      <t>흙깍기</t>
    </r>
  </si>
  <si>
    <r>
      <t xml:space="preserve">     a.</t>
    </r>
    <r>
      <rPr>
        <sz val="11"/>
        <color indexed="8"/>
        <rFont val="굴림"/>
        <family val="3"/>
        <charset val="129"/>
      </rPr>
      <t>토사</t>
    </r>
  </si>
  <si>
    <r>
      <t xml:space="preserve">      </t>
    </r>
    <r>
      <rPr>
        <sz val="11"/>
        <color indexed="8"/>
        <rFont val="굴림"/>
        <family val="3"/>
        <charset val="129"/>
      </rPr>
      <t>흙깎기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보통토사</t>
    </r>
  </si>
  <si>
    <r>
      <rPr>
        <sz val="11"/>
        <color indexed="8"/>
        <rFont val="굴림"/>
        <family val="3"/>
        <charset val="129"/>
      </rPr>
      <t>대규모</t>
    </r>
  </si>
  <si>
    <r>
      <t xml:space="preserve">      </t>
    </r>
    <r>
      <rPr>
        <sz val="11"/>
        <color indexed="8"/>
        <rFont val="굴림"/>
        <family val="3"/>
        <charset val="129"/>
      </rPr>
      <t>비옥토채취</t>
    </r>
  </si>
  <si>
    <r>
      <rPr>
        <sz val="11"/>
        <color indexed="8"/>
        <rFont val="굴림"/>
        <family val="3"/>
        <charset val="129"/>
      </rPr>
      <t>불도져</t>
    </r>
    <r>
      <rPr>
        <sz val="11"/>
        <color indexed="8"/>
        <rFont val="Arial Narrow"/>
        <family val="2"/>
      </rPr>
      <t>32ton</t>
    </r>
  </si>
  <si>
    <r>
      <t xml:space="preserve">     b.</t>
    </r>
    <r>
      <rPr>
        <sz val="11"/>
        <color indexed="8"/>
        <rFont val="굴림"/>
        <family val="3"/>
        <charset val="129"/>
      </rPr>
      <t>리핑암</t>
    </r>
  </si>
  <si>
    <r>
      <t xml:space="preserve">      </t>
    </r>
    <r>
      <rPr>
        <sz val="11"/>
        <color indexed="8"/>
        <rFont val="굴림"/>
        <family val="3"/>
        <charset val="129"/>
      </rPr>
      <t>흙깎기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혼합토사</t>
    </r>
  </si>
  <si>
    <r>
      <t xml:space="preserve">     c.</t>
    </r>
    <r>
      <rPr>
        <sz val="11"/>
        <color indexed="8"/>
        <rFont val="굴림"/>
        <family val="3"/>
        <charset val="129"/>
      </rPr>
      <t>발파암깍기</t>
    </r>
  </si>
  <si>
    <r>
      <t xml:space="preserve">      </t>
    </r>
    <r>
      <rPr>
        <sz val="11"/>
        <color indexed="8"/>
        <rFont val="굴림"/>
        <family val="3"/>
        <charset val="129"/>
      </rPr>
      <t>발파암깎기</t>
    </r>
  </si>
  <si>
    <r>
      <rPr>
        <sz val="11"/>
        <color indexed="8"/>
        <rFont val="굴림"/>
        <family val="3"/>
        <charset val="129"/>
      </rPr>
      <t>미진동굴착발파</t>
    </r>
  </si>
  <si>
    <r>
      <rPr>
        <sz val="11"/>
        <color indexed="8"/>
        <rFont val="굴림"/>
        <family val="3"/>
        <charset val="129"/>
      </rPr>
      <t>정밀진동제어발파</t>
    </r>
  </si>
  <si>
    <r>
      <rPr>
        <sz val="11"/>
        <color indexed="8"/>
        <rFont val="굴림"/>
        <family val="3"/>
        <charset val="129"/>
      </rPr>
      <t>진동제어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소규모</t>
    </r>
    <r>
      <rPr>
        <sz val="11"/>
        <color indexed="8"/>
        <rFont val="Arial Narrow"/>
        <family val="2"/>
      </rPr>
      <t>)</t>
    </r>
    <r>
      <rPr>
        <sz val="11"/>
        <color indexed="8"/>
        <rFont val="굴림"/>
        <family val="3"/>
        <charset val="129"/>
      </rPr>
      <t>발파</t>
    </r>
  </si>
  <si>
    <r>
      <rPr>
        <sz val="11"/>
        <color indexed="8"/>
        <rFont val="굴림"/>
        <family val="3"/>
        <charset val="129"/>
      </rPr>
      <t>진동제어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중규모</t>
    </r>
    <r>
      <rPr>
        <sz val="11"/>
        <color indexed="8"/>
        <rFont val="Arial Narrow"/>
        <family val="2"/>
      </rPr>
      <t>)</t>
    </r>
    <r>
      <rPr>
        <sz val="11"/>
        <color indexed="8"/>
        <rFont val="굴림"/>
        <family val="3"/>
        <charset val="129"/>
      </rPr>
      <t>발파</t>
    </r>
  </si>
  <si>
    <r>
      <rPr>
        <sz val="11"/>
        <color indexed="8"/>
        <rFont val="굴림"/>
        <family val="3"/>
        <charset val="129"/>
      </rPr>
      <t>일반발파</t>
    </r>
  </si>
  <si>
    <r>
      <rPr>
        <sz val="11"/>
        <color indexed="8"/>
        <rFont val="굴림"/>
        <family val="3"/>
        <charset val="129"/>
      </rPr>
      <t>대규모발파</t>
    </r>
  </si>
  <si>
    <r>
      <t xml:space="preserve">      </t>
    </r>
    <r>
      <rPr>
        <sz val="11"/>
        <color indexed="8"/>
        <rFont val="굴림"/>
        <family val="3"/>
        <charset val="129"/>
      </rPr>
      <t>발파암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소할</t>
    </r>
  </si>
  <si>
    <r>
      <t>30cm</t>
    </r>
    <r>
      <rPr>
        <sz val="11"/>
        <color indexed="8"/>
        <rFont val="굴림"/>
        <family val="3"/>
        <charset val="129"/>
      </rPr>
      <t>미만</t>
    </r>
  </si>
  <si>
    <r>
      <t xml:space="preserve">     d.</t>
    </r>
    <r>
      <rPr>
        <sz val="11"/>
        <color indexed="8"/>
        <rFont val="굴림"/>
        <family val="3"/>
        <charset val="129"/>
      </rPr>
      <t>시험발파비</t>
    </r>
  </si>
  <si>
    <r>
      <t xml:space="preserve">2km </t>
    </r>
    <r>
      <rPr>
        <sz val="11"/>
        <color indexed="8"/>
        <rFont val="굴림"/>
        <family val="3"/>
        <charset val="129"/>
      </rPr>
      <t>이상</t>
    </r>
  </si>
  <si>
    <r>
      <rPr>
        <sz val="11"/>
        <color indexed="8"/>
        <rFont val="굴림"/>
        <family val="3"/>
        <charset val="129"/>
      </rPr>
      <t>회</t>
    </r>
  </si>
  <si>
    <r>
      <t xml:space="preserve">     e.</t>
    </r>
    <r>
      <rPr>
        <sz val="11"/>
        <color indexed="8"/>
        <rFont val="굴림"/>
        <family val="3"/>
        <charset val="129"/>
      </rPr>
      <t>계측시행</t>
    </r>
  </si>
  <si>
    <r>
      <rPr>
        <sz val="11"/>
        <color indexed="8"/>
        <rFont val="굴림"/>
        <family val="3"/>
        <charset val="129"/>
      </rPr>
      <t>월</t>
    </r>
  </si>
  <si>
    <r>
      <t xml:space="preserve">     f.</t>
    </r>
    <r>
      <rPr>
        <sz val="11"/>
        <color indexed="8"/>
        <rFont val="굴림"/>
        <family val="3"/>
        <charset val="129"/>
      </rPr>
      <t>영향조사</t>
    </r>
  </si>
  <si>
    <r>
      <rPr>
        <sz val="11"/>
        <color indexed="8"/>
        <rFont val="굴림"/>
        <family val="3"/>
        <charset val="129"/>
      </rPr>
      <t>물건조사등</t>
    </r>
  </si>
  <si>
    <r>
      <t xml:space="preserve">    1.05.</t>
    </r>
    <r>
      <rPr>
        <sz val="11"/>
        <color indexed="8"/>
        <rFont val="굴림"/>
        <family val="3"/>
        <charset val="129"/>
      </rPr>
      <t>토량운반</t>
    </r>
  </si>
  <si>
    <r>
      <t xml:space="preserve">     a.</t>
    </r>
    <r>
      <rPr>
        <sz val="11"/>
        <color indexed="8"/>
        <rFont val="굴림"/>
        <family val="3"/>
        <charset val="129"/>
      </rPr>
      <t>무대운반</t>
    </r>
  </si>
  <si>
    <r>
      <t xml:space="preserve">      a-1.</t>
    </r>
    <r>
      <rPr>
        <sz val="11"/>
        <color indexed="8"/>
        <rFont val="굴림"/>
        <family val="3"/>
        <charset val="129"/>
      </rPr>
      <t>무대운반</t>
    </r>
  </si>
  <si>
    <r>
      <rPr>
        <sz val="11"/>
        <color indexed="8"/>
        <rFont val="굴림"/>
        <family val="3"/>
        <charset val="129"/>
      </rPr>
      <t>토사</t>
    </r>
  </si>
  <si>
    <r>
      <t xml:space="preserve">      a-2.</t>
    </r>
    <r>
      <rPr>
        <sz val="11"/>
        <color indexed="8"/>
        <rFont val="굴림"/>
        <family val="3"/>
        <charset val="129"/>
      </rPr>
      <t>무대운반</t>
    </r>
  </si>
  <si>
    <r>
      <rPr>
        <sz val="11"/>
        <color indexed="8"/>
        <rFont val="굴림"/>
        <family val="3"/>
        <charset val="129"/>
      </rPr>
      <t>리핑암</t>
    </r>
  </si>
  <si>
    <r>
      <t xml:space="preserve">      a-3.</t>
    </r>
    <r>
      <rPr>
        <sz val="11"/>
        <color indexed="8"/>
        <rFont val="굴림"/>
        <family val="3"/>
        <charset val="129"/>
      </rPr>
      <t>무대운반</t>
    </r>
  </si>
  <si>
    <r>
      <rPr>
        <sz val="11"/>
        <color indexed="8"/>
        <rFont val="굴림"/>
        <family val="3"/>
        <charset val="129"/>
      </rPr>
      <t>발파암</t>
    </r>
  </si>
  <si>
    <r>
      <t xml:space="preserve">     b.</t>
    </r>
    <r>
      <rPr>
        <sz val="11"/>
        <color indexed="8"/>
        <rFont val="굴림"/>
        <family val="3"/>
        <charset val="129"/>
      </rPr>
      <t>도쟈운반</t>
    </r>
  </si>
  <si>
    <r>
      <t xml:space="preserve">      </t>
    </r>
    <r>
      <rPr>
        <sz val="11"/>
        <color indexed="8"/>
        <rFont val="굴림"/>
        <family val="3"/>
        <charset val="129"/>
      </rPr>
      <t>흙운반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토사</t>
    </r>
  </si>
  <si>
    <r>
      <rPr>
        <sz val="11"/>
        <color indexed="8"/>
        <rFont val="굴림"/>
        <family val="3"/>
        <charset val="129"/>
      </rPr>
      <t>도저</t>
    </r>
    <r>
      <rPr>
        <sz val="11"/>
        <color indexed="8"/>
        <rFont val="Arial Narrow"/>
        <family val="2"/>
      </rPr>
      <t xml:space="preserve"> 32ton,(L=30m</t>
    </r>
    <r>
      <rPr>
        <sz val="11"/>
        <color indexed="8"/>
        <rFont val="굴림"/>
        <family val="3"/>
        <charset val="129"/>
      </rPr>
      <t>이하</t>
    </r>
    <r>
      <rPr>
        <sz val="11"/>
        <color indexed="8"/>
        <rFont val="Arial Narrow"/>
        <family val="2"/>
      </rPr>
      <t>)</t>
    </r>
  </si>
  <si>
    <r>
      <t xml:space="preserve">      </t>
    </r>
    <r>
      <rPr>
        <sz val="11"/>
        <color indexed="8"/>
        <rFont val="굴림"/>
        <family val="3"/>
        <charset val="129"/>
      </rPr>
      <t>흙운반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리핑암</t>
    </r>
  </si>
  <si>
    <r>
      <t xml:space="preserve">      </t>
    </r>
    <r>
      <rPr>
        <sz val="11"/>
        <color indexed="8"/>
        <rFont val="굴림"/>
        <family val="3"/>
        <charset val="129"/>
      </rPr>
      <t>흙운반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발파암</t>
    </r>
  </si>
  <si>
    <r>
      <t xml:space="preserve">     c.</t>
    </r>
    <r>
      <rPr>
        <sz val="11"/>
        <color indexed="8"/>
        <rFont val="굴림"/>
        <family val="3"/>
        <charset val="129"/>
      </rPr>
      <t>덤프운반</t>
    </r>
  </si>
  <si>
    <r>
      <t xml:space="preserve">      </t>
    </r>
    <r>
      <rPr>
        <sz val="11"/>
        <color indexed="8"/>
        <rFont val="굴림"/>
        <family val="3"/>
        <charset val="129"/>
      </rPr>
      <t>유용성토</t>
    </r>
    <r>
      <rPr>
        <sz val="11"/>
        <color indexed="8"/>
        <rFont val="Arial Narrow"/>
        <family val="2"/>
      </rPr>
      <t>(L=351.3M)</t>
    </r>
  </si>
  <si>
    <r>
      <rPr>
        <sz val="11"/>
        <color indexed="8"/>
        <rFont val="굴림"/>
        <family val="3"/>
        <charset val="129"/>
      </rPr>
      <t>덤프운반</t>
    </r>
    <r>
      <rPr>
        <sz val="11"/>
        <color indexed="8"/>
        <rFont val="Arial Narrow"/>
        <family val="2"/>
      </rPr>
      <t>(24ton)-</t>
    </r>
    <r>
      <rPr>
        <sz val="11"/>
        <color indexed="8"/>
        <rFont val="굴림"/>
        <family val="3"/>
        <charset val="129"/>
      </rPr>
      <t>토사</t>
    </r>
  </si>
  <si>
    <r>
      <t xml:space="preserve">      </t>
    </r>
    <r>
      <rPr>
        <sz val="11"/>
        <color indexed="8"/>
        <rFont val="굴림"/>
        <family val="3"/>
        <charset val="129"/>
      </rPr>
      <t>유용성토</t>
    </r>
    <r>
      <rPr>
        <sz val="11"/>
        <color indexed="8"/>
        <rFont val="Arial Narrow"/>
        <family val="2"/>
      </rPr>
      <t>(L=315.8M)</t>
    </r>
  </si>
  <si>
    <r>
      <rPr>
        <sz val="11"/>
        <color indexed="8"/>
        <rFont val="굴림"/>
        <family val="3"/>
        <charset val="129"/>
      </rPr>
      <t>덤프운반</t>
    </r>
    <r>
      <rPr>
        <sz val="11"/>
        <color indexed="8"/>
        <rFont val="Arial Narrow"/>
        <family val="2"/>
      </rPr>
      <t>(24ton)-</t>
    </r>
    <r>
      <rPr>
        <sz val="11"/>
        <color indexed="8"/>
        <rFont val="굴림"/>
        <family val="3"/>
        <charset val="129"/>
      </rPr>
      <t>리핑암</t>
    </r>
  </si>
  <si>
    <r>
      <t xml:space="preserve">      </t>
    </r>
    <r>
      <rPr>
        <sz val="11"/>
        <color indexed="8"/>
        <rFont val="굴림"/>
        <family val="3"/>
        <charset val="129"/>
      </rPr>
      <t>유용성토</t>
    </r>
    <r>
      <rPr>
        <sz val="11"/>
        <color indexed="8"/>
        <rFont val="Arial Narrow"/>
        <family val="2"/>
      </rPr>
      <t>(L=334.3M)</t>
    </r>
  </si>
  <si>
    <r>
      <rPr>
        <sz val="11"/>
        <color indexed="8"/>
        <rFont val="굴림"/>
        <family val="3"/>
        <charset val="129"/>
      </rPr>
      <t>덤프운반</t>
    </r>
    <r>
      <rPr>
        <sz val="11"/>
        <color indexed="8"/>
        <rFont val="Arial Narrow"/>
        <family val="2"/>
      </rPr>
      <t>(24ton)-</t>
    </r>
    <r>
      <rPr>
        <sz val="11"/>
        <color indexed="8"/>
        <rFont val="굴림"/>
        <family val="3"/>
        <charset val="129"/>
      </rPr>
      <t>발파암</t>
    </r>
  </si>
  <si>
    <r>
      <t xml:space="preserve">     d.</t>
    </r>
    <r>
      <rPr>
        <sz val="11"/>
        <color indexed="8"/>
        <rFont val="굴림"/>
        <family val="3"/>
        <charset val="129"/>
      </rPr>
      <t>부족토운반</t>
    </r>
  </si>
  <si>
    <r>
      <t xml:space="preserve">      </t>
    </r>
    <r>
      <rPr>
        <sz val="11"/>
        <color indexed="8"/>
        <rFont val="굴림"/>
        <family val="3"/>
        <charset val="129"/>
      </rPr>
      <t>부족토운반</t>
    </r>
  </si>
  <si>
    <r>
      <rPr>
        <sz val="11"/>
        <color indexed="8"/>
        <rFont val="굴림"/>
        <family val="3"/>
        <charset val="129"/>
      </rPr>
      <t>토사</t>
    </r>
    <r>
      <rPr>
        <sz val="11"/>
        <color indexed="8"/>
        <rFont val="Arial Narrow"/>
        <family val="2"/>
      </rPr>
      <t>, L=1,966M</t>
    </r>
  </si>
  <si>
    <r>
      <rPr>
        <sz val="11"/>
        <color indexed="8"/>
        <rFont val="굴림"/>
        <family val="3"/>
        <charset val="129"/>
      </rPr>
      <t>리핑암</t>
    </r>
    <r>
      <rPr>
        <sz val="11"/>
        <color indexed="8"/>
        <rFont val="Arial Narrow"/>
        <family val="2"/>
      </rPr>
      <t>, L=1,966M</t>
    </r>
  </si>
  <si>
    <r>
      <rPr>
        <sz val="11"/>
        <color indexed="8"/>
        <rFont val="굴림"/>
        <family val="3"/>
        <charset val="129"/>
      </rPr>
      <t>발파암</t>
    </r>
    <r>
      <rPr>
        <sz val="11"/>
        <color indexed="8"/>
        <rFont val="Arial Narrow"/>
        <family val="2"/>
      </rPr>
      <t>, L=1,966M</t>
    </r>
  </si>
  <si>
    <r>
      <t xml:space="preserve">     e.</t>
    </r>
    <r>
      <rPr>
        <sz val="11"/>
        <color indexed="8"/>
        <rFont val="굴림"/>
        <family val="3"/>
        <charset val="129"/>
      </rPr>
      <t>비옥토운반</t>
    </r>
  </si>
  <si>
    <r>
      <t xml:space="preserve">      </t>
    </r>
    <r>
      <rPr>
        <sz val="11"/>
        <color indexed="8"/>
        <rFont val="굴림"/>
        <family val="3"/>
        <charset val="129"/>
      </rPr>
      <t>비옥토운반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채취→적치장</t>
    </r>
    <r>
      <rPr>
        <sz val="11"/>
        <color indexed="8"/>
        <rFont val="Arial Narrow"/>
        <family val="2"/>
      </rPr>
      <t>)</t>
    </r>
  </si>
  <si>
    <t>L=503.9M</t>
  </si>
  <si>
    <r>
      <t xml:space="preserve">      </t>
    </r>
    <r>
      <rPr>
        <sz val="11"/>
        <color indexed="8"/>
        <rFont val="굴림"/>
        <family val="3"/>
        <charset val="129"/>
      </rPr>
      <t>비옥토운반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적치장→유용중점</t>
    </r>
    <r>
      <rPr>
        <sz val="11"/>
        <color indexed="8"/>
        <rFont val="Arial Narrow"/>
        <family val="2"/>
      </rPr>
      <t>)</t>
    </r>
  </si>
  <si>
    <t>L=757.3M</t>
  </si>
  <si>
    <r>
      <t xml:space="preserve">     f.</t>
    </r>
    <r>
      <rPr>
        <sz val="11"/>
        <color indexed="8"/>
        <rFont val="굴림"/>
        <family val="3"/>
        <charset val="129"/>
      </rPr>
      <t>지구외운반</t>
    </r>
  </si>
  <si>
    <r>
      <t xml:space="preserve">      </t>
    </r>
    <r>
      <rPr>
        <sz val="11"/>
        <color indexed="8"/>
        <rFont val="굴림"/>
        <family val="3"/>
        <charset val="129"/>
      </rPr>
      <t>사토운반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백호</t>
    </r>
    <r>
      <rPr>
        <sz val="11"/>
        <color indexed="8"/>
        <rFont val="Arial Narrow"/>
        <family val="2"/>
      </rPr>
      <t>+</t>
    </r>
    <r>
      <rPr>
        <sz val="11"/>
        <color indexed="8"/>
        <rFont val="굴림"/>
        <family val="3"/>
        <charset val="129"/>
      </rPr>
      <t>덤프</t>
    </r>
    <r>
      <rPr>
        <sz val="11"/>
        <color indexed="8"/>
        <rFont val="Arial Narrow"/>
        <family val="2"/>
      </rPr>
      <t>24ton)</t>
    </r>
  </si>
  <si>
    <r>
      <rPr>
        <sz val="11"/>
        <color indexed="8"/>
        <rFont val="굴림"/>
        <family val="3"/>
        <charset val="129"/>
      </rPr>
      <t>토사</t>
    </r>
    <r>
      <rPr>
        <sz val="11"/>
        <color indexed="8"/>
        <rFont val="Arial Narrow"/>
        <family val="2"/>
      </rPr>
      <t>,L=5.0km</t>
    </r>
  </si>
  <si>
    <r>
      <rPr>
        <sz val="11"/>
        <color indexed="8"/>
        <rFont val="굴림"/>
        <family val="3"/>
        <charset val="129"/>
      </rPr>
      <t>리핑암</t>
    </r>
    <r>
      <rPr>
        <sz val="11"/>
        <color indexed="8"/>
        <rFont val="Arial Narrow"/>
        <family val="2"/>
      </rPr>
      <t>,L=5.0km</t>
    </r>
  </si>
  <si>
    <r>
      <rPr>
        <sz val="11"/>
        <color indexed="8"/>
        <rFont val="굴림"/>
        <family val="3"/>
        <charset val="129"/>
      </rPr>
      <t>발파암</t>
    </r>
    <r>
      <rPr>
        <sz val="11"/>
        <color indexed="8"/>
        <rFont val="Arial Narrow"/>
        <family val="2"/>
      </rPr>
      <t>,L=5.0km</t>
    </r>
  </si>
  <si>
    <r>
      <t xml:space="preserve">    1.06.</t>
    </r>
    <r>
      <rPr>
        <sz val="11"/>
        <color indexed="8"/>
        <rFont val="굴림"/>
        <family val="3"/>
        <charset val="129"/>
      </rPr>
      <t>흙쌓기</t>
    </r>
  </si>
  <si>
    <r>
      <t xml:space="preserve">     a.</t>
    </r>
    <r>
      <rPr>
        <sz val="11"/>
        <color indexed="8"/>
        <rFont val="굴림"/>
        <family val="3"/>
        <charset val="129"/>
      </rPr>
      <t>흙쌓기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토사</t>
    </r>
  </si>
  <si>
    <r>
      <rPr>
        <sz val="11"/>
        <color indexed="8"/>
        <rFont val="굴림"/>
        <family val="3"/>
        <charset val="129"/>
      </rPr>
      <t>두께</t>
    </r>
    <r>
      <rPr>
        <sz val="11"/>
        <color indexed="8"/>
        <rFont val="Arial Narrow"/>
        <family val="2"/>
      </rPr>
      <t xml:space="preserve"> 20cm</t>
    </r>
  </si>
  <si>
    <r>
      <t xml:space="preserve">     b.</t>
    </r>
    <r>
      <rPr>
        <sz val="11"/>
        <color indexed="8"/>
        <rFont val="굴림"/>
        <family val="3"/>
        <charset val="129"/>
      </rPr>
      <t>흙쌓기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토사</t>
    </r>
  </si>
  <si>
    <r>
      <rPr>
        <sz val="11"/>
        <color indexed="8"/>
        <rFont val="굴림"/>
        <family val="3"/>
        <charset val="129"/>
      </rPr>
      <t>두께</t>
    </r>
    <r>
      <rPr>
        <sz val="11"/>
        <color indexed="8"/>
        <rFont val="Arial Narrow"/>
        <family val="2"/>
      </rPr>
      <t xml:space="preserve"> 30cm</t>
    </r>
  </si>
  <si>
    <r>
      <t xml:space="preserve">     c.</t>
    </r>
    <r>
      <rPr>
        <sz val="11"/>
        <color indexed="8"/>
        <rFont val="굴림"/>
        <family val="3"/>
        <charset val="129"/>
      </rPr>
      <t>비다짐쌓기</t>
    </r>
  </si>
  <si>
    <r>
      <t xml:space="preserve">      c-1.</t>
    </r>
    <r>
      <rPr>
        <sz val="11"/>
        <color indexed="8"/>
        <rFont val="굴림"/>
        <family val="3"/>
        <charset val="129"/>
      </rPr>
      <t>흙쌓기</t>
    </r>
  </si>
  <si>
    <r>
      <rPr>
        <sz val="11"/>
        <color indexed="8"/>
        <rFont val="굴림"/>
        <family val="3"/>
        <charset val="129"/>
      </rPr>
      <t>비다짐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리핑암</t>
    </r>
    <r>
      <rPr>
        <sz val="11"/>
        <color indexed="8"/>
        <rFont val="Arial Narrow"/>
        <family val="2"/>
      </rPr>
      <t>)</t>
    </r>
  </si>
  <si>
    <r>
      <t xml:space="preserve">      c-2.</t>
    </r>
    <r>
      <rPr>
        <sz val="11"/>
        <color indexed="8"/>
        <rFont val="굴림"/>
        <family val="3"/>
        <charset val="129"/>
      </rPr>
      <t>흙쌓기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암</t>
    </r>
  </si>
  <si>
    <r>
      <rPr>
        <sz val="11"/>
        <color indexed="8"/>
        <rFont val="굴림"/>
        <family val="3"/>
        <charset val="129"/>
      </rPr>
      <t>두께</t>
    </r>
    <r>
      <rPr>
        <sz val="11"/>
        <color indexed="8"/>
        <rFont val="Arial Narrow"/>
        <family val="2"/>
      </rPr>
      <t xml:space="preserve"> 60cm</t>
    </r>
  </si>
  <si>
    <r>
      <t xml:space="preserve">    1.07.</t>
    </r>
    <r>
      <rPr>
        <sz val="11"/>
        <color indexed="8"/>
        <rFont val="굴림"/>
        <family val="3"/>
        <charset val="129"/>
      </rPr>
      <t>구조물터파기</t>
    </r>
  </si>
  <si>
    <r>
      <t xml:space="preserve">     a.</t>
    </r>
    <r>
      <rPr>
        <sz val="11"/>
        <color indexed="8"/>
        <rFont val="굴림"/>
        <family val="3"/>
        <charset val="129"/>
      </rPr>
      <t>기계터파기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보통토사</t>
    </r>
    <r>
      <rPr>
        <sz val="11"/>
        <color indexed="8"/>
        <rFont val="Arial Narrow"/>
        <family val="2"/>
      </rPr>
      <t>/5m</t>
    </r>
    <r>
      <rPr>
        <sz val="11"/>
        <color indexed="8"/>
        <rFont val="굴림"/>
        <family val="3"/>
        <charset val="129"/>
      </rPr>
      <t>이하</t>
    </r>
  </si>
  <si>
    <r>
      <t xml:space="preserve">     b.</t>
    </r>
    <r>
      <rPr>
        <sz val="11"/>
        <color indexed="8"/>
        <rFont val="굴림"/>
        <family val="3"/>
        <charset val="129"/>
      </rPr>
      <t>기계터파기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풍화암</t>
    </r>
    <r>
      <rPr>
        <sz val="11"/>
        <color indexed="8"/>
        <rFont val="Arial Narrow"/>
        <family val="2"/>
      </rPr>
      <t>/5m</t>
    </r>
    <r>
      <rPr>
        <sz val="11"/>
        <color indexed="8"/>
        <rFont val="굴림"/>
        <family val="3"/>
        <charset val="129"/>
      </rPr>
      <t>이하</t>
    </r>
  </si>
  <si>
    <r>
      <t xml:space="preserve">     c.</t>
    </r>
    <r>
      <rPr>
        <sz val="11"/>
        <color indexed="8"/>
        <rFont val="굴림"/>
        <family val="3"/>
        <charset val="129"/>
      </rPr>
      <t>기계터파기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보통암</t>
    </r>
    <r>
      <rPr>
        <sz val="11"/>
        <color indexed="8"/>
        <rFont val="Arial Narrow"/>
        <family val="2"/>
      </rPr>
      <t>/5m</t>
    </r>
    <r>
      <rPr>
        <sz val="11"/>
        <color indexed="8"/>
        <rFont val="굴림"/>
        <family val="3"/>
        <charset val="129"/>
      </rPr>
      <t>이하</t>
    </r>
  </si>
  <si>
    <r>
      <t xml:space="preserve">    1.08.</t>
    </r>
    <r>
      <rPr>
        <sz val="11"/>
        <color indexed="8"/>
        <rFont val="굴림"/>
        <family val="3"/>
        <charset val="129"/>
      </rPr>
      <t>되메우기및다짐</t>
    </r>
  </si>
  <si>
    <r>
      <t xml:space="preserve">     </t>
    </r>
    <r>
      <rPr>
        <sz val="11"/>
        <color indexed="8"/>
        <rFont val="굴림"/>
        <family val="3"/>
        <charset val="129"/>
      </rPr>
      <t>되메우기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다짐</t>
    </r>
  </si>
  <si>
    <r>
      <rPr>
        <sz val="11"/>
        <color indexed="8"/>
        <rFont val="굴림"/>
        <family val="3"/>
        <charset val="129"/>
      </rPr>
      <t>대형장비</t>
    </r>
  </si>
  <si>
    <r>
      <t xml:space="preserve">    1.09.</t>
    </r>
    <r>
      <rPr>
        <sz val="11"/>
        <color indexed="8"/>
        <rFont val="굴림"/>
        <family val="3"/>
        <charset val="129"/>
      </rPr>
      <t>비탈면보호공</t>
    </r>
  </si>
  <si>
    <r>
      <t xml:space="preserve">     a.Seedspray+</t>
    </r>
    <r>
      <rPr>
        <sz val="11"/>
        <color indexed="8"/>
        <rFont val="굴림"/>
        <family val="3"/>
        <charset val="129"/>
      </rPr>
      <t>거적덮기</t>
    </r>
  </si>
  <si>
    <r>
      <t xml:space="preserve">      a-1.</t>
    </r>
    <r>
      <rPr>
        <sz val="11"/>
        <color indexed="8"/>
        <rFont val="굴림"/>
        <family val="3"/>
        <charset val="129"/>
      </rPr>
      <t>법면보호공</t>
    </r>
  </si>
  <si>
    <t>seed spray</t>
  </si>
  <si>
    <r>
      <t xml:space="preserve">      a-2.</t>
    </r>
    <r>
      <rPr>
        <sz val="11"/>
        <color indexed="8"/>
        <rFont val="굴림"/>
        <family val="3"/>
        <charset val="129"/>
      </rPr>
      <t>거적덮기</t>
    </r>
  </si>
  <si>
    <r>
      <t xml:space="preserve">     b.</t>
    </r>
    <r>
      <rPr>
        <sz val="11"/>
        <color indexed="8"/>
        <rFont val="굴림"/>
        <family val="3"/>
        <charset val="129"/>
      </rPr>
      <t>얇은식생기반재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취부공</t>
    </r>
  </si>
  <si>
    <r>
      <t>T=2cm,</t>
    </r>
    <r>
      <rPr>
        <sz val="11"/>
        <color indexed="8"/>
        <rFont val="굴림"/>
        <family val="3"/>
        <charset val="129"/>
      </rPr>
      <t>토사</t>
    </r>
    <r>
      <rPr>
        <sz val="11"/>
        <color indexed="8"/>
        <rFont val="Arial Narrow"/>
        <family val="2"/>
      </rPr>
      <t>,</t>
    </r>
    <r>
      <rPr>
        <sz val="11"/>
        <color indexed="8"/>
        <rFont val="굴림"/>
        <family val="3"/>
        <charset val="129"/>
      </rPr>
      <t>섬유망</t>
    </r>
  </si>
  <si>
    <r>
      <t xml:space="preserve">     c.</t>
    </r>
    <r>
      <rPr>
        <sz val="11"/>
        <color indexed="8"/>
        <rFont val="굴림"/>
        <family val="3"/>
        <charset val="129"/>
      </rPr>
      <t>얇은식생기반재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취부공</t>
    </r>
  </si>
  <si>
    <r>
      <t>T=3cm,</t>
    </r>
    <r>
      <rPr>
        <sz val="11"/>
        <color indexed="8"/>
        <rFont val="굴림"/>
        <family val="3"/>
        <charset val="129"/>
      </rPr>
      <t>리핑암</t>
    </r>
    <r>
      <rPr>
        <sz val="11"/>
        <color indexed="8"/>
        <rFont val="Arial Narrow"/>
        <family val="2"/>
      </rPr>
      <t>,</t>
    </r>
    <r>
      <rPr>
        <sz val="11"/>
        <color indexed="8"/>
        <rFont val="굴림"/>
        <family val="3"/>
        <charset val="129"/>
      </rPr>
      <t>섬유망</t>
    </r>
  </si>
  <si>
    <r>
      <t xml:space="preserve">     d.</t>
    </r>
    <r>
      <rPr>
        <sz val="11"/>
        <color indexed="8"/>
        <rFont val="굴림"/>
        <family val="3"/>
        <charset val="129"/>
      </rPr>
      <t>두꺼운식생기반재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취부공</t>
    </r>
  </si>
  <si>
    <r>
      <t>T=7cm,</t>
    </r>
    <r>
      <rPr>
        <sz val="11"/>
        <color indexed="8"/>
        <rFont val="굴림"/>
        <family val="3"/>
        <charset val="129"/>
      </rPr>
      <t>발파암</t>
    </r>
    <r>
      <rPr>
        <sz val="11"/>
        <color indexed="8"/>
        <rFont val="Arial Narrow"/>
        <family val="2"/>
      </rPr>
      <t>,PVC</t>
    </r>
    <r>
      <rPr>
        <sz val="11"/>
        <color indexed="8"/>
        <rFont val="굴림"/>
        <family val="3"/>
        <charset val="129"/>
      </rPr>
      <t>코팅망</t>
    </r>
  </si>
  <si>
    <r>
      <t xml:space="preserve">    1.10.</t>
    </r>
    <r>
      <rPr>
        <sz val="11"/>
        <color indexed="8"/>
        <rFont val="굴림"/>
        <family val="3"/>
        <charset val="129"/>
      </rPr>
      <t>면고르기</t>
    </r>
  </si>
  <si>
    <r>
      <t xml:space="preserve">     a.</t>
    </r>
    <r>
      <rPr>
        <sz val="11"/>
        <color indexed="8"/>
        <rFont val="굴림"/>
        <family val="3"/>
        <charset val="129"/>
      </rPr>
      <t>흙깎기비탈면고르기</t>
    </r>
  </si>
  <si>
    <r>
      <t xml:space="preserve">     b.</t>
    </r>
    <r>
      <rPr>
        <sz val="11"/>
        <color indexed="8"/>
        <rFont val="굴림"/>
        <family val="3"/>
        <charset val="129"/>
      </rPr>
      <t>흙깎기비탈면고르기</t>
    </r>
  </si>
  <si>
    <r>
      <t xml:space="preserve">     c.</t>
    </r>
    <r>
      <rPr>
        <sz val="11"/>
        <color indexed="8"/>
        <rFont val="굴림"/>
        <family val="3"/>
        <charset val="129"/>
      </rPr>
      <t>흙깎기비탈면고르기</t>
    </r>
  </si>
  <si>
    <r>
      <t xml:space="preserve">    1.11.</t>
    </r>
    <r>
      <rPr>
        <sz val="11"/>
        <color indexed="8"/>
        <rFont val="굴림"/>
        <family val="3"/>
        <charset val="129"/>
      </rPr>
      <t>규준틀설치</t>
    </r>
  </si>
  <si>
    <r>
      <t xml:space="preserve">     a.</t>
    </r>
    <r>
      <rPr>
        <sz val="11"/>
        <color indexed="8"/>
        <rFont val="굴림"/>
        <family val="3"/>
        <charset val="129"/>
      </rPr>
      <t>토공규준틀</t>
    </r>
  </si>
  <si>
    <r>
      <rPr>
        <sz val="11"/>
        <color indexed="8"/>
        <rFont val="굴림"/>
        <family val="3"/>
        <charset val="129"/>
      </rPr>
      <t>비탈규준틀</t>
    </r>
  </si>
  <si>
    <r>
      <rPr>
        <sz val="11"/>
        <color indexed="8"/>
        <rFont val="굴림"/>
        <family val="3"/>
        <charset val="129"/>
      </rPr>
      <t>개</t>
    </r>
  </si>
  <si>
    <r>
      <t xml:space="preserve">     b.</t>
    </r>
    <r>
      <rPr>
        <sz val="11"/>
        <color indexed="8"/>
        <rFont val="굴림"/>
        <family val="3"/>
        <charset val="129"/>
      </rPr>
      <t>토공규준틀</t>
    </r>
  </si>
  <si>
    <r>
      <rPr>
        <sz val="11"/>
        <color indexed="8"/>
        <rFont val="굴림"/>
        <family val="3"/>
        <charset val="129"/>
      </rPr>
      <t>수평규준틀</t>
    </r>
  </si>
  <si>
    <r>
      <t xml:space="preserve">    1.12.</t>
    </r>
    <r>
      <rPr>
        <sz val="11"/>
        <color indexed="8"/>
        <rFont val="굴림"/>
        <family val="3"/>
        <charset val="129"/>
      </rPr>
      <t>비옥토적치장</t>
    </r>
  </si>
  <si>
    <r>
      <t xml:space="preserve">     b.</t>
    </r>
    <r>
      <rPr>
        <sz val="11"/>
        <color indexed="8"/>
        <rFont val="굴림"/>
        <family val="3"/>
        <charset val="129"/>
      </rPr>
      <t>되메우기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다짐</t>
    </r>
  </si>
  <si>
    <r>
      <t xml:space="preserve">     c.</t>
    </r>
    <r>
      <rPr>
        <sz val="11"/>
        <color indexed="8"/>
        <rFont val="굴림"/>
        <family val="3"/>
        <charset val="129"/>
      </rPr>
      <t>천막지깔기</t>
    </r>
  </si>
  <si>
    <t>PVC</t>
  </si>
  <si>
    <r>
      <t xml:space="preserve">    1.13.</t>
    </r>
    <r>
      <rPr>
        <sz val="11"/>
        <color indexed="8"/>
        <rFont val="굴림"/>
        <family val="3"/>
        <charset val="129"/>
      </rPr>
      <t>임목폐기물파쇄</t>
    </r>
  </si>
  <si>
    <r>
      <t xml:space="preserve">     a.</t>
    </r>
    <r>
      <rPr>
        <sz val="11"/>
        <color indexed="8"/>
        <rFont val="굴림"/>
        <family val="3"/>
        <charset val="129"/>
      </rPr>
      <t>임목폐기물파쇄비</t>
    </r>
  </si>
  <si>
    <r>
      <rPr>
        <sz val="11"/>
        <color indexed="8"/>
        <rFont val="굴림"/>
        <family val="3"/>
        <charset val="129"/>
      </rPr>
      <t>나무뿌리</t>
    </r>
    <r>
      <rPr>
        <sz val="11"/>
        <color indexed="8"/>
        <rFont val="Arial Narrow"/>
        <family val="2"/>
      </rPr>
      <t>+</t>
    </r>
    <r>
      <rPr>
        <sz val="11"/>
        <color indexed="8"/>
        <rFont val="굴림"/>
        <family val="3"/>
        <charset val="129"/>
      </rPr>
      <t>가지</t>
    </r>
  </si>
  <si>
    <r>
      <t xml:space="preserve">     b.</t>
    </r>
    <r>
      <rPr>
        <sz val="11"/>
        <color indexed="8"/>
        <rFont val="굴림"/>
        <family val="3"/>
        <charset val="129"/>
      </rPr>
      <t>임목적재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운반</t>
    </r>
  </si>
  <si>
    <r>
      <rPr>
        <sz val="11"/>
        <color indexed="8"/>
        <rFont val="굴림"/>
        <family val="3"/>
        <charset val="129"/>
      </rPr>
      <t>발생지</t>
    </r>
    <r>
      <rPr>
        <sz val="11"/>
        <color indexed="8"/>
        <rFont val="Arial Narrow"/>
        <family val="2"/>
      </rPr>
      <t>-&gt;</t>
    </r>
    <r>
      <rPr>
        <sz val="11"/>
        <color indexed="8"/>
        <rFont val="굴림"/>
        <family val="3"/>
        <charset val="129"/>
      </rPr>
      <t>임목적치장</t>
    </r>
    <r>
      <rPr>
        <sz val="11"/>
        <color indexed="8"/>
        <rFont val="Arial Narrow"/>
        <family val="2"/>
      </rPr>
      <t>,L=2.0km</t>
    </r>
  </si>
  <si>
    <r>
      <t xml:space="preserve">     c.</t>
    </r>
    <r>
      <rPr>
        <sz val="11"/>
        <color indexed="8"/>
        <rFont val="굴림"/>
        <family val="3"/>
        <charset val="129"/>
      </rPr>
      <t>임목집적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적재</t>
    </r>
  </si>
  <si>
    <r>
      <rPr>
        <sz val="11"/>
        <color indexed="8"/>
        <rFont val="굴림"/>
        <family val="3"/>
        <charset val="129"/>
      </rPr>
      <t>임목적치장</t>
    </r>
    <r>
      <rPr>
        <sz val="11"/>
        <color indexed="8"/>
        <rFont val="Arial Narrow"/>
        <family val="2"/>
      </rPr>
      <t>-&gt;</t>
    </r>
    <r>
      <rPr>
        <sz val="11"/>
        <color indexed="8"/>
        <rFont val="굴림"/>
        <family val="3"/>
        <charset val="129"/>
      </rPr>
      <t>임목폐기물처리</t>
    </r>
  </si>
  <si>
    <r>
      <t xml:space="preserve">    1.14.</t>
    </r>
    <r>
      <rPr>
        <sz val="11"/>
        <color indexed="8"/>
        <rFont val="굴림"/>
        <family val="3"/>
        <charset val="129"/>
      </rPr>
      <t>임목폐기물적치장</t>
    </r>
  </si>
  <si>
    <r>
      <t>(7</t>
    </r>
    <r>
      <rPr>
        <sz val="11"/>
        <color indexed="8"/>
        <rFont val="굴림"/>
        <family val="3"/>
        <charset val="129"/>
      </rPr>
      <t>개소</t>
    </r>
    <r>
      <rPr>
        <sz val="11"/>
        <color indexed="8"/>
        <rFont val="Arial Narrow"/>
        <family val="2"/>
      </rPr>
      <t>)</t>
    </r>
  </si>
  <si>
    <r>
      <t xml:space="preserve">    1.15.</t>
    </r>
    <r>
      <rPr>
        <sz val="11"/>
        <color indexed="8"/>
        <rFont val="굴림"/>
        <family val="3"/>
        <charset val="129"/>
      </rPr>
      <t>톱밥적치장</t>
    </r>
  </si>
  <si>
    <r>
      <t>02.</t>
    </r>
    <r>
      <rPr>
        <sz val="11"/>
        <color indexed="8"/>
        <rFont val="굴림"/>
        <family val="3"/>
        <charset val="129"/>
      </rPr>
      <t>우수공</t>
    </r>
  </si>
  <si>
    <r>
      <t xml:space="preserve">    2.01.</t>
    </r>
    <r>
      <rPr>
        <sz val="11"/>
        <color indexed="8"/>
        <rFont val="굴림"/>
        <family val="3"/>
        <charset val="129"/>
      </rPr>
      <t>토공</t>
    </r>
  </si>
  <si>
    <r>
      <t xml:space="preserve">     a.</t>
    </r>
    <r>
      <rPr>
        <sz val="11"/>
        <color indexed="8"/>
        <rFont val="굴림"/>
        <family val="3"/>
        <charset val="129"/>
      </rPr>
      <t>구조물터파기</t>
    </r>
  </si>
  <si>
    <r>
      <t xml:space="preserve">      </t>
    </r>
    <r>
      <rPr>
        <sz val="11"/>
        <color indexed="8"/>
        <rFont val="굴림"/>
        <family val="3"/>
        <charset val="129"/>
      </rPr>
      <t>기계터파기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보통토사</t>
    </r>
    <r>
      <rPr>
        <sz val="11"/>
        <color indexed="8"/>
        <rFont val="Arial Narrow"/>
        <family val="2"/>
      </rPr>
      <t>/5m</t>
    </r>
    <r>
      <rPr>
        <sz val="11"/>
        <color indexed="8"/>
        <rFont val="굴림"/>
        <family val="3"/>
        <charset val="129"/>
      </rPr>
      <t>이하</t>
    </r>
  </si>
  <si>
    <r>
      <t xml:space="preserve">      </t>
    </r>
    <r>
      <rPr>
        <sz val="11"/>
        <color indexed="8"/>
        <rFont val="굴림"/>
        <family val="3"/>
        <charset val="129"/>
      </rPr>
      <t>기계터파기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풍화암</t>
    </r>
    <r>
      <rPr>
        <sz val="11"/>
        <color indexed="8"/>
        <rFont val="Arial Narrow"/>
        <family val="2"/>
      </rPr>
      <t>/5m</t>
    </r>
    <r>
      <rPr>
        <sz val="11"/>
        <color indexed="8"/>
        <rFont val="굴림"/>
        <family val="3"/>
        <charset val="129"/>
      </rPr>
      <t>이하</t>
    </r>
  </si>
  <si>
    <r>
      <t xml:space="preserve">      </t>
    </r>
    <r>
      <rPr>
        <sz val="11"/>
        <color indexed="8"/>
        <rFont val="굴림"/>
        <family val="3"/>
        <charset val="129"/>
      </rPr>
      <t>기계터파기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보통암</t>
    </r>
    <r>
      <rPr>
        <sz val="11"/>
        <color indexed="8"/>
        <rFont val="Arial Narrow"/>
        <family val="2"/>
      </rPr>
      <t>/5m</t>
    </r>
    <r>
      <rPr>
        <sz val="11"/>
        <color indexed="8"/>
        <rFont val="굴림"/>
        <family val="3"/>
        <charset val="129"/>
      </rPr>
      <t>이하</t>
    </r>
  </si>
  <si>
    <r>
      <t xml:space="preserve">     b.</t>
    </r>
    <r>
      <rPr>
        <sz val="11"/>
        <color indexed="8"/>
        <rFont val="굴림"/>
        <family val="3"/>
        <charset val="129"/>
      </rPr>
      <t>되메우기및다짐</t>
    </r>
  </si>
  <si>
    <r>
      <t xml:space="preserve">      b-1.</t>
    </r>
    <r>
      <rPr>
        <sz val="11"/>
        <color indexed="8"/>
        <rFont val="굴림"/>
        <family val="3"/>
        <charset val="129"/>
      </rPr>
      <t>되메우기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다짐</t>
    </r>
  </si>
  <si>
    <r>
      <t xml:space="preserve">      b-2.</t>
    </r>
    <r>
      <rPr>
        <sz val="11"/>
        <color indexed="8"/>
        <rFont val="굴림"/>
        <family val="3"/>
        <charset val="129"/>
      </rPr>
      <t>되메우기및다짐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기계</t>
    </r>
    <r>
      <rPr>
        <sz val="11"/>
        <color indexed="8"/>
        <rFont val="Arial Narrow"/>
        <family val="2"/>
      </rPr>
      <t>100%)</t>
    </r>
  </si>
  <si>
    <r>
      <rPr>
        <sz val="11"/>
        <color indexed="8"/>
        <rFont val="굴림"/>
        <family val="3"/>
        <charset val="129"/>
      </rPr>
      <t>백호우</t>
    </r>
    <r>
      <rPr>
        <sz val="11"/>
        <color indexed="8"/>
        <rFont val="Arial Narrow"/>
        <family val="2"/>
      </rPr>
      <t>0.7</t>
    </r>
    <r>
      <rPr>
        <sz val="11"/>
        <color indexed="8"/>
        <rFont val="굴림"/>
        <family val="3"/>
        <charset val="129"/>
      </rPr>
      <t>㎥</t>
    </r>
    <r>
      <rPr>
        <sz val="11"/>
        <color indexed="8"/>
        <rFont val="Arial Narrow"/>
        <family val="2"/>
      </rPr>
      <t>+</t>
    </r>
    <r>
      <rPr>
        <sz val="11"/>
        <color indexed="8"/>
        <rFont val="굴림"/>
        <family val="3"/>
        <charset val="129"/>
      </rPr>
      <t>콤팩터</t>
    </r>
    <r>
      <rPr>
        <sz val="11"/>
        <color indexed="8"/>
        <rFont val="Arial Narrow"/>
        <family val="2"/>
      </rPr>
      <t>1.5ton</t>
    </r>
  </si>
  <si>
    <r>
      <t xml:space="preserve">      b-3.</t>
    </r>
    <r>
      <rPr>
        <sz val="11"/>
        <color indexed="8"/>
        <rFont val="굴림"/>
        <family val="3"/>
        <charset val="129"/>
      </rPr>
      <t>되메우기및다짐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기계</t>
    </r>
    <r>
      <rPr>
        <sz val="11"/>
        <color indexed="8"/>
        <rFont val="Arial Narrow"/>
        <family val="2"/>
      </rPr>
      <t>100%)</t>
    </r>
  </si>
  <si>
    <r>
      <rPr>
        <sz val="11"/>
        <color indexed="8"/>
        <rFont val="굴림"/>
        <family val="3"/>
        <charset val="129"/>
      </rPr>
      <t>백호우</t>
    </r>
    <r>
      <rPr>
        <sz val="11"/>
        <color indexed="8"/>
        <rFont val="Arial Narrow"/>
        <family val="2"/>
      </rPr>
      <t>0.7</t>
    </r>
    <r>
      <rPr>
        <sz val="11"/>
        <color indexed="8"/>
        <rFont val="굴림"/>
        <family val="3"/>
        <charset val="129"/>
      </rPr>
      <t>㎥</t>
    </r>
    <r>
      <rPr>
        <sz val="11"/>
        <color indexed="8"/>
        <rFont val="Arial Narrow"/>
        <family val="2"/>
      </rPr>
      <t>+</t>
    </r>
    <r>
      <rPr>
        <sz val="11"/>
        <color indexed="8"/>
        <rFont val="굴림"/>
        <family val="3"/>
        <charset val="129"/>
      </rPr>
      <t>래머</t>
    </r>
    <r>
      <rPr>
        <sz val="11"/>
        <color indexed="8"/>
        <rFont val="Arial Narrow"/>
        <family val="2"/>
      </rPr>
      <t>80KG</t>
    </r>
  </si>
  <si>
    <r>
      <t xml:space="preserve">    2.02.</t>
    </r>
    <r>
      <rPr>
        <sz val="11"/>
        <color indexed="8"/>
        <rFont val="굴림"/>
        <family val="3"/>
        <charset val="129"/>
      </rPr>
      <t>우수관로</t>
    </r>
  </si>
  <si>
    <r>
      <t xml:space="preserve">     a.</t>
    </r>
    <r>
      <rPr>
        <sz val="11"/>
        <color indexed="8"/>
        <rFont val="굴림"/>
        <family val="3"/>
        <charset val="129"/>
      </rPr>
      <t>우수받이연결관</t>
    </r>
  </si>
  <si>
    <r>
      <t xml:space="preserve">      PVC</t>
    </r>
    <r>
      <rPr>
        <sz val="11"/>
        <color indexed="8"/>
        <rFont val="굴림"/>
        <family val="3"/>
        <charset val="129"/>
      </rPr>
      <t>이중벽관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소켓식</t>
    </r>
  </si>
  <si>
    <t>ø250mm</t>
  </si>
  <si>
    <r>
      <t xml:space="preserve">     b.</t>
    </r>
    <r>
      <rPr>
        <sz val="11"/>
        <color indexed="8"/>
        <rFont val="굴림"/>
        <family val="3"/>
        <charset val="129"/>
      </rPr>
      <t>우수관로</t>
    </r>
  </si>
  <si>
    <r>
      <t xml:space="preserve">      b-1.</t>
    </r>
    <r>
      <rPr>
        <sz val="11"/>
        <color indexed="8"/>
        <rFont val="굴림"/>
        <family val="3"/>
        <charset val="129"/>
      </rPr>
      <t>원심력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철근콘크리트관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소켓식</t>
    </r>
  </si>
  <si>
    <t>D450mm</t>
  </si>
  <si>
    <r>
      <t xml:space="preserve">      b-2.</t>
    </r>
    <r>
      <rPr>
        <sz val="11"/>
        <color indexed="8"/>
        <rFont val="굴림"/>
        <family val="3"/>
        <charset val="129"/>
      </rPr>
      <t>원심력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철근콘크리트관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소켓식</t>
    </r>
  </si>
  <si>
    <t>D600mm</t>
  </si>
  <si>
    <r>
      <t xml:space="preserve">      b-3.</t>
    </r>
    <r>
      <rPr>
        <sz val="11"/>
        <color indexed="8"/>
        <rFont val="굴림"/>
        <family val="3"/>
        <charset val="129"/>
      </rPr>
      <t>원심력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철근콘크리트관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소켓식</t>
    </r>
  </si>
  <si>
    <t>D800mm</t>
  </si>
  <si>
    <r>
      <t xml:space="preserve">      b-5.</t>
    </r>
    <r>
      <rPr>
        <sz val="11"/>
        <color indexed="8"/>
        <rFont val="굴림"/>
        <family val="3"/>
        <charset val="129"/>
      </rPr>
      <t>원심력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철근콘크리트관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소켓식</t>
    </r>
  </si>
  <si>
    <t>D1,000mm</t>
  </si>
  <si>
    <r>
      <t xml:space="preserve">      b-6.</t>
    </r>
    <r>
      <rPr>
        <sz val="11"/>
        <color indexed="8"/>
        <rFont val="굴림"/>
        <family val="3"/>
        <charset val="129"/>
      </rPr>
      <t>원심력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철근콘크리트관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소켓식</t>
    </r>
  </si>
  <si>
    <t>D1,200mm</t>
  </si>
  <si>
    <r>
      <t xml:space="preserve">      b-7.</t>
    </r>
    <r>
      <rPr>
        <sz val="11"/>
        <color indexed="8"/>
        <rFont val="굴림"/>
        <family val="3"/>
        <charset val="129"/>
      </rPr>
      <t>원심력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철근콘크리트관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소켓식</t>
    </r>
  </si>
  <si>
    <t>D1,350mm</t>
  </si>
  <si>
    <r>
      <t xml:space="preserve">      b-8.</t>
    </r>
    <r>
      <rPr>
        <sz val="11"/>
        <color indexed="8"/>
        <rFont val="굴림"/>
        <family val="3"/>
        <charset val="129"/>
      </rPr>
      <t>관기초</t>
    </r>
  </si>
  <si>
    <r>
      <t xml:space="preserve">       </t>
    </r>
    <r>
      <rPr>
        <sz val="11"/>
        <color indexed="8"/>
        <rFont val="굴림"/>
        <family val="3"/>
        <charset val="129"/>
      </rPr>
      <t>콘크리트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타설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장비사용</t>
    </r>
  </si>
  <si>
    <r>
      <rPr>
        <sz val="11"/>
        <color indexed="8"/>
        <rFont val="굴림"/>
        <family val="3"/>
        <charset val="129"/>
      </rPr>
      <t>무근콘크리트</t>
    </r>
  </si>
  <si>
    <r>
      <t xml:space="preserve">       </t>
    </r>
    <r>
      <rPr>
        <sz val="11"/>
        <color indexed="8"/>
        <rFont val="굴림"/>
        <family val="3"/>
        <charset val="129"/>
      </rPr>
      <t>합판거푸집</t>
    </r>
  </si>
  <si>
    <r>
      <rPr>
        <sz val="11"/>
        <color indexed="8"/>
        <rFont val="굴림"/>
        <family val="3"/>
        <charset val="129"/>
      </rPr>
      <t>간단</t>
    </r>
    <r>
      <rPr>
        <sz val="11"/>
        <color indexed="8"/>
        <rFont val="Arial Narrow"/>
        <family val="2"/>
      </rPr>
      <t xml:space="preserve">,0 </t>
    </r>
    <r>
      <rPr>
        <sz val="11"/>
        <color indexed="8"/>
        <rFont val="굴림"/>
        <family val="3"/>
        <charset val="129"/>
      </rPr>
      <t>∼</t>
    </r>
    <r>
      <rPr>
        <sz val="11"/>
        <color indexed="8"/>
        <rFont val="Arial Narrow"/>
        <family val="2"/>
      </rPr>
      <t xml:space="preserve"> 7m</t>
    </r>
  </si>
  <si>
    <r>
      <t xml:space="preserve">     d.</t>
    </r>
    <r>
      <rPr>
        <sz val="11"/>
        <color indexed="8"/>
        <rFont val="굴림"/>
        <family val="3"/>
        <charset val="129"/>
      </rPr>
      <t>하수관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천공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접합</t>
    </r>
  </si>
  <si>
    <r>
      <t xml:space="preserve">      d-1.</t>
    </r>
    <r>
      <rPr>
        <sz val="11"/>
        <color indexed="8"/>
        <rFont val="굴림"/>
        <family val="3"/>
        <charset val="129"/>
      </rPr>
      <t>하수관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천공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접합</t>
    </r>
  </si>
  <si>
    <t>Ø450*250MM</t>
  </si>
  <si>
    <r>
      <rPr>
        <sz val="11"/>
        <color indexed="8"/>
        <rFont val="굴림"/>
        <family val="3"/>
        <charset val="129"/>
      </rPr>
      <t>개소</t>
    </r>
  </si>
  <si>
    <r>
      <t xml:space="preserve">      d-2.</t>
    </r>
    <r>
      <rPr>
        <sz val="11"/>
        <color indexed="8"/>
        <rFont val="굴림"/>
        <family val="3"/>
        <charset val="129"/>
      </rPr>
      <t>하수관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천공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접합</t>
    </r>
  </si>
  <si>
    <t>Ø600*250MM</t>
  </si>
  <si>
    <r>
      <t xml:space="preserve">      d-3.</t>
    </r>
    <r>
      <rPr>
        <sz val="11"/>
        <color indexed="8"/>
        <rFont val="굴림"/>
        <family val="3"/>
        <charset val="129"/>
      </rPr>
      <t>하수관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천공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접합</t>
    </r>
  </si>
  <si>
    <t>Ø800*250MM</t>
  </si>
  <si>
    <r>
      <t xml:space="preserve">      d-4.</t>
    </r>
    <r>
      <rPr>
        <sz val="11"/>
        <color indexed="8"/>
        <rFont val="굴림"/>
        <family val="3"/>
        <charset val="129"/>
      </rPr>
      <t>하수관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천공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접합</t>
    </r>
  </si>
  <si>
    <t>Ø1,000*250MM</t>
  </si>
  <si>
    <r>
      <t xml:space="preserve">      d-5.</t>
    </r>
    <r>
      <rPr>
        <sz val="11"/>
        <color indexed="8"/>
        <rFont val="굴림"/>
        <family val="3"/>
        <charset val="129"/>
      </rPr>
      <t>하수관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천공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접합</t>
    </r>
  </si>
  <si>
    <t>Ø1,200*250MM</t>
  </si>
  <si>
    <r>
      <t xml:space="preserve">      d-6.</t>
    </r>
    <r>
      <rPr>
        <sz val="11"/>
        <color indexed="8"/>
        <rFont val="굴림"/>
        <family val="3"/>
        <charset val="129"/>
      </rPr>
      <t>하수관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천공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접합</t>
    </r>
  </si>
  <si>
    <t>Ø1,350*250MM</t>
  </si>
  <si>
    <r>
      <t xml:space="preserve">    2.03.PC</t>
    </r>
    <r>
      <rPr>
        <sz val="11"/>
        <color indexed="8"/>
        <rFont val="굴림"/>
        <family val="3"/>
        <charset val="129"/>
      </rPr>
      <t>우수암거</t>
    </r>
  </si>
  <si>
    <r>
      <t xml:space="preserve">     a.PC</t>
    </r>
    <r>
      <rPr>
        <sz val="11"/>
        <color indexed="8"/>
        <rFont val="굴림"/>
        <family val="3"/>
        <charset val="129"/>
      </rPr>
      <t>우수암거설치비</t>
    </r>
  </si>
  <si>
    <r>
      <t xml:space="preserve">      a-1.</t>
    </r>
    <r>
      <rPr>
        <sz val="11"/>
        <color indexed="8"/>
        <rFont val="굴림"/>
        <family val="3"/>
        <charset val="129"/>
      </rPr>
      <t>일반</t>
    </r>
  </si>
  <si>
    <r>
      <t xml:space="preserve">       PC BOX </t>
    </r>
    <r>
      <rPr>
        <sz val="11"/>
        <color indexed="8"/>
        <rFont val="굴림"/>
        <family val="3"/>
        <charset val="129"/>
      </rPr>
      <t>설치</t>
    </r>
    <r>
      <rPr>
        <sz val="11"/>
        <color indexed="8"/>
        <rFont val="Arial Narrow"/>
        <family val="2"/>
      </rPr>
      <t xml:space="preserve">(10ton </t>
    </r>
    <r>
      <rPr>
        <sz val="11"/>
        <color indexed="8"/>
        <rFont val="굴림"/>
        <family val="3"/>
        <charset val="129"/>
      </rPr>
      <t>미만</t>
    </r>
    <r>
      <rPr>
        <sz val="11"/>
        <color indexed="8"/>
        <rFont val="Arial Narrow"/>
        <family val="2"/>
      </rPr>
      <t>)</t>
    </r>
  </si>
  <si>
    <r>
      <t>1@1.50 X 1.50(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>0~3M,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</si>
  <si>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1@1.50 X 1.50(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>0~5M,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</si>
  <si>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1@1.80 X 1.50(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>0~3M,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</si>
  <si>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1@1.80 X 1.50(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>3~6M,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</si>
  <si>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1@1.50 X 2.00(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>0~3M,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</si>
  <si>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1@1.50 X 2.00(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>3~6M,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</si>
  <si>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1@2.00 X 1.50(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>0~3M,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</si>
  <si>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1@2.00 X 1.50(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>3~6M,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</si>
  <si>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1@2.00 X 2.00(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>0~3M,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</si>
  <si>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1@2.00 X 2.00(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>0~4M,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</si>
  <si>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 xml:space="preserve">       PC BOX </t>
    </r>
    <r>
      <rPr>
        <sz val="11"/>
        <color indexed="8"/>
        <rFont val="굴림"/>
        <family val="3"/>
        <charset val="129"/>
      </rPr>
      <t>설치</t>
    </r>
    <r>
      <rPr>
        <sz val="11"/>
        <color indexed="8"/>
        <rFont val="Arial Narrow"/>
        <family val="2"/>
      </rPr>
      <t xml:space="preserve">(15ton </t>
    </r>
    <r>
      <rPr>
        <sz val="11"/>
        <color indexed="8"/>
        <rFont val="굴림"/>
        <family val="3"/>
        <charset val="129"/>
      </rPr>
      <t>미만</t>
    </r>
    <r>
      <rPr>
        <sz val="11"/>
        <color indexed="8"/>
        <rFont val="Arial Narrow"/>
        <family val="2"/>
      </rPr>
      <t>)</t>
    </r>
  </si>
  <si>
    <r>
      <t>1@2.50 X 2.00(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>0~3M,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</si>
  <si>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1@2.50 X 2.00(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>3~6M,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</si>
  <si>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1@2.50 X 2.50(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>0~3M,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</si>
  <si>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1@2.50 X 2.50(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>3~6M,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</si>
  <si>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 xml:space="preserve">       PC BOX </t>
    </r>
    <r>
      <rPr>
        <sz val="11"/>
        <color indexed="8"/>
        <rFont val="굴림"/>
        <family val="3"/>
        <charset val="129"/>
      </rPr>
      <t>설치</t>
    </r>
    <r>
      <rPr>
        <sz val="11"/>
        <color indexed="8"/>
        <rFont val="Arial Narrow"/>
        <family val="2"/>
      </rPr>
      <t xml:space="preserve">(25ton </t>
    </r>
    <r>
      <rPr>
        <sz val="11"/>
        <color indexed="8"/>
        <rFont val="굴림"/>
        <family val="3"/>
        <charset val="129"/>
      </rPr>
      <t>미만</t>
    </r>
    <r>
      <rPr>
        <sz val="11"/>
        <color indexed="8"/>
        <rFont val="Arial Narrow"/>
        <family val="2"/>
      </rPr>
      <t>)</t>
    </r>
  </si>
  <si>
    <r>
      <t>1@3.00 X 2.50(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>0~3M,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</si>
  <si>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1@3.00 X 2.50(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>3~6M,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</si>
  <si>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2@1.30 X 3.00(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>0~1M,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</si>
  <si>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2@1.30 X 3.00(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>0~3M,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</si>
  <si>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2@3.00 X 2.50(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>0~3M,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</si>
  <si>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2@3.00 X 2.50(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>3~6M,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</si>
  <si>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2@3.50 X 2.50(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>0~3M,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</si>
  <si>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2@3.50 X 2.50(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>3~5M,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</si>
  <si>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 xml:space="preserve">      a-2.</t>
    </r>
    <r>
      <rPr>
        <sz val="11"/>
        <color indexed="8"/>
        <rFont val="굴림"/>
        <family val="3"/>
        <charset val="129"/>
      </rPr>
      <t>낙차</t>
    </r>
  </si>
  <si>
    <r>
      <t>1@1.50 X 2.00(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>0~3M,</t>
    </r>
    <r>
      <rPr>
        <sz val="11"/>
        <color indexed="8"/>
        <rFont val="굴림"/>
        <family val="3"/>
        <charset val="129"/>
      </rPr>
      <t>낙차</t>
    </r>
    <r>
      <rPr>
        <sz val="11"/>
        <color indexed="8"/>
        <rFont val="Arial Narrow"/>
        <family val="2"/>
      </rPr>
      <t>)</t>
    </r>
  </si>
  <si>
    <r>
      <t>1@1.50 X 2.00(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>3~6M,</t>
    </r>
    <r>
      <rPr>
        <sz val="11"/>
        <color indexed="8"/>
        <rFont val="굴림"/>
        <family val="3"/>
        <charset val="129"/>
      </rPr>
      <t>낙차</t>
    </r>
    <r>
      <rPr>
        <sz val="11"/>
        <color indexed="8"/>
        <rFont val="Arial Narrow"/>
        <family val="2"/>
      </rPr>
      <t>)</t>
    </r>
  </si>
  <si>
    <r>
      <t>1@1.80 X 2.00(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>0~3M,</t>
    </r>
    <r>
      <rPr>
        <sz val="11"/>
        <color indexed="8"/>
        <rFont val="굴림"/>
        <family val="3"/>
        <charset val="129"/>
      </rPr>
      <t>낙차</t>
    </r>
    <r>
      <rPr>
        <sz val="11"/>
        <color indexed="8"/>
        <rFont val="Arial Narrow"/>
        <family val="2"/>
      </rPr>
      <t>)</t>
    </r>
  </si>
  <si>
    <r>
      <t>1@1.80 X 2.00(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>3~6M,</t>
    </r>
    <r>
      <rPr>
        <sz val="11"/>
        <color indexed="8"/>
        <rFont val="굴림"/>
        <family val="3"/>
        <charset val="129"/>
      </rPr>
      <t>낙차</t>
    </r>
    <r>
      <rPr>
        <sz val="11"/>
        <color indexed="8"/>
        <rFont val="Arial Narrow"/>
        <family val="2"/>
      </rPr>
      <t>)</t>
    </r>
  </si>
  <si>
    <r>
      <t>1@2.00 X 2.00(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>0~3M,</t>
    </r>
    <r>
      <rPr>
        <sz val="11"/>
        <color indexed="8"/>
        <rFont val="굴림"/>
        <family val="3"/>
        <charset val="129"/>
      </rPr>
      <t>낙차</t>
    </r>
    <r>
      <rPr>
        <sz val="11"/>
        <color indexed="8"/>
        <rFont val="Arial Narrow"/>
        <family val="2"/>
      </rPr>
      <t>)</t>
    </r>
  </si>
  <si>
    <r>
      <t>1@2.00 X 2.00(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>3~6M,</t>
    </r>
    <r>
      <rPr>
        <sz val="11"/>
        <color indexed="8"/>
        <rFont val="굴림"/>
        <family val="3"/>
        <charset val="129"/>
      </rPr>
      <t>낙차</t>
    </r>
    <r>
      <rPr>
        <sz val="11"/>
        <color indexed="8"/>
        <rFont val="Arial Narrow"/>
        <family val="2"/>
      </rPr>
      <t>)</t>
    </r>
  </si>
  <si>
    <r>
      <t>1@2.00 X 2.50(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>0~3M,</t>
    </r>
    <r>
      <rPr>
        <sz val="11"/>
        <color indexed="8"/>
        <rFont val="굴림"/>
        <family val="3"/>
        <charset val="129"/>
      </rPr>
      <t>낙차</t>
    </r>
    <r>
      <rPr>
        <sz val="11"/>
        <color indexed="8"/>
        <rFont val="Arial Narrow"/>
        <family val="2"/>
      </rPr>
      <t>)</t>
    </r>
  </si>
  <si>
    <r>
      <t>1@2.00 X 2.50(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>3~6M,</t>
    </r>
    <r>
      <rPr>
        <sz val="11"/>
        <color indexed="8"/>
        <rFont val="굴림"/>
        <family val="3"/>
        <charset val="129"/>
      </rPr>
      <t>낙차</t>
    </r>
    <r>
      <rPr>
        <sz val="11"/>
        <color indexed="8"/>
        <rFont val="Arial Narrow"/>
        <family val="2"/>
      </rPr>
      <t>)</t>
    </r>
  </si>
  <si>
    <r>
      <t>1@2.50 X 2.50(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>0~3M,</t>
    </r>
    <r>
      <rPr>
        <sz val="11"/>
        <color indexed="8"/>
        <rFont val="굴림"/>
        <family val="3"/>
        <charset val="129"/>
      </rPr>
      <t>낙차</t>
    </r>
    <r>
      <rPr>
        <sz val="11"/>
        <color indexed="8"/>
        <rFont val="Arial Narrow"/>
        <family val="2"/>
      </rPr>
      <t>)</t>
    </r>
  </si>
  <si>
    <r>
      <t>1@2.50 X 3.00(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>0~3M,</t>
    </r>
    <r>
      <rPr>
        <sz val="11"/>
        <color indexed="8"/>
        <rFont val="굴림"/>
        <family val="3"/>
        <charset val="129"/>
      </rPr>
      <t>낙차</t>
    </r>
    <r>
      <rPr>
        <sz val="11"/>
        <color indexed="8"/>
        <rFont val="Arial Narrow"/>
        <family val="2"/>
      </rPr>
      <t>)</t>
    </r>
  </si>
  <si>
    <r>
      <t>1@2.50 X 3.00(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>3~6M,</t>
    </r>
    <r>
      <rPr>
        <sz val="11"/>
        <color indexed="8"/>
        <rFont val="굴림"/>
        <family val="3"/>
        <charset val="129"/>
      </rPr>
      <t>낙차</t>
    </r>
    <r>
      <rPr>
        <sz val="11"/>
        <color indexed="8"/>
        <rFont val="Arial Narrow"/>
        <family val="2"/>
      </rPr>
      <t>)</t>
    </r>
  </si>
  <si>
    <r>
      <t>1@3.00 X 3.00(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>0~3M,</t>
    </r>
    <r>
      <rPr>
        <sz val="11"/>
        <color indexed="8"/>
        <rFont val="굴림"/>
        <family val="3"/>
        <charset val="129"/>
      </rPr>
      <t>낙차</t>
    </r>
    <r>
      <rPr>
        <sz val="11"/>
        <color indexed="8"/>
        <rFont val="Arial Narrow"/>
        <family val="2"/>
      </rPr>
      <t>)</t>
    </r>
  </si>
  <si>
    <r>
      <t>2@3.00 X 3.00(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>0~3M,</t>
    </r>
    <r>
      <rPr>
        <sz val="11"/>
        <color indexed="8"/>
        <rFont val="굴림"/>
        <family val="3"/>
        <charset val="129"/>
      </rPr>
      <t>낙차</t>
    </r>
    <r>
      <rPr>
        <sz val="11"/>
        <color indexed="8"/>
        <rFont val="Arial Narrow"/>
        <family val="2"/>
      </rPr>
      <t>)</t>
    </r>
  </si>
  <si>
    <r>
      <t>2@3.50 X 3.00(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>3~6M,</t>
    </r>
    <r>
      <rPr>
        <sz val="11"/>
        <color indexed="8"/>
        <rFont val="굴림"/>
        <family val="3"/>
        <charset val="129"/>
      </rPr>
      <t>낙차</t>
    </r>
    <r>
      <rPr>
        <sz val="11"/>
        <color indexed="8"/>
        <rFont val="Arial Narrow"/>
        <family val="2"/>
      </rPr>
      <t>)</t>
    </r>
  </si>
  <si>
    <r>
      <t xml:space="preserve">     b.PC</t>
    </r>
    <r>
      <rPr>
        <sz val="11"/>
        <color indexed="8"/>
        <rFont val="굴림"/>
        <family val="3"/>
        <charset val="129"/>
      </rPr>
      <t>암거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기초</t>
    </r>
  </si>
  <si>
    <r>
      <t xml:space="preserve">      b-1.</t>
    </r>
    <r>
      <rPr>
        <sz val="11"/>
        <color indexed="8"/>
        <rFont val="굴림"/>
        <family val="3"/>
        <charset val="129"/>
      </rPr>
      <t>콘크리트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타설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장비사용</t>
    </r>
  </si>
  <si>
    <r>
      <t xml:space="preserve">      b-2.</t>
    </r>
    <r>
      <rPr>
        <sz val="11"/>
        <color indexed="8"/>
        <rFont val="굴림"/>
        <family val="3"/>
        <charset val="129"/>
      </rPr>
      <t>합판거푸집</t>
    </r>
  </si>
  <si>
    <r>
      <t xml:space="preserve">      b-3.</t>
    </r>
    <r>
      <rPr>
        <sz val="11"/>
        <color indexed="8"/>
        <rFont val="굴림"/>
        <family val="3"/>
        <charset val="129"/>
      </rPr>
      <t>모래부설및다짐</t>
    </r>
  </si>
  <si>
    <r>
      <rPr>
        <sz val="11"/>
        <color indexed="8"/>
        <rFont val="굴림"/>
        <family val="3"/>
        <charset val="129"/>
      </rPr>
      <t>인력</t>
    </r>
  </si>
  <si>
    <r>
      <t xml:space="preserve">     c.</t>
    </r>
    <r>
      <rPr>
        <sz val="11"/>
        <color indexed="8"/>
        <rFont val="굴림"/>
        <family val="3"/>
        <charset val="129"/>
      </rPr>
      <t>암거유입보강</t>
    </r>
  </si>
  <si>
    <r>
      <t xml:space="preserve">      c-1.</t>
    </r>
    <r>
      <rPr>
        <sz val="11"/>
        <color indexed="8"/>
        <rFont val="굴림"/>
        <family val="3"/>
        <charset val="129"/>
      </rPr>
      <t>관유입부보강</t>
    </r>
  </si>
  <si>
    <t>D450MM</t>
  </si>
  <si>
    <r>
      <t xml:space="preserve">      c-2.</t>
    </r>
    <r>
      <rPr>
        <sz val="11"/>
        <color indexed="8"/>
        <rFont val="굴림"/>
        <family val="3"/>
        <charset val="129"/>
      </rPr>
      <t>관유입부보강</t>
    </r>
  </si>
  <si>
    <t>D600MM</t>
  </si>
  <si>
    <r>
      <t xml:space="preserve">      c-3.</t>
    </r>
    <r>
      <rPr>
        <sz val="11"/>
        <color indexed="8"/>
        <rFont val="굴림"/>
        <family val="3"/>
        <charset val="129"/>
      </rPr>
      <t>관유입부보강</t>
    </r>
  </si>
  <si>
    <t>D800MM</t>
  </si>
  <si>
    <r>
      <t xml:space="preserve">      c-4.</t>
    </r>
    <r>
      <rPr>
        <sz val="11"/>
        <color indexed="8"/>
        <rFont val="굴림"/>
        <family val="3"/>
        <charset val="129"/>
      </rPr>
      <t>관유입부보강</t>
    </r>
  </si>
  <si>
    <t>D1,000MM</t>
  </si>
  <si>
    <r>
      <t xml:space="preserve">      c-5.</t>
    </r>
    <r>
      <rPr>
        <sz val="11"/>
        <color indexed="8"/>
        <rFont val="굴림"/>
        <family val="3"/>
        <charset val="129"/>
      </rPr>
      <t>관유입부보강</t>
    </r>
  </si>
  <si>
    <t>D1,200MM</t>
  </si>
  <si>
    <r>
      <t xml:space="preserve">      c-6.</t>
    </r>
    <r>
      <rPr>
        <sz val="11"/>
        <color indexed="8"/>
        <rFont val="굴림"/>
        <family val="3"/>
        <charset val="129"/>
      </rPr>
      <t>관유입부보강</t>
    </r>
  </si>
  <si>
    <t>D1,350MM</t>
  </si>
  <si>
    <r>
      <t xml:space="preserve">    2.04.</t>
    </r>
    <r>
      <rPr>
        <sz val="11"/>
        <color indexed="8"/>
        <rFont val="굴림"/>
        <family val="3"/>
        <charset val="129"/>
      </rPr>
      <t>현장타설암거</t>
    </r>
  </si>
  <si>
    <r>
      <t xml:space="preserve">     a.</t>
    </r>
    <r>
      <rPr>
        <sz val="11"/>
        <color indexed="8"/>
        <rFont val="굴림"/>
        <family val="3"/>
        <charset val="129"/>
      </rPr>
      <t>콘크리트타설</t>
    </r>
  </si>
  <si>
    <r>
      <t xml:space="preserve">      </t>
    </r>
    <r>
      <rPr>
        <sz val="11"/>
        <color indexed="8"/>
        <rFont val="굴림"/>
        <family val="3"/>
        <charset val="129"/>
      </rPr>
      <t>철근콘크리트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타설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펌프차</t>
    </r>
  </si>
  <si>
    <r>
      <t>TYPE-2,</t>
    </r>
    <r>
      <rPr>
        <sz val="11"/>
        <color indexed="8"/>
        <rFont val="굴림"/>
        <family val="3"/>
        <charset val="129"/>
      </rPr>
      <t>현장조건</t>
    </r>
    <r>
      <rPr>
        <sz val="11"/>
        <color indexed="8"/>
        <rFont val="Arial Narrow"/>
        <family val="2"/>
      </rPr>
      <t>-2,</t>
    </r>
    <r>
      <rPr>
        <sz val="11"/>
        <color indexed="8"/>
        <rFont val="굴림"/>
        <family val="3"/>
        <charset val="129"/>
      </rPr>
      <t>슬럼프</t>
    </r>
    <r>
      <rPr>
        <sz val="11"/>
        <color indexed="8"/>
        <rFont val="Arial Narrow"/>
        <family val="2"/>
      </rPr>
      <t xml:space="preserve"> 15</t>
    </r>
  </si>
  <si>
    <r>
      <t xml:space="preserve">      </t>
    </r>
    <r>
      <rPr>
        <sz val="11"/>
        <color indexed="8"/>
        <rFont val="굴림"/>
        <family val="3"/>
        <charset val="129"/>
      </rPr>
      <t>무근콘크리트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타설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펌프차</t>
    </r>
  </si>
  <si>
    <r>
      <t>TYPE-1,</t>
    </r>
    <r>
      <rPr>
        <sz val="11"/>
        <color indexed="8"/>
        <rFont val="굴림"/>
        <family val="3"/>
        <charset val="129"/>
      </rPr>
      <t>현장조건</t>
    </r>
    <r>
      <rPr>
        <sz val="11"/>
        <color indexed="8"/>
        <rFont val="Arial Narrow"/>
        <family val="2"/>
      </rPr>
      <t>-2,</t>
    </r>
    <r>
      <rPr>
        <sz val="11"/>
        <color indexed="8"/>
        <rFont val="굴림"/>
        <family val="3"/>
        <charset val="129"/>
      </rPr>
      <t>슬럼프</t>
    </r>
    <r>
      <rPr>
        <sz val="11"/>
        <color indexed="8"/>
        <rFont val="Arial Narrow"/>
        <family val="2"/>
      </rPr>
      <t xml:space="preserve"> 8~12</t>
    </r>
  </si>
  <si>
    <r>
      <t xml:space="preserve">     b.</t>
    </r>
    <r>
      <rPr>
        <sz val="11"/>
        <color indexed="8"/>
        <rFont val="굴림"/>
        <family val="3"/>
        <charset val="129"/>
      </rPr>
      <t>거푸집</t>
    </r>
  </si>
  <si>
    <r>
      <t xml:space="preserve">      b-1.</t>
    </r>
    <r>
      <rPr>
        <sz val="11"/>
        <color indexed="8"/>
        <rFont val="굴림"/>
        <family val="3"/>
        <charset val="129"/>
      </rPr>
      <t>유로폼</t>
    </r>
  </si>
  <si>
    <r>
      <rPr>
        <sz val="11"/>
        <color indexed="8"/>
        <rFont val="굴림"/>
        <family val="3"/>
        <charset val="129"/>
      </rPr>
      <t>보통</t>
    </r>
    <r>
      <rPr>
        <sz val="11"/>
        <color indexed="8"/>
        <rFont val="Arial Narrow"/>
        <family val="2"/>
      </rPr>
      <t>, 0</t>
    </r>
    <r>
      <rPr>
        <sz val="11"/>
        <color indexed="8"/>
        <rFont val="굴림"/>
        <family val="3"/>
        <charset val="129"/>
      </rPr>
      <t>∼</t>
    </r>
    <r>
      <rPr>
        <sz val="11"/>
        <color indexed="8"/>
        <rFont val="Arial Narrow"/>
        <family val="2"/>
      </rPr>
      <t>7m</t>
    </r>
  </si>
  <si>
    <r>
      <rPr>
        <sz val="11"/>
        <color indexed="8"/>
        <rFont val="굴림"/>
        <family val="3"/>
        <charset val="129"/>
      </rPr>
      <t>보통</t>
    </r>
    <r>
      <rPr>
        <sz val="11"/>
        <color indexed="8"/>
        <rFont val="Arial Narrow"/>
        <family val="2"/>
      </rPr>
      <t xml:space="preserve">,0 </t>
    </r>
    <r>
      <rPr>
        <sz val="11"/>
        <color indexed="8"/>
        <rFont val="굴림"/>
        <family val="3"/>
        <charset val="129"/>
      </rPr>
      <t>∼</t>
    </r>
    <r>
      <rPr>
        <sz val="11"/>
        <color indexed="8"/>
        <rFont val="Arial Narrow"/>
        <family val="2"/>
      </rPr>
      <t xml:space="preserve"> 7m</t>
    </r>
  </si>
  <si>
    <r>
      <t xml:space="preserve">      b-3.</t>
    </r>
    <r>
      <rPr>
        <sz val="11"/>
        <color indexed="8"/>
        <rFont val="굴림"/>
        <family val="3"/>
        <charset val="129"/>
      </rPr>
      <t>합판거푸집</t>
    </r>
  </si>
  <si>
    <r>
      <t xml:space="preserve">     c.</t>
    </r>
    <r>
      <rPr>
        <sz val="11"/>
        <color indexed="8"/>
        <rFont val="굴림"/>
        <family val="3"/>
        <charset val="129"/>
      </rPr>
      <t>강관동바리</t>
    </r>
  </si>
  <si>
    <r>
      <t>2.5m</t>
    </r>
    <r>
      <rPr>
        <sz val="11"/>
        <color indexed="8"/>
        <rFont val="굴림"/>
        <family val="3"/>
        <charset val="129"/>
      </rPr>
      <t>이하</t>
    </r>
    <r>
      <rPr>
        <sz val="11"/>
        <color indexed="8"/>
        <rFont val="Arial Narrow"/>
        <family val="2"/>
      </rPr>
      <t>,3</t>
    </r>
    <r>
      <rPr>
        <sz val="11"/>
        <color indexed="8"/>
        <rFont val="굴림"/>
        <family val="3"/>
        <charset val="129"/>
      </rPr>
      <t>개월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이하</t>
    </r>
  </si>
  <si>
    <r>
      <rPr>
        <sz val="11"/>
        <color indexed="8"/>
        <rFont val="굴림"/>
        <family val="3"/>
        <charset val="129"/>
      </rPr>
      <t>공</t>
    </r>
    <r>
      <rPr>
        <sz val="11"/>
        <color indexed="8"/>
        <rFont val="Arial Narrow"/>
        <family val="2"/>
      </rPr>
      <t>m3</t>
    </r>
  </si>
  <si>
    <r>
      <t xml:space="preserve">     d.</t>
    </r>
    <r>
      <rPr>
        <sz val="11"/>
        <color indexed="8"/>
        <rFont val="굴림"/>
        <family val="3"/>
        <charset val="129"/>
      </rPr>
      <t>강관비계</t>
    </r>
  </si>
  <si>
    <r>
      <t>10m</t>
    </r>
    <r>
      <rPr>
        <sz val="11"/>
        <color indexed="8"/>
        <rFont val="굴림"/>
        <family val="3"/>
        <charset val="129"/>
      </rPr>
      <t>이하</t>
    </r>
    <r>
      <rPr>
        <sz val="11"/>
        <color indexed="8"/>
        <rFont val="Arial Narrow"/>
        <family val="2"/>
      </rPr>
      <t>,3</t>
    </r>
    <r>
      <rPr>
        <sz val="11"/>
        <color indexed="8"/>
        <rFont val="굴림"/>
        <family val="3"/>
        <charset val="129"/>
      </rPr>
      <t>개월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이하</t>
    </r>
  </si>
  <si>
    <r>
      <t xml:space="preserve">     e.</t>
    </r>
    <r>
      <rPr>
        <sz val="11"/>
        <color indexed="8"/>
        <rFont val="굴림"/>
        <family val="3"/>
        <charset val="129"/>
      </rPr>
      <t>스페이셔</t>
    </r>
  </si>
  <si>
    <r>
      <t xml:space="preserve">      e-1.</t>
    </r>
    <r>
      <rPr>
        <sz val="11"/>
        <color indexed="8"/>
        <rFont val="굴림"/>
        <family val="3"/>
        <charset val="129"/>
      </rPr>
      <t>스페이셔설치</t>
    </r>
  </si>
  <si>
    <r>
      <rPr>
        <sz val="11"/>
        <color indexed="8"/>
        <rFont val="굴림"/>
        <family val="3"/>
        <charset val="129"/>
      </rPr>
      <t>수직</t>
    </r>
  </si>
  <si>
    <r>
      <t xml:space="preserve">      e-2.</t>
    </r>
    <r>
      <rPr>
        <sz val="11"/>
        <color indexed="8"/>
        <rFont val="굴림"/>
        <family val="3"/>
        <charset val="129"/>
      </rPr>
      <t>스페이셔설치</t>
    </r>
  </si>
  <si>
    <r>
      <rPr>
        <sz val="11"/>
        <color indexed="8"/>
        <rFont val="굴림"/>
        <family val="3"/>
        <charset val="129"/>
      </rPr>
      <t>수평</t>
    </r>
  </si>
  <si>
    <r>
      <t xml:space="preserve">     f.</t>
    </r>
    <r>
      <rPr>
        <sz val="11"/>
        <color indexed="8"/>
        <rFont val="굴림"/>
        <family val="3"/>
        <charset val="129"/>
      </rPr>
      <t>잡석부설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다짐</t>
    </r>
  </si>
  <si>
    <r>
      <t xml:space="preserve">     g.</t>
    </r>
    <r>
      <rPr>
        <sz val="11"/>
        <color indexed="8"/>
        <rFont val="굴림"/>
        <family val="3"/>
        <charset val="129"/>
      </rPr>
      <t>수팽창고무지수제</t>
    </r>
  </si>
  <si>
    <t>20*10</t>
  </si>
  <si>
    <r>
      <t xml:space="preserve">     h.</t>
    </r>
    <r>
      <rPr>
        <sz val="11"/>
        <color indexed="8"/>
        <rFont val="굴림"/>
        <family val="3"/>
        <charset val="129"/>
      </rPr>
      <t>철근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현장가공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조립</t>
    </r>
  </si>
  <si>
    <r>
      <t>Type-</t>
    </r>
    <r>
      <rPr>
        <sz val="11"/>
        <color indexed="8"/>
        <rFont val="굴림"/>
        <family val="3"/>
        <charset val="129"/>
      </rPr>
      <t>Ⅱ</t>
    </r>
  </si>
  <si>
    <t>ton</t>
  </si>
  <si>
    <r>
      <t xml:space="preserve">    2.05.</t>
    </r>
    <r>
      <rPr>
        <sz val="11"/>
        <color indexed="8"/>
        <rFont val="굴림"/>
        <family val="3"/>
        <charset val="129"/>
      </rPr>
      <t>우수맨홀</t>
    </r>
  </si>
  <si>
    <r>
      <t xml:space="preserve">     </t>
    </r>
    <r>
      <rPr>
        <sz val="11"/>
        <color indexed="8"/>
        <rFont val="굴림"/>
        <family val="3"/>
        <charset val="129"/>
      </rPr>
      <t>원형</t>
    </r>
    <r>
      <rPr>
        <sz val="11"/>
        <color indexed="8"/>
        <rFont val="Arial Narrow"/>
        <family val="2"/>
      </rPr>
      <t>1</t>
    </r>
    <r>
      <rPr>
        <sz val="11"/>
        <color indexed="8"/>
        <rFont val="굴림"/>
        <family val="3"/>
        <charset val="129"/>
      </rPr>
      <t>호맨홀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차도</t>
    </r>
    <r>
      <rPr>
        <sz val="11"/>
        <color indexed="8"/>
        <rFont val="Arial Narrow"/>
        <family val="2"/>
      </rPr>
      <t>)</t>
    </r>
  </si>
  <si>
    <t>Φ900, H=3.27</t>
  </si>
  <si>
    <t>ea</t>
  </si>
  <si>
    <r>
      <t xml:space="preserve">     </t>
    </r>
    <r>
      <rPr>
        <sz val="11"/>
        <color indexed="8"/>
        <rFont val="굴림"/>
        <family val="3"/>
        <charset val="129"/>
      </rPr>
      <t>원형</t>
    </r>
    <r>
      <rPr>
        <sz val="11"/>
        <color indexed="8"/>
        <rFont val="Arial Narrow"/>
        <family val="2"/>
      </rPr>
      <t>2</t>
    </r>
    <r>
      <rPr>
        <sz val="11"/>
        <color indexed="8"/>
        <rFont val="굴림"/>
        <family val="3"/>
        <charset val="129"/>
      </rPr>
      <t>호맨홀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차도</t>
    </r>
    <r>
      <rPr>
        <sz val="11"/>
        <color indexed="8"/>
        <rFont val="Arial Narrow"/>
        <family val="2"/>
      </rPr>
      <t>)</t>
    </r>
  </si>
  <si>
    <t>Φ1200, H=3.83</t>
  </si>
  <si>
    <r>
      <t xml:space="preserve">     </t>
    </r>
    <r>
      <rPr>
        <sz val="11"/>
        <color indexed="8"/>
        <rFont val="굴림"/>
        <family val="3"/>
        <charset val="129"/>
      </rPr>
      <t>특</t>
    </r>
    <r>
      <rPr>
        <sz val="11"/>
        <color indexed="8"/>
        <rFont val="Arial Narrow"/>
        <family val="2"/>
      </rPr>
      <t>2</t>
    </r>
    <r>
      <rPr>
        <sz val="11"/>
        <color indexed="8"/>
        <rFont val="굴림"/>
        <family val="3"/>
        <charset val="129"/>
      </rPr>
      <t>호맨홀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차도</t>
    </r>
    <r>
      <rPr>
        <sz val="11"/>
        <color indexed="8"/>
        <rFont val="Arial Narrow"/>
        <family val="2"/>
      </rPr>
      <t>)</t>
    </r>
  </si>
  <si>
    <t>1200x1200, H=4.36</t>
  </si>
  <si>
    <r>
      <t xml:space="preserve">     </t>
    </r>
    <r>
      <rPr>
        <sz val="11"/>
        <color indexed="8"/>
        <rFont val="굴림"/>
        <family val="3"/>
        <charset val="129"/>
      </rPr>
      <t>특</t>
    </r>
    <r>
      <rPr>
        <sz val="11"/>
        <color indexed="8"/>
        <rFont val="Arial Narrow"/>
        <family val="2"/>
      </rPr>
      <t>3</t>
    </r>
    <r>
      <rPr>
        <sz val="11"/>
        <color indexed="8"/>
        <rFont val="굴림"/>
        <family val="3"/>
        <charset val="129"/>
      </rPr>
      <t>호맨홀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차도</t>
    </r>
    <r>
      <rPr>
        <sz val="11"/>
        <color indexed="8"/>
        <rFont val="Arial Narrow"/>
        <family val="2"/>
      </rPr>
      <t>)</t>
    </r>
  </si>
  <si>
    <t>1200x1400, H=5.09</t>
  </si>
  <si>
    <r>
      <t xml:space="preserve">     </t>
    </r>
    <r>
      <rPr>
        <sz val="11"/>
        <color indexed="8"/>
        <rFont val="굴림"/>
        <family val="3"/>
        <charset val="129"/>
      </rPr>
      <t>특</t>
    </r>
    <r>
      <rPr>
        <sz val="11"/>
        <color indexed="8"/>
        <rFont val="Arial Narrow"/>
        <family val="2"/>
      </rPr>
      <t>4</t>
    </r>
    <r>
      <rPr>
        <sz val="11"/>
        <color indexed="8"/>
        <rFont val="굴림"/>
        <family val="3"/>
        <charset val="129"/>
      </rPr>
      <t>호맨홀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차도</t>
    </r>
    <r>
      <rPr>
        <sz val="11"/>
        <color indexed="8"/>
        <rFont val="Arial Narrow"/>
        <family val="2"/>
      </rPr>
      <t>)</t>
    </r>
  </si>
  <si>
    <t>1500x1500, H=4.91</t>
  </si>
  <si>
    <r>
      <t xml:space="preserve">     </t>
    </r>
    <r>
      <rPr>
        <sz val="11"/>
        <color indexed="8"/>
        <rFont val="굴림"/>
        <family val="3"/>
        <charset val="129"/>
      </rPr>
      <t>특</t>
    </r>
    <r>
      <rPr>
        <sz val="11"/>
        <color indexed="8"/>
        <rFont val="Arial Narrow"/>
        <family val="2"/>
      </rPr>
      <t>5</t>
    </r>
    <r>
      <rPr>
        <sz val="11"/>
        <color indexed="8"/>
        <rFont val="굴림"/>
        <family val="3"/>
        <charset val="129"/>
      </rPr>
      <t>호맨홀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차도</t>
    </r>
    <r>
      <rPr>
        <sz val="11"/>
        <color indexed="8"/>
        <rFont val="Arial Narrow"/>
        <family val="2"/>
      </rPr>
      <t>)</t>
    </r>
  </si>
  <si>
    <t>1800x1800, H=4.88</t>
  </si>
  <si>
    <r>
      <t xml:space="preserve">     </t>
    </r>
    <r>
      <rPr>
        <sz val="11"/>
        <color indexed="8"/>
        <rFont val="굴림"/>
        <family val="3"/>
        <charset val="129"/>
      </rPr>
      <t>암거맨홀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차도</t>
    </r>
    <r>
      <rPr>
        <sz val="11"/>
        <color indexed="8"/>
        <rFont val="Arial Narrow"/>
        <family val="2"/>
      </rPr>
      <t>)</t>
    </r>
  </si>
  <si>
    <t>900x900, H=2.78</t>
  </si>
  <si>
    <r>
      <t xml:space="preserve">     </t>
    </r>
    <r>
      <rPr>
        <sz val="11"/>
        <color indexed="8"/>
        <rFont val="굴림"/>
        <family val="3"/>
        <charset val="129"/>
      </rPr>
      <t>연결관링</t>
    </r>
  </si>
  <si>
    <r>
      <t xml:space="preserve">      </t>
    </r>
    <r>
      <rPr>
        <sz val="11"/>
        <color indexed="8"/>
        <rFont val="굴림"/>
        <family val="3"/>
        <charset val="129"/>
      </rPr>
      <t>우수맨홀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연결관링</t>
    </r>
  </si>
  <si>
    <r>
      <t xml:space="preserve">    2.06.</t>
    </r>
    <r>
      <rPr>
        <sz val="11"/>
        <color indexed="8"/>
        <rFont val="굴림"/>
        <family val="3"/>
        <charset val="129"/>
      </rPr>
      <t>우수받이</t>
    </r>
  </si>
  <si>
    <r>
      <t xml:space="preserve">     a.</t>
    </r>
    <r>
      <rPr>
        <sz val="11"/>
        <color indexed="8"/>
        <rFont val="굴림"/>
        <family val="3"/>
        <charset val="129"/>
      </rPr>
      <t>우수받이</t>
    </r>
  </si>
  <si>
    <t>0.50M X 0.40M</t>
  </si>
  <si>
    <r>
      <t xml:space="preserve">    2.07.</t>
    </r>
    <r>
      <rPr>
        <sz val="11"/>
        <color indexed="8"/>
        <rFont val="굴림"/>
        <family val="3"/>
        <charset val="129"/>
      </rPr>
      <t>집수정</t>
    </r>
  </si>
  <si>
    <r>
      <t xml:space="preserve">     </t>
    </r>
    <r>
      <rPr>
        <sz val="11"/>
        <color indexed="8"/>
        <rFont val="굴림"/>
        <family val="3"/>
        <charset val="129"/>
      </rPr>
      <t>집수정</t>
    </r>
  </si>
  <si>
    <t>0.70 X 1.00, H=3.03</t>
  </si>
  <si>
    <t>1.00 X 1.00, H=3.08</t>
  </si>
  <si>
    <r>
      <t xml:space="preserve">    2.08.</t>
    </r>
    <r>
      <rPr>
        <sz val="11"/>
        <color indexed="8"/>
        <rFont val="굴림"/>
        <family val="3"/>
        <charset val="129"/>
      </rPr>
      <t>부대공</t>
    </r>
  </si>
  <si>
    <r>
      <t xml:space="preserve">     a.</t>
    </r>
    <r>
      <rPr>
        <sz val="11"/>
        <color indexed="8"/>
        <rFont val="굴림"/>
        <family val="3"/>
        <charset val="129"/>
      </rPr>
      <t>경고테이프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우수용</t>
    </r>
    <r>
      <rPr>
        <sz val="11"/>
        <color indexed="8"/>
        <rFont val="Arial Narrow"/>
        <family val="2"/>
      </rPr>
      <t>)</t>
    </r>
  </si>
  <si>
    <r>
      <rPr>
        <sz val="11"/>
        <color indexed="8"/>
        <rFont val="굴림"/>
        <family val="3"/>
        <charset val="129"/>
      </rPr>
      <t>폭</t>
    </r>
    <r>
      <rPr>
        <sz val="11"/>
        <color indexed="8"/>
        <rFont val="Arial Narrow"/>
        <family val="2"/>
      </rPr>
      <t>=20</t>
    </r>
    <r>
      <rPr>
        <sz val="11"/>
        <color indexed="8"/>
        <rFont val="굴림"/>
        <family val="3"/>
        <charset val="129"/>
      </rPr>
      <t>㎝</t>
    </r>
  </si>
  <si>
    <r>
      <t xml:space="preserve">     b.</t>
    </r>
    <r>
      <rPr>
        <sz val="11"/>
        <color indexed="8"/>
        <rFont val="굴림"/>
        <family val="3"/>
        <charset val="129"/>
      </rPr>
      <t>하수관내</t>
    </r>
    <r>
      <rPr>
        <sz val="11"/>
        <color indexed="8"/>
        <rFont val="Arial Narrow"/>
        <family val="2"/>
      </rPr>
      <t>CCTV</t>
    </r>
    <r>
      <rPr>
        <sz val="11"/>
        <color indexed="8"/>
        <rFont val="굴림"/>
        <family val="3"/>
        <charset val="129"/>
      </rPr>
      <t>조사</t>
    </r>
  </si>
  <si>
    <r>
      <rPr>
        <sz val="11"/>
        <color indexed="8"/>
        <rFont val="굴림"/>
        <family val="3"/>
        <charset val="129"/>
      </rPr>
      <t>신설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보고서작성포함</t>
    </r>
    <r>
      <rPr>
        <sz val="11"/>
        <color indexed="8"/>
        <rFont val="Arial Narrow"/>
        <family val="2"/>
      </rPr>
      <t>)</t>
    </r>
  </si>
  <si>
    <r>
      <t xml:space="preserve">     c.</t>
    </r>
    <r>
      <rPr>
        <sz val="11"/>
        <color indexed="8"/>
        <rFont val="굴림"/>
        <family val="3"/>
        <charset val="129"/>
      </rPr>
      <t>하수관준설</t>
    </r>
  </si>
  <si>
    <r>
      <t xml:space="preserve">      </t>
    </r>
    <r>
      <rPr>
        <sz val="11"/>
        <color indexed="8"/>
        <rFont val="굴림"/>
        <family val="3"/>
        <charset val="129"/>
      </rPr>
      <t>하수관준설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관</t>
    </r>
    <r>
      <rPr>
        <sz val="11"/>
        <color indexed="8"/>
        <rFont val="Arial Narrow"/>
        <family val="2"/>
      </rPr>
      <t>)</t>
    </r>
  </si>
  <si>
    <r>
      <rPr>
        <sz val="11"/>
        <color indexed="8"/>
        <rFont val="굴림"/>
        <family val="3"/>
        <charset val="129"/>
      </rPr>
      <t>흡입준설기</t>
    </r>
    <r>
      <rPr>
        <sz val="11"/>
        <color indexed="8"/>
        <rFont val="Arial Narrow"/>
        <family val="2"/>
      </rPr>
      <t>(25.0ton)</t>
    </r>
  </si>
  <si>
    <r>
      <t xml:space="preserve">      </t>
    </r>
    <r>
      <rPr>
        <sz val="11"/>
        <color indexed="8"/>
        <rFont val="굴림"/>
        <family val="3"/>
        <charset val="129"/>
      </rPr>
      <t>하수관준설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수로암거</t>
    </r>
    <r>
      <rPr>
        <sz val="11"/>
        <color indexed="8"/>
        <rFont val="Arial Narrow"/>
        <family val="2"/>
      </rPr>
      <t>)</t>
    </r>
  </si>
  <si>
    <r>
      <t xml:space="preserve">    2.09.PC</t>
    </r>
    <r>
      <rPr>
        <sz val="11"/>
        <color indexed="8"/>
        <rFont val="굴림"/>
        <family val="3"/>
        <charset val="129"/>
      </rPr>
      <t>암거날개벽</t>
    </r>
  </si>
  <si>
    <r>
      <t>TYPE-1,</t>
    </r>
    <r>
      <rPr>
        <sz val="11"/>
        <color indexed="8"/>
        <rFont val="굴림"/>
        <family val="3"/>
        <charset val="129"/>
      </rPr>
      <t>현장조건</t>
    </r>
    <r>
      <rPr>
        <sz val="11"/>
        <color indexed="8"/>
        <rFont val="Arial Narrow"/>
        <family val="2"/>
      </rPr>
      <t>-2,</t>
    </r>
    <r>
      <rPr>
        <sz val="11"/>
        <color indexed="8"/>
        <rFont val="굴림"/>
        <family val="3"/>
        <charset val="129"/>
      </rPr>
      <t>슬럼프</t>
    </r>
    <r>
      <rPr>
        <sz val="11"/>
        <color indexed="8"/>
        <rFont val="Arial Narrow"/>
        <family val="2"/>
      </rPr>
      <t xml:space="preserve"> 15</t>
    </r>
  </si>
  <si>
    <r>
      <t xml:space="preserve">      </t>
    </r>
    <r>
      <rPr>
        <sz val="11"/>
        <color indexed="8"/>
        <rFont val="굴림"/>
        <family val="3"/>
        <charset val="129"/>
      </rPr>
      <t>합판거푸집</t>
    </r>
  </si>
  <si>
    <r>
      <t xml:space="preserve">     c.</t>
    </r>
    <r>
      <rPr>
        <sz val="11"/>
        <color indexed="8"/>
        <rFont val="굴림"/>
        <family val="3"/>
        <charset val="129"/>
      </rPr>
      <t>강관비계</t>
    </r>
  </si>
  <si>
    <r>
      <t xml:space="preserve">     d.</t>
    </r>
    <r>
      <rPr>
        <sz val="11"/>
        <color indexed="8"/>
        <rFont val="굴림"/>
        <family val="3"/>
        <charset val="129"/>
      </rPr>
      <t>뒷채움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다짐</t>
    </r>
  </si>
  <si>
    <r>
      <rPr>
        <sz val="11"/>
        <color indexed="8"/>
        <rFont val="굴림"/>
        <family val="3"/>
        <charset val="129"/>
      </rPr>
      <t>소형장비</t>
    </r>
  </si>
  <si>
    <r>
      <t xml:space="preserve">     e.</t>
    </r>
    <r>
      <rPr>
        <sz val="11"/>
        <color indexed="8"/>
        <rFont val="굴림"/>
        <family val="3"/>
        <charset val="129"/>
      </rPr>
      <t>드레인보드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설치</t>
    </r>
  </si>
  <si>
    <r>
      <t xml:space="preserve">     f.PVC</t>
    </r>
    <r>
      <rPr>
        <sz val="11"/>
        <color indexed="8"/>
        <rFont val="굴림"/>
        <family val="3"/>
        <charset val="129"/>
      </rPr>
      <t>파이프</t>
    </r>
  </si>
  <si>
    <t>Φ100mm</t>
  </si>
  <si>
    <r>
      <t xml:space="preserve">     g.</t>
    </r>
    <r>
      <rPr>
        <sz val="11"/>
        <color indexed="8"/>
        <rFont val="굴림"/>
        <family val="3"/>
        <charset val="129"/>
      </rPr>
      <t>철근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현장가공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조립</t>
    </r>
  </si>
  <si>
    <r>
      <t xml:space="preserve">    2.10.</t>
    </r>
    <r>
      <rPr>
        <sz val="11"/>
        <color indexed="8"/>
        <rFont val="굴림"/>
        <family val="3"/>
        <charset val="129"/>
      </rPr>
      <t>배수관날개벽</t>
    </r>
  </si>
  <si>
    <r>
      <t xml:space="preserve">     a.</t>
    </r>
    <r>
      <rPr>
        <sz val="11"/>
        <color indexed="8"/>
        <rFont val="굴림"/>
        <family val="3"/>
        <charset val="129"/>
      </rPr>
      <t>콘크리트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타설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장비사용</t>
    </r>
  </si>
  <si>
    <r>
      <t xml:space="preserve">     b.</t>
    </r>
    <r>
      <rPr>
        <sz val="11"/>
        <color indexed="8"/>
        <rFont val="굴림"/>
        <family val="3"/>
        <charset val="129"/>
      </rPr>
      <t>합판거푸집</t>
    </r>
  </si>
  <si>
    <r>
      <rPr>
        <sz val="11"/>
        <color indexed="8"/>
        <rFont val="굴림"/>
        <family val="3"/>
        <charset val="129"/>
      </rPr>
      <t>복잡</t>
    </r>
    <r>
      <rPr>
        <sz val="11"/>
        <color indexed="8"/>
        <rFont val="Arial Narrow"/>
        <family val="2"/>
      </rPr>
      <t xml:space="preserve">,0 </t>
    </r>
    <r>
      <rPr>
        <sz val="11"/>
        <color indexed="8"/>
        <rFont val="굴림"/>
        <family val="3"/>
        <charset val="129"/>
      </rPr>
      <t>∼</t>
    </r>
    <r>
      <rPr>
        <sz val="11"/>
        <color indexed="8"/>
        <rFont val="Arial Narrow"/>
        <family val="2"/>
      </rPr>
      <t xml:space="preserve"> 7m</t>
    </r>
  </si>
  <si>
    <r>
      <t xml:space="preserve">    2.11.</t>
    </r>
    <r>
      <rPr>
        <sz val="11"/>
        <color indexed="8"/>
        <rFont val="굴림"/>
        <family val="3"/>
        <charset val="129"/>
      </rPr>
      <t>도수로</t>
    </r>
  </si>
  <si>
    <r>
      <t xml:space="preserve">     a.</t>
    </r>
    <r>
      <rPr>
        <sz val="11"/>
        <color indexed="8"/>
        <rFont val="굴림"/>
        <family val="3"/>
        <charset val="129"/>
      </rPr>
      <t>철근콘크리트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타설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펌프차</t>
    </r>
  </si>
  <si>
    <r>
      <t>TYPE-4,</t>
    </r>
    <r>
      <rPr>
        <sz val="11"/>
        <color indexed="8"/>
        <rFont val="굴림"/>
        <family val="3"/>
        <charset val="129"/>
      </rPr>
      <t>현장조건</t>
    </r>
    <r>
      <rPr>
        <sz val="11"/>
        <color indexed="8"/>
        <rFont val="Arial Narrow"/>
        <family val="2"/>
      </rPr>
      <t>-2,</t>
    </r>
    <r>
      <rPr>
        <sz val="11"/>
        <color indexed="8"/>
        <rFont val="굴림"/>
        <family val="3"/>
        <charset val="129"/>
      </rPr>
      <t>슬럼프</t>
    </r>
    <r>
      <rPr>
        <sz val="11"/>
        <color indexed="8"/>
        <rFont val="Arial Narrow"/>
        <family val="2"/>
      </rPr>
      <t xml:space="preserve"> 8~12</t>
    </r>
  </si>
  <si>
    <r>
      <t xml:space="preserve">     c.</t>
    </r>
    <r>
      <rPr>
        <sz val="11"/>
        <color indexed="8"/>
        <rFont val="굴림"/>
        <family val="3"/>
        <charset val="129"/>
      </rPr>
      <t>철근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현장가공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조립</t>
    </r>
  </si>
  <si>
    <r>
      <t xml:space="preserve">    2.12.V</t>
    </r>
    <r>
      <rPr>
        <sz val="11"/>
        <color indexed="8"/>
        <rFont val="굴림"/>
        <family val="3"/>
        <charset val="129"/>
      </rPr>
      <t>형측구및산마루측구</t>
    </r>
  </si>
  <si>
    <r>
      <t xml:space="preserve">     a.</t>
    </r>
    <r>
      <rPr>
        <sz val="11"/>
        <color indexed="8"/>
        <rFont val="굴림"/>
        <family val="3"/>
        <charset val="129"/>
      </rPr>
      <t>산마루측구</t>
    </r>
  </si>
  <si>
    <t>TYPE-1</t>
  </si>
  <si>
    <r>
      <t xml:space="preserve">    2.13.</t>
    </r>
    <r>
      <rPr>
        <sz val="11"/>
        <color indexed="8"/>
        <rFont val="굴림"/>
        <family val="3"/>
        <charset val="129"/>
      </rPr>
      <t>개거</t>
    </r>
  </si>
  <si>
    <r>
      <t xml:space="preserve">     d.</t>
    </r>
    <r>
      <rPr>
        <sz val="11"/>
        <color indexed="8"/>
        <rFont val="굴림"/>
        <family val="3"/>
        <charset val="129"/>
      </rPr>
      <t>지수판설치</t>
    </r>
  </si>
  <si>
    <t>(200×5t)</t>
  </si>
  <si>
    <r>
      <t xml:space="preserve">     e.</t>
    </r>
    <r>
      <rPr>
        <sz val="11"/>
        <color indexed="8"/>
        <rFont val="굴림"/>
        <family val="3"/>
        <charset val="129"/>
      </rPr>
      <t>신축이음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설치</t>
    </r>
  </si>
  <si>
    <r>
      <rPr>
        <sz val="11"/>
        <color indexed="8"/>
        <rFont val="굴림"/>
        <family val="3"/>
        <charset val="129"/>
      </rPr>
      <t>채움재</t>
    </r>
    <r>
      <rPr>
        <sz val="11"/>
        <color indexed="8"/>
        <rFont val="Arial Narrow"/>
        <family val="2"/>
      </rPr>
      <t>(t=10mm)</t>
    </r>
  </si>
  <si>
    <r>
      <t xml:space="preserve">    2.14.</t>
    </r>
    <r>
      <rPr>
        <sz val="11"/>
        <color indexed="8"/>
        <rFont val="굴림"/>
        <family val="3"/>
        <charset val="129"/>
      </rPr>
      <t>초기우수처리시설</t>
    </r>
  </si>
  <si>
    <r>
      <t xml:space="preserve">     a.</t>
    </r>
    <r>
      <rPr>
        <sz val="11"/>
        <color indexed="8"/>
        <rFont val="굴림"/>
        <family val="3"/>
        <charset val="129"/>
      </rPr>
      <t>토공</t>
    </r>
  </si>
  <si>
    <r>
      <t xml:space="preserve">      </t>
    </r>
    <r>
      <rPr>
        <sz val="11"/>
        <color indexed="8"/>
        <rFont val="굴림"/>
        <family val="3"/>
        <charset val="129"/>
      </rPr>
      <t>잡석부설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다짐</t>
    </r>
  </si>
  <si>
    <r>
      <t xml:space="preserve">     b.</t>
    </r>
    <r>
      <rPr>
        <sz val="11"/>
        <color indexed="8"/>
        <rFont val="굴림"/>
        <family val="3"/>
        <charset val="129"/>
      </rPr>
      <t>콘크리트타설</t>
    </r>
  </si>
  <si>
    <r>
      <t xml:space="preserve">      </t>
    </r>
    <r>
      <rPr>
        <sz val="11"/>
        <color indexed="8"/>
        <rFont val="굴림"/>
        <family val="3"/>
        <charset val="129"/>
      </rPr>
      <t>콘크리트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타설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장비사용</t>
    </r>
  </si>
  <si>
    <r>
      <rPr>
        <sz val="11"/>
        <color indexed="8"/>
        <rFont val="굴림"/>
        <family val="3"/>
        <charset val="129"/>
      </rPr>
      <t>철근콘크리트</t>
    </r>
  </si>
  <si>
    <r>
      <t xml:space="preserve">     c.</t>
    </r>
    <r>
      <rPr>
        <sz val="11"/>
        <color indexed="8"/>
        <rFont val="굴림"/>
        <family val="3"/>
        <charset val="129"/>
      </rPr>
      <t>거푸집</t>
    </r>
  </si>
  <si>
    <r>
      <t xml:space="preserve">     d.</t>
    </r>
    <r>
      <rPr>
        <sz val="11"/>
        <color indexed="8"/>
        <rFont val="굴림"/>
        <family val="3"/>
        <charset val="129"/>
      </rPr>
      <t>철근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현장가공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조립</t>
    </r>
  </si>
  <si>
    <r>
      <t>Type-</t>
    </r>
    <r>
      <rPr>
        <sz val="11"/>
        <color indexed="8"/>
        <rFont val="굴림"/>
        <family val="3"/>
        <charset val="129"/>
      </rPr>
      <t>Ⅰ</t>
    </r>
  </si>
  <si>
    <r>
      <t xml:space="preserve">     e.</t>
    </r>
    <r>
      <rPr>
        <sz val="11"/>
        <color indexed="8"/>
        <rFont val="굴림"/>
        <family val="3"/>
        <charset val="129"/>
      </rPr>
      <t>관부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설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및접합</t>
    </r>
  </si>
  <si>
    <r>
      <t xml:space="preserve">      </t>
    </r>
    <r>
      <rPr>
        <sz val="11"/>
        <color indexed="8"/>
        <rFont val="굴림"/>
        <family val="3"/>
        <charset val="129"/>
      </rPr>
      <t>파형강관부설및접합</t>
    </r>
  </si>
  <si>
    <t>D200MM</t>
  </si>
  <si>
    <t>D250MM</t>
  </si>
  <si>
    <t>D500MM</t>
  </si>
  <si>
    <t>D700MM</t>
  </si>
  <si>
    <r>
      <t xml:space="preserve">     f.</t>
    </r>
    <r>
      <rPr>
        <sz val="11"/>
        <color indexed="8"/>
        <rFont val="굴림"/>
        <family val="3"/>
        <charset val="129"/>
      </rPr>
      <t>유입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유출관</t>
    </r>
  </si>
  <si>
    <r>
      <t xml:space="preserve">     g.</t>
    </r>
    <r>
      <rPr>
        <sz val="11"/>
        <color indexed="8"/>
        <rFont val="굴림"/>
        <family val="3"/>
        <charset val="129"/>
      </rPr>
      <t>정체수배출관</t>
    </r>
  </si>
  <si>
    <r>
      <t xml:space="preserve">      PFP PM </t>
    </r>
    <r>
      <rPr>
        <sz val="11"/>
        <color indexed="8"/>
        <rFont val="굴림"/>
        <family val="3"/>
        <charset val="129"/>
      </rPr>
      <t>접합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부설</t>
    </r>
  </si>
  <si>
    <r>
      <rPr>
        <sz val="11"/>
        <color indexed="8"/>
        <rFont val="굴림"/>
        <family val="3"/>
        <charset val="129"/>
      </rPr>
      <t>직관</t>
    </r>
    <r>
      <rPr>
        <sz val="11"/>
        <color indexed="8"/>
        <rFont val="Arial Narrow"/>
        <family val="2"/>
      </rPr>
      <t>, D=50mm</t>
    </r>
  </si>
  <si>
    <r>
      <rPr>
        <sz val="11"/>
        <color indexed="8"/>
        <rFont val="굴림"/>
        <family val="3"/>
        <charset val="129"/>
      </rPr>
      <t>본</t>
    </r>
  </si>
  <si>
    <r>
      <rPr>
        <sz val="11"/>
        <color indexed="8"/>
        <rFont val="굴림"/>
        <family val="3"/>
        <charset val="129"/>
      </rPr>
      <t>직관</t>
    </r>
    <r>
      <rPr>
        <sz val="11"/>
        <color indexed="8"/>
        <rFont val="Arial Narrow"/>
        <family val="2"/>
      </rPr>
      <t>, D=80mm</t>
    </r>
  </si>
  <si>
    <r>
      <rPr>
        <sz val="11"/>
        <color indexed="8"/>
        <rFont val="굴림"/>
        <family val="3"/>
        <charset val="129"/>
      </rPr>
      <t>직관</t>
    </r>
    <r>
      <rPr>
        <sz val="11"/>
        <color indexed="8"/>
        <rFont val="Arial Narrow"/>
        <family val="2"/>
      </rPr>
      <t>, D=100mm</t>
    </r>
  </si>
  <si>
    <r>
      <t xml:space="preserve">     h.</t>
    </r>
    <r>
      <rPr>
        <sz val="11"/>
        <color indexed="8"/>
        <rFont val="굴림"/>
        <family val="3"/>
        <charset val="129"/>
      </rPr>
      <t>절단</t>
    </r>
  </si>
  <si>
    <r>
      <t xml:space="preserve">      PFP</t>
    </r>
    <r>
      <rPr>
        <sz val="11"/>
        <color indexed="8"/>
        <rFont val="굴림"/>
        <family val="3"/>
        <charset val="129"/>
      </rPr>
      <t>파이프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절단</t>
    </r>
  </si>
  <si>
    <t>D=50mm</t>
  </si>
  <si>
    <t>D=80mm</t>
  </si>
  <si>
    <t>D=100mm</t>
  </si>
  <si>
    <r>
      <t xml:space="preserve">    2.15.</t>
    </r>
    <r>
      <rPr>
        <sz val="11"/>
        <color indexed="8"/>
        <rFont val="굴림"/>
        <family val="3"/>
        <charset val="129"/>
      </rPr>
      <t>장비투입구</t>
    </r>
  </si>
  <si>
    <r>
      <t xml:space="preserve">     d.</t>
    </r>
    <r>
      <rPr>
        <sz val="11"/>
        <color indexed="8"/>
        <rFont val="굴림"/>
        <family val="3"/>
        <charset val="129"/>
      </rPr>
      <t>스페이셔설치</t>
    </r>
  </si>
  <si>
    <r>
      <t xml:space="preserve">     e.</t>
    </r>
    <r>
      <rPr>
        <sz val="11"/>
        <color indexed="8"/>
        <rFont val="굴림"/>
        <family val="3"/>
        <charset val="129"/>
      </rPr>
      <t>맨홀사다리</t>
    </r>
  </si>
  <si>
    <t>Φ22, 200*210*210</t>
  </si>
  <si>
    <r>
      <t xml:space="preserve">     f.NON SLIP </t>
    </r>
    <r>
      <rPr>
        <sz val="11"/>
        <color indexed="8"/>
        <rFont val="굴림"/>
        <family val="3"/>
        <charset val="129"/>
      </rPr>
      <t>뚜껑</t>
    </r>
  </si>
  <si>
    <r>
      <rPr>
        <sz val="11"/>
        <color indexed="8"/>
        <rFont val="굴림"/>
        <family val="3"/>
        <charset val="129"/>
      </rPr>
      <t>조</t>
    </r>
  </si>
  <si>
    <r>
      <t xml:space="preserve">    2.15.</t>
    </r>
    <r>
      <rPr>
        <sz val="11"/>
        <color indexed="8"/>
        <rFont val="굴림"/>
        <family val="3"/>
        <charset val="129"/>
      </rPr>
      <t>자재운반비</t>
    </r>
  </si>
  <si>
    <r>
      <t xml:space="preserve">     a.</t>
    </r>
    <r>
      <rPr>
        <sz val="11"/>
        <color indexed="8"/>
        <rFont val="굴림"/>
        <family val="3"/>
        <charset val="129"/>
      </rPr>
      <t>자재운반및하차비</t>
    </r>
  </si>
  <si>
    <r>
      <t xml:space="preserve">      </t>
    </r>
    <r>
      <rPr>
        <sz val="11"/>
        <color indexed="8"/>
        <rFont val="굴림"/>
        <family val="3"/>
        <charset val="129"/>
      </rPr>
      <t>흄관운반및하차비</t>
    </r>
  </si>
  <si>
    <r>
      <t xml:space="preserve">     b.</t>
    </r>
    <r>
      <rPr>
        <sz val="11"/>
        <color indexed="8"/>
        <rFont val="굴림"/>
        <family val="3"/>
        <charset val="129"/>
      </rPr>
      <t>철근운반</t>
    </r>
  </si>
  <si>
    <r>
      <t xml:space="preserve">      </t>
    </r>
    <r>
      <rPr>
        <sz val="11"/>
        <color indexed="8"/>
        <rFont val="굴림"/>
        <family val="3"/>
        <charset val="129"/>
      </rPr>
      <t>철근운반</t>
    </r>
  </si>
  <si>
    <r>
      <t>L=20km</t>
    </r>
    <r>
      <rPr>
        <sz val="11"/>
        <color indexed="8"/>
        <rFont val="굴림"/>
        <family val="3"/>
        <charset val="129"/>
      </rPr>
      <t>이내</t>
    </r>
  </si>
  <si>
    <r>
      <t xml:space="preserve">     c.PC</t>
    </r>
    <r>
      <rPr>
        <sz val="11"/>
        <color indexed="8"/>
        <rFont val="굴림"/>
        <family val="3"/>
        <charset val="129"/>
      </rPr>
      <t>우수암거운반비</t>
    </r>
  </si>
  <si>
    <r>
      <t xml:space="preserve">      c-1.</t>
    </r>
    <r>
      <rPr>
        <sz val="11"/>
        <color indexed="8"/>
        <rFont val="굴림"/>
        <family val="3"/>
        <charset val="129"/>
      </rPr>
      <t>일반</t>
    </r>
  </si>
  <si>
    <r>
      <t xml:space="preserve">       PC</t>
    </r>
    <r>
      <rPr>
        <sz val="11"/>
        <color indexed="8"/>
        <rFont val="굴림"/>
        <family val="3"/>
        <charset val="129"/>
      </rPr>
      <t>우수암거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운반비</t>
    </r>
    <r>
      <rPr>
        <sz val="11"/>
        <color indexed="8"/>
        <rFont val="Arial Narrow"/>
        <family val="2"/>
      </rPr>
      <t>)</t>
    </r>
  </si>
  <si>
    <r>
      <t>1@1.50 X 1.50(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 xml:space="preserve"> 0~3m,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</si>
  <si>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1@1.50 X 1.50(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 xml:space="preserve"> 0~5m,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</si>
  <si>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1@1.80 X 1.50(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 xml:space="preserve"> 0~3m,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</si>
  <si>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1@1.80 X 1.50(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 xml:space="preserve"> 3~6m,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</si>
  <si>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1@1.50 X 2.00(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 xml:space="preserve"> 0~3m,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</si>
  <si>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1@1.50 X 2.00(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 xml:space="preserve"> 3~6m,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</si>
  <si>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1@2.00 X 1.50(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 xml:space="preserve"> 0~3m,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</si>
  <si>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1@2.00 X 1.50(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 xml:space="preserve"> 3~6m,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</si>
  <si>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1@2.00 X 2.00(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 xml:space="preserve"> 0~3m,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</si>
  <si>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1@2.00 X 2.00(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 xml:space="preserve"> 0~4m,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</si>
  <si>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1@2.50 X 2.00(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 xml:space="preserve"> 0~3m,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</si>
  <si>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1@2.50 X 2.00(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 xml:space="preserve"> 3~6m,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</si>
  <si>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1@2.50 X 2.50(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 xml:space="preserve"> 0~3m,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</si>
  <si>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1@2.50 X 2.50(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 xml:space="preserve"> 3~6m,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</si>
  <si>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1@3.00 X 2.50(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 xml:space="preserve"> 0~3m,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</si>
  <si>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1@4.00 X 3.00(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 xml:space="preserve"> 0~3m,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</si>
  <si>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2@1.30 X 3.00(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 xml:space="preserve"> 0~1m,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</si>
  <si>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2@1.30 X 3.00(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 xml:space="preserve"> 0~3m,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</si>
  <si>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2@3.00 X 2.50(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 xml:space="preserve"> 0~3m,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</si>
  <si>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2@3.00 X 2.50(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 xml:space="preserve"> 3~6m,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</si>
  <si>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2@3.50 X 2.50(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 xml:space="preserve"> 0~3m,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</si>
  <si>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>2@3.50 X 2.50(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 xml:space="preserve"> 3~5m,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</si>
  <si>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 xml:space="preserve">      c-2.</t>
    </r>
    <r>
      <rPr>
        <sz val="11"/>
        <color indexed="8"/>
        <rFont val="굴림"/>
        <family val="3"/>
        <charset val="129"/>
      </rPr>
      <t>낙차</t>
    </r>
  </si>
  <si>
    <r>
      <t>1@1.50 X 2.00(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 xml:space="preserve"> 0~3m,</t>
    </r>
    <r>
      <rPr>
        <sz val="11"/>
        <color indexed="8"/>
        <rFont val="굴림"/>
        <family val="3"/>
        <charset val="129"/>
      </rPr>
      <t>낙차</t>
    </r>
    <r>
      <rPr>
        <sz val="11"/>
        <color indexed="8"/>
        <rFont val="Arial Narrow"/>
        <family val="2"/>
      </rPr>
      <t>)</t>
    </r>
  </si>
  <si>
    <r>
      <t>1@1.50 X 2.00(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 xml:space="preserve"> 3~6m,</t>
    </r>
    <r>
      <rPr>
        <sz val="11"/>
        <color indexed="8"/>
        <rFont val="굴림"/>
        <family val="3"/>
        <charset val="129"/>
      </rPr>
      <t>낙차</t>
    </r>
    <r>
      <rPr>
        <sz val="11"/>
        <color indexed="8"/>
        <rFont val="Arial Narrow"/>
        <family val="2"/>
      </rPr>
      <t>)</t>
    </r>
  </si>
  <si>
    <r>
      <t>1@1.80 X 2.00(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 xml:space="preserve"> 0~3m,</t>
    </r>
    <r>
      <rPr>
        <sz val="11"/>
        <color indexed="8"/>
        <rFont val="굴림"/>
        <family val="3"/>
        <charset val="129"/>
      </rPr>
      <t>낙차</t>
    </r>
    <r>
      <rPr>
        <sz val="11"/>
        <color indexed="8"/>
        <rFont val="Arial Narrow"/>
        <family val="2"/>
      </rPr>
      <t>)</t>
    </r>
  </si>
  <si>
    <r>
      <t>1@1.80 X 2.00(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 xml:space="preserve"> 3~6m,</t>
    </r>
    <r>
      <rPr>
        <sz val="11"/>
        <color indexed="8"/>
        <rFont val="굴림"/>
        <family val="3"/>
        <charset val="129"/>
      </rPr>
      <t>낙차</t>
    </r>
    <r>
      <rPr>
        <sz val="11"/>
        <color indexed="8"/>
        <rFont val="Arial Narrow"/>
        <family val="2"/>
      </rPr>
      <t>)</t>
    </r>
  </si>
  <si>
    <r>
      <t>1@2.00 X 2.00(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 xml:space="preserve"> 0~3m,</t>
    </r>
    <r>
      <rPr>
        <sz val="11"/>
        <color indexed="8"/>
        <rFont val="굴림"/>
        <family val="3"/>
        <charset val="129"/>
      </rPr>
      <t>낙차</t>
    </r>
    <r>
      <rPr>
        <sz val="11"/>
        <color indexed="8"/>
        <rFont val="Arial Narrow"/>
        <family val="2"/>
      </rPr>
      <t>)</t>
    </r>
  </si>
  <si>
    <r>
      <t>1@2.00 X 2.00(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 xml:space="preserve"> 3~6m,</t>
    </r>
    <r>
      <rPr>
        <sz val="11"/>
        <color indexed="8"/>
        <rFont val="굴림"/>
        <family val="3"/>
        <charset val="129"/>
      </rPr>
      <t>낙차</t>
    </r>
    <r>
      <rPr>
        <sz val="11"/>
        <color indexed="8"/>
        <rFont val="Arial Narrow"/>
        <family val="2"/>
      </rPr>
      <t>)</t>
    </r>
  </si>
  <si>
    <r>
      <t>1@2.00 X 2.50(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 xml:space="preserve"> 0~3m,</t>
    </r>
    <r>
      <rPr>
        <sz val="11"/>
        <color indexed="8"/>
        <rFont val="굴림"/>
        <family val="3"/>
        <charset val="129"/>
      </rPr>
      <t>낙차</t>
    </r>
    <r>
      <rPr>
        <sz val="11"/>
        <color indexed="8"/>
        <rFont val="Arial Narrow"/>
        <family val="2"/>
      </rPr>
      <t>)</t>
    </r>
  </si>
  <si>
    <r>
      <t>1@2.00 X 2.50(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 xml:space="preserve"> 3~6m,</t>
    </r>
    <r>
      <rPr>
        <sz val="11"/>
        <color indexed="8"/>
        <rFont val="굴림"/>
        <family val="3"/>
        <charset val="129"/>
      </rPr>
      <t>낙차</t>
    </r>
    <r>
      <rPr>
        <sz val="11"/>
        <color indexed="8"/>
        <rFont val="Arial Narrow"/>
        <family val="2"/>
      </rPr>
      <t>)</t>
    </r>
  </si>
  <si>
    <r>
      <t>1@2.50 X 2.50(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 xml:space="preserve"> 0~3m,</t>
    </r>
    <r>
      <rPr>
        <sz val="11"/>
        <color indexed="8"/>
        <rFont val="굴림"/>
        <family val="3"/>
        <charset val="129"/>
      </rPr>
      <t>낙차</t>
    </r>
    <r>
      <rPr>
        <sz val="11"/>
        <color indexed="8"/>
        <rFont val="Arial Narrow"/>
        <family val="2"/>
      </rPr>
      <t>)</t>
    </r>
  </si>
  <si>
    <r>
      <t>1@2.50 X 3.00(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 xml:space="preserve"> 0~3m,</t>
    </r>
    <r>
      <rPr>
        <sz val="11"/>
        <color indexed="8"/>
        <rFont val="굴림"/>
        <family val="3"/>
        <charset val="129"/>
      </rPr>
      <t>낙차</t>
    </r>
    <r>
      <rPr>
        <sz val="11"/>
        <color indexed="8"/>
        <rFont val="Arial Narrow"/>
        <family val="2"/>
      </rPr>
      <t>)</t>
    </r>
  </si>
  <si>
    <r>
      <t>1@2.50 X 3.00(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 xml:space="preserve"> 3~6m,</t>
    </r>
    <r>
      <rPr>
        <sz val="11"/>
        <color indexed="8"/>
        <rFont val="굴림"/>
        <family val="3"/>
        <charset val="129"/>
      </rPr>
      <t>낙차</t>
    </r>
    <r>
      <rPr>
        <sz val="11"/>
        <color indexed="8"/>
        <rFont val="Arial Narrow"/>
        <family val="2"/>
      </rPr>
      <t>)</t>
    </r>
  </si>
  <si>
    <r>
      <t>1@3.00 X 3.00(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 xml:space="preserve"> 0~3m,</t>
    </r>
    <r>
      <rPr>
        <sz val="11"/>
        <color indexed="8"/>
        <rFont val="굴림"/>
        <family val="3"/>
        <charset val="129"/>
      </rPr>
      <t>낙차</t>
    </r>
    <r>
      <rPr>
        <sz val="11"/>
        <color indexed="8"/>
        <rFont val="Arial Narrow"/>
        <family val="2"/>
      </rPr>
      <t>)</t>
    </r>
  </si>
  <si>
    <r>
      <t>2@3.00 X 3.00(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 xml:space="preserve"> 0~3m,</t>
    </r>
    <r>
      <rPr>
        <sz val="11"/>
        <color indexed="8"/>
        <rFont val="굴림"/>
        <family val="3"/>
        <charset val="129"/>
      </rPr>
      <t>낙차</t>
    </r>
    <r>
      <rPr>
        <sz val="11"/>
        <color indexed="8"/>
        <rFont val="Arial Narrow"/>
        <family val="2"/>
      </rPr>
      <t>)</t>
    </r>
  </si>
  <si>
    <r>
      <t>2@3.50 X 3.00(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 xml:space="preserve"> 3~6m,</t>
    </r>
    <r>
      <rPr>
        <sz val="11"/>
        <color indexed="8"/>
        <rFont val="굴림"/>
        <family val="3"/>
        <charset val="129"/>
      </rPr>
      <t>낙차</t>
    </r>
    <r>
      <rPr>
        <sz val="11"/>
        <color indexed="8"/>
        <rFont val="Arial Narrow"/>
        <family val="2"/>
      </rPr>
      <t>)</t>
    </r>
  </si>
  <si>
    <r>
      <t xml:space="preserve">    2.16.</t>
    </r>
    <r>
      <rPr>
        <sz val="11"/>
        <color indexed="8"/>
        <rFont val="굴림"/>
        <family val="3"/>
        <charset val="129"/>
      </rPr>
      <t>자재대</t>
    </r>
  </si>
  <si>
    <r>
      <t xml:space="preserve">     a.</t>
    </r>
    <r>
      <rPr>
        <sz val="11"/>
        <color indexed="8"/>
        <rFont val="굴림"/>
        <family val="3"/>
        <charset val="129"/>
      </rPr>
      <t>레미콘</t>
    </r>
  </si>
  <si>
    <r>
      <t xml:space="preserve">      </t>
    </r>
    <r>
      <rPr>
        <sz val="11"/>
        <color indexed="8"/>
        <rFont val="굴림"/>
        <family val="3"/>
        <charset val="129"/>
      </rPr>
      <t>레미콘</t>
    </r>
  </si>
  <si>
    <t>25-27-12</t>
  </si>
  <si>
    <t>25-27-8</t>
  </si>
  <si>
    <t>25-24-15</t>
  </si>
  <si>
    <t>25-21-8</t>
  </si>
  <si>
    <t>25-18-8</t>
  </si>
  <si>
    <r>
      <t xml:space="preserve">     b.</t>
    </r>
    <r>
      <rPr>
        <sz val="11"/>
        <color indexed="8"/>
        <rFont val="굴림"/>
        <family val="3"/>
        <charset val="129"/>
      </rPr>
      <t>골재</t>
    </r>
  </si>
  <si>
    <r>
      <t xml:space="preserve">      </t>
    </r>
    <r>
      <rPr>
        <sz val="11"/>
        <color indexed="8"/>
        <rFont val="굴림"/>
        <family val="3"/>
        <charset val="129"/>
      </rPr>
      <t>보조기층</t>
    </r>
  </si>
  <si>
    <t>Φ80mm</t>
  </si>
  <si>
    <r>
      <t xml:space="preserve">     c.</t>
    </r>
    <r>
      <rPr>
        <sz val="11"/>
        <color indexed="8"/>
        <rFont val="굴림"/>
        <family val="3"/>
        <charset val="129"/>
      </rPr>
      <t>모래</t>
    </r>
  </si>
  <si>
    <r>
      <t xml:space="preserve">      </t>
    </r>
    <r>
      <rPr>
        <sz val="11"/>
        <color indexed="8"/>
        <rFont val="굴림"/>
        <family val="3"/>
        <charset val="129"/>
      </rPr>
      <t>모래</t>
    </r>
  </si>
  <si>
    <r>
      <rPr>
        <sz val="11"/>
        <color indexed="8"/>
        <rFont val="굴림"/>
        <family val="3"/>
        <charset val="129"/>
      </rPr>
      <t>현장도착도</t>
    </r>
  </si>
  <si>
    <r>
      <t xml:space="preserve">     d.</t>
    </r>
    <r>
      <rPr>
        <sz val="11"/>
        <color indexed="8"/>
        <rFont val="굴림"/>
        <family val="3"/>
        <charset val="129"/>
      </rPr>
      <t>고강성</t>
    </r>
    <r>
      <rPr>
        <sz val="11"/>
        <color indexed="8"/>
        <rFont val="Arial Narrow"/>
        <family val="2"/>
      </rPr>
      <t>PVC</t>
    </r>
    <r>
      <rPr>
        <sz val="11"/>
        <color indexed="8"/>
        <rFont val="굴림"/>
        <family val="3"/>
        <charset val="129"/>
      </rPr>
      <t>이중벽관</t>
    </r>
  </si>
  <si>
    <r>
      <t xml:space="preserve">      </t>
    </r>
    <r>
      <rPr>
        <sz val="11"/>
        <color indexed="8"/>
        <rFont val="굴림"/>
        <family val="3"/>
        <charset val="129"/>
      </rPr>
      <t>고강성</t>
    </r>
    <r>
      <rPr>
        <sz val="11"/>
        <color indexed="8"/>
        <rFont val="Arial Narrow"/>
        <family val="2"/>
      </rPr>
      <t>PVC</t>
    </r>
    <r>
      <rPr>
        <sz val="11"/>
        <color indexed="8"/>
        <rFont val="굴림"/>
        <family val="3"/>
        <charset val="129"/>
      </rPr>
      <t>이중벽관</t>
    </r>
  </si>
  <si>
    <r>
      <t>Φ250mm(</t>
    </r>
    <r>
      <rPr>
        <sz val="11"/>
        <color indexed="8"/>
        <rFont val="굴림"/>
        <family val="3"/>
        <charset val="129"/>
      </rPr>
      <t>고무링포함</t>
    </r>
    <r>
      <rPr>
        <sz val="11"/>
        <color indexed="8"/>
        <rFont val="Arial Narrow"/>
        <family val="2"/>
      </rPr>
      <t>)</t>
    </r>
  </si>
  <si>
    <r>
      <t xml:space="preserve">     e.</t>
    </r>
    <r>
      <rPr>
        <sz val="11"/>
        <color indexed="8"/>
        <rFont val="굴림"/>
        <family val="3"/>
        <charset val="129"/>
      </rPr>
      <t>흄관</t>
    </r>
  </si>
  <si>
    <r>
      <t xml:space="preserve">      </t>
    </r>
    <r>
      <rPr>
        <sz val="11"/>
        <color indexed="8"/>
        <rFont val="굴림"/>
        <family val="3"/>
        <charset val="129"/>
      </rPr>
      <t>흄관</t>
    </r>
  </si>
  <si>
    <t>Φ450mm</t>
  </si>
  <si>
    <t>Φ600mm</t>
  </si>
  <si>
    <t>Φ800mm</t>
  </si>
  <si>
    <t>Φ1000mm</t>
  </si>
  <si>
    <t>Φ1200mm</t>
  </si>
  <si>
    <t>Φ1350mm</t>
  </si>
  <si>
    <r>
      <t xml:space="preserve">      </t>
    </r>
    <r>
      <rPr>
        <sz val="11"/>
        <color indexed="8"/>
        <rFont val="굴림"/>
        <family val="3"/>
        <charset val="129"/>
      </rPr>
      <t>고무링</t>
    </r>
  </si>
  <si>
    <r>
      <t xml:space="preserve">       </t>
    </r>
    <r>
      <rPr>
        <sz val="11"/>
        <color indexed="8"/>
        <rFont val="굴림"/>
        <family val="3"/>
        <charset val="129"/>
      </rPr>
      <t>흄관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고무링</t>
    </r>
    <r>
      <rPr>
        <sz val="11"/>
        <color indexed="8"/>
        <rFont val="Arial Narrow"/>
        <family val="2"/>
      </rPr>
      <t>)</t>
    </r>
  </si>
  <si>
    <r>
      <t xml:space="preserve">     f.</t>
    </r>
    <r>
      <rPr>
        <sz val="11"/>
        <color indexed="8"/>
        <rFont val="굴림"/>
        <family val="3"/>
        <charset val="129"/>
      </rPr>
      <t>철근</t>
    </r>
  </si>
  <si>
    <t xml:space="preserve">      f-1.SD300</t>
  </si>
  <si>
    <r>
      <t xml:space="preserve">       </t>
    </r>
    <r>
      <rPr>
        <sz val="11"/>
        <color indexed="8"/>
        <rFont val="굴림"/>
        <family val="3"/>
        <charset val="129"/>
      </rPr>
      <t>이형철근</t>
    </r>
    <r>
      <rPr>
        <sz val="11"/>
        <color indexed="8"/>
        <rFont val="Arial Narrow"/>
        <family val="2"/>
      </rPr>
      <t>(SD300)</t>
    </r>
  </si>
  <si>
    <t>D13M/M</t>
  </si>
  <si>
    <t xml:space="preserve">      f-2.SD400</t>
  </si>
  <si>
    <r>
      <t xml:space="preserve">       </t>
    </r>
    <r>
      <rPr>
        <sz val="11"/>
        <color indexed="8"/>
        <rFont val="굴림"/>
        <family val="3"/>
        <charset val="129"/>
      </rPr>
      <t>이형철근</t>
    </r>
    <r>
      <rPr>
        <sz val="11"/>
        <color indexed="8"/>
        <rFont val="Arial Narrow"/>
        <family val="2"/>
      </rPr>
      <t>(SD400)</t>
    </r>
  </si>
  <si>
    <t>H13mm</t>
  </si>
  <si>
    <t>H16mm</t>
  </si>
  <si>
    <t>H19mm</t>
  </si>
  <si>
    <t>H22mm</t>
  </si>
  <si>
    <t>H25mm</t>
  </si>
  <si>
    <r>
      <t xml:space="preserve">     g.PC</t>
    </r>
    <r>
      <rPr>
        <sz val="11"/>
        <color indexed="8"/>
        <rFont val="굴림"/>
        <family val="3"/>
        <charset val="129"/>
      </rPr>
      <t>암거구입</t>
    </r>
  </si>
  <si>
    <r>
      <t xml:space="preserve">      g-1.</t>
    </r>
    <r>
      <rPr>
        <sz val="11"/>
        <color indexed="8"/>
        <rFont val="굴림"/>
        <family val="3"/>
        <charset val="129"/>
      </rPr>
      <t>일반</t>
    </r>
  </si>
  <si>
    <r>
      <t xml:space="preserve">       PC</t>
    </r>
    <r>
      <rPr>
        <sz val="11"/>
        <color indexed="8"/>
        <rFont val="굴림"/>
        <family val="3"/>
        <charset val="129"/>
      </rPr>
      <t>우수암거</t>
    </r>
  </si>
  <si>
    <r>
      <t>1@3.00 X 2.50(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 xml:space="preserve"> 3~6m,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</si>
  <si>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 xml:space="preserve">      g-2.</t>
    </r>
    <r>
      <rPr>
        <sz val="11"/>
        <color indexed="8"/>
        <rFont val="굴림"/>
        <family val="3"/>
        <charset val="129"/>
      </rPr>
      <t>낙차</t>
    </r>
  </si>
  <si>
    <r>
      <t xml:space="preserve">     h.</t>
    </r>
    <r>
      <rPr>
        <sz val="11"/>
        <color indexed="8"/>
        <rFont val="굴림"/>
        <family val="3"/>
        <charset val="129"/>
      </rPr>
      <t>초기우수처리리설</t>
    </r>
  </si>
  <si>
    <r>
      <t xml:space="preserve">      </t>
    </r>
    <r>
      <rPr>
        <sz val="11"/>
        <color indexed="8"/>
        <rFont val="굴림"/>
        <family val="3"/>
        <charset val="129"/>
      </rPr>
      <t>초기우수처리시설</t>
    </r>
    <r>
      <rPr>
        <sz val="11"/>
        <color indexed="8"/>
        <rFont val="Arial Narrow"/>
        <family val="2"/>
      </rPr>
      <t>(1</t>
    </r>
    <r>
      <rPr>
        <sz val="11"/>
        <color indexed="8"/>
        <rFont val="굴림"/>
        <family val="3"/>
        <charset val="129"/>
      </rPr>
      <t>지점</t>
    </r>
    <r>
      <rPr>
        <sz val="11"/>
        <color indexed="8"/>
        <rFont val="Arial Narrow"/>
        <family val="2"/>
      </rPr>
      <t>)</t>
    </r>
  </si>
  <si>
    <r>
      <t>1,300</t>
    </r>
    <r>
      <rPr>
        <sz val="11"/>
        <color indexed="8"/>
        <rFont val="굴림"/>
        <family val="3"/>
        <charset val="129"/>
      </rPr>
      <t>㎥</t>
    </r>
    <r>
      <rPr>
        <sz val="11"/>
        <color indexed="8"/>
        <rFont val="Arial Narrow"/>
        <family val="2"/>
      </rPr>
      <t>/hr</t>
    </r>
  </si>
  <si>
    <r>
      <t xml:space="preserve">      </t>
    </r>
    <r>
      <rPr>
        <sz val="11"/>
        <color indexed="8"/>
        <rFont val="굴림"/>
        <family val="3"/>
        <charset val="129"/>
      </rPr>
      <t>초기우수처리시설</t>
    </r>
    <r>
      <rPr>
        <sz val="11"/>
        <color indexed="8"/>
        <rFont val="Arial Narrow"/>
        <family val="2"/>
      </rPr>
      <t>(2</t>
    </r>
    <r>
      <rPr>
        <sz val="11"/>
        <color indexed="8"/>
        <rFont val="굴림"/>
        <family val="3"/>
        <charset val="129"/>
      </rPr>
      <t>지점</t>
    </r>
    <r>
      <rPr>
        <sz val="11"/>
        <color indexed="8"/>
        <rFont val="Arial Narrow"/>
        <family val="2"/>
      </rPr>
      <t>)</t>
    </r>
  </si>
  <si>
    <r>
      <t>1,201</t>
    </r>
    <r>
      <rPr>
        <sz val="11"/>
        <color indexed="8"/>
        <rFont val="굴림"/>
        <family val="3"/>
        <charset val="129"/>
      </rPr>
      <t>㎥</t>
    </r>
    <r>
      <rPr>
        <sz val="11"/>
        <color indexed="8"/>
        <rFont val="Arial Narrow"/>
        <family val="2"/>
      </rPr>
      <t>/hr</t>
    </r>
  </si>
  <si>
    <r>
      <t xml:space="preserve">      </t>
    </r>
    <r>
      <rPr>
        <sz val="11"/>
        <color indexed="8"/>
        <rFont val="굴림"/>
        <family val="3"/>
        <charset val="129"/>
      </rPr>
      <t>초기우수처리시설</t>
    </r>
    <r>
      <rPr>
        <sz val="11"/>
        <color indexed="8"/>
        <rFont val="Arial Narrow"/>
        <family val="2"/>
      </rPr>
      <t>(3</t>
    </r>
    <r>
      <rPr>
        <sz val="11"/>
        <color indexed="8"/>
        <rFont val="굴림"/>
        <family val="3"/>
        <charset val="129"/>
      </rPr>
      <t>지점</t>
    </r>
    <r>
      <rPr>
        <sz val="11"/>
        <color indexed="8"/>
        <rFont val="Arial Narrow"/>
        <family val="2"/>
      </rPr>
      <t>)</t>
    </r>
  </si>
  <si>
    <r>
      <t>20</t>
    </r>
    <r>
      <rPr>
        <sz val="11"/>
        <color indexed="8"/>
        <rFont val="굴림"/>
        <family val="3"/>
        <charset val="129"/>
      </rPr>
      <t>㎥</t>
    </r>
    <r>
      <rPr>
        <sz val="11"/>
        <color indexed="8"/>
        <rFont val="Arial Narrow"/>
        <family val="2"/>
      </rPr>
      <t>/hr</t>
    </r>
  </si>
  <si>
    <r>
      <t xml:space="preserve">      </t>
    </r>
    <r>
      <rPr>
        <sz val="11"/>
        <color indexed="8"/>
        <rFont val="굴림"/>
        <family val="3"/>
        <charset val="129"/>
      </rPr>
      <t>초기우수처리시설</t>
    </r>
    <r>
      <rPr>
        <sz val="11"/>
        <color indexed="8"/>
        <rFont val="Arial Narrow"/>
        <family val="2"/>
      </rPr>
      <t>(4</t>
    </r>
    <r>
      <rPr>
        <sz val="11"/>
        <color indexed="8"/>
        <rFont val="굴림"/>
        <family val="3"/>
        <charset val="129"/>
      </rPr>
      <t>지점</t>
    </r>
    <r>
      <rPr>
        <sz val="11"/>
        <color indexed="8"/>
        <rFont val="Arial Narrow"/>
        <family val="2"/>
      </rPr>
      <t>)</t>
    </r>
  </si>
  <si>
    <r>
      <t>120</t>
    </r>
    <r>
      <rPr>
        <sz val="11"/>
        <color indexed="8"/>
        <rFont val="굴림"/>
        <family val="3"/>
        <charset val="129"/>
      </rPr>
      <t>㎥</t>
    </r>
    <r>
      <rPr>
        <sz val="11"/>
        <color indexed="8"/>
        <rFont val="Arial Narrow"/>
        <family val="2"/>
      </rPr>
      <t>/hr</t>
    </r>
  </si>
  <si>
    <r>
      <t xml:space="preserve">      </t>
    </r>
    <r>
      <rPr>
        <sz val="11"/>
        <color indexed="8"/>
        <rFont val="굴림"/>
        <family val="3"/>
        <charset val="129"/>
      </rPr>
      <t>초기우수처리시설</t>
    </r>
    <r>
      <rPr>
        <sz val="11"/>
        <color indexed="8"/>
        <rFont val="Arial Narrow"/>
        <family val="2"/>
      </rPr>
      <t>(5</t>
    </r>
    <r>
      <rPr>
        <sz val="11"/>
        <color indexed="8"/>
        <rFont val="굴림"/>
        <family val="3"/>
        <charset val="129"/>
      </rPr>
      <t>지점</t>
    </r>
    <r>
      <rPr>
        <sz val="11"/>
        <color indexed="8"/>
        <rFont val="Arial Narrow"/>
        <family val="2"/>
      </rPr>
      <t>)</t>
    </r>
  </si>
  <si>
    <r>
      <t>7,222</t>
    </r>
    <r>
      <rPr>
        <sz val="11"/>
        <color indexed="8"/>
        <rFont val="굴림"/>
        <family val="3"/>
        <charset val="129"/>
      </rPr>
      <t>㎥</t>
    </r>
    <r>
      <rPr>
        <sz val="11"/>
        <color indexed="8"/>
        <rFont val="Arial Narrow"/>
        <family val="2"/>
      </rPr>
      <t>/hr</t>
    </r>
  </si>
  <si>
    <r>
      <t xml:space="preserve">      </t>
    </r>
    <r>
      <rPr>
        <sz val="11"/>
        <color indexed="8"/>
        <rFont val="굴림"/>
        <family val="3"/>
        <charset val="129"/>
      </rPr>
      <t>초기우수처리시설</t>
    </r>
    <r>
      <rPr>
        <sz val="11"/>
        <color indexed="8"/>
        <rFont val="Arial Narrow"/>
        <family val="2"/>
      </rPr>
      <t>(6</t>
    </r>
    <r>
      <rPr>
        <sz val="11"/>
        <color indexed="8"/>
        <rFont val="굴림"/>
        <family val="3"/>
        <charset val="129"/>
      </rPr>
      <t>지점</t>
    </r>
    <r>
      <rPr>
        <sz val="11"/>
        <color indexed="8"/>
        <rFont val="Arial Narrow"/>
        <family val="2"/>
      </rPr>
      <t>)</t>
    </r>
  </si>
  <si>
    <r>
      <t>182</t>
    </r>
    <r>
      <rPr>
        <sz val="11"/>
        <color indexed="8"/>
        <rFont val="굴림"/>
        <family val="3"/>
        <charset val="129"/>
      </rPr>
      <t>㎥</t>
    </r>
    <r>
      <rPr>
        <sz val="11"/>
        <color indexed="8"/>
        <rFont val="Arial Narrow"/>
        <family val="2"/>
      </rPr>
      <t>/hr</t>
    </r>
  </si>
  <si>
    <r>
      <t xml:space="preserve">     i.</t>
    </r>
    <r>
      <rPr>
        <sz val="11"/>
        <color indexed="8"/>
        <rFont val="굴림"/>
        <family val="3"/>
        <charset val="129"/>
      </rPr>
      <t>셋앙카</t>
    </r>
  </si>
  <si>
    <r>
      <t xml:space="preserve">      </t>
    </r>
    <r>
      <rPr>
        <sz val="11"/>
        <color indexed="8"/>
        <rFont val="굴림"/>
        <family val="3"/>
        <charset val="129"/>
      </rPr>
      <t>셋트앵커</t>
    </r>
  </si>
  <si>
    <t>5/8"</t>
  </si>
  <si>
    <r>
      <t xml:space="preserve">     j.</t>
    </r>
    <r>
      <rPr>
        <sz val="11"/>
        <color indexed="8"/>
        <rFont val="굴림"/>
        <family val="3"/>
        <charset val="129"/>
      </rPr>
      <t>파형강관</t>
    </r>
  </si>
  <si>
    <r>
      <t xml:space="preserve">      </t>
    </r>
    <r>
      <rPr>
        <sz val="11"/>
        <color indexed="8"/>
        <rFont val="굴림"/>
        <family val="3"/>
        <charset val="129"/>
      </rPr>
      <t>파형강관</t>
    </r>
  </si>
  <si>
    <t>D200mm*1.6T(1RS)</t>
  </si>
  <si>
    <t>D250mm*1.6T(1RS)</t>
  </si>
  <si>
    <t>D500mm*1.6T(1RS)</t>
  </si>
  <si>
    <t>D700mm*1.6T(1RS)</t>
  </si>
  <si>
    <r>
      <t xml:space="preserve">     k.</t>
    </r>
    <r>
      <rPr>
        <sz val="11"/>
        <color indexed="8"/>
        <rFont val="굴림"/>
        <family val="3"/>
        <charset val="129"/>
      </rPr>
      <t>엘보</t>
    </r>
  </si>
  <si>
    <r>
      <t xml:space="preserve">      </t>
    </r>
    <r>
      <rPr>
        <sz val="11"/>
        <color indexed="8"/>
        <rFont val="굴림"/>
        <family val="3"/>
        <charset val="129"/>
      </rPr>
      <t>파형강관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곡관</t>
    </r>
    <r>
      <rPr>
        <sz val="11"/>
        <color indexed="8"/>
        <rFont val="Arial Narrow"/>
        <family val="2"/>
      </rPr>
      <t>)</t>
    </r>
  </si>
  <si>
    <t>D200mm</t>
  </si>
  <si>
    <t>D250mm</t>
  </si>
  <si>
    <t>D500mm</t>
  </si>
  <si>
    <t>D700mm</t>
  </si>
  <si>
    <r>
      <t xml:space="preserve">     l.</t>
    </r>
    <r>
      <rPr>
        <sz val="11"/>
        <color indexed="8"/>
        <rFont val="굴림"/>
        <family val="3"/>
        <charset val="129"/>
      </rPr>
      <t>내충격수도관</t>
    </r>
  </si>
  <si>
    <r>
      <t xml:space="preserve">      PFP </t>
    </r>
    <r>
      <rPr>
        <sz val="11"/>
        <color indexed="8"/>
        <rFont val="굴림"/>
        <family val="3"/>
        <charset val="129"/>
      </rPr>
      <t>직관</t>
    </r>
    <r>
      <rPr>
        <sz val="11"/>
        <color indexed="8"/>
        <rFont val="Arial Narrow"/>
        <family val="2"/>
      </rPr>
      <t xml:space="preserve"> (PM</t>
    </r>
    <r>
      <rPr>
        <sz val="11"/>
        <color indexed="8"/>
        <rFont val="굴림"/>
        <family val="3"/>
        <charset val="129"/>
      </rPr>
      <t>용</t>
    </r>
    <r>
      <rPr>
        <sz val="11"/>
        <color indexed="8"/>
        <rFont val="Arial Narrow"/>
        <family val="2"/>
      </rPr>
      <t>)</t>
    </r>
  </si>
  <si>
    <t>D50mm</t>
  </si>
  <si>
    <t>D80mm</t>
  </si>
  <si>
    <t>D100mm</t>
  </si>
  <si>
    <r>
      <t>03.</t>
    </r>
    <r>
      <rPr>
        <sz val="11"/>
        <color indexed="8"/>
        <rFont val="굴림"/>
        <family val="3"/>
        <charset val="129"/>
      </rPr>
      <t>오수공</t>
    </r>
  </si>
  <si>
    <r>
      <t xml:space="preserve">    3.01.</t>
    </r>
    <r>
      <rPr>
        <sz val="11"/>
        <color indexed="8"/>
        <rFont val="굴림"/>
        <family val="3"/>
        <charset val="129"/>
      </rPr>
      <t>토공</t>
    </r>
  </si>
  <si>
    <r>
      <t xml:space="preserve">     b.</t>
    </r>
    <r>
      <rPr>
        <sz val="11"/>
        <color indexed="8"/>
        <rFont val="굴림"/>
        <family val="3"/>
        <charset val="129"/>
      </rPr>
      <t>되메우기</t>
    </r>
  </si>
  <si>
    <r>
      <t xml:space="preserve">      </t>
    </r>
    <r>
      <rPr>
        <sz val="11"/>
        <color indexed="8"/>
        <rFont val="굴림"/>
        <family val="3"/>
        <charset val="129"/>
      </rPr>
      <t>되메우기및다짐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기계</t>
    </r>
    <r>
      <rPr>
        <sz val="11"/>
        <color indexed="8"/>
        <rFont val="Arial Narrow"/>
        <family val="2"/>
      </rPr>
      <t>100%)</t>
    </r>
  </si>
  <si>
    <r>
      <t xml:space="preserve">    3.02.</t>
    </r>
    <r>
      <rPr>
        <sz val="11"/>
        <color indexed="8"/>
        <rFont val="굴림"/>
        <family val="3"/>
        <charset val="129"/>
      </rPr>
      <t>관로</t>
    </r>
  </si>
  <si>
    <r>
      <t xml:space="preserve">     a.PVC</t>
    </r>
    <r>
      <rPr>
        <sz val="11"/>
        <color indexed="8"/>
        <rFont val="굴림"/>
        <family val="3"/>
        <charset val="129"/>
      </rPr>
      <t>이중벽관</t>
    </r>
  </si>
  <si>
    <t xml:space="preserve">      a-1.Φ150mm</t>
  </si>
  <si>
    <r>
      <t xml:space="preserve">       PVC</t>
    </r>
    <r>
      <rPr>
        <sz val="11"/>
        <color indexed="8"/>
        <rFont val="굴림"/>
        <family val="3"/>
        <charset val="129"/>
      </rPr>
      <t>이중벽관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소켓식</t>
    </r>
  </si>
  <si>
    <t>ø150mm</t>
  </si>
  <si>
    <r>
      <t xml:space="preserve">       </t>
    </r>
    <r>
      <rPr>
        <sz val="11"/>
        <color indexed="8"/>
        <rFont val="굴림"/>
        <family val="3"/>
        <charset val="129"/>
      </rPr>
      <t>고강성</t>
    </r>
    <r>
      <rPr>
        <sz val="11"/>
        <color indexed="8"/>
        <rFont val="Arial Narrow"/>
        <family val="2"/>
      </rPr>
      <t>PVC</t>
    </r>
    <r>
      <rPr>
        <sz val="11"/>
        <color indexed="8"/>
        <rFont val="굴림"/>
        <family val="3"/>
        <charset val="129"/>
      </rPr>
      <t>이중벽관</t>
    </r>
    <r>
      <rPr>
        <sz val="11"/>
        <color indexed="8"/>
        <rFont val="Arial Narrow"/>
        <family val="2"/>
      </rPr>
      <t xml:space="preserve"> T</t>
    </r>
    <r>
      <rPr>
        <sz val="11"/>
        <color indexed="8"/>
        <rFont val="굴림"/>
        <family val="3"/>
        <charset val="129"/>
      </rPr>
      <t>형접합</t>
    </r>
  </si>
  <si>
    <r>
      <t>D300×150</t>
    </r>
    <r>
      <rPr>
        <sz val="11"/>
        <color indexed="8"/>
        <rFont val="굴림"/>
        <family val="3"/>
        <charset val="129"/>
      </rPr>
      <t>㎜</t>
    </r>
  </si>
  <si>
    <r>
      <t xml:space="preserve">       </t>
    </r>
    <r>
      <rPr>
        <sz val="11"/>
        <color indexed="8"/>
        <rFont val="굴림"/>
        <family val="3"/>
        <charset val="129"/>
      </rPr>
      <t>분기표식</t>
    </r>
    <r>
      <rPr>
        <sz val="11"/>
        <color indexed="8"/>
        <rFont val="Arial Narrow"/>
        <family val="2"/>
      </rPr>
      <t>ELP</t>
    </r>
    <r>
      <rPr>
        <sz val="11"/>
        <color indexed="8"/>
        <rFont val="굴림"/>
        <family val="3"/>
        <charset val="129"/>
      </rPr>
      <t>관</t>
    </r>
  </si>
  <si>
    <t>Φ80mm, H=1.5m</t>
  </si>
  <si>
    <r>
      <t xml:space="preserve">       </t>
    </r>
    <r>
      <rPr>
        <sz val="11"/>
        <color indexed="8"/>
        <rFont val="굴림"/>
        <family val="3"/>
        <charset val="129"/>
      </rPr>
      <t>분기표시못</t>
    </r>
  </si>
  <si>
    <r>
      <t xml:space="preserve">       </t>
    </r>
    <r>
      <rPr>
        <sz val="11"/>
        <color indexed="8"/>
        <rFont val="굴림"/>
        <family val="3"/>
        <charset val="129"/>
      </rPr>
      <t>고강성</t>
    </r>
    <r>
      <rPr>
        <sz val="11"/>
        <color indexed="8"/>
        <rFont val="Arial Narrow"/>
        <family val="2"/>
      </rPr>
      <t>PVC</t>
    </r>
    <r>
      <rPr>
        <sz val="11"/>
        <color indexed="8"/>
        <rFont val="굴림"/>
        <family val="3"/>
        <charset val="129"/>
      </rPr>
      <t>이중벽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마감캡설치</t>
    </r>
  </si>
  <si>
    <r>
      <t>D150</t>
    </r>
    <r>
      <rPr>
        <sz val="11"/>
        <color indexed="8"/>
        <rFont val="굴림"/>
        <family val="3"/>
        <charset val="129"/>
      </rPr>
      <t>㎜</t>
    </r>
  </si>
  <si>
    <t xml:space="preserve">      a-2.Φ300mm</t>
  </si>
  <si>
    <t>ø300mm</t>
  </si>
  <si>
    <r>
      <t xml:space="preserve">       </t>
    </r>
    <r>
      <rPr>
        <sz val="11"/>
        <color indexed="8"/>
        <rFont val="굴림"/>
        <family val="3"/>
        <charset val="129"/>
      </rPr>
      <t>고강성</t>
    </r>
    <r>
      <rPr>
        <sz val="11"/>
        <color indexed="8"/>
        <rFont val="Arial Narrow"/>
        <family val="2"/>
      </rPr>
      <t>PVC</t>
    </r>
    <r>
      <rPr>
        <sz val="11"/>
        <color indexed="8"/>
        <rFont val="굴림"/>
        <family val="3"/>
        <charset val="129"/>
      </rPr>
      <t>이중벽관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절단</t>
    </r>
  </si>
  <si>
    <r>
      <t>D300</t>
    </r>
    <r>
      <rPr>
        <sz val="11"/>
        <color indexed="8"/>
        <rFont val="굴림"/>
        <family val="3"/>
        <charset val="129"/>
      </rPr>
      <t>㎜</t>
    </r>
  </si>
  <si>
    <r>
      <t xml:space="preserve">       </t>
    </r>
    <r>
      <rPr>
        <sz val="11"/>
        <color indexed="8"/>
        <rFont val="굴림"/>
        <family val="3"/>
        <charset val="129"/>
      </rPr>
      <t>모래부설및다짐</t>
    </r>
  </si>
  <si>
    <r>
      <rPr>
        <sz val="11"/>
        <color indexed="8"/>
        <rFont val="굴림"/>
        <family val="3"/>
        <charset val="129"/>
      </rPr>
      <t>백호</t>
    </r>
    <r>
      <rPr>
        <sz val="11"/>
        <color indexed="8"/>
        <rFont val="Arial Narrow"/>
        <family val="2"/>
      </rPr>
      <t>0.7</t>
    </r>
    <r>
      <rPr>
        <sz val="11"/>
        <color indexed="8"/>
        <rFont val="굴림"/>
        <family val="3"/>
        <charset val="129"/>
      </rPr>
      <t>㎥</t>
    </r>
    <r>
      <rPr>
        <sz val="11"/>
        <color indexed="8"/>
        <rFont val="Arial Narrow"/>
        <family val="2"/>
      </rPr>
      <t>+</t>
    </r>
    <r>
      <rPr>
        <sz val="11"/>
        <color indexed="8"/>
        <rFont val="굴림"/>
        <family val="3"/>
        <charset val="129"/>
      </rPr>
      <t>콤팩터</t>
    </r>
  </si>
  <si>
    <r>
      <t xml:space="preserve">    3.03.</t>
    </r>
    <r>
      <rPr>
        <sz val="11"/>
        <color indexed="8"/>
        <rFont val="굴림"/>
        <family val="3"/>
        <charset val="129"/>
      </rPr>
      <t>오수맨홀</t>
    </r>
  </si>
  <si>
    <r>
      <t xml:space="preserve">     a.</t>
    </r>
    <r>
      <rPr>
        <sz val="11"/>
        <color indexed="8"/>
        <rFont val="굴림"/>
        <family val="3"/>
        <charset val="129"/>
      </rPr>
      <t>원형</t>
    </r>
    <r>
      <rPr>
        <sz val="11"/>
        <color indexed="8"/>
        <rFont val="Arial Narrow"/>
        <family val="2"/>
      </rPr>
      <t>1</t>
    </r>
    <r>
      <rPr>
        <sz val="11"/>
        <color indexed="8"/>
        <rFont val="굴림"/>
        <family val="3"/>
        <charset val="129"/>
      </rPr>
      <t>호맨홀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차도</t>
    </r>
    <r>
      <rPr>
        <sz val="11"/>
        <color indexed="8"/>
        <rFont val="Arial Narrow"/>
        <family val="2"/>
      </rPr>
      <t>)</t>
    </r>
  </si>
  <si>
    <r>
      <t xml:space="preserve">      </t>
    </r>
    <r>
      <rPr>
        <sz val="11"/>
        <color indexed="8"/>
        <rFont val="굴림"/>
        <family val="3"/>
        <charset val="129"/>
      </rPr>
      <t>조립식</t>
    </r>
    <r>
      <rPr>
        <sz val="11"/>
        <color indexed="8"/>
        <rFont val="Arial Narrow"/>
        <family val="2"/>
      </rPr>
      <t>PC</t>
    </r>
    <r>
      <rPr>
        <sz val="11"/>
        <color indexed="8"/>
        <rFont val="굴림"/>
        <family val="3"/>
        <charset val="129"/>
      </rPr>
      <t>맨홀설치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차도</t>
    </r>
    <r>
      <rPr>
        <sz val="11"/>
        <color indexed="8"/>
        <rFont val="Arial Narrow"/>
        <family val="2"/>
      </rPr>
      <t>)</t>
    </r>
  </si>
  <si>
    <r>
      <t>D900(</t>
    </r>
    <r>
      <rPr>
        <sz val="11"/>
        <color indexed="8"/>
        <rFont val="굴림"/>
        <family val="3"/>
        <charset val="129"/>
      </rPr>
      <t>하부구체</t>
    </r>
    <r>
      <rPr>
        <sz val="11"/>
        <color indexed="8"/>
        <rFont val="Arial Narrow"/>
        <family val="2"/>
      </rPr>
      <t>+</t>
    </r>
    <r>
      <rPr>
        <sz val="11"/>
        <color indexed="8"/>
        <rFont val="굴림"/>
        <family val="3"/>
        <charset val="129"/>
      </rPr>
      <t>상판</t>
    </r>
    <r>
      <rPr>
        <sz val="11"/>
        <color indexed="8"/>
        <rFont val="Arial Narrow"/>
        <family val="2"/>
      </rPr>
      <t>)</t>
    </r>
  </si>
  <si>
    <r>
      <t>D900(</t>
    </r>
    <r>
      <rPr>
        <sz val="11"/>
        <color indexed="8"/>
        <rFont val="굴림"/>
        <family val="3"/>
        <charset val="129"/>
      </rPr>
      <t>연직구체</t>
    </r>
    <r>
      <rPr>
        <sz val="11"/>
        <color indexed="8"/>
        <rFont val="Arial Narrow"/>
        <family val="2"/>
      </rPr>
      <t>)</t>
    </r>
  </si>
  <si>
    <r>
      <t xml:space="preserve">      </t>
    </r>
    <r>
      <rPr>
        <sz val="11"/>
        <color indexed="8"/>
        <rFont val="굴림"/>
        <family val="3"/>
        <charset val="129"/>
      </rPr>
      <t>맨홀뚜껑설치</t>
    </r>
  </si>
  <si>
    <r>
      <t xml:space="preserve">      </t>
    </r>
    <r>
      <rPr>
        <sz val="11"/>
        <color indexed="8"/>
        <rFont val="굴림"/>
        <family val="3"/>
        <charset val="129"/>
      </rPr>
      <t>맨홀사다리</t>
    </r>
  </si>
  <si>
    <t>Φ22, 245*355*245</t>
  </si>
  <si>
    <r>
      <rPr>
        <sz val="11"/>
        <color indexed="8"/>
        <rFont val="굴림"/>
        <family val="3"/>
        <charset val="129"/>
      </rPr>
      <t>소형구조물</t>
    </r>
  </si>
  <si>
    <r>
      <t xml:space="preserve">      </t>
    </r>
    <r>
      <rPr>
        <sz val="11"/>
        <color indexed="8"/>
        <rFont val="굴림"/>
        <family val="3"/>
        <charset val="129"/>
      </rPr>
      <t>강재거푸집</t>
    </r>
    <r>
      <rPr>
        <sz val="11"/>
        <color indexed="8"/>
        <rFont val="Arial Narrow"/>
        <family val="2"/>
      </rPr>
      <t>(35</t>
    </r>
    <r>
      <rPr>
        <sz val="11"/>
        <color indexed="8"/>
        <rFont val="굴림"/>
        <family val="3"/>
        <charset val="129"/>
      </rPr>
      <t>회</t>
    </r>
    <r>
      <rPr>
        <sz val="11"/>
        <color indexed="8"/>
        <rFont val="Arial Narrow"/>
        <family val="2"/>
      </rPr>
      <t>)</t>
    </r>
  </si>
  <si>
    <r>
      <rPr>
        <sz val="11"/>
        <color indexed="8"/>
        <rFont val="굴림"/>
        <family val="3"/>
        <charset val="129"/>
      </rPr>
      <t>교각</t>
    </r>
  </si>
  <si>
    <r>
      <t xml:space="preserve">      </t>
    </r>
    <r>
      <rPr>
        <sz val="11"/>
        <color indexed="8"/>
        <rFont val="굴림"/>
        <family val="3"/>
        <charset val="129"/>
      </rPr>
      <t>모르터</t>
    </r>
  </si>
  <si>
    <r>
      <t>1:2(</t>
    </r>
    <r>
      <rPr>
        <sz val="11"/>
        <color indexed="8"/>
        <rFont val="굴림"/>
        <family val="3"/>
        <charset val="129"/>
      </rPr>
      <t>재료비제외</t>
    </r>
    <r>
      <rPr>
        <sz val="11"/>
        <color indexed="8"/>
        <rFont val="Arial Narrow"/>
        <family val="2"/>
      </rPr>
      <t>)</t>
    </r>
  </si>
  <si>
    <r>
      <t xml:space="preserve">     b.</t>
    </r>
    <r>
      <rPr>
        <sz val="11"/>
        <color indexed="8"/>
        <rFont val="굴림"/>
        <family val="3"/>
        <charset val="129"/>
      </rPr>
      <t>원형</t>
    </r>
    <r>
      <rPr>
        <sz val="11"/>
        <color indexed="8"/>
        <rFont val="Arial Narrow"/>
        <family val="2"/>
      </rPr>
      <t>1</t>
    </r>
    <r>
      <rPr>
        <sz val="11"/>
        <color indexed="8"/>
        <rFont val="굴림"/>
        <family val="3"/>
        <charset val="129"/>
      </rPr>
      <t>호맨홀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보도</t>
    </r>
    <r>
      <rPr>
        <sz val="11"/>
        <color indexed="8"/>
        <rFont val="Arial Narrow"/>
        <family val="2"/>
      </rPr>
      <t>)</t>
    </r>
  </si>
  <si>
    <r>
      <t xml:space="preserve">      </t>
    </r>
    <r>
      <rPr>
        <sz val="11"/>
        <color indexed="8"/>
        <rFont val="굴림"/>
        <family val="3"/>
        <charset val="129"/>
      </rPr>
      <t>조립식</t>
    </r>
    <r>
      <rPr>
        <sz val="11"/>
        <color indexed="8"/>
        <rFont val="Arial Narrow"/>
        <family val="2"/>
      </rPr>
      <t>PC</t>
    </r>
    <r>
      <rPr>
        <sz val="11"/>
        <color indexed="8"/>
        <rFont val="굴림"/>
        <family val="3"/>
        <charset val="129"/>
      </rPr>
      <t>맨홀설치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보도</t>
    </r>
    <r>
      <rPr>
        <sz val="11"/>
        <color indexed="8"/>
        <rFont val="Arial Narrow"/>
        <family val="2"/>
      </rPr>
      <t>)</t>
    </r>
  </si>
  <si>
    <r>
      <t xml:space="preserve">      </t>
    </r>
    <r>
      <rPr>
        <sz val="11"/>
        <color indexed="8"/>
        <rFont val="굴림"/>
        <family val="3"/>
        <charset val="129"/>
      </rPr>
      <t>콘크리트타설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무근</t>
    </r>
    <r>
      <rPr>
        <sz val="11"/>
        <color indexed="8"/>
        <rFont val="Arial Narrow"/>
        <family val="2"/>
      </rPr>
      <t>,</t>
    </r>
    <r>
      <rPr>
        <sz val="11"/>
        <color indexed="8"/>
        <rFont val="굴림"/>
        <family val="3"/>
        <charset val="129"/>
      </rPr>
      <t>소형</t>
    </r>
    <r>
      <rPr>
        <sz val="11"/>
        <color indexed="8"/>
        <rFont val="Arial Narrow"/>
        <family val="2"/>
      </rPr>
      <t>)</t>
    </r>
  </si>
  <si>
    <r>
      <rPr>
        <sz val="11"/>
        <color indexed="8"/>
        <rFont val="굴림"/>
        <family val="3"/>
        <charset val="129"/>
      </rPr>
      <t>인력</t>
    </r>
    <r>
      <rPr>
        <sz val="11"/>
        <color indexed="8"/>
        <rFont val="Arial Narrow"/>
        <family val="2"/>
      </rPr>
      <t>(fck=21MPa)</t>
    </r>
    <r>
      <rPr>
        <sz val="11"/>
        <color indexed="8"/>
        <rFont val="굴림"/>
        <family val="3"/>
        <charset val="129"/>
      </rPr>
      <t>재료비제외</t>
    </r>
  </si>
  <si>
    <r>
      <t xml:space="preserve">     c.</t>
    </r>
    <r>
      <rPr>
        <sz val="11"/>
        <color indexed="8"/>
        <rFont val="굴림"/>
        <family val="3"/>
        <charset val="129"/>
      </rPr>
      <t>원형</t>
    </r>
    <r>
      <rPr>
        <sz val="11"/>
        <color indexed="8"/>
        <rFont val="Arial Narrow"/>
        <family val="2"/>
      </rPr>
      <t>1</t>
    </r>
    <r>
      <rPr>
        <sz val="11"/>
        <color indexed="8"/>
        <rFont val="굴림"/>
        <family val="3"/>
        <charset val="129"/>
      </rPr>
      <t>호맨홀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블록연결</t>
    </r>
    <r>
      <rPr>
        <sz val="11"/>
        <color indexed="8"/>
        <rFont val="Arial Narrow"/>
        <family val="2"/>
      </rPr>
      <t>)</t>
    </r>
  </si>
  <si>
    <r>
      <t xml:space="preserve">      </t>
    </r>
    <r>
      <rPr>
        <sz val="11"/>
        <color indexed="8"/>
        <rFont val="굴림"/>
        <family val="3"/>
        <charset val="129"/>
      </rPr>
      <t>원형</t>
    </r>
    <r>
      <rPr>
        <sz val="11"/>
        <color indexed="8"/>
        <rFont val="Arial Narrow"/>
        <family val="2"/>
      </rPr>
      <t>1</t>
    </r>
    <r>
      <rPr>
        <sz val="11"/>
        <color indexed="8"/>
        <rFont val="굴림"/>
        <family val="3"/>
        <charset val="129"/>
      </rPr>
      <t>호맨홀</t>
    </r>
  </si>
  <si>
    <r>
      <t xml:space="preserve">     d.</t>
    </r>
    <r>
      <rPr>
        <sz val="11"/>
        <color indexed="8"/>
        <rFont val="굴림"/>
        <family val="3"/>
        <charset val="129"/>
      </rPr>
      <t>맨홀인버트</t>
    </r>
  </si>
  <si>
    <r>
      <t xml:space="preserve">     e.</t>
    </r>
    <r>
      <rPr>
        <sz val="11"/>
        <color indexed="8"/>
        <rFont val="굴림"/>
        <family val="3"/>
        <charset val="129"/>
      </rPr>
      <t>맨홀유출입부</t>
    </r>
  </si>
  <si>
    <r>
      <t xml:space="preserve">      </t>
    </r>
    <r>
      <rPr>
        <sz val="11"/>
        <color indexed="8"/>
        <rFont val="굴림"/>
        <family val="3"/>
        <charset val="129"/>
      </rPr>
      <t>맨홀지수링</t>
    </r>
  </si>
  <si>
    <t>D300mm</t>
  </si>
  <si>
    <r>
      <t xml:space="preserve">     f.</t>
    </r>
    <r>
      <rPr>
        <sz val="11"/>
        <color indexed="8"/>
        <rFont val="굴림"/>
        <family val="3"/>
        <charset val="129"/>
      </rPr>
      <t>부관맨홀</t>
    </r>
  </si>
  <si>
    <r>
      <t xml:space="preserve">      </t>
    </r>
    <r>
      <rPr>
        <sz val="11"/>
        <color indexed="8"/>
        <rFont val="굴림"/>
        <family val="3"/>
        <charset val="129"/>
      </rPr>
      <t>부관맨홀설치</t>
    </r>
  </si>
  <si>
    <t>H=2.0m</t>
  </si>
  <si>
    <r>
      <t xml:space="preserve">    3.04.</t>
    </r>
    <r>
      <rPr>
        <sz val="11"/>
        <color indexed="8"/>
        <rFont val="굴림"/>
        <family val="3"/>
        <charset val="129"/>
      </rPr>
      <t>압송관로</t>
    </r>
  </si>
  <si>
    <r>
      <t xml:space="preserve">     a.</t>
    </r>
    <r>
      <rPr>
        <sz val="11"/>
        <color indexed="8"/>
        <rFont val="굴림"/>
        <family val="3"/>
        <charset val="129"/>
      </rPr>
      <t>맨홀펌프</t>
    </r>
    <r>
      <rPr>
        <sz val="11"/>
        <color indexed="8"/>
        <rFont val="Arial Narrow"/>
        <family val="2"/>
      </rPr>
      <t>(1.8×1.8)</t>
    </r>
  </si>
  <si>
    <r>
      <t xml:space="preserve">      </t>
    </r>
    <r>
      <rPr>
        <sz val="11"/>
        <color indexed="8"/>
        <rFont val="굴림"/>
        <family val="3"/>
        <charset val="129"/>
      </rPr>
      <t>사각맨홀</t>
    </r>
  </si>
  <si>
    <r>
      <t xml:space="preserve">1.8×1.8, </t>
    </r>
    <r>
      <rPr>
        <sz val="11"/>
        <color indexed="8"/>
        <rFont val="굴림"/>
        <family val="3"/>
        <charset val="129"/>
      </rPr>
      <t>하부구체</t>
    </r>
    <r>
      <rPr>
        <sz val="11"/>
        <color indexed="8"/>
        <rFont val="Arial Narrow"/>
        <family val="2"/>
      </rPr>
      <t>+</t>
    </r>
    <r>
      <rPr>
        <sz val="11"/>
        <color indexed="8"/>
        <rFont val="굴림"/>
        <family val="3"/>
        <charset val="129"/>
      </rPr>
      <t>상판</t>
    </r>
  </si>
  <si>
    <r>
      <t xml:space="preserve">1.8×1.8, </t>
    </r>
    <r>
      <rPr>
        <sz val="11"/>
        <color indexed="8"/>
        <rFont val="굴림"/>
        <family val="3"/>
        <charset val="129"/>
      </rPr>
      <t>연직구체</t>
    </r>
  </si>
  <si>
    <r>
      <t xml:space="preserve">     b.</t>
    </r>
    <r>
      <rPr>
        <sz val="11"/>
        <color indexed="8"/>
        <rFont val="굴림"/>
        <family val="3"/>
        <charset val="129"/>
      </rPr>
      <t>관로부설</t>
    </r>
  </si>
  <si>
    <r>
      <t xml:space="preserve">      b-1.</t>
    </r>
    <r>
      <rPr>
        <sz val="11"/>
        <color indexed="8"/>
        <rFont val="굴림"/>
        <family val="3"/>
        <charset val="129"/>
      </rPr>
      <t>토공</t>
    </r>
  </si>
  <si>
    <r>
      <t xml:space="preserve">       </t>
    </r>
    <r>
      <rPr>
        <sz val="11"/>
        <color indexed="8"/>
        <rFont val="굴림"/>
        <family val="3"/>
        <charset val="129"/>
      </rPr>
      <t>기계터파기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보통토사</t>
    </r>
    <r>
      <rPr>
        <sz val="11"/>
        <color indexed="8"/>
        <rFont val="Arial Narrow"/>
        <family val="2"/>
      </rPr>
      <t>/5m</t>
    </r>
    <r>
      <rPr>
        <sz val="11"/>
        <color indexed="8"/>
        <rFont val="굴림"/>
        <family val="3"/>
        <charset val="129"/>
      </rPr>
      <t>이하</t>
    </r>
  </si>
  <si>
    <r>
      <t xml:space="preserve">       </t>
    </r>
    <r>
      <rPr>
        <sz val="11"/>
        <color indexed="8"/>
        <rFont val="굴림"/>
        <family val="3"/>
        <charset val="129"/>
      </rPr>
      <t>되메우기및다짐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기계</t>
    </r>
    <r>
      <rPr>
        <sz val="11"/>
        <color indexed="8"/>
        <rFont val="Arial Narrow"/>
        <family val="2"/>
      </rPr>
      <t>100%)</t>
    </r>
  </si>
  <si>
    <r>
      <t xml:space="preserve">      b-2.</t>
    </r>
    <r>
      <rPr>
        <sz val="11"/>
        <color indexed="8"/>
        <rFont val="굴림"/>
        <family val="3"/>
        <charset val="129"/>
      </rPr>
      <t>관로공</t>
    </r>
  </si>
  <si>
    <r>
      <t xml:space="preserve">       KP</t>
    </r>
    <r>
      <rPr>
        <sz val="11"/>
        <color indexed="8"/>
        <rFont val="굴림"/>
        <family val="3"/>
        <charset val="129"/>
      </rPr>
      <t>메커니컬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조인트관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접합및부설</t>
    </r>
  </si>
  <si>
    <r>
      <t xml:space="preserve">       </t>
    </r>
    <r>
      <rPr>
        <sz val="11"/>
        <color indexed="8"/>
        <rFont val="굴림"/>
        <family val="3"/>
        <charset val="129"/>
      </rPr>
      <t>스테인리스강관배관</t>
    </r>
    <r>
      <rPr>
        <sz val="11"/>
        <color indexed="8"/>
        <rFont val="Arial Narrow"/>
        <family val="2"/>
      </rPr>
      <t>:</t>
    </r>
    <r>
      <rPr>
        <sz val="11"/>
        <color indexed="8"/>
        <rFont val="굴림"/>
        <family val="3"/>
        <charset val="129"/>
      </rPr>
      <t>용접배관</t>
    </r>
  </si>
  <si>
    <r>
      <t xml:space="preserve">       </t>
    </r>
    <r>
      <rPr>
        <sz val="11"/>
        <color indexed="8"/>
        <rFont val="굴림"/>
        <family val="3"/>
        <charset val="129"/>
      </rPr>
      <t>주철관이음쇠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플랜지접합</t>
    </r>
  </si>
  <si>
    <r>
      <t xml:space="preserve">       </t>
    </r>
    <r>
      <rPr>
        <sz val="11"/>
        <color indexed="8"/>
        <rFont val="굴림"/>
        <family val="3"/>
        <charset val="129"/>
      </rPr>
      <t>스테인리스강관배관</t>
    </r>
    <r>
      <rPr>
        <sz val="11"/>
        <color indexed="8"/>
        <rFont val="Arial Narrow"/>
        <family val="2"/>
      </rPr>
      <t>:</t>
    </r>
    <r>
      <rPr>
        <sz val="11"/>
        <color indexed="8"/>
        <rFont val="굴림"/>
        <family val="3"/>
        <charset val="129"/>
      </rPr>
      <t>용접접합</t>
    </r>
  </si>
  <si>
    <r>
      <t xml:space="preserve">       </t>
    </r>
    <r>
      <rPr>
        <sz val="11"/>
        <color indexed="8"/>
        <rFont val="굴림"/>
        <family val="3"/>
        <charset val="129"/>
      </rPr>
      <t>일반밸브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콕류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설치</t>
    </r>
  </si>
  <si>
    <r>
      <t xml:space="preserve">       </t>
    </r>
    <r>
      <rPr>
        <sz val="11"/>
        <color indexed="8"/>
        <rFont val="굴림"/>
        <family val="3"/>
        <charset val="129"/>
      </rPr>
      <t>파이프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지지행거</t>
    </r>
  </si>
  <si>
    <t>B=50mm</t>
  </si>
  <si>
    <r>
      <t xml:space="preserve">       </t>
    </r>
    <r>
      <rPr>
        <sz val="11"/>
        <color indexed="8"/>
        <rFont val="굴림"/>
        <family val="3"/>
        <charset val="129"/>
      </rPr>
      <t>수압시험</t>
    </r>
  </si>
  <si>
    <t>100mm</t>
  </si>
  <si>
    <r>
      <t xml:space="preserve">       </t>
    </r>
    <r>
      <rPr>
        <sz val="11"/>
        <color indexed="8"/>
        <rFont val="굴림"/>
        <family val="3"/>
        <charset val="129"/>
      </rPr>
      <t>배수펌프설치</t>
    </r>
  </si>
  <si>
    <r>
      <t>3.7kW</t>
    </r>
    <r>
      <rPr>
        <sz val="11"/>
        <color indexed="8"/>
        <rFont val="굴림"/>
        <family val="3"/>
        <charset val="129"/>
      </rPr>
      <t>이하</t>
    </r>
  </si>
  <si>
    <r>
      <rPr>
        <sz val="11"/>
        <color indexed="8"/>
        <rFont val="굴림"/>
        <family val="3"/>
        <charset val="129"/>
      </rPr>
      <t>대</t>
    </r>
  </si>
  <si>
    <r>
      <t xml:space="preserve">    3.05.</t>
    </r>
    <r>
      <rPr>
        <sz val="11"/>
        <color indexed="8"/>
        <rFont val="굴림"/>
        <family val="3"/>
        <charset val="129"/>
      </rPr>
      <t>부대공</t>
    </r>
  </si>
  <si>
    <r>
      <t xml:space="preserve">     a.</t>
    </r>
    <r>
      <rPr>
        <sz val="11"/>
        <color indexed="8"/>
        <rFont val="굴림"/>
        <family val="3"/>
        <charset val="129"/>
      </rPr>
      <t>하수관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수밀시험</t>
    </r>
  </si>
  <si>
    <r>
      <t xml:space="preserve">     c.</t>
    </r>
    <r>
      <rPr>
        <sz val="11"/>
        <color indexed="8"/>
        <rFont val="굴림"/>
        <family val="3"/>
        <charset val="129"/>
      </rPr>
      <t>경고테이프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오수용</t>
    </r>
    <r>
      <rPr>
        <sz val="11"/>
        <color indexed="8"/>
        <rFont val="Arial Narrow"/>
        <family val="2"/>
      </rPr>
      <t>)</t>
    </r>
  </si>
  <si>
    <r>
      <t xml:space="preserve">    3.06.</t>
    </r>
    <r>
      <rPr>
        <sz val="11"/>
        <color indexed="8"/>
        <rFont val="굴림"/>
        <family val="3"/>
        <charset val="129"/>
      </rPr>
      <t>자재운반비</t>
    </r>
  </si>
  <si>
    <r>
      <t xml:space="preserve">     a.</t>
    </r>
    <r>
      <rPr>
        <sz val="11"/>
        <color indexed="8"/>
        <rFont val="굴림"/>
        <family val="3"/>
        <charset val="129"/>
      </rPr>
      <t>시멘트운반</t>
    </r>
  </si>
  <si>
    <r>
      <t xml:space="preserve">      </t>
    </r>
    <r>
      <rPr>
        <sz val="11"/>
        <color indexed="8"/>
        <rFont val="굴림"/>
        <family val="3"/>
        <charset val="129"/>
      </rPr>
      <t>시멘트운반</t>
    </r>
  </si>
  <si>
    <t>40kg</t>
  </si>
  <si>
    <r>
      <rPr>
        <sz val="11"/>
        <color indexed="8"/>
        <rFont val="굴림"/>
        <family val="3"/>
        <charset val="129"/>
      </rPr>
      <t>포대</t>
    </r>
  </si>
  <si>
    <r>
      <t xml:space="preserve">     b.</t>
    </r>
    <r>
      <rPr>
        <sz val="11"/>
        <color indexed="8"/>
        <rFont val="굴림"/>
        <family val="3"/>
        <charset val="129"/>
      </rPr>
      <t>주철관및이형관운반</t>
    </r>
  </si>
  <si>
    <r>
      <t xml:space="preserve">      </t>
    </r>
    <r>
      <rPr>
        <sz val="11"/>
        <color indexed="8"/>
        <rFont val="굴림"/>
        <family val="3"/>
        <charset val="129"/>
      </rPr>
      <t>주철관및이형관운반</t>
    </r>
  </si>
  <si>
    <r>
      <t>50km</t>
    </r>
    <r>
      <rPr>
        <sz val="11"/>
        <color indexed="8"/>
        <rFont val="굴림"/>
        <family val="3"/>
        <charset val="129"/>
      </rPr>
      <t>이내</t>
    </r>
  </si>
  <si>
    <r>
      <t xml:space="preserve">    3.07.</t>
    </r>
    <r>
      <rPr>
        <sz val="11"/>
        <color indexed="8"/>
        <rFont val="굴림"/>
        <family val="3"/>
        <charset val="129"/>
      </rPr>
      <t>자재대</t>
    </r>
  </si>
  <si>
    <r>
      <t xml:space="preserve">     b.</t>
    </r>
    <r>
      <rPr>
        <sz val="11"/>
        <color indexed="8"/>
        <rFont val="굴림"/>
        <family val="3"/>
        <charset val="129"/>
      </rPr>
      <t>모래</t>
    </r>
  </si>
  <si>
    <r>
      <t xml:space="preserve">     c.</t>
    </r>
    <r>
      <rPr>
        <sz val="11"/>
        <color indexed="8"/>
        <rFont val="굴림"/>
        <family val="3"/>
        <charset val="129"/>
      </rPr>
      <t>시멘트</t>
    </r>
  </si>
  <si>
    <r>
      <t xml:space="preserve">     d.</t>
    </r>
    <r>
      <rPr>
        <sz val="11"/>
        <color indexed="8"/>
        <rFont val="굴림"/>
        <family val="3"/>
        <charset val="129"/>
      </rPr>
      <t>쇄석기층</t>
    </r>
  </si>
  <si>
    <r>
      <t>Φ25mm(</t>
    </r>
    <r>
      <rPr>
        <sz val="11"/>
        <color indexed="8"/>
        <rFont val="굴림"/>
        <family val="3"/>
        <charset val="129"/>
      </rPr>
      <t>도착도</t>
    </r>
    <r>
      <rPr>
        <sz val="11"/>
        <color indexed="8"/>
        <rFont val="Arial Narrow"/>
        <family val="2"/>
      </rPr>
      <t>)</t>
    </r>
  </si>
  <si>
    <r>
      <t xml:space="preserve">     e.</t>
    </r>
    <r>
      <rPr>
        <sz val="11"/>
        <color indexed="8"/>
        <rFont val="굴림"/>
        <family val="3"/>
        <charset val="129"/>
      </rPr>
      <t>고강성</t>
    </r>
    <r>
      <rPr>
        <sz val="11"/>
        <color indexed="8"/>
        <rFont val="Arial Narrow"/>
        <family val="2"/>
      </rPr>
      <t>PVC</t>
    </r>
    <r>
      <rPr>
        <sz val="11"/>
        <color indexed="8"/>
        <rFont val="굴림"/>
        <family val="3"/>
        <charset val="129"/>
      </rPr>
      <t>이중벽관</t>
    </r>
  </si>
  <si>
    <r>
      <t>Φ150mm(</t>
    </r>
    <r>
      <rPr>
        <sz val="11"/>
        <color indexed="8"/>
        <rFont val="굴림"/>
        <family val="3"/>
        <charset val="129"/>
      </rPr>
      <t>고무링포함</t>
    </r>
    <r>
      <rPr>
        <sz val="11"/>
        <color indexed="8"/>
        <rFont val="Arial Narrow"/>
        <family val="2"/>
      </rPr>
      <t>)</t>
    </r>
  </si>
  <si>
    <r>
      <t>Φ300mm(</t>
    </r>
    <r>
      <rPr>
        <sz val="11"/>
        <color indexed="8"/>
        <rFont val="굴림"/>
        <family val="3"/>
        <charset val="129"/>
      </rPr>
      <t>고무링포함</t>
    </r>
    <r>
      <rPr>
        <sz val="11"/>
        <color indexed="8"/>
        <rFont val="Arial Narrow"/>
        <family val="2"/>
      </rPr>
      <t>)</t>
    </r>
  </si>
  <si>
    <r>
      <t>Φ400mm(</t>
    </r>
    <r>
      <rPr>
        <sz val="11"/>
        <color indexed="8"/>
        <rFont val="굴림"/>
        <family val="3"/>
        <charset val="129"/>
      </rPr>
      <t>고무링포함</t>
    </r>
    <r>
      <rPr>
        <sz val="11"/>
        <color indexed="8"/>
        <rFont val="Arial Narrow"/>
        <family val="2"/>
      </rPr>
      <t>)</t>
    </r>
  </si>
  <si>
    <r>
      <t>YT</t>
    </r>
    <r>
      <rPr>
        <sz val="11"/>
        <color indexed="8"/>
        <rFont val="굴림"/>
        <family val="3"/>
        <charset val="129"/>
      </rPr>
      <t>관</t>
    </r>
    <r>
      <rPr>
        <sz val="11"/>
        <color indexed="8"/>
        <rFont val="Arial Narrow"/>
        <family val="2"/>
      </rPr>
      <t>,300×150</t>
    </r>
  </si>
  <si>
    <r>
      <t xml:space="preserve">     f.</t>
    </r>
    <r>
      <rPr>
        <sz val="11"/>
        <color indexed="8"/>
        <rFont val="굴림"/>
        <family val="3"/>
        <charset val="129"/>
      </rPr>
      <t>압송관</t>
    </r>
  </si>
  <si>
    <r>
      <t xml:space="preserve">      KP </t>
    </r>
    <r>
      <rPr>
        <sz val="11"/>
        <color indexed="8"/>
        <rFont val="굴림"/>
        <family val="3"/>
        <charset val="129"/>
      </rPr>
      <t>주철직관</t>
    </r>
    <r>
      <rPr>
        <sz val="11"/>
        <color indexed="8"/>
        <rFont val="Arial Narrow"/>
        <family val="2"/>
      </rPr>
      <t>(2</t>
    </r>
    <r>
      <rPr>
        <sz val="11"/>
        <color indexed="8"/>
        <rFont val="굴림"/>
        <family val="3"/>
        <charset val="129"/>
      </rPr>
      <t>종</t>
    </r>
    <r>
      <rPr>
        <sz val="11"/>
        <color indexed="8"/>
        <rFont val="Arial Narrow"/>
        <family val="2"/>
      </rPr>
      <t>)-</t>
    </r>
    <r>
      <rPr>
        <sz val="11"/>
        <color indexed="8"/>
        <rFont val="굴림"/>
        <family val="3"/>
        <charset val="129"/>
      </rPr>
      <t>에폭시분체</t>
    </r>
  </si>
  <si>
    <t>D100mm×6m</t>
  </si>
  <si>
    <r>
      <t xml:space="preserve">     g.PC</t>
    </r>
    <r>
      <rPr>
        <sz val="11"/>
        <color indexed="8"/>
        <rFont val="굴림"/>
        <family val="3"/>
        <charset val="129"/>
      </rPr>
      <t>맨홀</t>
    </r>
  </si>
  <si>
    <r>
      <t xml:space="preserve">      g-1.PC</t>
    </r>
    <r>
      <rPr>
        <sz val="11"/>
        <color indexed="8"/>
        <rFont val="굴림"/>
        <family val="3"/>
        <charset val="129"/>
      </rPr>
      <t>맨홀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원형</t>
    </r>
    <r>
      <rPr>
        <sz val="11"/>
        <color indexed="8"/>
        <rFont val="Arial Narrow"/>
        <family val="2"/>
      </rPr>
      <t>1</t>
    </r>
    <r>
      <rPr>
        <sz val="11"/>
        <color indexed="8"/>
        <rFont val="굴림"/>
        <family val="3"/>
        <charset val="129"/>
      </rPr>
      <t>호</t>
    </r>
    <r>
      <rPr>
        <sz val="11"/>
        <color indexed="8"/>
        <rFont val="Arial Narrow"/>
        <family val="2"/>
      </rPr>
      <t>)</t>
    </r>
  </si>
  <si>
    <r>
      <t xml:space="preserve">       </t>
    </r>
    <r>
      <rPr>
        <sz val="11"/>
        <color indexed="8"/>
        <rFont val="굴림"/>
        <family val="3"/>
        <charset val="129"/>
      </rPr>
      <t>조립식</t>
    </r>
    <r>
      <rPr>
        <sz val="11"/>
        <color indexed="8"/>
        <rFont val="Arial Narrow"/>
        <family val="2"/>
      </rPr>
      <t>PC</t>
    </r>
    <r>
      <rPr>
        <sz val="11"/>
        <color indexed="8"/>
        <rFont val="굴림"/>
        <family val="3"/>
        <charset val="129"/>
      </rPr>
      <t>맨홀</t>
    </r>
    <r>
      <rPr>
        <sz val="11"/>
        <color indexed="8"/>
        <rFont val="Arial Narrow"/>
        <family val="2"/>
      </rPr>
      <t>(1</t>
    </r>
    <r>
      <rPr>
        <sz val="11"/>
        <color indexed="8"/>
        <rFont val="굴림"/>
        <family val="3"/>
        <charset val="129"/>
      </rPr>
      <t>호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하부구체</t>
    </r>
    <r>
      <rPr>
        <sz val="11"/>
        <color indexed="8"/>
        <rFont val="Arial Narrow"/>
        <family val="2"/>
      </rPr>
      <t>)</t>
    </r>
  </si>
  <si>
    <t>Φ900×1000mm</t>
  </si>
  <si>
    <r>
      <t xml:space="preserve">       </t>
    </r>
    <r>
      <rPr>
        <sz val="11"/>
        <color indexed="8"/>
        <rFont val="굴림"/>
        <family val="3"/>
        <charset val="129"/>
      </rPr>
      <t>조립식</t>
    </r>
    <r>
      <rPr>
        <sz val="11"/>
        <color indexed="8"/>
        <rFont val="Arial Narrow"/>
        <family val="2"/>
      </rPr>
      <t>PC</t>
    </r>
    <r>
      <rPr>
        <sz val="11"/>
        <color indexed="8"/>
        <rFont val="굴림"/>
        <family val="3"/>
        <charset val="129"/>
      </rPr>
      <t>맨홀</t>
    </r>
    <r>
      <rPr>
        <sz val="11"/>
        <color indexed="8"/>
        <rFont val="Arial Narrow"/>
        <family val="2"/>
      </rPr>
      <t>(1</t>
    </r>
    <r>
      <rPr>
        <sz val="11"/>
        <color indexed="8"/>
        <rFont val="굴림"/>
        <family val="3"/>
        <charset val="129"/>
      </rPr>
      <t>호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연직구체</t>
    </r>
    <r>
      <rPr>
        <sz val="11"/>
        <color indexed="8"/>
        <rFont val="Arial Narrow"/>
        <family val="2"/>
      </rPr>
      <t>)</t>
    </r>
  </si>
  <si>
    <t>Ø900×600mm</t>
  </si>
  <si>
    <t>Ø900×1,200mm</t>
  </si>
  <si>
    <r>
      <t xml:space="preserve">       </t>
    </r>
    <r>
      <rPr>
        <sz val="11"/>
        <color indexed="8"/>
        <rFont val="굴림"/>
        <family val="3"/>
        <charset val="129"/>
      </rPr>
      <t>조립식</t>
    </r>
    <r>
      <rPr>
        <sz val="11"/>
        <color indexed="8"/>
        <rFont val="Arial Narrow"/>
        <family val="2"/>
      </rPr>
      <t>PC</t>
    </r>
    <r>
      <rPr>
        <sz val="11"/>
        <color indexed="8"/>
        <rFont val="굴림"/>
        <family val="3"/>
        <charset val="129"/>
      </rPr>
      <t>맨홀</t>
    </r>
    <r>
      <rPr>
        <sz val="11"/>
        <color indexed="8"/>
        <rFont val="Arial Narrow"/>
        <family val="2"/>
      </rPr>
      <t>(1</t>
    </r>
    <r>
      <rPr>
        <sz val="11"/>
        <color indexed="8"/>
        <rFont val="굴림"/>
        <family val="3"/>
        <charset val="129"/>
      </rPr>
      <t>호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상부구체</t>
    </r>
    <r>
      <rPr>
        <sz val="11"/>
        <color indexed="8"/>
        <rFont val="Arial Narrow"/>
        <family val="2"/>
      </rPr>
      <t>)</t>
    </r>
  </si>
  <si>
    <t>Ø900×200mm</t>
  </si>
  <si>
    <t>Ø900×300mm</t>
  </si>
  <si>
    <t>Ø900×400mm</t>
  </si>
  <si>
    <r>
      <t xml:space="preserve">       </t>
    </r>
    <r>
      <rPr>
        <sz val="11"/>
        <color indexed="8"/>
        <rFont val="굴림"/>
        <family val="3"/>
        <charset val="129"/>
      </rPr>
      <t>맨홀고무링</t>
    </r>
    <r>
      <rPr>
        <sz val="11"/>
        <color indexed="8"/>
        <rFont val="Arial Narrow"/>
        <family val="2"/>
      </rPr>
      <t xml:space="preserve"> Ø900</t>
    </r>
    <r>
      <rPr>
        <sz val="11"/>
        <color indexed="8"/>
        <rFont val="굴림"/>
        <family val="3"/>
        <charset val="129"/>
      </rPr>
      <t>용</t>
    </r>
  </si>
  <si>
    <t>D900</t>
  </si>
  <si>
    <r>
      <t xml:space="preserve">      g-2.</t>
    </r>
    <r>
      <rPr>
        <sz val="11"/>
        <color indexed="8"/>
        <rFont val="굴림"/>
        <family val="3"/>
        <charset val="129"/>
      </rPr>
      <t>펌프장맨홀</t>
    </r>
    <r>
      <rPr>
        <sz val="11"/>
        <color indexed="8"/>
        <rFont val="Arial Narrow"/>
        <family val="2"/>
      </rPr>
      <t>(1.8×1.8)</t>
    </r>
  </si>
  <si>
    <r>
      <t xml:space="preserve">       </t>
    </r>
    <r>
      <rPr>
        <sz val="11"/>
        <color indexed="8"/>
        <rFont val="굴림"/>
        <family val="3"/>
        <charset val="129"/>
      </rPr>
      <t>사각맨홀</t>
    </r>
    <r>
      <rPr>
        <sz val="11"/>
        <color indexed="8"/>
        <rFont val="Arial Narrow"/>
        <family val="2"/>
      </rPr>
      <t>(1.8×1.8,</t>
    </r>
    <r>
      <rPr>
        <sz val="11"/>
        <color indexed="8"/>
        <rFont val="굴림"/>
        <family val="3"/>
        <charset val="129"/>
      </rPr>
      <t>하부구체</t>
    </r>
    <r>
      <rPr>
        <sz val="11"/>
        <color indexed="8"/>
        <rFont val="Arial Narrow"/>
        <family val="2"/>
      </rPr>
      <t>)</t>
    </r>
  </si>
  <si>
    <t>H1500</t>
  </si>
  <si>
    <r>
      <t xml:space="preserve">       </t>
    </r>
    <r>
      <rPr>
        <sz val="11"/>
        <color indexed="8"/>
        <rFont val="굴림"/>
        <family val="3"/>
        <charset val="129"/>
      </rPr>
      <t>사각맨홀</t>
    </r>
    <r>
      <rPr>
        <sz val="11"/>
        <color indexed="8"/>
        <rFont val="Arial Narrow"/>
        <family val="2"/>
      </rPr>
      <t>(1.8×1.8,</t>
    </r>
    <r>
      <rPr>
        <sz val="11"/>
        <color indexed="8"/>
        <rFont val="굴림"/>
        <family val="3"/>
        <charset val="129"/>
      </rPr>
      <t>연직구체</t>
    </r>
    <r>
      <rPr>
        <sz val="11"/>
        <color indexed="8"/>
        <rFont val="Arial Narrow"/>
        <family val="2"/>
      </rPr>
      <t>)</t>
    </r>
  </si>
  <si>
    <t>H1800</t>
  </si>
  <si>
    <t>1800×1800×H200</t>
  </si>
  <si>
    <r>
      <t xml:space="preserve">       </t>
    </r>
    <r>
      <rPr>
        <sz val="11"/>
        <color indexed="8"/>
        <rFont val="굴림"/>
        <family val="3"/>
        <charset val="129"/>
      </rPr>
      <t>사각맨홀</t>
    </r>
    <r>
      <rPr>
        <sz val="11"/>
        <color indexed="8"/>
        <rFont val="Arial Narrow"/>
        <family val="2"/>
      </rPr>
      <t>(1.8×1.8,</t>
    </r>
    <r>
      <rPr>
        <sz val="11"/>
        <color indexed="8"/>
        <rFont val="굴림"/>
        <family val="3"/>
        <charset val="129"/>
      </rPr>
      <t>상부구체</t>
    </r>
    <r>
      <rPr>
        <sz val="11"/>
        <color indexed="8"/>
        <rFont val="Arial Narrow"/>
        <family val="2"/>
      </rPr>
      <t>)</t>
    </r>
  </si>
  <si>
    <t>H250</t>
  </si>
  <si>
    <r>
      <t xml:space="preserve">       </t>
    </r>
    <r>
      <rPr>
        <sz val="11"/>
        <color indexed="8"/>
        <rFont val="굴림"/>
        <family val="3"/>
        <charset val="129"/>
      </rPr>
      <t>사각맨홀고무링</t>
    </r>
  </si>
  <si>
    <r>
      <t xml:space="preserve">1.8×1.8, </t>
    </r>
    <r>
      <rPr>
        <sz val="11"/>
        <color indexed="8"/>
        <rFont val="굴림"/>
        <family val="3"/>
        <charset val="129"/>
      </rPr>
      <t>고무링</t>
    </r>
  </si>
  <si>
    <r>
      <t xml:space="preserve">      g-3.</t>
    </r>
    <r>
      <rPr>
        <sz val="11"/>
        <color indexed="8"/>
        <rFont val="굴림"/>
        <family val="3"/>
        <charset val="129"/>
      </rPr>
      <t>맨홀뚜껑</t>
    </r>
  </si>
  <si>
    <r>
      <t xml:space="preserve">       </t>
    </r>
    <r>
      <rPr>
        <sz val="11"/>
        <color indexed="8"/>
        <rFont val="굴림"/>
        <family val="3"/>
        <charset val="129"/>
      </rPr>
      <t>주철맨홀뚜껑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원형</t>
    </r>
    <r>
      <rPr>
        <sz val="11"/>
        <color indexed="8"/>
        <rFont val="Arial Narrow"/>
        <family val="2"/>
      </rPr>
      <t>)</t>
    </r>
  </si>
  <si>
    <r>
      <t xml:space="preserve">Φ648×110mm </t>
    </r>
    <r>
      <rPr>
        <sz val="11"/>
        <color indexed="8"/>
        <rFont val="굴림"/>
        <family val="3"/>
        <charset val="129"/>
      </rPr>
      <t>힌지형</t>
    </r>
  </si>
  <si>
    <r>
      <t xml:space="preserve">       </t>
    </r>
    <r>
      <rPr>
        <sz val="11"/>
        <color indexed="8"/>
        <rFont val="굴림"/>
        <family val="3"/>
        <charset val="129"/>
      </rPr>
      <t>칼라보도맨홀뚜껑</t>
    </r>
  </si>
  <si>
    <r>
      <rPr>
        <sz val="11"/>
        <color indexed="8"/>
        <rFont val="굴림"/>
        <family val="3"/>
        <charset val="129"/>
      </rPr>
      <t>내경</t>
    </r>
    <r>
      <rPr>
        <sz val="11"/>
        <color indexed="8"/>
        <rFont val="Arial Narrow"/>
        <family val="2"/>
      </rPr>
      <t>Φ600(800×800×60)</t>
    </r>
  </si>
  <si>
    <t>Φ918 KS</t>
  </si>
  <si>
    <r>
      <t xml:space="preserve">      g-4.</t>
    </r>
    <r>
      <rPr>
        <sz val="11"/>
        <color indexed="8"/>
        <rFont val="굴림"/>
        <family val="3"/>
        <charset val="129"/>
      </rPr>
      <t>압송관자재</t>
    </r>
  </si>
  <si>
    <r>
      <t xml:space="preserve">       STS </t>
    </r>
    <r>
      <rPr>
        <sz val="11"/>
        <color indexed="8"/>
        <rFont val="굴림"/>
        <family val="3"/>
        <charset val="129"/>
      </rPr>
      <t>강관</t>
    </r>
  </si>
  <si>
    <t>D80mm(3.0T)</t>
  </si>
  <si>
    <r>
      <t xml:space="preserve">       90</t>
    </r>
    <r>
      <rPr>
        <sz val="11"/>
        <color indexed="8"/>
        <rFont val="굴림"/>
        <family val="3"/>
        <charset val="129"/>
      </rPr>
      <t>˚엘보</t>
    </r>
    <r>
      <rPr>
        <sz val="11"/>
        <color indexed="8"/>
        <rFont val="Arial Narrow"/>
        <family val="2"/>
      </rPr>
      <t>(STS)-10S</t>
    </r>
  </si>
  <si>
    <r>
      <t>D80mm,</t>
    </r>
    <r>
      <rPr>
        <sz val="11"/>
        <color indexed="8"/>
        <rFont val="굴림"/>
        <family val="3"/>
        <charset val="129"/>
      </rPr>
      <t>용접식</t>
    </r>
  </si>
  <si>
    <t xml:space="preserve">       TEE(STS)-10S</t>
  </si>
  <si>
    <r>
      <t xml:space="preserve">       </t>
    </r>
    <r>
      <rPr>
        <sz val="11"/>
        <color indexed="8"/>
        <rFont val="굴림"/>
        <family val="3"/>
        <charset val="129"/>
      </rPr>
      <t>중심레듀셔</t>
    </r>
    <r>
      <rPr>
        <sz val="11"/>
        <color indexed="8"/>
        <rFont val="Arial Narrow"/>
        <family val="2"/>
      </rPr>
      <t>(STS)-10S</t>
    </r>
  </si>
  <si>
    <r>
      <t>D100×80mm,</t>
    </r>
    <r>
      <rPr>
        <sz val="11"/>
        <color indexed="8"/>
        <rFont val="굴림"/>
        <family val="3"/>
        <charset val="129"/>
      </rPr>
      <t>용접식</t>
    </r>
  </si>
  <si>
    <r>
      <t xml:space="preserve">       STS </t>
    </r>
    <r>
      <rPr>
        <sz val="11"/>
        <color indexed="8"/>
        <rFont val="굴림"/>
        <family val="3"/>
        <charset val="129"/>
      </rPr>
      <t>플랜지</t>
    </r>
    <r>
      <rPr>
        <sz val="11"/>
        <color indexed="8"/>
        <rFont val="Arial Narrow"/>
        <family val="2"/>
      </rPr>
      <t>(10kg/c</t>
    </r>
    <r>
      <rPr>
        <sz val="11"/>
        <color indexed="8"/>
        <rFont val="굴림"/>
        <family val="3"/>
        <charset val="129"/>
      </rPr>
      <t>㎡</t>
    </r>
    <r>
      <rPr>
        <sz val="11"/>
        <color indexed="8"/>
        <rFont val="Arial Narrow"/>
        <family val="2"/>
      </rPr>
      <t>)</t>
    </r>
  </si>
  <si>
    <t>80A</t>
  </si>
  <si>
    <t>100A</t>
  </si>
  <si>
    <r>
      <t xml:space="preserve">       </t>
    </r>
    <r>
      <rPr>
        <sz val="11"/>
        <color indexed="8"/>
        <rFont val="굴림"/>
        <family val="3"/>
        <charset val="129"/>
      </rPr>
      <t>게이트밸브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주철제</t>
    </r>
    <r>
      <rPr>
        <sz val="11"/>
        <color indexed="8"/>
        <rFont val="Arial Narrow"/>
        <family val="2"/>
      </rPr>
      <t>)</t>
    </r>
  </si>
  <si>
    <r>
      <t>D80mm(10kg/</t>
    </r>
    <r>
      <rPr>
        <sz val="11"/>
        <color indexed="8"/>
        <rFont val="굴림"/>
        <family val="3"/>
        <charset val="129"/>
      </rPr>
      <t>㎠</t>
    </r>
    <r>
      <rPr>
        <sz val="11"/>
        <color indexed="8"/>
        <rFont val="Arial Narrow"/>
        <family val="2"/>
      </rPr>
      <t>)</t>
    </r>
  </si>
  <si>
    <r>
      <t xml:space="preserve">       </t>
    </r>
    <r>
      <rPr>
        <sz val="11"/>
        <color indexed="8"/>
        <rFont val="굴림"/>
        <family val="3"/>
        <charset val="129"/>
      </rPr>
      <t>체크밸브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주강제</t>
    </r>
    <r>
      <rPr>
        <sz val="11"/>
        <color indexed="8"/>
        <rFont val="Arial Narrow"/>
        <family val="2"/>
      </rPr>
      <t>)</t>
    </r>
  </si>
  <si>
    <r>
      <t xml:space="preserve">       </t>
    </r>
    <r>
      <rPr>
        <sz val="11"/>
        <color indexed="8"/>
        <rFont val="굴림"/>
        <family val="3"/>
        <charset val="129"/>
      </rPr>
      <t>후렉시블조인트</t>
    </r>
  </si>
  <si>
    <t>80A,STS,10K</t>
  </si>
  <si>
    <r>
      <t xml:space="preserve">       </t>
    </r>
    <r>
      <rPr>
        <sz val="11"/>
        <color indexed="8"/>
        <rFont val="굴림"/>
        <family val="3"/>
        <charset val="129"/>
      </rPr>
      <t>오수배수용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수중펌프</t>
    </r>
  </si>
  <si>
    <t>D80mm,2.2KW</t>
  </si>
  <si>
    <r>
      <t>04.</t>
    </r>
    <r>
      <rPr>
        <sz val="11"/>
        <color indexed="8"/>
        <rFont val="굴림"/>
        <family val="3"/>
        <charset val="129"/>
      </rPr>
      <t>상수공</t>
    </r>
  </si>
  <si>
    <r>
      <t xml:space="preserve">    </t>
    </r>
    <r>
      <rPr>
        <sz val="11"/>
        <color indexed="8"/>
        <rFont val="굴림"/>
        <family val="3"/>
        <charset val="129"/>
      </rPr>
      <t>가</t>
    </r>
    <r>
      <rPr>
        <sz val="11"/>
        <color indexed="8"/>
        <rFont val="Arial Narrow"/>
        <family val="2"/>
      </rPr>
      <t>.</t>
    </r>
    <r>
      <rPr>
        <sz val="11"/>
        <color indexed="8"/>
        <rFont val="굴림"/>
        <family val="3"/>
        <charset val="129"/>
      </rPr>
      <t>본선</t>
    </r>
  </si>
  <si>
    <r>
      <t xml:space="preserve">     4.01.</t>
    </r>
    <r>
      <rPr>
        <sz val="11"/>
        <color indexed="8"/>
        <rFont val="굴림"/>
        <family val="3"/>
        <charset val="129"/>
      </rPr>
      <t>토공</t>
    </r>
  </si>
  <si>
    <r>
      <t xml:space="preserve">      a.</t>
    </r>
    <r>
      <rPr>
        <sz val="11"/>
        <color indexed="8"/>
        <rFont val="굴림"/>
        <family val="3"/>
        <charset val="129"/>
      </rPr>
      <t>터파기</t>
    </r>
  </si>
  <si>
    <r>
      <t xml:space="preserve">       </t>
    </r>
    <r>
      <rPr>
        <sz val="11"/>
        <color indexed="8"/>
        <rFont val="굴림"/>
        <family val="3"/>
        <charset val="129"/>
      </rPr>
      <t>터파기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토사</t>
    </r>
    <r>
      <rPr>
        <sz val="11"/>
        <color indexed="8"/>
        <rFont val="Arial Narrow"/>
        <family val="2"/>
      </rPr>
      <t>)</t>
    </r>
    <r>
      <rPr>
        <sz val="11"/>
        <color indexed="8"/>
        <rFont val="굴림"/>
        <family val="3"/>
        <charset val="129"/>
      </rPr>
      <t>백호우</t>
    </r>
    <r>
      <rPr>
        <sz val="11"/>
        <color indexed="8"/>
        <rFont val="Arial Narrow"/>
        <family val="2"/>
      </rPr>
      <t>0.7</t>
    </r>
    <r>
      <rPr>
        <sz val="11"/>
        <color indexed="8"/>
        <rFont val="굴림"/>
        <family val="3"/>
        <charset val="129"/>
      </rPr>
      <t>㎥</t>
    </r>
  </si>
  <si>
    <r>
      <rPr>
        <sz val="11"/>
        <color indexed="8"/>
        <rFont val="굴림"/>
        <family val="3"/>
        <charset val="129"/>
      </rPr>
      <t>기계</t>
    </r>
    <r>
      <rPr>
        <sz val="11"/>
        <color indexed="8"/>
        <rFont val="Arial Narrow"/>
        <family val="2"/>
      </rPr>
      <t>70%+</t>
    </r>
    <r>
      <rPr>
        <sz val="11"/>
        <color indexed="8"/>
        <rFont val="굴림"/>
        <family val="3"/>
        <charset val="129"/>
      </rPr>
      <t>인력</t>
    </r>
    <r>
      <rPr>
        <sz val="11"/>
        <color indexed="8"/>
        <rFont val="Arial Narrow"/>
        <family val="2"/>
      </rPr>
      <t>30%</t>
    </r>
  </si>
  <si>
    <r>
      <t xml:space="preserve">      b.</t>
    </r>
    <r>
      <rPr>
        <sz val="11"/>
        <color indexed="8"/>
        <rFont val="굴림"/>
        <family val="3"/>
        <charset val="129"/>
      </rPr>
      <t>되메우기</t>
    </r>
  </si>
  <si>
    <r>
      <t xml:space="preserve">       b-1.</t>
    </r>
    <r>
      <rPr>
        <sz val="11"/>
        <color indexed="8"/>
        <rFont val="굴림"/>
        <family val="3"/>
        <charset val="129"/>
      </rPr>
      <t>되메우기및다짐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기계</t>
    </r>
    <r>
      <rPr>
        <sz val="11"/>
        <color indexed="8"/>
        <rFont val="Arial Narrow"/>
        <family val="2"/>
      </rPr>
      <t>100%)</t>
    </r>
  </si>
  <si>
    <r>
      <t xml:space="preserve">       b-2.</t>
    </r>
    <r>
      <rPr>
        <sz val="11"/>
        <color indexed="8"/>
        <rFont val="굴림"/>
        <family val="3"/>
        <charset val="129"/>
      </rPr>
      <t>되메우기및다짐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기계</t>
    </r>
    <r>
      <rPr>
        <sz val="11"/>
        <color indexed="8"/>
        <rFont val="Arial Narrow"/>
        <family val="2"/>
      </rPr>
      <t>100%)</t>
    </r>
  </si>
  <si>
    <r>
      <t xml:space="preserve">       b-3.</t>
    </r>
    <r>
      <rPr>
        <sz val="11"/>
        <color indexed="8"/>
        <rFont val="굴림"/>
        <family val="3"/>
        <charset val="129"/>
      </rPr>
      <t>되메우기및다짐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기계</t>
    </r>
    <r>
      <rPr>
        <sz val="11"/>
        <color indexed="8"/>
        <rFont val="Arial Narrow"/>
        <family val="2"/>
      </rPr>
      <t>70%+</t>
    </r>
    <r>
      <rPr>
        <sz val="11"/>
        <color indexed="8"/>
        <rFont val="굴림"/>
        <family val="3"/>
        <charset val="129"/>
      </rPr>
      <t>인력</t>
    </r>
    <r>
      <rPr>
        <sz val="11"/>
        <color indexed="8"/>
        <rFont val="Arial Narrow"/>
        <family val="2"/>
      </rPr>
      <t>30%)</t>
    </r>
  </si>
  <si>
    <r>
      <t xml:space="preserve">     4.02.</t>
    </r>
    <r>
      <rPr>
        <sz val="11"/>
        <color indexed="8"/>
        <rFont val="굴림"/>
        <family val="3"/>
        <charset val="129"/>
      </rPr>
      <t>관로접합및부설</t>
    </r>
  </si>
  <si>
    <r>
      <t xml:space="preserve">      a.</t>
    </r>
    <r>
      <rPr>
        <sz val="11"/>
        <color indexed="8"/>
        <rFont val="굴림"/>
        <family val="3"/>
        <charset val="129"/>
      </rPr>
      <t>폴리에틸렌분체라이닝강관</t>
    </r>
  </si>
  <si>
    <t xml:space="preserve">       a-1.Φ25mm</t>
  </si>
  <si>
    <r>
      <t xml:space="preserve">        PFP PM </t>
    </r>
    <r>
      <rPr>
        <sz val="11"/>
        <color indexed="8"/>
        <rFont val="굴림"/>
        <family val="3"/>
        <charset val="129"/>
      </rPr>
      <t>접합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부설</t>
    </r>
  </si>
  <si>
    <r>
      <rPr>
        <sz val="11"/>
        <color indexed="8"/>
        <rFont val="굴림"/>
        <family val="3"/>
        <charset val="129"/>
      </rPr>
      <t>직관</t>
    </r>
    <r>
      <rPr>
        <sz val="11"/>
        <color indexed="8"/>
        <rFont val="Arial Narrow"/>
        <family val="2"/>
      </rPr>
      <t>, D=25mm</t>
    </r>
  </si>
  <si>
    <r>
      <t xml:space="preserve">        PFP </t>
    </r>
    <r>
      <rPr>
        <sz val="11"/>
        <color indexed="8"/>
        <rFont val="굴림"/>
        <family val="3"/>
        <charset val="129"/>
      </rPr>
      <t>이형관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접합</t>
    </r>
  </si>
  <si>
    <t>D=25mm</t>
  </si>
  <si>
    <r>
      <t xml:space="preserve">        PFP</t>
    </r>
    <r>
      <rPr>
        <sz val="11"/>
        <color indexed="8"/>
        <rFont val="굴림"/>
        <family val="3"/>
        <charset val="129"/>
      </rPr>
      <t>파이프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절단</t>
    </r>
  </si>
  <si>
    <t xml:space="preserve">       a-2.Φ50mm</t>
  </si>
  <si>
    <r>
      <t xml:space="preserve">        </t>
    </r>
    <r>
      <rPr>
        <sz val="11"/>
        <color indexed="8"/>
        <rFont val="굴림"/>
        <family val="3"/>
        <charset val="129"/>
      </rPr>
      <t>모래부설및다짐</t>
    </r>
  </si>
  <si>
    <t xml:space="preserve">       a-3.Φ80mm</t>
  </si>
  <si>
    <r>
      <t xml:space="preserve">        </t>
    </r>
    <r>
      <rPr>
        <sz val="11"/>
        <color indexed="8"/>
        <rFont val="굴림"/>
        <family val="3"/>
        <charset val="129"/>
      </rPr>
      <t>수압시험</t>
    </r>
  </si>
  <si>
    <t>80mm</t>
  </si>
  <si>
    <r>
      <t xml:space="preserve">        </t>
    </r>
    <r>
      <rPr>
        <sz val="11"/>
        <color indexed="8"/>
        <rFont val="굴림"/>
        <family val="3"/>
        <charset val="129"/>
      </rPr>
      <t>퇴수시험비</t>
    </r>
  </si>
  <si>
    <r>
      <t xml:space="preserve">        </t>
    </r>
    <r>
      <rPr>
        <sz val="11"/>
        <color indexed="8"/>
        <rFont val="굴림"/>
        <family val="3"/>
        <charset val="129"/>
      </rPr>
      <t>경고테이프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상수용</t>
    </r>
    <r>
      <rPr>
        <sz val="11"/>
        <color indexed="8"/>
        <rFont val="Arial Narrow"/>
        <family val="2"/>
      </rPr>
      <t>)</t>
    </r>
  </si>
  <si>
    <r>
      <rPr>
        <sz val="11"/>
        <color indexed="8"/>
        <rFont val="굴림"/>
        <family val="3"/>
        <charset val="129"/>
      </rPr>
      <t>폭</t>
    </r>
    <r>
      <rPr>
        <sz val="11"/>
        <color indexed="8"/>
        <rFont val="Arial Narrow"/>
        <family val="2"/>
      </rPr>
      <t>=10</t>
    </r>
    <r>
      <rPr>
        <sz val="11"/>
        <color indexed="8"/>
        <rFont val="굴림"/>
        <family val="3"/>
        <charset val="129"/>
      </rPr>
      <t>㎝</t>
    </r>
  </si>
  <si>
    <t xml:space="preserve">       a-4.Φ100mm</t>
  </si>
  <si>
    <r>
      <t xml:space="preserve">      b.</t>
    </r>
    <r>
      <rPr>
        <sz val="11"/>
        <color indexed="8"/>
        <rFont val="굴림"/>
        <family val="3"/>
        <charset val="129"/>
      </rPr>
      <t>닥타일주철관</t>
    </r>
  </si>
  <si>
    <t xml:space="preserve">       b-1.Φ150mm</t>
  </si>
  <si>
    <r>
      <t xml:space="preserve">        KP</t>
    </r>
    <r>
      <rPr>
        <sz val="11"/>
        <color indexed="8"/>
        <rFont val="굴림"/>
        <family val="3"/>
        <charset val="129"/>
      </rPr>
      <t>메커니컬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조인트관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접합및부설</t>
    </r>
  </si>
  <si>
    <t>D=150mm</t>
  </si>
  <si>
    <r>
      <t xml:space="preserve">        KP</t>
    </r>
    <r>
      <rPr>
        <sz val="11"/>
        <color indexed="8"/>
        <rFont val="굴림"/>
        <family val="3"/>
        <charset val="129"/>
      </rPr>
      <t>메커니컬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조인트관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접합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이형관</t>
    </r>
    <r>
      <rPr>
        <sz val="11"/>
        <color indexed="8"/>
        <rFont val="Arial Narrow"/>
        <family val="2"/>
      </rPr>
      <t>)</t>
    </r>
  </si>
  <si>
    <r>
      <t xml:space="preserve">        KP</t>
    </r>
    <r>
      <rPr>
        <sz val="11"/>
        <color indexed="8"/>
        <rFont val="굴림"/>
        <family val="3"/>
        <charset val="129"/>
      </rPr>
      <t>메커니컬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조인트관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접합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이탈방지</t>
    </r>
    <r>
      <rPr>
        <sz val="11"/>
        <color indexed="8"/>
        <rFont val="Arial Narrow"/>
        <family val="2"/>
      </rPr>
      <t>)</t>
    </r>
  </si>
  <si>
    <r>
      <t xml:space="preserve">        </t>
    </r>
    <r>
      <rPr>
        <sz val="11"/>
        <color indexed="8"/>
        <rFont val="굴림"/>
        <family val="3"/>
        <charset val="129"/>
      </rPr>
      <t>주철관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절단</t>
    </r>
  </si>
  <si>
    <t>nr</t>
  </si>
  <si>
    <t>150mm</t>
  </si>
  <si>
    <t xml:space="preserve">       b-2.Φ200mm</t>
  </si>
  <si>
    <t>D=200mm</t>
  </si>
  <si>
    <t>ø200mm</t>
  </si>
  <si>
    <t>200mm</t>
  </si>
  <si>
    <t xml:space="preserve">       b-3.Φ250mm</t>
  </si>
  <si>
    <t>D=250mm</t>
  </si>
  <si>
    <t>250mm</t>
  </si>
  <si>
    <t xml:space="preserve">       b-5.Φ400mm</t>
  </si>
  <si>
    <t>D=400mm</t>
  </si>
  <si>
    <t>ø400mm</t>
  </si>
  <si>
    <t>400mm</t>
  </si>
  <si>
    <r>
      <t xml:space="preserve">       b-6.</t>
    </r>
    <r>
      <rPr>
        <sz val="11"/>
        <color indexed="8"/>
        <rFont val="굴림"/>
        <family val="3"/>
        <charset val="129"/>
      </rPr>
      <t>기타접합</t>
    </r>
  </si>
  <si>
    <r>
      <t xml:space="preserve">        </t>
    </r>
    <r>
      <rPr>
        <sz val="11"/>
        <color indexed="8"/>
        <rFont val="굴림"/>
        <family val="3"/>
        <charset val="129"/>
      </rPr>
      <t>주철관이음쇠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플랜지접합</t>
    </r>
  </si>
  <si>
    <t>Φ150mm</t>
  </si>
  <si>
    <r>
      <t xml:space="preserve">        </t>
    </r>
    <r>
      <rPr>
        <sz val="11"/>
        <color indexed="8"/>
        <rFont val="굴림"/>
        <family val="3"/>
        <charset val="129"/>
      </rPr>
      <t>단수천공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새들분수전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분기점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분기</t>
    </r>
  </si>
  <si>
    <r>
      <rPr>
        <sz val="11"/>
        <color indexed="8"/>
        <rFont val="굴림"/>
        <family val="3"/>
        <charset val="129"/>
      </rPr>
      <t>본관</t>
    </r>
    <r>
      <rPr>
        <sz val="11"/>
        <color indexed="8"/>
        <rFont val="Arial Narrow"/>
        <family val="2"/>
      </rPr>
      <t xml:space="preserve"> 50mm, </t>
    </r>
    <r>
      <rPr>
        <sz val="11"/>
        <color indexed="8"/>
        <rFont val="굴림"/>
        <family val="3"/>
        <charset val="129"/>
      </rPr>
      <t>지관</t>
    </r>
    <r>
      <rPr>
        <sz val="11"/>
        <color indexed="8"/>
        <rFont val="Arial Narrow"/>
        <family val="2"/>
      </rPr>
      <t xml:space="preserve"> 25~32mm</t>
    </r>
  </si>
  <si>
    <r>
      <rPr>
        <sz val="11"/>
        <color indexed="8"/>
        <rFont val="굴림"/>
        <family val="3"/>
        <charset val="129"/>
      </rPr>
      <t>본관</t>
    </r>
    <r>
      <rPr>
        <sz val="11"/>
        <color indexed="8"/>
        <rFont val="Arial Narrow"/>
        <family val="2"/>
      </rPr>
      <t xml:space="preserve"> 100mm, </t>
    </r>
    <r>
      <rPr>
        <sz val="11"/>
        <color indexed="8"/>
        <rFont val="굴림"/>
        <family val="3"/>
        <charset val="129"/>
      </rPr>
      <t>지관</t>
    </r>
    <r>
      <rPr>
        <sz val="11"/>
        <color indexed="8"/>
        <rFont val="Arial Narrow"/>
        <family val="2"/>
      </rPr>
      <t xml:space="preserve"> 25~32mm</t>
    </r>
  </si>
  <si>
    <r>
      <rPr>
        <sz val="11"/>
        <color indexed="8"/>
        <rFont val="굴림"/>
        <family val="3"/>
        <charset val="129"/>
      </rPr>
      <t>본관</t>
    </r>
    <r>
      <rPr>
        <sz val="11"/>
        <color indexed="8"/>
        <rFont val="Arial Narrow"/>
        <family val="2"/>
      </rPr>
      <t xml:space="preserve"> 200mm, </t>
    </r>
    <r>
      <rPr>
        <sz val="11"/>
        <color indexed="8"/>
        <rFont val="굴림"/>
        <family val="3"/>
        <charset val="129"/>
      </rPr>
      <t>지관</t>
    </r>
    <r>
      <rPr>
        <sz val="11"/>
        <color indexed="8"/>
        <rFont val="Arial Narrow"/>
        <family val="2"/>
      </rPr>
      <t xml:space="preserve"> 25~32mm</t>
    </r>
  </si>
  <si>
    <r>
      <t xml:space="preserve">       b-7.</t>
    </r>
    <r>
      <rPr>
        <sz val="11"/>
        <color indexed="8"/>
        <rFont val="굴림"/>
        <family val="3"/>
        <charset val="129"/>
      </rPr>
      <t>관보호공</t>
    </r>
  </si>
  <si>
    <r>
      <t xml:space="preserve">        </t>
    </r>
    <r>
      <rPr>
        <sz val="11"/>
        <color indexed="8"/>
        <rFont val="굴림"/>
        <family val="3"/>
        <charset val="129"/>
      </rPr>
      <t>콘크리트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타설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장비사용</t>
    </r>
  </si>
  <si>
    <r>
      <t xml:space="preserve">        </t>
    </r>
    <r>
      <rPr>
        <sz val="11"/>
        <color indexed="8"/>
        <rFont val="굴림"/>
        <family val="3"/>
        <charset val="129"/>
      </rPr>
      <t>합판거푸집</t>
    </r>
  </si>
  <si>
    <r>
      <t xml:space="preserve">     4.03.</t>
    </r>
    <r>
      <rPr>
        <sz val="11"/>
        <color indexed="8"/>
        <rFont val="굴림"/>
        <family val="3"/>
        <charset val="129"/>
      </rPr>
      <t>밸브류설치</t>
    </r>
  </si>
  <si>
    <r>
      <t xml:space="preserve">      a.</t>
    </r>
    <r>
      <rPr>
        <sz val="11"/>
        <color indexed="8"/>
        <rFont val="굴림"/>
        <family val="3"/>
        <charset val="129"/>
      </rPr>
      <t>게이트밸브</t>
    </r>
  </si>
  <si>
    <r>
      <t xml:space="preserve">       </t>
    </r>
    <r>
      <rPr>
        <sz val="11"/>
        <color indexed="8"/>
        <rFont val="굴림"/>
        <family val="3"/>
        <charset val="129"/>
      </rPr>
      <t>제수밸브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부설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접합</t>
    </r>
  </si>
  <si>
    <t>Φ50mm</t>
  </si>
  <si>
    <r>
      <rPr>
        <sz val="11"/>
        <color indexed="8"/>
        <rFont val="굴림"/>
        <family val="3"/>
        <charset val="129"/>
      </rPr>
      <t>기</t>
    </r>
  </si>
  <si>
    <t>Φ200mm</t>
  </si>
  <si>
    <t>Φ250mm</t>
  </si>
  <si>
    <t>Φ400mm</t>
  </si>
  <si>
    <r>
      <t xml:space="preserve">      b.</t>
    </r>
    <r>
      <rPr>
        <sz val="11"/>
        <color indexed="8"/>
        <rFont val="굴림"/>
        <family val="3"/>
        <charset val="129"/>
      </rPr>
      <t>공기밸브</t>
    </r>
  </si>
  <si>
    <r>
      <t xml:space="preserve">       </t>
    </r>
    <r>
      <rPr>
        <sz val="11"/>
        <color indexed="8"/>
        <rFont val="굴림"/>
        <family val="3"/>
        <charset val="129"/>
      </rPr>
      <t>수도용급속공기밸브</t>
    </r>
  </si>
  <si>
    <r>
      <t xml:space="preserve">       </t>
    </r>
    <r>
      <rPr>
        <sz val="11"/>
        <color indexed="8"/>
        <rFont val="굴림"/>
        <family val="3"/>
        <charset val="129"/>
      </rPr>
      <t>감압밸브설치</t>
    </r>
  </si>
  <si>
    <r>
      <t xml:space="preserve">      c.</t>
    </r>
    <r>
      <rPr>
        <sz val="11"/>
        <color indexed="8"/>
        <rFont val="굴림"/>
        <family val="3"/>
        <charset val="129"/>
      </rPr>
      <t>측정기기</t>
    </r>
  </si>
  <si>
    <r>
      <t xml:space="preserve">       </t>
    </r>
    <r>
      <rPr>
        <sz val="11"/>
        <color indexed="8"/>
        <rFont val="굴림"/>
        <family val="3"/>
        <charset val="129"/>
      </rPr>
      <t>유량계설치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압력계일체형</t>
    </r>
    <r>
      <rPr>
        <sz val="11"/>
        <color indexed="8"/>
        <rFont val="Arial Narrow"/>
        <family val="2"/>
      </rPr>
      <t>)</t>
    </r>
  </si>
  <si>
    <r>
      <t xml:space="preserve">       </t>
    </r>
    <r>
      <rPr>
        <sz val="11"/>
        <color indexed="8"/>
        <rFont val="굴림"/>
        <family val="3"/>
        <charset val="129"/>
      </rPr>
      <t>수압계설치</t>
    </r>
  </si>
  <si>
    <r>
      <t xml:space="preserve">      d.</t>
    </r>
    <r>
      <rPr>
        <sz val="11"/>
        <color indexed="8"/>
        <rFont val="굴림"/>
        <family val="3"/>
        <charset val="129"/>
      </rPr>
      <t>소화전</t>
    </r>
  </si>
  <si>
    <r>
      <t xml:space="preserve">       </t>
    </r>
    <r>
      <rPr>
        <sz val="11"/>
        <color indexed="8"/>
        <rFont val="굴림"/>
        <family val="3"/>
        <charset val="129"/>
      </rPr>
      <t>소화전</t>
    </r>
  </si>
  <si>
    <r>
      <rPr>
        <sz val="11"/>
        <color indexed="8"/>
        <rFont val="굴림"/>
        <family val="3"/>
        <charset val="129"/>
      </rPr>
      <t>지상식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단구형</t>
    </r>
    <r>
      <rPr>
        <sz val="11"/>
        <color indexed="8"/>
        <rFont val="Arial Narrow"/>
        <family val="2"/>
      </rPr>
      <t>)</t>
    </r>
  </si>
  <si>
    <r>
      <t xml:space="preserve">       </t>
    </r>
    <r>
      <rPr>
        <sz val="11"/>
        <color indexed="8"/>
        <rFont val="굴림"/>
        <family val="3"/>
        <charset val="129"/>
      </rPr>
      <t>소화전보호틀</t>
    </r>
  </si>
  <si>
    <r>
      <t xml:space="preserve">       </t>
    </r>
    <r>
      <rPr>
        <sz val="11"/>
        <color indexed="8"/>
        <rFont val="굴림"/>
        <family val="3"/>
        <charset val="129"/>
      </rPr>
      <t>소화용수표지판</t>
    </r>
  </si>
  <si>
    <r>
      <t xml:space="preserve">      d.</t>
    </r>
    <r>
      <rPr>
        <sz val="11"/>
        <color indexed="8"/>
        <rFont val="굴림"/>
        <family val="3"/>
        <charset val="129"/>
      </rPr>
      <t>관세척점검구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표준형</t>
    </r>
  </si>
  <si>
    <r>
      <t xml:space="preserve">       </t>
    </r>
    <r>
      <rPr>
        <sz val="11"/>
        <color indexed="8"/>
        <rFont val="굴림"/>
        <family val="3"/>
        <charset val="129"/>
      </rPr>
      <t>관세척장치구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설치</t>
    </r>
  </si>
  <si>
    <r>
      <rPr>
        <sz val="11"/>
        <color indexed="8"/>
        <rFont val="굴림"/>
        <family val="3"/>
        <charset val="129"/>
      </rPr>
      <t>표준형</t>
    </r>
    <r>
      <rPr>
        <sz val="11"/>
        <color indexed="8"/>
        <rFont val="Arial Narrow"/>
        <family val="2"/>
      </rPr>
      <t>, 80mm</t>
    </r>
  </si>
  <si>
    <r>
      <rPr>
        <sz val="11"/>
        <color indexed="8"/>
        <rFont val="굴림"/>
        <family val="3"/>
        <charset val="129"/>
      </rPr>
      <t>표준형</t>
    </r>
    <r>
      <rPr>
        <sz val="11"/>
        <color indexed="8"/>
        <rFont val="Arial Narrow"/>
        <family val="2"/>
      </rPr>
      <t>, 100mm</t>
    </r>
  </si>
  <si>
    <r>
      <rPr>
        <sz val="11"/>
        <color indexed="8"/>
        <rFont val="굴림"/>
        <family val="3"/>
        <charset val="129"/>
      </rPr>
      <t>표준형</t>
    </r>
    <r>
      <rPr>
        <sz val="11"/>
        <color indexed="8"/>
        <rFont val="Arial Narrow"/>
        <family val="2"/>
      </rPr>
      <t>, 150mm</t>
    </r>
  </si>
  <si>
    <r>
      <rPr>
        <sz val="11"/>
        <color indexed="8"/>
        <rFont val="굴림"/>
        <family val="3"/>
        <charset val="129"/>
      </rPr>
      <t>표준형</t>
    </r>
    <r>
      <rPr>
        <sz val="11"/>
        <color indexed="8"/>
        <rFont val="Arial Narrow"/>
        <family val="2"/>
      </rPr>
      <t>, Φ250mm</t>
    </r>
  </si>
  <si>
    <r>
      <t xml:space="preserve">       </t>
    </r>
    <r>
      <rPr>
        <sz val="11"/>
        <color indexed="8"/>
        <rFont val="굴림"/>
        <family val="3"/>
        <charset val="129"/>
      </rPr>
      <t>관세척점검구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설치</t>
    </r>
  </si>
  <si>
    <r>
      <t>T</t>
    </r>
    <r>
      <rPr>
        <sz val="11"/>
        <color indexed="8"/>
        <rFont val="굴림"/>
        <family val="3"/>
        <charset val="129"/>
      </rPr>
      <t>형</t>
    </r>
    <r>
      <rPr>
        <sz val="11"/>
        <color indexed="8"/>
        <rFont val="Arial Narrow"/>
        <family val="2"/>
      </rPr>
      <t>, 80mm</t>
    </r>
  </si>
  <si>
    <r>
      <t>T</t>
    </r>
    <r>
      <rPr>
        <sz val="11"/>
        <color indexed="8"/>
        <rFont val="굴림"/>
        <family val="3"/>
        <charset val="129"/>
      </rPr>
      <t>형</t>
    </r>
    <r>
      <rPr>
        <sz val="11"/>
        <color indexed="8"/>
        <rFont val="Arial Narrow"/>
        <family val="2"/>
      </rPr>
      <t>, 100mm</t>
    </r>
  </si>
  <si>
    <r>
      <t>T</t>
    </r>
    <r>
      <rPr>
        <sz val="11"/>
        <color indexed="8"/>
        <rFont val="굴림"/>
        <family val="3"/>
        <charset val="129"/>
      </rPr>
      <t>형</t>
    </r>
    <r>
      <rPr>
        <sz val="11"/>
        <color indexed="8"/>
        <rFont val="Arial Narrow"/>
        <family val="2"/>
      </rPr>
      <t>, 150mm</t>
    </r>
  </si>
  <si>
    <r>
      <t>T</t>
    </r>
    <r>
      <rPr>
        <sz val="11"/>
        <color indexed="8"/>
        <rFont val="굴림"/>
        <family val="3"/>
        <charset val="129"/>
      </rPr>
      <t>형</t>
    </r>
    <r>
      <rPr>
        <sz val="11"/>
        <color indexed="8"/>
        <rFont val="Arial Narrow"/>
        <family val="2"/>
      </rPr>
      <t>, 200mm</t>
    </r>
  </si>
  <si>
    <r>
      <t xml:space="preserve">       </t>
    </r>
    <r>
      <rPr>
        <sz val="11"/>
        <color indexed="8"/>
        <rFont val="굴림"/>
        <family val="3"/>
        <charset val="129"/>
      </rPr>
      <t>관세척점검구티형</t>
    </r>
  </si>
  <si>
    <r>
      <t>T</t>
    </r>
    <r>
      <rPr>
        <sz val="11"/>
        <color indexed="8"/>
        <rFont val="굴림"/>
        <family val="3"/>
        <charset val="129"/>
      </rPr>
      <t>형</t>
    </r>
    <r>
      <rPr>
        <sz val="11"/>
        <color indexed="8"/>
        <rFont val="Arial Narrow"/>
        <family val="2"/>
      </rPr>
      <t>, 250mm</t>
    </r>
  </si>
  <si>
    <r>
      <t xml:space="preserve">     4.04.</t>
    </r>
    <r>
      <rPr>
        <sz val="11"/>
        <color indexed="8"/>
        <rFont val="굴림"/>
        <family val="3"/>
        <charset val="129"/>
      </rPr>
      <t>변실</t>
    </r>
  </si>
  <si>
    <r>
      <t xml:space="preserve">      a.</t>
    </r>
    <r>
      <rPr>
        <sz val="11"/>
        <color indexed="8"/>
        <rFont val="굴림"/>
        <family val="3"/>
        <charset val="129"/>
      </rPr>
      <t>제수변실</t>
    </r>
  </si>
  <si>
    <r>
      <t xml:space="preserve">       </t>
    </r>
    <r>
      <rPr>
        <sz val="11"/>
        <color indexed="8"/>
        <rFont val="굴림"/>
        <family val="3"/>
        <charset val="129"/>
      </rPr>
      <t>제수변실</t>
    </r>
  </si>
  <si>
    <t>2.4×1.2</t>
  </si>
  <si>
    <t>3.0×3.0</t>
  </si>
  <si>
    <t>4.5×3.5</t>
  </si>
  <si>
    <r>
      <t xml:space="preserve">       </t>
    </r>
    <r>
      <rPr>
        <sz val="11"/>
        <color indexed="8"/>
        <rFont val="굴림"/>
        <family val="3"/>
        <charset val="129"/>
      </rPr>
      <t>맨홀뚜껑설치</t>
    </r>
  </si>
  <si>
    <r>
      <t xml:space="preserve">      b.</t>
    </r>
    <r>
      <rPr>
        <sz val="11"/>
        <color indexed="8"/>
        <rFont val="굴림"/>
        <family val="3"/>
        <charset val="129"/>
      </rPr>
      <t>공기변실</t>
    </r>
  </si>
  <si>
    <r>
      <t xml:space="preserve">       </t>
    </r>
    <r>
      <rPr>
        <sz val="11"/>
        <color indexed="8"/>
        <rFont val="굴림"/>
        <family val="3"/>
        <charset val="129"/>
      </rPr>
      <t>공기변실</t>
    </r>
  </si>
  <si>
    <t>1.2×1.2</t>
  </si>
  <si>
    <r>
      <t xml:space="preserve">      c.</t>
    </r>
    <r>
      <rPr>
        <sz val="11"/>
        <color indexed="8"/>
        <rFont val="굴림"/>
        <family val="3"/>
        <charset val="129"/>
      </rPr>
      <t>이토변실</t>
    </r>
  </si>
  <si>
    <r>
      <t xml:space="preserve">       </t>
    </r>
    <r>
      <rPr>
        <sz val="11"/>
        <color indexed="8"/>
        <rFont val="굴림"/>
        <family val="3"/>
        <charset val="129"/>
      </rPr>
      <t>이토변실</t>
    </r>
  </si>
  <si>
    <r>
      <t xml:space="preserve">      d.</t>
    </r>
    <r>
      <rPr>
        <sz val="11"/>
        <color indexed="8"/>
        <rFont val="굴림"/>
        <family val="3"/>
        <charset val="129"/>
      </rPr>
      <t>유량계실</t>
    </r>
  </si>
  <si>
    <r>
      <t xml:space="preserve">       </t>
    </r>
    <r>
      <rPr>
        <sz val="11"/>
        <color indexed="8"/>
        <rFont val="굴림"/>
        <family val="3"/>
        <charset val="129"/>
      </rPr>
      <t>유량계실</t>
    </r>
  </si>
  <si>
    <t>1.8×1.2</t>
  </si>
  <si>
    <r>
      <t xml:space="preserve">      e.</t>
    </r>
    <r>
      <rPr>
        <sz val="11"/>
        <color indexed="8"/>
        <rFont val="굴림"/>
        <family val="3"/>
        <charset val="129"/>
      </rPr>
      <t>제수변키보호통</t>
    </r>
  </si>
  <si>
    <r>
      <t xml:space="preserve">       </t>
    </r>
    <r>
      <rPr>
        <sz val="11"/>
        <color indexed="8"/>
        <rFont val="굴림"/>
        <family val="3"/>
        <charset val="129"/>
      </rPr>
      <t>제수변키보호통</t>
    </r>
  </si>
  <si>
    <r>
      <t>D25</t>
    </r>
    <r>
      <rPr>
        <sz val="11"/>
        <color indexed="8"/>
        <rFont val="굴림"/>
        <family val="3"/>
        <charset val="129"/>
      </rPr>
      <t>∼</t>
    </r>
    <r>
      <rPr>
        <sz val="11"/>
        <color indexed="8"/>
        <rFont val="Arial Narrow"/>
        <family val="2"/>
      </rPr>
      <t>50mm</t>
    </r>
  </si>
  <si>
    <t>D80mm~150mm</t>
  </si>
  <si>
    <r>
      <t xml:space="preserve">     4.05.</t>
    </r>
    <r>
      <rPr>
        <sz val="11"/>
        <color indexed="8"/>
        <rFont val="굴림"/>
        <family val="3"/>
        <charset val="129"/>
      </rPr>
      <t>부대공</t>
    </r>
  </si>
  <si>
    <r>
      <t xml:space="preserve">      a.</t>
    </r>
    <r>
      <rPr>
        <sz val="11"/>
        <color indexed="8"/>
        <rFont val="굴림"/>
        <family val="3"/>
        <charset val="129"/>
      </rPr>
      <t>표식</t>
    </r>
  </si>
  <si>
    <r>
      <t xml:space="preserve">     4.06.</t>
    </r>
    <r>
      <rPr>
        <sz val="11"/>
        <color indexed="8"/>
        <rFont val="굴림"/>
        <family val="3"/>
        <charset val="129"/>
      </rPr>
      <t>자재운반비</t>
    </r>
  </si>
  <si>
    <r>
      <t xml:space="preserve">      a.</t>
    </r>
    <r>
      <rPr>
        <sz val="11"/>
        <color indexed="8"/>
        <rFont val="굴림"/>
        <family val="3"/>
        <charset val="129"/>
      </rPr>
      <t>시멘트운반</t>
    </r>
  </si>
  <si>
    <r>
      <t xml:space="preserve">       </t>
    </r>
    <r>
      <rPr>
        <sz val="11"/>
        <color indexed="8"/>
        <rFont val="굴림"/>
        <family val="3"/>
        <charset val="129"/>
      </rPr>
      <t>시멘트운반</t>
    </r>
  </si>
  <si>
    <r>
      <t xml:space="preserve">      b.</t>
    </r>
    <r>
      <rPr>
        <sz val="11"/>
        <color indexed="8"/>
        <rFont val="굴림"/>
        <family val="3"/>
        <charset val="129"/>
      </rPr>
      <t>철근운반</t>
    </r>
  </si>
  <si>
    <r>
      <t xml:space="preserve">       </t>
    </r>
    <r>
      <rPr>
        <sz val="11"/>
        <color indexed="8"/>
        <rFont val="굴림"/>
        <family val="3"/>
        <charset val="129"/>
      </rPr>
      <t>철근운반</t>
    </r>
  </si>
  <si>
    <r>
      <t xml:space="preserve">      c.</t>
    </r>
    <r>
      <rPr>
        <sz val="11"/>
        <color indexed="8"/>
        <rFont val="굴림"/>
        <family val="3"/>
        <charset val="129"/>
      </rPr>
      <t>주철관및이형관운반</t>
    </r>
  </si>
  <si>
    <r>
      <t xml:space="preserve">       </t>
    </r>
    <r>
      <rPr>
        <sz val="11"/>
        <color indexed="8"/>
        <rFont val="굴림"/>
        <family val="3"/>
        <charset val="129"/>
      </rPr>
      <t>주철관및이형관운반</t>
    </r>
  </si>
  <si>
    <r>
      <t xml:space="preserve">     4.07.</t>
    </r>
    <r>
      <rPr>
        <sz val="11"/>
        <color indexed="8"/>
        <rFont val="굴림"/>
        <family val="3"/>
        <charset val="129"/>
      </rPr>
      <t>자재대</t>
    </r>
  </si>
  <si>
    <r>
      <t xml:space="preserve">      a.</t>
    </r>
    <r>
      <rPr>
        <sz val="11"/>
        <color indexed="8"/>
        <rFont val="굴림"/>
        <family val="3"/>
        <charset val="129"/>
      </rPr>
      <t>레미콘</t>
    </r>
  </si>
  <si>
    <r>
      <t xml:space="preserve">       </t>
    </r>
    <r>
      <rPr>
        <sz val="11"/>
        <color indexed="8"/>
        <rFont val="굴림"/>
        <family val="3"/>
        <charset val="129"/>
      </rPr>
      <t>레미콘</t>
    </r>
  </si>
  <si>
    <r>
      <t xml:space="preserve">      b.</t>
    </r>
    <r>
      <rPr>
        <sz val="11"/>
        <color indexed="8"/>
        <rFont val="굴림"/>
        <family val="3"/>
        <charset val="129"/>
      </rPr>
      <t>시멘트</t>
    </r>
    <r>
      <rPr>
        <sz val="11"/>
        <color indexed="8"/>
        <rFont val="Arial Narrow"/>
        <family val="2"/>
      </rPr>
      <t>,</t>
    </r>
    <r>
      <rPr>
        <sz val="11"/>
        <color indexed="8"/>
        <rFont val="굴림"/>
        <family val="3"/>
        <charset val="129"/>
      </rPr>
      <t>골재</t>
    </r>
  </si>
  <si>
    <r>
      <t xml:space="preserve">       </t>
    </r>
    <r>
      <rPr>
        <sz val="11"/>
        <color indexed="8"/>
        <rFont val="굴림"/>
        <family val="3"/>
        <charset val="129"/>
      </rPr>
      <t>시멘트</t>
    </r>
  </si>
  <si>
    <r>
      <t xml:space="preserve">       </t>
    </r>
    <r>
      <rPr>
        <sz val="11"/>
        <color indexed="8"/>
        <rFont val="굴림"/>
        <family val="3"/>
        <charset val="129"/>
      </rPr>
      <t>쇄석기층</t>
    </r>
  </si>
  <si>
    <r>
      <t xml:space="preserve">       </t>
    </r>
    <r>
      <rPr>
        <sz val="11"/>
        <color indexed="8"/>
        <rFont val="굴림"/>
        <family val="3"/>
        <charset val="129"/>
      </rPr>
      <t>보조기층</t>
    </r>
  </si>
  <si>
    <r>
      <t>Φ40mm(</t>
    </r>
    <r>
      <rPr>
        <sz val="11"/>
        <color indexed="8"/>
        <rFont val="굴림"/>
        <family val="3"/>
        <charset val="129"/>
      </rPr>
      <t>도착도</t>
    </r>
    <r>
      <rPr>
        <sz val="11"/>
        <color indexed="8"/>
        <rFont val="Arial Narrow"/>
        <family val="2"/>
      </rPr>
      <t>)</t>
    </r>
  </si>
  <si>
    <r>
      <t xml:space="preserve">       </t>
    </r>
    <r>
      <rPr>
        <sz val="11"/>
        <color indexed="8"/>
        <rFont val="굴림"/>
        <family val="3"/>
        <charset val="129"/>
      </rPr>
      <t>모래</t>
    </r>
  </si>
  <si>
    <r>
      <t xml:space="preserve">      c.</t>
    </r>
    <r>
      <rPr>
        <sz val="11"/>
        <color indexed="8"/>
        <rFont val="굴림"/>
        <family val="3"/>
        <charset val="129"/>
      </rPr>
      <t>철근</t>
    </r>
  </si>
  <si>
    <t>D13mm</t>
  </si>
  <si>
    <t>M/T</t>
  </si>
  <si>
    <t>D16M/M</t>
  </si>
  <si>
    <t>D19M/M</t>
  </si>
  <si>
    <t>D22M/M</t>
  </si>
  <si>
    <r>
      <t xml:space="preserve">      d.</t>
    </r>
    <r>
      <rPr>
        <sz val="11"/>
        <color indexed="8"/>
        <rFont val="굴림"/>
        <family val="3"/>
        <charset val="129"/>
      </rPr>
      <t>맨홀뚜껑</t>
    </r>
  </si>
  <si>
    <r>
      <t xml:space="preserve">      e.</t>
    </r>
    <r>
      <rPr>
        <sz val="11"/>
        <color indexed="8"/>
        <rFont val="굴림"/>
        <family val="3"/>
        <charset val="129"/>
      </rPr>
      <t>상수</t>
    </r>
  </si>
  <si>
    <r>
      <t xml:space="preserve">       e-1.PFP</t>
    </r>
    <r>
      <rPr>
        <sz val="11"/>
        <color indexed="8"/>
        <rFont val="굴림"/>
        <family val="3"/>
        <charset val="129"/>
      </rPr>
      <t>관</t>
    </r>
  </si>
  <si>
    <r>
      <t xml:space="preserve">        PFP </t>
    </r>
    <r>
      <rPr>
        <sz val="11"/>
        <color indexed="8"/>
        <rFont val="굴림"/>
        <family val="3"/>
        <charset val="129"/>
      </rPr>
      <t>직관</t>
    </r>
    <r>
      <rPr>
        <sz val="11"/>
        <color indexed="8"/>
        <rFont val="Arial Narrow"/>
        <family val="2"/>
      </rPr>
      <t xml:space="preserve"> (PM</t>
    </r>
    <r>
      <rPr>
        <sz val="11"/>
        <color indexed="8"/>
        <rFont val="굴림"/>
        <family val="3"/>
        <charset val="129"/>
      </rPr>
      <t>용</t>
    </r>
    <r>
      <rPr>
        <sz val="11"/>
        <color indexed="8"/>
        <rFont val="Arial Narrow"/>
        <family val="2"/>
      </rPr>
      <t>)</t>
    </r>
  </si>
  <si>
    <t>D25mm</t>
  </si>
  <si>
    <r>
      <t xml:space="preserve">       e-2.</t>
    </r>
    <r>
      <rPr>
        <sz val="11"/>
        <color indexed="8"/>
        <rFont val="굴림"/>
        <family val="3"/>
        <charset val="129"/>
      </rPr>
      <t>주철관</t>
    </r>
  </si>
  <si>
    <r>
      <t xml:space="preserve">        KP </t>
    </r>
    <r>
      <rPr>
        <sz val="11"/>
        <color indexed="8"/>
        <rFont val="굴림"/>
        <family val="3"/>
        <charset val="129"/>
      </rPr>
      <t>주철직관</t>
    </r>
    <r>
      <rPr>
        <sz val="11"/>
        <color indexed="8"/>
        <rFont val="Arial Narrow"/>
        <family val="2"/>
      </rPr>
      <t>(2</t>
    </r>
    <r>
      <rPr>
        <sz val="11"/>
        <color indexed="8"/>
        <rFont val="굴림"/>
        <family val="3"/>
        <charset val="129"/>
      </rPr>
      <t>종</t>
    </r>
    <r>
      <rPr>
        <sz val="11"/>
        <color indexed="8"/>
        <rFont val="Arial Narrow"/>
        <family val="2"/>
      </rPr>
      <t>)-</t>
    </r>
    <r>
      <rPr>
        <sz val="11"/>
        <color indexed="8"/>
        <rFont val="굴림"/>
        <family val="3"/>
        <charset val="129"/>
      </rPr>
      <t>에폭시분체</t>
    </r>
  </si>
  <si>
    <t>D150mm×6m</t>
  </si>
  <si>
    <t>D200mm×6m</t>
  </si>
  <si>
    <t>D250mm×6m</t>
  </si>
  <si>
    <t>D400mm×6m</t>
  </si>
  <si>
    <t xml:space="preserve">       e-3.DCIP</t>
  </si>
  <si>
    <t xml:space="preserve">        400mm</t>
  </si>
  <si>
    <r>
      <t xml:space="preserve">         KP</t>
    </r>
    <r>
      <rPr>
        <sz val="11"/>
        <color indexed="8"/>
        <rFont val="굴림"/>
        <family val="3"/>
        <charset val="129"/>
      </rPr>
      <t>소켓플랜지</t>
    </r>
    <r>
      <rPr>
        <sz val="11"/>
        <color indexed="8"/>
        <rFont val="Arial Narrow"/>
        <family val="2"/>
      </rPr>
      <t>T</t>
    </r>
    <r>
      <rPr>
        <sz val="11"/>
        <color indexed="8"/>
        <rFont val="굴림"/>
        <family val="3"/>
        <charset val="129"/>
      </rPr>
      <t>형관</t>
    </r>
    <r>
      <rPr>
        <sz val="11"/>
        <color indexed="8"/>
        <rFont val="Arial Narrow"/>
        <family val="2"/>
      </rPr>
      <t>(B)</t>
    </r>
  </si>
  <si>
    <t>400×100</t>
  </si>
  <si>
    <r>
      <t xml:space="preserve">         KP </t>
    </r>
    <r>
      <rPr>
        <sz val="11"/>
        <color indexed="8"/>
        <rFont val="굴림"/>
        <family val="3"/>
        <charset val="129"/>
      </rPr>
      <t>이음관</t>
    </r>
  </si>
  <si>
    <t>D400mm</t>
  </si>
  <si>
    <r>
      <t xml:space="preserve">         KP </t>
    </r>
    <r>
      <rPr>
        <sz val="11"/>
        <color indexed="8"/>
        <rFont val="굴림"/>
        <family val="3"/>
        <charset val="129"/>
      </rPr>
      <t>플랜지소켓관</t>
    </r>
  </si>
  <si>
    <r>
      <t xml:space="preserve">         </t>
    </r>
    <r>
      <rPr>
        <sz val="11"/>
        <color indexed="8"/>
        <rFont val="굴림"/>
        <family val="3"/>
        <charset val="129"/>
      </rPr>
      <t>플랜지관</t>
    </r>
  </si>
  <si>
    <r>
      <t xml:space="preserve">         KP</t>
    </r>
    <r>
      <rPr>
        <sz val="11"/>
        <color indexed="8"/>
        <rFont val="굴림"/>
        <family val="3"/>
        <charset val="129"/>
      </rPr>
      <t>소켓편락관</t>
    </r>
    <r>
      <rPr>
        <sz val="11"/>
        <color indexed="8"/>
        <rFont val="Arial Narrow"/>
        <family val="2"/>
      </rPr>
      <t>(B)</t>
    </r>
  </si>
  <si>
    <t>450×350</t>
  </si>
  <si>
    <r>
      <t xml:space="preserve">         11</t>
    </r>
    <r>
      <rPr>
        <sz val="11"/>
        <color indexed="8"/>
        <rFont val="굴림"/>
        <family val="3"/>
        <charset val="129"/>
      </rPr>
      <t>˚</t>
    </r>
    <r>
      <rPr>
        <sz val="11"/>
        <color indexed="8"/>
        <rFont val="Arial Narrow"/>
        <family val="2"/>
      </rPr>
      <t>KP</t>
    </r>
    <r>
      <rPr>
        <sz val="11"/>
        <color indexed="8"/>
        <rFont val="굴림"/>
        <family val="3"/>
        <charset val="129"/>
      </rPr>
      <t>소켓곡관</t>
    </r>
    <r>
      <rPr>
        <sz val="11"/>
        <color indexed="8"/>
        <rFont val="Arial Narrow"/>
        <family val="2"/>
      </rPr>
      <t>(B)</t>
    </r>
  </si>
  <si>
    <r>
      <t>D400mm (</t>
    </r>
    <r>
      <rPr>
        <sz val="11"/>
        <color indexed="8"/>
        <rFont val="굴림"/>
        <family val="3"/>
        <charset val="129"/>
      </rPr>
      <t>표준형</t>
    </r>
    <r>
      <rPr>
        <sz val="11"/>
        <color indexed="8"/>
        <rFont val="Arial Narrow"/>
        <family val="2"/>
      </rPr>
      <t>)</t>
    </r>
  </si>
  <si>
    <r>
      <t xml:space="preserve">         22</t>
    </r>
    <r>
      <rPr>
        <sz val="11"/>
        <color indexed="8"/>
        <rFont val="굴림"/>
        <family val="3"/>
        <charset val="129"/>
      </rPr>
      <t>˚</t>
    </r>
    <r>
      <rPr>
        <sz val="11"/>
        <color indexed="8"/>
        <rFont val="Arial Narrow"/>
        <family val="2"/>
      </rPr>
      <t>KP</t>
    </r>
    <r>
      <rPr>
        <sz val="11"/>
        <color indexed="8"/>
        <rFont val="굴림"/>
        <family val="3"/>
        <charset val="129"/>
      </rPr>
      <t>소켓곡관</t>
    </r>
    <r>
      <rPr>
        <sz val="11"/>
        <color indexed="8"/>
        <rFont val="Arial Narrow"/>
        <family val="2"/>
      </rPr>
      <t>(B)</t>
    </r>
  </si>
  <si>
    <r>
      <t xml:space="preserve">         45</t>
    </r>
    <r>
      <rPr>
        <sz val="11"/>
        <color indexed="8"/>
        <rFont val="굴림"/>
        <family val="3"/>
        <charset val="129"/>
      </rPr>
      <t>˚</t>
    </r>
    <r>
      <rPr>
        <sz val="11"/>
        <color indexed="8"/>
        <rFont val="Arial Narrow"/>
        <family val="2"/>
      </rPr>
      <t>KP</t>
    </r>
    <r>
      <rPr>
        <sz val="11"/>
        <color indexed="8"/>
        <rFont val="굴림"/>
        <family val="3"/>
        <charset val="129"/>
      </rPr>
      <t>소켓곡관</t>
    </r>
    <r>
      <rPr>
        <sz val="11"/>
        <color indexed="8"/>
        <rFont val="Arial Narrow"/>
        <family val="2"/>
      </rPr>
      <t>(B)</t>
    </r>
  </si>
  <si>
    <r>
      <t xml:space="preserve">         </t>
    </r>
    <r>
      <rPr>
        <sz val="11"/>
        <color indexed="8"/>
        <rFont val="굴림"/>
        <family val="3"/>
        <charset val="129"/>
      </rPr>
      <t>주철단관</t>
    </r>
  </si>
  <si>
    <r>
      <t xml:space="preserve">         KP </t>
    </r>
    <r>
      <rPr>
        <sz val="11"/>
        <color indexed="8"/>
        <rFont val="굴림"/>
        <family val="3"/>
        <charset val="129"/>
      </rPr>
      <t>캡</t>
    </r>
  </si>
  <si>
    <t xml:space="preserve">        250mm</t>
  </si>
  <si>
    <r>
      <t xml:space="preserve">         </t>
    </r>
    <r>
      <rPr>
        <sz val="11"/>
        <color indexed="8"/>
        <rFont val="굴림"/>
        <family val="3"/>
        <charset val="129"/>
      </rPr>
      <t>소켓</t>
    </r>
    <r>
      <rPr>
        <sz val="11"/>
        <color indexed="8"/>
        <rFont val="Arial Narrow"/>
        <family val="2"/>
      </rPr>
      <t>T</t>
    </r>
    <r>
      <rPr>
        <sz val="11"/>
        <color indexed="8"/>
        <rFont val="굴림"/>
        <family val="3"/>
        <charset val="129"/>
      </rPr>
      <t>형관</t>
    </r>
    <r>
      <rPr>
        <sz val="11"/>
        <color indexed="8"/>
        <rFont val="Arial Narrow"/>
        <family val="2"/>
      </rPr>
      <t>(B)</t>
    </r>
  </si>
  <si>
    <t>250×100</t>
  </si>
  <si>
    <t>250×250</t>
  </si>
  <si>
    <r>
      <t xml:space="preserve">         KP</t>
    </r>
    <r>
      <rPr>
        <sz val="11"/>
        <color indexed="8"/>
        <rFont val="굴림"/>
        <family val="3"/>
        <charset val="129"/>
      </rPr>
      <t>소켓</t>
    </r>
    <r>
      <rPr>
        <sz val="11"/>
        <color indexed="8"/>
        <rFont val="Arial Narrow"/>
        <family val="2"/>
      </rPr>
      <t>T</t>
    </r>
    <r>
      <rPr>
        <sz val="11"/>
        <color indexed="8"/>
        <rFont val="굴림"/>
        <family val="3"/>
        <charset val="129"/>
      </rPr>
      <t>형관</t>
    </r>
    <r>
      <rPr>
        <sz val="11"/>
        <color indexed="8"/>
        <rFont val="Arial Narrow"/>
        <family val="2"/>
      </rPr>
      <t>(B)</t>
    </r>
  </si>
  <si>
    <t>250×200</t>
  </si>
  <si>
    <r>
      <t>D250mm (</t>
    </r>
    <r>
      <rPr>
        <sz val="11"/>
        <color indexed="8"/>
        <rFont val="굴림"/>
        <family val="3"/>
        <charset val="129"/>
      </rPr>
      <t>표준형</t>
    </r>
    <r>
      <rPr>
        <sz val="11"/>
        <color indexed="8"/>
        <rFont val="Arial Narrow"/>
        <family val="2"/>
      </rPr>
      <t>)</t>
    </r>
  </si>
  <si>
    <t xml:space="preserve">        200mm</t>
  </si>
  <si>
    <t>200×100</t>
  </si>
  <si>
    <t>200×80</t>
  </si>
  <si>
    <t>200×150</t>
  </si>
  <si>
    <r>
      <t>D200mm (</t>
    </r>
    <r>
      <rPr>
        <sz val="11"/>
        <color indexed="8"/>
        <rFont val="굴림"/>
        <family val="3"/>
        <charset val="129"/>
      </rPr>
      <t>표준형</t>
    </r>
    <r>
      <rPr>
        <sz val="11"/>
        <color indexed="8"/>
        <rFont val="Arial Narrow"/>
        <family val="2"/>
      </rPr>
      <t>)</t>
    </r>
  </si>
  <si>
    <t xml:space="preserve">        150mm</t>
  </si>
  <si>
    <t>150×100</t>
  </si>
  <si>
    <t>150×150</t>
  </si>
  <si>
    <t>150×80</t>
  </si>
  <si>
    <t>D150mm</t>
  </si>
  <si>
    <r>
      <t>D150mm (</t>
    </r>
    <r>
      <rPr>
        <sz val="11"/>
        <color indexed="8"/>
        <rFont val="굴림"/>
        <family val="3"/>
        <charset val="129"/>
      </rPr>
      <t>표준형</t>
    </r>
    <r>
      <rPr>
        <sz val="11"/>
        <color indexed="8"/>
        <rFont val="Arial Narrow"/>
        <family val="2"/>
      </rPr>
      <t>)</t>
    </r>
  </si>
  <si>
    <r>
      <t xml:space="preserve">         </t>
    </r>
    <r>
      <rPr>
        <sz val="11"/>
        <color indexed="8"/>
        <rFont val="굴림"/>
        <family val="3"/>
        <charset val="129"/>
      </rPr>
      <t>단관</t>
    </r>
  </si>
  <si>
    <t>D150mm×0.5m</t>
  </si>
  <si>
    <t xml:space="preserve">       e-4.PFP</t>
  </si>
  <si>
    <t xml:space="preserve">        100mm</t>
  </si>
  <si>
    <r>
      <t xml:space="preserve">         PM </t>
    </r>
    <r>
      <rPr>
        <sz val="11"/>
        <color indexed="8"/>
        <rFont val="굴림"/>
        <family val="3"/>
        <charset val="129"/>
      </rPr>
      <t>플랜지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티</t>
    </r>
  </si>
  <si>
    <r>
      <t xml:space="preserve">         PM</t>
    </r>
    <r>
      <rPr>
        <sz val="11"/>
        <color indexed="8"/>
        <rFont val="굴림"/>
        <family val="3"/>
        <charset val="129"/>
      </rPr>
      <t>이경플랜지티</t>
    </r>
  </si>
  <si>
    <t>D100×80mm</t>
  </si>
  <si>
    <r>
      <t xml:space="preserve">         PM </t>
    </r>
    <r>
      <rPr>
        <sz val="11"/>
        <color indexed="8"/>
        <rFont val="굴림"/>
        <family val="3"/>
        <charset val="129"/>
      </rPr>
      <t>이경소켓</t>
    </r>
  </si>
  <si>
    <r>
      <t xml:space="preserve">         PM </t>
    </r>
    <r>
      <rPr>
        <sz val="11"/>
        <color indexed="8"/>
        <rFont val="굴림"/>
        <family val="3"/>
        <charset val="129"/>
      </rPr>
      <t>이경티</t>
    </r>
  </si>
  <si>
    <t>D100mm×50</t>
  </si>
  <si>
    <r>
      <t xml:space="preserve">         PM </t>
    </r>
    <r>
      <rPr>
        <sz val="11"/>
        <color indexed="8"/>
        <rFont val="굴림"/>
        <family val="3"/>
        <charset val="129"/>
      </rPr>
      <t>소켓</t>
    </r>
  </si>
  <si>
    <r>
      <t xml:space="preserve">         PM </t>
    </r>
    <r>
      <rPr>
        <sz val="11"/>
        <color indexed="8"/>
        <rFont val="굴림"/>
        <family val="3"/>
        <charset val="129"/>
      </rPr>
      <t>플랜지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소켓</t>
    </r>
  </si>
  <si>
    <r>
      <t xml:space="preserve">         PM 11</t>
    </r>
    <r>
      <rPr>
        <sz val="11"/>
        <color indexed="8"/>
        <rFont val="굴림"/>
        <family val="3"/>
        <charset val="129"/>
      </rPr>
      <t>˚소켓곡관</t>
    </r>
  </si>
  <si>
    <r>
      <t xml:space="preserve">         PM 22</t>
    </r>
    <r>
      <rPr>
        <sz val="11"/>
        <color indexed="8"/>
        <rFont val="굴림"/>
        <family val="3"/>
        <charset val="129"/>
      </rPr>
      <t>˚소켓곡관</t>
    </r>
  </si>
  <si>
    <r>
      <t xml:space="preserve">         PM 45</t>
    </r>
    <r>
      <rPr>
        <sz val="11"/>
        <color indexed="8"/>
        <rFont val="굴림"/>
        <family val="3"/>
        <charset val="129"/>
      </rPr>
      <t>˚소켓곡관</t>
    </r>
  </si>
  <si>
    <r>
      <t xml:space="preserve">         PFP </t>
    </r>
    <r>
      <rPr>
        <sz val="11"/>
        <color indexed="8"/>
        <rFont val="굴림"/>
        <family val="3"/>
        <charset val="129"/>
      </rPr>
      <t>단관</t>
    </r>
  </si>
  <si>
    <r>
      <t xml:space="preserve">         PM </t>
    </r>
    <r>
      <rPr>
        <sz val="11"/>
        <color indexed="8"/>
        <rFont val="굴림"/>
        <family val="3"/>
        <charset val="129"/>
      </rPr>
      <t>캡</t>
    </r>
  </si>
  <si>
    <t xml:space="preserve">        80mm</t>
  </si>
  <si>
    <r>
      <t xml:space="preserve">        11</t>
    </r>
    <r>
      <rPr>
        <sz val="11"/>
        <color indexed="8"/>
        <rFont val="굴림"/>
        <family val="3"/>
        <charset val="129"/>
      </rPr>
      <t>˚</t>
    </r>
    <r>
      <rPr>
        <sz val="11"/>
        <color indexed="8"/>
        <rFont val="Arial Narrow"/>
        <family val="2"/>
      </rPr>
      <t>PM</t>
    </r>
    <r>
      <rPr>
        <sz val="11"/>
        <color indexed="8"/>
        <rFont val="굴림"/>
        <family val="3"/>
        <charset val="129"/>
      </rPr>
      <t>소켓곡관</t>
    </r>
  </si>
  <si>
    <r>
      <t xml:space="preserve">        22</t>
    </r>
    <r>
      <rPr>
        <sz val="11"/>
        <color indexed="8"/>
        <rFont val="굴림"/>
        <family val="3"/>
        <charset val="129"/>
      </rPr>
      <t>˚</t>
    </r>
    <r>
      <rPr>
        <sz val="11"/>
        <color indexed="8"/>
        <rFont val="Arial Narrow"/>
        <family val="2"/>
      </rPr>
      <t>PM</t>
    </r>
    <r>
      <rPr>
        <sz val="11"/>
        <color indexed="8"/>
        <rFont val="굴림"/>
        <family val="3"/>
        <charset val="129"/>
      </rPr>
      <t>소켓곡관</t>
    </r>
  </si>
  <si>
    <r>
      <t xml:space="preserve">        45</t>
    </r>
    <r>
      <rPr>
        <sz val="11"/>
        <color indexed="8"/>
        <rFont val="굴림"/>
        <family val="3"/>
        <charset val="129"/>
      </rPr>
      <t>˚</t>
    </r>
    <r>
      <rPr>
        <sz val="11"/>
        <color indexed="8"/>
        <rFont val="Arial Narrow"/>
        <family val="2"/>
      </rPr>
      <t>PM</t>
    </r>
    <r>
      <rPr>
        <sz val="11"/>
        <color indexed="8"/>
        <rFont val="굴림"/>
        <family val="3"/>
        <charset val="129"/>
      </rPr>
      <t>소켓곡관</t>
    </r>
  </si>
  <si>
    <r>
      <t xml:space="preserve">        PFP </t>
    </r>
    <r>
      <rPr>
        <sz val="11"/>
        <color indexed="8"/>
        <rFont val="굴림"/>
        <family val="3"/>
        <charset val="129"/>
      </rPr>
      <t>단관</t>
    </r>
  </si>
  <si>
    <r>
      <t xml:space="preserve">        PM </t>
    </r>
    <r>
      <rPr>
        <sz val="11"/>
        <color indexed="8"/>
        <rFont val="굴림"/>
        <family val="3"/>
        <charset val="129"/>
      </rPr>
      <t>캡</t>
    </r>
  </si>
  <si>
    <t xml:space="preserve">        50mm</t>
  </si>
  <si>
    <r>
      <t xml:space="preserve">         PM </t>
    </r>
    <r>
      <rPr>
        <sz val="11"/>
        <color indexed="8"/>
        <rFont val="굴림"/>
        <family val="3"/>
        <charset val="129"/>
      </rPr>
      <t>티</t>
    </r>
  </si>
  <si>
    <r>
      <t xml:space="preserve">         PPF</t>
    </r>
    <r>
      <rPr>
        <sz val="11"/>
        <color indexed="8"/>
        <rFont val="굴림"/>
        <family val="3"/>
        <charset val="129"/>
      </rPr>
      <t>단관</t>
    </r>
  </si>
  <si>
    <r>
      <t xml:space="preserve">         PM </t>
    </r>
    <r>
      <rPr>
        <sz val="11"/>
        <color indexed="8"/>
        <rFont val="굴림"/>
        <family val="3"/>
        <charset val="129"/>
      </rPr>
      <t>소켓캡</t>
    </r>
  </si>
  <si>
    <t xml:space="preserve">        25mm</t>
  </si>
  <si>
    <r>
      <t xml:space="preserve">       e-5.</t>
    </r>
    <r>
      <rPr>
        <sz val="11"/>
        <color indexed="8"/>
        <rFont val="굴림"/>
        <family val="3"/>
        <charset val="129"/>
      </rPr>
      <t>새들분수전</t>
    </r>
    <r>
      <rPr>
        <sz val="11"/>
        <color indexed="8"/>
        <rFont val="Arial Narrow"/>
        <family val="2"/>
      </rPr>
      <t xml:space="preserve">, </t>
    </r>
    <r>
      <rPr>
        <sz val="11"/>
        <color indexed="8"/>
        <rFont val="굴림"/>
        <family val="3"/>
        <charset val="129"/>
      </rPr>
      <t>소화전</t>
    </r>
  </si>
  <si>
    <r>
      <t xml:space="preserve">        PM </t>
    </r>
    <r>
      <rPr>
        <sz val="11"/>
        <color indexed="8"/>
        <rFont val="굴림"/>
        <family val="3"/>
        <charset val="129"/>
      </rPr>
      <t>엘보</t>
    </r>
  </si>
  <si>
    <r>
      <t xml:space="preserve">        PM </t>
    </r>
    <r>
      <rPr>
        <sz val="11"/>
        <color indexed="8"/>
        <rFont val="굴림"/>
        <family val="3"/>
        <charset val="129"/>
      </rPr>
      <t>니플</t>
    </r>
    <r>
      <rPr>
        <sz val="11"/>
        <color indexed="8"/>
        <rFont val="Arial Narrow"/>
        <family val="2"/>
      </rPr>
      <t>(B,C)</t>
    </r>
  </si>
  <si>
    <r>
      <t xml:space="preserve">        PM </t>
    </r>
    <r>
      <rPr>
        <sz val="11"/>
        <color indexed="8"/>
        <rFont val="굴림"/>
        <family val="3"/>
        <charset val="129"/>
      </rPr>
      <t>소켓</t>
    </r>
  </si>
  <si>
    <r>
      <t xml:space="preserve">        </t>
    </r>
    <r>
      <rPr>
        <sz val="11"/>
        <color indexed="8"/>
        <rFont val="굴림"/>
        <family val="3"/>
        <charset val="129"/>
      </rPr>
      <t>소프트실제수밸브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나사식</t>
    </r>
    <r>
      <rPr>
        <sz val="11"/>
        <color indexed="8"/>
        <rFont val="Arial Narrow"/>
        <family val="2"/>
      </rPr>
      <t>)</t>
    </r>
  </si>
  <si>
    <r>
      <t>D=25mm,</t>
    </r>
    <r>
      <rPr>
        <sz val="11"/>
        <color indexed="8"/>
        <rFont val="굴림"/>
        <family val="3"/>
        <charset val="129"/>
      </rPr>
      <t>표준형</t>
    </r>
  </si>
  <si>
    <r>
      <t xml:space="preserve">        </t>
    </r>
    <r>
      <rPr>
        <sz val="11"/>
        <color indexed="8"/>
        <rFont val="굴림"/>
        <family val="3"/>
        <charset val="129"/>
      </rPr>
      <t>새들붙이분수전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강</t>
    </r>
    <r>
      <rPr>
        <sz val="11"/>
        <color indexed="8"/>
        <rFont val="Arial Narrow"/>
        <family val="2"/>
      </rPr>
      <t>,</t>
    </r>
    <r>
      <rPr>
        <sz val="11"/>
        <color indexed="8"/>
        <rFont val="굴림"/>
        <family val="3"/>
        <charset val="129"/>
      </rPr>
      <t>동</t>
    </r>
    <r>
      <rPr>
        <sz val="11"/>
        <color indexed="8"/>
        <rFont val="Arial Narrow"/>
        <family val="2"/>
      </rPr>
      <t>,PE)</t>
    </r>
  </si>
  <si>
    <t>D50×25</t>
  </si>
  <si>
    <t>D150×50</t>
  </si>
  <si>
    <t>D200×50</t>
  </si>
  <si>
    <r>
      <t xml:space="preserve">        </t>
    </r>
    <r>
      <rPr>
        <sz val="11"/>
        <color indexed="8"/>
        <rFont val="굴림"/>
        <family val="3"/>
        <charset val="129"/>
      </rPr>
      <t>소화전용단관</t>
    </r>
  </si>
  <si>
    <r>
      <t xml:space="preserve">        90</t>
    </r>
    <r>
      <rPr>
        <sz val="11"/>
        <color indexed="8"/>
        <rFont val="굴림"/>
        <family val="3"/>
        <charset val="129"/>
      </rPr>
      <t>˚</t>
    </r>
    <r>
      <rPr>
        <sz val="11"/>
        <color indexed="8"/>
        <rFont val="Arial Narrow"/>
        <family val="2"/>
      </rPr>
      <t>KP</t>
    </r>
    <r>
      <rPr>
        <sz val="11"/>
        <color indexed="8"/>
        <rFont val="굴림"/>
        <family val="3"/>
        <charset val="129"/>
      </rPr>
      <t>소켓곡관</t>
    </r>
    <r>
      <rPr>
        <sz val="11"/>
        <color indexed="8"/>
        <rFont val="Arial Narrow"/>
        <family val="2"/>
      </rPr>
      <t>(B)</t>
    </r>
  </si>
  <si>
    <r>
      <t>D100mm (</t>
    </r>
    <r>
      <rPr>
        <sz val="11"/>
        <color indexed="8"/>
        <rFont val="굴림"/>
        <family val="3"/>
        <charset val="129"/>
      </rPr>
      <t>표준형</t>
    </r>
    <r>
      <rPr>
        <sz val="11"/>
        <color indexed="8"/>
        <rFont val="Arial Narrow"/>
        <family val="2"/>
      </rPr>
      <t>)</t>
    </r>
  </si>
  <si>
    <r>
      <t xml:space="preserve">    </t>
    </r>
    <r>
      <rPr>
        <sz val="11"/>
        <color indexed="8"/>
        <rFont val="굴림"/>
        <family val="3"/>
        <charset val="129"/>
      </rPr>
      <t>나</t>
    </r>
    <r>
      <rPr>
        <sz val="11"/>
        <color indexed="8"/>
        <rFont val="Arial Narrow"/>
        <family val="2"/>
      </rPr>
      <t>.</t>
    </r>
    <r>
      <rPr>
        <sz val="11"/>
        <color indexed="8"/>
        <rFont val="굴림"/>
        <family val="3"/>
        <charset val="129"/>
      </rPr>
      <t>재이용수</t>
    </r>
  </si>
  <si>
    <r>
      <t xml:space="preserve">       </t>
    </r>
    <r>
      <rPr>
        <sz val="11"/>
        <color indexed="8"/>
        <rFont val="굴림"/>
        <family val="3"/>
        <charset val="129"/>
      </rPr>
      <t>되메우기및다짐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기계</t>
    </r>
    <r>
      <rPr>
        <sz val="11"/>
        <color indexed="8"/>
        <rFont val="Arial Narrow"/>
        <family val="2"/>
      </rPr>
      <t>70%+</t>
    </r>
    <r>
      <rPr>
        <sz val="11"/>
        <color indexed="8"/>
        <rFont val="굴림"/>
        <family val="3"/>
        <charset val="129"/>
      </rPr>
      <t>인력</t>
    </r>
    <r>
      <rPr>
        <sz val="11"/>
        <color indexed="8"/>
        <rFont val="Arial Narrow"/>
        <family val="2"/>
      </rPr>
      <t>30%)</t>
    </r>
  </si>
  <si>
    <t xml:space="preserve">       a-1.Φ80mm</t>
  </si>
  <si>
    <t xml:space="preserve">       a-2.Φ80mm</t>
  </si>
  <si>
    <t xml:space="preserve">       a-3.Φ100mm</t>
  </si>
  <si>
    <r>
      <t xml:space="preserve">       b-3.</t>
    </r>
    <r>
      <rPr>
        <sz val="11"/>
        <color indexed="8"/>
        <rFont val="굴림"/>
        <family val="3"/>
        <charset val="129"/>
      </rPr>
      <t>기타접합</t>
    </r>
  </si>
  <si>
    <r>
      <t xml:space="preserve">      a.</t>
    </r>
    <r>
      <rPr>
        <sz val="11"/>
        <color indexed="8"/>
        <rFont val="굴림"/>
        <family val="3"/>
        <charset val="129"/>
      </rPr>
      <t>이토변실</t>
    </r>
  </si>
  <si>
    <r>
      <t xml:space="preserve">      c.</t>
    </r>
    <r>
      <rPr>
        <sz val="11"/>
        <color indexed="8"/>
        <rFont val="굴림"/>
        <family val="3"/>
        <charset val="129"/>
      </rPr>
      <t>유량계실</t>
    </r>
  </si>
  <si>
    <r>
      <t xml:space="preserve">      d.</t>
    </r>
    <r>
      <rPr>
        <sz val="11"/>
        <color indexed="8"/>
        <rFont val="굴림"/>
        <family val="3"/>
        <charset val="129"/>
      </rPr>
      <t>제수변키보호통</t>
    </r>
  </si>
  <si>
    <r>
      <t xml:space="preserve">      b.</t>
    </r>
    <r>
      <rPr>
        <sz val="11"/>
        <color indexed="8"/>
        <rFont val="굴림"/>
        <family val="3"/>
        <charset val="129"/>
      </rPr>
      <t>시멘트</t>
    </r>
  </si>
  <si>
    <r>
      <t xml:space="preserve">      c.</t>
    </r>
    <r>
      <rPr>
        <sz val="11"/>
        <color indexed="8"/>
        <rFont val="굴림"/>
        <family val="3"/>
        <charset val="129"/>
      </rPr>
      <t>골재</t>
    </r>
  </si>
  <si>
    <r>
      <t xml:space="preserve">      d.</t>
    </r>
    <r>
      <rPr>
        <sz val="11"/>
        <color indexed="8"/>
        <rFont val="굴림"/>
        <family val="3"/>
        <charset val="129"/>
      </rPr>
      <t>모래</t>
    </r>
  </si>
  <si>
    <r>
      <t xml:space="preserve">      e.</t>
    </r>
    <r>
      <rPr>
        <sz val="11"/>
        <color indexed="8"/>
        <rFont val="굴림"/>
        <family val="3"/>
        <charset val="129"/>
      </rPr>
      <t>철근</t>
    </r>
  </si>
  <si>
    <r>
      <t xml:space="preserve">      f.</t>
    </r>
    <r>
      <rPr>
        <sz val="11"/>
        <color indexed="8"/>
        <rFont val="굴림"/>
        <family val="3"/>
        <charset val="129"/>
      </rPr>
      <t>맨홀뚜껑</t>
    </r>
  </si>
  <si>
    <r>
      <t xml:space="preserve">      g.</t>
    </r>
    <r>
      <rPr>
        <sz val="11"/>
        <color indexed="8"/>
        <rFont val="굴림"/>
        <family val="3"/>
        <charset val="129"/>
      </rPr>
      <t>상수</t>
    </r>
  </si>
  <si>
    <r>
      <t xml:space="preserve">       g-1.PFP</t>
    </r>
    <r>
      <rPr>
        <sz val="11"/>
        <color indexed="8"/>
        <rFont val="굴림"/>
        <family val="3"/>
        <charset val="129"/>
      </rPr>
      <t>관</t>
    </r>
  </si>
  <si>
    <r>
      <t xml:space="preserve">       g-2.</t>
    </r>
    <r>
      <rPr>
        <sz val="11"/>
        <color indexed="8"/>
        <rFont val="굴림"/>
        <family val="3"/>
        <charset val="129"/>
      </rPr>
      <t>주철관</t>
    </r>
  </si>
  <si>
    <t xml:space="preserve">       g-3.DCIP</t>
  </si>
  <si>
    <t>D200mm×0.5m</t>
  </si>
  <si>
    <r>
      <t xml:space="preserve">         </t>
    </r>
    <r>
      <rPr>
        <sz val="11"/>
        <color indexed="8"/>
        <rFont val="굴림"/>
        <family val="3"/>
        <charset val="129"/>
      </rPr>
      <t>마개플랜지</t>
    </r>
  </si>
  <si>
    <r>
      <t>05.</t>
    </r>
    <r>
      <rPr>
        <sz val="11"/>
        <color indexed="8"/>
        <rFont val="굴림"/>
        <family val="3"/>
        <charset val="129"/>
      </rPr>
      <t>도로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포장공</t>
    </r>
  </si>
  <si>
    <r>
      <t xml:space="preserve">    5.01.</t>
    </r>
    <r>
      <rPr>
        <sz val="11"/>
        <color indexed="8"/>
        <rFont val="굴림"/>
        <family val="3"/>
        <charset val="129"/>
      </rPr>
      <t>토공</t>
    </r>
  </si>
  <si>
    <r>
      <t xml:space="preserve">     a.</t>
    </r>
    <r>
      <rPr>
        <sz val="11"/>
        <color indexed="8"/>
        <rFont val="굴림"/>
        <family val="3"/>
        <charset val="129"/>
      </rPr>
      <t>흙깎기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터파기</t>
    </r>
  </si>
  <si>
    <r>
      <rPr>
        <sz val="11"/>
        <color indexed="8"/>
        <rFont val="굴림"/>
        <family val="3"/>
        <charset val="129"/>
      </rPr>
      <t>소규모</t>
    </r>
  </si>
  <si>
    <r>
      <t xml:space="preserve">      </t>
    </r>
    <r>
      <rPr>
        <sz val="11"/>
        <color indexed="8"/>
        <rFont val="굴림"/>
        <family val="3"/>
        <charset val="129"/>
      </rPr>
      <t>인력터파기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보통토사</t>
    </r>
    <r>
      <rPr>
        <sz val="11"/>
        <color indexed="8"/>
        <rFont val="Arial Narrow"/>
        <family val="2"/>
      </rPr>
      <t>/1m</t>
    </r>
    <r>
      <rPr>
        <sz val="11"/>
        <color indexed="8"/>
        <rFont val="굴림"/>
        <family val="3"/>
        <charset val="129"/>
      </rPr>
      <t>이하</t>
    </r>
  </si>
  <si>
    <r>
      <t xml:space="preserve">    5.02.</t>
    </r>
    <r>
      <rPr>
        <sz val="11"/>
        <color indexed="8"/>
        <rFont val="굴림"/>
        <family val="3"/>
        <charset val="129"/>
      </rPr>
      <t>보조기층포설및다짐</t>
    </r>
  </si>
  <si>
    <r>
      <t xml:space="preserve">     a.</t>
    </r>
    <r>
      <rPr>
        <sz val="11"/>
        <color indexed="8"/>
        <rFont val="굴림"/>
        <family val="3"/>
        <charset val="129"/>
      </rPr>
      <t>보조기층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포설및다짐</t>
    </r>
  </si>
  <si>
    <r>
      <rPr>
        <sz val="11"/>
        <color indexed="8"/>
        <rFont val="굴림"/>
        <family val="3"/>
        <charset val="129"/>
      </rPr>
      <t>본선포장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기계</t>
    </r>
    <r>
      <rPr>
        <sz val="11"/>
        <color indexed="8"/>
        <rFont val="Arial Narrow"/>
        <family val="2"/>
      </rPr>
      <t>)</t>
    </r>
  </si>
  <si>
    <r>
      <t xml:space="preserve">    5.03.</t>
    </r>
    <r>
      <rPr>
        <sz val="11"/>
        <color indexed="8"/>
        <rFont val="굴림"/>
        <family val="3"/>
        <charset val="129"/>
      </rPr>
      <t>아스콘포장</t>
    </r>
  </si>
  <si>
    <r>
      <t xml:space="preserve">     a.</t>
    </r>
    <r>
      <rPr>
        <sz val="11"/>
        <color indexed="8"/>
        <rFont val="굴림"/>
        <family val="3"/>
        <charset val="129"/>
      </rPr>
      <t>프라임코팅</t>
    </r>
  </si>
  <si>
    <r>
      <rPr>
        <sz val="11"/>
        <color indexed="8"/>
        <rFont val="굴림"/>
        <family val="3"/>
        <charset val="129"/>
      </rPr>
      <t>기계식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디스트리뷰터</t>
    </r>
    <r>
      <rPr>
        <sz val="11"/>
        <color indexed="8"/>
        <rFont val="Arial Narrow"/>
        <family val="2"/>
      </rPr>
      <t>)/1</t>
    </r>
    <r>
      <rPr>
        <sz val="11"/>
        <color indexed="8"/>
        <rFont val="굴림"/>
        <family val="3"/>
        <charset val="129"/>
      </rPr>
      <t>회</t>
    </r>
  </si>
  <si>
    <r>
      <t xml:space="preserve">     b.</t>
    </r>
    <r>
      <rPr>
        <sz val="11"/>
        <color indexed="8"/>
        <rFont val="굴림"/>
        <family val="3"/>
        <charset val="129"/>
      </rPr>
      <t>아스콘포장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기층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기계포설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대형장비</t>
    </r>
    <r>
      <rPr>
        <sz val="11"/>
        <color indexed="8"/>
        <rFont val="Arial Narrow"/>
        <family val="2"/>
      </rPr>
      <t>)</t>
    </r>
  </si>
  <si>
    <r>
      <t>3m</t>
    </r>
    <r>
      <rPr>
        <sz val="11"/>
        <color indexed="8"/>
        <rFont val="굴림"/>
        <family val="3"/>
        <charset val="129"/>
      </rPr>
      <t>≤시공폭</t>
    </r>
    <r>
      <rPr>
        <sz val="11"/>
        <color indexed="8"/>
        <rFont val="Arial Narrow"/>
        <family val="2"/>
      </rPr>
      <t>/1</t>
    </r>
    <r>
      <rPr>
        <sz val="11"/>
        <color indexed="8"/>
        <rFont val="굴림"/>
        <family val="3"/>
        <charset val="129"/>
      </rPr>
      <t>층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포설두께</t>
    </r>
    <r>
      <rPr>
        <sz val="11"/>
        <color indexed="8"/>
        <rFont val="Arial Narrow"/>
        <family val="2"/>
      </rPr>
      <t xml:space="preserve"> 8~10</t>
    </r>
    <r>
      <rPr>
        <sz val="11"/>
        <color indexed="8"/>
        <rFont val="굴림"/>
        <family val="3"/>
        <charset val="129"/>
      </rPr>
      <t>㎝</t>
    </r>
  </si>
  <si>
    <r>
      <t xml:space="preserve">     c.</t>
    </r>
    <r>
      <rPr>
        <sz val="11"/>
        <color indexed="8"/>
        <rFont val="굴림"/>
        <family val="3"/>
        <charset val="129"/>
      </rPr>
      <t>텍코팅</t>
    </r>
  </si>
  <si>
    <r>
      <t xml:space="preserve">     d.</t>
    </r>
    <r>
      <rPr>
        <sz val="11"/>
        <color indexed="8"/>
        <rFont val="굴림"/>
        <family val="3"/>
        <charset val="129"/>
      </rPr>
      <t>아스콘포장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표층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중간층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기계포설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대형장비</t>
    </r>
    <r>
      <rPr>
        <sz val="11"/>
        <color indexed="8"/>
        <rFont val="Arial Narrow"/>
        <family val="2"/>
      </rPr>
      <t>)</t>
    </r>
  </si>
  <si>
    <r>
      <t>3m</t>
    </r>
    <r>
      <rPr>
        <sz val="11"/>
        <color indexed="8"/>
        <rFont val="굴림"/>
        <family val="3"/>
        <charset val="129"/>
      </rPr>
      <t>≤시공폭</t>
    </r>
    <r>
      <rPr>
        <sz val="11"/>
        <color indexed="8"/>
        <rFont val="Arial Narrow"/>
        <family val="2"/>
      </rPr>
      <t>/1</t>
    </r>
    <r>
      <rPr>
        <sz val="11"/>
        <color indexed="8"/>
        <rFont val="굴림"/>
        <family val="3"/>
        <charset val="129"/>
      </rPr>
      <t>층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포설두께</t>
    </r>
    <r>
      <rPr>
        <sz val="11"/>
        <color indexed="8"/>
        <rFont val="Arial Narrow"/>
        <family val="2"/>
      </rPr>
      <t xml:space="preserve"> 5~7</t>
    </r>
    <r>
      <rPr>
        <sz val="11"/>
        <color indexed="8"/>
        <rFont val="굴림"/>
        <family val="3"/>
        <charset val="129"/>
      </rPr>
      <t>㎝</t>
    </r>
  </si>
  <si>
    <r>
      <t xml:space="preserve">     e.</t>
    </r>
    <r>
      <rPr>
        <sz val="11"/>
        <color indexed="8"/>
        <rFont val="굴림"/>
        <family val="3"/>
        <charset val="129"/>
      </rPr>
      <t>아스콘포장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표층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중간층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기계포설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대형장비</t>
    </r>
    <r>
      <rPr>
        <sz val="11"/>
        <color indexed="8"/>
        <rFont val="Arial Narrow"/>
        <family val="2"/>
      </rPr>
      <t>)</t>
    </r>
  </si>
  <si>
    <r>
      <t xml:space="preserve">    5.04.</t>
    </r>
    <r>
      <rPr>
        <sz val="11"/>
        <color indexed="8"/>
        <rFont val="굴림"/>
        <family val="3"/>
        <charset val="129"/>
      </rPr>
      <t>경하중포장</t>
    </r>
  </si>
  <si>
    <r>
      <t xml:space="preserve">     a.</t>
    </r>
    <r>
      <rPr>
        <sz val="11"/>
        <color indexed="8"/>
        <rFont val="굴림"/>
        <family val="3"/>
        <charset val="129"/>
      </rPr>
      <t>보도포장</t>
    </r>
  </si>
  <si>
    <r>
      <t xml:space="preserve">      a-1.</t>
    </r>
    <r>
      <rPr>
        <sz val="11"/>
        <color indexed="8"/>
        <rFont val="굴림"/>
        <family val="3"/>
        <charset val="129"/>
      </rPr>
      <t>소형고압블럭</t>
    </r>
  </si>
  <si>
    <r>
      <t xml:space="preserve">       </t>
    </r>
    <r>
      <rPr>
        <sz val="11"/>
        <color indexed="8"/>
        <rFont val="굴림"/>
        <family val="3"/>
        <charset val="129"/>
      </rPr>
      <t>보도용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블록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포장</t>
    </r>
  </si>
  <si>
    <r>
      <rPr>
        <sz val="11"/>
        <color indexed="8"/>
        <rFont val="굴림"/>
        <family val="3"/>
        <charset val="129"/>
      </rPr>
      <t>소형고압블록</t>
    </r>
    <r>
      <rPr>
        <sz val="11"/>
        <color indexed="8"/>
        <rFont val="Arial Narrow"/>
        <family val="2"/>
      </rPr>
      <t>/A-Type</t>
    </r>
  </si>
  <si>
    <r>
      <t xml:space="preserve">      a-2.</t>
    </r>
    <r>
      <rPr>
        <sz val="11"/>
        <color indexed="8"/>
        <rFont val="굴림"/>
        <family val="3"/>
        <charset val="129"/>
      </rPr>
      <t>투수블럭</t>
    </r>
  </si>
  <si>
    <r>
      <t xml:space="preserve">      a-3.</t>
    </r>
    <r>
      <rPr>
        <sz val="11"/>
        <color indexed="8"/>
        <rFont val="굴림"/>
        <family val="3"/>
        <charset val="129"/>
      </rPr>
      <t>잔디블럭</t>
    </r>
  </si>
  <si>
    <r>
      <t xml:space="preserve">       </t>
    </r>
    <r>
      <rPr>
        <sz val="11"/>
        <color indexed="8"/>
        <rFont val="굴림"/>
        <family val="3"/>
        <charset val="129"/>
      </rPr>
      <t>잔디블럭붙이기</t>
    </r>
  </si>
  <si>
    <r>
      <rPr>
        <sz val="11"/>
        <color indexed="8"/>
        <rFont val="굴림"/>
        <family val="3"/>
        <charset val="129"/>
      </rPr>
      <t>기계설치</t>
    </r>
  </si>
  <si>
    <r>
      <t xml:space="preserve">     b.</t>
    </r>
    <r>
      <rPr>
        <sz val="11"/>
        <color indexed="8"/>
        <rFont val="굴림"/>
        <family val="3"/>
        <charset val="129"/>
      </rPr>
      <t>자전거도로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포장</t>
    </r>
  </si>
  <si>
    <r>
      <t xml:space="preserve">      </t>
    </r>
    <r>
      <rPr>
        <sz val="11"/>
        <color indexed="8"/>
        <rFont val="굴림"/>
        <family val="3"/>
        <charset val="129"/>
      </rPr>
      <t>투수콘크리트포장</t>
    </r>
  </si>
  <si>
    <t>T=7cm</t>
  </si>
  <si>
    <r>
      <t xml:space="preserve">      </t>
    </r>
    <r>
      <rPr>
        <sz val="11"/>
        <color indexed="8"/>
        <rFont val="굴림"/>
        <family val="3"/>
        <charset val="129"/>
      </rPr>
      <t>프라임코팅</t>
    </r>
  </si>
  <si>
    <r>
      <t xml:space="preserve">     c.</t>
    </r>
    <r>
      <rPr>
        <sz val="11"/>
        <color indexed="8"/>
        <rFont val="굴림"/>
        <family val="3"/>
        <charset val="129"/>
      </rPr>
      <t>시각장애인용블럭포장</t>
    </r>
  </si>
  <si>
    <r>
      <t xml:space="preserve">      </t>
    </r>
    <r>
      <rPr>
        <sz val="11"/>
        <color indexed="8"/>
        <rFont val="굴림"/>
        <family val="3"/>
        <charset val="129"/>
      </rPr>
      <t>보도용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블록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포장</t>
    </r>
  </si>
  <si>
    <r>
      <rPr>
        <sz val="11"/>
        <color indexed="8"/>
        <rFont val="굴림"/>
        <family val="3"/>
        <charset val="129"/>
      </rPr>
      <t>소형고압블록</t>
    </r>
    <r>
      <rPr>
        <sz val="11"/>
        <color indexed="8"/>
        <rFont val="Arial Narrow"/>
        <family val="2"/>
      </rPr>
      <t>/A-Type(</t>
    </r>
    <r>
      <rPr>
        <sz val="11"/>
        <color indexed="8"/>
        <rFont val="굴림"/>
        <family val="3"/>
        <charset val="129"/>
      </rPr>
      <t>점자</t>
    </r>
    <r>
      <rPr>
        <sz val="11"/>
        <color indexed="8"/>
        <rFont val="Arial Narrow"/>
        <family val="2"/>
      </rPr>
      <t>)</t>
    </r>
  </si>
  <si>
    <r>
      <rPr>
        <sz val="11"/>
        <color indexed="8"/>
        <rFont val="굴림"/>
        <family val="3"/>
        <charset val="129"/>
      </rPr>
      <t>소형고압블록</t>
    </r>
    <r>
      <rPr>
        <sz val="11"/>
        <color indexed="8"/>
        <rFont val="Arial Narrow"/>
        <family val="2"/>
      </rPr>
      <t>/A-Type(</t>
    </r>
    <r>
      <rPr>
        <sz val="11"/>
        <color indexed="8"/>
        <rFont val="굴림"/>
        <family val="3"/>
        <charset val="129"/>
      </rPr>
      <t>유도</t>
    </r>
    <r>
      <rPr>
        <sz val="11"/>
        <color indexed="8"/>
        <rFont val="Arial Narrow"/>
        <family val="2"/>
      </rPr>
      <t>)</t>
    </r>
  </si>
  <si>
    <r>
      <t xml:space="preserve">    5.05.</t>
    </r>
    <r>
      <rPr>
        <sz val="11"/>
        <color indexed="8"/>
        <rFont val="굴림"/>
        <family val="3"/>
        <charset val="129"/>
      </rPr>
      <t>경계블럭설치</t>
    </r>
  </si>
  <si>
    <r>
      <t xml:space="preserve">     </t>
    </r>
    <r>
      <rPr>
        <sz val="11"/>
        <color indexed="8"/>
        <rFont val="굴림"/>
        <family val="3"/>
        <charset val="129"/>
      </rPr>
      <t>가</t>
    </r>
    <r>
      <rPr>
        <sz val="11"/>
        <color indexed="8"/>
        <rFont val="Arial Narrow"/>
        <family val="2"/>
      </rPr>
      <t>.</t>
    </r>
    <r>
      <rPr>
        <sz val="11"/>
        <color indexed="8"/>
        <rFont val="굴림"/>
        <family val="3"/>
        <charset val="129"/>
      </rPr>
      <t>경계석</t>
    </r>
  </si>
  <si>
    <r>
      <t xml:space="preserve">      a.</t>
    </r>
    <r>
      <rPr>
        <sz val="11"/>
        <color indexed="8"/>
        <rFont val="굴림"/>
        <family val="3"/>
        <charset val="129"/>
      </rPr>
      <t>보차도경계석</t>
    </r>
    <r>
      <rPr>
        <sz val="11"/>
        <color indexed="8"/>
        <rFont val="Arial Narrow"/>
        <family val="2"/>
      </rPr>
      <t>-</t>
    </r>
    <r>
      <rPr>
        <sz val="11"/>
        <color indexed="8"/>
        <rFont val="굴림"/>
        <family val="3"/>
        <charset val="129"/>
      </rPr>
      <t>일반부</t>
    </r>
  </si>
  <si>
    <r>
      <t xml:space="preserve">       </t>
    </r>
    <r>
      <rPr>
        <sz val="11"/>
        <color indexed="8"/>
        <rFont val="굴림"/>
        <family val="3"/>
        <charset val="129"/>
      </rPr>
      <t>보차도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도로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경계블록</t>
    </r>
  </si>
  <si>
    <r>
      <t>A-Type /</t>
    </r>
    <r>
      <rPr>
        <sz val="11"/>
        <color indexed="8"/>
        <rFont val="굴림"/>
        <family val="3"/>
        <charset val="129"/>
      </rPr>
      <t>아래폭</t>
    </r>
    <r>
      <rPr>
        <sz val="11"/>
        <color indexed="8"/>
        <rFont val="Arial Narrow"/>
        <family val="2"/>
      </rPr>
      <t>+</t>
    </r>
    <r>
      <rPr>
        <sz val="11"/>
        <color indexed="8"/>
        <rFont val="굴림"/>
        <family val="3"/>
        <charset val="129"/>
      </rPr>
      <t>높이</t>
    </r>
    <r>
      <rPr>
        <sz val="11"/>
        <color indexed="8"/>
        <rFont val="Arial Narrow"/>
        <family val="2"/>
      </rPr>
      <t>400</t>
    </r>
    <r>
      <rPr>
        <sz val="11"/>
        <color indexed="8"/>
        <rFont val="굴림"/>
        <family val="3"/>
        <charset val="129"/>
      </rPr>
      <t>㎜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미만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직선</t>
    </r>
  </si>
  <si>
    <r>
      <t>A-Type /</t>
    </r>
    <r>
      <rPr>
        <sz val="11"/>
        <color indexed="8"/>
        <rFont val="굴림"/>
        <family val="3"/>
        <charset val="129"/>
      </rPr>
      <t>아래폭</t>
    </r>
    <r>
      <rPr>
        <sz val="11"/>
        <color indexed="8"/>
        <rFont val="Arial Narrow"/>
        <family val="2"/>
      </rPr>
      <t>+</t>
    </r>
    <r>
      <rPr>
        <sz val="11"/>
        <color indexed="8"/>
        <rFont val="굴림"/>
        <family val="3"/>
        <charset val="129"/>
      </rPr>
      <t>높이</t>
    </r>
    <r>
      <rPr>
        <sz val="11"/>
        <color indexed="8"/>
        <rFont val="Arial Narrow"/>
        <family val="2"/>
      </rPr>
      <t>400</t>
    </r>
    <r>
      <rPr>
        <sz val="11"/>
        <color indexed="8"/>
        <rFont val="굴림"/>
        <family val="3"/>
        <charset val="129"/>
      </rPr>
      <t>㎜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미만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곡선</t>
    </r>
  </si>
  <si>
    <r>
      <t>A-Type /</t>
    </r>
    <r>
      <rPr>
        <sz val="11"/>
        <color indexed="8"/>
        <rFont val="굴림"/>
        <family val="3"/>
        <charset val="129"/>
      </rPr>
      <t>아래폭</t>
    </r>
    <r>
      <rPr>
        <sz val="11"/>
        <color indexed="8"/>
        <rFont val="Arial Narrow"/>
        <family val="2"/>
      </rPr>
      <t>+</t>
    </r>
    <r>
      <rPr>
        <sz val="11"/>
        <color indexed="8"/>
        <rFont val="굴림"/>
        <family val="3"/>
        <charset val="129"/>
      </rPr>
      <t>높이</t>
    </r>
    <r>
      <rPr>
        <sz val="11"/>
        <color indexed="8"/>
        <rFont val="Arial Narrow"/>
        <family val="2"/>
      </rPr>
      <t>500</t>
    </r>
    <r>
      <rPr>
        <sz val="11"/>
        <color indexed="8"/>
        <rFont val="굴림"/>
        <family val="3"/>
        <charset val="129"/>
      </rPr>
      <t>㎜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미만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직선</t>
    </r>
  </si>
  <si>
    <r>
      <t>A-Type /</t>
    </r>
    <r>
      <rPr>
        <sz val="11"/>
        <color indexed="8"/>
        <rFont val="굴림"/>
        <family val="3"/>
        <charset val="129"/>
      </rPr>
      <t>아래폭</t>
    </r>
    <r>
      <rPr>
        <sz val="11"/>
        <color indexed="8"/>
        <rFont val="Arial Narrow"/>
        <family val="2"/>
      </rPr>
      <t>+</t>
    </r>
    <r>
      <rPr>
        <sz val="11"/>
        <color indexed="8"/>
        <rFont val="굴림"/>
        <family val="3"/>
        <charset val="129"/>
      </rPr>
      <t>높이</t>
    </r>
    <r>
      <rPr>
        <sz val="11"/>
        <color indexed="8"/>
        <rFont val="Arial Narrow"/>
        <family val="2"/>
      </rPr>
      <t>500</t>
    </r>
    <r>
      <rPr>
        <sz val="11"/>
        <color indexed="8"/>
        <rFont val="굴림"/>
        <family val="3"/>
        <charset val="129"/>
      </rPr>
      <t>㎜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미만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곡선</t>
    </r>
  </si>
  <si>
    <r>
      <t xml:space="preserve">      b.</t>
    </r>
    <r>
      <rPr>
        <sz val="11"/>
        <color indexed="8"/>
        <rFont val="굴림"/>
        <family val="3"/>
        <charset val="129"/>
      </rPr>
      <t>보차도경계석</t>
    </r>
    <r>
      <rPr>
        <sz val="11"/>
        <color indexed="8"/>
        <rFont val="Arial Narrow"/>
        <family val="2"/>
      </rPr>
      <t>-</t>
    </r>
    <r>
      <rPr>
        <sz val="11"/>
        <color indexed="8"/>
        <rFont val="굴림"/>
        <family val="3"/>
        <charset val="129"/>
      </rPr>
      <t>경사석</t>
    </r>
  </si>
  <si>
    <r>
      <t xml:space="preserve">      c.</t>
    </r>
    <r>
      <rPr>
        <sz val="11"/>
        <color indexed="8"/>
        <rFont val="굴림"/>
        <family val="3"/>
        <charset val="129"/>
      </rPr>
      <t>보차도경계석</t>
    </r>
    <r>
      <rPr>
        <sz val="11"/>
        <color indexed="8"/>
        <rFont val="Arial Narrow"/>
        <family val="2"/>
      </rPr>
      <t>-</t>
    </r>
    <r>
      <rPr>
        <sz val="11"/>
        <color indexed="8"/>
        <rFont val="굴림"/>
        <family val="3"/>
        <charset val="129"/>
      </rPr>
      <t>낮춤석</t>
    </r>
  </si>
  <si>
    <r>
      <t>A-Type /</t>
    </r>
    <r>
      <rPr>
        <sz val="11"/>
        <color indexed="8"/>
        <rFont val="굴림"/>
        <family val="3"/>
        <charset val="129"/>
      </rPr>
      <t>아래폭</t>
    </r>
    <r>
      <rPr>
        <sz val="11"/>
        <color indexed="8"/>
        <rFont val="Arial Narrow"/>
        <family val="2"/>
      </rPr>
      <t>+</t>
    </r>
    <r>
      <rPr>
        <sz val="11"/>
        <color indexed="8"/>
        <rFont val="굴림"/>
        <family val="3"/>
        <charset val="129"/>
      </rPr>
      <t>높이</t>
    </r>
    <r>
      <rPr>
        <sz val="11"/>
        <color indexed="8"/>
        <rFont val="Arial Narrow"/>
        <family val="2"/>
      </rPr>
      <t>300</t>
    </r>
    <r>
      <rPr>
        <sz val="11"/>
        <color indexed="8"/>
        <rFont val="굴림"/>
        <family val="3"/>
        <charset val="129"/>
      </rPr>
      <t>㎜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미만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직선</t>
    </r>
  </si>
  <si>
    <r>
      <t>A-Type /</t>
    </r>
    <r>
      <rPr>
        <sz val="11"/>
        <color indexed="8"/>
        <rFont val="굴림"/>
        <family val="3"/>
        <charset val="129"/>
      </rPr>
      <t>아래폭</t>
    </r>
    <r>
      <rPr>
        <sz val="11"/>
        <color indexed="8"/>
        <rFont val="Arial Narrow"/>
        <family val="2"/>
      </rPr>
      <t>+</t>
    </r>
    <r>
      <rPr>
        <sz val="11"/>
        <color indexed="8"/>
        <rFont val="굴림"/>
        <family val="3"/>
        <charset val="129"/>
      </rPr>
      <t>높이</t>
    </r>
    <r>
      <rPr>
        <sz val="11"/>
        <color indexed="8"/>
        <rFont val="Arial Narrow"/>
        <family val="2"/>
      </rPr>
      <t>300</t>
    </r>
    <r>
      <rPr>
        <sz val="11"/>
        <color indexed="8"/>
        <rFont val="굴림"/>
        <family val="3"/>
        <charset val="129"/>
      </rPr>
      <t>㎜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미만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곡선</t>
    </r>
  </si>
  <si>
    <r>
      <t xml:space="preserve">      d.L</t>
    </r>
    <r>
      <rPr>
        <sz val="11"/>
        <color indexed="8"/>
        <rFont val="굴림"/>
        <family val="3"/>
        <charset val="129"/>
      </rPr>
      <t>형측구</t>
    </r>
  </si>
  <si>
    <r>
      <t xml:space="preserve">       </t>
    </r>
    <r>
      <rPr>
        <sz val="11"/>
        <color indexed="8"/>
        <rFont val="굴림"/>
        <family val="3"/>
        <charset val="129"/>
      </rPr>
      <t>모르터</t>
    </r>
  </si>
  <si>
    <t>1:3</t>
  </si>
  <si>
    <r>
      <t xml:space="preserve">       </t>
    </r>
    <r>
      <rPr>
        <sz val="11"/>
        <color indexed="8"/>
        <rFont val="굴림"/>
        <family val="3"/>
        <charset val="129"/>
      </rPr>
      <t>신축이음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설치</t>
    </r>
  </si>
  <si>
    <r>
      <t xml:space="preserve">     </t>
    </r>
    <r>
      <rPr>
        <sz val="11"/>
        <color indexed="8"/>
        <rFont val="굴림"/>
        <family val="3"/>
        <charset val="129"/>
      </rPr>
      <t>나</t>
    </r>
    <r>
      <rPr>
        <sz val="11"/>
        <color indexed="8"/>
        <rFont val="Arial Narrow"/>
        <family val="2"/>
      </rPr>
      <t>.</t>
    </r>
    <r>
      <rPr>
        <sz val="11"/>
        <color indexed="8"/>
        <rFont val="굴림"/>
        <family val="3"/>
        <charset val="129"/>
      </rPr>
      <t>도로경계석</t>
    </r>
  </si>
  <si>
    <r>
      <t xml:space="preserve">      a.</t>
    </r>
    <r>
      <rPr>
        <sz val="11"/>
        <color indexed="8"/>
        <rFont val="굴림"/>
        <family val="3"/>
        <charset val="129"/>
      </rPr>
      <t>경계석</t>
    </r>
  </si>
  <si>
    <r>
      <t xml:space="preserve">      b.</t>
    </r>
    <r>
      <rPr>
        <sz val="11"/>
        <color indexed="8"/>
        <rFont val="굴림"/>
        <family val="3"/>
        <charset val="129"/>
      </rPr>
      <t>기초</t>
    </r>
  </si>
  <si>
    <r>
      <t xml:space="preserve">       b-3.</t>
    </r>
    <r>
      <rPr>
        <sz val="11"/>
        <color indexed="8"/>
        <rFont val="굴림"/>
        <family val="3"/>
        <charset val="129"/>
      </rPr>
      <t>모르터</t>
    </r>
  </si>
  <si>
    <r>
      <t xml:space="preserve">    5.06.</t>
    </r>
    <r>
      <rPr>
        <sz val="11"/>
        <color indexed="8"/>
        <rFont val="굴림"/>
        <family val="3"/>
        <charset val="129"/>
      </rPr>
      <t>교통시설공</t>
    </r>
  </si>
  <si>
    <r>
      <t xml:space="preserve">     a.</t>
    </r>
    <r>
      <rPr>
        <sz val="11"/>
        <color indexed="8"/>
        <rFont val="굴림"/>
        <family val="3"/>
        <charset val="129"/>
      </rPr>
      <t>고원식교차로</t>
    </r>
  </si>
  <si>
    <r>
      <t xml:space="preserve">      </t>
    </r>
    <r>
      <rPr>
        <sz val="11"/>
        <color indexed="8"/>
        <rFont val="굴림"/>
        <family val="3"/>
        <charset val="129"/>
      </rPr>
      <t>아스콘포장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표층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중간층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기계포설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대형장비</t>
    </r>
    <r>
      <rPr>
        <sz val="11"/>
        <color indexed="8"/>
        <rFont val="Arial Narrow"/>
        <family val="2"/>
      </rPr>
      <t>)</t>
    </r>
  </si>
  <si>
    <r>
      <t xml:space="preserve">      </t>
    </r>
    <r>
      <rPr>
        <sz val="11"/>
        <color indexed="8"/>
        <rFont val="굴림"/>
        <family val="3"/>
        <charset val="129"/>
      </rPr>
      <t>텍코팅</t>
    </r>
  </si>
  <si>
    <r>
      <t xml:space="preserve">     b.</t>
    </r>
    <r>
      <rPr>
        <sz val="11"/>
        <color indexed="8"/>
        <rFont val="굴림"/>
        <family val="3"/>
        <charset val="129"/>
      </rPr>
      <t>미끄럼방지</t>
    </r>
  </si>
  <si>
    <r>
      <t xml:space="preserve">      </t>
    </r>
    <r>
      <rPr>
        <sz val="11"/>
        <color indexed="8"/>
        <rFont val="굴림"/>
        <family val="3"/>
        <charset val="129"/>
      </rPr>
      <t>미끄럼방지포장</t>
    </r>
  </si>
  <si>
    <r>
      <t xml:space="preserve">     c.</t>
    </r>
    <r>
      <rPr>
        <sz val="11"/>
        <color indexed="8"/>
        <rFont val="굴림"/>
        <family val="3"/>
        <charset val="129"/>
      </rPr>
      <t>과속방지턱</t>
    </r>
  </si>
  <si>
    <r>
      <t xml:space="preserve">      c-1.</t>
    </r>
    <r>
      <rPr>
        <sz val="11"/>
        <color indexed="8"/>
        <rFont val="굴림"/>
        <family val="3"/>
        <charset val="129"/>
      </rPr>
      <t>과속방지턱</t>
    </r>
  </si>
  <si>
    <t>B=6.5M, L=3.2M</t>
  </si>
  <si>
    <r>
      <t xml:space="preserve">     d.</t>
    </r>
    <r>
      <rPr>
        <sz val="11"/>
        <color indexed="8"/>
        <rFont val="굴림"/>
        <family val="3"/>
        <charset val="129"/>
      </rPr>
      <t>차선도색</t>
    </r>
  </si>
  <si>
    <r>
      <t xml:space="preserve">      d-1.</t>
    </r>
    <r>
      <rPr>
        <sz val="11"/>
        <color indexed="8"/>
        <rFont val="굴림"/>
        <family val="3"/>
        <charset val="129"/>
      </rPr>
      <t>차선도색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융착식</t>
    </r>
    <r>
      <rPr>
        <sz val="11"/>
        <color indexed="8"/>
        <rFont val="Arial Narrow"/>
        <family val="2"/>
      </rPr>
      <t>,</t>
    </r>
    <r>
      <rPr>
        <sz val="11"/>
        <color indexed="8"/>
        <rFont val="굴림"/>
        <family val="3"/>
        <charset val="129"/>
      </rPr>
      <t>기계식</t>
    </r>
    <r>
      <rPr>
        <sz val="11"/>
        <color indexed="8"/>
        <rFont val="Arial Narrow"/>
        <family val="2"/>
      </rPr>
      <t>)</t>
    </r>
    <r>
      <rPr>
        <sz val="11"/>
        <color indexed="8"/>
        <rFont val="굴림"/>
        <family val="3"/>
        <charset val="129"/>
      </rPr>
      <t>미공용구간</t>
    </r>
  </si>
  <si>
    <r>
      <rPr>
        <sz val="11"/>
        <color indexed="8"/>
        <rFont val="굴림"/>
        <family val="3"/>
        <charset val="129"/>
      </rPr>
      <t>백색</t>
    </r>
    <r>
      <rPr>
        <sz val="11"/>
        <color indexed="8"/>
        <rFont val="Arial Narrow"/>
        <family val="2"/>
      </rPr>
      <t>-</t>
    </r>
    <r>
      <rPr>
        <sz val="11"/>
        <color indexed="8"/>
        <rFont val="굴림"/>
        <family val="3"/>
        <charset val="129"/>
      </rPr>
      <t>실선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밑그림포함</t>
    </r>
    <r>
      <rPr>
        <sz val="11"/>
        <color indexed="8"/>
        <rFont val="Arial Narrow"/>
        <family val="2"/>
      </rPr>
      <t>)</t>
    </r>
  </si>
  <si>
    <r>
      <t xml:space="preserve">      d-2.</t>
    </r>
    <r>
      <rPr>
        <sz val="11"/>
        <color indexed="8"/>
        <rFont val="굴림"/>
        <family val="3"/>
        <charset val="129"/>
      </rPr>
      <t>차선도색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융착식</t>
    </r>
    <r>
      <rPr>
        <sz val="11"/>
        <color indexed="8"/>
        <rFont val="Arial Narrow"/>
        <family val="2"/>
      </rPr>
      <t>,</t>
    </r>
    <r>
      <rPr>
        <sz val="11"/>
        <color indexed="8"/>
        <rFont val="굴림"/>
        <family val="3"/>
        <charset val="129"/>
      </rPr>
      <t>수동식</t>
    </r>
    <r>
      <rPr>
        <sz val="11"/>
        <color indexed="8"/>
        <rFont val="Arial Narrow"/>
        <family val="2"/>
      </rPr>
      <t>)</t>
    </r>
    <r>
      <rPr>
        <sz val="11"/>
        <color indexed="8"/>
        <rFont val="굴림"/>
        <family val="3"/>
        <charset val="129"/>
      </rPr>
      <t>미공용구간</t>
    </r>
  </si>
  <si>
    <r>
      <rPr>
        <sz val="11"/>
        <color indexed="8"/>
        <rFont val="굴림"/>
        <family val="3"/>
        <charset val="129"/>
      </rPr>
      <t>백색</t>
    </r>
    <r>
      <rPr>
        <sz val="11"/>
        <color indexed="8"/>
        <rFont val="Arial Narrow"/>
        <family val="2"/>
      </rPr>
      <t>-</t>
    </r>
    <r>
      <rPr>
        <sz val="11"/>
        <color indexed="8"/>
        <rFont val="굴림"/>
        <family val="3"/>
        <charset val="129"/>
      </rPr>
      <t>파선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밑그림포함</t>
    </r>
    <r>
      <rPr>
        <sz val="11"/>
        <color indexed="8"/>
        <rFont val="Arial Narrow"/>
        <family val="2"/>
      </rPr>
      <t>)</t>
    </r>
  </si>
  <si>
    <r>
      <t xml:space="preserve">      d-3.</t>
    </r>
    <r>
      <rPr>
        <sz val="11"/>
        <color indexed="8"/>
        <rFont val="굴림"/>
        <family val="3"/>
        <charset val="129"/>
      </rPr>
      <t>차선도색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융착식</t>
    </r>
    <r>
      <rPr>
        <sz val="11"/>
        <color indexed="8"/>
        <rFont val="Arial Narrow"/>
        <family val="2"/>
      </rPr>
      <t>,</t>
    </r>
    <r>
      <rPr>
        <sz val="11"/>
        <color indexed="8"/>
        <rFont val="굴림"/>
        <family val="3"/>
        <charset val="129"/>
      </rPr>
      <t>기계식</t>
    </r>
    <r>
      <rPr>
        <sz val="11"/>
        <color indexed="8"/>
        <rFont val="Arial Narrow"/>
        <family val="2"/>
      </rPr>
      <t>)</t>
    </r>
    <r>
      <rPr>
        <sz val="11"/>
        <color indexed="8"/>
        <rFont val="굴림"/>
        <family val="3"/>
        <charset val="129"/>
      </rPr>
      <t>미공용구간</t>
    </r>
  </si>
  <si>
    <r>
      <rPr>
        <sz val="11"/>
        <color indexed="8"/>
        <rFont val="굴림"/>
        <family val="3"/>
        <charset val="129"/>
      </rPr>
      <t>황색</t>
    </r>
    <r>
      <rPr>
        <sz val="11"/>
        <color indexed="8"/>
        <rFont val="Arial Narrow"/>
        <family val="2"/>
      </rPr>
      <t>-</t>
    </r>
    <r>
      <rPr>
        <sz val="11"/>
        <color indexed="8"/>
        <rFont val="굴림"/>
        <family val="3"/>
        <charset val="129"/>
      </rPr>
      <t>실선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밑그림포함</t>
    </r>
    <r>
      <rPr>
        <sz val="11"/>
        <color indexed="8"/>
        <rFont val="Arial Narrow"/>
        <family val="2"/>
      </rPr>
      <t>)</t>
    </r>
  </si>
  <si>
    <r>
      <t xml:space="preserve">      d-4.</t>
    </r>
    <r>
      <rPr>
        <sz val="11"/>
        <color indexed="8"/>
        <rFont val="굴림"/>
        <family val="3"/>
        <charset val="129"/>
      </rPr>
      <t>차선도색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융착식</t>
    </r>
    <r>
      <rPr>
        <sz val="11"/>
        <color indexed="8"/>
        <rFont val="Arial Narrow"/>
        <family val="2"/>
      </rPr>
      <t>,</t>
    </r>
    <r>
      <rPr>
        <sz val="11"/>
        <color indexed="8"/>
        <rFont val="굴림"/>
        <family val="3"/>
        <charset val="129"/>
      </rPr>
      <t>수동식</t>
    </r>
    <r>
      <rPr>
        <sz val="11"/>
        <color indexed="8"/>
        <rFont val="Arial Narrow"/>
        <family val="2"/>
      </rPr>
      <t>)</t>
    </r>
    <r>
      <rPr>
        <sz val="11"/>
        <color indexed="8"/>
        <rFont val="굴림"/>
        <family val="3"/>
        <charset val="129"/>
      </rPr>
      <t>미공용구간</t>
    </r>
  </si>
  <si>
    <r>
      <rPr>
        <sz val="11"/>
        <color indexed="8"/>
        <rFont val="굴림"/>
        <family val="3"/>
        <charset val="129"/>
      </rPr>
      <t>문자</t>
    </r>
    <r>
      <rPr>
        <sz val="11"/>
        <color indexed="8"/>
        <rFont val="Arial Narrow"/>
        <family val="2"/>
      </rPr>
      <t>,</t>
    </r>
    <r>
      <rPr>
        <sz val="11"/>
        <color indexed="8"/>
        <rFont val="굴림"/>
        <family val="3"/>
        <charset val="129"/>
      </rPr>
      <t>기호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밑그림포함</t>
    </r>
    <r>
      <rPr>
        <sz val="11"/>
        <color indexed="8"/>
        <rFont val="Arial Narrow"/>
        <family val="2"/>
      </rPr>
      <t>)</t>
    </r>
  </si>
  <si>
    <r>
      <t xml:space="preserve">      d-5.</t>
    </r>
    <r>
      <rPr>
        <sz val="11"/>
        <color indexed="8"/>
        <rFont val="굴림"/>
        <family val="3"/>
        <charset val="129"/>
      </rPr>
      <t>차선도색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융착식</t>
    </r>
    <r>
      <rPr>
        <sz val="11"/>
        <color indexed="8"/>
        <rFont val="Arial Narrow"/>
        <family val="2"/>
      </rPr>
      <t>,</t>
    </r>
    <r>
      <rPr>
        <sz val="11"/>
        <color indexed="8"/>
        <rFont val="굴림"/>
        <family val="3"/>
        <charset val="129"/>
      </rPr>
      <t>수동식</t>
    </r>
    <r>
      <rPr>
        <sz val="11"/>
        <color indexed="8"/>
        <rFont val="Arial Narrow"/>
        <family val="2"/>
      </rPr>
      <t>)</t>
    </r>
    <r>
      <rPr>
        <sz val="11"/>
        <color indexed="8"/>
        <rFont val="굴림"/>
        <family val="3"/>
        <charset val="129"/>
      </rPr>
      <t>미공용구간</t>
    </r>
  </si>
  <si>
    <r>
      <rPr>
        <sz val="11"/>
        <color indexed="8"/>
        <rFont val="굴림"/>
        <family val="3"/>
        <charset val="129"/>
      </rPr>
      <t>횡단보도</t>
    </r>
    <r>
      <rPr>
        <sz val="11"/>
        <color indexed="8"/>
        <rFont val="Arial Narrow"/>
        <family val="2"/>
      </rPr>
      <t>,</t>
    </r>
    <r>
      <rPr>
        <sz val="11"/>
        <color indexed="8"/>
        <rFont val="굴림"/>
        <family val="3"/>
        <charset val="129"/>
      </rPr>
      <t>주차장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밑그림포함</t>
    </r>
    <r>
      <rPr>
        <sz val="11"/>
        <color indexed="8"/>
        <rFont val="Arial Narrow"/>
        <family val="2"/>
      </rPr>
      <t>)</t>
    </r>
  </si>
  <si>
    <r>
      <t xml:space="preserve">     e.</t>
    </r>
    <r>
      <rPr>
        <sz val="11"/>
        <color indexed="8"/>
        <rFont val="굴림"/>
        <family val="3"/>
        <charset val="129"/>
      </rPr>
      <t>교통표지판</t>
    </r>
  </si>
  <si>
    <r>
      <t xml:space="preserve">      e-1.</t>
    </r>
    <r>
      <rPr>
        <sz val="11"/>
        <color indexed="8"/>
        <rFont val="굴림"/>
        <family val="3"/>
        <charset val="129"/>
      </rPr>
      <t>삼각표지판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주의</t>
    </r>
    <r>
      <rPr>
        <sz val="11"/>
        <color indexed="8"/>
        <rFont val="Arial Narrow"/>
        <family val="2"/>
      </rPr>
      <t>,</t>
    </r>
    <r>
      <rPr>
        <sz val="11"/>
        <color indexed="8"/>
        <rFont val="굴림"/>
        <family val="3"/>
        <charset val="129"/>
      </rPr>
      <t>규제</t>
    </r>
    <r>
      <rPr>
        <sz val="11"/>
        <color indexed="8"/>
        <rFont val="Arial Narrow"/>
        <family val="2"/>
      </rPr>
      <t>)</t>
    </r>
  </si>
  <si>
    <r>
      <t>1</t>
    </r>
    <r>
      <rPr>
        <sz val="11"/>
        <color indexed="8"/>
        <rFont val="굴림"/>
        <family val="3"/>
        <charset val="129"/>
      </rPr>
      <t>변</t>
    </r>
    <r>
      <rPr>
        <sz val="11"/>
        <color indexed="8"/>
        <rFont val="Arial Narrow"/>
        <family val="2"/>
      </rPr>
      <t xml:space="preserve"> 900 MM</t>
    </r>
  </si>
  <si>
    <r>
      <t xml:space="preserve">      e-2.</t>
    </r>
    <r>
      <rPr>
        <sz val="11"/>
        <color indexed="8"/>
        <rFont val="굴림"/>
        <family val="3"/>
        <charset val="129"/>
      </rPr>
      <t>원형표지판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규제</t>
    </r>
    <r>
      <rPr>
        <sz val="11"/>
        <color indexed="8"/>
        <rFont val="Arial Narrow"/>
        <family val="2"/>
      </rPr>
      <t>,</t>
    </r>
    <r>
      <rPr>
        <sz val="11"/>
        <color indexed="8"/>
        <rFont val="굴림"/>
        <family val="3"/>
        <charset val="129"/>
      </rPr>
      <t>지시</t>
    </r>
    <r>
      <rPr>
        <sz val="11"/>
        <color indexed="8"/>
        <rFont val="Arial Narrow"/>
        <family val="2"/>
      </rPr>
      <t>)</t>
    </r>
  </si>
  <si>
    <t>Ø 600 MM</t>
  </si>
  <si>
    <r>
      <t xml:space="preserve">      e-3.</t>
    </r>
    <r>
      <rPr>
        <sz val="11"/>
        <color indexed="8"/>
        <rFont val="굴림"/>
        <family val="3"/>
        <charset val="129"/>
      </rPr>
      <t>사각표지판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지시</t>
    </r>
    <r>
      <rPr>
        <sz val="11"/>
        <color indexed="8"/>
        <rFont val="Arial Narrow"/>
        <family val="2"/>
      </rPr>
      <t>)</t>
    </r>
  </si>
  <si>
    <t>600 × 600</t>
  </si>
  <si>
    <r>
      <t xml:space="preserve">     f.</t>
    </r>
    <r>
      <rPr>
        <sz val="11"/>
        <color indexed="8"/>
        <rFont val="굴림"/>
        <family val="3"/>
        <charset val="129"/>
      </rPr>
      <t>도로표지판</t>
    </r>
  </si>
  <si>
    <r>
      <t xml:space="preserve">      f-1.</t>
    </r>
    <r>
      <rPr>
        <sz val="11"/>
        <color indexed="8"/>
        <rFont val="굴림"/>
        <family val="3"/>
        <charset val="129"/>
      </rPr>
      <t>도로표지판</t>
    </r>
    <r>
      <rPr>
        <sz val="11"/>
        <color indexed="8"/>
        <rFont val="Arial Narrow"/>
        <family val="2"/>
      </rPr>
      <t>(3</t>
    </r>
    <r>
      <rPr>
        <sz val="11"/>
        <color indexed="8"/>
        <rFont val="굴림"/>
        <family val="3"/>
        <charset val="129"/>
      </rPr>
      <t>방향표지판</t>
    </r>
    <r>
      <rPr>
        <sz val="11"/>
        <color indexed="8"/>
        <rFont val="Arial Narrow"/>
        <family val="2"/>
      </rPr>
      <t>)</t>
    </r>
  </si>
  <si>
    <r>
      <t>1850*1350*3(</t>
    </r>
    <r>
      <rPr>
        <sz val="11"/>
        <color indexed="8"/>
        <rFont val="굴림"/>
        <family val="3"/>
        <charset val="129"/>
      </rPr>
      <t>현수식</t>
    </r>
    <r>
      <rPr>
        <sz val="11"/>
        <color indexed="8"/>
        <rFont val="Arial Narrow"/>
        <family val="2"/>
      </rPr>
      <t>)</t>
    </r>
  </si>
  <si>
    <r>
      <t xml:space="preserve">      f-2.</t>
    </r>
    <r>
      <rPr>
        <sz val="11"/>
        <color indexed="8"/>
        <rFont val="굴림"/>
        <family val="3"/>
        <charset val="129"/>
      </rPr>
      <t>도로표지판</t>
    </r>
    <r>
      <rPr>
        <sz val="11"/>
        <color indexed="8"/>
        <rFont val="Arial Narrow"/>
        <family val="2"/>
      </rPr>
      <t>(2</t>
    </r>
    <r>
      <rPr>
        <sz val="11"/>
        <color indexed="8"/>
        <rFont val="굴림"/>
        <family val="3"/>
        <charset val="129"/>
      </rPr>
      <t>방향표지판</t>
    </r>
    <r>
      <rPr>
        <sz val="11"/>
        <color indexed="8"/>
        <rFont val="Arial Narrow"/>
        <family val="2"/>
      </rPr>
      <t>)</t>
    </r>
  </si>
  <si>
    <r>
      <t>1850*1350*2(</t>
    </r>
    <r>
      <rPr>
        <sz val="11"/>
        <color indexed="8"/>
        <rFont val="굴림"/>
        <family val="3"/>
        <charset val="129"/>
      </rPr>
      <t>현수식</t>
    </r>
    <r>
      <rPr>
        <sz val="11"/>
        <color indexed="8"/>
        <rFont val="Arial Narrow"/>
        <family val="2"/>
      </rPr>
      <t>)</t>
    </r>
  </si>
  <si>
    <r>
      <t xml:space="preserve">     g.</t>
    </r>
    <r>
      <rPr>
        <sz val="11"/>
        <color indexed="8"/>
        <rFont val="굴림"/>
        <family val="3"/>
        <charset val="129"/>
      </rPr>
      <t>도로반사경</t>
    </r>
  </si>
  <si>
    <r>
      <t xml:space="preserve">      </t>
    </r>
    <r>
      <rPr>
        <sz val="11"/>
        <color indexed="8"/>
        <rFont val="굴림"/>
        <family val="3"/>
        <charset val="129"/>
      </rPr>
      <t>도로반사경</t>
    </r>
  </si>
  <si>
    <t>Ø 800 MM</t>
  </si>
  <si>
    <r>
      <t xml:space="preserve">     h.</t>
    </r>
    <r>
      <rPr>
        <sz val="11"/>
        <color indexed="8"/>
        <rFont val="굴림"/>
        <family val="3"/>
        <charset val="129"/>
      </rPr>
      <t>안전휀스</t>
    </r>
  </si>
  <si>
    <r>
      <t xml:space="preserve">      </t>
    </r>
    <r>
      <rPr>
        <sz val="11"/>
        <color indexed="8"/>
        <rFont val="굴림"/>
        <family val="3"/>
        <charset val="129"/>
      </rPr>
      <t>보차도휀스</t>
    </r>
  </si>
  <si>
    <t>H=1,100 X W=1,500</t>
  </si>
  <si>
    <r>
      <rPr>
        <sz val="11"/>
        <color indexed="8"/>
        <rFont val="굴림"/>
        <family val="3"/>
        <charset val="129"/>
      </rPr>
      <t>경간</t>
    </r>
  </si>
  <si>
    <r>
      <t xml:space="preserve">     i.</t>
    </r>
    <r>
      <rPr>
        <sz val="11"/>
        <color indexed="8"/>
        <rFont val="굴림"/>
        <family val="3"/>
        <charset val="129"/>
      </rPr>
      <t>갈매기표지판</t>
    </r>
  </si>
  <si>
    <r>
      <t xml:space="preserve">      </t>
    </r>
    <r>
      <rPr>
        <sz val="11"/>
        <color indexed="8"/>
        <rFont val="굴림"/>
        <family val="3"/>
        <charset val="129"/>
      </rPr>
      <t>갈매기표지판</t>
    </r>
  </si>
  <si>
    <r>
      <t>450×600(</t>
    </r>
    <r>
      <rPr>
        <sz val="11"/>
        <color indexed="8"/>
        <rFont val="굴림"/>
        <family val="3"/>
        <charset val="129"/>
      </rPr>
      <t>양면형</t>
    </r>
    <r>
      <rPr>
        <sz val="11"/>
        <color indexed="8"/>
        <rFont val="Arial Narrow"/>
        <family val="2"/>
      </rPr>
      <t>)</t>
    </r>
  </si>
  <si>
    <r>
      <t xml:space="preserve">     j.</t>
    </r>
    <r>
      <rPr>
        <sz val="11"/>
        <color indexed="8"/>
        <rFont val="굴림"/>
        <family val="3"/>
        <charset val="129"/>
      </rPr>
      <t>가드레일</t>
    </r>
  </si>
  <si>
    <r>
      <t xml:space="preserve">      </t>
    </r>
    <r>
      <rPr>
        <sz val="11"/>
        <color indexed="8"/>
        <rFont val="굴림"/>
        <family val="3"/>
        <charset val="129"/>
      </rPr>
      <t>가드레일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기계식</t>
    </r>
    <r>
      <rPr>
        <sz val="11"/>
        <color indexed="8"/>
        <rFont val="Arial Narrow"/>
        <family val="2"/>
      </rPr>
      <t>)</t>
    </r>
  </si>
  <si>
    <r>
      <rPr>
        <sz val="11"/>
        <color indexed="8"/>
        <rFont val="굴림"/>
        <family val="3"/>
        <charset val="129"/>
      </rPr>
      <t>원형</t>
    </r>
    <r>
      <rPr>
        <sz val="11"/>
        <color indexed="8"/>
        <rFont val="Arial Narrow"/>
        <family val="2"/>
      </rPr>
      <t>,4.0M/</t>
    </r>
    <r>
      <rPr>
        <sz val="11"/>
        <color indexed="8"/>
        <rFont val="굴림"/>
        <family val="3"/>
        <charset val="129"/>
      </rPr>
      <t>경간</t>
    </r>
  </si>
  <si>
    <r>
      <t xml:space="preserve">      </t>
    </r>
    <r>
      <rPr>
        <sz val="11"/>
        <color indexed="8"/>
        <rFont val="굴림"/>
        <family val="3"/>
        <charset val="129"/>
      </rPr>
      <t>엔드레일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기계식</t>
    </r>
    <r>
      <rPr>
        <sz val="11"/>
        <color indexed="8"/>
        <rFont val="Arial Narrow"/>
        <family val="2"/>
      </rPr>
      <t>)</t>
    </r>
  </si>
  <si>
    <r>
      <rPr>
        <sz val="11"/>
        <color indexed="8"/>
        <rFont val="굴림"/>
        <family val="3"/>
        <charset val="129"/>
      </rPr>
      <t>원형</t>
    </r>
    <r>
      <rPr>
        <sz val="11"/>
        <color indexed="8"/>
        <rFont val="Arial Narrow"/>
        <family val="2"/>
      </rPr>
      <t xml:space="preserve">, </t>
    </r>
    <r>
      <rPr>
        <sz val="11"/>
        <color indexed="8"/>
        <rFont val="굴림"/>
        <family val="3"/>
        <charset val="129"/>
      </rPr>
      <t>단부</t>
    </r>
  </si>
  <si>
    <r>
      <t xml:space="preserve">    5.07.</t>
    </r>
    <r>
      <rPr>
        <sz val="11"/>
        <color indexed="8"/>
        <rFont val="굴림"/>
        <family val="3"/>
        <charset val="129"/>
      </rPr>
      <t>방초맨트설치공</t>
    </r>
  </si>
  <si>
    <r>
      <t xml:space="preserve">     a.</t>
    </r>
    <r>
      <rPr>
        <sz val="11"/>
        <color indexed="8"/>
        <rFont val="굴림"/>
        <family val="3"/>
        <charset val="129"/>
      </rPr>
      <t>방초매트</t>
    </r>
  </si>
  <si>
    <t>1.0*1.0</t>
  </si>
  <si>
    <r>
      <t xml:space="preserve">    5.08.</t>
    </r>
    <r>
      <rPr>
        <sz val="11"/>
        <color indexed="8"/>
        <rFont val="굴림"/>
        <family val="3"/>
        <charset val="129"/>
      </rPr>
      <t>자재운반비</t>
    </r>
  </si>
  <si>
    <r>
      <t xml:space="preserve">     c.</t>
    </r>
    <r>
      <rPr>
        <sz val="11"/>
        <color indexed="8"/>
        <rFont val="굴림"/>
        <family val="3"/>
        <charset val="129"/>
      </rPr>
      <t>아스팔트운반</t>
    </r>
  </si>
  <si>
    <t>RSC-4,RSC-3</t>
  </si>
  <si>
    <t>D/M</t>
  </si>
  <si>
    <r>
      <t xml:space="preserve">     d.</t>
    </r>
    <r>
      <rPr>
        <sz val="11"/>
        <color indexed="8"/>
        <rFont val="굴림"/>
        <family val="3"/>
        <charset val="129"/>
      </rPr>
      <t>잔디블럭</t>
    </r>
  </si>
  <si>
    <r>
      <t xml:space="preserve">      </t>
    </r>
    <r>
      <rPr>
        <sz val="11"/>
        <color indexed="8"/>
        <rFont val="굴림"/>
        <family val="3"/>
        <charset val="129"/>
      </rPr>
      <t>잔디블럭운반</t>
    </r>
  </si>
  <si>
    <r>
      <rPr>
        <sz val="11"/>
        <color indexed="8"/>
        <rFont val="굴림"/>
        <family val="3"/>
        <charset val="129"/>
      </rPr>
      <t>일반</t>
    </r>
  </si>
  <si>
    <r>
      <rPr>
        <sz val="11"/>
        <color indexed="8"/>
        <rFont val="굴림"/>
        <family val="3"/>
        <charset val="129"/>
      </rPr>
      <t>라인석</t>
    </r>
  </si>
  <si>
    <r>
      <t xml:space="preserve">    5.09.</t>
    </r>
    <r>
      <rPr>
        <sz val="11"/>
        <color indexed="8"/>
        <rFont val="굴림"/>
        <family val="3"/>
        <charset val="129"/>
      </rPr>
      <t>자재대</t>
    </r>
  </si>
  <si>
    <r>
      <t xml:space="preserve">     1).</t>
    </r>
    <r>
      <rPr>
        <sz val="11"/>
        <color indexed="8"/>
        <rFont val="굴림"/>
        <family val="3"/>
        <charset val="129"/>
      </rPr>
      <t>아스팔트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콘크리트</t>
    </r>
  </si>
  <si>
    <r>
      <t xml:space="preserve">      </t>
    </r>
    <r>
      <rPr>
        <sz val="11"/>
        <color indexed="8"/>
        <rFont val="굴림"/>
        <family val="3"/>
        <charset val="129"/>
      </rPr>
      <t>아스팔트콘크리트</t>
    </r>
  </si>
  <si>
    <r>
      <rPr>
        <sz val="11"/>
        <color indexed="8"/>
        <rFont val="굴림"/>
        <family val="3"/>
        <charset val="129"/>
      </rPr>
      <t>표층</t>
    </r>
    <r>
      <rPr>
        <sz val="11"/>
        <color indexed="8"/>
        <rFont val="Arial Narrow"/>
        <family val="2"/>
      </rPr>
      <t xml:space="preserve"> #78</t>
    </r>
  </si>
  <si>
    <r>
      <rPr>
        <sz val="11"/>
        <color indexed="8"/>
        <rFont val="굴림"/>
        <family val="3"/>
        <charset val="129"/>
      </rPr>
      <t>중간층</t>
    </r>
    <r>
      <rPr>
        <sz val="11"/>
        <color indexed="8"/>
        <rFont val="Arial Narrow"/>
        <family val="2"/>
      </rPr>
      <t xml:space="preserve"> #67</t>
    </r>
  </si>
  <si>
    <r>
      <rPr>
        <sz val="11"/>
        <color indexed="8"/>
        <rFont val="굴림"/>
        <family val="3"/>
        <charset val="129"/>
      </rPr>
      <t>중간층</t>
    </r>
    <r>
      <rPr>
        <sz val="11"/>
        <color indexed="8"/>
        <rFont val="Arial Narrow"/>
        <family val="2"/>
      </rPr>
      <t xml:space="preserve"> #67(</t>
    </r>
    <r>
      <rPr>
        <sz val="11"/>
        <color indexed="8"/>
        <rFont val="굴림"/>
        <family val="3"/>
        <charset val="129"/>
      </rPr>
      <t>재생품</t>
    </r>
    <r>
      <rPr>
        <sz val="11"/>
        <color indexed="8"/>
        <rFont val="Arial Narrow"/>
        <family val="2"/>
      </rPr>
      <t>)</t>
    </r>
  </si>
  <si>
    <r>
      <rPr>
        <sz val="11"/>
        <color indexed="8"/>
        <rFont val="굴림"/>
        <family val="3"/>
        <charset val="129"/>
      </rPr>
      <t>기층</t>
    </r>
    <r>
      <rPr>
        <sz val="11"/>
        <color indexed="8"/>
        <rFont val="Arial Narrow"/>
        <family val="2"/>
      </rPr>
      <t xml:space="preserve"> #467</t>
    </r>
  </si>
  <si>
    <r>
      <rPr>
        <sz val="11"/>
        <color indexed="8"/>
        <rFont val="굴림"/>
        <family val="3"/>
        <charset val="129"/>
      </rPr>
      <t>기층</t>
    </r>
    <r>
      <rPr>
        <sz val="11"/>
        <color indexed="8"/>
        <rFont val="Arial Narrow"/>
        <family val="2"/>
      </rPr>
      <t xml:space="preserve"> #467(</t>
    </r>
    <r>
      <rPr>
        <sz val="11"/>
        <color indexed="8"/>
        <rFont val="굴림"/>
        <family val="3"/>
        <charset val="129"/>
      </rPr>
      <t>재생품</t>
    </r>
    <r>
      <rPr>
        <sz val="11"/>
        <color indexed="8"/>
        <rFont val="Arial Narrow"/>
        <family val="2"/>
      </rPr>
      <t>)</t>
    </r>
  </si>
  <si>
    <r>
      <t xml:space="preserve">      </t>
    </r>
    <r>
      <rPr>
        <sz val="11"/>
        <color indexed="8"/>
        <rFont val="굴림"/>
        <family val="3"/>
        <charset val="129"/>
      </rPr>
      <t>아스팔트유제</t>
    </r>
  </si>
  <si>
    <t>RSC-4,3</t>
  </si>
  <si>
    <r>
      <t xml:space="preserve">     2).</t>
    </r>
    <r>
      <rPr>
        <sz val="11"/>
        <color indexed="8"/>
        <rFont val="굴림"/>
        <family val="3"/>
        <charset val="129"/>
      </rPr>
      <t>골재</t>
    </r>
  </si>
  <si>
    <r>
      <t xml:space="preserve">      a.</t>
    </r>
    <r>
      <rPr>
        <sz val="11"/>
        <color indexed="8"/>
        <rFont val="굴림"/>
        <family val="3"/>
        <charset val="129"/>
      </rPr>
      <t>보조기층</t>
    </r>
  </si>
  <si>
    <t>Φ40mm</t>
  </si>
  <si>
    <r>
      <t xml:space="preserve">      b.</t>
    </r>
    <r>
      <rPr>
        <sz val="11"/>
        <color indexed="8"/>
        <rFont val="굴림"/>
        <family val="3"/>
        <charset val="129"/>
      </rPr>
      <t>보조기층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순환골재</t>
    </r>
    <r>
      <rPr>
        <sz val="11"/>
        <color indexed="8"/>
        <rFont val="Arial Narrow"/>
        <family val="2"/>
      </rPr>
      <t>)</t>
    </r>
  </si>
  <si>
    <r>
      <t xml:space="preserve">      c.</t>
    </r>
    <r>
      <rPr>
        <sz val="11"/>
        <color indexed="8"/>
        <rFont val="굴림"/>
        <family val="3"/>
        <charset val="129"/>
      </rPr>
      <t>보조기층</t>
    </r>
  </si>
  <si>
    <r>
      <t xml:space="preserve">      d.</t>
    </r>
    <r>
      <rPr>
        <sz val="11"/>
        <color indexed="8"/>
        <rFont val="굴림"/>
        <family val="3"/>
        <charset val="129"/>
      </rPr>
      <t>보조기층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순환골재</t>
    </r>
    <r>
      <rPr>
        <sz val="11"/>
        <color indexed="8"/>
        <rFont val="Arial Narrow"/>
        <family val="2"/>
      </rPr>
      <t>)</t>
    </r>
  </si>
  <si>
    <r>
      <t xml:space="preserve">      e.</t>
    </r>
    <r>
      <rPr>
        <sz val="11"/>
        <color indexed="8"/>
        <rFont val="굴림"/>
        <family val="3"/>
        <charset val="129"/>
      </rPr>
      <t>모래</t>
    </r>
  </si>
  <si>
    <r>
      <t xml:space="preserve">     3).</t>
    </r>
    <r>
      <rPr>
        <sz val="11"/>
        <color indexed="8"/>
        <rFont val="굴림"/>
        <family val="3"/>
        <charset val="129"/>
      </rPr>
      <t>시멘트</t>
    </r>
  </si>
  <si>
    <r>
      <t xml:space="preserve">      a.</t>
    </r>
    <r>
      <rPr>
        <sz val="11"/>
        <color indexed="8"/>
        <rFont val="굴림"/>
        <family val="3"/>
        <charset val="129"/>
      </rPr>
      <t>시멘트</t>
    </r>
  </si>
  <si>
    <r>
      <t xml:space="preserve">     4).</t>
    </r>
    <r>
      <rPr>
        <sz val="11"/>
        <color indexed="8"/>
        <rFont val="굴림"/>
        <family val="3"/>
        <charset val="129"/>
      </rPr>
      <t>경하중포장</t>
    </r>
  </si>
  <si>
    <r>
      <t xml:space="preserve">      a.</t>
    </r>
    <r>
      <rPr>
        <sz val="11"/>
        <color indexed="8"/>
        <rFont val="굴림"/>
        <family val="3"/>
        <charset val="129"/>
      </rPr>
      <t>소형고압블럭</t>
    </r>
  </si>
  <si>
    <r>
      <t xml:space="preserve">t=6cm, </t>
    </r>
    <r>
      <rPr>
        <sz val="11"/>
        <color indexed="8"/>
        <rFont val="굴림"/>
        <family val="3"/>
        <charset val="129"/>
      </rPr>
      <t>회색</t>
    </r>
  </si>
  <si>
    <r>
      <t xml:space="preserve">      b.</t>
    </r>
    <r>
      <rPr>
        <sz val="11"/>
        <color indexed="8"/>
        <rFont val="굴림"/>
        <family val="3"/>
        <charset val="129"/>
      </rPr>
      <t>소형고압블럭</t>
    </r>
  </si>
  <si>
    <r>
      <t xml:space="preserve">t=6cm, </t>
    </r>
    <r>
      <rPr>
        <sz val="11"/>
        <color indexed="8"/>
        <rFont val="굴림"/>
        <family val="3"/>
        <charset val="129"/>
      </rPr>
      <t>적색</t>
    </r>
  </si>
  <si>
    <r>
      <t xml:space="preserve">      c.</t>
    </r>
    <r>
      <rPr>
        <sz val="11"/>
        <color indexed="8"/>
        <rFont val="굴림"/>
        <family val="3"/>
        <charset val="129"/>
      </rPr>
      <t>투수블럭</t>
    </r>
  </si>
  <si>
    <r>
      <t xml:space="preserve">      d.</t>
    </r>
    <r>
      <rPr>
        <sz val="11"/>
        <color indexed="8"/>
        <rFont val="굴림"/>
        <family val="3"/>
        <charset val="129"/>
      </rPr>
      <t>투수블럭</t>
    </r>
  </si>
  <si>
    <r>
      <t xml:space="preserve">      e.</t>
    </r>
    <r>
      <rPr>
        <sz val="11"/>
        <color indexed="8"/>
        <rFont val="굴림"/>
        <family val="3"/>
        <charset val="129"/>
      </rPr>
      <t>투수콘크리트</t>
    </r>
  </si>
  <si>
    <r>
      <rPr>
        <sz val="11"/>
        <color indexed="8"/>
        <rFont val="굴림"/>
        <family val="3"/>
        <charset val="129"/>
      </rPr>
      <t>적색</t>
    </r>
  </si>
  <si>
    <r>
      <t xml:space="preserve">      f.</t>
    </r>
    <r>
      <rPr>
        <sz val="11"/>
        <color indexed="8"/>
        <rFont val="굴림"/>
        <family val="3"/>
        <charset val="129"/>
      </rPr>
      <t>점자유도블록</t>
    </r>
  </si>
  <si>
    <t>300*300*60</t>
  </si>
  <si>
    <r>
      <t xml:space="preserve">      g.</t>
    </r>
    <r>
      <rPr>
        <sz val="11"/>
        <color indexed="8"/>
        <rFont val="굴림"/>
        <family val="3"/>
        <charset val="129"/>
      </rPr>
      <t>점자유도블록</t>
    </r>
  </si>
  <si>
    <r>
      <t xml:space="preserve">      h.</t>
    </r>
    <r>
      <rPr>
        <sz val="11"/>
        <color indexed="8"/>
        <rFont val="굴림"/>
        <family val="3"/>
        <charset val="129"/>
      </rPr>
      <t>주차용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대형잔디블록</t>
    </r>
  </si>
  <si>
    <t>1000*1000*150</t>
  </si>
  <si>
    <r>
      <t xml:space="preserve">      i.</t>
    </r>
    <r>
      <rPr>
        <sz val="11"/>
        <color indexed="8"/>
        <rFont val="굴림"/>
        <family val="3"/>
        <charset val="129"/>
      </rPr>
      <t>주차잔디블럭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반블럭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라인블럭</t>
    </r>
    <r>
      <rPr>
        <sz val="11"/>
        <color indexed="8"/>
        <rFont val="Arial Narrow"/>
        <family val="2"/>
      </rPr>
      <t>)</t>
    </r>
  </si>
  <si>
    <t>1000*500*150</t>
  </si>
  <si>
    <r>
      <t xml:space="preserve">     5).</t>
    </r>
    <r>
      <rPr>
        <sz val="11"/>
        <color indexed="8"/>
        <rFont val="굴림"/>
        <family val="3"/>
        <charset val="129"/>
      </rPr>
      <t>경계석</t>
    </r>
  </si>
  <si>
    <r>
      <t xml:space="preserve">      a.</t>
    </r>
    <r>
      <rPr>
        <sz val="11"/>
        <color indexed="8"/>
        <rFont val="굴림"/>
        <family val="3"/>
        <charset val="129"/>
      </rPr>
      <t>보차도경계석</t>
    </r>
    <r>
      <rPr>
        <sz val="11"/>
        <color indexed="8"/>
        <rFont val="Arial Narrow"/>
        <family val="2"/>
      </rPr>
      <t>-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직선</t>
    </r>
    <r>
      <rPr>
        <sz val="11"/>
        <color indexed="8"/>
        <rFont val="Arial Narrow"/>
        <family val="2"/>
      </rPr>
      <t>)</t>
    </r>
  </si>
  <si>
    <r>
      <rPr>
        <sz val="11"/>
        <color indexed="8"/>
        <rFont val="굴림"/>
        <family val="3"/>
        <charset val="129"/>
      </rPr>
      <t>화강석</t>
    </r>
    <r>
      <rPr>
        <sz val="11"/>
        <color indexed="8"/>
        <rFont val="Arial Narrow"/>
        <family val="2"/>
      </rPr>
      <t>, 180*200*1,000</t>
    </r>
  </si>
  <si>
    <r>
      <t xml:space="preserve">      b.</t>
    </r>
    <r>
      <rPr>
        <sz val="11"/>
        <color indexed="8"/>
        <rFont val="굴림"/>
        <family val="3"/>
        <charset val="129"/>
      </rPr>
      <t>보차도경계석</t>
    </r>
    <r>
      <rPr>
        <sz val="11"/>
        <color indexed="8"/>
        <rFont val="Arial Narrow"/>
        <family val="2"/>
      </rPr>
      <t>-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곡선</t>
    </r>
    <r>
      <rPr>
        <sz val="11"/>
        <color indexed="8"/>
        <rFont val="Arial Narrow"/>
        <family val="2"/>
      </rPr>
      <t>)</t>
    </r>
  </si>
  <si>
    <r>
      <t xml:space="preserve">      c.</t>
    </r>
    <r>
      <rPr>
        <sz val="11"/>
        <color indexed="8"/>
        <rFont val="굴림"/>
        <family val="3"/>
        <charset val="129"/>
      </rPr>
      <t>보차도경계석</t>
    </r>
    <r>
      <rPr>
        <sz val="11"/>
        <color indexed="8"/>
        <rFont val="Arial Narrow"/>
        <family val="2"/>
      </rPr>
      <t>-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직선</t>
    </r>
    <r>
      <rPr>
        <sz val="11"/>
        <color indexed="8"/>
        <rFont val="Arial Narrow"/>
        <family val="2"/>
      </rPr>
      <t>)</t>
    </r>
  </si>
  <si>
    <r>
      <rPr>
        <sz val="11"/>
        <color indexed="8"/>
        <rFont val="굴림"/>
        <family val="3"/>
        <charset val="129"/>
      </rPr>
      <t>화강석</t>
    </r>
    <r>
      <rPr>
        <sz val="11"/>
        <color indexed="8"/>
        <rFont val="Arial Narrow"/>
        <family val="2"/>
      </rPr>
      <t>, 200*250*1,000</t>
    </r>
  </si>
  <si>
    <r>
      <t xml:space="preserve">      d.</t>
    </r>
    <r>
      <rPr>
        <sz val="11"/>
        <color indexed="8"/>
        <rFont val="굴림"/>
        <family val="3"/>
        <charset val="129"/>
      </rPr>
      <t>보차도경계석</t>
    </r>
    <r>
      <rPr>
        <sz val="11"/>
        <color indexed="8"/>
        <rFont val="Arial Narrow"/>
        <family val="2"/>
      </rPr>
      <t>-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곡선</t>
    </r>
    <r>
      <rPr>
        <sz val="11"/>
        <color indexed="8"/>
        <rFont val="Arial Narrow"/>
        <family val="2"/>
      </rPr>
      <t>)</t>
    </r>
  </si>
  <si>
    <r>
      <t xml:space="preserve">      e.</t>
    </r>
    <r>
      <rPr>
        <sz val="11"/>
        <color indexed="8"/>
        <rFont val="굴림"/>
        <family val="3"/>
        <charset val="129"/>
      </rPr>
      <t>보차도경계석</t>
    </r>
    <r>
      <rPr>
        <sz val="11"/>
        <color indexed="8"/>
        <rFont val="Arial Narrow"/>
        <family val="2"/>
      </rPr>
      <t>-</t>
    </r>
    <r>
      <rPr>
        <sz val="11"/>
        <color indexed="8"/>
        <rFont val="굴림"/>
        <family val="3"/>
        <charset val="129"/>
      </rPr>
      <t>경사석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직선</t>
    </r>
    <r>
      <rPr>
        <sz val="11"/>
        <color indexed="8"/>
        <rFont val="Arial Narrow"/>
        <family val="2"/>
      </rPr>
      <t>)</t>
    </r>
  </si>
  <si>
    <r>
      <rPr>
        <sz val="11"/>
        <color indexed="8"/>
        <rFont val="굴림"/>
        <family val="3"/>
        <charset val="129"/>
      </rPr>
      <t>화강석</t>
    </r>
    <r>
      <rPr>
        <sz val="11"/>
        <color indexed="8"/>
        <rFont val="Arial Narrow"/>
        <family val="2"/>
      </rPr>
      <t>, 180*200~100*1,000</t>
    </r>
  </si>
  <si>
    <r>
      <t xml:space="preserve">      f.</t>
    </r>
    <r>
      <rPr>
        <sz val="11"/>
        <color indexed="8"/>
        <rFont val="굴림"/>
        <family val="3"/>
        <charset val="129"/>
      </rPr>
      <t>보차도경계석</t>
    </r>
    <r>
      <rPr>
        <sz val="11"/>
        <color indexed="8"/>
        <rFont val="Arial Narrow"/>
        <family val="2"/>
      </rPr>
      <t>-</t>
    </r>
    <r>
      <rPr>
        <sz val="11"/>
        <color indexed="8"/>
        <rFont val="굴림"/>
        <family val="3"/>
        <charset val="129"/>
      </rPr>
      <t>경사석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곡선</t>
    </r>
    <r>
      <rPr>
        <sz val="11"/>
        <color indexed="8"/>
        <rFont val="Arial Narrow"/>
        <family val="2"/>
      </rPr>
      <t>)</t>
    </r>
  </si>
  <si>
    <r>
      <t xml:space="preserve">      g.</t>
    </r>
    <r>
      <rPr>
        <sz val="11"/>
        <color indexed="8"/>
        <rFont val="굴림"/>
        <family val="3"/>
        <charset val="129"/>
      </rPr>
      <t>보차도경계석</t>
    </r>
    <r>
      <rPr>
        <sz val="11"/>
        <color indexed="8"/>
        <rFont val="Arial Narrow"/>
        <family val="2"/>
      </rPr>
      <t>-</t>
    </r>
    <r>
      <rPr>
        <sz val="11"/>
        <color indexed="8"/>
        <rFont val="굴림"/>
        <family val="3"/>
        <charset val="129"/>
      </rPr>
      <t>경사석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직선</t>
    </r>
    <r>
      <rPr>
        <sz val="11"/>
        <color indexed="8"/>
        <rFont val="Arial Narrow"/>
        <family val="2"/>
      </rPr>
      <t>)</t>
    </r>
  </si>
  <si>
    <r>
      <rPr>
        <sz val="11"/>
        <color indexed="8"/>
        <rFont val="굴림"/>
        <family val="3"/>
        <charset val="129"/>
      </rPr>
      <t>화강석</t>
    </r>
    <r>
      <rPr>
        <sz val="11"/>
        <color indexed="8"/>
        <rFont val="Arial Narrow"/>
        <family val="2"/>
      </rPr>
      <t>, 200*250~100*1,000</t>
    </r>
  </si>
  <si>
    <r>
      <t xml:space="preserve">      h.</t>
    </r>
    <r>
      <rPr>
        <sz val="11"/>
        <color indexed="8"/>
        <rFont val="굴림"/>
        <family val="3"/>
        <charset val="129"/>
      </rPr>
      <t>보차도경계석</t>
    </r>
    <r>
      <rPr>
        <sz val="11"/>
        <color indexed="8"/>
        <rFont val="Arial Narrow"/>
        <family val="2"/>
      </rPr>
      <t>-</t>
    </r>
    <r>
      <rPr>
        <sz val="11"/>
        <color indexed="8"/>
        <rFont val="굴림"/>
        <family val="3"/>
        <charset val="129"/>
      </rPr>
      <t>경사석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곡선</t>
    </r>
    <r>
      <rPr>
        <sz val="11"/>
        <color indexed="8"/>
        <rFont val="Arial Narrow"/>
        <family val="2"/>
      </rPr>
      <t>)</t>
    </r>
  </si>
  <si>
    <r>
      <t xml:space="preserve">      i.</t>
    </r>
    <r>
      <rPr>
        <sz val="11"/>
        <color indexed="8"/>
        <rFont val="굴림"/>
        <family val="3"/>
        <charset val="129"/>
      </rPr>
      <t>보차도경계석</t>
    </r>
    <r>
      <rPr>
        <sz val="11"/>
        <color indexed="8"/>
        <rFont val="Arial Narrow"/>
        <family val="2"/>
      </rPr>
      <t>-</t>
    </r>
    <r>
      <rPr>
        <sz val="11"/>
        <color indexed="8"/>
        <rFont val="굴림"/>
        <family val="3"/>
        <charset val="129"/>
      </rPr>
      <t>낮춤석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직선</t>
    </r>
    <r>
      <rPr>
        <sz val="11"/>
        <color indexed="8"/>
        <rFont val="Arial Narrow"/>
        <family val="2"/>
      </rPr>
      <t>)</t>
    </r>
  </si>
  <si>
    <r>
      <rPr>
        <sz val="11"/>
        <color indexed="8"/>
        <rFont val="굴림"/>
        <family val="3"/>
        <charset val="129"/>
      </rPr>
      <t>화강석</t>
    </r>
    <r>
      <rPr>
        <sz val="11"/>
        <color indexed="8"/>
        <rFont val="Arial Narrow"/>
        <family val="2"/>
      </rPr>
      <t>, 180*100*1,000</t>
    </r>
  </si>
  <si>
    <r>
      <t xml:space="preserve">      j.</t>
    </r>
    <r>
      <rPr>
        <sz val="11"/>
        <color indexed="8"/>
        <rFont val="굴림"/>
        <family val="3"/>
        <charset val="129"/>
      </rPr>
      <t>보차도경계석</t>
    </r>
    <r>
      <rPr>
        <sz val="11"/>
        <color indexed="8"/>
        <rFont val="Arial Narrow"/>
        <family val="2"/>
      </rPr>
      <t>-</t>
    </r>
    <r>
      <rPr>
        <sz val="11"/>
        <color indexed="8"/>
        <rFont val="굴림"/>
        <family val="3"/>
        <charset val="129"/>
      </rPr>
      <t>낮춤석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곡선</t>
    </r>
    <r>
      <rPr>
        <sz val="11"/>
        <color indexed="8"/>
        <rFont val="Arial Narrow"/>
        <family val="2"/>
      </rPr>
      <t>)</t>
    </r>
  </si>
  <si>
    <r>
      <t xml:space="preserve">      k.</t>
    </r>
    <r>
      <rPr>
        <sz val="11"/>
        <color indexed="8"/>
        <rFont val="굴림"/>
        <family val="3"/>
        <charset val="129"/>
      </rPr>
      <t>보차도경계석</t>
    </r>
    <r>
      <rPr>
        <sz val="11"/>
        <color indexed="8"/>
        <rFont val="Arial Narrow"/>
        <family val="2"/>
      </rPr>
      <t>-</t>
    </r>
    <r>
      <rPr>
        <sz val="11"/>
        <color indexed="8"/>
        <rFont val="굴림"/>
        <family val="3"/>
        <charset val="129"/>
      </rPr>
      <t>낮춤석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직선</t>
    </r>
    <r>
      <rPr>
        <sz val="11"/>
        <color indexed="8"/>
        <rFont val="Arial Narrow"/>
        <family val="2"/>
      </rPr>
      <t>)</t>
    </r>
  </si>
  <si>
    <r>
      <rPr>
        <sz val="11"/>
        <color indexed="8"/>
        <rFont val="굴림"/>
        <family val="3"/>
        <charset val="129"/>
      </rPr>
      <t>화강석</t>
    </r>
    <r>
      <rPr>
        <sz val="11"/>
        <color indexed="8"/>
        <rFont val="Arial Narrow"/>
        <family val="2"/>
      </rPr>
      <t>, 200*100*1,000</t>
    </r>
  </si>
  <si>
    <r>
      <t xml:space="preserve">      l.</t>
    </r>
    <r>
      <rPr>
        <sz val="11"/>
        <color indexed="8"/>
        <rFont val="굴림"/>
        <family val="3"/>
        <charset val="129"/>
      </rPr>
      <t>보차도경계석</t>
    </r>
    <r>
      <rPr>
        <sz val="11"/>
        <color indexed="8"/>
        <rFont val="Arial Narrow"/>
        <family val="2"/>
      </rPr>
      <t>-</t>
    </r>
    <r>
      <rPr>
        <sz val="11"/>
        <color indexed="8"/>
        <rFont val="굴림"/>
        <family val="3"/>
        <charset val="129"/>
      </rPr>
      <t>낮춤석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곡선</t>
    </r>
    <r>
      <rPr>
        <sz val="11"/>
        <color indexed="8"/>
        <rFont val="Arial Narrow"/>
        <family val="2"/>
      </rPr>
      <t>)</t>
    </r>
  </si>
  <si>
    <r>
      <t xml:space="preserve">      m.</t>
    </r>
    <r>
      <rPr>
        <sz val="11"/>
        <color indexed="8"/>
        <rFont val="굴림"/>
        <family val="3"/>
        <charset val="129"/>
      </rPr>
      <t>화강석블록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직선</t>
    </r>
    <r>
      <rPr>
        <sz val="11"/>
        <color indexed="8"/>
        <rFont val="Arial Narrow"/>
        <family val="2"/>
      </rPr>
      <t>)</t>
    </r>
  </si>
  <si>
    <t>150*150*1,000</t>
  </si>
  <si>
    <r>
      <t xml:space="preserve">      n.</t>
    </r>
    <r>
      <rPr>
        <sz val="11"/>
        <color indexed="8"/>
        <rFont val="굴림"/>
        <family val="3"/>
        <charset val="129"/>
      </rPr>
      <t>콘크리트블록</t>
    </r>
  </si>
  <si>
    <r>
      <t xml:space="preserve">     6).</t>
    </r>
    <r>
      <rPr>
        <sz val="11"/>
        <color indexed="8"/>
        <rFont val="굴림"/>
        <family val="3"/>
        <charset val="129"/>
      </rPr>
      <t>레미콘</t>
    </r>
  </si>
  <si>
    <r>
      <t xml:space="preserve">      b.</t>
    </r>
    <r>
      <rPr>
        <sz val="11"/>
        <color indexed="8"/>
        <rFont val="굴림"/>
        <family val="3"/>
        <charset val="129"/>
      </rPr>
      <t>레미콘</t>
    </r>
  </si>
  <si>
    <r>
      <t xml:space="preserve">     7).</t>
    </r>
    <r>
      <rPr>
        <sz val="11"/>
        <color indexed="8"/>
        <rFont val="굴림"/>
        <family val="3"/>
        <charset val="129"/>
      </rPr>
      <t>이형철근</t>
    </r>
  </si>
  <si>
    <r>
      <t xml:space="preserve">      a.</t>
    </r>
    <r>
      <rPr>
        <sz val="11"/>
        <color indexed="8"/>
        <rFont val="굴림"/>
        <family val="3"/>
        <charset val="129"/>
      </rPr>
      <t>이형철근</t>
    </r>
    <r>
      <rPr>
        <sz val="11"/>
        <color indexed="8"/>
        <rFont val="Arial Narrow"/>
        <family val="2"/>
      </rPr>
      <t>(SD300)</t>
    </r>
  </si>
  <si>
    <r>
      <t xml:space="preserve">      b.</t>
    </r>
    <r>
      <rPr>
        <sz val="11"/>
        <color indexed="8"/>
        <rFont val="굴림"/>
        <family val="3"/>
        <charset val="129"/>
      </rPr>
      <t>이형철근</t>
    </r>
    <r>
      <rPr>
        <sz val="11"/>
        <color indexed="8"/>
        <rFont val="Arial Narrow"/>
        <family val="2"/>
      </rPr>
      <t>(SD300)</t>
    </r>
  </si>
  <si>
    <t>D16mm</t>
  </si>
  <si>
    <r>
      <t>06.</t>
    </r>
    <r>
      <rPr>
        <sz val="11"/>
        <color indexed="8"/>
        <rFont val="굴림"/>
        <family val="3"/>
        <charset val="129"/>
      </rPr>
      <t>조경공</t>
    </r>
  </si>
  <si>
    <r>
      <t xml:space="preserve">    6.01.</t>
    </r>
    <r>
      <rPr>
        <sz val="11"/>
        <color indexed="8"/>
        <rFont val="굴림"/>
        <family val="3"/>
        <charset val="129"/>
      </rPr>
      <t>근린공원</t>
    </r>
  </si>
  <si>
    <r>
      <t xml:space="preserve">      </t>
    </r>
    <r>
      <rPr>
        <sz val="11"/>
        <color indexed="8"/>
        <rFont val="굴림"/>
        <family val="3"/>
        <charset val="129"/>
      </rPr>
      <t>흙쌓기</t>
    </r>
  </si>
  <si>
    <r>
      <t>B/H 0.7</t>
    </r>
    <r>
      <rPr>
        <sz val="11"/>
        <color indexed="8"/>
        <rFont val="굴림"/>
        <family val="3"/>
        <charset val="129"/>
      </rPr>
      <t>㎥</t>
    </r>
  </si>
  <si>
    <t>M3</t>
  </si>
  <si>
    <r>
      <t xml:space="preserve">      </t>
    </r>
    <r>
      <rPr>
        <sz val="11"/>
        <color indexed="8"/>
        <rFont val="굴림"/>
        <family val="3"/>
        <charset val="129"/>
      </rPr>
      <t>근린공원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녹지마운딩</t>
    </r>
  </si>
  <si>
    <r>
      <rPr>
        <sz val="11"/>
        <color indexed="8"/>
        <rFont val="굴림"/>
        <family val="3"/>
        <charset val="129"/>
      </rPr>
      <t>토사</t>
    </r>
    <r>
      <rPr>
        <sz val="11"/>
        <color indexed="8"/>
        <rFont val="Arial Narrow"/>
        <family val="2"/>
      </rPr>
      <t>, B/H0.2</t>
    </r>
  </si>
  <si>
    <r>
      <t xml:space="preserve">     b.</t>
    </r>
    <r>
      <rPr>
        <sz val="11"/>
        <color indexed="8"/>
        <rFont val="굴림"/>
        <family val="3"/>
        <charset val="129"/>
      </rPr>
      <t>우수공</t>
    </r>
  </si>
  <si>
    <r>
      <t xml:space="preserve">      b-1.</t>
    </r>
    <r>
      <rPr>
        <sz val="11"/>
        <color indexed="8"/>
        <rFont val="굴림"/>
        <family val="3"/>
        <charset val="129"/>
      </rPr>
      <t>집수정</t>
    </r>
  </si>
  <si>
    <r>
      <t xml:space="preserve">       </t>
    </r>
    <r>
      <rPr>
        <sz val="11"/>
        <color indexed="8"/>
        <rFont val="굴림"/>
        <family val="3"/>
        <charset val="129"/>
      </rPr>
      <t>집수정</t>
    </r>
    <r>
      <rPr>
        <sz val="11"/>
        <color indexed="8"/>
        <rFont val="Arial Narrow"/>
        <family val="2"/>
      </rPr>
      <t>A</t>
    </r>
  </si>
  <si>
    <t>1000×1000</t>
  </si>
  <si>
    <r>
      <t xml:space="preserve">       </t>
    </r>
    <r>
      <rPr>
        <sz val="11"/>
        <color indexed="8"/>
        <rFont val="굴림"/>
        <family val="3"/>
        <charset val="129"/>
      </rPr>
      <t>집수정</t>
    </r>
    <r>
      <rPr>
        <sz val="11"/>
        <color indexed="8"/>
        <rFont val="Arial Narrow"/>
        <family val="2"/>
      </rPr>
      <t>B</t>
    </r>
  </si>
  <si>
    <t>800×800</t>
  </si>
  <si>
    <r>
      <t xml:space="preserve">       </t>
    </r>
    <r>
      <rPr>
        <sz val="11"/>
        <color indexed="8"/>
        <rFont val="굴림"/>
        <family val="3"/>
        <charset val="129"/>
      </rPr>
      <t>집수정</t>
    </r>
    <r>
      <rPr>
        <sz val="11"/>
        <color indexed="8"/>
        <rFont val="Arial Narrow"/>
        <family val="2"/>
      </rPr>
      <t>C</t>
    </r>
  </si>
  <si>
    <t>500×500</t>
  </si>
  <si>
    <r>
      <t xml:space="preserve">       </t>
    </r>
    <r>
      <rPr>
        <sz val="11"/>
        <color indexed="8"/>
        <rFont val="굴림"/>
        <family val="3"/>
        <charset val="129"/>
      </rPr>
      <t>스틸그레이팅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틀포함</t>
    </r>
    <r>
      <rPr>
        <sz val="11"/>
        <color indexed="8"/>
        <rFont val="Arial Narrow"/>
        <family val="2"/>
      </rPr>
      <t>)</t>
    </r>
  </si>
  <si>
    <t>1,100×1,100×50</t>
  </si>
  <si>
    <t>900×900×50</t>
  </si>
  <si>
    <t>600×600×50</t>
  </si>
  <si>
    <r>
      <t xml:space="preserve">      b-2.PE</t>
    </r>
    <r>
      <rPr>
        <sz val="11"/>
        <color indexed="8"/>
        <rFont val="굴림"/>
        <family val="3"/>
        <charset val="129"/>
      </rPr>
      <t>개량우수받이</t>
    </r>
  </si>
  <si>
    <t>510×410×600</t>
  </si>
  <si>
    <r>
      <t xml:space="preserve">      b-3.</t>
    </r>
    <r>
      <rPr>
        <sz val="11"/>
        <color indexed="8"/>
        <rFont val="굴림"/>
        <family val="3"/>
        <charset val="129"/>
      </rPr>
      <t>빗물침투통</t>
    </r>
  </si>
  <si>
    <t>D450×800</t>
  </si>
  <si>
    <r>
      <t xml:space="preserve">      b-4.</t>
    </r>
    <r>
      <rPr>
        <sz val="11"/>
        <color indexed="8"/>
        <rFont val="굴림"/>
        <family val="3"/>
        <charset val="129"/>
      </rPr>
      <t>수로관</t>
    </r>
  </si>
  <si>
    <r>
      <t xml:space="preserve">       </t>
    </r>
    <r>
      <rPr>
        <sz val="11"/>
        <color indexed="8"/>
        <rFont val="굴림"/>
        <family val="3"/>
        <charset val="129"/>
      </rPr>
      <t>수로관</t>
    </r>
  </si>
  <si>
    <t>W300</t>
  </si>
  <si>
    <r>
      <t xml:space="preserve">       </t>
    </r>
    <r>
      <rPr>
        <sz val="11"/>
        <color indexed="8"/>
        <rFont val="굴림"/>
        <family val="3"/>
        <charset val="129"/>
      </rPr>
      <t>스틸그레이팅</t>
    </r>
  </si>
  <si>
    <t>400×1,000×50</t>
  </si>
  <si>
    <r>
      <t xml:space="preserve">      b-5.</t>
    </r>
    <r>
      <rPr>
        <sz val="11"/>
        <color indexed="8"/>
        <rFont val="굴림"/>
        <family val="3"/>
        <charset val="129"/>
      </rPr>
      <t>우수관로</t>
    </r>
  </si>
  <si>
    <r>
      <t xml:space="preserve">       </t>
    </r>
    <r>
      <rPr>
        <sz val="11"/>
        <color indexed="8"/>
        <rFont val="굴림"/>
        <family val="3"/>
        <charset val="129"/>
      </rPr>
      <t>이중벽</t>
    </r>
    <r>
      <rPr>
        <sz val="11"/>
        <color indexed="8"/>
        <rFont val="Arial Narrow"/>
        <family val="2"/>
      </rPr>
      <t>PE</t>
    </r>
    <r>
      <rPr>
        <sz val="11"/>
        <color indexed="8"/>
        <rFont val="굴림"/>
        <family val="3"/>
        <charset val="129"/>
      </rPr>
      <t>관</t>
    </r>
  </si>
  <si>
    <t>D600</t>
  </si>
  <si>
    <t>D400</t>
  </si>
  <si>
    <t>D250</t>
  </si>
  <si>
    <r>
      <t xml:space="preserve">       </t>
    </r>
    <r>
      <rPr>
        <sz val="11"/>
        <color indexed="8"/>
        <rFont val="굴림"/>
        <family val="3"/>
        <charset val="129"/>
      </rPr>
      <t>구멍뚫기</t>
    </r>
  </si>
  <si>
    <r>
      <t xml:space="preserve">     c.</t>
    </r>
    <r>
      <rPr>
        <sz val="11"/>
        <color indexed="8"/>
        <rFont val="굴림"/>
        <family val="3"/>
        <charset val="129"/>
      </rPr>
      <t>시설공</t>
    </r>
  </si>
  <si>
    <r>
      <t xml:space="preserve">      </t>
    </r>
    <r>
      <rPr>
        <sz val="11"/>
        <color indexed="8"/>
        <rFont val="굴림"/>
        <family val="3"/>
        <charset val="129"/>
      </rPr>
      <t>관리사무소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화장실</t>
    </r>
  </si>
  <si>
    <t>12,500×3,400×3,900</t>
  </si>
  <si>
    <r>
      <t xml:space="preserve">      </t>
    </r>
    <r>
      <rPr>
        <sz val="11"/>
        <color indexed="8"/>
        <rFont val="굴림"/>
        <family val="3"/>
        <charset val="129"/>
      </rPr>
      <t>파고라</t>
    </r>
  </si>
  <si>
    <t>4200×4200×H3765</t>
  </si>
  <si>
    <r>
      <t xml:space="preserve">      </t>
    </r>
    <r>
      <rPr>
        <sz val="11"/>
        <color indexed="8"/>
        <rFont val="굴림"/>
        <family val="3"/>
        <charset val="129"/>
      </rPr>
      <t>등의자</t>
    </r>
  </si>
  <si>
    <t>18000×650×H820</t>
  </si>
  <si>
    <r>
      <t xml:space="preserve">      </t>
    </r>
    <r>
      <rPr>
        <sz val="11"/>
        <color indexed="8"/>
        <rFont val="굴림"/>
        <family val="3"/>
        <charset val="129"/>
      </rPr>
      <t>파도타기</t>
    </r>
    <r>
      <rPr>
        <sz val="11"/>
        <color indexed="8"/>
        <rFont val="Arial Narrow"/>
        <family val="2"/>
      </rPr>
      <t>+</t>
    </r>
    <r>
      <rPr>
        <sz val="11"/>
        <color indexed="8"/>
        <rFont val="굴림"/>
        <family val="3"/>
        <charset val="129"/>
      </rPr>
      <t>다리펴기</t>
    </r>
  </si>
  <si>
    <r>
      <t xml:space="preserve">      </t>
    </r>
    <r>
      <rPr>
        <sz val="11"/>
        <color indexed="8"/>
        <rFont val="굴림"/>
        <family val="3"/>
        <charset val="129"/>
      </rPr>
      <t>허리돌리기</t>
    </r>
  </si>
  <si>
    <r>
      <t xml:space="preserve">      </t>
    </r>
    <r>
      <rPr>
        <sz val="11"/>
        <color indexed="8"/>
        <rFont val="굴림"/>
        <family val="3"/>
        <charset val="129"/>
      </rPr>
      <t>노젓기</t>
    </r>
  </si>
  <si>
    <r>
      <t xml:space="preserve">      </t>
    </r>
    <r>
      <rPr>
        <sz val="11"/>
        <color indexed="8"/>
        <rFont val="굴림"/>
        <family val="3"/>
        <charset val="129"/>
      </rPr>
      <t>공중걷기</t>
    </r>
    <r>
      <rPr>
        <sz val="11"/>
        <color indexed="8"/>
        <rFont val="Arial Narrow"/>
        <family val="2"/>
      </rPr>
      <t>+</t>
    </r>
    <r>
      <rPr>
        <sz val="11"/>
        <color indexed="8"/>
        <rFont val="굴림"/>
        <family val="3"/>
        <charset val="129"/>
      </rPr>
      <t>파도타기</t>
    </r>
  </si>
  <si>
    <r>
      <t xml:space="preserve">      </t>
    </r>
    <r>
      <rPr>
        <sz val="11"/>
        <color indexed="8"/>
        <rFont val="굴림"/>
        <family val="3"/>
        <charset val="129"/>
      </rPr>
      <t>허리지압기</t>
    </r>
    <r>
      <rPr>
        <sz val="11"/>
        <color indexed="8"/>
        <rFont val="Arial Narrow"/>
        <family val="2"/>
      </rPr>
      <t>+</t>
    </r>
    <r>
      <rPr>
        <sz val="11"/>
        <color indexed="8"/>
        <rFont val="굴림"/>
        <family val="3"/>
        <charset val="129"/>
      </rPr>
      <t>큰활차돌리기</t>
    </r>
  </si>
  <si>
    <r>
      <t xml:space="preserve">      </t>
    </r>
    <r>
      <rPr>
        <sz val="11"/>
        <color indexed="8"/>
        <rFont val="굴림"/>
        <family val="3"/>
        <charset val="129"/>
      </rPr>
      <t>수목표찰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걸이형</t>
    </r>
    <r>
      <rPr>
        <sz val="11"/>
        <color indexed="8"/>
        <rFont val="Arial Narrow"/>
        <family val="2"/>
      </rPr>
      <t>)</t>
    </r>
  </si>
  <si>
    <t>150x110</t>
  </si>
  <si>
    <r>
      <t xml:space="preserve">      </t>
    </r>
    <r>
      <rPr>
        <sz val="11"/>
        <color indexed="8"/>
        <rFont val="굴림"/>
        <family val="3"/>
        <charset val="129"/>
      </rPr>
      <t>수목표찰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지지대형</t>
    </r>
    <r>
      <rPr>
        <sz val="11"/>
        <color indexed="8"/>
        <rFont val="Arial Narrow"/>
        <family val="2"/>
      </rPr>
      <t>)</t>
    </r>
  </si>
  <si>
    <t>150x110xH700</t>
  </si>
  <si>
    <r>
      <t xml:space="preserve">      </t>
    </r>
    <r>
      <rPr>
        <sz val="11"/>
        <color indexed="8"/>
        <rFont val="굴림"/>
        <family val="3"/>
        <charset val="129"/>
      </rPr>
      <t>종합안내판</t>
    </r>
  </si>
  <si>
    <t>1,350*100*2,200</t>
  </si>
  <si>
    <r>
      <t xml:space="preserve">      </t>
    </r>
    <r>
      <rPr>
        <sz val="11"/>
        <color indexed="8"/>
        <rFont val="굴림"/>
        <family val="3"/>
        <charset val="129"/>
      </rPr>
      <t>방향안내판</t>
    </r>
  </si>
  <si>
    <t>1,000*104.5*2,000</t>
  </si>
  <si>
    <r>
      <t xml:space="preserve">      </t>
    </r>
    <r>
      <rPr>
        <sz val="11"/>
        <color indexed="8"/>
        <rFont val="굴림"/>
        <family val="3"/>
        <charset val="129"/>
      </rPr>
      <t>자전거거치대</t>
    </r>
  </si>
  <si>
    <t>4,000*2,000*2,100</t>
  </si>
  <si>
    <r>
      <t xml:space="preserve">      </t>
    </r>
    <r>
      <rPr>
        <sz val="11"/>
        <color indexed="8"/>
        <rFont val="굴림"/>
        <family val="3"/>
        <charset val="129"/>
      </rPr>
      <t>경관석놓기</t>
    </r>
  </si>
  <si>
    <r>
      <t xml:space="preserve">     d.</t>
    </r>
    <r>
      <rPr>
        <sz val="11"/>
        <color indexed="8"/>
        <rFont val="굴림"/>
        <family val="3"/>
        <charset val="129"/>
      </rPr>
      <t>포장공</t>
    </r>
  </si>
  <si>
    <r>
      <t xml:space="preserve">      </t>
    </r>
    <r>
      <rPr>
        <sz val="11"/>
        <color indexed="8"/>
        <rFont val="굴림"/>
        <family val="3"/>
        <charset val="129"/>
      </rPr>
      <t>인조화강석블록포장</t>
    </r>
    <r>
      <rPr>
        <sz val="11"/>
        <color indexed="8"/>
        <rFont val="Arial Narrow"/>
        <family val="2"/>
      </rPr>
      <t>A</t>
    </r>
  </si>
  <si>
    <r>
      <t xml:space="preserve">T80, </t>
    </r>
    <r>
      <rPr>
        <sz val="11"/>
        <color indexed="8"/>
        <rFont val="굴림"/>
        <family val="3"/>
        <charset val="129"/>
      </rPr>
      <t>투수</t>
    </r>
  </si>
  <si>
    <t>M2</t>
  </si>
  <si>
    <r>
      <t xml:space="preserve">      </t>
    </r>
    <r>
      <rPr>
        <sz val="11"/>
        <color indexed="8"/>
        <rFont val="굴림"/>
        <family val="3"/>
        <charset val="129"/>
      </rPr>
      <t>인조화강석블록포장</t>
    </r>
    <r>
      <rPr>
        <sz val="11"/>
        <color indexed="8"/>
        <rFont val="Arial Narrow"/>
        <family val="2"/>
      </rPr>
      <t>B</t>
    </r>
  </si>
  <si>
    <r>
      <t xml:space="preserve">T60, </t>
    </r>
    <r>
      <rPr>
        <sz val="11"/>
        <color indexed="8"/>
        <rFont val="굴림"/>
        <family val="3"/>
        <charset val="129"/>
      </rPr>
      <t>투수</t>
    </r>
  </si>
  <si>
    <r>
      <t xml:space="preserve">      </t>
    </r>
    <r>
      <rPr>
        <sz val="11"/>
        <color indexed="8"/>
        <rFont val="굴림"/>
        <family val="3"/>
        <charset val="129"/>
      </rPr>
      <t>인조사암블록포장</t>
    </r>
    <r>
      <rPr>
        <sz val="11"/>
        <color indexed="8"/>
        <rFont val="Arial Narrow"/>
        <family val="2"/>
      </rPr>
      <t>A</t>
    </r>
  </si>
  <si>
    <r>
      <t xml:space="preserve">T80, </t>
    </r>
    <r>
      <rPr>
        <sz val="11"/>
        <color indexed="8"/>
        <rFont val="굴림"/>
        <family val="3"/>
        <charset val="129"/>
      </rPr>
      <t>베이지</t>
    </r>
  </si>
  <si>
    <r>
      <t xml:space="preserve">      </t>
    </r>
    <r>
      <rPr>
        <sz val="11"/>
        <color indexed="8"/>
        <rFont val="굴림"/>
        <family val="3"/>
        <charset val="129"/>
      </rPr>
      <t>인조사암블록포장</t>
    </r>
    <r>
      <rPr>
        <sz val="11"/>
        <color indexed="8"/>
        <rFont val="Arial Narrow"/>
        <family val="2"/>
      </rPr>
      <t>B</t>
    </r>
  </si>
  <si>
    <r>
      <t xml:space="preserve">T80, </t>
    </r>
    <r>
      <rPr>
        <sz val="11"/>
        <color indexed="8"/>
        <rFont val="굴림"/>
        <family val="3"/>
        <charset val="129"/>
      </rPr>
      <t>다크브라운</t>
    </r>
  </si>
  <si>
    <r>
      <t xml:space="preserve">      </t>
    </r>
    <r>
      <rPr>
        <sz val="11"/>
        <color indexed="8"/>
        <rFont val="굴림"/>
        <family val="3"/>
        <charset val="129"/>
      </rPr>
      <t>녹지경계석</t>
    </r>
  </si>
  <si>
    <r>
      <t xml:space="preserve">       </t>
    </r>
    <r>
      <rPr>
        <sz val="11"/>
        <color indexed="8"/>
        <rFont val="굴림"/>
        <family val="3"/>
        <charset val="129"/>
      </rPr>
      <t>화강석블록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직선</t>
    </r>
    <r>
      <rPr>
        <sz val="11"/>
        <color indexed="8"/>
        <rFont val="Arial Narrow"/>
        <family val="2"/>
      </rPr>
      <t>)</t>
    </r>
  </si>
  <si>
    <r>
      <t xml:space="preserve">       </t>
    </r>
    <r>
      <rPr>
        <sz val="11"/>
        <color indexed="8"/>
        <rFont val="굴림"/>
        <family val="3"/>
        <charset val="129"/>
      </rPr>
      <t>화강석블록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곡선</t>
    </r>
    <r>
      <rPr>
        <sz val="11"/>
        <color indexed="8"/>
        <rFont val="Arial Narrow"/>
        <family val="2"/>
      </rPr>
      <t>)</t>
    </r>
  </si>
  <si>
    <r>
      <t xml:space="preserve">     e.</t>
    </r>
    <r>
      <rPr>
        <sz val="11"/>
        <color indexed="8"/>
        <rFont val="굴림"/>
        <family val="3"/>
        <charset val="129"/>
      </rPr>
      <t>식재공</t>
    </r>
  </si>
  <si>
    <r>
      <t xml:space="preserve">      e-1.</t>
    </r>
    <r>
      <rPr>
        <sz val="11"/>
        <color indexed="8"/>
        <rFont val="굴림"/>
        <family val="3"/>
        <charset val="129"/>
      </rPr>
      <t>상록교목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이식</t>
    </r>
    <r>
      <rPr>
        <sz val="11"/>
        <color indexed="8"/>
        <rFont val="Arial Narrow"/>
        <family val="2"/>
      </rPr>
      <t>)</t>
    </r>
  </si>
  <si>
    <r>
      <t xml:space="preserve">       </t>
    </r>
    <r>
      <rPr>
        <sz val="11"/>
        <color indexed="8"/>
        <rFont val="굴림"/>
        <family val="3"/>
        <charset val="129"/>
      </rPr>
      <t>소나무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이식</t>
    </r>
    <r>
      <rPr>
        <sz val="11"/>
        <color indexed="8"/>
        <rFont val="Arial Narrow"/>
        <family val="2"/>
      </rPr>
      <t>)</t>
    </r>
  </si>
  <si>
    <t>R6~41</t>
  </si>
  <si>
    <r>
      <rPr>
        <sz val="11"/>
        <color indexed="8"/>
        <rFont val="굴림"/>
        <family val="3"/>
        <charset val="129"/>
      </rPr>
      <t>주</t>
    </r>
  </si>
  <si>
    <r>
      <t xml:space="preserve">      e-2.</t>
    </r>
    <r>
      <rPr>
        <sz val="11"/>
        <color indexed="8"/>
        <rFont val="굴림"/>
        <family val="3"/>
        <charset val="129"/>
      </rPr>
      <t>낙엽교교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이식</t>
    </r>
    <r>
      <rPr>
        <sz val="11"/>
        <color indexed="8"/>
        <rFont val="Arial Narrow"/>
        <family val="2"/>
      </rPr>
      <t>)</t>
    </r>
  </si>
  <si>
    <r>
      <t xml:space="preserve">       </t>
    </r>
    <r>
      <rPr>
        <sz val="11"/>
        <color indexed="8"/>
        <rFont val="굴림"/>
        <family val="3"/>
        <charset val="129"/>
      </rPr>
      <t>상수리나무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이식</t>
    </r>
    <r>
      <rPr>
        <sz val="11"/>
        <color indexed="8"/>
        <rFont val="Arial Narrow"/>
        <family val="2"/>
      </rPr>
      <t>)</t>
    </r>
  </si>
  <si>
    <t>R7~35</t>
  </si>
  <si>
    <r>
      <t xml:space="preserve">       </t>
    </r>
    <r>
      <rPr>
        <sz val="11"/>
        <color indexed="8"/>
        <rFont val="굴림"/>
        <family val="3"/>
        <charset val="129"/>
      </rPr>
      <t>신갈나무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이식</t>
    </r>
    <r>
      <rPr>
        <sz val="11"/>
        <color indexed="8"/>
        <rFont val="Arial Narrow"/>
        <family val="2"/>
      </rPr>
      <t>)</t>
    </r>
  </si>
  <si>
    <t>R7~38</t>
  </si>
  <si>
    <r>
      <t xml:space="preserve">       </t>
    </r>
    <r>
      <rPr>
        <sz val="11"/>
        <color indexed="8"/>
        <rFont val="굴림"/>
        <family val="3"/>
        <charset val="129"/>
      </rPr>
      <t>버드나무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이식</t>
    </r>
    <r>
      <rPr>
        <sz val="11"/>
        <color indexed="8"/>
        <rFont val="Arial Narrow"/>
        <family val="2"/>
      </rPr>
      <t>)</t>
    </r>
  </si>
  <si>
    <t>R7~20</t>
  </si>
  <si>
    <r>
      <t xml:space="preserve">       </t>
    </r>
    <r>
      <rPr>
        <sz val="11"/>
        <color indexed="8"/>
        <rFont val="굴림"/>
        <family val="3"/>
        <charset val="129"/>
      </rPr>
      <t>굴참나무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이식</t>
    </r>
    <r>
      <rPr>
        <sz val="11"/>
        <color indexed="8"/>
        <rFont val="Arial Narrow"/>
        <family val="2"/>
      </rPr>
      <t>)</t>
    </r>
  </si>
  <si>
    <t>R11~25</t>
  </si>
  <si>
    <r>
      <t xml:space="preserve">      e-3.</t>
    </r>
    <r>
      <rPr>
        <sz val="11"/>
        <color indexed="8"/>
        <rFont val="굴림"/>
        <family val="3"/>
        <charset val="129"/>
      </rPr>
      <t>상록교목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식재</t>
    </r>
    <r>
      <rPr>
        <sz val="11"/>
        <color indexed="8"/>
        <rFont val="Arial Narrow"/>
        <family val="2"/>
      </rPr>
      <t>)</t>
    </r>
  </si>
  <si>
    <r>
      <t xml:space="preserve">       </t>
    </r>
    <r>
      <rPr>
        <sz val="11"/>
        <color indexed="8"/>
        <rFont val="굴림"/>
        <family val="3"/>
        <charset val="129"/>
      </rPr>
      <t>소나무식재</t>
    </r>
  </si>
  <si>
    <t>H6.0*W3.0*R30</t>
  </si>
  <si>
    <r>
      <t xml:space="preserve">       </t>
    </r>
    <r>
      <rPr>
        <sz val="11"/>
        <color indexed="8"/>
        <rFont val="굴림"/>
        <family val="3"/>
        <charset val="129"/>
      </rPr>
      <t>선주목식재</t>
    </r>
  </si>
  <si>
    <t>H2.0 * W1.0</t>
  </si>
  <si>
    <r>
      <t xml:space="preserve">       </t>
    </r>
    <r>
      <rPr>
        <sz val="11"/>
        <color indexed="8"/>
        <rFont val="굴림"/>
        <family val="3"/>
        <charset val="129"/>
      </rPr>
      <t>잣나무식재</t>
    </r>
  </si>
  <si>
    <t>H3.0 * W1.5</t>
  </si>
  <si>
    <r>
      <t xml:space="preserve">      e-4.</t>
    </r>
    <r>
      <rPr>
        <sz val="11"/>
        <color indexed="8"/>
        <rFont val="굴림"/>
        <family val="3"/>
        <charset val="129"/>
      </rPr>
      <t>낙엽교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식재</t>
    </r>
    <r>
      <rPr>
        <sz val="11"/>
        <color indexed="8"/>
        <rFont val="Arial Narrow"/>
        <family val="2"/>
      </rPr>
      <t>)</t>
    </r>
  </si>
  <si>
    <r>
      <t xml:space="preserve">       </t>
    </r>
    <r>
      <rPr>
        <sz val="11"/>
        <color indexed="8"/>
        <rFont val="굴림"/>
        <family val="3"/>
        <charset val="129"/>
      </rPr>
      <t>겹벚나무식재</t>
    </r>
  </si>
  <si>
    <t>H3.0xR10</t>
  </si>
  <si>
    <r>
      <t xml:space="preserve">       </t>
    </r>
    <r>
      <rPr>
        <sz val="11"/>
        <color indexed="8"/>
        <rFont val="굴림"/>
        <family val="3"/>
        <charset val="129"/>
      </rPr>
      <t>계수나무식재</t>
    </r>
  </si>
  <si>
    <r>
      <t xml:space="preserve">       </t>
    </r>
    <r>
      <rPr>
        <sz val="11"/>
        <color indexed="8"/>
        <rFont val="굴림"/>
        <family val="3"/>
        <charset val="129"/>
      </rPr>
      <t>꽃복숭아식재</t>
    </r>
  </si>
  <si>
    <t>H3.5 * R10</t>
  </si>
  <si>
    <r>
      <t xml:space="preserve">       </t>
    </r>
    <r>
      <rPr>
        <sz val="11"/>
        <color indexed="8"/>
        <rFont val="굴림"/>
        <family val="3"/>
        <charset val="129"/>
      </rPr>
      <t>느티나무식재</t>
    </r>
  </si>
  <si>
    <t>H4.5 * R20</t>
  </si>
  <si>
    <r>
      <t xml:space="preserve">       </t>
    </r>
    <r>
      <rPr>
        <sz val="11"/>
        <color indexed="8"/>
        <rFont val="굴림"/>
        <family val="3"/>
        <charset val="129"/>
      </rPr>
      <t>대왕참나무식재</t>
    </r>
  </si>
  <si>
    <t>H4.0xR15</t>
  </si>
  <si>
    <r>
      <t xml:space="preserve">       </t>
    </r>
    <r>
      <rPr>
        <sz val="11"/>
        <color indexed="8"/>
        <rFont val="굴림"/>
        <family val="3"/>
        <charset val="129"/>
      </rPr>
      <t>마가목식재</t>
    </r>
  </si>
  <si>
    <t>H3.0xR8</t>
  </si>
  <si>
    <r>
      <t xml:space="preserve">       </t>
    </r>
    <r>
      <rPr>
        <sz val="11"/>
        <color indexed="8"/>
        <rFont val="굴림"/>
        <family val="3"/>
        <charset val="129"/>
      </rPr>
      <t>모감주나무식재</t>
    </r>
  </si>
  <si>
    <t>H4.0 * R12</t>
  </si>
  <si>
    <r>
      <t xml:space="preserve">       </t>
    </r>
    <r>
      <rPr>
        <sz val="11"/>
        <color indexed="8"/>
        <rFont val="굴림"/>
        <family val="3"/>
        <charset val="129"/>
      </rPr>
      <t>목배합식재</t>
    </r>
  </si>
  <si>
    <t>H4.5xR12</t>
  </si>
  <si>
    <r>
      <t xml:space="preserve">       </t>
    </r>
    <r>
      <rPr>
        <sz val="11"/>
        <color indexed="8"/>
        <rFont val="굴림"/>
        <family val="3"/>
        <charset val="129"/>
      </rPr>
      <t>복자기나무식재</t>
    </r>
  </si>
  <si>
    <t>H3.0xR12</t>
  </si>
  <si>
    <r>
      <t xml:space="preserve">       </t>
    </r>
    <r>
      <rPr>
        <sz val="11"/>
        <color indexed="8"/>
        <rFont val="굴림"/>
        <family val="3"/>
        <charset val="129"/>
      </rPr>
      <t>산사나무식재</t>
    </r>
  </si>
  <si>
    <t>H3.5 * R12</t>
  </si>
  <si>
    <r>
      <t xml:space="preserve">       </t>
    </r>
    <r>
      <rPr>
        <sz val="11"/>
        <color indexed="8"/>
        <rFont val="굴림"/>
        <family val="3"/>
        <charset val="129"/>
      </rPr>
      <t>산수유식재</t>
    </r>
  </si>
  <si>
    <r>
      <t xml:space="preserve">       </t>
    </r>
    <r>
      <rPr>
        <sz val="11"/>
        <color indexed="8"/>
        <rFont val="굴림"/>
        <family val="3"/>
        <charset val="129"/>
      </rPr>
      <t>왕벚나무식재</t>
    </r>
  </si>
  <si>
    <t>H3.0xB6</t>
  </si>
  <si>
    <r>
      <t xml:space="preserve">       </t>
    </r>
    <r>
      <rPr>
        <sz val="11"/>
        <color indexed="8"/>
        <rFont val="굴림"/>
        <family val="3"/>
        <charset val="129"/>
      </rPr>
      <t>이팝나무식재</t>
    </r>
  </si>
  <si>
    <t>H3.5xR12</t>
  </si>
  <si>
    <r>
      <t xml:space="preserve">       </t>
    </r>
    <r>
      <rPr>
        <sz val="11"/>
        <color indexed="8"/>
        <rFont val="굴림"/>
        <family val="3"/>
        <charset val="129"/>
      </rPr>
      <t>자작나무식재</t>
    </r>
  </si>
  <si>
    <t>H4.0 * B10</t>
  </si>
  <si>
    <r>
      <t xml:space="preserve">       </t>
    </r>
    <r>
      <rPr>
        <sz val="11"/>
        <color indexed="8"/>
        <rFont val="굴림"/>
        <family val="3"/>
        <charset val="129"/>
      </rPr>
      <t>청단풍식재</t>
    </r>
  </si>
  <si>
    <r>
      <t xml:space="preserve">      e-5.</t>
    </r>
    <r>
      <rPr>
        <sz val="11"/>
        <color indexed="8"/>
        <rFont val="굴림"/>
        <family val="3"/>
        <charset val="129"/>
      </rPr>
      <t>상록관목</t>
    </r>
  </si>
  <si>
    <r>
      <t xml:space="preserve">       </t>
    </r>
    <r>
      <rPr>
        <sz val="11"/>
        <color indexed="8"/>
        <rFont val="굴림"/>
        <family val="3"/>
        <charset val="129"/>
      </rPr>
      <t>눈주목식재</t>
    </r>
  </si>
  <si>
    <t>H0.3 * W0.3</t>
  </si>
  <si>
    <r>
      <t xml:space="preserve">       </t>
    </r>
    <r>
      <rPr>
        <sz val="11"/>
        <color indexed="8"/>
        <rFont val="굴림"/>
        <family val="3"/>
        <charset val="129"/>
      </rPr>
      <t>황금사철나무식재</t>
    </r>
  </si>
  <si>
    <t>H1.0 * W0.3</t>
  </si>
  <si>
    <r>
      <t xml:space="preserve">       </t>
    </r>
    <r>
      <rPr>
        <sz val="11"/>
        <color indexed="8"/>
        <rFont val="굴림"/>
        <family val="3"/>
        <charset val="129"/>
      </rPr>
      <t>피라칸사스식재</t>
    </r>
  </si>
  <si>
    <r>
      <t xml:space="preserve">      e-6.</t>
    </r>
    <r>
      <rPr>
        <sz val="11"/>
        <color indexed="8"/>
        <rFont val="굴림"/>
        <family val="3"/>
        <charset val="129"/>
      </rPr>
      <t>낙엽관목</t>
    </r>
  </si>
  <si>
    <r>
      <t xml:space="preserve">       </t>
    </r>
    <r>
      <rPr>
        <sz val="11"/>
        <color indexed="8"/>
        <rFont val="굴림"/>
        <family val="3"/>
        <charset val="129"/>
      </rPr>
      <t>백철쭉식재</t>
    </r>
  </si>
  <si>
    <r>
      <t xml:space="preserve">       </t>
    </r>
    <r>
      <rPr>
        <sz val="11"/>
        <color indexed="8"/>
        <rFont val="굴림"/>
        <family val="3"/>
        <charset val="129"/>
      </rPr>
      <t>산철쭉식재</t>
    </r>
  </si>
  <si>
    <r>
      <t xml:space="preserve">       </t>
    </r>
    <r>
      <rPr>
        <sz val="11"/>
        <color indexed="8"/>
        <rFont val="굴림"/>
        <family val="3"/>
        <charset val="129"/>
      </rPr>
      <t>수수꽃다리식재</t>
    </r>
  </si>
  <si>
    <t>H1.0 * W0.2</t>
  </si>
  <si>
    <r>
      <t xml:space="preserve">       </t>
    </r>
    <r>
      <rPr>
        <sz val="11"/>
        <color indexed="8"/>
        <rFont val="굴림"/>
        <family val="3"/>
        <charset val="129"/>
      </rPr>
      <t>앵도나무식재</t>
    </r>
  </si>
  <si>
    <t>H1.5 * W0.8</t>
  </si>
  <si>
    <r>
      <t xml:space="preserve">       </t>
    </r>
    <r>
      <rPr>
        <sz val="11"/>
        <color indexed="8"/>
        <rFont val="굴림"/>
        <family val="3"/>
        <charset val="129"/>
      </rPr>
      <t>영산홍식재</t>
    </r>
  </si>
  <si>
    <r>
      <t xml:space="preserve">       </t>
    </r>
    <r>
      <rPr>
        <sz val="11"/>
        <color indexed="8"/>
        <rFont val="굴림"/>
        <family val="3"/>
        <charset val="129"/>
      </rPr>
      <t>자산홍식재</t>
    </r>
  </si>
  <si>
    <r>
      <t xml:space="preserve">       </t>
    </r>
    <r>
      <rPr>
        <sz val="11"/>
        <color indexed="8"/>
        <rFont val="굴림"/>
        <family val="3"/>
        <charset val="129"/>
      </rPr>
      <t>진달래식재</t>
    </r>
  </si>
  <si>
    <t>H0.4 * W0.3</t>
  </si>
  <si>
    <r>
      <t xml:space="preserve">       </t>
    </r>
    <r>
      <rPr>
        <sz val="11"/>
        <color indexed="8"/>
        <rFont val="굴림"/>
        <family val="3"/>
        <charset val="129"/>
      </rPr>
      <t>흰말채나무식재</t>
    </r>
  </si>
  <si>
    <t>H1.0 * W0.4</t>
  </si>
  <si>
    <r>
      <t xml:space="preserve">      e-7.</t>
    </r>
    <r>
      <rPr>
        <sz val="11"/>
        <color indexed="8"/>
        <rFont val="굴림"/>
        <family val="3"/>
        <charset val="129"/>
      </rPr>
      <t>잔디</t>
    </r>
  </si>
  <si>
    <r>
      <t xml:space="preserve">       </t>
    </r>
    <r>
      <rPr>
        <sz val="11"/>
        <color indexed="8"/>
        <rFont val="굴림"/>
        <family val="3"/>
        <charset val="129"/>
      </rPr>
      <t>잔디붙임</t>
    </r>
  </si>
  <si>
    <r>
      <rPr>
        <sz val="11"/>
        <color indexed="8"/>
        <rFont val="굴림"/>
        <family val="3"/>
        <charset val="129"/>
      </rPr>
      <t>평떼</t>
    </r>
  </si>
  <si>
    <r>
      <t xml:space="preserve">      e-8.</t>
    </r>
    <r>
      <rPr>
        <sz val="11"/>
        <color indexed="8"/>
        <rFont val="굴림"/>
        <family val="3"/>
        <charset val="129"/>
      </rPr>
      <t>수목생육관</t>
    </r>
  </si>
  <si>
    <r>
      <t xml:space="preserve">       </t>
    </r>
    <r>
      <rPr>
        <sz val="11"/>
        <color indexed="8"/>
        <rFont val="굴림"/>
        <family val="3"/>
        <charset val="129"/>
      </rPr>
      <t>수목생육관</t>
    </r>
  </si>
  <si>
    <t>D120*650</t>
  </si>
  <si>
    <r>
      <t xml:space="preserve">    6.02.</t>
    </r>
    <r>
      <rPr>
        <sz val="11"/>
        <color indexed="8"/>
        <rFont val="굴림"/>
        <family val="3"/>
        <charset val="129"/>
      </rPr>
      <t>완충녹지</t>
    </r>
  </si>
  <si>
    <r>
      <t xml:space="preserve">     1.</t>
    </r>
    <r>
      <rPr>
        <sz val="11"/>
        <color indexed="8"/>
        <rFont val="굴림"/>
        <family val="3"/>
        <charset val="129"/>
      </rPr>
      <t>완충녹지</t>
    </r>
    <r>
      <rPr>
        <sz val="11"/>
        <color indexed="8"/>
        <rFont val="Arial Narrow"/>
        <family val="2"/>
      </rPr>
      <t xml:space="preserve"> 1</t>
    </r>
  </si>
  <si>
    <r>
      <t xml:space="preserve">      a.</t>
    </r>
    <r>
      <rPr>
        <sz val="11"/>
        <color indexed="8"/>
        <rFont val="굴림"/>
        <family val="3"/>
        <charset val="129"/>
      </rPr>
      <t>교목</t>
    </r>
  </si>
  <si>
    <r>
      <t xml:space="preserve">      b.</t>
    </r>
    <r>
      <rPr>
        <sz val="11"/>
        <color indexed="8"/>
        <rFont val="굴림"/>
        <family val="3"/>
        <charset val="129"/>
      </rPr>
      <t>잔디</t>
    </r>
  </si>
  <si>
    <r>
      <t xml:space="preserve">     2.</t>
    </r>
    <r>
      <rPr>
        <sz val="11"/>
        <color indexed="8"/>
        <rFont val="굴림"/>
        <family val="3"/>
        <charset val="129"/>
      </rPr>
      <t>완충녹지</t>
    </r>
    <r>
      <rPr>
        <sz val="11"/>
        <color indexed="8"/>
        <rFont val="Arial Narrow"/>
        <family val="2"/>
      </rPr>
      <t xml:space="preserve"> 2</t>
    </r>
  </si>
  <si>
    <r>
      <t xml:space="preserve">     3.</t>
    </r>
    <r>
      <rPr>
        <sz val="11"/>
        <color indexed="8"/>
        <rFont val="굴림"/>
        <family val="3"/>
        <charset val="129"/>
      </rPr>
      <t>완충녹지</t>
    </r>
    <r>
      <rPr>
        <sz val="11"/>
        <color indexed="8"/>
        <rFont val="Arial Narrow"/>
        <family val="2"/>
      </rPr>
      <t xml:space="preserve"> 3</t>
    </r>
  </si>
  <si>
    <r>
      <t xml:space="preserve">     4.</t>
    </r>
    <r>
      <rPr>
        <sz val="11"/>
        <color indexed="8"/>
        <rFont val="굴림"/>
        <family val="3"/>
        <charset val="129"/>
      </rPr>
      <t>완충녹지</t>
    </r>
    <r>
      <rPr>
        <sz val="11"/>
        <color indexed="8"/>
        <rFont val="Arial Narrow"/>
        <family val="2"/>
      </rPr>
      <t xml:space="preserve"> 4</t>
    </r>
  </si>
  <si>
    <r>
      <t xml:space="preserve">     5.</t>
    </r>
    <r>
      <rPr>
        <sz val="11"/>
        <color indexed="8"/>
        <rFont val="굴림"/>
        <family val="3"/>
        <charset val="129"/>
      </rPr>
      <t>완충녹지</t>
    </r>
    <r>
      <rPr>
        <sz val="11"/>
        <color indexed="8"/>
        <rFont val="Arial Narrow"/>
        <family val="2"/>
      </rPr>
      <t xml:space="preserve"> 5</t>
    </r>
  </si>
  <si>
    <r>
      <t xml:space="preserve">     6.</t>
    </r>
    <r>
      <rPr>
        <sz val="11"/>
        <color indexed="8"/>
        <rFont val="굴림"/>
        <family val="3"/>
        <charset val="129"/>
      </rPr>
      <t>완충녹지</t>
    </r>
    <r>
      <rPr>
        <sz val="11"/>
        <color indexed="8"/>
        <rFont val="Arial Narrow"/>
        <family val="2"/>
      </rPr>
      <t xml:space="preserve"> 6</t>
    </r>
  </si>
  <si>
    <r>
      <t xml:space="preserve">     7.</t>
    </r>
    <r>
      <rPr>
        <sz val="11"/>
        <color indexed="8"/>
        <rFont val="굴림"/>
        <family val="3"/>
        <charset val="129"/>
      </rPr>
      <t>완충녹지</t>
    </r>
    <r>
      <rPr>
        <sz val="11"/>
        <color indexed="8"/>
        <rFont val="Arial Narrow"/>
        <family val="2"/>
      </rPr>
      <t xml:space="preserve"> 7</t>
    </r>
  </si>
  <si>
    <r>
      <t xml:space="preserve">     8.</t>
    </r>
    <r>
      <rPr>
        <sz val="11"/>
        <color indexed="8"/>
        <rFont val="굴림"/>
        <family val="3"/>
        <charset val="129"/>
      </rPr>
      <t>완충녹지</t>
    </r>
    <r>
      <rPr>
        <sz val="11"/>
        <color indexed="8"/>
        <rFont val="Arial Narrow"/>
        <family val="2"/>
      </rPr>
      <t xml:space="preserve"> 8</t>
    </r>
  </si>
  <si>
    <r>
      <t xml:space="preserve">     9.</t>
    </r>
    <r>
      <rPr>
        <sz val="11"/>
        <color indexed="8"/>
        <rFont val="굴림"/>
        <family val="3"/>
        <charset val="129"/>
      </rPr>
      <t>완충녹지</t>
    </r>
    <r>
      <rPr>
        <sz val="11"/>
        <color indexed="8"/>
        <rFont val="Arial Narrow"/>
        <family val="2"/>
      </rPr>
      <t xml:space="preserve"> 9</t>
    </r>
  </si>
  <si>
    <r>
      <t xml:space="preserve">     10.</t>
    </r>
    <r>
      <rPr>
        <sz val="11"/>
        <color indexed="8"/>
        <rFont val="굴림"/>
        <family val="3"/>
        <charset val="129"/>
      </rPr>
      <t>완충녹지</t>
    </r>
    <r>
      <rPr>
        <sz val="11"/>
        <color indexed="8"/>
        <rFont val="Arial Narrow"/>
        <family val="2"/>
      </rPr>
      <t xml:space="preserve"> 10</t>
    </r>
  </si>
  <si>
    <r>
      <t xml:space="preserve">     11.</t>
    </r>
    <r>
      <rPr>
        <sz val="11"/>
        <color indexed="8"/>
        <rFont val="굴림"/>
        <family val="3"/>
        <charset val="129"/>
      </rPr>
      <t>완충녹지</t>
    </r>
    <r>
      <rPr>
        <sz val="11"/>
        <color indexed="8"/>
        <rFont val="Arial Narrow"/>
        <family val="2"/>
      </rPr>
      <t xml:space="preserve"> 11</t>
    </r>
  </si>
  <si>
    <r>
      <t xml:space="preserve">    6.03.</t>
    </r>
    <r>
      <rPr>
        <sz val="11"/>
        <color indexed="8"/>
        <rFont val="굴림"/>
        <family val="3"/>
        <charset val="129"/>
      </rPr>
      <t>가로수</t>
    </r>
  </si>
  <si>
    <r>
      <t xml:space="preserve">     a.</t>
    </r>
    <r>
      <rPr>
        <sz val="11"/>
        <color indexed="8"/>
        <rFont val="굴림"/>
        <family val="3"/>
        <charset val="129"/>
      </rPr>
      <t>이팝나무</t>
    </r>
  </si>
  <si>
    <r>
      <t xml:space="preserve">    6.04.</t>
    </r>
    <r>
      <rPr>
        <sz val="11"/>
        <color indexed="8"/>
        <rFont val="굴림"/>
        <family val="3"/>
        <charset val="129"/>
      </rPr>
      <t>가이식수목</t>
    </r>
  </si>
  <si>
    <r>
      <t xml:space="preserve">     a.</t>
    </r>
    <r>
      <rPr>
        <sz val="11"/>
        <color indexed="8"/>
        <rFont val="굴림"/>
        <family val="3"/>
        <charset val="129"/>
      </rPr>
      <t>현장→가식장</t>
    </r>
  </si>
  <si>
    <r>
      <t xml:space="preserve">      </t>
    </r>
    <r>
      <rPr>
        <sz val="11"/>
        <color indexed="8"/>
        <rFont val="굴림"/>
        <family val="3"/>
        <charset val="129"/>
      </rPr>
      <t>소나무이식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가식</t>
    </r>
    <r>
      <rPr>
        <sz val="11"/>
        <color indexed="8"/>
        <rFont val="Arial Narrow"/>
        <family val="2"/>
      </rPr>
      <t>)</t>
    </r>
  </si>
  <si>
    <r>
      <t xml:space="preserve">      </t>
    </r>
    <r>
      <rPr>
        <sz val="11"/>
        <color indexed="8"/>
        <rFont val="굴림"/>
        <family val="3"/>
        <charset val="129"/>
      </rPr>
      <t>상수리이식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가식</t>
    </r>
    <r>
      <rPr>
        <sz val="11"/>
        <color indexed="8"/>
        <rFont val="Arial Narrow"/>
        <family val="2"/>
      </rPr>
      <t>)</t>
    </r>
  </si>
  <si>
    <r>
      <t xml:space="preserve">      </t>
    </r>
    <r>
      <rPr>
        <sz val="11"/>
        <color indexed="8"/>
        <rFont val="굴림"/>
        <family val="3"/>
        <charset val="129"/>
      </rPr>
      <t>신갈나무이식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가식</t>
    </r>
    <r>
      <rPr>
        <sz val="11"/>
        <color indexed="8"/>
        <rFont val="Arial Narrow"/>
        <family val="2"/>
      </rPr>
      <t>)</t>
    </r>
  </si>
  <si>
    <r>
      <t xml:space="preserve">      </t>
    </r>
    <r>
      <rPr>
        <sz val="11"/>
        <color indexed="8"/>
        <rFont val="굴림"/>
        <family val="3"/>
        <charset val="129"/>
      </rPr>
      <t>버드나무이식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가식</t>
    </r>
    <r>
      <rPr>
        <sz val="11"/>
        <color indexed="8"/>
        <rFont val="Arial Narrow"/>
        <family val="2"/>
      </rPr>
      <t>)</t>
    </r>
  </si>
  <si>
    <r>
      <t xml:space="preserve">      </t>
    </r>
    <r>
      <rPr>
        <sz val="11"/>
        <color indexed="8"/>
        <rFont val="굴림"/>
        <family val="3"/>
        <charset val="129"/>
      </rPr>
      <t>굴참나무이식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가식</t>
    </r>
    <r>
      <rPr>
        <sz val="11"/>
        <color indexed="8"/>
        <rFont val="Arial Narrow"/>
        <family val="2"/>
      </rPr>
      <t>)</t>
    </r>
  </si>
  <si>
    <r>
      <t xml:space="preserve">    6.05.</t>
    </r>
    <r>
      <rPr>
        <sz val="11"/>
        <color indexed="8"/>
        <rFont val="굴림"/>
        <family val="3"/>
        <charset val="129"/>
      </rPr>
      <t>수목유지관리</t>
    </r>
  </si>
  <si>
    <r>
      <t xml:space="preserve">     a. </t>
    </r>
    <r>
      <rPr>
        <sz val="11"/>
        <color indexed="8"/>
        <rFont val="굴림"/>
        <family val="3"/>
        <charset val="129"/>
      </rPr>
      <t>전정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교목의</t>
    </r>
    <r>
      <rPr>
        <sz val="11"/>
        <color indexed="8"/>
        <rFont val="Arial Narrow"/>
        <family val="2"/>
      </rPr>
      <t xml:space="preserve"> 100%)</t>
    </r>
  </si>
  <si>
    <r>
      <rPr>
        <sz val="11"/>
        <color indexed="8"/>
        <rFont val="굴림"/>
        <family val="3"/>
        <charset val="129"/>
      </rPr>
      <t>준공후</t>
    </r>
    <r>
      <rPr>
        <sz val="11"/>
        <color indexed="8"/>
        <rFont val="Arial Narrow"/>
        <family val="2"/>
      </rPr>
      <t>1</t>
    </r>
    <r>
      <rPr>
        <sz val="11"/>
        <color indexed="8"/>
        <rFont val="굴림"/>
        <family val="3"/>
        <charset val="129"/>
      </rPr>
      <t>회</t>
    </r>
  </si>
  <si>
    <r>
      <t xml:space="preserve">      a-1.</t>
    </r>
    <r>
      <rPr>
        <sz val="11"/>
        <color indexed="8"/>
        <rFont val="굴림"/>
        <family val="3"/>
        <charset val="129"/>
      </rPr>
      <t>수목전정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상록수</t>
    </r>
    <r>
      <rPr>
        <sz val="11"/>
        <color indexed="8"/>
        <rFont val="Arial Narrow"/>
        <family val="2"/>
      </rPr>
      <t>)</t>
    </r>
  </si>
  <si>
    <r>
      <t xml:space="preserve">      a-3.</t>
    </r>
    <r>
      <rPr>
        <sz val="11"/>
        <color indexed="8"/>
        <rFont val="굴림"/>
        <family val="3"/>
        <charset val="129"/>
      </rPr>
      <t>관목전정</t>
    </r>
  </si>
  <si>
    <r>
      <t>H0.9m</t>
    </r>
    <r>
      <rPr>
        <sz val="11"/>
        <color indexed="8"/>
        <rFont val="굴림"/>
        <family val="3"/>
        <charset val="129"/>
      </rPr>
      <t>미만</t>
    </r>
  </si>
  <si>
    <r>
      <t xml:space="preserve">      a-4.</t>
    </r>
    <r>
      <rPr>
        <sz val="11"/>
        <color indexed="8"/>
        <rFont val="굴림"/>
        <family val="3"/>
        <charset val="129"/>
      </rPr>
      <t>관목전정</t>
    </r>
  </si>
  <si>
    <r>
      <t>H0.9m</t>
    </r>
    <r>
      <rPr>
        <sz val="11"/>
        <color indexed="8"/>
        <rFont val="굴림"/>
        <family val="3"/>
        <charset val="129"/>
      </rPr>
      <t>이상</t>
    </r>
  </si>
  <si>
    <r>
      <t xml:space="preserve">     b. </t>
    </r>
    <r>
      <rPr>
        <sz val="11"/>
        <color indexed="8"/>
        <rFont val="굴림"/>
        <family val="3"/>
        <charset val="129"/>
      </rPr>
      <t>수목시비</t>
    </r>
  </si>
  <si>
    <r>
      <rPr>
        <sz val="11"/>
        <color indexed="8"/>
        <rFont val="굴림"/>
        <family val="3"/>
        <charset val="129"/>
      </rPr>
      <t>준공후</t>
    </r>
    <r>
      <rPr>
        <sz val="11"/>
        <color indexed="8"/>
        <rFont val="Arial Narrow"/>
        <family val="2"/>
      </rPr>
      <t>2</t>
    </r>
    <r>
      <rPr>
        <sz val="11"/>
        <color indexed="8"/>
        <rFont val="굴림"/>
        <family val="3"/>
        <charset val="129"/>
      </rPr>
      <t>회</t>
    </r>
  </si>
  <si>
    <r>
      <t xml:space="preserve">      b-1.</t>
    </r>
    <r>
      <rPr>
        <sz val="11"/>
        <color indexed="8"/>
        <rFont val="굴림"/>
        <family val="3"/>
        <charset val="129"/>
      </rPr>
      <t>수목시비</t>
    </r>
  </si>
  <si>
    <t>H2.0~H4.0</t>
  </si>
  <si>
    <r>
      <t xml:space="preserve">      b-2.</t>
    </r>
    <r>
      <rPr>
        <sz val="11"/>
        <color indexed="8"/>
        <rFont val="굴림"/>
        <family val="3"/>
        <charset val="129"/>
      </rPr>
      <t>수목시비</t>
    </r>
  </si>
  <si>
    <r>
      <t>H4.0</t>
    </r>
    <r>
      <rPr>
        <sz val="11"/>
        <color indexed="8"/>
        <rFont val="굴림"/>
        <family val="3"/>
        <charset val="129"/>
      </rPr>
      <t>이상</t>
    </r>
  </si>
  <si>
    <r>
      <t xml:space="preserve">     c. </t>
    </r>
    <r>
      <rPr>
        <sz val="11"/>
        <color indexed="8"/>
        <rFont val="굴림"/>
        <family val="3"/>
        <charset val="129"/>
      </rPr>
      <t>병충해방제</t>
    </r>
  </si>
  <si>
    <r>
      <rPr>
        <sz val="11"/>
        <color indexed="8"/>
        <rFont val="굴림"/>
        <family val="3"/>
        <charset val="129"/>
      </rPr>
      <t>연</t>
    </r>
    <r>
      <rPr>
        <sz val="11"/>
        <color indexed="8"/>
        <rFont val="Arial Narrow"/>
        <family val="2"/>
      </rPr>
      <t>2</t>
    </r>
    <r>
      <rPr>
        <sz val="11"/>
        <color indexed="8"/>
        <rFont val="굴림"/>
        <family val="3"/>
        <charset val="129"/>
      </rPr>
      <t>회</t>
    </r>
    <r>
      <rPr>
        <sz val="11"/>
        <color indexed="8"/>
        <rFont val="Arial Narrow"/>
        <family val="2"/>
      </rPr>
      <t xml:space="preserve">, </t>
    </r>
    <r>
      <rPr>
        <sz val="11"/>
        <color indexed="8"/>
        <rFont val="굴림"/>
        <family val="3"/>
        <charset val="129"/>
      </rPr>
      <t>총</t>
    </r>
    <r>
      <rPr>
        <sz val="11"/>
        <color indexed="8"/>
        <rFont val="Arial Narrow"/>
        <family val="2"/>
      </rPr>
      <t>4</t>
    </r>
    <r>
      <rPr>
        <sz val="11"/>
        <color indexed="8"/>
        <rFont val="굴림"/>
        <family val="3"/>
        <charset val="129"/>
      </rPr>
      <t>회</t>
    </r>
  </si>
  <si>
    <r>
      <t xml:space="preserve">      c-1.</t>
    </r>
    <r>
      <rPr>
        <sz val="11"/>
        <color indexed="8"/>
        <rFont val="굴림"/>
        <family val="3"/>
        <charset val="129"/>
      </rPr>
      <t>병충해방제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교목</t>
    </r>
    <r>
      <rPr>
        <sz val="11"/>
        <color indexed="8"/>
        <rFont val="Arial Narrow"/>
        <family val="2"/>
      </rPr>
      <t>)</t>
    </r>
  </si>
  <si>
    <r>
      <rPr>
        <sz val="11"/>
        <color indexed="8"/>
        <rFont val="굴림"/>
        <family val="3"/>
        <charset val="129"/>
      </rPr>
      <t>동력분무기</t>
    </r>
  </si>
  <si>
    <r>
      <t xml:space="preserve">      c-2.</t>
    </r>
    <r>
      <rPr>
        <sz val="11"/>
        <color indexed="8"/>
        <rFont val="굴림"/>
        <family val="3"/>
        <charset val="129"/>
      </rPr>
      <t>병충해방제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관목</t>
    </r>
    <r>
      <rPr>
        <sz val="11"/>
        <color indexed="8"/>
        <rFont val="Arial Narrow"/>
        <family val="2"/>
      </rPr>
      <t>)</t>
    </r>
  </si>
  <si>
    <r>
      <t xml:space="preserve">     d. </t>
    </r>
    <r>
      <rPr>
        <sz val="11"/>
        <color indexed="8"/>
        <rFont val="굴림"/>
        <family val="3"/>
        <charset val="129"/>
      </rPr>
      <t>잔디</t>
    </r>
  </si>
  <si>
    <r>
      <rPr>
        <sz val="11"/>
        <color indexed="8"/>
        <rFont val="굴림"/>
        <family val="3"/>
        <charset val="129"/>
      </rPr>
      <t>준공후</t>
    </r>
    <r>
      <rPr>
        <sz val="11"/>
        <color indexed="8"/>
        <rFont val="Arial Narrow"/>
        <family val="2"/>
      </rPr>
      <t>2</t>
    </r>
    <r>
      <rPr>
        <sz val="11"/>
        <color indexed="8"/>
        <rFont val="굴림"/>
        <family val="3"/>
        <charset val="129"/>
      </rPr>
      <t>년</t>
    </r>
  </si>
  <si>
    <r>
      <t xml:space="preserve">      d-1.</t>
    </r>
    <r>
      <rPr>
        <sz val="11"/>
        <color indexed="8"/>
        <rFont val="굴림"/>
        <family val="3"/>
        <charset val="129"/>
      </rPr>
      <t>잔디시비</t>
    </r>
  </si>
  <si>
    <r>
      <t xml:space="preserve">      d-2.</t>
    </r>
    <r>
      <rPr>
        <sz val="11"/>
        <color indexed="8"/>
        <rFont val="굴림"/>
        <family val="3"/>
        <charset val="129"/>
      </rPr>
      <t>잔디제초</t>
    </r>
  </si>
  <si>
    <r>
      <t xml:space="preserve">      d-3.</t>
    </r>
    <r>
      <rPr>
        <sz val="11"/>
        <color indexed="8"/>
        <rFont val="굴림"/>
        <family val="3"/>
        <charset val="129"/>
      </rPr>
      <t>잔디깍기</t>
    </r>
  </si>
  <si>
    <r>
      <rPr>
        <sz val="11"/>
        <color indexed="8"/>
        <rFont val="굴림"/>
        <family val="3"/>
        <charset val="129"/>
      </rPr>
      <t>배부식</t>
    </r>
  </si>
  <si>
    <r>
      <t xml:space="preserve">    6.06.</t>
    </r>
    <r>
      <rPr>
        <sz val="11"/>
        <color indexed="8"/>
        <rFont val="굴림"/>
        <family val="3"/>
        <charset val="129"/>
      </rPr>
      <t>놀이시설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설치검사</t>
    </r>
  </si>
  <si>
    <r>
      <t xml:space="preserve">     a.</t>
    </r>
    <r>
      <rPr>
        <sz val="11"/>
        <color indexed="8"/>
        <rFont val="굴림"/>
        <family val="3"/>
        <charset val="129"/>
      </rPr>
      <t>설치검사비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고무바닥재</t>
    </r>
    <r>
      <rPr>
        <sz val="11"/>
        <color indexed="8"/>
        <rFont val="Arial Narrow"/>
        <family val="2"/>
      </rPr>
      <t>)</t>
    </r>
  </si>
  <si>
    <r>
      <rPr>
        <sz val="11"/>
        <color indexed="8"/>
        <rFont val="굴림"/>
        <family val="3"/>
        <charset val="129"/>
      </rPr>
      <t>고무칩</t>
    </r>
    <r>
      <rPr>
        <sz val="11"/>
        <color indexed="8"/>
        <rFont val="Arial Narrow"/>
        <family val="2"/>
      </rPr>
      <t>,</t>
    </r>
    <r>
      <rPr>
        <sz val="11"/>
        <color indexed="8"/>
        <rFont val="굴림"/>
        <family val="3"/>
        <charset val="129"/>
      </rPr>
      <t>우레탄</t>
    </r>
  </si>
  <si>
    <r>
      <t xml:space="preserve">     b.</t>
    </r>
    <r>
      <rPr>
        <sz val="11"/>
        <color indexed="8"/>
        <rFont val="굴림"/>
        <family val="3"/>
        <charset val="129"/>
      </rPr>
      <t>설치검사비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모래</t>
    </r>
    <r>
      <rPr>
        <sz val="11"/>
        <color indexed="8"/>
        <rFont val="Arial Narrow"/>
        <family val="2"/>
      </rPr>
      <t>)</t>
    </r>
  </si>
  <si>
    <r>
      <rPr>
        <sz val="11"/>
        <color indexed="8"/>
        <rFont val="굴림"/>
        <family val="3"/>
        <charset val="129"/>
      </rPr>
      <t>공원</t>
    </r>
  </si>
  <si>
    <r>
      <t xml:space="preserve">     c.</t>
    </r>
    <r>
      <rPr>
        <sz val="11"/>
        <color indexed="8"/>
        <rFont val="굴림"/>
        <family val="3"/>
        <charset val="129"/>
      </rPr>
      <t>기생충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란</t>
    </r>
    <r>
      <rPr>
        <sz val="11"/>
        <color indexed="8"/>
        <rFont val="Arial Narrow"/>
        <family val="2"/>
      </rPr>
      <t xml:space="preserve">) </t>
    </r>
    <r>
      <rPr>
        <sz val="11"/>
        <color indexed="8"/>
        <rFont val="굴림"/>
        <family val="3"/>
        <charset val="129"/>
      </rPr>
      <t>검사비</t>
    </r>
  </si>
  <si>
    <r>
      <t xml:space="preserve">    6.07.</t>
    </r>
    <r>
      <rPr>
        <sz val="11"/>
        <color indexed="8"/>
        <rFont val="굴림"/>
        <family val="3"/>
        <charset val="129"/>
      </rPr>
      <t>가식장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포지임대료</t>
    </r>
  </si>
  <si>
    <r>
      <t>36</t>
    </r>
    <r>
      <rPr>
        <sz val="11"/>
        <color indexed="8"/>
        <rFont val="굴림"/>
        <family val="3"/>
        <charset val="129"/>
      </rPr>
      <t>개월</t>
    </r>
  </si>
  <si>
    <r>
      <t xml:space="preserve">     a.</t>
    </r>
    <r>
      <rPr>
        <sz val="11"/>
        <color indexed="8"/>
        <rFont val="굴림"/>
        <family val="3"/>
        <charset val="129"/>
      </rPr>
      <t>가식장포지임대료</t>
    </r>
  </si>
  <si>
    <r>
      <t xml:space="preserve">    6.08.</t>
    </r>
    <r>
      <rPr>
        <sz val="11"/>
        <color indexed="8"/>
        <rFont val="굴림"/>
        <family val="3"/>
        <charset val="129"/>
      </rPr>
      <t>자재대</t>
    </r>
  </si>
  <si>
    <r>
      <t xml:space="preserve">      </t>
    </r>
    <r>
      <rPr>
        <sz val="11"/>
        <color indexed="8"/>
        <rFont val="굴림"/>
        <family val="3"/>
        <charset val="129"/>
      </rPr>
      <t>쇄석기층</t>
    </r>
  </si>
  <si>
    <r>
      <t xml:space="preserve">     c.</t>
    </r>
    <r>
      <rPr>
        <sz val="11"/>
        <color indexed="8"/>
        <rFont val="굴림"/>
        <family val="3"/>
        <charset val="129"/>
      </rPr>
      <t>모래구입</t>
    </r>
  </si>
  <si>
    <r>
      <t xml:space="preserve">     d.</t>
    </r>
    <r>
      <rPr>
        <sz val="11"/>
        <color indexed="8"/>
        <rFont val="굴림"/>
        <family val="3"/>
        <charset val="129"/>
      </rPr>
      <t>조경석</t>
    </r>
  </si>
  <si>
    <r>
      <t xml:space="preserve">      </t>
    </r>
    <r>
      <rPr>
        <sz val="11"/>
        <color indexed="8"/>
        <rFont val="굴림"/>
        <family val="3"/>
        <charset val="129"/>
      </rPr>
      <t>조경석</t>
    </r>
  </si>
  <si>
    <t>TON</t>
  </si>
  <si>
    <r>
      <t xml:space="preserve">     e.</t>
    </r>
    <r>
      <rPr>
        <sz val="11"/>
        <color indexed="8"/>
        <rFont val="굴림"/>
        <family val="3"/>
        <charset val="129"/>
      </rPr>
      <t>포장블록</t>
    </r>
  </si>
  <si>
    <r>
      <t xml:space="preserve">      </t>
    </r>
    <r>
      <rPr>
        <sz val="11"/>
        <color indexed="8"/>
        <rFont val="굴림"/>
        <family val="3"/>
        <charset val="129"/>
      </rPr>
      <t>인조화강석블록</t>
    </r>
  </si>
  <si>
    <r>
      <t xml:space="preserve">      </t>
    </r>
    <r>
      <rPr>
        <sz val="11"/>
        <color indexed="8"/>
        <rFont val="굴림"/>
        <family val="3"/>
        <charset val="129"/>
      </rPr>
      <t>인조사암블록</t>
    </r>
  </si>
  <si>
    <r>
      <t xml:space="preserve">     f.</t>
    </r>
    <r>
      <rPr>
        <sz val="11"/>
        <color indexed="8"/>
        <rFont val="굴림"/>
        <family val="3"/>
        <charset val="129"/>
      </rPr>
      <t>경계석</t>
    </r>
  </si>
  <si>
    <r>
      <t xml:space="preserve">      </t>
    </r>
    <r>
      <rPr>
        <sz val="11"/>
        <color indexed="8"/>
        <rFont val="굴림"/>
        <family val="3"/>
        <charset val="129"/>
      </rPr>
      <t>화강석블록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직선</t>
    </r>
    <r>
      <rPr>
        <sz val="11"/>
        <color indexed="8"/>
        <rFont val="Arial Narrow"/>
        <family val="2"/>
      </rPr>
      <t>)</t>
    </r>
  </si>
  <si>
    <t>150*150*150*1,000</t>
  </si>
  <si>
    <r>
      <t xml:space="preserve">      </t>
    </r>
    <r>
      <rPr>
        <sz val="11"/>
        <color indexed="8"/>
        <rFont val="굴림"/>
        <family val="3"/>
        <charset val="129"/>
      </rPr>
      <t>화강석블록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곡선</t>
    </r>
    <r>
      <rPr>
        <sz val="11"/>
        <color indexed="8"/>
        <rFont val="Arial Narrow"/>
        <family val="2"/>
      </rPr>
      <t>)</t>
    </r>
  </si>
  <si>
    <r>
      <t xml:space="preserve">     g.</t>
    </r>
    <r>
      <rPr>
        <sz val="11"/>
        <color indexed="8"/>
        <rFont val="굴림"/>
        <family val="3"/>
        <charset val="129"/>
      </rPr>
      <t>수로관</t>
    </r>
  </si>
  <si>
    <r>
      <t xml:space="preserve">      </t>
    </r>
    <r>
      <rPr>
        <sz val="11"/>
        <color indexed="8"/>
        <rFont val="굴림"/>
        <family val="3"/>
        <charset val="129"/>
      </rPr>
      <t>측구수로관</t>
    </r>
  </si>
  <si>
    <t>300*300</t>
  </si>
  <si>
    <r>
      <t xml:space="preserve">     h.</t>
    </r>
    <r>
      <rPr>
        <sz val="11"/>
        <color indexed="8"/>
        <rFont val="굴림"/>
        <family val="3"/>
        <charset val="129"/>
      </rPr>
      <t>이중벽</t>
    </r>
    <r>
      <rPr>
        <sz val="11"/>
        <color indexed="8"/>
        <rFont val="Arial Narrow"/>
        <family val="2"/>
      </rPr>
      <t>PE</t>
    </r>
    <r>
      <rPr>
        <sz val="11"/>
        <color indexed="8"/>
        <rFont val="굴림"/>
        <family val="3"/>
        <charset val="129"/>
      </rPr>
      <t>관</t>
    </r>
  </si>
  <si>
    <r>
      <t xml:space="preserve">      </t>
    </r>
    <r>
      <rPr>
        <sz val="11"/>
        <color indexed="8"/>
        <rFont val="굴림"/>
        <family val="3"/>
        <charset val="129"/>
      </rPr>
      <t>이중벽</t>
    </r>
    <r>
      <rPr>
        <sz val="11"/>
        <color indexed="8"/>
        <rFont val="Arial Narrow"/>
        <family val="2"/>
      </rPr>
      <t>PE</t>
    </r>
    <r>
      <rPr>
        <sz val="11"/>
        <color indexed="8"/>
        <rFont val="굴림"/>
        <family val="3"/>
        <charset val="129"/>
      </rPr>
      <t>관</t>
    </r>
  </si>
  <si>
    <r>
      <t xml:space="preserve">     i.PE</t>
    </r>
    <r>
      <rPr>
        <sz val="11"/>
        <color indexed="8"/>
        <rFont val="굴림"/>
        <family val="3"/>
        <charset val="129"/>
      </rPr>
      <t>관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밴드소켓</t>
    </r>
  </si>
  <si>
    <r>
      <t xml:space="preserve">      PE</t>
    </r>
    <r>
      <rPr>
        <sz val="11"/>
        <color indexed="8"/>
        <rFont val="굴림"/>
        <family val="3"/>
        <charset val="129"/>
      </rPr>
      <t>관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밴드소켓</t>
    </r>
  </si>
  <si>
    <r>
      <t xml:space="preserve">     j.HI-3P </t>
    </r>
    <r>
      <rPr>
        <sz val="11"/>
        <color indexed="8"/>
        <rFont val="굴림"/>
        <family val="3"/>
        <charset val="129"/>
      </rPr>
      <t>직관</t>
    </r>
  </si>
  <si>
    <r>
      <t xml:space="preserve">      HI-3P </t>
    </r>
    <r>
      <rPr>
        <sz val="11"/>
        <color indexed="8"/>
        <rFont val="굴림"/>
        <family val="3"/>
        <charset val="129"/>
      </rPr>
      <t>직관</t>
    </r>
  </si>
  <si>
    <t>D50*6</t>
  </si>
  <si>
    <r>
      <t xml:space="preserve">     k.</t>
    </r>
    <r>
      <rPr>
        <sz val="11"/>
        <color indexed="8"/>
        <rFont val="굴림"/>
        <family val="3"/>
        <charset val="129"/>
      </rPr>
      <t>고강성</t>
    </r>
    <r>
      <rPr>
        <sz val="11"/>
        <color indexed="8"/>
        <rFont val="Arial Narrow"/>
        <family val="2"/>
      </rPr>
      <t>PVC</t>
    </r>
    <r>
      <rPr>
        <sz val="11"/>
        <color indexed="8"/>
        <rFont val="굴림"/>
        <family val="3"/>
        <charset val="129"/>
      </rPr>
      <t>이중벽관</t>
    </r>
  </si>
  <si>
    <r>
      <t>Φ200mm(</t>
    </r>
    <r>
      <rPr>
        <sz val="11"/>
        <color indexed="8"/>
        <rFont val="굴림"/>
        <family val="3"/>
        <charset val="129"/>
      </rPr>
      <t>고무링포함</t>
    </r>
    <r>
      <rPr>
        <sz val="11"/>
        <color indexed="8"/>
        <rFont val="Arial Narrow"/>
        <family val="2"/>
      </rPr>
      <t>)</t>
    </r>
  </si>
  <si>
    <r>
      <t xml:space="preserve">     l.PVC</t>
    </r>
    <r>
      <rPr>
        <sz val="11"/>
        <color indexed="8"/>
        <rFont val="굴림"/>
        <family val="3"/>
        <charset val="129"/>
      </rPr>
      <t>관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소켓</t>
    </r>
  </si>
  <si>
    <r>
      <t xml:space="preserve">      PVC</t>
    </r>
    <r>
      <rPr>
        <sz val="11"/>
        <color indexed="8"/>
        <rFont val="굴림"/>
        <family val="3"/>
        <charset val="129"/>
      </rPr>
      <t>관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소켓</t>
    </r>
  </si>
  <si>
    <t>D200</t>
  </si>
  <si>
    <t>D150</t>
  </si>
  <si>
    <r>
      <t>07.</t>
    </r>
    <r>
      <rPr>
        <sz val="11"/>
        <color indexed="8"/>
        <rFont val="굴림"/>
        <family val="3"/>
        <charset val="129"/>
      </rPr>
      <t>구조물공</t>
    </r>
  </si>
  <si>
    <r>
      <t xml:space="preserve">    7.01.GABION </t>
    </r>
    <r>
      <rPr>
        <sz val="11"/>
        <color indexed="8"/>
        <rFont val="굴림"/>
        <family val="3"/>
        <charset val="129"/>
      </rPr>
      <t>옹벽</t>
    </r>
  </si>
  <si>
    <r>
      <t xml:space="preserve">     a.GABION</t>
    </r>
    <r>
      <rPr>
        <sz val="11"/>
        <color indexed="8"/>
        <rFont val="굴림"/>
        <family val="3"/>
        <charset val="129"/>
      </rPr>
      <t>옹벽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설치</t>
    </r>
  </si>
  <si>
    <r>
      <t xml:space="preserve">      </t>
    </r>
    <r>
      <rPr>
        <sz val="11"/>
        <color indexed="8"/>
        <rFont val="굴림"/>
        <family val="3"/>
        <charset val="129"/>
      </rPr>
      <t>게비온옹벽</t>
    </r>
  </si>
  <si>
    <r>
      <rPr>
        <sz val="11"/>
        <color indexed="8"/>
        <rFont val="굴림"/>
        <family val="3"/>
        <charset val="129"/>
      </rPr>
      <t>높이</t>
    </r>
    <r>
      <rPr>
        <sz val="11"/>
        <color indexed="8"/>
        <rFont val="Arial Narrow"/>
        <family val="2"/>
      </rPr>
      <t>5m</t>
    </r>
    <r>
      <rPr>
        <sz val="11"/>
        <color indexed="8"/>
        <rFont val="굴림"/>
        <family val="3"/>
        <charset val="129"/>
      </rPr>
      <t>이하</t>
    </r>
  </si>
  <si>
    <r>
      <rPr>
        <sz val="11"/>
        <color indexed="8"/>
        <rFont val="굴림"/>
        <family val="3"/>
        <charset val="129"/>
      </rPr>
      <t>높이</t>
    </r>
    <r>
      <rPr>
        <sz val="11"/>
        <color indexed="8"/>
        <rFont val="Arial Narrow"/>
        <family val="2"/>
      </rPr>
      <t>5m</t>
    </r>
    <r>
      <rPr>
        <sz val="11"/>
        <color indexed="8"/>
        <rFont val="굴림"/>
        <family val="3"/>
        <charset val="129"/>
      </rPr>
      <t>초과</t>
    </r>
    <r>
      <rPr>
        <sz val="11"/>
        <color indexed="8"/>
        <rFont val="Arial Narrow"/>
        <family val="2"/>
      </rPr>
      <t>~8m</t>
    </r>
    <r>
      <rPr>
        <sz val="11"/>
        <color indexed="8"/>
        <rFont val="굴림"/>
        <family val="3"/>
        <charset val="129"/>
      </rPr>
      <t>이하</t>
    </r>
  </si>
  <si>
    <r>
      <rPr>
        <sz val="11"/>
        <color indexed="8"/>
        <rFont val="굴림"/>
        <family val="3"/>
        <charset val="129"/>
      </rPr>
      <t>높이</t>
    </r>
    <r>
      <rPr>
        <sz val="11"/>
        <color indexed="8"/>
        <rFont val="Arial Narrow"/>
        <family val="2"/>
      </rPr>
      <t>8m</t>
    </r>
    <r>
      <rPr>
        <sz val="11"/>
        <color indexed="8"/>
        <rFont val="굴림"/>
        <family val="3"/>
        <charset val="129"/>
      </rPr>
      <t>초과</t>
    </r>
    <r>
      <rPr>
        <sz val="11"/>
        <color indexed="8"/>
        <rFont val="Arial Narrow"/>
        <family val="2"/>
      </rPr>
      <t>~11m</t>
    </r>
    <r>
      <rPr>
        <sz val="11"/>
        <color indexed="8"/>
        <rFont val="굴림"/>
        <family val="3"/>
        <charset val="129"/>
      </rPr>
      <t>이하</t>
    </r>
  </si>
  <si>
    <r>
      <rPr>
        <sz val="11"/>
        <color indexed="8"/>
        <rFont val="굴림"/>
        <family val="3"/>
        <charset val="129"/>
      </rPr>
      <t>높이</t>
    </r>
    <r>
      <rPr>
        <sz val="11"/>
        <color indexed="8"/>
        <rFont val="Arial Narrow"/>
        <family val="2"/>
      </rPr>
      <t>11m</t>
    </r>
    <r>
      <rPr>
        <sz val="11"/>
        <color indexed="8"/>
        <rFont val="굴림"/>
        <family val="3"/>
        <charset val="129"/>
      </rPr>
      <t>초과</t>
    </r>
    <r>
      <rPr>
        <sz val="11"/>
        <color indexed="8"/>
        <rFont val="Arial Narrow"/>
        <family val="2"/>
      </rPr>
      <t>~14m</t>
    </r>
    <r>
      <rPr>
        <sz val="11"/>
        <color indexed="8"/>
        <rFont val="굴림"/>
        <family val="3"/>
        <charset val="129"/>
      </rPr>
      <t>이하</t>
    </r>
  </si>
  <si>
    <r>
      <t xml:space="preserve">     b.</t>
    </r>
    <r>
      <rPr>
        <sz val="11"/>
        <color indexed="8"/>
        <rFont val="굴림"/>
        <family val="3"/>
        <charset val="129"/>
      </rPr>
      <t>부직포</t>
    </r>
  </si>
  <si>
    <r>
      <t xml:space="preserve">    7.02.</t>
    </r>
    <r>
      <rPr>
        <sz val="11"/>
        <color indexed="8"/>
        <rFont val="굴림"/>
        <family val="3"/>
        <charset val="129"/>
      </rPr>
      <t>패널옹벽공</t>
    </r>
  </si>
  <si>
    <r>
      <t xml:space="preserve">     a.</t>
    </r>
    <r>
      <rPr>
        <sz val="11"/>
        <color indexed="8"/>
        <rFont val="굴림"/>
        <family val="3"/>
        <charset val="129"/>
      </rPr>
      <t>절토부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천연석재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패널설치</t>
    </r>
  </si>
  <si>
    <r>
      <t xml:space="preserve">      a-1.</t>
    </r>
    <r>
      <rPr>
        <sz val="11"/>
        <color indexed="8"/>
        <rFont val="굴림"/>
        <family val="3"/>
        <charset val="129"/>
      </rPr>
      <t>기초블럭</t>
    </r>
  </si>
  <si>
    <r>
      <t xml:space="preserve">       PC</t>
    </r>
    <r>
      <rPr>
        <sz val="11"/>
        <color indexed="8"/>
        <rFont val="굴림"/>
        <family val="3"/>
        <charset val="129"/>
      </rPr>
      <t>기초블럭설치</t>
    </r>
  </si>
  <si>
    <t>415*600,L=3.0m</t>
  </si>
  <si>
    <r>
      <t xml:space="preserve">      a-2.</t>
    </r>
    <r>
      <rPr>
        <sz val="11"/>
        <color indexed="8"/>
        <rFont val="굴림"/>
        <family val="3"/>
        <charset val="129"/>
      </rPr>
      <t>패널설치</t>
    </r>
  </si>
  <si>
    <r>
      <t xml:space="preserve">       </t>
    </r>
    <r>
      <rPr>
        <sz val="11"/>
        <color indexed="8"/>
        <rFont val="굴림"/>
        <family val="3"/>
        <charset val="129"/>
      </rPr>
      <t>패널설치</t>
    </r>
  </si>
  <si>
    <r>
      <rPr>
        <sz val="11"/>
        <color indexed="8"/>
        <rFont val="굴림"/>
        <family val="3"/>
        <charset val="129"/>
      </rPr>
      <t>기본형</t>
    </r>
  </si>
  <si>
    <r>
      <rPr>
        <sz val="11"/>
        <color indexed="8"/>
        <rFont val="굴림"/>
        <family val="3"/>
        <charset val="129"/>
      </rPr>
      <t>삼각형</t>
    </r>
  </si>
  <si>
    <r>
      <rPr>
        <sz val="11"/>
        <color indexed="8"/>
        <rFont val="굴림"/>
        <family val="3"/>
        <charset val="129"/>
      </rPr>
      <t>대</t>
    </r>
    <r>
      <rPr>
        <sz val="11"/>
        <color indexed="8"/>
        <rFont val="Arial Narrow"/>
        <family val="2"/>
      </rPr>
      <t xml:space="preserve">  </t>
    </r>
    <r>
      <rPr>
        <sz val="11"/>
        <color indexed="8"/>
        <rFont val="굴림"/>
        <family val="3"/>
        <charset val="129"/>
      </rPr>
      <t>형</t>
    </r>
  </si>
  <si>
    <r>
      <t xml:space="preserve">      a-3.</t>
    </r>
    <r>
      <rPr>
        <sz val="11"/>
        <color indexed="8"/>
        <rFont val="굴림"/>
        <family val="3"/>
        <charset val="129"/>
      </rPr>
      <t>지압판설치</t>
    </r>
  </si>
  <si>
    <r>
      <t xml:space="preserve">       </t>
    </r>
    <r>
      <rPr>
        <sz val="11"/>
        <color indexed="8"/>
        <rFont val="굴림"/>
        <family val="3"/>
        <charset val="129"/>
      </rPr>
      <t>지압판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조립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인장</t>
    </r>
  </si>
  <si>
    <t>120*120</t>
  </si>
  <si>
    <r>
      <rPr>
        <sz val="11"/>
        <color indexed="8"/>
        <rFont val="굴림"/>
        <family val="3"/>
        <charset val="129"/>
      </rPr>
      <t>공</t>
    </r>
  </si>
  <si>
    <r>
      <t xml:space="preserve">      a-4.</t>
    </r>
    <r>
      <rPr>
        <sz val="11"/>
        <color indexed="8"/>
        <rFont val="굴림"/>
        <family val="3"/>
        <charset val="129"/>
      </rPr>
      <t>뒤채움및다짐</t>
    </r>
  </si>
  <si>
    <r>
      <t xml:space="preserve">       </t>
    </r>
    <r>
      <rPr>
        <sz val="11"/>
        <color indexed="8"/>
        <rFont val="굴림"/>
        <family val="3"/>
        <charset val="129"/>
      </rPr>
      <t>뒤채움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다짐</t>
    </r>
  </si>
  <si>
    <r>
      <rPr>
        <sz val="11"/>
        <color indexed="8"/>
        <rFont val="굴림"/>
        <family val="3"/>
        <charset val="129"/>
      </rPr>
      <t>자갈</t>
    </r>
  </si>
  <si>
    <r>
      <t xml:space="preserve">      a-5.</t>
    </r>
    <r>
      <rPr>
        <sz val="11"/>
        <color indexed="8"/>
        <rFont val="굴림"/>
        <family val="3"/>
        <charset val="129"/>
      </rPr>
      <t>소운반</t>
    </r>
  </si>
  <si>
    <r>
      <t xml:space="preserve">       PC</t>
    </r>
    <r>
      <rPr>
        <sz val="11"/>
        <color indexed="8"/>
        <rFont val="굴림"/>
        <family val="3"/>
        <charset val="129"/>
      </rPr>
      <t>패널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소운반</t>
    </r>
  </si>
  <si>
    <r>
      <rPr>
        <sz val="11"/>
        <color indexed="8"/>
        <rFont val="굴림"/>
        <family val="3"/>
        <charset val="129"/>
      </rPr>
      <t>현장내</t>
    </r>
  </si>
  <si>
    <r>
      <t xml:space="preserve">       </t>
    </r>
    <r>
      <rPr>
        <sz val="11"/>
        <color indexed="8"/>
        <rFont val="굴림"/>
        <family val="3"/>
        <charset val="129"/>
      </rPr>
      <t>기초블럭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소운반</t>
    </r>
  </si>
  <si>
    <r>
      <t xml:space="preserve">     b.</t>
    </r>
    <r>
      <rPr>
        <sz val="11"/>
        <color indexed="8"/>
        <rFont val="굴림"/>
        <family val="3"/>
        <charset val="129"/>
      </rPr>
      <t>지반보강공</t>
    </r>
  </si>
  <si>
    <r>
      <t xml:space="preserve">      b-1.</t>
    </r>
    <r>
      <rPr>
        <sz val="11"/>
        <color indexed="8"/>
        <rFont val="굴림"/>
        <family val="3"/>
        <charset val="129"/>
      </rPr>
      <t>지반천공</t>
    </r>
  </si>
  <si>
    <r>
      <t xml:space="preserve">       </t>
    </r>
    <r>
      <rPr>
        <sz val="11"/>
        <color indexed="8"/>
        <rFont val="굴림"/>
        <family val="3"/>
        <charset val="129"/>
      </rPr>
      <t>토사천공</t>
    </r>
  </si>
  <si>
    <t>Φ105mm</t>
  </si>
  <si>
    <r>
      <t xml:space="preserve">       </t>
    </r>
    <r>
      <rPr>
        <sz val="11"/>
        <color indexed="8"/>
        <rFont val="굴림"/>
        <family val="3"/>
        <charset val="129"/>
      </rPr>
      <t>리핑암천공</t>
    </r>
  </si>
  <si>
    <r>
      <t xml:space="preserve">       </t>
    </r>
    <r>
      <rPr>
        <sz val="11"/>
        <color indexed="8"/>
        <rFont val="굴림"/>
        <family val="3"/>
        <charset val="129"/>
      </rPr>
      <t>발파암천공</t>
    </r>
  </si>
  <si>
    <r>
      <t xml:space="preserve">      b-2.</t>
    </r>
    <r>
      <rPr>
        <sz val="11"/>
        <color indexed="8"/>
        <rFont val="굴림"/>
        <family val="3"/>
        <charset val="129"/>
      </rPr>
      <t>천공크레인</t>
    </r>
  </si>
  <si>
    <r>
      <t xml:space="preserve">       </t>
    </r>
    <r>
      <rPr>
        <sz val="11"/>
        <color indexed="8"/>
        <rFont val="굴림"/>
        <family val="3"/>
        <charset val="129"/>
      </rPr>
      <t>천공크레인</t>
    </r>
  </si>
  <si>
    <r>
      <rPr>
        <sz val="11"/>
        <color indexed="8"/>
        <rFont val="굴림"/>
        <family val="3"/>
        <charset val="129"/>
      </rPr>
      <t>크레인</t>
    </r>
    <r>
      <rPr>
        <sz val="11"/>
        <color indexed="8"/>
        <rFont val="Arial Narrow"/>
        <family val="2"/>
      </rPr>
      <t>50Ton</t>
    </r>
  </si>
  <si>
    <r>
      <t xml:space="preserve">      b-3.</t>
    </r>
    <r>
      <rPr>
        <sz val="11"/>
        <color indexed="8"/>
        <rFont val="굴림"/>
        <family val="3"/>
        <charset val="129"/>
      </rPr>
      <t>보강재조립</t>
    </r>
  </si>
  <si>
    <r>
      <t xml:space="preserve">       </t>
    </r>
    <r>
      <rPr>
        <sz val="11"/>
        <color indexed="8"/>
        <rFont val="굴림"/>
        <family val="3"/>
        <charset val="129"/>
      </rPr>
      <t>보강재조립</t>
    </r>
  </si>
  <si>
    <t>SD400,D29mm,L=5.5m</t>
  </si>
  <si>
    <r>
      <t xml:space="preserve">      b-4.</t>
    </r>
    <r>
      <rPr>
        <sz val="11"/>
        <color indexed="8"/>
        <rFont val="굴림"/>
        <family val="3"/>
        <charset val="129"/>
      </rPr>
      <t>그라우팅</t>
    </r>
  </si>
  <si>
    <r>
      <t xml:space="preserve">       </t>
    </r>
    <r>
      <rPr>
        <sz val="11"/>
        <color indexed="8"/>
        <rFont val="굴림"/>
        <family val="3"/>
        <charset val="129"/>
      </rPr>
      <t>그라우팅</t>
    </r>
  </si>
  <si>
    <r>
      <t xml:space="preserve">      b-5.</t>
    </r>
    <r>
      <rPr>
        <sz val="11"/>
        <color indexed="8"/>
        <rFont val="굴림"/>
        <family val="3"/>
        <charset val="129"/>
      </rPr>
      <t>부식방지공</t>
    </r>
  </si>
  <si>
    <r>
      <t xml:space="preserve">       </t>
    </r>
    <r>
      <rPr>
        <sz val="11"/>
        <color indexed="8"/>
        <rFont val="굴림"/>
        <family val="3"/>
        <charset val="129"/>
      </rPr>
      <t>부식방지공</t>
    </r>
  </si>
  <si>
    <t>D29mm</t>
  </si>
  <si>
    <r>
      <t xml:space="preserve">      b-6.</t>
    </r>
    <r>
      <rPr>
        <sz val="11"/>
        <color indexed="8"/>
        <rFont val="굴림"/>
        <family val="3"/>
        <charset val="129"/>
      </rPr>
      <t>장비조립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해체</t>
    </r>
  </si>
  <si>
    <r>
      <t xml:space="preserve">       </t>
    </r>
    <r>
      <rPr>
        <sz val="11"/>
        <color indexed="8"/>
        <rFont val="굴림"/>
        <family val="3"/>
        <charset val="129"/>
      </rPr>
      <t>장비조립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해체</t>
    </r>
  </si>
  <si>
    <r>
      <rPr>
        <sz val="11"/>
        <color indexed="8"/>
        <rFont val="굴림"/>
        <family val="3"/>
        <charset val="129"/>
      </rPr>
      <t>크레인</t>
    </r>
    <r>
      <rPr>
        <sz val="11"/>
        <color indexed="8"/>
        <rFont val="Arial Narrow"/>
        <family val="2"/>
      </rPr>
      <t xml:space="preserve"> 5Ton</t>
    </r>
  </si>
  <si>
    <r>
      <t xml:space="preserve">     c.</t>
    </r>
    <r>
      <rPr>
        <sz val="11"/>
        <color indexed="8"/>
        <rFont val="굴림"/>
        <family val="3"/>
        <charset val="129"/>
      </rPr>
      <t>기타공사</t>
    </r>
  </si>
  <si>
    <r>
      <t xml:space="preserve">      c-1.</t>
    </r>
    <r>
      <rPr>
        <sz val="11"/>
        <color indexed="8"/>
        <rFont val="굴림"/>
        <family val="3"/>
        <charset val="129"/>
      </rPr>
      <t>레미콘타설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인력운반타설</t>
    </r>
    <r>
      <rPr>
        <sz val="11"/>
        <color indexed="8"/>
        <rFont val="Arial Narrow"/>
        <family val="2"/>
      </rPr>
      <t>)</t>
    </r>
  </si>
  <si>
    <r>
      <rPr>
        <sz val="11"/>
        <color indexed="8"/>
        <rFont val="굴림"/>
        <family val="3"/>
        <charset val="129"/>
      </rPr>
      <t>무근구조물</t>
    </r>
    <r>
      <rPr>
        <sz val="11"/>
        <color indexed="8"/>
        <rFont val="Arial Narrow"/>
        <family val="2"/>
      </rPr>
      <t>,VIB</t>
    </r>
    <r>
      <rPr>
        <sz val="11"/>
        <color indexed="8"/>
        <rFont val="굴림"/>
        <family val="3"/>
        <charset val="129"/>
      </rPr>
      <t>제외</t>
    </r>
  </si>
  <si>
    <r>
      <t xml:space="preserve">      c-2.</t>
    </r>
    <r>
      <rPr>
        <sz val="11"/>
        <color indexed="8"/>
        <rFont val="굴림"/>
        <family val="3"/>
        <charset val="129"/>
      </rPr>
      <t>합판거푸집</t>
    </r>
  </si>
  <si>
    <r>
      <t xml:space="preserve">      c-3.</t>
    </r>
    <r>
      <rPr>
        <sz val="11"/>
        <color indexed="8"/>
        <rFont val="굴림"/>
        <family val="3"/>
        <charset val="129"/>
      </rPr>
      <t>부직포설치</t>
    </r>
  </si>
  <si>
    <r>
      <t xml:space="preserve">    7.03.</t>
    </r>
    <r>
      <rPr>
        <sz val="11"/>
        <color indexed="8"/>
        <rFont val="굴림"/>
        <family val="3"/>
        <charset val="129"/>
      </rPr>
      <t>자재운반비</t>
    </r>
  </si>
  <si>
    <r>
      <t xml:space="preserve">     a.</t>
    </r>
    <r>
      <rPr>
        <sz val="11"/>
        <color indexed="8"/>
        <rFont val="굴림"/>
        <family val="3"/>
        <charset val="129"/>
      </rPr>
      <t>천연석재패널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운반</t>
    </r>
  </si>
  <si>
    <t>30Ton</t>
  </si>
  <si>
    <r>
      <t xml:space="preserve">     b.</t>
    </r>
    <r>
      <rPr>
        <sz val="11"/>
        <color indexed="8"/>
        <rFont val="굴림"/>
        <family val="3"/>
        <charset val="129"/>
      </rPr>
      <t>기초블럭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운반</t>
    </r>
  </si>
  <si>
    <r>
      <t xml:space="preserve">     c.</t>
    </r>
    <r>
      <rPr>
        <sz val="11"/>
        <color indexed="8"/>
        <rFont val="굴림"/>
        <family val="3"/>
        <charset val="129"/>
      </rPr>
      <t>시멘트운반</t>
    </r>
  </si>
  <si>
    <r>
      <t xml:space="preserve">    7.04.</t>
    </r>
    <r>
      <rPr>
        <sz val="11"/>
        <color indexed="8"/>
        <rFont val="굴림"/>
        <family val="3"/>
        <charset val="129"/>
      </rPr>
      <t>자재대</t>
    </r>
  </si>
  <si>
    <r>
      <t xml:space="preserve">     a.</t>
    </r>
    <r>
      <rPr>
        <sz val="11"/>
        <color indexed="8"/>
        <rFont val="굴림"/>
        <family val="3"/>
        <charset val="129"/>
      </rPr>
      <t>골재</t>
    </r>
  </si>
  <si>
    <r>
      <t xml:space="preserve">      GABION</t>
    </r>
    <r>
      <rPr>
        <sz val="11"/>
        <color indexed="8"/>
        <rFont val="굴림"/>
        <family val="3"/>
        <charset val="129"/>
      </rPr>
      <t>골재</t>
    </r>
  </si>
  <si>
    <r>
      <t>150~200mm(</t>
    </r>
    <r>
      <rPr>
        <sz val="11"/>
        <color indexed="8"/>
        <rFont val="굴림"/>
        <family val="3"/>
        <charset val="129"/>
      </rPr>
      <t>도착도</t>
    </r>
    <r>
      <rPr>
        <sz val="11"/>
        <color indexed="8"/>
        <rFont val="Arial Narrow"/>
        <family val="2"/>
      </rPr>
      <t>)</t>
    </r>
  </si>
  <si>
    <t xml:space="preserve">     b.GABION</t>
  </si>
  <si>
    <t xml:space="preserve">      GABION</t>
  </si>
  <si>
    <t>1.5*1.0*1.0</t>
  </si>
  <si>
    <t>2.0*1.0*1.0</t>
  </si>
  <si>
    <t>2.0*1.0*0.5</t>
  </si>
  <si>
    <r>
      <t xml:space="preserve">     c.PC</t>
    </r>
    <r>
      <rPr>
        <sz val="11"/>
        <color indexed="8"/>
        <rFont val="굴림"/>
        <family val="3"/>
        <charset val="129"/>
      </rPr>
      <t>기초블럭</t>
    </r>
  </si>
  <si>
    <r>
      <t xml:space="preserve">      PC</t>
    </r>
    <r>
      <rPr>
        <sz val="11"/>
        <color indexed="8"/>
        <rFont val="굴림"/>
        <family val="3"/>
        <charset val="129"/>
      </rPr>
      <t>기초블럭</t>
    </r>
  </si>
  <si>
    <r>
      <t xml:space="preserve">     d.PC</t>
    </r>
    <r>
      <rPr>
        <sz val="11"/>
        <color indexed="8"/>
        <rFont val="굴림"/>
        <family val="3"/>
        <charset val="129"/>
      </rPr>
      <t>천연석재패널</t>
    </r>
  </si>
  <si>
    <r>
      <t xml:space="preserve">      PC</t>
    </r>
    <r>
      <rPr>
        <sz val="11"/>
        <color indexed="8"/>
        <rFont val="굴림"/>
        <family val="3"/>
        <charset val="129"/>
      </rPr>
      <t>천연석재패널</t>
    </r>
  </si>
  <si>
    <r>
      <t>1500*1500,</t>
    </r>
    <r>
      <rPr>
        <sz val="11"/>
        <color indexed="8"/>
        <rFont val="굴림"/>
        <family val="3"/>
        <charset val="129"/>
      </rPr>
      <t>부분석재형</t>
    </r>
  </si>
  <si>
    <r>
      <t xml:space="preserve">     e.</t>
    </r>
    <r>
      <rPr>
        <sz val="11"/>
        <color indexed="8"/>
        <rFont val="굴림"/>
        <family val="3"/>
        <charset val="129"/>
      </rPr>
      <t>시멘트</t>
    </r>
  </si>
  <si>
    <r>
      <t xml:space="preserve">     f.</t>
    </r>
    <r>
      <rPr>
        <sz val="11"/>
        <color indexed="8"/>
        <rFont val="굴림"/>
        <family val="3"/>
        <charset val="129"/>
      </rPr>
      <t>레미콘</t>
    </r>
  </si>
  <si>
    <r>
      <t xml:space="preserve">     g.PE</t>
    </r>
    <r>
      <rPr>
        <sz val="11"/>
        <color indexed="8"/>
        <rFont val="굴림"/>
        <family val="3"/>
        <charset val="129"/>
      </rPr>
      <t>이중벽관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유공관</t>
    </r>
    <r>
      <rPr>
        <sz val="11"/>
        <color indexed="8"/>
        <rFont val="Arial Narrow"/>
        <family val="2"/>
      </rPr>
      <t>)</t>
    </r>
  </si>
  <si>
    <t>Φ150m/m</t>
  </si>
  <si>
    <r>
      <t>08.</t>
    </r>
    <r>
      <rPr>
        <sz val="11"/>
        <color indexed="8"/>
        <rFont val="굴림"/>
        <family val="3"/>
        <charset val="129"/>
      </rPr>
      <t>농수로공</t>
    </r>
  </si>
  <si>
    <r>
      <t xml:space="preserve">    8.01.</t>
    </r>
    <r>
      <rPr>
        <sz val="11"/>
        <color indexed="8"/>
        <rFont val="굴림"/>
        <family val="3"/>
        <charset val="129"/>
      </rPr>
      <t>토공</t>
    </r>
  </si>
  <si>
    <r>
      <t xml:space="preserve">     a.</t>
    </r>
    <r>
      <rPr>
        <sz val="11"/>
        <color indexed="8"/>
        <rFont val="굴림"/>
        <family val="3"/>
        <charset val="129"/>
      </rPr>
      <t>터파기</t>
    </r>
  </si>
  <si>
    <r>
      <t xml:space="preserve">    8.02.</t>
    </r>
    <r>
      <rPr>
        <sz val="11"/>
        <color indexed="8"/>
        <rFont val="굴림"/>
        <family val="3"/>
        <charset val="129"/>
      </rPr>
      <t>농수관로</t>
    </r>
  </si>
  <si>
    <r>
      <t xml:space="preserve">     a.</t>
    </r>
    <r>
      <rPr>
        <sz val="11"/>
        <color indexed="8"/>
        <rFont val="굴림"/>
        <family val="3"/>
        <charset val="129"/>
      </rPr>
      <t>주철관부설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접합</t>
    </r>
  </si>
  <si>
    <r>
      <t xml:space="preserve">      KP</t>
    </r>
    <r>
      <rPr>
        <sz val="11"/>
        <color indexed="8"/>
        <rFont val="굴림"/>
        <family val="3"/>
        <charset val="129"/>
      </rPr>
      <t>메커니컬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조인트관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접합및부설</t>
    </r>
  </si>
  <si>
    <t>D=300mm</t>
  </si>
  <si>
    <r>
      <t xml:space="preserve">     b.</t>
    </r>
    <r>
      <rPr>
        <sz val="11"/>
        <color indexed="8"/>
        <rFont val="굴림"/>
        <family val="3"/>
        <charset val="129"/>
      </rPr>
      <t>주철관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이형관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접합</t>
    </r>
  </si>
  <si>
    <r>
      <t xml:space="preserve">      KP</t>
    </r>
    <r>
      <rPr>
        <sz val="11"/>
        <color indexed="8"/>
        <rFont val="굴림"/>
        <family val="3"/>
        <charset val="129"/>
      </rPr>
      <t>메커니컬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조인트관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접합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이형관</t>
    </r>
    <r>
      <rPr>
        <sz val="11"/>
        <color indexed="8"/>
        <rFont val="Arial Narrow"/>
        <family val="2"/>
      </rPr>
      <t>)</t>
    </r>
  </si>
  <si>
    <r>
      <t xml:space="preserve">     c..</t>
    </r>
    <r>
      <rPr>
        <sz val="11"/>
        <color indexed="8"/>
        <rFont val="굴림"/>
        <family val="3"/>
        <charset val="129"/>
      </rPr>
      <t>이탈방지압륜접합</t>
    </r>
  </si>
  <si>
    <r>
      <t xml:space="preserve">      KP</t>
    </r>
    <r>
      <rPr>
        <sz val="11"/>
        <color indexed="8"/>
        <rFont val="굴림"/>
        <family val="3"/>
        <charset val="129"/>
      </rPr>
      <t>메커니컬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조인트관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접합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이탈방지</t>
    </r>
    <r>
      <rPr>
        <sz val="11"/>
        <color indexed="8"/>
        <rFont val="Arial Narrow"/>
        <family val="2"/>
      </rPr>
      <t>)</t>
    </r>
  </si>
  <si>
    <r>
      <t xml:space="preserve">     d.</t>
    </r>
    <r>
      <rPr>
        <sz val="11"/>
        <color indexed="8"/>
        <rFont val="굴림"/>
        <family val="3"/>
        <charset val="129"/>
      </rPr>
      <t>주철관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절단</t>
    </r>
  </si>
  <si>
    <r>
      <t xml:space="preserve">      </t>
    </r>
    <r>
      <rPr>
        <sz val="11"/>
        <color indexed="8"/>
        <rFont val="굴림"/>
        <family val="3"/>
        <charset val="129"/>
      </rPr>
      <t>주철관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절단</t>
    </r>
  </si>
  <si>
    <r>
      <t xml:space="preserve">    8.03.</t>
    </r>
    <r>
      <rPr>
        <sz val="11"/>
        <color indexed="8"/>
        <rFont val="굴림"/>
        <family val="3"/>
        <charset val="129"/>
      </rPr>
      <t>부대공</t>
    </r>
  </si>
  <si>
    <r>
      <t xml:space="preserve">     a.</t>
    </r>
    <r>
      <rPr>
        <sz val="11"/>
        <color indexed="8"/>
        <rFont val="굴림"/>
        <family val="3"/>
        <charset val="129"/>
      </rPr>
      <t>수압시험</t>
    </r>
  </si>
  <si>
    <t>300mm</t>
  </si>
  <si>
    <r>
      <t xml:space="preserve">     b.</t>
    </r>
    <r>
      <rPr>
        <sz val="11"/>
        <color indexed="8"/>
        <rFont val="굴림"/>
        <family val="3"/>
        <charset val="129"/>
      </rPr>
      <t>퇴수시험비</t>
    </r>
  </si>
  <si>
    <r>
      <t xml:space="preserve">     c.</t>
    </r>
    <r>
      <rPr>
        <sz val="11"/>
        <color indexed="8"/>
        <rFont val="굴림"/>
        <family val="3"/>
        <charset val="129"/>
      </rPr>
      <t>분기표시못</t>
    </r>
  </si>
  <si>
    <r>
      <t xml:space="preserve">     d.</t>
    </r>
    <r>
      <rPr>
        <sz val="11"/>
        <color indexed="8"/>
        <rFont val="굴림"/>
        <family val="3"/>
        <charset val="129"/>
      </rPr>
      <t>경고테이프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상수용</t>
    </r>
    <r>
      <rPr>
        <sz val="11"/>
        <color indexed="8"/>
        <rFont val="Arial Narrow"/>
        <family val="2"/>
      </rPr>
      <t>)</t>
    </r>
  </si>
  <si>
    <r>
      <t xml:space="preserve">    8.04.</t>
    </r>
    <r>
      <rPr>
        <sz val="11"/>
        <color indexed="8"/>
        <rFont val="굴림"/>
        <family val="3"/>
        <charset val="129"/>
      </rPr>
      <t>자재운반비</t>
    </r>
  </si>
  <si>
    <r>
      <t xml:space="preserve">     a.</t>
    </r>
    <r>
      <rPr>
        <sz val="11"/>
        <color indexed="8"/>
        <rFont val="굴림"/>
        <family val="3"/>
        <charset val="129"/>
      </rPr>
      <t>주철관운반</t>
    </r>
  </si>
  <si>
    <r>
      <t xml:space="preserve">    8.05.</t>
    </r>
    <r>
      <rPr>
        <sz val="11"/>
        <color indexed="8"/>
        <rFont val="굴림"/>
        <family val="3"/>
        <charset val="129"/>
      </rPr>
      <t>자재대</t>
    </r>
  </si>
  <si>
    <r>
      <t xml:space="preserve">     a.</t>
    </r>
    <r>
      <rPr>
        <sz val="11"/>
        <color indexed="8"/>
        <rFont val="굴림"/>
        <family val="3"/>
        <charset val="129"/>
      </rPr>
      <t>농수관로</t>
    </r>
  </si>
  <si>
    <r>
      <t xml:space="preserve">      </t>
    </r>
    <r>
      <rPr>
        <sz val="11"/>
        <color indexed="8"/>
        <rFont val="굴림"/>
        <family val="3"/>
        <charset val="129"/>
      </rPr>
      <t>주철관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에폭시라이닝</t>
    </r>
    <r>
      <rPr>
        <sz val="11"/>
        <color indexed="8"/>
        <rFont val="Arial Narrow"/>
        <family val="2"/>
      </rPr>
      <t>)</t>
    </r>
  </si>
  <si>
    <t>D300MM</t>
  </si>
  <si>
    <r>
      <t>09.</t>
    </r>
    <r>
      <rPr>
        <sz val="11"/>
        <color indexed="8"/>
        <rFont val="굴림"/>
        <family val="3"/>
        <charset val="129"/>
      </rPr>
      <t>하천공</t>
    </r>
  </si>
  <si>
    <r>
      <t xml:space="preserve">    9.01.</t>
    </r>
    <r>
      <rPr>
        <sz val="11"/>
        <color indexed="8"/>
        <rFont val="굴림"/>
        <family val="3"/>
        <charset val="129"/>
      </rPr>
      <t>토공</t>
    </r>
  </si>
  <si>
    <r>
      <t xml:space="preserve">     a.</t>
    </r>
    <r>
      <rPr>
        <sz val="11"/>
        <color indexed="8"/>
        <rFont val="굴림"/>
        <family val="3"/>
        <charset val="129"/>
      </rPr>
      <t>흙깎기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보통토사</t>
    </r>
  </si>
  <si>
    <r>
      <t xml:space="preserve">     c.</t>
    </r>
    <r>
      <rPr>
        <sz val="11"/>
        <color indexed="8"/>
        <rFont val="굴림"/>
        <family val="3"/>
        <charset val="129"/>
      </rPr>
      <t>흙운반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토사</t>
    </r>
  </si>
  <si>
    <r>
      <rPr>
        <sz val="11"/>
        <color indexed="8"/>
        <rFont val="굴림"/>
        <family val="3"/>
        <charset val="129"/>
      </rPr>
      <t>도저</t>
    </r>
    <r>
      <rPr>
        <sz val="11"/>
        <color indexed="8"/>
        <rFont val="Arial Narrow"/>
        <family val="2"/>
      </rPr>
      <t>19ton,(L=40m)</t>
    </r>
  </si>
  <si>
    <r>
      <t xml:space="preserve">     d.</t>
    </r>
    <r>
      <rPr>
        <sz val="11"/>
        <color indexed="8"/>
        <rFont val="굴림"/>
        <family val="3"/>
        <charset val="129"/>
      </rPr>
      <t>면고르기</t>
    </r>
  </si>
  <si>
    <r>
      <t xml:space="preserve">      d-1.</t>
    </r>
    <r>
      <rPr>
        <sz val="11"/>
        <color indexed="8"/>
        <rFont val="굴림"/>
        <family val="3"/>
        <charset val="129"/>
      </rPr>
      <t>성토면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고르기</t>
    </r>
  </si>
  <si>
    <r>
      <t xml:space="preserve">      d-2.</t>
    </r>
    <r>
      <rPr>
        <sz val="11"/>
        <color indexed="8"/>
        <rFont val="굴림"/>
        <family val="3"/>
        <charset val="129"/>
      </rPr>
      <t>흙깎기비탈면고르기</t>
    </r>
  </si>
  <si>
    <r>
      <t xml:space="preserve">     e.</t>
    </r>
    <r>
      <rPr>
        <sz val="11"/>
        <color indexed="8"/>
        <rFont val="굴림"/>
        <family val="3"/>
        <charset val="129"/>
      </rPr>
      <t>쌓기비탈면다짐</t>
    </r>
  </si>
  <si>
    <r>
      <t xml:space="preserve">     f.</t>
    </r>
    <r>
      <rPr>
        <sz val="11"/>
        <color indexed="8"/>
        <rFont val="굴림"/>
        <family val="3"/>
        <charset val="129"/>
      </rPr>
      <t>기계터파기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보통토사</t>
    </r>
    <r>
      <rPr>
        <sz val="11"/>
        <color indexed="8"/>
        <rFont val="Arial Narrow"/>
        <family val="2"/>
      </rPr>
      <t>/5m</t>
    </r>
    <r>
      <rPr>
        <sz val="11"/>
        <color indexed="8"/>
        <rFont val="굴림"/>
        <family val="3"/>
        <charset val="129"/>
      </rPr>
      <t>이하</t>
    </r>
  </si>
  <si>
    <r>
      <t xml:space="preserve">     g.</t>
    </r>
    <r>
      <rPr>
        <sz val="11"/>
        <color indexed="8"/>
        <rFont val="굴림"/>
        <family val="3"/>
        <charset val="129"/>
      </rPr>
      <t>되메우기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다짐</t>
    </r>
  </si>
  <si>
    <r>
      <t xml:space="preserve">     h.</t>
    </r>
    <r>
      <rPr>
        <sz val="11"/>
        <color indexed="8"/>
        <rFont val="굴림"/>
        <family val="3"/>
        <charset val="129"/>
      </rPr>
      <t>비탈면보호공</t>
    </r>
  </si>
  <si>
    <r>
      <t xml:space="preserve">      </t>
    </r>
    <r>
      <rPr>
        <sz val="11"/>
        <color indexed="8"/>
        <rFont val="굴림"/>
        <family val="3"/>
        <charset val="129"/>
      </rPr>
      <t>씨앗뿜어붙이기</t>
    </r>
    <r>
      <rPr>
        <sz val="11"/>
        <color indexed="8"/>
        <rFont val="Arial Narrow"/>
        <family val="2"/>
      </rPr>
      <t>(Seed spray)</t>
    </r>
  </si>
  <si>
    <r>
      <t xml:space="preserve">      </t>
    </r>
    <r>
      <rPr>
        <sz val="11"/>
        <color indexed="8"/>
        <rFont val="굴림"/>
        <family val="3"/>
        <charset val="129"/>
      </rPr>
      <t>거적덮기</t>
    </r>
  </si>
  <si>
    <r>
      <t xml:space="preserve">     i.</t>
    </r>
    <r>
      <rPr>
        <sz val="11"/>
        <color indexed="8"/>
        <rFont val="굴림"/>
        <family val="3"/>
        <charset val="129"/>
      </rPr>
      <t>규준틀</t>
    </r>
  </si>
  <si>
    <r>
      <t xml:space="preserve">      </t>
    </r>
    <r>
      <rPr>
        <sz val="11"/>
        <color indexed="8"/>
        <rFont val="굴림"/>
        <family val="3"/>
        <charset val="129"/>
      </rPr>
      <t>토공규준틀</t>
    </r>
  </si>
  <si>
    <r>
      <t xml:space="preserve">    9.02.</t>
    </r>
    <r>
      <rPr>
        <sz val="11"/>
        <color indexed="8"/>
        <rFont val="굴림"/>
        <family val="3"/>
        <charset val="129"/>
      </rPr>
      <t>호안공</t>
    </r>
  </si>
  <si>
    <r>
      <t xml:space="preserve">     a.</t>
    </r>
    <r>
      <rPr>
        <sz val="11"/>
        <color indexed="8"/>
        <rFont val="굴림"/>
        <family val="3"/>
        <charset val="129"/>
      </rPr>
      <t>전석쌓기</t>
    </r>
  </si>
  <si>
    <t>500×600×700</t>
  </si>
  <si>
    <r>
      <t xml:space="preserve">     B.</t>
    </r>
    <r>
      <rPr>
        <sz val="11"/>
        <color indexed="8"/>
        <rFont val="굴림"/>
        <family val="3"/>
        <charset val="129"/>
      </rPr>
      <t>무근콘크리트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타설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펌프차</t>
    </r>
  </si>
  <si>
    <r>
      <t xml:space="preserve">     c.</t>
    </r>
    <r>
      <rPr>
        <sz val="11"/>
        <color indexed="8"/>
        <rFont val="굴림"/>
        <family val="3"/>
        <charset val="129"/>
      </rPr>
      <t>합판거푸집</t>
    </r>
  </si>
  <si>
    <r>
      <t xml:space="preserve">     e.PVC</t>
    </r>
    <r>
      <rPr>
        <sz val="11"/>
        <color indexed="8"/>
        <rFont val="굴림"/>
        <family val="3"/>
        <charset val="129"/>
      </rPr>
      <t>파이프</t>
    </r>
  </si>
  <si>
    <r>
      <t xml:space="preserve">     f.</t>
    </r>
    <r>
      <rPr>
        <sz val="11"/>
        <color indexed="8"/>
        <rFont val="굴림"/>
        <family val="3"/>
        <charset val="129"/>
      </rPr>
      <t>모르터</t>
    </r>
  </si>
  <si>
    <r>
      <t xml:space="preserve">    9.03.</t>
    </r>
    <r>
      <rPr>
        <sz val="11"/>
        <color indexed="8"/>
        <rFont val="굴림"/>
        <family val="3"/>
        <charset val="129"/>
      </rPr>
      <t>개거공</t>
    </r>
  </si>
  <si>
    <r>
      <t xml:space="preserve">     a.</t>
    </r>
    <r>
      <rPr>
        <sz val="11"/>
        <color indexed="8"/>
        <rFont val="굴림"/>
        <family val="3"/>
        <charset val="129"/>
      </rPr>
      <t>콘크리트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타설</t>
    </r>
  </si>
  <si>
    <r>
      <t xml:space="preserve">     e.</t>
    </r>
    <r>
      <rPr>
        <sz val="11"/>
        <color indexed="8"/>
        <rFont val="굴림"/>
        <family val="3"/>
        <charset val="129"/>
      </rPr>
      <t>강관동바리</t>
    </r>
  </si>
  <si>
    <r>
      <t>2.5m</t>
    </r>
    <r>
      <rPr>
        <sz val="11"/>
        <color indexed="8"/>
        <rFont val="굴림"/>
        <family val="3"/>
        <charset val="129"/>
      </rPr>
      <t>초과∼</t>
    </r>
    <r>
      <rPr>
        <sz val="11"/>
        <color indexed="8"/>
        <rFont val="Arial Narrow"/>
        <family val="2"/>
      </rPr>
      <t>3.5m</t>
    </r>
    <r>
      <rPr>
        <sz val="11"/>
        <color indexed="8"/>
        <rFont val="굴림"/>
        <family val="3"/>
        <charset val="129"/>
      </rPr>
      <t>이하</t>
    </r>
    <r>
      <rPr>
        <sz val="11"/>
        <color indexed="8"/>
        <rFont val="Arial Narrow"/>
        <family val="2"/>
      </rPr>
      <t>,3</t>
    </r>
    <r>
      <rPr>
        <sz val="11"/>
        <color indexed="8"/>
        <rFont val="굴림"/>
        <family val="3"/>
        <charset val="129"/>
      </rPr>
      <t>개월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이하</t>
    </r>
  </si>
  <si>
    <r>
      <t xml:space="preserve">     f.</t>
    </r>
    <r>
      <rPr>
        <sz val="11"/>
        <color indexed="8"/>
        <rFont val="굴림"/>
        <family val="3"/>
        <charset val="129"/>
      </rPr>
      <t>지수판설치</t>
    </r>
  </si>
  <si>
    <r>
      <t xml:space="preserve">     g.</t>
    </r>
    <r>
      <rPr>
        <sz val="11"/>
        <color indexed="8"/>
        <rFont val="굴림"/>
        <family val="3"/>
        <charset val="129"/>
      </rPr>
      <t>신축이음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설치</t>
    </r>
  </si>
  <si>
    <r>
      <t xml:space="preserve">     h.</t>
    </r>
    <r>
      <rPr>
        <sz val="11"/>
        <color indexed="8"/>
        <rFont val="굴림"/>
        <family val="3"/>
        <charset val="129"/>
      </rPr>
      <t>신축이음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설치</t>
    </r>
  </si>
  <si>
    <r>
      <rPr>
        <sz val="11"/>
        <color indexed="8"/>
        <rFont val="굴림"/>
        <family val="3"/>
        <charset val="129"/>
      </rPr>
      <t>실링마감</t>
    </r>
  </si>
  <si>
    <r>
      <t xml:space="preserve">     i.</t>
    </r>
    <r>
      <rPr>
        <sz val="11"/>
        <color indexed="8"/>
        <rFont val="굴림"/>
        <family val="3"/>
        <charset val="129"/>
      </rPr>
      <t>수축줄눈</t>
    </r>
  </si>
  <si>
    <r>
      <t xml:space="preserve">    9.04.PC</t>
    </r>
    <r>
      <rPr>
        <sz val="11"/>
        <color indexed="8"/>
        <rFont val="굴림"/>
        <family val="3"/>
        <charset val="129"/>
      </rPr>
      <t>암거설치</t>
    </r>
  </si>
  <si>
    <r>
      <t xml:space="preserve">     a.PC BOX </t>
    </r>
    <r>
      <rPr>
        <sz val="11"/>
        <color indexed="8"/>
        <rFont val="굴림"/>
        <family val="3"/>
        <charset val="129"/>
      </rPr>
      <t>설치</t>
    </r>
    <r>
      <rPr>
        <sz val="11"/>
        <color indexed="8"/>
        <rFont val="Arial Narrow"/>
        <family val="2"/>
      </rPr>
      <t xml:space="preserve">(25ton </t>
    </r>
    <r>
      <rPr>
        <sz val="11"/>
        <color indexed="8"/>
        <rFont val="굴림"/>
        <family val="3"/>
        <charset val="129"/>
      </rPr>
      <t>미만</t>
    </r>
    <r>
      <rPr>
        <sz val="11"/>
        <color indexed="8"/>
        <rFont val="Arial Narrow"/>
        <family val="2"/>
      </rPr>
      <t>)</t>
    </r>
  </si>
  <si>
    <r>
      <t>1@4.00 X 3.00(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>0~3M,</t>
    </r>
    <r>
      <rPr>
        <sz val="11"/>
        <color indexed="8"/>
        <rFont val="굴림"/>
        <family val="3"/>
        <charset val="129"/>
      </rPr>
      <t>일반</t>
    </r>
    <r>
      <rPr>
        <sz val="11"/>
        <color indexed="8"/>
        <rFont val="Arial Narrow"/>
        <family val="2"/>
      </rPr>
      <t>)</t>
    </r>
  </si>
  <si>
    <r>
      <t xml:space="preserve">     b.PC BOX </t>
    </r>
    <r>
      <rPr>
        <sz val="11"/>
        <color indexed="8"/>
        <rFont val="굴림"/>
        <family val="3"/>
        <charset val="129"/>
      </rPr>
      <t>설치</t>
    </r>
    <r>
      <rPr>
        <sz val="11"/>
        <color indexed="8"/>
        <rFont val="Arial Narrow"/>
        <family val="2"/>
      </rPr>
      <t xml:space="preserve">(25ton </t>
    </r>
    <r>
      <rPr>
        <sz val="11"/>
        <color indexed="8"/>
        <rFont val="굴림"/>
        <family val="3"/>
        <charset val="129"/>
      </rPr>
      <t>미만</t>
    </r>
    <r>
      <rPr>
        <sz val="11"/>
        <color indexed="8"/>
        <rFont val="Arial Narrow"/>
        <family val="2"/>
      </rPr>
      <t>)</t>
    </r>
  </si>
  <si>
    <r>
      <t>1@4.00 X 3.50(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>0~3M,</t>
    </r>
    <r>
      <rPr>
        <sz val="11"/>
        <color indexed="8"/>
        <rFont val="굴림"/>
        <family val="3"/>
        <charset val="129"/>
      </rPr>
      <t>낙차</t>
    </r>
    <r>
      <rPr>
        <sz val="11"/>
        <color indexed="8"/>
        <rFont val="Arial Narrow"/>
        <family val="2"/>
      </rPr>
      <t>)</t>
    </r>
  </si>
  <si>
    <r>
      <t xml:space="preserve">     c.</t>
    </r>
    <r>
      <rPr>
        <sz val="11"/>
        <color indexed="8"/>
        <rFont val="굴림"/>
        <family val="3"/>
        <charset val="129"/>
      </rPr>
      <t>기초</t>
    </r>
  </si>
  <si>
    <r>
      <t xml:space="preserve">      </t>
    </r>
    <r>
      <rPr>
        <sz val="11"/>
        <color indexed="8"/>
        <rFont val="굴림"/>
        <family val="3"/>
        <charset val="129"/>
      </rPr>
      <t>모래부설및다짐</t>
    </r>
  </si>
  <si>
    <r>
      <t xml:space="preserve">    9.04.</t>
    </r>
    <r>
      <rPr>
        <sz val="11"/>
        <color indexed="8"/>
        <rFont val="굴림"/>
        <family val="3"/>
        <charset val="129"/>
      </rPr>
      <t>자재운반비</t>
    </r>
  </si>
  <si>
    <r>
      <t xml:space="preserve">     c.PC</t>
    </r>
    <r>
      <rPr>
        <sz val="11"/>
        <color indexed="8"/>
        <rFont val="굴림"/>
        <family val="3"/>
        <charset val="129"/>
      </rPr>
      <t>암거운반</t>
    </r>
  </si>
  <si>
    <r>
      <t xml:space="preserve">      PC</t>
    </r>
    <r>
      <rPr>
        <sz val="11"/>
        <color indexed="8"/>
        <rFont val="굴림"/>
        <family val="3"/>
        <charset val="129"/>
      </rPr>
      <t>우수암거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운반비</t>
    </r>
    <r>
      <rPr>
        <sz val="11"/>
        <color indexed="8"/>
        <rFont val="Arial Narrow"/>
        <family val="2"/>
      </rPr>
      <t>)</t>
    </r>
  </si>
  <si>
    <r>
      <t>1@4.00 X 3.50(</t>
    </r>
    <r>
      <rPr>
        <sz val="11"/>
        <color indexed="8"/>
        <rFont val="굴림"/>
        <family val="3"/>
        <charset val="129"/>
      </rPr>
      <t>토피</t>
    </r>
    <r>
      <rPr>
        <sz val="11"/>
        <color indexed="8"/>
        <rFont val="Arial Narrow"/>
        <family val="2"/>
      </rPr>
      <t xml:space="preserve"> 0~3m,</t>
    </r>
    <r>
      <rPr>
        <sz val="11"/>
        <color indexed="8"/>
        <rFont val="굴림"/>
        <family val="3"/>
        <charset val="129"/>
      </rPr>
      <t>낙차</t>
    </r>
    <r>
      <rPr>
        <sz val="11"/>
        <color indexed="8"/>
        <rFont val="Arial Narrow"/>
        <family val="2"/>
      </rPr>
      <t>)</t>
    </r>
  </si>
  <si>
    <r>
      <t xml:space="preserve">    9.05.</t>
    </r>
    <r>
      <rPr>
        <sz val="11"/>
        <color indexed="8"/>
        <rFont val="굴림"/>
        <family val="3"/>
        <charset val="129"/>
      </rPr>
      <t>자재대</t>
    </r>
  </si>
  <si>
    <r>
      <t xml:space="preserve">     b.</t>
    </r>
    <r>
      <rPr>
        <sz val="11"/>
        <color indexed="8"/>
        <rFont val="굴림"/>
        <family val="3"/>
        <charset val="129"/>
      </rPr>
      <t>철근구입</t>
    </r>
  </si>
  <si>
    <r>
      <t xml:space="preserve">      </t>
    </r>
    <r>
      <rPr>
        <sz val="11"/>
        <color indexed="8"/>
        <rFont val="굴림"/>
        <family val="3"/>
        <charset val="129"/>
      </rPr>
      <t>이형철근</t>
    </r>
    <r>
      <rPr>
        <sz val="11"/>
        <color indexed="8"/>
        <rFont val="Arial Narrow"/>
        <family val="2"/>
      </rPr>
      <t>(SD300)</t>
    </r>
  </si>
  <si>
    <t>D10mm</t>
  </si>
  <si>
    <t>D19mm</t>
  </si>
  <si>
    <r>
      <t xml:space="preserve">     c.</t>
    </r>
    <r>
      <rPr>
        <sz val="11"/>
        <color indexed="8"/>
        <rFont val="굴림"/>
        <family val="3"/>
        <charset val="129"/>
      </rPr>
      <t>골재구입</t>
    </r>
  </si>
  <si>
    <r>
      <t>Φ80mm(</t>
    </r>
    <r>
      <rPr>
        <sz val="11"/>
        <color indexed="8"/>
        <rFont val="굴림"/>
        <family val="3"/>
        <charset val="129"/>
      </rPr>
      <t>도착도</t>
    </r>
    <r>
      <rPr>
        <sz val="11"/>
        <color indexed="8"/>
        <rFont val="Arial Narrow"/>
        <family val="2"/>
      </rPr>
      <t>)</t>
    </r>
  </si>
  <si>
    <r>
      <t xml:space="preserve">     d.</t>
    </r>
    <r>
      <rPr>
        <sz val="11"/>
        <color indexed="8"/>
        <rFont val="굴림"/>
        <family val="3"/>
        <charset val="129"/>
      </rPr>
      <t>전석구입</t>
    </r>
  </si>
  <si>
    <r>
      <t xml:space="preserve">      </t>
    </r>
    <r>
      <rPr>
        <sz val="11"/>
        <color indexed="8"/>
        <rFont val="굴림"/>
        <family val="3"/>
        <charset val="129"/>
      </rPr>
      <t>전석</t>
    </r>
  </si>
  <si>
    <r>
      <t>500×600×700(</t>
    </r>
    <r>
      <rPr>
        <sz val="11"/>
        <color indexed="8"/>
        <rFont val="굴림"/>
        <family val="3"/>
        <charset val="129"/>
      </rPr>
      <t>도착도</t>
    </r>
    <r>
      <rPr>
        <sz val="11"/>
        <color indexed="8"/>
        <rFont val="Arial Narrow"/>
        <family val="2"/>
      </rPr>
      <t>)</t>
    </r>
  </si>
  <si>
    <r>
      <t xml:space="preserve">     e.</t>
    </r>
    <r>
      <rPr>
        <sz val="11"/>
        <color indexed="8"/>
        <rFont val="굴림"/>
        <family val="3"/>
        <charset val="129"/>
      </rPr>
      <t>시멘트구입</t>
    </r>
  </si>
  <si>
    <r>
      <t xml:space="preserve">      </t>
    </r>
    <r>
      <rPr>
        <sz val="11"/>
        <color indexed="8"/>
        <rFont val="굴림"/>
        <family val="3"/>
        <charset val="129"/>
      </rPr>
      <t>시멘트</t>
    </r>
  </si>
  <si>
    <r>
      <t xml:space="preserve">     f.</t>
    </r>
    <r>
      <rPr>
        <sz val="11"/>
        <color indexed="8"/>
        <rFont val="굴림"/>
        <family val="3"/>
        <charset val="129"/>
      </rPr>
      <t>모래구입</t>
    </r>
  </si>
  <si>
    <r>
      <t xml:space="preserve">      PC</t>
    </r>
    <r>
      <rPr>
        <sz val="11"/>
        <color indexed="8"/>
        <rFont val="굴림"/>
        <family val="3"/>
        <charset val="129"/>
      </rPr>
      <t>우수암거</t>
    </r>
  </si>
  <si>
    <r>
      <t>10.</t>
    </r>
    <r>
      <rPr>
        <sz val="11"/>
        <color indexed="8"/>
        <rFont val="굴림"/>
        <family val="3"/>
        <charset val="129"/>
      </rPr>
      <t>저류지공</t>
    </r>
  </si>
  <si>
    <r>
      <t xml:space="preserve">    10.01.</t>
    </r>
    <r>
      <rPr>
        <sz val="11"/>
        <color indexed="8"/>
        <rFont val="굴림"/>
        <family val="3"/>
        <charset val="129"/>
      </rPr>
      <t>토공</t>
    </r>
  </si>
  <si>
    <r>
      <t xml:space="preserve">     b.</t>
    </r>
    <r>
      <rPr>
        <sz val="11"/>
        <color indexed="8"/>
        <rFont val="굴림"/>
        <family val="3"/>
        <charset val="129"/>
      </rPr>
      <t>되메우기및다짐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기계</t>
    </r>
    <r>
      <rPr>
        <sz val="11"/>
        <color indexed="8"/>
        <rFont val="Arial Narrow"/>
        <family val="2"/>
      </rPr>
      <t>100%)</t>
    </r>
  </si>
  <si>
    <r>
      <t xml:space="preserve">    10.02.</t>
    </r>
    <r>
      <rPr>
        <sz val="11"/>
        <color indexed="8"/>
        <rFont val="굴림"/>
        <family val="3"/>
        <charset val="129"/>
      </rPr>
      <t>호안블럭</t>
    </r>
  </si>
  <si>
    <r>
      <t xml:space="preserve">     a.</t>
    </r>
    <r>
      <rPr>
        <sz val="11"/>
        <color indexed="8"/>
        <rFont val="굴림"/>
        <family val="3"/>
        <charset val="129"/>
      </rPr>
      <t>무근콘크리트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타설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펌프차</t>
    </r>
  </si>
  <si>
    <r>
      <t xml:space="preserve">     c.</t>
    </r>
    <r>
      <rPr>
        <sz val="11"/>
        <color indexed="8"/>
        <rFont val="굴림"/>
        <family val="3"/>
        <charset val="129"/>
      </rPr>
      <t>잔디붙임</t>
    </r>
  </si>
  <si>
    <r>
      <rPr>
        <sz val="11"/>
        <color indexed="8"/>
        <rFont val="굴림"/>
        <family val="3"/>
        <charset val="129"/>
      </rPr>
      <t>줄떼</t>
    </r>
  </si>
  <si>
    <r>
      <t xml:space="preserve">     d.</t>
    </r>
    <r>
      <rPr>
        <sz val="11"/>
        <color indexed="8"/>
        <rFont val="굴림"/>
        <family val="3"/>
        <charset val="129"/>
      </rPr>
      <t>호안블럭붙이기</t>
    </r>
  </si>
  <si>
    <r>
      <t xml:space="preserve">     e.</t>
    </r>
    <r>
      <rPr>
        <sz val="11"/>
        <color indexed="8"/>
        <rFont val="굴림"/>
        <family val="3"/>
        <charset val="129"/>
      </rPr>
      <t>부직포</t>
    </r>
  </si>
  <si>
    <r>
      <t xml:space="preserve">     f.</t>
    </r>
    <r>
      <rPr>
        <sz val="11"/>
        <color indexed="8"/>
        <rFont val="굴림"/>
        <family val="3"/>
        <charset val="129"/>
      </rPr>
      <t>성토면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고르기</t>
    </r>
  </si>
  <si>
    <r>
      <t xml:space="preserve">    10.03.</t>
    </r>
    <r>
      <rPr>
        <sz val="11"/>
        <color indexed="8"/>
        <rFont val="굴림"/>
        <family val="3"/>
        <charset val="129"/>
      </rPr>
      <t>휀스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출입문</t>
    </r>
  </si>
  <si>
    <r>
      <t xml:space="preserve">    10.04.</t>
    </r>
    <r>
      <rPr>
        <sz val="11"/>
        <color indexed="8"/>
        <rFont val="굴림"/>
        <family val="3"/>
        <charset val="129"/>
      </rPr>
      <t>콘크리트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포장</t>
    </r>
  </si>
  <si>
    <r>
      <t xml:space="preserve">     a.</t>
    </r>
    <r>
      <rPr>
        <sz val="11"/>
        <color indexed="8"/>
        <rFont val="굴림"/>
        <family val="3"/>
        <charset val="129"/>
      </rPr>
      <t>콘크리트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표층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인력포설</t>
    </r>
  </si>
  <si>
    <t>A-Type (T=20cm)</t>
  </si>
  <si>
    <r>
      <t xml:space="preserve">     b.</t>
    </r>
    <r>
      <rPr>
        <sz val="11"/>
        <color indexed="8"/>
        <rFont val="굴림"/>
        <family val="3"/>
        <charset val="129"/>
      </rPr>
      <t>보조기층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포설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다짐</t>
    </r>
  </si>
  <si>
    <r>
      <rPr>
        <sz val="11"/>
        <color indexed="8"/>
        <rFont val="굴림"/>
        <family val="3"/>
        <charset val="129"/>
      </rPr>
      <t>소규모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포설</t>
    </r>
  </si>
  <si>
    <r>
      <t xml:space="preserve">     c.</t>
    </r>
    <r>
      <rPr>
        <sz val="11"/>
        <color indexed="8"/>
        <rFont val="굴림"/>
        <family val="3"/>
        <charset val="129"/>
      </rPr>
      <t>콘크리트포장거푸집</t>
    </r>
  </si>
  <si>
    <t>h=20cm</t>
  </si>
  <si>
    <r>
      <t xml:space="preserve">     d.</t>
    </r>
    <r>
      <rPr>
        <sz val="11"/>
        <color indexed="8"/>
        <rFont val="굴림"/>
        <family val="3"/>
        <charset val="129"/>
      </rPr>
      <t>포장절단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줄눈설치</t>
    </r>
  </si>
  <si>
    <r>
      <t xml:space="preserve">    10.05.</t>
    </r>
    <r>
      <rPr>
        <sz val="11"/>
        <color indexed="8"/>
        <rFont val="굴림"/>
        <family val="3"/>
        <charset val="129"/>
      </rPr>
      <t>저류지안내표지판설치</t>
    </r>
  </si>
  <si>
    <r>
      <t xml:space="preserve">    10.06.</t>
    </r>
    <r>
      <rPr>
        <sz val="11"/>
        <color indexed="8"/>
        <rFont val="굴림"/>
        <family val="3"/>
        <charset val="129"/>
      </rPr>
      <t>자재운반비</t>
    </r>
  </si>
  <si>
    <r>
      <t xml:space="preserve">     a.</t>
    </r>
    <r>
      <rPr>
        <sz val="11"/>
        <color indexed="8"/>
        <rFont val="굴림"/>
        <family val="3"/>
        <charset val="129"/>
      </rPr>
      <t>식생호안블럭운반</t>
    </r>
  </si>
  <si>
    <r>
      <t>L=50km</t>
    </r>
    <r>
      <rPr>
        <sz val="11"/>
        <color indexed="8"/>
        <rFont val="굴림"/>
        <family val="3"/>
        <charset val="129"/>
      </rPr>
      <t>이내</t>
    </r>
  </si>
  <si>
    <r>
      <t xml:space="preserve">    10.07.</t>
    </r>
    <r>
      <rPr>
        <sz val="11"/>
        <color indexed="8"/>
        <rFont val="굴림"/>
        <family val="3"/>
        <charset val="129"/>
      </rPr>
      <t>자재대</t>
    </r>
  </si>
  <si>
    <r>
      <t xml:space="preserve">      a-1.</t>
    </r>
    <r>
      <rPr>
        <sz val="11"/>
        <color indexed="8"/>
        <rFont val="굴림"/>
        <family val="3"/>
        <charset val="129"/>
      </rPr>
      <t>레미콘</t>
    </r>
  </si>
  <si>
    <r>
      <t xml:space="preserve">      a-2.</t>
    </r>
    <r>
      <rPr>
        <sz val="11"/>
        <color indexed="8"/>
        <rFont val="굴림"/>
        <family val="3"/>
        <charset val="129"/>
      </rPr>
      <t>레미콘</t>
    </r>
  </si>
  <si>
    <r>
      <t xml:space="preserve">      b-1.</t>
    </r>
    <r>
      <rPr>
        <sz val="11"/>
        <color indexed="8"/>
        <rFont val="굴림"/>
        <family val="3"/>
        <charset val="129"/>
      </rPr>
      <t>보조기층</t>
    </r>
  </si>
  <si>
    <r>
      <t xml:space="preserve">     c.</t>
    </r>
    <r>
      <rPr>
        <sz val="11"/>
        <color indexed="8"/>
        <rFont val="굴림"/>
        <family val="3"/>
        <charset val="129"/>
      </rPr>
      <t>호안블럭</t>
    </r>
  </si>
  <si>
    <r>
      <t xml:space="preserve">      c-1.</t>
    </r>
    <r>
      <rPr>
        <sz val="11"/>
        <color indexed="8"/>
        <rFont val="굴림"/>
        <family val="3"/>
        <charset val="129"/>
      </rPr>
      <t>식생호안블럭</t>
    </r>
  </si>
  <si>
    <t>1000*1000*200</t>
  </si>
  <si>
    <r>
      <t xml:space="preserve">     d.</t>
    </r>
    <r>
      <rPr>
        <sz val="11"/>
        <color indexed="8"/>
        <rFont val="굴림"/>
        <family val="3"/>
        <charset val="129"/>
      </rPr>
      <t>휀스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출입문</t>
    </r>
  </si>
  <si>
    <r>
      <t xml:space="preserve">      d-1.</t>
    </r>
    <r>
      <rPr>
        <sz val="11"/>
        <color indexed="8"/>
        <rFont val="굴림"/>
        <family val="3"/>
        <charset val="129"/>
      </rPr>
      <t>휀스</t>
    </r>
    <r>
      <rPr>
        <sz val="11"/>
        <color indexed="8"/>
        <rFont val="Arial Narrow"/>
        <family val="2"/>
      </rPr>
      <t>(H=1.5, L=2.0)</t>
    </r>
  </si>
  <si>
    <r>
      <rPr>
        <sz val="11"/>
        <color indexed="8"/>
        <rFont val="굴림"/>
        <family val="3"/>
        <charset val="129"/>
      </rPr>
      <t>설치비포함</t>
    </r>
  </si>
  <si>
    <r>
      <t xml:space="preserve">      d-3..</t>
    </r>
    <r>
      <rPr>
        <sz val="11"/>
        <color indexed="8"/>
        <rFont val="굴림"/>
        <family val="3"/>
        <charset val="129"/>
      </rPr>
      <t>휀스출입문</t>
    </r>
    <r>
      <rPr>
        <sz val="11"/>
        <color indexed="8"/>
        <rFont val="Arial Narrow"/>
        <family val="2"/>
      </rPr>
      <t>(H=1.5, L=4.0)</t>
    </r>
  </si>
  <si>
    <r>
      <t xml:space="preserve">     e.</t>
    </r>
    <r>
      <rPr>
        <sz val="11"/>
        <color indexed="8"/>
        <rFont val="굴림"/>
        <family val="3"/>
        <charset val="129"/>
      </rPr>
      <t>비닐</t>
    </r>
  </si>
  <si>
    <r>
      <t xml:space="preserve">      e-1.</t>
    </r>
    <r>
      <rPr>
        <sz val="11"/>
        <color indexed="8"/>
        <rFont val="굴림"/>
        <family val="3"/>
        <charset val="129"/>
      </rPr>
      <t>비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닐</t>
    </r>
  </si>
  <si>
    <r>
      <t xml:space="preserve">PE </t>
    </r>
    <r>
      <rPr>
        <sz val="11"/>
        <color indexed="8"/>
        <rFont val="굴림"/>
        <family val="3"/>
        <charset val="129"/>
      </rPr>
      <t>필름</t>
    </r>
    <r>
      <rPr>
        <sz val="11"/>
        <color indexed="8"/>
        <rFont val="Arial Narrow"/>
        <family val="2"/>
      </rPr>
      <t>(0.03mm)</t>
    </r>
  </si>
  <si>
    <r>
      <t xml:space="preserve">     f.</t>
    </r>
    <r>
      <rPr>
        <sz val="11"/>
        <color indexed="8"/>
        <rFont val="굴림"/>
        <family val="3"/>
        <charset val="129"/>
      </rPr>
      <t>와이어메쉬</t>
    </r>
  </si>
  <si>
    <r>
      <t xml:space="preserve">      f-1.</t>
    </r>
    <r>
      <rPr>
        <sz val="11"/>
        <color indexed="8"/>
        <rFont val="굴림"/>
        <family val="3"/>
        <charset val="129"/>
      </rPr>
      <t>와이어메쉬</t>
    </r>
  </si>
  <si>
    <t>#8 150×150</t>
  </si>
  <si>
    <r>
      <t xml:space="preserve">     g.</t>
    </r>
    <r>
      <rPr>
        <sz val="11"/>
        <color indexed="8"/>
        <rFont val="굴림"/>
        <family val="3"/>
        <charset val="129"/>
      </rPr>
      <t>저류지안내표지판</t>
    </r>
  </si>
  <si>
    <r>
      <t xml:space="preserve">      g-1.</t>
    </r>
    <r>
      <rPr>
        <sz val="11"/>
        <color indexed="8"/>
        <rFont val="굴림"/>
        <family val="3"/>
        <charset val="129"/>
      </rPr>
      <t>저류지안내표지판</t>
    </r>
  </si>
  <si>
    <t>1240x50x2000</t>
  </si>
  <si>
    <r>
      <t>11.</t>
    </r>
    <r>
      <rPr>
        <sz val="11"/>
        <color indexed="8"/>
        <rFont val="굴림"/>
        <family val="3"/>
        <charset val="129"/>
      </rPr>
      <t>부대공</t>
    </r>
  </si>
  <si>
    <r>
      <t xml:space="preserve">    11.01.</t>
    </r>
    <r>
      <rPr>
        <sz val="11"/>
        <color indexed="8"/>
        <rFont val="굴림"/>
        <family val="3"/>
        <charset val="129"/>
      </rPr>
      <t>가배수로</t>
    </r>
  </si>
  <si>
    <r>
      <t xml:space="preserve">     a.</t>
    </r>
    <r>
      <rPr>
        <sz val="11"/>
        <color indexed="8"/>
        <rFont val="굴림"/>
        <family val="3"/>
        <charset val="129"/>
      </rPr>
      <t>가배수로</t>
    </r>
    <r>
      <rPr>
        <sz val="11"/>
        <color indexed="8"/>
        <rFont val="Arial Narrow"/>
        <family val="2"/>
      </rPr>
      <t>A1</t>
    </r>
  </si>
  <si>
    <t>TYPE-1, 6.82×2.50×2.40</t>
  </si>
  <si>
    <r>
      <t xml:space="preserve">     b.</t>
    </r>
    <r>
      <rPr>
        <sz val="11"/>
        <color indexed="8"/>
        <rFont val="굴림"/>
        <family val="3"/>
        <charset val="129"/>
      </rPr>
      <t>가배수로</t>
    </r>
    <r>
      <rPr>
        <sz val="11"/>
        <color indexed="8"/>
        <rFont val="Arial Narrow"/>
        <family val="2"/>
      </rPr>
      <t>A1-1</t>
    </r>
  </si>
  <si>
    <t>TYPE-2, 8.22×3.90×2.40</t>
  </si>
  <si>
    <r>
      <t xml:space="preserve">     c.</t>
    </r>
    <r>
      <rPr>
        <sz val="11"/>
        <color indexed="8"/>
        <rFont val="굴림"/>
        <family val="3"/>
        <charset val="129"/>
      </rPr>
      <t>가배수로</t>
    </r>
    <r>
      <rPr>
        <sz val="11"/>
        <color indexed="8"/>
        <rFont val="Arial Narrow"/>
        <family val="2"/>
      </rPr>
      <t>A2</t>
    </r>
  </si>
  <si>
    <t>TYPE-3, 6.40×2.40×2.20</t>
  </si>
  <si>
    <r>
      <t xml:space="preserve">     d.</t>
    </r>
    <r>
      <rPr>
        <sz val="11"/>
        <color indexed="8"/>
        <rFont val="굴림"/>
        <family val="3"/>
        <charset val="129"/>
      </rPr>
      <t>가배수로</t>
    </r>
    <r>
      <rPr>
        <sz val="11"/>
        <color indexed="8"/>
        <rFont val="Arial Narrow"/>
        <family val="2"/>
      </rPr>
      <t>A2-1</t>
    </r>
  </si>
  <si>
    <t>TYPE-4, 7.80×3.80×2.20</t>
  </si>
  <si>
    <r>
      <t xml:space="preserve">     e.</t>
    </r>
    <r>
      <rPr>
        <sz val="11"/>
        <color indexed="8"/>
        <rFont val="굴림"/>
        <family val="3"/>
        <charset val="129"/>
      </rPr>
      <t>가배수로연결관</t>
    </r>
  </si>
  <si>
    <r>
      <t xml:space="preserve">      </t>
    </r>
    <r>
      <rPr>
        <sz val="11"/>
        <color indexed="8"/>
        <rFont val="굴림"/>
        <family val="3"/>
        <charset val="129"/>
      </rPr>
      <t>원심력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철근콘크리트관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소켓식</t>
    </r>
  </si>
  <si>
    <r>
      <t xml:space="preserve">    11.02.</t>
    </r>
    <r>
      <rPr>
        <sz val="11"/>
        <color indexed="8"/>
        <rFont val="굴림"/>
        <family val="3"/>
        <charset val="129"/>
      </rPr>
      <t>임시침사지</t>
    </r>
  </si>
  <si>
    <r>
      <t xml:space="preserve">     a.</t>
    </r>
    <r>
      <rPr>
        <sz val="11"/>
        <color indexed="8"/>
        <rFont val="굴림"/>
        <family val="3"/>
        <charset val="129"/>
      </rPr>
      <t>공사용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가설침사지</t>
    </r>
  </si>
  <si>
    <t>A1, 20.00×12.00×1.50</t>
  </si>
  <si>
    <r>
      <t xml:space="preserve">     b.</t>
    </r>
    <r>
      <rPr>
        <sz val="11"/>
        <color indexed="8"/>
        <rFont val="굴림"/>
        <family val="3"/>
        <charset val="129"/>
      </rPr>
      <t>공사용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가설침사지</t>
    </r>
  </si>
  <si>
    <t>A2, 20.00×12.00×4.00</t>
  </si>
  <si>
    <r>
      <t xml:space="preserve">     c.</t>
    </r>
    <r>
      <rPr>
        <sz val="11"/>
        <color indexed="8"/>
        <rFont val="굴림"/>
        <family val="3"/>
        <charset val="129"/>
      </rPr>
      <t>공사용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가설침사지</t>
    </r>
  </si>
  <si>
    <t>T3, 33.60×11.20×1.60</t>
  </si>
  <si>
    <r>
      <t xml:space="preserve">    11.03.</t>
    </r>
    <r>
      <rPr>
        <sz val="11"/>
        <color indexed="8"/>
        <rFont val="굴림"/>
        <family val="3"/>
        <charset val="129"/>
      </rPr>
      <t>세륜세차시설</t>
    </r>
  </si>
  <si>
    <r>
      <t xml:space="preserve">      b-1.</t>
    </r>
    <r>
      <rPr>
        <sz val="11"/>
        <color indexed="8"/>
        <rFont val="굴림"/>
        <family val="3"/>
        <charset val="129"/>
      </rPr>
      <t>세륜수조기</t>
    </r>
  </si>
  <si>
    <r>
      <t xml:space="preserve">      b-2.</t>
    </r>
    <r>
      <rPr>
        <sz val="11"/>
        <color indexed="8"/>
        <rFont val="굴림"/>
        <family val="3"/>
        <charset val="129"/>
      </rPr>
      <t>세륜세차시설</t>
    </r>
  </si>
  <si>
    <r>
      <rPr>
        <sz val="11"/>
        <color indexed="8"/>
        <rFont val="굴림"/>
        <family val="3"/>
        <charset val="129"/>
      </rPr>
      <t>이동식</t>
    </r>
  </si>
  <si>
    <r>
      <t xml:space="preserve">    11.04.</t>
    </r>
    <r>
      <rPr>
        <sz val="11"/>
        <color indexed="8"/>
        <rFont val="굴림"/>
        <family val="3"/>
        <charset val="129"/>
      </rPr>
      <t>소음</t>
    </r>
    <r>
      <rPr>
        <sz val="11"/>
        <color indexed="8"/>
        <rFont val="Arial Narrow"/>
        <family val="2"/>
      </rPr>
      <t>,</t>
    </r>
    <r>
      <rPr>
        <sz val="11"/>
        <color indexed="8"/>
        <rFont val="굴림"/>
        <family val="3"/>
        <charset val="129"/>
      </rPr>
      <t>진동방지</t>
    </r>
  </si>
  <si>
    <r>
      <t xml:space="preserve">     </t>
    </r>
    <r>
      <rPr>
        <sz val="11"/>
        <color indexed="8"/>
        <rFont val="굴림"/>
        <family val="3"/>
        <charset val="129"/>
      </rPr>
      <t>가설방음벽</t>
    </r>
    <r>
      <rPr>
        <sz val="11"/>
        <color indexed="8"/>
        <rFont val="Arial Narrow"/>
        <family val="2"/>
      </rPr>
      <t>+</t>
    </r>
    <r>
      <rPr>
        <sz val="11"/>
        <color indexed="8"/>
        <rFont val="굴림"/>
        <family val="3"/>
        <charset val="129"/>
      </rPr>
      <t>방진망</t>
    </r>
  </si>
  <si>
    <r>
      <t>H=3.0m+1.00m, 36</t>
    </r>
    <r>
      <rPr>
        <sz val="11"/>
        <color indexed="8"/>
        <rFont val="굴림"/>
        <family val="3"/>
        <charset val="129"/>
      </rPr>
      <t>개월</t>
    </r>
  </si>
  <si>
    <r>
      <t xml:space="preserve">    11.05.</t>
    </r>
    <r>
      <rPr>
        <sz val="11"/>
        <color indexed="8"/>
        <rFont val="굴림"/>
        <family val="3"/>
        <charset val="129"/>
      </rPr>
      <t>대기오염방지</t>
    </r>
  </si>
  <si>
    <r>
      <t xml:space="preserve">     f.</t>
    </r>
    <r>
      <rPr>
        <sz val="11"/>
        <color indexed="8"/>
        <rFont val="굴림"/>
        <family val="3"/>
        <charset val="129"/>
      </rPr>
      <t>대기오염방지</t>
    </r>
    <r>
      <rPr>
        <sz val="11"/>
        <color indexed="8"/>
        <rFont val="Arial Narrow"/>
        <family val="2"/>
      </rPr>
      <t>,</t>
    </r>
    <r>
      <rPr>
        <sz val="11"/>
        <color indexed="8"/>
        <rFont val="굴림"/>
        <family val="3"/>
        <charset val="129"/>
      </rPr>
      <t>공사현장살수</t>
    </r>
  </si>
  <si>
    <r>
      <rPr>
        <sz val="11"/>
        <color indexed="8"/>
        <rFont val="굴림"/>
        <family val="3"/>
        <charset val="129"/>
      </rPr>
      <t>물탱크</t>
    </r>
    <r>
      <rPr>
        <sz val="11"/>
        <color indexed="8"/>
        <rFont val="Arial Narrow"/>
        <family val="2"/>
      </rPr>
      <t>16000</t>
    </r>
    <r>
      <rPr>
        <sz val="11"/>
        <color indexed="8"/>
        <rFont val="굴림"/>
        <family val="3"/>
        <charset val="129"/>
      </rPr>
      <t>ℓ</t>
    </r>
  </si>
  <si>
    <t>a</t>
  </si>
  <si>
    <r>
      <t xml:space="preserve">    11.06.</t>
    </r>
    <r>
      <rPr>
        <sz val="11"/>
        <color indexed="8"/>
        <rFont val="굴림"/>
        <family val="3"/>
        <charset val="129"/>
      </rPr>
      <t>가설사무소</t>
    </r>
  </si>
  <si>
    <r>
      <t xml:space="preserve">     a.</t>
    </r>
    <r>
      <rPr>
        <sz val="11"/>
        <color indexed="8"/>
        <rFont val="굴림"/>
        <family val="3"/>
        <charset val="129"/>
      </rPr>
      <t>가설사무소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발주자용</t>
    </r>
    <r>
      <rPr>
        <sz val="11"/>
        <color indexed="8"/>
        <rFont val="Arial Narrow"/>
        <family val="2"/>
      </rPr>
      <t>)</t>
    </r>
  </si>
  <si>
    <r>
      <rPr>
        <sz val="11"/>
        <color indexed="8"/>
        <rFont val="굴림"/>
        <family val="3"/>
        <charset val="129"/>
      </rPr>
      <t>조립식</t>
    </r>
    <r>
      <rPr>
        <sz val="11"/>
        <color indexed="8"/>
        <rFont val="Arial Narrow"/>
        <family val="2"/>
      </rPr>
      <t>, 36</t>
    </r>
    <r>
      <rPr>
        <sz val="11"/>
        <color indexed="8"/>
        <rFont val="굴림"/>
        <family val="3"/>
        <charset val="129"/>
      </rPr>
      <t>개월</t>
    </r>
  </si>
  <si>
    <r>
      <t xml:space="preserve">     b.</t>
    </r>
    <r>
      <rPr>
        <sz val="11"/>
        <color indexed="8"/>
        <rFont val="굴림"/>
        <family val="3"/>
        <charset val="129"/>
      </rPr>
      <t>가설사무소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도급자용</t>
    </r>
    <r>
      <rPr>
        <sz val="11"/>
        <color indexed="8"/>
        <rFont val="Arial Narrow"/>
        <family val="2"/>
      </rPr>
      <t>)</t>
    </r>
  </si>
  <si>
    <r>
      <t xml:space="preserve">     c.</t>
    </r>
    <r>
      <rPr>
        <sz val="11"/>
        <color indexed="8"/>
        <rFont val="굴림"/>
        <family val="3"/>
        <charset val="129"/>
      </rPr>
      <t>창고</t>
    </r>
  </si>
  <si>
    <r>
      <t xml:space="preserve">     d.</t>
    </r>
    <r>
      <rPr>
        <sz val="11"/>
        <color indexed="8"/>
        <rFont val="굴림"/>
        <family val="3"/>
        <charset val="129"/>
      </rPr>
      <t>가설사무소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숙소</t>
    </r>
    <r>
      <rPr>
        <sz val="11"/>
        <color indexed="8"/>
        <rFont val="Arial Narrow"/>
        <family val="2"/>
      </rPr>
      <t>)</t>
    </r>
  </si>
  <si>
    <r>
      <t xml:space="preserve">     e.</t>
    </r>
    <r>
      <rPr>
        <sz val="11"/>
        <color indexed="8"/>
        <rFont val="굴림"/>
        <family val="3"/>
        <charset val="129"/>
      </rPr>
      <t>시험실</t>
    </r>
  </si>
  <si>
    <r>
      <t xml:space="preserve">     f.</t>
    </r>
    <r>
      <rPr>
        <sz val="11"/>
        <color indexed="8"/>
        <rFont val="굴림"/>
        <family val="3"/>
        <charset val="129"/>
      </rPr>
      <t>가설사무실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기초콘크리트</t>
    </r>
  </si>
  <si>
    <r>
      <t xml:space="preserve">      f-1.</t>
    </r>
    <r>
      <rPr>
        <sz val="11"/>
        <color indexed="8"/>
        <rFont val="굴림"/>
        <family val="3"/>
        <charset val="129"/>
      </rPr>
      <t>콘크리트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타설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장비사용</t>
    </r>
  </si>
  <si>
    <r>
      <t xml:space="preserve">      f-2.</t>
    </r>
    <r>
      <rPr>
        <sz val="11"/>
        <color indexed="8"/>
        <rFont val="굴림"/>
        <family val="3"/>
        <charset val="129"/>
      </rPr>
      <t>합판거푸집</t>
    </r>
  </si>
  <si>
    <r>
      <t xml:space="preserve">     g.</t>
    </r>
    <r>
      <rPr>
        <sz val="11"/>
        <color indexed="8"/>
        <rFont val="굴림"/>
        <family val="3"/>
        <charset val="129"/>
      </rPr>
      <t>가설사무실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주차장포장</t>
    </r>
  </si>
  <si>
    <r>
      <t xml:space="preserve">      g-1.</t>
    </r>
    <r>
      <rPr>
        <sz val="11"/>
        <color indexed="8"/>
        <rFont val="굴림"/>
        <family val="3"/>
        <charset val="129"/>
      </rPr>
      <t>보조기층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포설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다짐</t>
    </r>
  </si>
  <si>
    <r>
      <rPr>
        <sz val="11"/>
        <color indexed="8"/>
        <rFont val="굴림"/>
        <family val="3"/>
        <charset val="129"/>
      </rPr>
      <t>본선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포설</t>
    </r>
  </si>
  <si>
    <r>
      <t xml:space="preserve">      g-2.</t>
    </r>
    <r>
      <rPr>
        <sz val="11"/>
        <color indexed="8"/>
        <rFont val="굴림"/>
        <family val="3"/>
        <charset val="129"/>
      </rPr>
      <t>프라임코팅</t>
    </r>
  </si>
  <si>
    <r>
      <t xml:space="preserve">      g-3.</t>
    </r>
    <r>
      <rPr>
        <sz val="11"/>
        <color indexed="8"/>
        <rFont val="굴림"/>
        <family val="3"/>
        <charset val="129"/>
      </rPr>
      <t>아스콘포장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기층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기계포설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대형장비</t>
    </r>
    <r>
      <rPr>
        <sz val="11"/>
        <color indexed="8"/>
        <rFont val="Arial Narrow"/>
        <family val="2"/>
      </rPr>
      <t>)</t>
    </r>
  </si>
  <si>
    <r>
      <t xml:space="preserve">     h.</t>
    </r>
    <r>
      <rPr>
        <sz val="11"/>
        <color indexed="8"/>
        <rFont val="굴림"/>
        <family val="3"/>
        <charset val="129"/>
      </rPr>
      <t>부지임대료</t>
    </r>
  </si>
  <si>
    <r>
      <t xml:space="preserve">     i.</t>
    </r>
    <r>
      <rPr>
        <sz val="11"/>
        <color indexed="8"/>
        <rFont val="굴림"/>
        <family val="3"/>
        <charset val="129"/>
      </rPr>
      <t>부지정지비</t>
    </r>
  </si>
  <si>
    <r>
      <t xml:space="preserve">     j.</t>
    </r>
    <r>
      <rPr>
        <sz val="11"/>
        <color indexed="8"/>
        <rFont val="굴림"/>
        <family val="3"/>
        <charset val="129"/>
      </rPr>
      <t>가설울타리</t>
    </r>
  </si>
  <si>
    <r>
      <t xml:space="preserve">    11.07.</t>
    </r>
    <r>
      <rPr>
        <sz val="11"/>
        <color indexed="8"/>
        <rFont val="굴림"/>
        <family val="3"/>
        <charset val="129"/>
      </rPr>
      <t>폐유류저장소</t>
    </r>
  </si>
  <si>
    <r>
      <t xml:space="preserve">     a.</t>
    </r>
    <r>
      <rPr>
        <sz val="11"/>
        <color indexed="8"/>
        <rFont val="굴림"/>
        <family val="3"/>
        <charset val="129"/>
      </rPr>
      <t>폐유저장소</t>
    </r>
  </si>
  <si>
    <t>sum</t>
  </si>
  <si>
    <r>
      <t xml:space="preserve">    11.08.</t>
    </r>
    <r>
      <rPr>
        <sz val="11"/>
        <color indexed="8"/>
        <rFont val="굴림"/>
        <family val="3"/>
        <charset val="129"/>
      </rPr>
      <t>장비운반</t>
    </r>
  </si>
  <si>
    <r>
      <t xml:space="preserve">     a.</t>
    </r>
    <r>
      <rPr>
        <sz val="11"/>
        <color indexed="8"/>
        <rFont val="굴림"/>
        <family val="3"/>
        <charset val="129"/>
      </rPr>
      <t>중기운반비</t>
    </r>
  </si>
  <si>
    <r>
      <t xml:space="preserve">    11.09.</t>
    </r>
    <r>
      <rPr>
        <sz val="11"/>
        <color indexed="8"/>
        <rFont val="굴림"/>
        <family val="3"/>
        <charset val="129"/>
      </rPr>
      <t>공사준공표지석</t>
    </r>
  </si>
  <si>
    <r>
      <t xml:space="preserve">     a.</t>
    </r>
    <r>
      <rPr>
        <sz val="11"/>
        <color indexed="8"/>
        <rFont val="굴림"/>
        <family val="3"/>
        <charset val="129"/>
      </rPr>
      <t>준공표지판설치</t>
    </r>
  </si>
  <si>
    <r>
      <rPr>
        <sz val="11"/>
        <color indexed="8"/>
        <rFont val="굴림"/>
        <family val="3"/>
        <charset val="129"/>
      </rPr>
      <t>화강석</t>
    </r>
  </si>
  <si>
    <r>
      <t xml:space="preserve">    11.10.EGI</t>
    </r>
    <r>
      <rPr>
        <sz val="11"/>
        <color indexed="8"/>
        <rFont val="굴림"/>
        <family val="3"/>
        <charset val="129"/>
      </rPr>
      <t>출입문</t>
    </r>
  </si>
  <si>
    <r>
      <t xml:space="preserve">     a.</t>
    </r>
    <r>
      <rPr>
        <sz val="11"/>
        <color indexed="8"/>
        <rFont val="굴림"/>
        <family val="3"/>
        <charset val="129"/>
      </rPr>
      <t>가설게이트</t>
    </r>
  </si>
  <si>
    <r>
      <t>W=10.0, H=6.0(</t>
    </r>
    <r>
      <rPr>
        <sz val="11"/>
        <color indexed="8"/>
        <rFont val="굴림"/>
        <family val="3"/>
        <charset val="129"/>
      </rPr>
      <t>기초포함</t>
    </r>
    <r>
      <rPr>
        <sz val="11"/>
        <color indexed="8"/>
        <rFont val="Arial Narrow"/>
        <family val="2"/>
      </rPr>
      <t>)</t>
    </r>
  </si>
  <si>
    <r>
      <t xml:space="preserve">    11.11.</t>
    </r>
    <r>
      <rPr>
        <sz val="11"/>
        <color indexed="8"/>
        <rFont val="굴림"/>
        <family val="3"/>
        <charset val="129"/>
      </rPr>
      <t>생태측구</t>
    </r>
  </si>
  <si>
    <r>
      <t xml:space="preserve">     c.</t>
    </r>
    <r>
      <rPr>
        <sz val="11"/>
        <color indexed="8"/>
        <rFont val="굴림"/>
        <family val="3"/>
        <charset val="129"/>
      </rPr>
      <t>철근가공조립</t>
    </r>
  </si>
  <si>
    <r>
      <t xml:space="preserve">      </t>
    </r>
    <r>
      <rPr>
        <sz val="11"/>
        <color indexed="8"/>
        <rFont val="굴림"/>
        <family val="3"/>
        <charset val="129"/>
      </rPr>
      <t>철근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현장가공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조립</t>
    </r>
  </si>
  <si>
    <r>
      <t xml:space="preserve">    11.15.</t>
    </r>
    <r>
      <rPr>
        <sz val="11"/>
        <color indexed="8"/>
        <rFont val="굴림"/>
        <family val="3"/>
        <charset val="129"/>
      </rPr>
      <t>오탁방지망</t>
    </r>
  </si>
  <si>
    <r>
      <t xml:space="preserve">     a.</t>
    </r>
    <r>
      <rPr>
        <sz val="11"/>
        <color indexed="8"/>
        <rFont val="굴림"/>
        <family val="3"/>
        <charset val="129"/>
      </rPr>
      <t>오탁방지망</t>
    </r>
  </si>
  <si>
    <t>1.5×20m</t>
  </si>
  <si>
    <r>
      <t xml:space="preserve">    11.16.</t>
    </r>
    <r>
      <rPr>
        <sz val="11"/>
        <color indexed="8"/>
        <rFont val="굴림"/>
        <family val="3"/>
        <charset val="129"/>
      </rPr>
      <t>동물유도울타리</t>
    </r>
  </si>
  <si>
    <r>
      <t xml:space="preserve">     a.</t>
    </r>
    <r>
      <rPr>
        <sz val="11"/>
        <color indexed="8"/>
        <rFont val="굴림"/>
        <family val="3"/>
        <charset val="129"/>
      </rPr>
      <t>동물유도메쉬휀스</t>
    </r>
  </si>
  <si>
    <r>
      <t>H=1.5M, W=2.0M(</t>
    </r>
    <r>
      <rPr>
        <sz val="11"/>
        <color indexed="8"/>
        <rFont val="굴림"/>
        <family val="3"/>
        <charset val="129"/>
      </rPr>
      <t>설치도</t>
    </r>
    <r>
      <rPr>
        <sz val="11"/>
        <color indexed="8"/>
        <rFont val="Arial Narrow"/>
        <family val="2"/>
      </rPr>
      <t>)</t>
    </r>
  </si>
  <si>
    <r>
      <t xml:space="preserve">    11.17.</t>
    </r>
    <r>
      <rPr>
        <sz val="11"/>
        <color indexed="8"/>
        <rFont val="굴림"/>
        <family val="3"/>
        <charset val="129"/>
      </rPr>
      <t>절토부점점로</t>
    </r>
  </si>
  <si>
    <r>
      <t xml:space="preserve">     a.</t>
    </r>
    <r>
      <rPr>
        <sz val="11"/>
        <color indexed="8"/>
        <rFont val="굴림"/>
        <family val="3"/>
        <charset val="129"/>
      </rPr>
      <t>인력터파기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보통토사</t>
    </r>
    <r>
      <rPr>
        <sz val="11"/>
        <color indexed="8"/>
        <rFont val="Arial Narrow"/>
        <family val="2"/>
      </rPr>
      <t>/1m</t>
    </r>
    <r>
      <rPr>
        <sz val="11"/>
        <color indexed="8"/>
        <rFont val="굴림"/>
        <family val="3"/>
        <charset val="129"/>
      </rPr>
      <t>이하</t>
    </r>
  </si>
  <si>
    <r>
      <t>(</t>
    </r>
    <r>
      <rPr>
        <sz val="11"/>
        <color indexed="8"/>
        <rFont val="굴림"/>
        <family val="3"/>
        <charset val="129"/>
      </rPr>
      <t>인력</t>
    </r>
    <r>
      <rPr>
        <sz val="11"/>
        <color indexed="8"/>
        <rFont val="Arial Narrow"/>
        <family val="2"/>
      </rPr>
      <t>100%)</t>
    </r>
  </si>
  <si>
    <r>
      <t xml:space="preserve">     c.</t>
    </r>
    <r>
      <rPr>
        <sz val="11"/>
        <color indexed="8"/>
        <rFont val="굴림"/>
        <family val="3"/>
        <charset val="129"/>
      </rPr>
      <t>무근콘크리트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타설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펌프차</t>
    </r>
  </si>
  <si>
    <r>
      <t xml:space="preserve">     d.</t>
    </r>
    <r>
      <rPr>
        <sz val="11"/>
        <color indexed="8"/>
        <rFont val="굴림"/>
        <family val="3"/>
        <charset val="129"/>
      </rPr>
      <t>점검로설치</t>
    </r>
  </si>
  <si>
    <r>
      <t xml:space="preserve">      </t>
    </r>
    <r>
      <rPr>
        <sz val="11"/>
        <color indexed="8"/>
        <rFont val="굴림"/>
        <family val="3"/>
        <charset val="129"/>
      </rPr>
      <t>전면부점검로</t>
    </r>
  </si>
  <si>
    <r>
      <rPr>
        <sz val="11"/>
        <color indexed="8"/>
        <rFont val="굴림"/>
        <family val="3"/>
        <charset val="129"/>
      </rPr>
      <t>계단부</t>
    </r>
  </si>
  <si>
    <r>
      <rPr>
        <sz val="11"/>
        <color indexed="8"/>
        <rFont val="굴림"/>
        <family val="3"/>
        <charset val="129"/>
      </rPr>
      <t>소단부</t>
    </r>
  </si>
  <si>
    <r>
      <t xml:space="preserve">    11.12.</t>
    </r>
    <r>
      <rPr>
        <sz val="11"/>
        <color indexed="8"/>
        <rFont val="굴림"/>
        <family val="3"/>
        <charset val="129"/>
      </rPr>
      <t>인공둥지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새</t>
    </r>
    <r>
      <rPr>
        <sz val="11"/>
        <color indexed="8"/>
        <rFont val="Arial Narrow"/>
        <family val="2"/>
      </rPr>
      <t>)</t>
    </r>
  </si>
  <si>
    <r>
      <t xml:space="preserve">     a.</t>
    </r>
    <r>
      <rPr>
        <sz val="11"/>
        <color indexed="8"/>
        <rFont val="굴림"/>
        <family val="3"/>
        <charset val="129"/>
      </rPr>
      <t>인공둥지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새</t>
    </r>
    <r>
      <rPr>
        <sz val="11"/>
        <color indexed="8"/>
        <rFont val="Arial Narrow"/>
        <family val="2"/>
      </rPr>
      <t>)</t>
    </r>
  </si>
  <si>
    <r>
      <t xml:space="preserve">    11.13.</t>
    </r>
    <r>
      <rPr>
        <sz val="11"/>
        <color indexed="8"/>
        <rFont val="굴림"/>
        <family val="3"/>
        <charset val="129"/>
      </rPr>
      <t>나무쌓기</t>
    </r>
  </si>
  <si>
    <r>
      <t xml:space="preserve">     a.</t>
    </r>
    <r>
      <rPr>
        <sz val="11"/>
        <color indexed="8"/>
        <rFont val="굴림"/>
        <family val="3"/>
        <charset val="129"/>
      </rPr>
      <t>나무쌓기</t>
    </r>
  </si>
  <si>
    <r>
      <t xml:space="preserve">    11.14.</t>
    </r>
    <r>
      <rPr>
        <sz val="11"/>
        <color indexed="8"/>
        <rFont val="굴림"/>
        <family val="3"/>
        <charset val="129"/>
      </rPr>
      <t>돌쌓기</t>
    </r>
  </si>
  <si>
    <r>
      <t xml:space="preserve">     a.</t>
    </r>
    <r>
      <rPr>
        <sz val="11"/>
        <color indexed="8"/>
        <rFont val="굴림"/>
        <family val="3"/>
        <charset val="129"/>
      </rPr>
      <t>돌붙임</t>
    </r>
    <r>
      <rPr>
        <sz val="11"/>
        <color indexed="8"/>
        <rFont val="Arial Narrow"/>
        <family val="2"/>
      </rPr>
      <t>/</t>
    </r>
    <r>
      <rPr>
        <sz val="11"/>
        <color indexed="8"/>
        <rFont val="굴림"/>
        <family val="3"/>
        <charset val="129"/>
      </rPr>
      <t>찰붙임</t>
    </r>
    <r>
      <rPr>
        <sz val="11"/>
        <color indexed="8"/>
        <rFont val="Arial Narrow"/>
        <family val="2"/>
      </rPr>
      <t xml:space="preserve"> (</t>
    </r>
    <r>
      <rPr>
        <sz val="11"/>
        <color indexed="8"/>
        <rFont val="굴림"/>
        <family val="3"/>
        <charset val="129"/>
      </rPr>
      <t>인력</t>
    </r>
    <r>
      <rPr>
        <sz val="11"/>
        <color indexed="8"/>
        <rFont val="Arial Narrow"/>
        <family val="2"/>
      </rPr>
      <t>50%)</t>
    </r>
  </si>
  <si>
    <r>
      <rPr>
        <sz val="11"/>
        <color indexed="8"/>
        <rFont val="굴림"/>
        <family val="3"/>
        <charset val="129"/>
      </rPr>
      <t>깬돌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뒷길이</t>
    </r>
    <r>
      <rPr>
        <sz val="11"/>
        <color indexed="8"/>
        <rFont val="Arial Narrow"/>
        <family val="2"/>
      </rPr>
      <t xml:space="preserve"> 35cm</t>
    </r>
  </si>
  <si>
    <r>
      <t xml:space="preserve">     b.</t>
    </r>
    <r>
      <rPr>
        <sz val="11"/>
        <color indexed="8"/>
        <rFont val="굴림"/>
        <family val="3"/>
        <charset val="129"/>
      </rPr>
      <t>뒷채움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다짐</t>
    </r>
  </si>
  <si>
    <r>
      <t xml:space="preserve">    11.18.</t>
    </r>
    <r>
      <rPr>
        <sz val="11"/>
        <color indexed="8"/>
        <rFont val="굴림"/>
        <family val="3"/>
        <charset val="129"/>
      </rPr>
      <t>감독차량비</t>
    </r>
  </si>
  <si>
    <r>
      <t xml:space="preserve">     a.</t>
    </r>
    <r>
      <rPr>
        <sz val="11"/>
        <color indexed="8"/>
        <rFont val="굴림"/>
        <family val="3"/>
        <charset val="129"/>
      </rPr>
      <t>감독차량비</t>
    </r>
  </si>
  <si>
    <r>
      <rPr>
        <sz val="11"/>
        <color indexed="8"/>
        <rFont val="굴림"/>
        <family val="3"/>
        <charset val="129"/>
      </rPr>
      <t>개월</t>
    </r>
  </si>
  <si>
    <r>
      <t xml:space="preserve">    11.19.</t>
    </r>
    <r>
      <rPr>
        <sz val="11"/>
        <color indexed="8"/>
        <rFont val="굴림"/>
        <family val="3"/>
        <charset val="129"/>
      </rPr>
      <t>품질관리비</t>
    </r>
  </si>
  <si>
    <r>
      <t xml:space="preserve">     a.</t>
    </r>
    <r>
      <rPr>
        <sz val="11"/>
        <color indexed="8"/>
        <rFont val="굴림"/>
        <family val="3"/>
        <charset val="129"/>
      </rPr>
      <t>품질시험비</t>
    </r>
  </si>
  <si>
    <r>
      <t xml:space="preserve">     b.</t>
    </r>
    <r>
      <rPr>
        <sz val="11"/>
        <color indexed="8"/>
        <rFont val="굴림"/>
        <family val="3"/>
        <charset val="129"/>
      </rPr>
      <t>품질시험활동비</t>
    </r>
  </si>
  <si>
    <r>
      <t xml:space="preserve">     c.</t>
    </r>
    <r>
      <rPr>
        <sz val="11"/>
        <color indexed="8"/>
        <rFont val="굴림"/>
        <family val="3"/>
        <charset val="129"/>
      </rPr>
      <t>품질관리차량비</t>
    </r>
  </si>
  <si>
    <r>
      <rPr>
        <sz val="11"/>
        <color indexed="8"/>
        <rFont val="굴림"/>
        <family val="3"/>
        <charset val="129"/>
      </rPr>
      <t>트럭</t>
    </r>
  </si>
  <si>
    <r>
      <t xml:space="preserve">     d.</t>
    </r>
    <r>
      <rPr>
        <sz val="11"/>
        <color indexed="8"/>
        <rFont val="굴림"/>
        <family val="3"/>
        <charset val="129"/>
      </rPr>
      <t>시공상세도작성비</t>
    </r>
  </si>
  <si>
    <t>p.s</t>
  </si>
  <si>
    <r>
      <t xml:space="preserve">     e.</t>
    </r>
    <r>
      <rPr>
        <sz val="11"/>
        <color indexed="8"/>
        <rFont val="굴림"/>
        <family val="3"/>
        <charset val="129"/>
      </rPr>
      <t>준공도서작성비</t>
    </r>
  </si>
  <si>
    <r>
      <t xml:space="preserve">    11.20.</t>
    </r>
    <r>
      <rPr>
        <sz val="11"/>
        <color indexed="8"/>
        <rFont val="굴림"/>
        <family val="3"/>
        <charset val="129"/>
      </rPr>
      <t>축중계</t>
    </r>
  </si>
  <si>
    <r>
      <t xml:space="preserve">     a.</t>
    </r>
    <r>
      <rPr>
        <sz val="11"/>
        <color indexed="8"/>
        <rFont val="굴림"/>
        <family val="3"/>
        <charset val="129"/>
      </rPr>
      <t>축중계</t>
    </r>
  </si>
  <si>
    <r>
      <t xml:space="preserve">    11.21.</t>
    </r>
    <r>
      <rPr>
        <sz val="11"/>
        <color indexed="8"/>
        <rFont val="굴림"/>
        <family val="3"/>
        <charset val="129"/>
      </rPr>
      <t>안전점검비</t>
    </r>
  </si>
  <si>
    <r>
      <t xml:space="preserve">     a.</t>
    </r>
    <r>
      <rPr>
        <sz val="11"/>
        <color indexed="8"/>
        <rFont val="굴림"/>
        <family val="3"/>
        <charset val="129"/>
      </rPr>
      <t>안전점검비</t>
    </r>
  </si>
  <si>
    <r>
      <t xml:space="preserve">    11.22.</t>
    </r>
    <r>
      <rPr>
        <sz val="11"/>
        <color indexed="8"/>
        <rFont val="굴림"/>
        <family val="3"/>
        <charset val="129"/>
      </rPr>
      <t>가설구조물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구조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검토비</t>
    </r>
  </si>
  <si>
    <r>
      <t xml:space="preserve">     a.</t>
    </r>
    <r>
      <rPr>
        <sz val="11"/>
        <color indexed="8"/>
        <rFont val="굴림"/>
        <family val="3"/>
        <charset val="129"/>
      </rPr>
      <t>가설구조물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구조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검토비</t>
    </r>
  </si>
  <si>
    <r>
      <rPr>
        <sz val="11"/>
        <color indexed="8"/>
        <rFont val="굴림"/>
        <family val="3"/>
        <charset val="129"/>
      </rPr>
      <t>안전관리비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건진법시행규칙제</t>
    </r>
    <r>
      <rPr>
        <sz val="11"/>
        <color indexed="8"/>
        <rFont val="Arial Narrow"/>
        <family val="2"/>
      </rPr>
      <t>60</t>
    </r>
    <r>
      <rPr>
        <sz val="11"/>
        <color indexed="8"/>
        <rFont val="굴림"/>
        <family val="3"/>
        <charset val="129"/>
      </rPr>
      <t>조</t>
    </r>
    <r>
      <rPr>
        <sz val="11"/>
        <color indexed="8"/>
        <rFont val="Arial Narrow"/>
        <family val="2"/>
      </rPr>
      <t>)</t>
    </r>
  </si>
  <si>
    <r>
      <t xml:space="preserve">    11.23.</t>
    </r>
    <r>
      <rPr>
        <sz val="11"/>
        <color indexed="8"/>
        <rFont val="굴림"/>
        <family val="3"/>
        <charset val="129"/>
      </rPr>
      <t>안전관리계획서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검토비</t>
    </r>
  </si>
  <si>
    <r>
      <t xml:space="preserve">     a.</t>
    </r>
    <r>
      <rPr>
        <sz val="11"/>
        <color indexed="8"/>
        <rFont val="굴림"/>
        <family val="3"/>
        <charset val="129"/>
      </rPr>
      <t>안전관리계획서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검토비</t>
    </r>
  </si>
  <si>
    <r>
      <t xml:space="preserve">    11.24.</t>
    </r>
    <r>
      <rPr>
        <sz val="11"/>
        <color indexed="8"/>
        <rFont val="굴림"/>
        <family val="3"/>
        <charset val="129"/>
      </rPr>
      <t>안전관리계획서작성비용</t>
    </r>
  </si>
  <si>
    <r>
      <t xml:space="preserve">     a.</t>
    </r>
    <r>
      <rPr>
        <sz val="11"/>
        <color indexed="8"/>
        <rFont val="굴림"/>
        <family val="3"/>
        <charset val="129"/>
      </rPr>
      <t>안전관리계획서작성비용</t>
    </r>
  </si>
  <si>
    <r>
      <t xml:space="preserve">    11.25.CCTV </t>
    </r>
    <r>
      <rPr>
        <sz val="11"/>
        <color indexed="8"/>
        <rFont val="굴림"/>
        <family val="3"/>
        <charset val="129"/>
      </rPr>
      <t>설치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운영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현장</t>
    </r>
    <r>
      <rPr>
        <sz val="11"/>
        <color indexed="8"/>
        <rFont val="Arial Narrow"/>
        <family val="2"/>
      </rPr>
      <t xml:space="preserve">, </t>
    </r>
    <r>
      <rPr>
        <sz val="11"/>
        <color indexed="8"/>
        <rFont val="굴림"/>
        <family val="3"/>
        <charset val="129"/>
      </rPr>
      <t>노선</t>
    </r>
    <r>
      <rPr>
        <sz val="11"/>
        <color indexed="8"/>
        <rFont val="Arial Narrow"/>
        <family val="2"/>
      </rPr>
      <t>)</t>
    </r>
  </si>
  <si>
    <r>
      <t xml:space="preserve">     a.CCTV </t>
    </r>
    <r>
      <rPr>
        <sz val="11"/>
        <color indexed="8"/>
        <rFont val="굴림"/>
        <family val="3"/>
        <charset val="129"/>
      </rPr>
      <t>설치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및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운영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현장</t>
    </r>
    <r>
      <rPr>
        <sz val="11"/>
        <color indexed="8"/>
        <rFont val="Arial Narrow"/>
        <family val="2"/>
      </rPr>
      <t xml:space="preserve">, </t>
    </r>
    <r>
      <rPr>
        <sz val="11"/>
        <color indexed="8"/>
        <rFont val="굴림"/>
        <family val="3"/>
        <charset val="129"/>
      </rPr>
      <t>노선</t>
    </r>
    <r>
      <rPr>
        <sz val="11"/>
        <color indexed="8"/>
        <rFont val="Arial Narrow"/>
        <family val="2"/>
      </rPr>
      <t>)</t>
    </r>
  </si>
  <si>
    <r>
      <t xml:space="preserve">    11.26.</t>
    </r>
    <r>
      <rPr>
        <sz val="11"/>
        <color indexed="8"/>
        <rFont val="굴림"/>
        <family val="3"/>
        <charset val="129"/>
      </rPr>
      <t>자재운반비</t>
    </r>
  </si>
  <si>
    <r>
      <t xml:space="preserve">     a.</t>
    </r>
    <r>
      <rPr>
        <sz val="11"/>
        <color indexed="8"/>
        <rFont val="굴림"/>
        <family val="3"/>
        <charset val="129"/>
      </rPr>
      <t>철근운반</t>
    </r>
  </si>
  <si>
    <r>
      <t xml:space="preserve">     b.</t>
    </r>
    <r>
      <rPr>
        <sz val="11"/>
        <color indexed="8"/>
        <rFont val="굴림"/>
        <family val="3"/>
        <charset val="129"/>
      </rPr>
      <t>흄관운반및하차비</t>
    </r>
  </si>
  <si>
    <r>
      <t xml:space="preserve">    11.27.</t>
    </r>
    <r>
      <rPr>
        <sz val="11"/>
        <color indexed="8"/>
        <rFont val="굴림"/>
        <family val="3"/>
        <charset val="129"/>
      </rPr>
      <t>자재대</t>
    </r>
  </si>
  <si>
    <r>
      <t xml:space="preserve">      </t>
    </r>
    <r>
      <rPr>
        <sz val="11"/>
        <color indexed="8"/>
        <rFont val="굴림"/>
        <family val="3"/>
        <charset val="129"/>
      </rPr>
      <t>깬잡석</t>
    </r>
  </si>
  <si>
    <t>25*25*35</t>
  </si>
  <si>
    <r>
      <t xml:space="preserve">     c.</t>
    </r>
    <r>
      <rPr>
        <sz val="11"/>
        <color indexed="8"/>
        <rFont val="굴림"/>
        <family val="3"/>
        <charset val="129"/>
      </rPr>
      <t>이형철근</t>
    </r>
  </si>
  <si>
    <r>
      <t xml:space="preserve">     d.</t>
    </r>
    <r>
      <rPr>
        <sz val="11"/>
        <color indexed="8"/>
        <rFont val="굴림"/>
        <family val="3"/>
        <charset val="129"/>
      </rPr>
      <t>흄관</t>
    </r>
  </si>
  <si>
    <r>
      <t xml:space="preserve">     e.</t>
    </r>
    <r>
      <rPr>
        <sz val="11"/>
        <color indexed="8"/>
        <rFont val="굴림"/>
        <family val="3"/>
        <charset val="129"/>
      </rPr>
      <t>아스팔트콘크리트</t>
    </r>
  </si>
  <si>
    <r>
      <rPr>
        <sz val="11"/>
        <color indexed="8"/>
        <rFont val="굴림"/>
        <family val="3"/>
        <charset val="129"/>
      </rPr>
      <t>기층</t>
    </r>
    <r>
      <rPr>
        <sz val="11"/>
        <color indexed="8"/>
        <rFont val="Arial Narrow"/>
        <family val="2"/>
      </rPr>
      <t xml:space="preserve"> #467(</t>
    </r>
    <r>
      <rPr>
        <sz val="11"/>
        <color indexed="8"/>
        <rFont val="굴림"/>
        <family val="3"/>
        <charset val="129"/>
      </rPr>
      <t>도착도</t>
    </r>
    <r>
      <rPr>
        <sz val="11"/>
        <color indexed="8"/>
        <rFont val="Arial Narrow"/>
        <family val="2"/>
      </rPr>
      <t>)</t>
    </r>
  </si>
  <si>
    <r>
      <t xml:space="preserve">     f.</t>
    </r>
    <r>
      <rPr>
        <sz val="11"/>
        <color indexed="8"/>
        <rFont val="굴림"/>
        <family val="3"/>
        <charset val="129"/>
      </rPr>
      <t>아스팔트유제</t>
    </r>
  </si>
  <si>
    <r>
      <t>12.</t>
    </r>
    <r>
      <rPr>
        <sz val="11"/>
        <color indexed="8"/>
        <rFont val="굴림"/>
        <family val="3"/>
        <charset val="129"/>
      </rPr>
      <t>폐기물처리용역</t>
    </r>
  </si>
  <si>
    <r>
      <t xml:space="preserve">    12.01.</t>
    </r>
    <r>
      <rPr>
        <sz val="11"/>
        <color indexed="8"/>
        <rFont val="굴림"/>
        <family val="3"/>
        <charset val="129"/>
      </rPr>
      <t>폐기물운반비</t>
    </r>
  </si>
  <si>
    <r>
      <t xml:space="preserve">     a.</t>
    </r>
    <r>
      <rPr>
        <sz val="11"/>
        <color indexed="8"/>
        <rFont val="굴림"/>
        <family val="3"/>
        <charset val="129"/>
      </rPr>
      <t>폐기물운반</t>
    </r>
    <r>
      <rPr>
        <sz val="11"/>
        <color indexed="8"/>
        <rFont val="Arial Narrow"/>
        <family val="2"/>
      </rPr>
      <t>(</t>
    </r>
    <r>
      <rPr>
        <sz val="11"/>
        <color indexed="8"/>
        <rFont val="굴림"/>
        <family val="3"/>
        <charset val="129"/>
      </rPr>
      <t>덤프</t>
    </r>
    <r>
      <rPr>
        <sz val="11"/>
        <color indexed="8"/>
        <rFont val="Arial Narrow"/>
        <family val="2"/>
      </rPr>
      <t>24</t>
    </r>
    <r>
      <rPr>
        <sz val="11"/>
        <color indexed="8"/>
        <rFont val="굴림"/>
        <family val="3"/>
        <charset val="129"/>
      </rPr>
      <t>톤</t>
    </r>
    <r>
      <rPr>
        <sz val="11"/>
        <color indexed="8"/>
        <rFont val="Arial Narrow"/>
        <family val="2"/>
      </rPr>
      <t>)</t>
    </r>
  </si>
  <si>
    <r>
      <t>30km</t>
    </r>
    <r>
      <rPr>
        <sz val="11"/>
        <color indexed="8"/>
        <rFont val="굴림"/>
        <family val="3"/>
        <charset val="129"/>
      </rPr>
      <t>이하</t>
    </r>
  </si>
  <si>
    <r>
      <t xml:space="preserve">    12.02.</t>
    </r>
    <r>
      <rPr>
        <sz val="11"/>
        <color indexed="8"/>
        <rFont val="굴림"/>
        <family val="3"/>
        <charset val="129"/>
      </rPr>
      <t>폐기물처리비</t>
    </r>
  </si>
  <si>
    <r>
      <t xml:space="preserve">     a.</t>
    </r>
    <r>
      <rPr>
        <sz val="11"/>
        <color indexed="8"/>
        <rFont val="굴림"/>
        <family val="3"/>
        <charset val="129"/>
      </rPr>
      <t>폐콘크리트</t>
    </r>
  </si>
  <si>
    <r>
      <t xml:space="preserve">     b.</t>
    </r>
    <r>
      <rPr>
        <sz val="11"/>
        <color indexed="8"/>
        <rFont val="굴림"/>
        <family val="3"/>
        <charset val="129"/>
      </rPr>
      <t>폐아스콘</t>
    </r>
  </si>
  <si>
    <r>
      <t xml:space="preserve">     c.</t>
    </r>
    <r>
      <rPr>
        <sz val="11"/>
        <color indexed="8"/>
        <rFont val="굴림"/>
        <family val="3"/>
        <charset val="129"/>
      </rPr>
      <t>폐목재</t>
    </r>
  </si>
  <si>
    <r>
      <t xml:space="preserve">     d.</t>
    </r>
    <r>
      <rPr>
        <sz val="11"/>
        <color indexed="8"/>
        <rFont val="굴림"/>
        <family val="3"/>
        <charset val="129"/>
      </rPr>
      <t>폐합성수지</t>
    </r>
  </si>
  <si>
    <r>
      <t xml:space="preserve">     e.</t>
    </r>
    <r>
      <rPr>
        <sz val="11"/>
        <color indexed="8"/>
        <rFont val="굴림"/>
        <family val="3"/>
        <charset val="129"/>
      </rPr>
      <t>혼합건설폐기물</t>
    </r>
  </si>
  <si>
    <r>
      <rPr>
        <sz val="11"/>
        <color indexed="8"/>
        <rFont val="굴림"/>
        <family val="3"/>
        <charset val="129"/>
      </rPr>
      <t>가연성건설폐재류</t>
    </r>
    <r>
      <rPr>
        <sz val="11"/>
        <color indexed="8"/>
        <rFont val="Arial Narrow"/>
        <family val="2"/>
      </rPr>
      <t>(5%</t>
    </r>
    <r>
      <rPr>
        <sz val="11"/>
        <color indexed="8"/>
        <rFont val="굴림"/>
        <family val="3"/>
        <charset val="129"/>
      </rPr>
      <t>이하</t>
    </r>
    <r>
      <rPr>
        <sz val="11"/>
        <color indexed="8"/>
        <rFont val="Arial Narrow"/>
        <family val="2"/>
      </rPr>
      <t>)</t>
    </r>
  </si>
  <si>
    <r>
      <t xml:space="preserve">     f.</t>
    </r>
    <r>
      <rPr>
        <sz val="11"/>
        <color indexed="8"/>
        <rFont val="굴림"/>
        <family val="3"/>
        <charset val="129"/>
      </rPr>
      <t>분뇨처리</t>
    </r>
  </si>
  <si>
    <r>
      <t xml:space="preserve">      </t>
    </r>
    <r>
      <rPr>
        <sz val="11"/>
        <color indexed="8"/>
        <rFont val="굴림"/>
        <family val="3"/>
        <charset val="129"/>
      </rPr>
      <t>분뇨수거</t>
    </r>
  </si>
  <si>
    <r>
      <rPr>
        <sz val="11"/>
        <color indexed="8"/>
        <rFont val="굴림"/>
        <family val="3"/>
        <charset val="129"/>
      </rPr>
      <t>가옥</t>
    </r>
    <r>
      <rPr>
        <sz val="11"/>
        <color indexed="8"/>
        <rFont val="Arial Narrow"/>
        <family val="2"/>
      </rPr>
      <t>,</t>
    </r>
    <r>
      <rPr>
        <sz val="11"/>
        <color indexed="8"/>
        <rFont val="굴림"/>
        <family val="3"/>
        <charset val="129"/>
      </rPr>
      <t>공장</t>
    </r>
  </si>
  <si>
    <r>
      <rPr>
        <sz val="11"/>
        <color indexed="8"/>
        <rFont val="굴림"/>
        <family val="3"/>
        <charset val="129"/>
      </rPr>
      <t>ℓ</t>
    </r>
  </si>
  <si>
    <r>
      <rPr>
        <sz val="11"/>
        <color indexed="8"/>
        <rFont val="굴림"/>
        <family val="3"/>
        <charset val="129"/>
      </rPr>
      <t>축사</t>
    </r>
  </si>
  <si>
    <r>
      <t xml:space="preserve">     g.</t>
    </r>
    <r>
      <rPr>
        <sz val="11"/>
        <color indexed="8"/>
        <rFont val="굴림"/>
        <family val="3"/>
        <charset val="129"/>
      </rPr>
      <t>고철</t>
    </r>
  </si>
  <si>
    <r>
      <rPr>
        <b/>
        <sz val="10"/>
        <rFont val="돋움"/>
        <family val="3"/>
        <charset val="129"/>
      </rPr>
      <t>구</t>
    </r>
    <r>
      <rPr>
        <b/>
        <sz val="10"/>
        <rFont val="Arial Narrow"/>
        <family val="2"/>
      </rPr>
      <t xml:space="preserve">      </t>
    </r>
    <r>
      <rPr>
        <b/>
        <sz val="10"/>
        <rFont val="돋움"/>
        <family val="3"/>
        <charset val="129"/>
      </rPr>
      <t>분</t>
    </r>
    <phoneticPr fontId="5" type="noConversion"/>
  </si>
  <si>
    <r>
      <rPr>
        <b/>
        <sz val="10"/>
        <rFont val="돋움"/>
        <family val="3"/>
        <charset val="129"/>
      </rPr>
      <t>도</t>
    </r>
    <r>
      <rPr>
        <b/>
        <sz val="10"/>
        <rFont val="Arial Narrow"/>
        <family val="2"/>
      </rPr>
      <t xml:space="preserve"> </t>
    </r>
    <r>
      <rPr>
        <b/>
        <sz val="10"/>
        <rFont val="돋움"/>
        <family val="3"/>
        <charset val="129"/>
      </rPr>
      <t>급</t>
    </r>
    <r>
      <rPr>
        <b/>
        <sz val="10"/>
        <rFont val="Arial Narrow"/>
        <family val="2"/>
      </rPr>
      <t xml:space="preserve"> </t>
    </r>
    <r>
      <rPr>
        <b/>
        <sz val="10"/>
        <rFont val="돋움"/>
        <family val="3"/>
        <charset val="129"/>
      </rPr>
      <t>금</t>
    </r>
    <r>
      <rPr>
        <b/>
        <sz val="10"/>
        <rFont val="Arial Narrow"/>
        <family val="2"/>
      </rPr>
      <t xml:space="preserve"> </t>
    </r>
    <r>
      <rPr>
        <b/>
        <sz val="10"/>
        <rFont val="돋움"/>
        <family val="3"/>
        <charset val="129"/>
      </rPr>
      <t>액</t>
    </r>
    <phoneticPr fontId="5" type="noConversion"/>
  </si>
  <si>
    <r>
      <rPr>
        <b/>
        <sz val="10"/>
        <rFont val="돋움"/>
        <family val="3"/>
        <charset val="129"/>
      </rPr>
      <t>비</t>
    </r>
    <r>
      <rPr>
        <b/>
        <sz val="10"/>
        <rFont val="Arial Narrow"/>
        <family val="2"/>
      </rPr>
      <t xml:space="preserve">    </t>
    </r>
    <r>
      <rPr>
        <b/>
        <sz val="10"/>
        <rFont val="돋움"/>
        <family val="3"/>
        <charset val="129"/>
      </rPr>
      <t>고</t>
    </r>
    <phoneticPr fontId="5" type="noConversion"/>
  </si>
  <si>
    <r>
      <t>36</t>
    </r>
    <r>
      <rPr>
        <sz val="10"/>
        <color rgb="FFFF0000"/>
        <rFont val="돋움"/>
        <family val="3"/>
        <charset val="129"/>
      </rPr>
      <t>개월</t>
    </r>
    <phoneticPr fontId="4" type="noConversion"/>
  </si>
  <si>
    <r>
      <t>50</t>
    </r>
    <r>
      <rPr>
        <sz val="10"/>
        <color rgb="FFFF0000"/>
        <rFont val="돋움"/>
        <family val="3"/>
        <charset val="129"/>
      </rPr>
      <t>억미만</t>
    </r>
    <phoneticPr fontId="4" type="noConversion"/>
  </si>
  <si>
    <r>
      <rPr>
        <sz val="10"/>
        <rFont val="돋움"/>
        <family val="3"/>
        <charset val="129"/>
      </rPr>
      <t>순
공
사
원
가</t>
    </r>
    <phoneticPr fontId="5" type="noConversion"/>
  </si>
  <si>
    <r>
      <rPr>
        <sz val="10"/>
        <rFont val="돋움"/>
        <family val="3"/>
        <charset val="129"/>
      </rPr>
      <t>재
료
비</t>
    </r>
    <phoneticPr fontId="5" type="noConversion"/>
  </si>
  <si>
    <r>
      <rPr>
        <sz val="10"/>
        <rFont val="돋움"/>
        <family val="3"/>
        <charset val="129"/>
      </rPr>
      <t>직</t>
    </r>
    <r>
      <rPr>
        <sz val="10"/>
        <rFont val="Arial Narrow"/>
        <family val="2"/>
      </rPr>
      <t xml:space="preserve">   </t>
    </r>
    <r>
      <rPr>
        <sz val="10"/>
        <rFont val="돋움"/>
        <family val="3"/>
        <charset val="129"/>
      </rPr>
      <t>접</t>
    </r>
    <r>
      <rPr>
        <sz val="10"/>
        <rFont val="Arial Narrow"/>
        <family val="2"/>
      </rPr>
      <t xml:space="preserve">   </t>
    </r>
    <r>
      <rPr>
        <sz val="10"/>
        <rFont val="돋움"/>
        <family val="3"/>
        <charset val="129"/>
      </rPr>
      <t>재</t>
    </r>
    <r>
      <rPr>
        <sz val="10"/>
        <rFont val="Arial Narrow"/>
        <family val="2"/>
      </rPr>
      <t xml:space="preserve">   </t>
    </r>
    <r>
      <rPr>
        <sz val="10"/>
        <rFont val="돋움"/>
        <family val="3"/>
        <charset val="129"/>
      </rPr>
      <t>료</t>
    </r>
    <r>
      <rPr>
        <sz val="10"/>
        <rFont val="Arial Narrow"/>
        <family val="2"/>
      </rPr>
      <t xml:space="preserve">   </t>
    </r>
    <r>
      <rPr>
        <sz val="10"/>
        <rFont val="돋움"/>
        <family val="3"/>
        <charset val="129"/>
      </rPr>
      <t>비</t>
    </r>
    <phoneticPr fontId="5" type="noConversion"/>
  </si>
  <si>
    <r>
      <rPr>
        <sz val="10"/>
        <rFont val="돋움"/>
        <family val="3"/>
        <charset val="129"/>
      </rPr>
      <t>간</t>
    </r>
    <r>
      <rPr>
        <sz val="10"/>
        <rFont val="Arial Narrow"/>
        <family val="2"/>
      </rPr>
      <t xml:space="preserve">   </t>
    </r>
    <r>
      <rPr>
        <sz val="10"/>
        <rFont val="돋움"/>
        <family val="3"/>
        <charset val="129"/>
      </rPr>
      <t>접</t>
    </r>
    <r>
      <rPr>
        <sz val="10"/>
        <rFont val="Arial Narrow"/>
        <family val="2"/>
      </rPr>
      <t xml:space="preserve">   </t>
    </r>
    <r>
      <rPr>
        <sz val="10"/>
        <rFont val="돋움"/>
        <family val="3"/>
        <charset val="129"/>
      </rPr>
      <t>재</t>
    </r>
    <r>
      <rPr>
        <sz val="10"/>
        <rFont val="Arial Narrow"/>
        <family val="2"/>
      </rPr>
      <t xml:space="preserve">   </t>
    </r>
    <r>
      <rPr>
        <sz val="10"/>
        <rFont val="돋움"/>
        <family val="3"/>
        <charset val="129"/>
      </rPr>
      <t>료</t>
    </r>
    <r>
      <rPr>
        <sz val="10"/>
        <rFont val="Arial Narrow"/>
        <family val="2"/>
      </rPr>
      <t xml:space="preserve">   </t>
    </r>
    <r>
      <rPr>
        <sz val="10"/>
        <rFont val="돋움"/>
        <family val="3"/>
        <charset val="129"/>
      </rPr>
      <t>비</t>
    </r>
    <phoneticPr fontId="5" type="noConversion"/>
  </si>
  <si>
    <r>
      <rPr>
        <sz val="10"/>
        <color indexed="8"/>
        <rFont val="돋움"/>
        <family val="3"/>
        <charset val="129"/>
      </rPr>
      <t>소</t>
    </r>
    <r>
      <rPr>
        <sz val="10"/>
        <color indexed="8"/>
        <rFont val="Arial Narrow"/>
        <family val="2"/>
      </rPr>
      <t xml:space="preserve">                    </t>
    </r>
    <r>
      <rPr>
        <sz val="10"/>
        <color indexed="8"/>
        <rFont val="돋움"/>
        <family val="3"/>
        <charset val="129"/>
      </rPr>
      <t>계</t>
    </r>
    <phoneticPr fontId="5" type="noConversion"/>
  </si>
  <si>
    <r>
      <rPr>
        <sz val="10"/>
        <rFont val="돋움"/>
        <family val="3"/>
        <charset val="129"/>
      </rPr>
      <t>노
무
비</t>
    </r>
    <phoneticPr fontId="5" type="noConversion"/>
  </si>
  <si>
    <r>
      <rPr>
        <sz val="10"/>
        <rFont val="돋움"/>
        <family val="3"/>
        <charset val="129"/>
      </rPr>
      <t>직</t>
    </r>
    <r>
      <rPr>
        <sz val="10"/>
        <rFont val="Arial Narrow"/>
        <family val="2"/>
      </rPr>
      <t xml:space="preserve">   </t>
    </r>
    <r>
      <rPr>
        <sz val="10"/>
        <rFont val="돋움"/>
        <family val="3"/>
        <charset val="129"/>
      </rPr>
      <t>접</t>
    </r>
    <r>
      <rPr>
        <sz val="10"/>
        <rFont val="Arial Narrow"/>
        <family val="2"/>
      </rPr>
      <t xml:space="preserve">   </t>
    </r>
    <r>
      <rPr>
        <sz val="10"/>
        <rFont val="돋움"/>
        <family val="3"/>
        <charset val="129"/>
      </rPr>
      <t>노</t>
    </r>
    <r>
      <rPr>
        <sz val="10"/>
        <rFont val="Arial Narrow"/>
        <family val="2"/>
      </rPr>
      <t xml:space="preserve">   </t>
    </r>
    <r>
      <rPr>
        <sz val="10"/>
        <rFont val="돋움"/>
        <family val="3"/>
        <charset val="129"/>
      </rPr>
      <t>무</t>
    </r>
    <r>
      <rPr>
        <sz val="10"/>
        <rFont val="Arial Narrow"/>
        <family val="2"/>
      </rPr>
      <t xml:space="preserve">   </t>
    </r>
    <r>
      <rPr>
        <sz val="10"/>
        <rFont val="돋움"/>
        <family val="3"/>
        <charset val="129"/>
      </rPr>
      <t>비</t>
    </r>
    <phoneticPr fontId="5" type="noConversion"/>
  </si>
  <si>
    <r>
      <rPr>
        <sz val="10"/>
        <rFont val="돋움"/>
        <family val="3"/>
        <charset val="129"/>
      </rPr>
      <t>간</t>
    </r>
    <r>
      <rPr>
        <sz val="10"/>
        <rFont val="Arial Narrow"/>
        <family val="2"/>
      </rPr>
      <t xml:space="preserve">   </t>
    </r>
    <r>
      <rPr>
        <sz val="10"/>
        <rFont val="돋움"/>
        <family val="3"/>
        <charset val="129"/>
      </rPr>
      <t>접</t>
    </r>
    <r>
      <rPr>
        <sz val="10"/>
        <rFont val="Arial Narrow"/>
        <family val="2"/>
      </rPr>
      <t xml:space="preserve">   </t>
    </r>
    <r>
      <rPr>
        <sz val="10"/>
        <rFont val="돋움"/>
        <family val="3"/>
        <charset val="129"/>
      </rPr>
      <t>노</t>
    </r>
    <r>
      <rPr>
        <sz val="10"/>
        <rFont val="Arial Narrow"/>
        <family val="2"/>
      </rPr>
      <t xml:space="preserve">   </t>
    </r>
    <r>
      <rPr>
        <sz val="10"/>
        <rFont val="돋움"/>
        <family val="3"/>
        <charset val="129"/>
      </rPr>
      <t>무</t>
    </r>
    <r>
      <rPr>
        <sz val="10"/>
        <rFont val="Arial Narrow"/>
        <family val="2"/>
      </rPr>
      <t xml:space="preserve">   </t>
    </r>
    <r>
      <rPr>
        <sz val="10"/>
        <rFont val="돋움"/>
        <family val="3"/>
        <charset val="129"/>
      </rPr>
      <t>비</t>
    </r>
    <phoneticPr fontId="5" type="noConversion"/>
  </si>
  <si>
    <r>
      <rPr>
        <sz val="10"/>
        <rFont val="돋움"/>
        <family val="3"/>
        <charset val="129"/>
      </rPr>
      <t>경
비</t>
    </r>
    <phoneticPr fontId="5" type="noConversion"/>
  </si>
  <si>
    <r>
      <rPr>
        <sz val="10"/>
        <rFont val="돋움"/>
        <family val="3"/>
        <charset val="129"/>
      </rPr>
      <t>산</t>
    </r>
    <r>
      <rPr>
        <sz val="10"/>
        <rFont val="Arial Narrow"/>
        <family val="2"/>
      </rPr>
      <t xml:space="preserve">        </t>
    </r>
    <r>
      <rPr>
        <sz val="10"/>
        <rFont val="돋움"/>
        <family val="3"/>
        <charset val="129"/>
      </rPr>
      <t>출</t>
    </r>
    <r>
      <rPr>
        <sz val="10"/>
        <rFont val="Arial Narrow"/>
        <family val="2"/>
      </rPr>
      <t xml:space="preserve">        </t>
    </r>
    <r>
      <rPr>
        <sz val="10"/>
        <rFont val="돋움"/>
        <family val="3"/>
        <charset val="129"/>
      </rPr>
      <t>경</t>
    </r>
    <r>
      <rPr>
        <sz val="10"/>
        <rFont val="Arial Narrow"/>
        <family val="2"/>
      </rPr>
      <t xml:space="preserve">       </t>
    </r>
    <r>
      <rPr>
        <sz val="10"/>
        <rFont val="돋움"/>
        <family val="3"/>
        <charset val="129"/>
      </rPr>
      <t>비</t>
    </r>
    <phoneticPr fontId="5" type="noConversion"/>
  </si>
  <si>
    <r>
      <rPr>
        <sz val="10"/>
        <rFont val="돋움"/>
        <family val="3"/>
        <charset val="129"/>
      </rPr>
      <t>산</t>
    </r>
    <r>
      <rPr>
        <sz val="10"/>
        <rFont val="Arial Narrow"/>
        <family val="2"/>
      </rPr>
      <t xml:space="preserve">     </t>
    </r>
    <r>
      <rPr>
        <sz val="10"/>
        <rFont val="돋움"/>
        <family val="3"/>
        <charset val="129"/>
      </rPr>
      <t>재</t>
    </r>
    <r>
      <rPr>
        <sz val="10"/>
        <rFont val="Arial Narrow"/>
        <family val="2"/>
      </rPr>
      <t xml:space="preserve">    </t>
    </r>
    <r>
      <rPr>
        <sz val="10"/>
        <rFont val="돋움"/>
        <family val="3"/>
        <charset val="129"/>
      </rPr>
      <t>보</t>
    </r>
    <r>
      <rPr>
        <sz val="10"/>
        <rFont val="Arial Narrow"/>
        <family val="2"/>
      </rPr>
      <t xml:space="preserve">    </t>
    </r>
    <r>
      <rPr>
        <sz val="10"/>
        <rFont val="돋움"/>
        <family val="3"/>
        <charset val="129"/>
      </rPr>
      <t>험</t>
    </r>
    <r>
      <rPr>
        <sz val="10"/>
        <rFont val="Arial Narrow"/>
        <family val="2"/>
      </rPr>
      <t xml:space="preserve">    </t>
    </r>
    <r>
      <rPr>
        <sz val="10"/>
        <rFont val="돋움"/>
        <family val="3"/>
        <charset val="129"/>
      </rPr>
      <t>료</t>
    </r>
    <phoneticPr fontId="5" type="noConversion"/>
  </si>
  <si>
    <r>
      <rPr>
        <sz val="10"/>
        <rFont val="돋움"/>
        <family val="3"/>
        <charset val="129"/>
      </rPr>
      <t>고</t>
    </r>
    <r>
      <rPr>
        <sz val="10"/>
        <rFont val="Arial Narrow"/>
        <family val="2"/>
      </rPr>
      <t xml:space="preserve">     </t>
    </r>
    <r>
      <rPr>
        <sz val="10"/>
        <rFont val="돋움"/>
        <family val="3"/>
        <charset val="129"/>
      </rPr>
      <t>용</t>
    </r>
    <r>
      <rPr>
        <sz val="10"/>
        <rFont val="Arial Narrow"/>
        <family val="2"/>
      </rPr>
      <t xml:space="preserve">    </t>
    </r>
    <r>
      <rPr>
        <sz val="10"/>
        <rFont val="돋움"/>
        <family val="3"/>
        <charset val="129"/>
      </rPr>
      <t>보</t>
    </r>
    <r>
      <rPr>
        <sz val="10"/>
        <rFont val="Arial Narrow"/>
        <family val="2"/>
      </rPr>
      <t xml:space="preserve">    </t>
    </r>
    <r>
      <rPr>
        <sz val="10"/>
        <rFont val="돋움"/>
        <family val="3"/>
        <charset val="129"/>
      </rPr>
      <t>험</t>
    </r>
    <r>
      <rPr>
        <sz val="10"/>
        <rFont val="Arial Narrow"/>
        <family val="2"/>
      </rPr>
      <t xml:space="preserve">    </t>
    </r>
    <r>
      <rPr>
        <sz val="10"/>
        <rFont val="돋움"/>
        <family val="3"/>
        <charset val="129"/>
      </rPr>
      <t>료</t>
    </r>
    <phoneticPr fontId="5" type="noConversion"/>
  </si>
  <si>
    <r>
      <rPr>
        <sz val="10"/>
        <rFont val="돋움"/>
        <family val="3"/>
        <charset val="129"/>
      </rPr>
      <t>설계금액</t>
    </r>
    <phoneticPr fontId="4" type="noConversion"/>
  </si>
  <si>
    <r>
      <rPr>
        <sz val="10"/>
        <rFont val="돋움"/>
        <family val="3"/>
        <charset val="129"/>
      </rPr>
      <t>건</t>
    </r>
    <r>
      <rPr>
        <sz val="10"/>
        <rFont val="Arial Narrow"/>
        <family val="2"/>
      </rPr>
      <t xml:space="preserve">     </t>
    </r>
    <r>
      <rPr>
        <sz val="10"/>
        <rFont val="돋움"/>
        <family val="3"/>
        <charset val="129"/>
      </rPr>
      <t>강</t>
    </r>
    <r>
      <rPr>
        <sz val="10"/>
        <rFont val="Arial Narrow"/>
        <family val="2"/>
      </rPr>
      <t xml:space="preserve">    </t>
    </r>
    <r>
      <rPr>
        <sz val="10"/>
        <rFont val="돋움"/>
        <family val="3"/>
        <charset val="129"/>
      </rPr>
      <t>보</t>
    </r>
    <r>
      <rPr>
        <sz val="10"/>
        <rFont val="Arial Narrow"/>
        <family val="2"/>
      </rPr>
      <t xml:space="preserve">    </t>
    </r>
    <r>
      <rPr>
        <sz val="10"/>
        <rFont val="돋움"/>
        <family val="3"/>
        <charset val="129"/>
      </rPr>
      <t>험</t>
    </r>
    <r>
      <rPr>
        <sz val="10"/>
        <rFont val="Arial Narrow"/>
        <family val="2"/>
      </rPr>
      <t xml:space="preserve">    </t>
    </r>
    <r>
      <rPr>
        <sz val="10"/>
        <rFont val="돋움"/>
        <family val="3"/>
        <charset val="129"/>
      </rPr>
      <t>료</t>
    </r>
    <phoneticPr fontId="5" type="noConversion"/>
  </si>
  <si>
    <r>
      <rPr>
        <sz val="10"/>
        <rFont val="돋움"/>
        <family val="3"/>
        <charset val="129"/>
      </rPr>
      <t>연</t>
    </r>
    <r>
      <rPr>
        <sz val="10"/>
        <rFont val="Arial Narrow"/>
        <family val="2"/>
      </rPr>
      <t xml:space="preserve">     </t>
    </r>
    <r>
      <rPr>
        <sz val="10"/>
        <rFont val="돋움"/>
        <family val="3"/>
        <charset val="129"/>
      </rPr>
      <t>금</t>
    </r>
    <r>
      <rPr>
        <sz val="10"/>
        <rFont val="Arial Narrow"/>
        <family val="2"/>
      </rPr>
      <t xml:space="preserve">     </t>
    </r>
    <r>
      <rPr>
        <sz val="10"/>
        <rFont val="돋움"/>
        <family val="3"/>
        <charset val="129"/>
      </rPr>
      <t>보</t>
    </r>
    <r>
      <rPr>
        <sz val="10"/>
        <rFont val="Arial Narrow"/>
        <family val="2"/>
      </rPr>
      <t xml:space="preserve">    </t>
    </r>
    <r>
      <rPr>
        <sz val="10"/>
        <rFont val="돋움"/>
        <family val="3"/>
        <charset val="129"/>
      </rPr>
      <t>험</t>
    </r>
    <r>
      <rPr>
        <sz val="10"/>
        <rFont val="Arial Narrow"/>
        <family val="2"/>
      </rPr>
      <t xml:space="preserve">    </t>
    </r>
    <r>
      <rPr>
        <sz val="10"/>
        <rFont val="돋움"/>
        <family val="3"/>
        <charset val="129"/>
      </rPr>
      <t>료</t>
    </r>
    <phoneticPr fontId="5" type="noConversion"/>
  </si>
  <si>
    <r>
      <rPr>
        <sz val="10"/>
        <rFont val="돋움"/>
        <family val="3"/>
        <charset val="129"/>
      </rPr>
      <t>퇴</t>
    </r>
    <r>
      <rPr>
        <sz val="10"/>
        <rFont val="Arial Narrow"/>
        <family val="2"/>
      </rPr>
      <t xml:space="preserve">  </t>
    </r>
    <r>
      <rPr>
        <sz val="10"/>
        <rFont val="돋움"/>
        <family val="3"/>
        <charset val="129"/>
      </rPr>
      <t>직</t>
    </r>
    <r>
      <rPr>
        <sz val="10"/>
        <rFont val="Arial Narrow"/>
        <family val="2"/>
      </rPr>
      <t xml:space="preserve">  </t>
    </r>
    <r>
      <rPr>
        <sz val="10"/>
        <rFont val="돋움"/>
        <family val="3"/>
        <charset val="129"/>
      </rPr>
      <t>공</t>
    </r>
    <r>
      <rPr>
        <sz val="10"/>
        <rFont val="Arial Narrow"/>
        <family val="2"/>
      </rPr>
      <t xml:space="preserve">  </t>
    </r>
    <r>
      <rPr>
        <sz val="10"/>
        <rFont val="돋움"/>
        <family val="3"/>
        <charset val="129"/>
      </rPr>
      <t>제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부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금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비</t>
    </r>
    <r>
      <rPr>
        <sz val="10"/>
        <rFont val="Arial Narrow"/>
        <family val="2"/>
      </rPr>
      <t xml:space="preserve"> </t>
    </r>
    <phoneticPr fontId="5" type="noConversion"/>
  </si>
  <si>
    <r>
      <rPr>
        <sz val="10"/>
        <rFont val="돋움"/>
        <family val="3"/>
        <charset val="129"/>
      </rPr>
      <t>노인장기요양보험료</t>
    </r>
    <phoneticPr fontId="5" type="noConversion"/>
  </si>
  <si>
    <r>
      <rPr>
        <sz val="10"/>
        <rFont val="돋움"/>
        <family val="3"/>
        <charset val="129"/>
      </rPr>
      <t>산업안전보건관리비</t>
    </r>
    <phoneticPr fontId="5" type="noConversion"/>
  </si>
  <si>
    <r>
      <rPr>
        <sz val="10"/>
        <rFont val="돋움"/>
        <family val="3"/>
        <charset val="129"/>
      </rPr>
      <t>기</t>
    </r>
    <r>
      <rPr>
        <sz val="10"/>
        <rFont val="Arial Narrow"/>
        <family val="2"/>
      </rPr>
      <t xml:space="preserve">        </t>
    </r>
    <r>
      <rPr>
        <sz val="10"/>
        <rFont val="돋움"/>
        <family val="3"/>
        <charset val="129"/>
      </rPr>
      <t>타</t>
    </r>
    <r>
      <rPr>
        <sz val="10"/>
        <rFont val="Arial Narrow"/>
        <family val="2"/>
      </rPr>
      <t xml:space="preserve">        </t>
    </r>
    <r>
      <rPr>
        <sz val="10"/>
        <rFont val="돋움"/>
        <family val="3"/>
        <charset val="129"/>
      </rPr>
      <t>경</t>
    </r>
    <r>
      <rPr>
        <sz val="10"/>
        <rFont val="Arial Narrow"/>
        <family val="2"/>
      </rPr>
      <t xml:space="preserve">       </t>
    </r>
    <r>
      <rPr>
        <sz val="10"/>
        <rFont val="돋움"/>
        <family val="3"/>
        <charset val="129"/>
      </rPr>
      <t>비</t>
    </r>
    <phoneticPr fontId="5" type="noConversion"/>
  </si>
  <si>
    <r>
      <rPr>
        <sz val="10"/>
        <rFont val="돋움"/>
        <family val="3"/>
        <charset val="129"/>
      </rPr>
      <t>공사이행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보증수수료</t>
    </r>
    <phoneticPr fontId="5" type="noConversion"/>
  </si>
  <si>
    <r>
      <rPr>
        <sz val="10"/>
        <rFont val="돋움"/>
        <family val="3"/>
        <charset val="129"/>
      </rPr>
      <t>환</t>
    </r>
    <r>
      <rPr>
        <sz val="10"/>
        <rFont val="Arial Narrow"/>
        <family val="2"/>
      </rPr>
      <t xml:space="preserve">    </t>
    </r>
    <r>
      <rPr>
        <sz val="10"/>
        <rFont val="돋움"/>
        <family val="3"/>
        <charset val="129"/>
      </rPr>
      <t>경</t>
    </r>
    <r>
      <rPr>
        <sz val="10"/>
        <rFont val="Arial Narrow"/>
        <family val="2"/>
      </rPr>
      <t xml:space="preserve">    </t>
    </r>
    <r>
      <rPr>
        <sz val="10"/>
        <rFont val="돋움"/>
        <family val="3"/>
        <charset val="129"/>
      </rPr>
      <t>보</t>
    </r>
    <r>
      <rPr>
        <sz val="10"/>
        <rFont val="Arial Narrow"/>
        <family val="2"/>
      </rPr>
      <t xml:space="preserve">    </t>
    </r>
    <r>
      <rPr>
        <sz val="10"/>
        <rFont val="돋움"/>
        <family val="3"/>
        <charset val="129"/>
      </rPr>
      <t>전</t>
    </r>
    <r>
      <rPr>
        <sz val="10"/>
        <rFont val="Arial Narrow"/>
        <family val="2"/>
      </rPr>
      <t xml:space="preserve">    </t>
    </r>
    <r>
      <rPr>
        <sz val="10"/>
        <rFont val="돋움"/>
        <family val="3"/>
        <charset val="129"/>
      </rPr>
      <t>비</t>
    </r>
    <phoneticPr fontId="5" type="noConversion"/>
  </si>
  <si>
    <r>
      <rPr>
        <sz val="10"/>
        <color indexed="8"/>
        <rFont val="돋움"/>
        <family val="3"/>
        <charset val="129"/>
      </rPr>
      <t>소</t>
    </r>
    <r>
      <rPr>
        <sz val="10"/>
        <color indexed="8"/>
        <rFont val="Arial Narrow"/>
        <family val="2"/>
      </rPr>
      <t xml:space="preserve">                       </t>
    </r>
    <r>
      <rPr>
        <sz val="10"/>
        <color indexed="8"/>
        <rFont val="돋움"/>
        <family val="3"/>
        <charset val="129"/>
      </rPr>
      <t>계</t>
    </r>
    <phoneticPr fontId="5" type="noConversion"/>
  </si>
  <si>
    <r>
      <rPr>
        <b/>
        <sz val="10"/>
        <rFont val="돋움"/>
        <family val="3"/>
        <charset val="129"/>
      </rPr>
      <t>합</t>
    </r>
    <r>
      <rPr>
        <b/>
        <sz val="10"/>
        <rFont val="Arial Narrow"/>
        <family val="2"/>
      </rPr>
      <t xml:space="preserve">                                                        </t>
    </r>
    <r>
      <rPr>
        <b/>
        <sz val="10"/>
        <rFont val="돋움"/>
        <family val="3"/>
        <charset val="129"/>
      </rPr>
      <t>계</t>
    </r>
    <phoneticPr fontId="5" type="noConversion"/>
  </si>
  <si>
    <r>
      <rPr>
        <b/>
        <sz val="10"/>
        <rFont val="돋움"/>
        <family val="3"/>
        <charset val="129"/>
      </rPr>
      <t>총</t>
    </r>
    <r>
      <rPr>
        <b/>
        <sz val="10"/>
        <rFont val="Arial Narrow"/>
        <family val="2"/>
      </rPr>
      <t xml:space="preserve">                </t>
    </r>
    <r>
      <rPr>
        <b/>
        <sz val="10"/>
        <rFont val="돋움"/>
        <family val="3"/>
        <charset val="129"/>
      </rPr>
      <t>공</t>
    </r>
    <r>
      <rPr>
        <b/>
        <sz val="10"/>
        <rFont val="Arial Narrow"/>
        <family val="2"/>
      </rPr>
      <t xml:space="preserve">                </t>
    </r>
    <r>
      <rPr>
        <b/>
        <sz val="10"/>
        <rFont val="돋움"/>
        <family val="3"/>
        <charset val="129"/>
      </rPr>
      <t>사</t>
    </r>
    <r>
      <rPr>
        <b/>
        <sz val="10"/>
        <rFont val="Arial Narrow"/>
        <family val="2"/>
      </rPr>
      <t xml:space="preserve">                </t>
    </r>
    <r>
      <rPr>
        <b/>
        <sz val="10"/>
        <rFont val="돋움"/>
        <family val="3"/>
        <charset val="129"/>
      </rPr>
      <t>비</t>
    </r>
    <phoneticPr fontId="5" type="noConversion"/>
  </si>
  <si>
    <t>건설기계대여대금지급보증서</t>
    <phoneticPr fontId="5" type="noConversion"/>
  </si>
  <si>
    <t>건설하도급대금지급보증서발급수수료</t>
    <phoneticPr fontId="5" type="noConversion"/>
  </si>
  <si>
    <t>사면</t>
    <phoneticPr fontId="4" type="noConversion"/>
  </si>
  <si>
    <r>
      <rPr>
        <sz val="10"/>
        <rFont val="돋움"/>
        <family val="3"/>
        <charset val="129"/>
      </rPr>
      <t>건</t>
    </r>
    <r>
      <rPr>
        <sz val="10"/>
        <rFont val="Arial Narrow"/>
        <family val="2"/>
      </rPr>
      <t xml:space="preserve">     </t>
    </r>
    <r>
      <rPr>
        <sz val="10"/>
        <rFont val="돋움"/>
        <family val="3"/>
        <charset val="129"/>
      </rPr>
      <t>강</t>
    </r>
    <r>
      <rPr>
        <sz val="10"/>
        <rFont val="Arial Narrow"/>
        <family val="2"/>
      </rPr>
      <t xml:space="preserve">    </t>
    </r>
    <r>
      <rPr>
        <sz val="10"/>
        <rFont val="돋움"/>
        <family val="3"/>
        <charset val="129"/>
      </rPr>
      <t>보</t>
    </r>
    <r>
      <rPr>
        <sz val="10"/>
        <rFont val="Arial Narrow"/>
        <family val="2"/>
      </rPr>
      <t xml:space="preserve">    </t>
    </r>
    <r>
      <rPr>
        <sz val="10"/>
        <rFont val="돋움"/>
        <family val="3"/>
        <charset val="129"/>
      </rPr>
      <t>험</t>
    </r>
    <r>
      <rPr>
        <sz val="10"/>
        <rFont val="Arial Narrow"/>
        <family val="2"/>
      </rPr>
      <t xml:space="preserve">    </t>
    </r>
    <r>
      <rPr>
        <sz val="10"/>
        <rFont val="돋움"/>
        <family val="3"/>
        <charset val="129"/>
      </rPr>
      <t>료</t>
    </r>
    <phoneticPr fontId="5" type="noConversion"/>
  </si>
  <si>
    <r>
      <rPr>
        <sz val="10"/>
        <rFont val="돋움"/>
        <family val="3"/>
        <charset val="129"/>
      </rPr>
      <t>시</t>
    </r>
    <r>
      <rPr>
        <sz val="10"/>
        <rFont val="Arial Narrow"/>
        <family val="2"/>
      </rPr>
      <t xml:space="preserve">       </t>
    </r>
    <r>
      <rPr>
        <sz val="10"/>
        <rFont val="돋움"/>
        <family val="3"/>
        <charset val="129"/>
      </rPr>
      <t>공</t>
    </r>
    <r>
      <rPr>
        <sz val="10"/>
        <rFont val="Arial Narrow"/>
        <family val="2"/>
      </rPr>
      <t xml:space="preserve">      </t>
    </r>
    <r>
      <rPr>
        <sz val="10"/>
        <rFont val="돋움"/>
        <family val="3"/>
        <charset val="129"/>
      </rPr>
      <t>측</t>
    </r>
    <r>
      <rPr>
        <sz val="10"/>
        <rFont val="Arial Narrow"/>
        <family val="2"/>
      </rPr>
      <t xml:space="preserve">       </t>
    </r>
    <r>
      <rPr>
        <sz val="10"/>
        <rFont val="돋움"/>
        <family val="3"/>
        <charset val="129"/>
      </rPr>
      <t>량</t>
    </r>
    <r>
      <rPr>
        <sz val="10"/>
        <rFont val="Arial Narrow"/>
        <family val="2"/>
      </rPr>
      <t xml:space="preserve">       </t>
    </r>
    <r>
      <rPr>
        <sz val="10"/>
        <rFont val="돋움"/>
        <family val="3"/>
        <charset val="129"/>
      </rPr>
      <t>비</t>
    </r>
    <phoneticPr fontId="4" type="noConversion"/>
  </si>
  <si>
    <t>토 목</t>
    <phoneticPr fontId="5" type="noConversion"/>
  </si>
  <si>
    <t>전 기</t>
    <phoneticPr fontId="5" type="noConversion"/>
  </si>
  <si>
    <t>합 계</t>
    <phoneticPr fontId="5" type="noConversion"/>
  </si>
  <si>
    <r>
      <t xml:space="preserve"> </t>
    </r>
    <r>
      <rPr>
        <b/>
        <sz val="18"/>
        <rFont val="돋움"/>
        <family val="3"/>
        <charset val="129"/>
      </rPr>
      <t>원</t>
    </r>
    <r>
      <rPr>
        <b/>
        <sz val="18"/>
        <rFont val="Arial Narrow"/>
        <family val="2"/>
      </rPr>
      <t xml:space="preserve">   </t>
    </r>
    <r>
      <rPr>
        <b/>
        <sz val="18"/>
        <rFont val="돋움"/>
        <family val="3"/>
        <charset val="129"/>
      </rPr>
      <t>가</t>
    </r>
    <r>
      <rPr>
        <b/>
        <sz val="18"/>
        <rFont val="Arial Narrow"/>
        <family val="2"/>
      </rPr>
      <t xml:space="preserve">   </t>
    </r>
    <r>
      <rPr>
        <b/>
        <sz val="18"/>
        <rFont val="돋움"/>
        <family val="3"/>
        <charset val="129"/>
      </rPr>
      <t>계</t>
    </r>
    <r>
      <rPr>
        <b/>
        <sz val="18"/>
        <rFont val="Arial Narrow"/>
        <family val="2"/>
      </rPr>
      <t xml:space="preserve">   </t>
    </r>
    <r>
      <rPr>
        <b/>
        <sz val="18"/>
        <rFont val="돋움"/>
        <family val="3"/>
        <charset val="129"/>
      </rPr>
      <t>산</t>
    </r>
    <r>
      <rPr>
        <b/>
        <sz val="18"/>
        <rFont val="Arial Narrow"/>
        <family val="2"/>
      </rPr>
      <t xml:space="preserve">   </t>
    </r>
    <r>
      <rPr>
        <b/>
        <sz val="18"/>
        <rFont val="돋움"/>
        <family val="3"/>
        <charset val="129"/>
      </rPr>
      <t>서</t>
    </r>
    <r>
      <rPr>
        <b/>
        <sz val="18"/>
        <rFont val="Arial Narrow"/>
        <family val="2"/>
      </rPr>
      <t xml:space="preserve"> (</t>
    </r>
    <r>
      <rPr>
        <b/>
        <sz val="18"/>
        <rFont val="돋움"/>
        <family val="3"/>
        <charset val="129"/>
      </rPr>
      <t>총괄</t>
    </r>
    <r>
      <rPr>
        <b/>
        <sz val="18"/>
        <rFont val="Arial Narrow"/>
        <family val="2"/>
      </rPr>
      <t>)</t>
    </r>
    <phoneticPr fontId="5" type="noConversion"/>
  </si>
  <si>
    <r>
      <t xml:space="preserve"> </t>
    </r>
    <r>
      <rPr>
        <b/>
        <sz val="18"/>
        <rFont val="돋움"/>
        <family val="3"/>
        <charset val="129"/>
      </rPr>
      <t>원</t>
    </r>
    <r>
      <rPr>
        <b/>
        <sz val="18"/>
        <rFont val="Arial Narrow"/>
        <family val="2"/>
      </rPr>
      <t xml:space="preserve">   </t>
    </r>
    <r>
      <rPr>
        <b/>
        <sz val="18"/>
        <rFont val="돋움"/>
        <family val="3"/>
        <charset val="129"/>
      </rPr>
      <t>가</t>
    </r>
    <r>
      <rPr>
        <b/>
        <sz val="18"/>
        <rFont val="Arial Narrow"/>
        <family val="2"/>
      </rPr>
      <t xml:space="preserve">   </t>
    </r>
    <r>
      <rPr>
        <b/>
        <sz val="18"/>
        <rFont val="돋움"/>
        <family val="3"/>
        <charset val="129"/>
      </rPr>
      <t>계</t>
    </r>
    <r>
      <rPr>
        <b/>
        <sz val="18"/>
        <rFont val="Arial Narrow"/>
        <family val="2"/>
      </rPr>
      <t xml:space="preserve">   </t>
    </r>
    <r>
      <rPr>
        <b/>
        <sz val="18"/>
        <rFont val="돋움"/>
        <family val="3"/>
        <charset val="129"/>
      </rPr>
      <t>산</t>
    </r>
    <r>
      <rPr>
        <b/>
        <sz val="18"/>
        <rFont val="Arial Narrow"/>
        <family val="2"/>
      </rPr>
      <t xml:space="preserve">   </t>
    </r>
    <r>
      <rPr>
        <b/>
        <sz val="18"/>
        <rFont val="돋움"/>
        <family val="3"/>
        <charset val="129"/>
      </rPr>
      <t>서</t>
    </r>
    <r>
      <rPr>
        <b/>
        <sz val="18"/>
        <rFont val="Arial Narrow"/>
        <family val="2"/>
      </rPr>
      <t xml:space="preserve"> (</t>
    </r>
    <r>
      <rPr>
        <b/>
        <sz val="18"/>
        <rFont val="돋움"/>
        <family val="3"/>
        <charset val="129"/>
      </rPr>
      <t>토목</t>
    </r>
    <r>
      <rPr>
        <b/>
        <sz val="18"/>
        <rFont val="Arial Narrow"/>
        <family val="2"/>
      </rPr>
      <t>)</t>
    </r>
    <phoneticPr fontId="5" type="noConversion"/>
  </si>
  <si>
    <r>
      <t xml:space="preserve"> </t>
    </r>
    <r>
      <rPr>
        <b/>
        <sz val="18"/>
        <rFont val="돋움"/>
        <family val="3"/>
        <charset val="129"/>
      </rPr>
      <t>원</t>
    </r>
    <r>
      <rPr>
        <b/>
        <sz val="18"/>
        <rFont val="Arial Narrow"/>
        <family val="2"/>
      </rPr>
      <t xml:space="preserve">   </t>
    </r>
    <r>
      <rPr>
        <b/>
        <sz val="18"/>
        <rFont val="돋움"/>
        <family val="3"/>
        <charset val="129"/>
      </rPr>
      <t>가</t>
    </r>
    <r>
      <rPr>
        <b/>
        <sz val="18"/>
        <rFont val="Arial Narrow"/>
        <family val="2"/>
      </rPr>
      <t xml:space="preserve">   </t>
    </r>
    <r>
      <rPr>
        <b/>
        <sz val="18"/>
        <rFont val="돋움"/>
        <family val="3"/>
        <charset val="129"/>
      </rPr>
      <t>계</t>
    </r>
    <r>
      <rPr>
        <b/>
        <sz val="18"/>
        <rFont val="Arial Narrow"/>
        <family val="2"/>
      </rPr>
      <t xml:space="preserve">   </t>
    </r>
    <r>
      <rPr>
        <b/>
        <sz val="18"/>
        <rFont val="돋움"/>
        <family val="3"/>
        <charset val="129"/>
      </rPr>
      <t>산</t>
    </r>
    <r>
      <rPr>
        <b/>
        <sz val="18"/>
        <rFont val="Arial Narrow"/>
        <family val="2"/>
      </rPr>
      <t xml:space="preserve">   </t>
    </r>
    <r>
      <rPr>
        <b/>
        <sz val="18"/>
        <rFont val="돋움"/>
        <family val="3"/>
        <charset val="129"/>
      </rPr>
      <t>서</t>
    </r>
    <r>
      <rPr>
        <b/>
        <sz val="18"/>
        <rFont val="Arial Narrow"/>
        <family val="2"/>
      </rPr>
      <t xml:space="preserve"> (</t>
    </r>
    <r>
      <rPr>
        <b/>
        <sz val="18"/>
        <rFont val="돋움"/>
        <family val="3"/>
        <charset val="129"/>
      </rPr>
      <t>전기</t>
    </r>
    <r>
      <rPr>
        <b/>
        <sz val="18"/>
        <rFont val="Arial Narrow"/>
        <family val="2"/>
      </rPr>
      <t>)</t>
    </r>
    <phoneticPr fontId="5" type="noConversion"/>
  </si>
  <si>
    <r>
      <t xml:space="preserve">   1.</t>
    </r>
    <r>
      <rPr>
        <sz val="11"/>
        <color indexed="8"/>
        <rFont val="굴림"/>
        <family val="3"/>
        <charset val="129"/>
      </rPr>
      <t>토목공사</t>
    </r>
    <phoneticPr fontId="4" type="noConversion"/>
  </si>
  <si>
    <r>
      <t xml:space="preserve">   2.</t>
    </r>
    <r>
      <rPr>
        <sz val="11"/>
        <color indexed="8"/>
        <rFont val="돋움"/>
        <family val="3"/>
        <charset val="129"/>
      </rPr>
      <t>전기공사</t>
    </r>
    <phoneticPr fontId="4" type="noConversion"/>
  </si>
  <si>
    <r>
      <t xml:space="preserve">   </t>
    </r>
    <r>
      <rPr>
        <sz val="11"/>
        <color indexed="8"/>
        <rFont val="굴림"/>
        <family val="3"/>
        <charset val="129"/>
      </rPr>
      <t>도</t>
    </r>
    <r>
      <rPr>
        <sz val="11"/>
        <color indexed="8"/>
        <rFont val="Arial Narrow"/>
        <family val="2"/>
      </rPr>
      <t xml:space="preserve">       </t>
    </r>
    <r>
      <rPr>
        <sz val="11"/>
        <color indexed="8"/>
        <rFont val="굴림"/>
        <family val="3"/>
        <charset val="129"/>
      </rPr>
      <t>급</t>
    </r>
    <r>
      <rPr>
        <sz val="11"/>
        <color indexed="8"/>
        <rFont val="Arial Narrow"/>
        <family val="2"/>
      </rPr>
      <t xml:space="preserve">       </t>
    </r>
    <r>
      <rPr>
        <sz val="11"/>
        <color indexed="8"/>
        <rFont val="굴림"/>
        <family val="3"/>
        <charset val="129"/>
      </rPr>
      <t>액</t>
    </r>
    <phoneticPr fontId="4" type="noConversion"/>
  </si>
  <si>
    <r>
      <t xml:space="preserve">   </t>
    </r>
    <r>
      <rPr>
        <sz val="11"/>
        <color indexed="8"/>
        <rFont val="굴림"/>
        <family val="3"/>
        <charset val="129"/>
      </rPr>
      <t>공</t>
    </r>
    <r>
      <rPr>
        <sz val="11"/>
        <color indexed="8"/>
        <rFont val="Arial Narrow"/>
        <family val="2"/>
      </rPr>
      <t xml:space="preserve">   </t>
    </r>
    <r>
      <rPr>
        <sz val="11"/>
        <color indexed="8"/>
        <rFont val="굴림"/>
        <family val="3"/>
        <charset val="129"/>
      </rPr>
      <t>급</t>
    </r>
    <r>
      <rPr>
        <sz val="11"/>
        <color indexed="8"/>
        <rFont val="Arial Narrow"/>
        <family val="2"/>
      </rPr>
      <t xml:space="preserve">   </t>
    </r>
    <r>
      <rPr>
        <sz val="11"/>
        <color indexed="8"/>
        <rFont val="굴림"/>
        <family val="3"/>
        <charset val="129"/>
      </rPr>
      <t>가</t>
    </r>
    <r>
      <rPr>
        <sz val="11"/>
        <color indexed="8"/>
        <rFont val="Arial Narrow"/>
        <family val="2"/>
      </rPr>
      <t xml:space="preserve">   </t>
    </r>
    <r>
      <rPr>
        <sz val="11"/>
        <color indexed="8"/>
        <rFont val="굴림"/>
        <family val="3"/>
        <charset val="129"/>
      </rPr>
      <t>액</t>
    </r>
    <phoneticPr fontId="4" type="noConversion"/>
  </si>
  <si>
    <r>
      <t xml:space="preserve">   </t>
    </r>
    <r>
      <rPr>
        <sz val="11"/>
        <color indexed="8"/>
        <rFont val="굴림"/>
        <family val="3"/>
        <charset val="129"/>
      </rPr>
      <t>한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전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수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탁</t>
    </r>
    <r>
      <rPr>
        <sz val="11"/>
        <color indexed="8"/>
        <rFont val="Arial Narrow"/>
        <family val="2"/>
      </rPr>
      <t xml:space="preserve"> </t>
    </r>
    <r>
      <rPr>
        <sz val="11"/>
        <color indexed="8"/>
        <rFont val="굴림"/>
        <family val="3"/>
        <charset val="129"/>
      </rPr>
      <t>비</t>
    </r>
    <phoneticPr fontId="4" type="noConversion"/>
  </si>
  <si>
    <t>공 사 비 총 괄 표</t>
    <phoneticPr fontId="27" type="noConversion"/>
  </si>
  <si>
    <r>
      <rPr>
        <sz val="10"/>
        <rFont val="돋움"/>
        <family val="3"/>
        <charset val="129"/>
      </rPr>
      <t>일</t>
    </r>
    <r>
      <rPr>
        <sz val="10"/>
        <rFont val="Arial Narrow"/>
        <family val="2"/>
      </rPr>
      <t xml:space="preserve">       </t>
    </r>
    <r>
      <rPr>
        <sz val="10"/>
        <rFont val="돋움"/>
        <family val="3"/>
        <charset val="129"/>
      </rPr>
      <t>반</t>
    </r>
    <r>
      <rPr>
        <sz val="10"/>
        <rFont val="Arial Narrow"/>
        <family val="2"/>
      </rPr>
      <t xml:space="preserve">       </t>
    </r>
    <r>
      <rPr>
        <sz val="10"/>
        <rFont val="돋움"/>
        <family val="3"/>
        <charset val="129"/>
      </rPr>
      <t>관</t>
    </r>
    <r>
      <rPr>
        <sz val="10"/>
        <rFont val="Arial Narrow"/>
        <family val="2"/>
      </rPr>
      <t xml:space="preserve">       </t>
    </r>
    <r>
      <rPr>
        <sz val="10"/>
        <rFont val="돋움"/>
        <family val="3"/>
        <charset val="129"/>
      </rPr>
      <t>리</t>
    </r>
    <r>
      <rPr>
        <sz val="10"/>
        <rFont val="Arial Narrow"/>
        <family val="2"/>
      </rPr>
      <t xml:space="preserve">       </t>
    </r>
    <r>
      <rPr>
        <sz val="10"/>
        <rFont val="돋움"/>
        <family val="3"/>
        <charset val="129"/>
      </rPr>
      <t>비</t>
    </r>
    <phoneticPr fontId="4" type="noConversion"/>
  </si>
  <si>
    <r>
      <rPr>
        <sz val="10"/>
        <rFont val="돋움"/>
        <family val="3"/>
        <charset val="129"/>
      </rPr>
      <t>이</t>
    </r>
    <r>
      <rPr>
        <sz val="10"/>
        <rFont val="Arial Narrow"/>
        <family val="2"/>
      </rPr>
      <t xml:space="preserve">                                          </t>
    </r>
    <r>
      <rPr>
        <sz val="10"/>
        <rFont val="돋움"/>
        <family val="3"/>
        <charset val="129"/>
      </rPr>
      <t>윤</t>
    </r>
    <phoneticPr fontId="4" type="noConversion"/>
  </si>
  <si>
    <r>
      <rPr>
        <sz val="10"/>
        <rFont val="돋움"/>
        <family val="3"/>
        <charset val="129"/>
      </rPr>
      <t>부</t>
    </r>
    <r>
      <rPr>
        <sz val="10"/>
        <rFont val="Arial Narrow"/>
        <family val="2"/>
      </rPr>
      <t xml:space="preserve">       </t>
    </r>
    <r>
      <rPr>
        <sz val="10"/>
        <rFont val="돋움"/>
        <family val="3"/>
        <charset val="129"/>
      </rPr>
      <t>가</t>
    </r>
    <r>
      <rPr>
        <sz val="10"/>
        <rFont val="Arial Narrow"/>
        <family val="2"/>
      </rPr>
      <t xml:space="preserve">       </t>
    </r>
    <r>
      <rPr>
        <sz val="10"/>
        <rFont val="돋움"/>
        <family val="3"/>
        <charset val="129"/>
      </rPr>
      <t>가</t>
    </r>
    <r>
      <rPr>
        <sz val="10"/>
        <rFont val="Arial Narrow"/>
        <family val="2"/>
      </rPr>
      <t xml:space="preserve">       </t>
    </r>
    <r>
      <rPr>
        <sz val="10"/>
        <rFont val="돋움"/>
        <family val="3"/>
        <charset val="129"/>
      </rPr>
      <t>치</t>
    </r>
    <r>
      <rPr>
        <sz val="10"/>
        <rFont val="Arial Narrow"/>
        <family val="2"/>
      </rPr>
      <t xml:space="preserve">       </t>
    </r>
    <r>
      <rPr>
        <sz val="10"/>
        <rFont val="돋움"/>
        <family val="3"/>
        <charset val="129"/>
      </rPr>
      <t>세</t>
    </r>
    <phoneticPr fontId="4" type="noConversion"/>
  </si>
  <si>
    <r>
      <rPr>
        <sz val="10"/>
        <rFont val="돋움"/>
        <family val="3"/>
        <charset val="129"/>
      </rPr>
      <t>관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급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자</t>
    </r>
    <r>
      <rPr>
        <sz val="10"/>
        <rFont val="Arial Narrow"/>
        <family val="2"/>
      </rPr>
      <t xml:space="preserve">  </t>
    </r>
    <r>
      <rPr>
        <sz val="10"/>
        <rFont val="돋움"/>
        <family val="3"/>
        <charset val="129"/>
      </rPr>
      <t>관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급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자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재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비</t>
    </r>
    <phoneticPr fontId="4" type="noConversion"/>
  </si>
  <si>
    <r>
      <rPr>
        <sz val="10"/>
        <rFont val="돋움"/>
        <family val="3"/>
        <charset val="129"/>
      </rPr>
      <t>관</t>
    </r>
    <r>
      <rPr>
        <sz val="10"/>
        <rFont val="Arial Narrow"/>
        <family val="2"/>
      </rPr>
      <t xml:space="preserve">           </t>
    </r>
    <r>
      <rPr>
        <sz val="10"/>
        <rFont val="돋움"/>
        <family val="3"/>
        <charset val="129"/>
      </rPr>
      <t>급</t>
    </r>
    <r>
      <rPr>
        <sz val="10"/>
        <rFont val="Arial Narrow"/>
        <family val="2"/>
      </rPr>
      <t xml:space="preserve">           </t>
    </r>
    <r>
      <rPr>
        <sz val="10"/>
        <rFont val="돋움"/>
        <family val="3"/>
        <charset val="129"/>
      </rPr>
      <t>자</t>
    </r>
    <r>
      <rPr>
        <sz val="10"/>
        <rFont val="Arial Narrow"/>
        <family val="2"/>
      </rPr>
      <t xml:space="preserve">           </t>
    </r>
    <r>
      <rPr>
        <sz val="10"/>
        <rFont val="돋움"/>
        <family val="3"/>
        <charset val="129"/>
      </rPr>
      <t>재</t>
    </r>
    <r>
      <rPr>
        <sz val="10"/>
        <rFont val="Arial Narrow"/>
        <family val="2"/>
      </rPr>
      <t xml:space="preserve">           </t>
    </r>
    <r>
      <rPr>
        <sz val="10"/>
        <rFont val="돋움"/>
        <family val="3"/>
        <charset val="129"/>
      </rPr>
      <t>비</t>
    </r>
    <phoneticPr fontId="4" type="noConversion"/>
  </si>
  <si>
    <r>
      <rPr>
        <sz val="10"/>
        <rFont val="돋움"/>
        <family val="3"/>
        <charset val="129"/>
      </rPr>
      <t>수</t>
    </r>
    <r>
      <rPr>
        <sz val="10"/>
        <rFont val="Arial Narrow"/>
        <family val="2"/>
      </rPr>
      <t xml:space="preserve">                           </t>
    </r>
    <r>
      <rPr>
        <sz val="10"/>
        <rFont val="돋움"/>
        <family val="3"/>
        <charset val="129"/>
      </rPr>
      <t>탁</t>
    </r>
    <r>
      <rPr>
        <sz val="10"/>
        <rFont val="Arial Narrow"/>
        <family val="2"/>
      </rPr>
      <t xml:space="preserve">                           </t>
    </r>
    <r>
      <rPr>
        <sz val="10"/>
        <rFont val="돋움"/>
        <family val="3"/>
        <charset val="129"/>
      </rPr>
      <t>비</t>
    </r>
    <phoneticPr fontId="4" type="noConversion"/>
  </si>
  <si>
    <r>
      <rPr>
        <sz val="10"/>
        <rFont val="돋움"/>
        <family val="3"/>
        <charset val="129"/>
      </rPr>
      <t>도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급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자</t>
    </r>
    <r>
      <rPr>
        <sz val="10"/>
        <rFont val="Arial Narrow"/>
        <family val="2"/>
      </rPr>
      <t xml:space="preserve">  </t>
    </r>
    <r>
      <rPr>
        <sz val="10"/>
        <rFont val="돋움"/>
        <family val="3"/>
        <charset val="129"/>
      </rPr>
      <t>관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급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자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재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비</t>
    </r>
    <phoneticPr fontId="4" type="noConversion"/>
  </si>
  <si>
    <r>
      <rPr>
        <b/>
        <sz val="10"/>
        <rFont val="돋움"/>
        <family val="3"/>
        <charset val="129"/>
      </rPr>
      <t>도</t>
    </r>
    <r>
      <rPr>
        <b/>
        <sz val="10"/>
        <rFont val="Arial Narrow"/>
        <family val="2"/>
      </rPr>
      <t xml:space="preserve">           </t>
    </r>
    <r>
      <rPr>
        <b/>
        <sz val="10"/>
        <rFont val="돋움"/>
        <family val="3"/>
        <charset val="129"/>
      </rPr>
      <t>급</t>
    </r>
    <r>
      <rPr>
        <b/>
        <sz val="10"/>
        <rFont val="Arial Narrow"/>
        <family val="2"/>
      </rPr>
      <t xml:space="preserve">           </t>
    </r>
    <r>
      <rPr>
        <b/>
        <sz val="10"/>
        <rFont val="돋움"/>
        <family val="3"/>
        <charset val="129"/>
      </rPr>
      <t>공</t>
    </r>
    <r>
      <rPr>
        <b/>
        <sz val="10"/>
        <rFont val="Arial Narrow"/>
        <family val="2"/>
      </rPr>
      <t xml:space="preserve">           </t>
    </r>
    <r>
      <rPr>
        <b/>
        <sz val="10"/>
        <rFont val="돋움"/>
        <family val="3"/>
        <charset val="129"/>
      </rPr>
      <t>사</t>
    </r>
    <r>
      <rPr>
        <b/>
        <sz val="10"/>
        <rFont val="Arial Narrow"/>
        <family val="2"/>
      </rPr>
      <t xml:space="preserve">           </t>
    </r>
    <r>
      <rPr>
        <b/>
        <sz val="10"/>
        <rFont val="돋움"/>
        <family val="3"/>
        <charset val="129"/>
      </rPr>
      <t>비</t>
    </r>
    <phoneticPr fontId="4" type="noConversion"/>
  </si>
  <si>
    <r>
      <rPr>
        <b/>
        <sz val="10"/>
        <rFont val="돋움"/>
        <family val="3"/>
        <charset val="129"/>
      </rPr>
      <t>공</t>
    </r>
    <r>
      <rPr>
        <b/>
        <sz val="10"/>
        <rFont val="Arial Narrow"/>
        <family val="2"/>
      </rPr>
      <t xml:space="preserve">                </t>
    </r>
    <r>
      <rPr>
        <b/>
        <sz val="10"/>
        <rFont val="돋움"/>
        <family val="3"/>
        <charset val="129"/>
      </rPr>
      <t>급</t>
    </r>
    <r>
      <rPr>
        <b/>
        <sz val="10"/>
        <rFont val="Arial Narrow"/>
        <family val="2"/>
      </rPr>
      <t xml:space="preserve">                </t>
    </r>
    <r>
      <rPr>
        <b/>
        <sz val="10"/>
        <rFont val="돋움"/>
        <family val="3"/>
        <charset val="129"/>
      </rPr>
      <t>가</t>
    </r>
    <r>
      <rPr>
        <b/>
        <sz val="10"/>
        <rFont val="Arial Narrow"/>
        <family val="2"/>
      </rPr>
      <t xml:space="preserve">                </t>
    </r>
    <r>
      <rPr>
        <b/>
        <sz val="10"/>
        <rFont val="돋움"/>
        <family val="3"/>
        <charset val="129"/>
      </rPr>
      <t>액</t>
    </r>
    <phoneticPr fontId="4" type="noConversion"/>
  </si>
  <si>
    <r>
      <rPr>
        <sz val="10"/>
        <rFont val="돋움"/>
        <family val="3"/>
        <charset val="129"/>
      </rPr>
      <t>일</t>
    </r>
    <r>
      <rPr>
        <sz val="10"/>
        <rFont val="Arial Narrow"/>
        <family val="2"/>
      </rPr>
      <t xml:space="preserve">       </t>
    </r>
    <r>
      <rPr>
        <sz val="10"/>
        <rFont val="돋움"/>
        <family val="3"/>
        <charset val="129"/>
      </rPr>
      <t>반</t>
    </r>
    <r>
      <rPr>
        <sz val="10"/>
        <rFont val="Arial Narrow"/>
        <family val="2"/>
      </rPr>
      <t xml:space="preserve">       </t>
    </r>
    <r>
      <rPr>
        <sz val="10"/>
        <rFont val="돋움"/>
        <family val="3"/>
        <charset val="129"/>
      </rPr>
      <t>관</t>
    </r>
    <r>
      <rPr>
        <sz val="10"/>
        <rFont val="Arial Narrow"/>
        <family val="2"/>
      </rPr>
      <t xml:space="preserve">       </t>
    </r>
    <r>
      <rPr>
        <sz val="10"/>
        <rFont val="돋움"/>
        <family val="3"/>
        <charset val="129"/>
      </rPr>
      <t>리</t>
    </r>
    <r>
      <rPr>
        <sz val="10"/>
        <rFont val="Arial Narrow"/>
        <family val="2"/>
      </rPr>
      <t xml:space="preserve">       </t>
    </r>
    <r>
      <rPr>
        <sz val="10"/>
        <rFont val="돋움"/>
        <family val="3"/>
        <charset val="129"/>
      </rPr>
      <t>비</t>
    </r>
    <phoneticPr fontId="4" type="noConversion"/>
  </si>
  <si>
    <r>
      <rPr>
        <sz val="10"/>
        <rFont val="돋움"/>
        <family val="3"/>
        <charset val="129"/>
      </rPr>
      <t>피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해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방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지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대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책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비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용</t>
    </r>
    <phoneticPr fontId="4" type="noConversion"/>
  </si>
  <si>
    <r>
      <rPr>
        <sz val="10"/>
        <rFont val="돋움"/>
        <family val="3"/>
        <charset val="129"/>
      </rPr>
      <t>이</t>
    </r>
    <r>
      <rPr>
        <sz val="10"/>
        <rFont val="Arial Narrow"/>
        <family val="2"/>
      </rPr>
      <t xml:space="preserve">                                          </t>
    </r>
    <r>
      <rPr>
        <sz val="10"/>
        <rFont val="돋움"/>
        <family val="3"/>
        <charset val="129"/>
      </rPr>
      <t>윤</t>
    </r>
    <phoneticPr fontId="4" type="noConversion"/>
  </si>
  <si>
    <r>
      <t xml:space="preserve">G   I   S  </t>
    </r>
    <r>
      <rPr>
        <sz val="10"/>
        <rFont val="돋움"/>
        <family val="3"/>
        <charset val="129"/>
      </rPr>
      <t>측</t>
    </r>
    <r>
      <rPr>
        <sz val="10"/>
        <rFont val="Arial Narrow"/>
        <family val="2"/>
      </rPr>
      <t xml:space="preserve">   </t>
    </r>
    <r>
      <rPr>
        <sz val="10"/>
        <rFont val="돋움"/>
        <family val="3"/>
        <charset val="129"/>
      </rPr>
      <t>량</t>
    </r>
    <r>
      <rPr>
        <sz val="10"/>
        <rFont val="Arial Narrow"/>
        <family val="2"/>
      </rPr>
      <t xml:space="preserve">   </t>
    </r>
    <r>
      <rPr>
        <sz val="10"/>
        <rFont val="돋움"/>
        <family val="3"/>
        <charset val="129"/>
      </rPr>
      <t>성</t>
    </r>
    <r>
      <rPr>
        <sz val="10"/>
        <rFont val="Arial Narrow"/>
        <family val="2"/>
      </rPr>
      <t xml:space="preserve">   </t>
    </r>
    <r>
      <rPr>
        <sz val="10"/>
        <rFont val="돋움"/>
        <family val="3"/>
        <charset val="129"/>
      </rPr>
      <t>과</t>
    </r>
    <r>
      <rPr>
        <sz val="10"/>
        <rFont val="Arial Narrow"/>
        <family val="2"/>
      </rPr>
      <t xml:space="preserve">   </t>
    </r>
    <r>
      <rPr>
        <sz val="10"/>
        <rFont val="돋움"/>
        <family val="3"/>
        <charset val="129"/>
      </rPr>
      <t>비</t>
    </r>
    <phoneticPr fontId="4" type="noConversion"/>
  </si>
  <si>
    <r>
      <rPr>
        <sz val="10"/>
        <rFont val="돋움"/>
        <family val="3"/>
        <charset val="129"/>
      </rPr>
      <t>폐</t>
    </r>
    <r>
      <rPr>
        <sz val="10"/>
        <rFont val="Arial Narrow"/>
        <family val="2"/>
      </rPr>
      <t xml:space="preserve">  </t>
    </r>
    <r>
      <rPr>
        <sz val="10"/>
        <rFont val="돋움"/>
        <family val="3"/>
        <charset val="129"/>
      </rPr>
      <t>기</t>
    </r>
    <r>
      <rPr>
        <sz val="10"/>
        <rFont val="Arial Narrow"/>
        <family val="2"/>
      </rPr>
      <t xml:space="preserve">  </t>
    </r>
    <r>
      <rPr>
        <sz val="10"/>
        <rFont val="돋움"/>
        <family val="3"/>
        <charset val="129"/>
      </rPr>
      <t>물</t>
    </r>
    <r>
      <rPr>
        <sz val="10"/>
        <rFont val="Arial Narrow"/>
        <family val="2"/>
      </rPr>
      <t xml:space="preserve">  </t>
    </r>
    <r>
      <rPr>
        <sz val="10"/>
        <rFont val="돋움"/>
        <family val="3"/>
        <charset val="129"/>
      </rPr>
      <t>처</t>
    </r>
    <r>
      <rPr>
        <sz val="10"/>
        <rFont val="Arial Narrow"/>
        <family val="2"/>
      </rPr>
      <t xml:space="preserve">  </t>
    </r>
    <r>
      <rPr>
        <sz val="10"/>
        <rFont val="돋움"/>
        <family val="3"/>
        <charset val="129"/>
      </rPr>
      <t>리</t>
    </r>
    <r>
      <rPr>
        <sz val="10"/>
        <rFont val="Arial Narrow"/>
        <family val="2"/>
      </rPr>
      <t xml:space="preserve">  </t>
    </r>
    <r>
      <rPr>
        <sz val="10"/>
        <rFont val="돋움"/>
        <family val="3"/>
        <charset val="129"/>
      </rPr>
      <t>용</t>
    </r>
    <r>
      <rPr>
        <sz val="10"/>
        <rFont val="Arial Narrow"/>
        <family val="2"/>
      </rPr>
      <t xml:space="preserve">  </t>
    </r>
    <r>
      <rPr>
        <sz val="10"/>
        <rFont val="돋움"/>
        <family val="3"/>
        <charset val="129"/>
      </rPr>
      <t>역</t>
    </r>
    <phoneticPr fontId="4" type="noConversion"/>
  </si>
  <si>
    <t>시       공      측       량       비</t>
    <phoneticPr fontId="4" type="noConversion"/>
  </si>
  <si>
    <r>
      <rPr>
        <sz val="10"/>
        <rFont val="돋움"/>
        <family val="3"/>
        <charset val="129"/>
      </rPr>
      <t>계</t>
    </r>
    <r>
      <rPr>
        <sz val="10"/>
        <rFont val="Arial Narrow"/>
        <family val="2"/>
      </rPr>
      <t xml:space="preserve">       </t>
    </r>
    <r>
      <rPr>
        <sz val="10"/>
        <rFont val="돋움"/>
        <family val="3"/>
        <charset val="129"/>
      </rPr>
      <t>측</t>
    </r>
    <r>
      <rPr>
        <sz val="10"/>
        <rFont val="Arial Narrow"/>
        <family val="2"/>
      </rPr>
      <t xml:space="preserve">       </t>
    </r>
    <r>
      <rPr>
        <sz val="10"/>
        <rFont val="돋움"/>
        <family val="3"/>
        <charset val="129"/>
      </rPr>
      <t>관</t>
    </r>
    <r>
      <rPr>
        <sz val="10"/>
        <rFont val="Arial Narrow"/>
        <family val="2"/>
      </rPr>
      <t xml:space="preserve">       </t>
    </r>
    <r>
      <rPr>
        <sz val="10"/>
        <rFont val="돋움"/>
        <family val="3"/>
        <charset val="129"/>
      </rPr>
      <t>리</t>
    </r>
    <phoneticPr fontId="4" type="noConversion"/>
  </si>
  <si>
    <r>
      <rPr>
        <b/>
        <sz val="10"/>
        <rFont val="돋움"/>
        <family val="3"/>
        <charset val="129"/>
      </rPr>
      <t>공</t>
    </r>
    <r>
      <rPr>
        <b/>
        <sz val="10"/>
        <rFont val="Arial Narrow"/>
        <family val="2"/>
      </rPr>
      <t xml:space="preserve">                </t>
    </r>
    <r>
      <rPr>
        <b/>
        <sz val="10"/>
        <rFont val="돋움"/>
        <family val="3"/>
        <charset val="129"/>
      </rPr>
      <t>급</t>
    </r>
    <r>
      <rPr>
        <b/>
        <sz val="10"/>
        <rFont val="Arial Narrow"/>
        <family val="2"/>
      </rPr>
      <t xml:space="preserve">                </t>
    </r>
    <r>
      <rPr>
        <b/>
        <sz val="10"/>
        <rFont val="돋움"/>
        <family val="3"/>
        <charset val="129"/>
      </rPr>
      <t>가</t>
    </r>
    <r>
      <rPr>
        <b/>
        <sz val="10"/>
        <rFont val="Arial Narrow"/>
        <family val="2"/>
      </rPr>
      <t xml:space="preserve">                </t>
    </r>
    <r>
      <rPr>
        <b/>
        <sz val="10"/>
        <rFont val="돋움"/>
        <family val="3"/>
        <charset val="129"/>
      </rPr>
      <t>액</t>
    </r>
    <phoneticPr fontId="4" type="noConversion"/>
  </si>
  <si>
    <r>
      <rPr>
        <sz val="10"/>
        <rFont val="돋움"/>
        <family val="3"/>
        <charset val="129"/>
      </rPr>
      <t>부</t>
    </r>
    <r>
      <rPr>
        <sz val="10"/>
        <rFont val="Arial Narrow"/>
        <family val="2"/>
      </rPr>
      <t xml:space="preserve">       </t>
    </r>
    <r>
      <rPr>
        <sz val="10"/>
        <rFont val="돋움"/>
        <family val="3"/>
        <charset val="129"/>
      </rPr>
      <t>가</t>
    </r>
    <r>
      <rPr>
        <sz val="10"/>
        <rFont val="Arial Narrow"/>
        <family val="2"/>
      </rPr>
      <t xml:space="preserve">       </t>
    </r>
    <r>
      <rPr>
        <sz val="10"/>
        <rFont val="돋움"/>
        <family val="3"/>
        <charset val="129"/>
      </rPr>
      <t>가</t>
    </r>
    <r>
      <rPr>
        <sz val="10"/>
        <rFont val="Arial Narrow"/>
        <family val="2"/>
      </rPr>
      <t xml:space="preserve">       </t>
    </r>
    <r>
      <rPr>
        <sz val="10"/>
        <rFont val="돋움"/>
        <family val="3"/>
        <charset val="129"/>
      </rPr>
      <t>치</t>
    </r>
    <r>
      <rPr>
        <sz val="10"/>
        <rFont val="Arial Narrow"/>
        <family val="2"/>
      </rPr>
      <t xml:space="preserve">       </t>
    </r>
    <r>
      <rPr>
        <sz val="10"/>
        <rFont val="돋움"/>
        <family val="3"/>
        <charset val="129"/>
      </rPr>
      <t>세</t>
    </r>
    <phoneticPr fontId="4" type="noConversion"/>
  </si>
  <si>
    <r>
      <rPr>
        <b/>
        <sz val="10"/>
        <rFont val="돋움"/>
        <family val="3"/>
        <charset val="129"/>
      </rPr>
      <t>도</t>
    </r>
    <r>
      <rPr>
        <b/>
        <sz val="10"/>
        <rFont val="Arial Narrow"/>
        <family val="2"/>
      </rPr>
      <t xml:space="preserve">           </t>
    </r>
    <r>
      <rPr>
        <b/>
        <sz val="10"/>
        <rFont val="돋움"/>
        <family val="3"/>
        <charset val="129"/>
      </rPr>
      <t>급</t>
    </r>
    <r>
      <rPr>
        <b/>
        <sz val="10"/>
        <rFont val="Arial Narrow"/>
        <family val="2"/>
      </rPr>
      <t xml:space="preserve">           </t>
    </r>
    <r>
      <rPr>
        <b/>
        <sz val="10"/>
        <rFont val="돋움"/>
        <family val="3"/>
        <charset val="129"/>
      </rPr>
      <t>공</t>
    </r>
    <r>
      <rPr>
        <b/>
        <sz val="10"/>
        <rFont val="Arial Narrow"/>
        <family val="2"/>
      </rPr>
      <t xml:space="preserve">           </t>
    </r>
    <r>
      <rPr>
        <b/>
        <sz val="10"/>
        <rFont val="돋움"/>
        <family val="3"/>
        <charset val="129"/>
      </rPr>
      <t>사</t>
    </r>
    <r>
      <rPr>
        <b/>
        <sz val="10"/>
        <rFont val="Arial Narrow"/>
        <family val="2"/>
      </rPr>
      <t xml:space="preserve">           </t>
    </r>
    <r>
      <rPr>
        <b/>
        <sz val="10"/>
        <rFont val="돋움"/>
        <family val="3"/>
        <charset val="129"/>
      </rPr>
      <t>비</t>
    </r>
    <phoneticPr fontId="4" type="noConversion"/>
  </si>
  <si>
    <r>
      <rPr>
        <sz val="10"/>
        <rFont val="돋움"/>
        <family val="3"/>
        <charset val="129"/>
      </rPr>
      <t>일</t>
    </r>
    <r>
      <rPr>
        <sz val="10"/>
        <rFont val="Arial Narrow"/>
        <family val="2"/>
      </rPr>
      <t xml:space="preserve">       </t>
    </r>
    <r>
      <rPr>
        <sz val="10"/>
        <rFont val="돋움"/>
        <family val="3"/>
        <charset val="129"/>
      </rPr>
      <t>반</t>
    </r>
    <r>
      <rPr>
        <sz val="10"/>
        <rFont val="Arial Narrow"/>
        <family val="2"/>
      </rPr>
      <t xml:space="preserve">       </t>
    </r>
    <r>
      <rPr>
        <sz val="10"/>
        <rFont val="돋움"/>
        <family val="3"/>
        <charset val="129"/>
      </rPr>
      <t>관</t>
    </r>
    <r>
      <rPr>
        <sz val="10"/>
        <rFont val="Arial Narrow"/>
        <family val="2"/>
      </rPr>
      <t xml:space="preserve">       </t>
    </r>
    <r>
      <rPr>
        <sz val="10"/>
        <rFont val="돋움"/>
        <family val="3"/>
        <charset val="129"/>
      </rPr>
      <t>리</t>
    </r>
    <r>
      <rPr>
        <sz val="10"/>
        <rFont val="Arial Narrow"/>
        <family val="2"/>
      </rPr>
      <t xml:space="preserve">       </t>
    </r>
    <r>
      <rPr>
        <sz val="10"/>
        <rFont val="돋움"/>
        <family val="3"/>
        <charset val="129"/>
      </rPr>
      <t>비</t>
    </r>
    <phoneticPr fontId="4" type="noConversion"/>
  </si>
  <si>
    <r>
      <rPr>
        <sz val="10"/>
        <rFont val="돋움"/>
        <family val="3"/>
        <charset val="129"/>
      </rPr>
      <t>피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해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방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지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대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책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비</t>
    </r>
    <r>
      <rPr>
        <sz val="10"/>
        <rFont val="Arial Narrow"/>
        <family val="2"/>
      </rPr>
      <t xml:space="preserve"> </t>
    </r>
    <r>
      <rPr>
        <sz val="10"/>
        <rFont val="돋움"/>
        <family val="3"/>
        <charset val="129"/>
      </rPr>
      <t>용</t>
    </r>
    <phoneticPr fontId="4" type="noConversion"/>
  </si>
  <si>
    <r>
      <rPr>
        <sz val="10"/>
        <rFont val="돋움"/>
        <family val="3"/>
        <charset val="129"/>
      </rPr>
      <t>이</t>
    </r>
    <r>
      <rPr>
        <sz val="10"/>
        <rFont val="Arial Narrow"/>
        <family val="2"/>
      </rPr>
      <t xml:space="preserve">                                          </t>
    </r>
    <r>
      <rPr>
        <sz val="10"/>
        <rFont val="돋움"/>
        <family val="3"/>
        <charset val="129"/>
      </rPr>
      <t>윤</t>
    </r>
    <phoneticPr fontId="4" type="noConversion"/>
  </si>
  <si>
    <r>
      <t xml:space="preserve">G   I   S  </t>
    </r>
    <r>
      <rPr>
        <sz val="10"/>
        <rFont val="돋움"/>
        <family val="3"/>
        <charset val="129"/>
      </rPr>
      <t>측</t>
    </r>
    <r>
      <rPr>
        <sz val="10"/>
        <rFont val="Arial Narrow"/>
        <family val="2"/>
      </rPr>
      <t xml:space="preserve">   </t>
    </r>
    <r>
      <rPr>
        <sz val="10"/>
        <rFont val="돋움"/>
        <family val="3"/>
        <charset val="129"/>
      </rPr>
      <t>량</t>
    </r>
    <r>
      <rPr>
        <sz val="10"/>
        <rFont val="Arial Narrow"/>
        <family val="2"/>
      </rPr>
      <t xml:space="preserve">   </t>
    </r>
    <r>
      <rPr>
        <sz val="10"/>
        <rFont val="돋움"/>
        <family val="3"/>
        <charset val="129"/>
      </rPr>
      <t>성</t>
    </r>
    <r>
      <rPr>
        <sz val="10"/>
        <rFont val="Arial Narrow"/>
        <family val="2"/>
      </rPr>
      <t xml:space="preserve">   </t>
    </r>
    <r>
      <rPr>
        <sz val="10"/>
        <rFont val="돋움"/>
        <family val="3"/>
        <charset val="129"/>
      </rPr>
      <t>과</t>
    </r>
    <r>
      <rPr>
        <sz val="10"/>
        <rFont val="Arial Narrow"/>
        <family val="2"/>
      </rPr>
      <t xml:space="preserve">   </t>
    </r>
    <r>
      <rPr>
        <sz val="10"/>
        <rFont val="돋움"/>
        <family val="3"/>
        <charset val="129"/>
      </rPr>
      <t>비</t>
    </r>
    <phoneticPr fontId="4" type="noConversion"/>
  </si>
  <si>
    <r>
      <rPr>
        <sz val="10"/>
        <rFont val="돋움"/>
        <family val="3"/>
        <charset val="129"/>
      </rPr>
      <t>폐</t>
    </r>
    <r>
      <rPr>
        <sz val="10"/>
        <rFont val="Arial Narrow"/>
        <family val="2"/>
      </rPr>
      <t xml:space="preserve">  </t>
    </r>
    <r>
      <rPr>
        <sz val="10"/>
        <rFont val="돋움"/>
        <family val="3"/>
        <charset val="129"/>
      </rPr>
      <t>기</t>
    </r>
    <r>
      <rPr>
        <sz val="10"/>
        <rFont val="Arial Narrow"/>
        <family val="2"/>
      </rPr>
      <t xml:space="preserve">  </t>
    </r>
    <r>
      <rPr>
        <sz val="10"/>
        <rFont val="돋움"/>
        <family val="3"/>
        <charset val="129"/>
      </rPr>
      <t>물</t>
    </r>
    <r>
      <rPr>
        <sz val="10"/>
        <rFont val="Arial Narrow"/>
        <family val="2"/>
      </rPr>
      <t xml:space="preserve">  </t>
    </r>
    <r>
      <rPr>
        <sz val="10"/>
        <rFont val="돋움"/>
        <family val="3"/>
        <charset val="129"/>
      </rPr>
      <t>처</t>
    </r>
    <r>
      <rPr>
        <sz val="10"/>
        <rFont val="Arial Narrow"/>
        <family val="2"/>
      </rPr>
      <t xml:space="preserve">  </t>
    </r>
    <r>
      <rPr>
        <sz val="10"/>
        <rFont val="돋움"/>
        <family val="3"/>
        <charset val="129"/>
      </rPr>
      <t>리</t>
    </r>
    <r>
      <rPr>
        <sz val="10"/>
        <rFont val="Arial Narrow"/>
        <family val="2"/>
      </rPr>
      <t xml:space="preserve">  </t>
    </r>
    <r>
      <rPr>
        <sz val="10"/>
        <rFont val="돋움"/>
        <family val="3"/>
        <charset val="129"/>
      </rPr>
      <t>용</t>
    </r>
    <r>
      <rPr>
        <sz val="10"/>
        <rFont val="Arial Narrow"/>
        <family val="2"/>
      </rPr>
      <t xml:space="preserve">  </t>
    </r>
    <r>
      <rPr>
        <sz val="10"/>
        <rFont val="돋움"/>
        <family val="3"/>
        <charset val="129"/>
      </rPr>
      <t>역</t>
    </r>
    <phoneticPr fontId="4" type="noConversion"/>
  </si>
  <si>
    <r>
      <rPr>
        <sz val="10"/>
        <rFont val="돋움"/>
        <family val="3"/>
        <charset val="129"/>
      </rPr>
      <t>계</t>
    </r>
    <r>
      <rPr>
        <sz val="10"/>
        <rFont val="Arial Narrow"/>
        <family val="2"/>
      </rPr>
      <t xml:space="preserve">       </t>
    </r>
    <r>
      <rPr>
        <sz val="10"/>
        <rFont val="돋움"/>
        <family val="3"/>
        <charset val="129"/>
      </rPr>
      <t>측</t>
    </r>
    <r>
      <rPr>
        <sz val="10"/>
        <rFont val="Arial Narrow"/>
        <family val="2"/>
      </rPr>
      <t xml:space="preserve">       </t>
    </r>
    <r>
      <rPr>
        <sz val="10"/>
        <rFont val="돋움"/>
        <family val="3"/>
        <charset val="129"/>
      </rPr>
      <t>관</t>
    </r>
    <r>
      <rPr>
        <sz val="10"/>
        <rFont val="Arial Narrow"/>
        <family val="2"/>
      </rPr>
      <t xml:space="preserve">       </t>
    </r>
    <r>
      <rPr>
        <sz val="10"/>
        <rFont val="돋움"/>
        <family val="3"/>
        <charset val="129"/>
      </rPr>
      <t>리</t>
    </r>
    <phoneticPr fontId="4" type="noConversion"/>
  </si>
  <si>
    <r>
      <rPr>
        <b/>
        <sz val="10"/>
        <rFont val="돋움"/>
        <family val="3"/>
        <charset val="129"/>
      </rPr>
      <t>공</t>
    </r>
    <r>
      <rPr>
        <b/>
        <sz val="10"/>
        <rFont val="Arial Narrow"/>
        <family val="2"/>
      </rPr>
      <t xml:space="preserve">                </t>
    </r>
    <r>
      <rPr>
        <b/>
        <sz val="10"/>
        <rFont val="돋움"/>
        <family val="3"/>
        <charset val="129"/>
      </rPr>
      <t>급</t>
    </r>
    <r>
      <rPr>
        <b/>
        <sz val="10"/>
        <rFont val="Arial Narrow"/>
        <family val="2"/>
      </rPr>
      <t xml:space="preserve">                </t>
    </r>
    <r>
      <rPr>
        <b/>
        <sz val="10"/>
        <rFont val="돋움"/>
        <family val="3"/>
        <charset val="129"/>
      </rPr>
      <t>가</t>
    </r>
    <r>
      <rPr>
        <b/>
        <sz val="10"/>
        <rFont val="Arial Narrow"/>
        <family val="2"/>
      </rPr>
      <t xml:space="preserve">                </t>
    </r>
    <r>
      <rPr>
        <b/>
        <sz val="10"/>
        <rFont val="돋움"/>
        <family val="3"/>
        <charset val="129"/>
      </rPr>
      <t>액</t>
    </r>
    <phoneticPr fontId="4" type="noConversion"/>
  </si>
  <si>
    <r>
      <rPr>
        <sz val="10"/>
        <rFont val="돋움"/>
        <family val="3"/>
        <charset val="129"/>
      </rPr>
      <t>부</t>
    </r>
    <r>
      <rPr>
        <sz val="10"/>
        <rFont val="Arial Narrow"/>
        <family val="2"/>
      </rPr>
      <t xml:space="preserve">       </t>
    </r>
    <r>
      <rPr>
        <sz val="10"/>
        <rFont val="돋움"/>
        <family val="3"/>
        <charset val="129"/>
      </rPr>
      <t>가</t>
    </r>
    <r>
      <rPr>
        <sz val="10"/>
        <rFont val="Arial Narrow"/>
        <family val="2"/>
      </rPr>
      <t xml:space="preserve">       </t>
    </r>
    <r>
      <rPr>
        <sz val="10"/>
        <rFont val="돋움"/>
        <family val="3"/>
        <charset val="129"/>
      </rPr>
      <t>가</t>
    </r>
    <r>
      <rPr>
        <sz val="10"/>
        <rFont val="Arial Narrow"/>
        <family val="2"/>
      </rPr>
      <t xml:space="preserve">       </t>
    </r>
    <r>
      <rPr>
        <sz val="10"/>
        <rFont val="돋움"/>
        <family val="3"/>
        <charset val="129"/>
      </rPr>
      <t>치</t>
    </r>
    <r>
      <rPr>
        <sz val="10"/>
        <rFont val="Arial Narrow"/>
        <family val="2"/>
      </rPr>
      <t xml:space="preserve">       </t>
    </r>
    <r>
      <rPr>
        <sz val="10"/>
        <rFont val="돋움"/>
        <family val="3"/>
        <charset val="129"/>
      </rPr>
      <t>세</t>
    </r>
    <phoneticPr fontId="4" type="noConversion"/>
  </si>
  <si>
    <r>
      <rPr>
        <b/>
        <sz val="10"/>
        <rFont val="돋움"/>
        <family val="3"/>
        <charset val="129"/>
      </rPr>
      <t>도</t>
    </r>
    <r>
      <rPr>
        <b/>
        <sz val="10"/>
        <rFont val="Arial Narrow"/>
        <family val="2"/>
      </rPr>
      <t xml:space="preserve">           </t>
    </r>
    <r>
      <rPr>
        <b/>
        <sz val="10"/>
        <rFont val="돋움"/>
        <family val="3"/>
        <charset val="129"/>
      </rPr>
      <t>급</t>
    </r>
    <r>
      <rPr>
        <b/>
        <sz val="10"/>
        <rFont val="Arial Narrow"/>
        <family val="2"/>
      </rPr>
      <t xml:space="preserve">           </t>
    </r>
    <r>
      <rPr>
        <b/>
        <sz val="10"/>
        <rFont val="돋움"/>
        <family val="3"/>
        <charset val="129"/>
      </rPr>
      <t>공</t>
    </r>
    <r>
      <rPr>
        <b/>
        <sz val="10"/>
        <rFont val="Arial Narrow"/>
        <family val="2"/>
      </rPr>
      <t xml:space="preserve">           </t>
    </r>
    <r>
      <rPr>
        <b/>
        <sz val="10"/>
        <rFont val="돋움"/>
        <family val="3"/>
        <charset val="129"/>
      </rPr>
      <t>사</t>
    </r>
    <r>
      <rPr>
        <b/>
        <sz val="10"/>
        <rFont val="Arial Narrow"/>
        <family val="2"/>
      </rPr>
      <t xml:space="preserve">           </t>
    </r>
    <r>
      <rPr>
        <b/>
        <sz val="10"/>
        <rFont val="돋움"/>
        <family val="3"/>
        <charset val="129"/>
      </rPr>
      <t>비</t>
    </r>
    <phoneticPr fontId="4" type="noConversion"/>
  </si>
  <si>
    <r>
      <rPr>
        <b/>
        <sz val="10"/>
        <rFont val="돋움"/>
        <family val="3"/>
        <charset val="129"/>
      </rPr>
      <t>수</t>
    </r>
    <r>
      <rPr>
        <b/>
        <sz val="10"/>
        <rFont val="Arial Narrow"/>
        <family val="2"/>
      </rPr>
      <t xml:space="preserve">                           </t>
    </r>
    <r>
      <rPr>
        <b/>
        <sz val="10"/>
        <rFont val="돋움"/>
        <family val="3"/>
        <charset val="129"/>
      </rPr>
      <t>탁</t>
    </r>
    <r>
      <rPr>
        <b/>
        <sz val="10"/>
        <rFont val="Arial Narrow"/>
        <family val="2"/>
      </rPr>
      <t xml:space="preserve">                           </t>
    </r>
    <r>
      <rPr>
        <b/>
        <sz val="10"/>
        <rFont val="돋움"/>
        <family val="3"/>
        <charset val="129"/>
      </rPr>
      <t>비</t>
    </r>
    <phoneticPr fontId="4" type="noConversion"/>
  </si>
  <si>
    <r>
      <rPr>
        <b/>
        <sz val="10"/>
        <rFont val="돋움"/>
        <family val="3"/>
        <charset val="129"/>
      </rPr>
      <t>총</t>
    </r>
    <r>
      <rPr>
        <b/>
        <sz val="10"/>
        <rFont val="Arial Narrow"/>
        <family val="2"/>
      </rPr>
      <t xml:space="preserve">                </t>
    </r>
    <r>
      <rPr>
        <b/>
        <sz val="10"/>
        <rFont val="돋움"/>
        <family val="3"/>
        <charset val="129"/>
      </rPr>
      <t>공</t>
    </r>
    <r>
      <rPr>
        <b/>
        <sz val="10"/>
        <rFont val="Arial Narrow"/>
        <family val="2"/>
      </rPr>
      <t xml:space="preserve">                </t>
    </r>
    <r>
      <rPr>
        <b/>
        <sz val="10"/>
        <rFont val="돋움"/>
        <family val="3"/>
        <charset val="129"/>
      </rPr>
      <t>사</t>
    </r>
    <r>
      <rPr>
        <b/>
        <sz val="10"/>
        <rFont val="Arial Narrow"/>
        <family val="2"/>
      </rPr>
      <t xml:space="preserve">                </t>
    </r>
    <r>
      <rPr>
        <b/>
        <sz val="10"/>
        <rFont val="돋움"/>
        <family val="3"/>
        <charset val="129"/>
      </rPr>
      <t>비</t>
    </r>
    <phoneticPr fontId="4" type="noConversion"/>
  </si>
  <si>
    <r>
      <rPr>
        <sz val="9"/>
        <rFont val="돋움"/>
        <family val="3"/>
        <charset val="129"/>
      </rPr>
      <t>최저가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입찰대상공사</t>
    </r>
    <r>
      <rPr>
        <sz val="9"/>
        <rFont val="Arial Narrow"/>
        <family val="2"/>
      </rPr>
      <t>(</t>
    </r>
    <r>
      <rPr>
        <sz val="9"/>
        <rFont val="돋움"/>
        <family val="3"/>
        <charset val="129"/>
      </rPr>
      <t>추정가격</t>
    </r>
    <r>
      <rPr>
        <sz val="9"/>
        <rFont val="Arial Narrow"/>
        <family val="2"/>
      </rPr>
      <t xml:space="preserve"> 300</t>
    </r>
    <r>
      <rPr>
        <sz val="9"/>
        <rFont val="돋움"/>
        <family val="3"/>
        <charset val="129"/>
      </rPr>
      <t>억원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이상</t>
    </r>
    <r>
      <rPr>
        <sz val="9"/>
        <rFont val="Arial Narrow"/>
        <family val="2"/>
      </rPr>
      <t>)</t>
    </r>
    <phoneticPr fontId="5" type="noConversion"/>
  </si>
  <si>
    <r>
      <rPr>
        <sz val="9"/>
        <rFont val="돋움"/>
        <family val="3"/>
        <charset val="129"/>
      </rPr>
      <t>전기공사제외</t>
    </r>
    <phoneticPr fontId="5" type="noConversion"/>
  </si>
  <si>
    <r>
      <t>[ 2024</t>
    </r>
    <r>
      <rPr>
        <sz val="9"/>
        <rFont val="돋움"/>
        <family val="3"/>
        <charset val="129"/>
      </rPr>
      <t>년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공사원가계산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제비율</t>
    </r>
    <r>
      <rPr>
        <sz val="9"/>
        <rFont val="Arial Narrow"/>
        <family val="2"/>
      </rPr>
      <t>, 50</t>
    </r>
    <r>
      <rPr>
        <sz val="9"/>
        <rFont val="돋움"/>
        <family val="3"/>
        <charset val="129"/>
      </rPr>
      <t>억</t>
    </r>
    <r>
      <rPr>
        <sz val="9"/>
        <rFont val="Arial Narrow"/>
        <family val="2"/>
      </rPr>
      <t>~300</t>
    </r>
    <r>
      <rPr>
        <sz val="9"/>
        <rFont val="돋움"/>
        <family val="3"/>
        <charset val="129"/>
      </rPr>
      <t>억미만</t>
    </r>
    <r>
      <rPr>
        <sz val="9"/>
        <rFont val="Arial Narrow"/>
        <family val="2"/>
      </rPr>
      <t xml:space="preserve"> , 13~36</t>
    </r>
    <r>
      <rPr>
        <sz val="9"/>
        <rFont val="돋움"/>
        <family val="3"/>
        <charset val="129"/>
      </rPr>
      <t>개월이하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적용</t>
    </r>
    <r>
      <rPr>
        <sz val="9"/>
        <rFont val="Arial Narrow"/>
        <family val="2"/>
      </rPr>
      <t xml:space="preserve"> ]</t>
    </r>
    <phoneticPr fontId="4" type="noConversion"/>
  </si>
  <si>
    <t xml:space="preserve">                  </t>
    <phoneticPr fontId="4" type="noConversion"/>
  </si>
  <si>
    <r>
      <rPr>
        <sz val="9"/>
        <color indexed="8"/>
        <rFont val="굴림체"/>
        <family val="3"/>
        <charset val="129"/>
      </rPr>
      <t>공사명</t>
    </r>
    <r>
      <rPr>
        <sz val="9"/>
        <color indexed="8"/>
        <rFont val="Arial Narrow"/>
        <family val="2"/>
      </rPr>
      <t xml:space="preserve"> : </t>
    </r>
    <r>
      <rPr>
        <sz val="9"/>
        <color indexed="8"/>
        <rFont val="굴림체"/>
        <family val="3"/>
        <charset val="129"/>
      </rPr>
      <t>진천</t>
    </r>
    <r>
      <rPr>
        <sz val="9"/>
        <color indexed="8"/>
        <rFont val="Arial Narrow"/>
        <family val="2"/>
      </rPr>
      <t xml:space="preserve"> </t>
    </r>
    <r>
      <rPr>
        <sz val="9"/>
        <color indexed="8"/>
        <rFont val="굴림체"/>
        <family val="3"/>
        <charset val="129"/>
      </rPr>
      <t>메가폴리스</t>
    </r>
    <r>
      <rPr>
        <sz val="9"/>
        <color indexed="8"/>
        <rFont val="Arial Narrow"/>
        <family val="2"/>
      </rPr>
      <t xml:space="preserve"> </t>
    </r>
    <r>
      <rPr>
        <sz val="9"/>
        <color indexed="8"/>
        <rFont val="굴림체"/>
        <family val="3"/>
        <charset val="129"/>
      </rPr>
      <t>산업단지</t>
    </r>
    <r>
      <rPr>
        <sz val="9"/>
        <color indexed="8"/>
        <rFont val="Arial Narrow"/>
        <family val="2"/>
      </rPr>
      <t xml:space="preserve"> </t>
    </r>
    <r>
      <rPr>
        <sz val="9"/>
        <color indexed="8"/>
        <rFont val="굴림체"/>
        <family val="3"/>
        <charset val="129"/>
      </rPr>
      <t>조성사업</t>
    </r>
    <phoneticPr fontId="29" type="noConversion"/>
  </si>
  <si>
    <t>[공사명 : 진천 메가폴리스 산업단지 조성사업]</t>
    <phoneticPr fontId="4" type="noConversion"/>
  </si>
  <si>
    <t>[공사명 : 진천 메가폴리스 산업단지 조성사업 전기공사]</t>
    <phoneticPr fontId="4" type="noConversion"/>
  </si>
  <si>
    <t>[ 진천 메가폴리스 산업단지 조성사업 전기공사 ]</t>
    <phoneticPr fontId="4" type="noConversion"/>
  </si>
  <si>
    <t>발생 전체물량 적용</t>
    <phoneticPr fontId="4" type="noConversion"/>
  </si>
  <si>
    <t>원목 반출물량만 적용</t>
    <phoneticPr fontId="4" type="noConversion"/>
  </si>
  <si>
    <t>파쇄물량만 적용(톱밥 운반량 누락)</t>
    <phoneticPr fontId="4" type="noConversion"/>
  </si>
  <si>
    <t>(계약금액)</t>
    <phoneticPr fontId="4" type="noConversion"/>
  </si>
  <si>
    <t>단수조정</t>
    <phoneticPr fontId="4" type="noConversion"/>
  </si>
  <si>
    <t>식</t>
    <phoneticPr fontId="4" type="noConversion"/>
  </si>
  <si>
    <t>토목공사</t>
    <phoneticPr fontId="4" type="noConversion"/>
  </si>
  <si>
    <t>직접공사비</t>
    <phoneticPr fontId="4" type="noConversion"/>
  </si>
  <si>
    <t>간접비</t>
    <phoneticPr fontId="4" type="noConversion"/>
  </si>
  <si>
    <t>간접비율</t>
    <phoneticPr fontId="4" type="noConversion"/>
  </si>
  <si>
    <r>
      <t>(</t>
    </r>
    <r>
      <rPr>
        <sz val="10"/>
        <rFont val="맑은 고딕"/>
        <family val="2"/>
        <charset val="129"/>
      </rPr>
      <t>부가세 별도)</t>
    </r>
    <phoneticPr fontId="4" type="noConversion"/>
  </si>
  <si>
    <r>
      <rPr>
        <sz val="9"/>
        <rFont val="돋움"/>
        <family val="3"/>
        <charset val="129"/>
      </rPr>
      <t>사급자재비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포함</t>
    </r>
    <phoneticPr fontId="4" type="noConversion"/>
  </si>
  <si>
    <t>전  기  공  사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</si>
</sst>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7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-* #,##0_-;\-* #,##0_-;_-* &quot;-&quot;??_-;_-@_-"/>
    <numFmt numFmtId="178" formatCode="&quot;직접노무비 x &quot;0.0&quot;%&quot;"/>
    <numFmt numFmtId="179" formatCode="&quot;(직접노무비 + 간접노무비) x &quot;0.00&quot;%&quot;"/>
    <numFmt numFmtId="180" formatCode="&quot;(직접노무비) x &quot;0.000&quot;%&quot;"/>
    <numFmt numFmtId="181" formatCode="&quot;(직접노무비) x &quot;0.00&quot;%&quot;"/>
    <numFmt numFmtId="182" formatCode="&quot;(직접노무비) x &quot;0.00&quot;%&quot;\ \(&quot;추&quot;&quot;정&quot;&quot;금&quot;&quot;액&quot;\ \1&quot;억&quot;&quot;원&quot;\ &quot;이&quot;&quot;상&quot;\)"/>
    <numFmt numFmtId="183" formatCode="&quot;(건강보험료) x &quot;0.00&quot;%&quot;"/>
    <numFmt numFmtId="184" formatCode="&quot;(재료비 + 직접노무비 + 관급자재비/1.1) x &quot;0.00&quot;% + 5,349천원&quot;"/>
    <numFmt numFmtId="185" formatCode="&quot;((재료비 + 직접노무비) x &quot;0.00&quot;%) x 1.2  + 5,349천원&quot;"/>
    <numFmt numFmtId="186" formatCode="&quot;((재료비 + 직접노무비) x &quot;0.00&quot;%) x 1.2 &quot;"/>
    <numFmt numFmtId="187" formatCode="&quot;(재료비 + 노무비) x &quot;0.00&quot;%&quot;"/>
    <numFmt numFmtId="188" formatCode="#,##0_ "/>
    <numFmt numFmtId="189" formatCode="&quot;(재료비 + 직접노무비 + 산출경비) x &quot;0.00&quot;%&quot;"/>
    <numFmt numFmtId="190" formatCode="&quot;(재료비 + 노무비 + 경비) x &quot;0.00&quot;%&quot;"/>
    <numFmt numFmtId="191" formatCode="&quot;(노무비 + 경비 + 일반관리비) x &quot;0&quot;%&quot;"/>
    <numFmt numFmtId="192" formatCode="#,##0_);[Red]\(#,##0\)"/>
    <numFmt numFmtId="193" formatCode="#,##0.00000_);[Red]\(#,##0.00000\)"/>
    <numFmt numFmtId="194" formatCode="#,##0.0_ "/>
    <numFmt numFmtId="195" formatCode="#,###"/>
    <numFmt numFmtId="196" formatCode="#,###;\-#,###;#;"/>
    <numFmt numFmtId="197" formatCode="_ * #,##0.0_ ;_ * \-#,##0.0_ ;_ * &quot;-&quot;_ ;_ @_ "/>
    <numFmt numFmtId="198" formatCode="_ * #,##0.00_ ;_ * \-#,##0.00_ ;_ * &quot;-&quot;_ ;_ @_ "/>
    <numFmt numFmtId="199" formatCode="#,##0.00_ "/>
    <numFmt numFmtId="200" formatCode="General;\-General\,&quot;&quot;;@"/>
    <numFmt numFmtId="201" formatCode="#,###;\-#,###;&quot;&quot;;@"/>
    <numFmt numFmtId="202" formatCode="_(* #,##0.00_);_(* \(#,##0.00\);_(* &quot;-&quot;??_);_(@_)"/>
    <numFmt numFmtId="203" formatCode="_ &quot;₩&quot;* #,##0_ ;_ &quot;₩&quot;* \-#,##0_ ;_ &quot;₩&quot;* &quot;-&quot;_ ;_ @_ "/>
    <numFmt numFmtId="204" formatCode="_ &quot;₩&quot;* #,##0.00_ ;_ &quot;₩&quot;* \-#,##0.00_ ;_ &quot;₩&quot;* &quot;-&quot;??_ ;_ @_ "/>
    <numFmt numFmtId="205" formatCode="_ * #,##0.00_ ;_ * \-#,##0.00_ ;_ * &quot;-&quot;??_ ;_ @_ "/>
    <numFmt numFmtId="206" formatCode="#,##0.0000_);\(#,##0.0000\)"/>
    <numFmt numFmtId="207" formatCode="&quot;__#,##0.0000;&quot;\&quot;&quot;₩&quot;&quot;₩&quot;&quot;₩&quot;\(&quot;__#,##0.0000&quot;\&quot;&quot;₩&quot;&quot;₩&quot;&quot;₩&quot;\)"/>
    <numFmt numFmtId="208" formatCode="&quot;₩&quot;&quot;₩&quot;&quot;₩&quot;&quot;₩&quot;\$#,##0.00;&quot;₩&quot;&quot;₩&quot;&quot;₩&quot;&quot;₩&quot;\(&quot;₩&quot;&quot;₩&quot;&quot;₩&quot;&quot;₩&quot;\$#,##0.00&quot;₩&quot;&quot;₩&quot;&quot;₩&quot;&quot;₩&quot;\)"/>
    <numFmt numFmtId="209" formatCode="&quot;₩&quot;&quot;₩&quot;&quot;₩&quot;&quot;₩&quot;\$#,##0;&quot;₩&quot;&quot;₩&quot;&quot;₩&quot;&quot;₩&quot;\(&quot;₩&quot;&quot;₩&quot;&quot;₩&quot;&quot;₩&quot;\$#,##0&quot;₩&quot;&quot;₩&quot;&quot;₩&quot;&quot;₩&quot;\)"/>
    <numFmt numFmtId="210" formatCode="General_)"/>
    <numFmt numFmtId="211" formatCode="&quot;₩&quot;#,##0\ "/>
    <numFmt numFmtId="212" formatCode="0.0_)"/>
    <numFmt numFmtId="213" formatCode="0.00000%"/>
    <numFmt numFmtId="214" formatCode="&quot;₩&quot;#,##0;&quot;₩&quot;\-#,##0"/>
    <numFmt numFmtId="215" formatCode="&quot;(직접재료비 + 직접노무비+경비의) x &quot;0.00&quot;%&quot;"/>
    <numFmt numFmtId="216" formatCode="&quot;순공사원가의 x &quot;0.00&quot;%&quot;"/>
    <numFmt numFmtId="217" formatCode="&quot;(순공사원가+일반관리비) x &quot;0.00&quot;%&quot;"/>
    <numFmt numFmtId="218" formatCode="#,##0.000_ "/>
  </numFmts>
  <fonts count="85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Arial Narrow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2"/>
      <name val="Arial Narrow"/>
      <family val="2"/>
    </font>
    <font>
      <b/>
      <sz val="10"/>
      <name val="돋움"/>
      <family val="3"/>
      <charset val="129"/>
    </font>
    <font>
      <sz val="9"/>
      <name val="Arial Narrow"/>
      <family val="2"/>
    </font>
    <font>
      <b/>
      <sz val="10"/>
      <name val="Arial Narrow"/>
      <family val="2"/>
    </font>
    <font>
      <sz val="11"/>
      <color rgb="FFFF0000"/>
      <name val="Arial Narrow"/>
      <family val="2"/>
    </font>
    <font>
      <sz val="12"/>
      <name val="바탕체"/>
      <family val="1"/>
      <charset val="129"/>
    </font>
    <font>
      <sz val="9"/>
      <name val="돋움"/>
      <family val="3"/>
      <charset val="129"/>
    </font>
    <font>
      <sz val="9"/>
      <color indexed="8"/>
      <name val="Arial Narrow"/>
      <family val="2"/>
    </font>
    <font>
      <sz val="10"/>
      <color rgb="FFFF0000"/>
      <name val="Arial Narrow"/>
      <family val="2"/>
    </font>
    <font>
      <b/>
      <u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굴림체"/>
      <family val="3"/>
      <charset val="129"/>
    </font>
    <font>
      <sz val="11"/>
      <color theme="1"/>
      <name val="굴림체"/>
      <family val="3"/>
      <charset val="129"/>
    </font>
    <font>
      <sz val="10"/>
      <name val="MS Sans Serif"/>
      <family val="2"/>
    </font>
    <font>
      <sz val="10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color indexed="8"/>
      <name val="굴림"/>
      <family val="3"/>
      <charset val="129"/>
    </font>
    <font>
      <sz val="11"/>
      <color indexed="8"/>
      <name val="굴림"/>
      <family val="3"/>
      <charset val="129"/>
    </font>
    <font>
      <sz val="9"/>
      <color indexed="8"/>
      <name val="굴림체"/>
      <family val="3"/>
      <charset val="129"/>
    </font>
    <font>
      <b/>
      <sz val="24"/>
      <color indexed="8"/>
      <name val="Arial Narrow"/>
      <family val="2"/>
    </font>
    <font>
      <b/>
      <sz val="24"/>
      <color indexed="8"/>
      <name val="굴림체"/>
      <family val="3"/>
      <charset val="129"/>
    </font>
    <font>
      <sz val="8"/>
      <name val="굴림"/>
      <family val="3"/>
      <charset val="129"/>
    </font>
    <font>
      <sz val="8"/>
      <color indexed="8"/>
      <name val="Arial Narrow"/>
      <family val="2"/>
    </font>
    <font>
      <sz val="8"/>
      <name val="굴림체"/>
      <family val="3"/>
      <charset val="129"/>
    </font>
    <font>
      <sz val="11"/>
      <color indexed="8"/>
      <name val="Arial Narrow"/>
      <family val="2"/>
    </font>
    <font>
      <u/>
      <sz val="11"/>
      <color indexed="30"/>
      <name val="Arial Narrow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0"/>
      <name val="μ¸¿oA¼"/>
      <family val="3"/>
      <charset val="129"/>
    </font>
    <font>
      <b/>
      <sz val="10"/>
      <name val="Helv"/>
      <family val="2"/>
    </font>
    <font>
      <sz val="10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i/>
      <sz val="12"/>
      <name val="Times New Roman"/>
      <family val="1"/>
    </font>
    <font>
      <b/>
      <sz val="11"/>
      <name val="Helv"/>
      <family val="2"/>
    </font>
    <font>
      <b/>
      <i/>
      <sz val="9"/>
      <name val="Times New Roman"/>
      <family val="1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u/>
      <sz val="12"/>
      <color indexed="36"/>
      <name val="바탕체"/>
      <family val="1"/>
      <charset val="129"/>
    </font>
    <font>
      <sz val="14"/>
      <name val="뼥?ⓒ"/>
      <family val="3"/>
      <charset val="129"/>
    </font>
    <font>
      <sz val="14"/>
      <name val="뼻뮝"/>
      <family val="1"/>
      <charset val="129"/>
    </font>
    <font>
      <sz val="12"/>
      <name val="뼻뮝"/>
      <family val="1"/>
      <charset val="129"/>
    </font>
    <font>
      <sz val="9"/>
      <name val="굴림체"/>
      <family val="3"/>
      <charset val="129"/>
    </font>
    <font>
      <sz val="10"/>
      <name val="명조"/>
      <family val="3"/>
      <charset val="129"/>
    </font>
    <font>
      <sz val="10"/>
      <color indexed="12"/>
      <name val="굴림체"/>
      <family val="3"/>
      <charset val="129"/>
    </font>
    <font>
      <sz val="10"/>
      <name val="굴림체"/>
      <family val="3"/>
      <charset val="129"/>
    </font>
    <font>
      <b/>
      <sz val="18"/>
      <name val="Arial Narrow"/>
      <family val="2"/>
    </font>
    <font>
      <b/>
      <sz val="18"/>
      <name val="돋움"/>
      <family val="3"/>
      <charset val="129"/>
    </font>
    <font>
      <sz val="10"/>
      <name val="Arial Narrow"/>
      <family val="2"/>
    </font>
    <font>
      <sz val="10"/>
      <color rgb="FFFF0000"/>
      <name val="돋움"/>
      <family val="3"/>
      <charset val="129"/>
    </font>
    <font>
      <sz val="10"/>
      <color indexed="8"/>
      <name val="돋움"/>
      <family val="3"/>
      <charset val="129"/>
    </font>
    <font>
      <sz val="10"/>
      <color indexed="8"/>
      <name val="Arial Narrow"/>
      <family val="2"/>
    </font>
    <font>
      <sz val="11"/>
      <color indexed="8"/>
      <name val="돋움"/>
      <family val="3"/>
      <charset val="129"/>
    </font>
    <font>
      <b/>
      <sz val="10"/>
      <color indexed="8"/>
      <name val="Arial Narrow"/>
      <family val="2"/>
    </font>
    <font>
      <sz val="6"/>
      <name val="돋움"/>
      <family val="3"/>
      <charset val="129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돋움"/>
      <family val="3"/>
      <charset val="129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u/>
      <sz val="9"/>
      <name val="Arial Narrow"/>
      <family val="2"/>
    </font>
    <font>
      <b/>
      <sz val="10"/>
      <name val="Arial Narrow"/>
      <family val="3"/>
      <charset val="129"/>
    </font>
    <font>
      <sz val="9"/>
      <color indexed="8"/>
      <name val="Arial Narrow"/>
      <family val="3"/>
      <charset val="129"/>
    </font>
    <font>
      <b/>
      <sz val="9"/>
      <color rgb="FF0000FF"/>
      <name val="Arial Narrow"/>
      <family val="2"/>
    </font>
    <font>
      <b/>
      <sz val="11"/>
      <color rgb="FF0000FF"/>
      <name val="Arial Narrow"/>
      <family val="2"/>
    </font>
    <font>
      <b/>
      <sz val="11"/>
      <color rgb="FF0000FF"/>
      <name val="맑은 고딕"/>
      <family val="2"/>
      <charset val="129"/>
    </font>
    <font>
      <b/>
      <sz val="11"/>
      <color rgb="FF0000FF"/>
      <name val="맑은 고딕"/>
      <family val="3"/>
      <charset val="129"/>
    </font>
    <font>
      <sz val="11"/>
      <color rgb="FFFF0000"/>
      <name val="굴림체"/>
      <family val="3"/>
      <charset val="129"/>
    </font>
    <font>
      <sz val="10"/>
      <name val="맑은 고딕"/>
      <family val="2"/>
      <charset val="129"/>
    </font>
    <font>
      <sz val="11"/>
      <color rgb="FF0000FF"/>
      <name val="Arial Narrow"/>
      <family val="2"/>
    </font>
    <font>
      <b/>
      <sz val="10"/>
      <color rgb="FF0000FF"/>
      <name val="맑은 고딕"/>
      <family val="3"/>
      <charset val="129"/>
    </font>
    <font>
      <sz val="10"/>
      <color rgb="FF0000FF"/>
      <name val="Arial Narrow"/>
      <family val="2"/>
    </font>
    <font>
      <b/>
      <sz val="10"/>
      <name val="맑은 고딕"/>
      <family val="2"/>
      <charset val="129"/>
    </font>
    <font>
      <b/>
      <sz val="10"/>
      <color rgb="FF0000FF"/>
      <name val="Arial Narrow"/>
      <family val="2"/>
    </font>
    <font>
      <sz val="20"/>
      <color theme="1"/>
      <name val="맑은 고딕"/>
      <family val="2"/>
      <charset val="129"/>
      <scheme val="minor"/>
    </font>
    <font>
      <sz val="25"/>
      <color theme="1"/>
      <name val="HY견명조"/>
      <family val="1"/>
      <charset val="129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FF"/>
        <bgColor indexed="9"/>
      </patternFill>
    </fill>
    <fill>
      <patternFill patternType="solid">
        <fgColor indexed="27"/>
        <bgColor indexed="9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theme="5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</borders>
  <cellStyleXfs count="503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176" fontId="11" fillId="0" borderId="0" applyFont="0" applyFill="0" applyBorder="0" applyAlignment="0" applyProtection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/>
    <xf numFmtId="0" fontId="2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9" fontId="22" fillId="0" borderId="0"/>
    <xf numFmtId="0" fontId="24" fillId="0" borderId="0"/>
    <xf numFmtId="0" fontId="22" fillId="0" borderId="0"/>
    <xf numFmtId="202" fontId="2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3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204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9" fillId="0" borderId="0"/>
    <xf numFmtId="204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205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/>
    <xf numFmtId="0" fontId="33" fillId="0" borderId="0"/>
    <xf numFmtId="0" fontId="2" fillId="0" borderId="0" applyFill="0" applyBorder="0" applyAlignment="0"/>
    <xf numFmtId="0" fontId="35" fillId="0" borderId="0"/>
    <xf numFmtId="206" fontId="11" fillId="0" borderId="0">
      <protection locked="0"/>
    </xf>
    <xf numFmtId="0" fontId="36" fillId="0" borderId="0" applyFont="0" applyFill="0" applyBorder="0" applyAlignment="0" applyProtection="0"/>
    <xf numFmtId="207" fontId="2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206" fontId="11" fillId="0" borderId="0">
      <protection locked="0"/>
    </xf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208" fontId="37" fillId="0" borderId="0"/>
    <xf numFmtId="206" fontId="11" fillId="0" borderId="0">
      <protection locked="0"/>
    </xf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209" fontId="37" fillId="0" borderId="0"/>
    <xf numFmtId="6" fontId="11" fillId="0" borderId="0">
      <protection locked="0"/>
    </xf>
    <xf numFmtId="38" fontId="38" fillId="4" borderId="0" applyNumberFormat="0" applyBorder="0" applyAlignment="0" applyProtection="0"/>
    <xf numFmtId="0" fontId="39" fillId="0" borderId="0">
      <alignment horizontal="left"/>
    </xf>
    <xf numFmtId="0" fontId="40" fillId="0" borderId="35" applyNumberFormat="0" applyAlignment="0" applyProtection="0">
      <alignment horizontal="left" vertical="center"/>
    </xf>
    <xf numFmtId="0" fontId="40" fillId="0" borderId="24">
      <alignment horizontal="left" vertical="center"/>
    </xf>
    <xf numFmtId="6" fontId="11" fillId="0" borderId="0">
      <protection locked="0"/>
    </xf>
    <xf numFmtId="6" fontId="11" fillId="0" borderId="0">
      <protection locked="0"/>
    </xf>
    <xf numFmtId="10" fontId="38" fillId="12" borderId="1" applyNumberFormat="0" applyBorder="0" applyAlignment="0" applyProtection="0"/>
    <xf numFmtId="210" fontId="41" fillId="0" borderId="0">
      <alignment horizontal="left"/>
    </xf>
    <xf numFmtId="176" fontId="36" fillId="0" borderId="0" applyFont="0" applyFill="0" applyBorder="0" applyAlignment="0" applyProtection="0"/>
    <xf numFmtId="205" fontId="36" fillId="0" borderId="0" applyFont="0" applyFill="0" applyBorder="0" applyAlignment="0" applyProtection="0"/>
    <xf numFmtId="0" fontId="42" fillId="0" borderId="31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211" fontId="2" fillId="0" borderId="0"/>
    <xf numFmtId="0" fontId="11" fillId="0" borderId="0"/>
    <xf numFmtId="0" fontId="36" fillId="0" borderId="0"/>
    <xf numFmtId="206" fontId="11" fillId="0" borderId="0">
      <protection locked="0"/>
    </xf>
    <xf numFmtId="10" fontId="36" fillId="0" borderId="0" applyFont="0" applyFill="0" applyBorder="0" applyAlignment="0" applyProtection="0"/>
    <xf numFmtId="199" fontId="2" fillId="0" borderId="0">
      <protection locked="0"/>
    </xf>
    <xf numFmtId="0" fontId="36" fillId="13" borderId="0"/>
    <xf numFmtId="0" fontId="42" fillId="0" borderId="0"/>
    <xf numFmtId="212" fontId="43" fillId="0" borderId="0">
      <alignment horizontal="center"/>
    </xf>
    <xf numFmtId="206" fontId="11" fillId="0" borderId="36">
      <protection locked="0"/>
    </xf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2" fontId="44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4" fillId="0" borderId="0" applyFont="0" applyFill="0" applyBorder="0" applyAlignment="0" applyProtection="0"/>
    <xf numFmtId="3" fontId="19" fillId="0" borderId="37">
      <alignment horizontal="center"/>
    </xf>
    <xf numFmtId="0" fontId="44" fillId="0" borderId="0" applyFon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40" fontId="48" fillId="0" borderId="0" applyFont="0" applyFill="0" applyBorder="0" applyAlignment="0" applyProtection="0"/>
    <xf numFmtId="38" fontId="48" fillId="0" borderId="0" applyFont="0" applyFill="0" applyBorder="0" applyAlignment="0" applyProtection="0"/>
    <xf numFmtId="40" fontId="49" fillId="0" borderId="0" applyFont="0" applyFill="0" applyBorder="0" applyAlignment="0" applyProtection="0"/>
    <xf numFmtId="38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50" fillId="0" borderId="0"/>
    <xf numFmtId="0" fontId="51" fillId="0" borderId="0" applyNumberFormat="0" applyFont="0" applyFill="0" applyBorder="0" applyProtection="0">
      <alignment horizontal="centerContinuous" vertical="center"/>
    </xf>
    <xf numFmtId="0" fontId="36" fillId="0" borderId="0"/>
    <xf numFmtId="0" fontId="52" fillId="0" borderId="38"/>
    <xf numFmtId="0" fontId="53" fillId="0" borderId="0">
      <alignment vertical="center"/>
    </xf>
    <xf numFmtId="0" fontId="51" fillId="0" borderId="0" applyNumberFormat="0" applyFont="0" applyFill="0" applyBorder="0" applyProtection="0">
      <alignment vertical="center"/>
    </xf>
    <xf numFmtId="4" fontId="44" fillId="0" borderId="0" applyFont="0" applyFill="0" applyBorder="0" applyAlignment="0" applyProtection="0"/>
    <xf numFmtId="3" fontId="44" fillId="0" borderId="0" applyFont="0" applyFill="0" applyBorder="0" applyAlignment="0" applyProtection="0"/>
    <xf numFmtId="0" fontId="11" fillId="0" borderId="0"/>
    <xf numFmtId="176" fontId="11" fillId="0" borderId="0" applyFont="0" applyFill="0" applyBorder="0" applyAlignment="0" applyProtection="0"/>
    <xf numFmtId="176" fontId="54" fillId="0" borderId="12">
      <alignment vertical="center"/>
    </xf>
    <xf numFmtId="205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0" fontId="44" fillId="0" borderId="0" applyFont="0" applyFill="0" applyBorder="0" applyAlignment="0" applyProtection="0"/>
    <xf numFmtId="0" fontId="2" fillId="0" borderId="0"/>
    <xf numFmtId="0" fontId="44" fillId="0" borderId="30" applyNumberFormat="0" applyFont="0" applyFill="0" applyAlignment="0" applyProtection="0"/>
    <xf numFmtId="213" fontId="2" fillId="0" borderId="0" applyFont="0" applyFill="0" applyBorder="0" applyAlignment="0" applyProtection="0"/>
    <xf numFmtId="214" fontId="44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</cellStyleXfs>
  <cellXfs count="321">
    <xf numFmtId="0" fontId="0" fillId="0" borderId="0" xfId="0">
      <alignment vertical="center"/>
    </xf>
    <xf numFmtId="0" fontId="18" fillId="0" borderId="1" xfId="0" quotePrefix="1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195" fontId="18" fillId="0" borderId="1" xfId="0" applyNumberFormat="1" applyFont="1" applyBorder="1" applyAlignment="1">
      <alignment vertical="center" wrapText="1"/>
    </xf>
    <xf numFmtId="0" fontId="0" fillId="0" borderId="0" xfId="0" quotePrefix="1">
      <alignment vertical="center"/>
    </xf>
    <xf numFmtId="195" fontId="0" fillId="0" borderId="0" xfId="0" applyNumberFormat="1">
      <alignment vertical="center"/>
    </xf>
    <xf numFmtId="0" fontId="16" fillId="0" borderId="1" xfId="0" quotePrefix="1" applyFont="1" applyBorder="1" applyAlignment="1">
      <alignment horizontal="center" vertical="center"/>
    </xf>
    <xf numFmtId="196" fontId="18" fillId="0" borderId="1" xfId="0" applyNumberFormat="1" applyFont="1" applyBorder="1" applyAlignment="1">
      <alignment vertical="center" wrapText="1"/>
    </xf>
    <xf numFmtId="0" fontId="18" fillId="0" borderId="1" xfId="0" quotePrefix="1" applyFont="1" applyBorder="1" applyAlignment="1">
      <alignment vertical="top" wrapText="1"/>
    </xf>
    <xf numFmtId="0" fontId="18" fillId="0" borderId="1" xfId="0" applyFont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quotePrefix="1" applyAlignment="1">
      <alignment vertical="top"/>
    </xf>
    <xf numFmtId="0" fontId="0" fillId="2" borderId="0" xfId="0" applyFill="1">
      <alignment vertical="center"/>
    </xf>
    <xf numFmtId="0" fontId="17" fillId="2" borderId="1" xfId="0" quotePrefix="1" applyFont="1" applyFill="1" applyBorder="1" applyAlignment="1">
      <alignment horizontal="center" vertical="center" wrapText="1"/>
    </xf>
    <xf numFmtId="0" fontId="18" fillId="2" borderId="1" xfId="0" quotePrefix="1" applyFont="1" applyFill="1" applyBorder="1" applyAlignment="1">
      <alignment vertical="center" wrapText="1"/>
    </xf>
    <xf numFmtId="0" fontId="18" fillId="2" borderId="1" xfId="0" applyFont="1" applyFill="1" applyBorder="1" applyAlignment="1">
      <alignment vertical="center" wrapText="1"/>
    </xf>
    <xf numFmtId="195" fontId="18" fillId="2" borderId="1" xfId="0" applyNumberFormat="1" applyFont="1" applyFill="1" applyBorder="1" applyAlignment="1">
      <alignment vertical="center" wrapText="1"/>
    </xf>
    <xf numFmtId="0" fontId="18" fillId="3" borderId="1" xfId="0" quotePrefix="1" applyFont="1" applyFill="1" applyBorder="1" applyAlignment="1">
      <alignment vertical="center" wrapText="1"/>
    </xf>
    <xf numFmtId="0" fontId="18" fillId="3" borderId="1" xfId="0" applyFont="1" applyFill="1" applyBorder="1" applyAlignment="1">
      <alignment vertical="center" wrapText="1"/>
    </xf>
    <xf numFmtId="195" fontId="18" fillId="3" borderId="1" xfId="0" applyNumberFormat="1" applyFont="1" applyFill="1" applyBorder="1" applyAlignment="1">
      <alignment vertical="center" wrapText="1"/>
    </xf>
    <xf numFmtId="0" fontId="0" fillId="3" borderId="0" xfId="0" quotePrefix="1" applyFill="1">
      <alignment vertical="center"/>
    </xf>
    <xf numFmtId="0" fontId="0" fillId="3" borderId="0" xfId="0" applyFill="1">
      <alignment vertical="center"/>
    </xf>
    <xf numFmtId="195" fontId="0" fillId="3" borderId="0" xfId="0" applyNumberFormat="1" applyFill="1">
      <alignment vertical="center"/>
    </xf>
    <xf numFmtId="195" fontId="0" fillId="2" borderId="0" xfId="0" applyNumberFormat="1" applyFill="1">
      <alignment vertical="center"/>
    </xf>
    <xf numFmtId="10" fontId="1" fillId="0" borderId="0" xfId="0" applyNumberFormat="1" applyFont="1">
      <alignment vertical="center"/>
    </xf>
    <xf numFmtId="0" fontId="28" fillId="0" borderId="0" xfId="17" applyFont="1"/>
    <xf numFmtId="0" fontId="13" fillId="0" borderId="0" xfId="16" applyFont="1" applyAlignment="1">
      <alignment vertical="center"/>
    </xf>
    <xf numFmtId="188" fontId="13" fillId="0" borderId="0" xfId="16" applyNumberFormat="1" applyFont="1" applyAlignment="1">
      <alignment vertical="center"/>
    </xf>
    <xf numFmtId="0" fontId="13" fillId="0" borderId="0" xfId="16" applyFont="1" applyAlignment="1">
      <alignment horizontal="center" vertical="center"/>
    </xf>
    <xf numFmtId="0" fontId="30" fillId="0" borderId="0" xfId="17" applyFont="1" applyAlignment="1">
      <alignment shrinkToFit="1"/>
    </xf>
    <xf numFmtId="200" fontId="30" fillId="7" borderId="33" xfId="17" applyNumberFormat="1" applyFont="1" applyFill="1" applyBorder="1" applyAlignment="1">
      <alignment horizontal="center" vertical="center" shrinkToFit="1"/>
    </xf>
    <xf numFmtId="200" fontId="30" fillId="0" borderId="28" xfId="17" applyNumberFormat="1" applyFont="1" applyBorder="1" applyAlignment="1">
      <alignment vertical="center" shrinkToFit="1"/>
    </xf>
    <xf numFmtId="200" fontId="30" fillId="0" borderId="1" xfId="17" applyNumberFormat="1" applyFont="1" applyBorder="1" applyAlignment="1">
      <alignment vertical="center" shrinkToFit="1"/>
    </xf>
    <xf numFmtId="188" fontId="30" fillId="0" borderId="1" xfId="17" applyNumberFormat="1" applyFont="1" applyBorder="1" applyAlignment="1">
      <alignment vertical="center" shrinkToFit="1"/>
    </xf>
    <xf numFmtId="200" fontId="30" fillId="0" borderId="1" xfId="17" applyNumberFormat="1" applyFont="1" applyBorder="1" applyAlignment="1">
      <alignment horizontal="center" vertical="center" shrinkToFit="1"/>
    </xf>
    <xf numFmtId="0" fontId="30" fillId="0" borderId="13" xfId="17" applyFont="1" applyBorder="1" applyAlignment="1">
      <alignment shrinkToFit="1"/>
    </xf>
    <xf numFmtId="201" fontId="30" fillId="0" borderId="1" xfId="17" applyNumberFormat="1" applyFont="1" applyBorder="1" applyAlignment="1">
      <alignment vertical="center" shrinkToFit="1"/>
    </xf>
    <xf numFmtId="200" fontId="30" fillId="0" borderId="29" xfId="17" applyNumberFormat="1" applyFont="1" applyBorder="1" applyAlignment="1">
      <alignment vertical="center" shrinkToFit="1"/>
    </xf>
    <xf numFmtId="0" fontId="31" fillId="0" borderId="0" xfId="17" applyFont="1" applyAlignment="1">
      <alignment vertical="center" shrinkToFit="1"/>
    </xf>
    <xf numFmtId="200" fontId="30" fillId="2" borderId="28" xfId="17" applyNumberFormat="1" applyFont="1" applyFill="1" applyBorder="1" applyAlignment="1">
      <alignment vertical="center" shrinkToFit="1"/>
    </xf>
    <xf numFmtId="200" fontId="30" fillId="2" borderId="1" xfId="17" applyNumberFormat="1" applyFont="1" applyFill="1" applyBorder="1" applyAlignment="1">
      <alignment vertical="center" shrinkToFit="1"/>
    </xf>
    <xf numFmtId="188" fontId="30" fillId="2" borderId="1" xfId="17" applyNumberFormat="1" applyFont="1" applyFill="1" applyBorder="1" applyAlignment="1">
      <alignment vertical="center" shrinkToFit="1"/>
    </xf>
    <xf numFmtId="200" fontId="30" fillId="2" borderId="1" xfId="17" applyNumberFormat="1" applyFont="1" applyFill="1" applyBorder="1" applyAlignment="1">
      <alignment horizontal="center" vertical="center" shrinkToFit="1"/>
    </xf>
    <xf numFmtId="201" fontId="30" fillId="2" borderId="1" xfId="17" applyNumberFormat="1" applyFont="1" applyFill="1" applyBorder="1" applyAlignment="1">
      <alignment vertical="center" shrinkToFit="1"/>
    </xf>
    <xf numFmtId="200" fontId="30" fillId="2" borderId="29" xfId="17" applyNumberFormat="1" applyFont="1" applyFill="1" applyBorder="1" applyAlignment="1">
      <alignment vertical="center" shrinkToFit="1"/>
    </xf>
    <xf numFmtId="0" fontId="30" fillId="2" borderId="0" xfId="17" applyFont="1" applyFill="1" applyAlignment="1">
      <alignment shrinkToFit="1"/>
    </xf>
    <xf numFmtId="0" fontId="30" fillId="0" borderId="22" xfId="17" applyFont="1" applyBorder="1" applyAlignment="1">
      <alignment horizontal="center" vertical="center" shrinkToFit="1"/>
    </xf>
    <xf numFmtId="200" fontId="30" fillId="5" borderId="28" xfId="17" applyNumberFormat="1" applyFont="1" applyFill="1" applyBorder="1" applyAlignment="1">
      <alignment vertical="center" shrinkToFit="1"/>
    </xf>
    <xf numFmtId="200" fontId="30" fillId="5" borderId="1" xfId="17" applyNumberFormat="1" applyFont="1" applyFill="1" applyBorder="1" applyAlignment="1">
      <alignment vertical="center" shrinkToFit="1"/>
    </xf>
    <xf numFmtId="188" fontId="30" fillId="5" borderId="1" xfId="17" applyNumberFormat="1" applyFont="1" applyFill="1" applyBorder="1" applyAlignment="1">
      <alignment vertical="center" shrinkToFit="1"/>
    </xf>
    <xf numFmtId="200" fontId="30" fillId="5" borderId="1" xfId="17" applyNumberFormat="1" applyFont="1" applyFill="1" applyBorder="1" applyAlignment="1">
      <alignment horizontal="center" vertical="center" shrinkToFit="1"/>
    </xf>
    <xf numFmtId="201" fontId="30" fillId="5" borderId="1" xfId="17" applyNumberFormat="1" applyFont="1" applyFill="1" applyBorder="1" applyAlignment="1">
      <alignment vertical="center" shrinkToFit="1"/>
    </xf>
    <xf numFmtId="200" fontId="30" fillId="5" borderId="29" xfId="17" applyNumberFormat="1" applyFont="1" applyFill="1" applyBorder="1" applyAlignment="1">
      <alignment vertical="center" shrinkToFit="1"/>
    </xf>
    <xf numFmtId="201" fontId="30" fillId="5" borderId="22" xfId="17" applyNumberFormat="1" applyFont="1" applyFill="1" applyBorder="1" applyAlignment="1">
      <alignment vertical="center" shrinkToFit="1"/>
    </xf>
    <xf numFmtId="0" fontId="30" fillId="5" borderId="0" xfId="17" applyFont="1" applyFill="1" applyAlignment="1">
      <alignment shrinkToFit="1"/>
    </xf>
    <xf numFmtId="201" fontId="30" fillId="0" borderId="0" xfId="17" applyNumberFormat="1" applyFont="1" applyAlignment="1">
      <alignment vertical="center" shrinkToFit="1"/>
    </xf>
    <xf numFmtId="201" fontId="10" fillId="0" borderId="1" xfId="17" applyNumberFormat="1" applyFont="1" applyBorder="1" applyAlignment="1">
      <alignment vertical="center" shrinkToFit="1"/>
    </xf>
    <xf numFmtId="200" fontId="30" fillId="3" borderId="28" xfId="17" applyNumberFormat="1" applyFont="1" applyFill="1" applyBorder="1" applyAlignment="1">
      <alignment vertical="center" shrinkToFit="1"/>
    </xf>
    <xf numFmtId="200" fontId="30" fillId="3" borderId="1" xfId="17" applyNumberFormat="1" applyFont="1" applyFill="1" applyBorder="1" applyAlignment="1">
      <alignment vertical="center" shrinkToFit="1"/>
    </xf>
    <xf numFmtId="188" fontId="30" fillId="3" borderId="1" xfId="17" applyNumberFormat="1" applyFont="1" applyFill="1" applyBorder="1" applyAlignment="1">
      <alignment vertical="center" shrinkToFit="1"/>
    </xf>
    <xf numFmtId="200" fontId="30" fillId="3" borderId="1" xfId="17" applyNumberFormat="1" applyFont="1" applyFill="1" applyBorder="1" applyAlignment="1">
      <alignment horizontal="center" vertical="center" shrinkToFit="1"/>
    </xf>
    <xf numFmtId="201" fontId="30" fillId="3" borderId="1" xfId="17" applyNumberFormat="1" applyFont="1" applyFill="1" applyBorder="1" applyAlignment="1">
      <alignment vertical="center" shrinkToFit="1"/>
    </xf>
    <xf numFmtId="200" fontId="30" fillId="3" borderId="29" xfId="17" applyNumberFormat="1" applyFont="1" applyFill="1" applyBorder="1" applyAlignment="1">
      <alignment vertical="center" shrinkToFit="1"/>
    </xf>
    <xf numFmtId="0" fontId="30" fillId="3" borderId="0" xfId="17" applyFont="1" applyFill="1" applyAlignment="1">
      <alignment shrinkToFit="1"/>
    </xf>
    <xf numFmtId="200" fontId="30" fillId="8" borderId="28" xfId="17" applyNumberFormat="1" applyFont="1" applyFill="1" applyBorder="1" applyAlignment="1">
      <alignment vertical="center" shrinkToFit="1"/>
    </xf>
    <xf numFmtId="200" fontId="30" fillId="8" borderId="1" xfId="17" applyNumberFormat="1" applyFont="1" applyFill="1" applyBorder="1" applyAlignment="1">
      <alignment vertical="center" shrinkToFit="1"/>
    </xf>
    <xf numFmtId="188" fontId="30" fillId="8" borderId="1" xfId="17" applyNumberFormat="1" applyFont="1" applyFill="1" applyBorder="1" applyAlignment="1">
      <alignment vertical="center" shrinkToFit="1"/>
    </xf>
    <xf numFmtId="200" fontId="30" fillId="8" borderId="1" xfId="17" applyNumberFormat="1" applyFont="1" applyFill="1" applyBorder="1" applyAlignment="1">
      <alignment horizontal="center" vertical="center" shrinkToFit="1"/>
    </xf>
    <xf numFmtId="201" fontId="30" fillId="8" borderId="1" xfId="17" applyNumberFormat="1" applyFont="1" applyFill="1" applyBorder="1" applyAlignment="1">
      <alignment vertical="center" shrinkToFit="1"/>
    </xf>
    <xf numFmtId="200" fontId="30" fillId="8" borderId="29" xfId="17" applyNumberFormat="1" applyFont="1" applyFill="1" applyBorder="1" applyAlignment="1">
      <alignment vertical="center" shrinkToFit="1"/>
    </xf>
    <xf numFmtId="0" fontId="30" fillId="8" borderId="0" xfId="17" applyFont="1" applyFill="1" applyAlignment="1">
      <alignment shrinkToFit="1"/>
    </xf>
    <xf numFmtId="200" fontId="30" fillId="9" borderId="28" xfId="17" applyNumberFormat="1" applyFont="1" applyFill="1" applyBorder="1" applyAlignment="1">
      <alignment vertical="center" shrinkToFit="1"/>
    </xf>
    <xf numFmtId="200" fontId="30" fillId="9" borderId="1" xfId="17" applyNumberFormat="1" applyFont="1" applyFill="1" applyBorder="1" applyAlignment="1">
      <alignment vertical="center" shrinkToFit="1"/>
    </xf>
    <xf numFmtId="188" fontId="30" fillId="9" borderId="1" xfId="17" applyNumberFormat="1" applyFont="1" applyFill="1" applyBorder="1" applyAlignment="1">
      <alignment vertical="center" shrinkToFit="1"/>
    </xf>
    <xf numFmtId="200" fontId="30" fillId="9" borderId="1" xfId="17" applyNumberFormat="1" applyFont="1" applyFill="1" applyBorder="1" applyAlignment="1">
      <alignment horizontal="center" vertical="center" shrinkToFit="1"/>
    </xf>
    <xf numFmtId="201" fontId="30" fillId="9" borderId="1" xfId="17" applyNumberFormat="1" applyFont="1" applyFill="1" applyBorder="1" applyAlignment="1">
      <alignment vertical="center" shrinkToFit="1"/>
    </xf>
    <xf numFmtId="200" fontId="30" fillId="9" borderId="29" xfId="17" applyNumberFormat="1" applyFont="1" applyFill="1" applyBorder="1" applyAlignment="1">
      <alignment vertical="center" shrinkToFit="1"/>
    </xf>
    <xf numFmtId="0" fontId="30" fillId="9" borderId="0" xfId="17" applyFont="1" applyFill="1" applyAlignment="1">
      <alignment shrinkToFit="1"/>
    </xf>
    <xf numFmtId="0" fontId="31" fillId="8" borderId="0" xfId="17" applyFont="1" applyFill="1" applyAlignment="1">
      <alignment vertical="center" shrinkToFit="1"/>
    </xf>
    <xf numFmtId="200" fontId="30" fillId="10" borderId="28" xfId="17" applyNumberFormat="1" applyFont="1" applyFill="1" applyBorder="1" applyAlignment="1">
      <alignment vertical="center" shrinkToFit="1"/>
    </xf>
    <xf numFmtId="200" fontId="30" fillId="10" borderId="1" xfId="17" applyNumberFormat="1" applyFont="1" applyFill="1" applyBorder="1" applyAlignment="1">
      <alignment vertical="center" shrinkToFit="1"/>
    </xf>
    <xf numFmtId="188" fontId="30" fillId="10" borderId="1" xfId="17" applyNumberFormat="1" applyFont="1" applyFill="1" applyBorder="1" applyAlignment="1">
      <alignment vertical="center" shrinkToFit="1"/>
    </xf>
    <xf numFmtId="200" fontId="30" fillId="10" borderId="1" xfId="17" applyNumberFormat="1" applyFont="1" applyFill="1" applyBorder="1" applyAlignment="1">
      <alignment horizontal="center" vertical="center" shrinkToFit="1"/>
    </xf>
    <xf numFmtId="201" fontId="30" fillId="10" borderId="1" xfId="17" applyNumberFormat="1" applyFont="1" applyFill="1" applyBorder="1" applyAlignment="1">
      <alignment vertical="center" shrinkToFit="1"/>
    </xf>
    <xf numFmtId="200" fontId="30" fillId="10" borderId="29" xfId="17" applyNumberFormat="1" applyFont="1" applyFill="1" applyBorder="1" applyAlignment="1">
      <alignment vertical="center" shrinkToFit="1"/>
    </xf>
    <xf numFmtId="0" fontId="30" fillId="10" borderId="0" xfId="17" applyFont="1" applyFill="1" applyAlignment="1">
      <alignment shrinkToFit="1"/>
    </xf>
    <xf numFmtId="200" fontId="30" fillId="11" borderId="28" xfId="17" applyNumberFormat="1" applyFont="1" applyFill="1" applyBorder="1" applyAlignment="1">
      <alignment vertical="center" shrinkToFit="1"/>
    </xf>
    <xf numFmtId="200" fontId="30" fillId="11" borderId="1" xfId="17" applyNumberFormat="1" applyFont="1" applyFill="1" applyBorder="1" applyAlignment="1">
      <alignment vertical="center" shrinkToFit="1"/>
    </xf>
    <xf numFmtId="188" fontId="30" fillId="11" borderId="1" xfId="17" applyNumberFormat="1" applyFont="1" applyFill="1" applyBorder="1" applyAlignment="1">
      <alignment vertical="center" shrinkToFit="1"/>
    </xf>
    <xf numFmtId="200" fontId="30" fillId="11" borderId="1" xfId="17" applyNumberFormat="1" applyFont="1" applyFill="1" applyBorder="1" applyAlignment="1">
      <alignment horizontal="center" vertical="center" shrinkToFit="1"/>
    </xf>
    <xf numFmtId="201" fontId="30" fillId="11" borderId="1" xfId="17" applyNumberFormat="1" applyFont="1" applyFill="1" applyBorder="1" applyAlignment="1">
      <alignment vertical="center" shrinkToFit="1"/>
    </xf>
    <xf numFmtId="200" fontId="30" fillId="11" borderId="29" xfId="17" applyNumberFormat="1" applyFont="1" applyFill="1" applyBorder="1" applyAlignment="1">
      <alignment vertical="center" shrinkToFit="1"/>
    </xf>
    <xf numFmtId="0" fontId="30" fillId="11" borderId="0" xfId="17" applyFont="1" applyFill="1" applyAlignment="1">
      <alignment shrinkToFit="1"/>
    </xf>
    <xf numFmtId="0" fontId="31" fillId="9" borderId="0" xfId="17" applyFont="1" applyFill="1" applyAlignment="1">
      <alignment vertical="center" shrinkToFit="1"/>
    </xf>
    <xf numFmtId="200" fontId="30" fillId="0" borderId="32" xfId="17" applyNumberFormat="1" applyFont="1" applyBorder="1" applyAlignment="1">
      <alignment horizontal="center" vertical="center" shrinkToFit="1"/>
    </xf>
    <xf numFmtId="200" fontId="30" fillId="0" borderId="33" xfId="17" applyNumberFormat="1" applyFont="1" applyBorder="1" applyAlignment="1">
      <alignment horizontal="center" vertical="center" shrinkToFit="1"/>
    </xf>
    <xf numFmtId="188" fontId="30" fillId="0" borderId="33" xfId="17" applyNumberFormat="1" applyFont="1" applyBorder="1" applyAlignment="1">
      <alignment horizontal="center" vertical="center" shrinkToFit="1"/>
    </xf>
    <xf numFmtId="200" fontId="30" fillId="0" borderId="34" xfId="17" applyNumberFormat="1" applyFont="1" applyBorder="1" applyAlignment="1">
      <alignment horizontal="center" vertical="center" shrinkToFit="1"/>
    </xf>
    <xf numFmtId="188" fontId="28" fillId="0" borderId="0" xfId="17" applyNumberFormat="1" applyFont="1"/>
    <xf numFmtId="0" fontId="28" fillId="0" borderId="0" xfId="17" applyFont="1" applyAlignment="1">
      <alignment horizontal="center"/>
    </xf>
    <xf numFmtId="0" fontId="3" fillId="0" borderId="0" xfId="1" applyFont="1"/>
    <xf numFmtId="0" fontId="3" fillId="0" borderId="0" xfId="1" applyFont="1" applyAlignment="1">
      <alignment horizontal="left"/>
    </xf>
    <xf numFmtId="0" fontId="6" fillId="0" borderId="0" xfId="2" applyFont="1" applyAlignment="1">
      <alignment vertical="center"/>
    </xf>
    <xf numFmtId="0" fontId="7" fillId="0" borderId="0" xfId="3" applyFont="1" applyAlignment="1">
      <alignment vertical="center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192" fontId="14" fillId="0" borderId="0" xfId="1" applyNumberFormat="1" applyFont="1"/>
    <xf numFmtId="41" fontId="10" fillId="0" borderId="0" xfId="8" applyFont="1" applyFill="1" applyAlignment="1"/>
    <xf numFmtId="41" fontId="3" fillId="0" borderId="0" xfId="1" applyNumberFormat="1" applyFont="1" applyAlignment="1">
      <alignment horizontal="center" vertical="center"/>
    </xf>
    <xf numFmtId="0" fontId="2" fillId="0" borderId="0" xfId="1" applyAlignment="1">
      <alignment horizontal="right"/>
    </xf>
    <xf numFmtId="10" fontId="3" fillId="0" borderId="0" xfId="8" applyNumberFormat="1" applyFont="1" applyFill="1" applyAlignment="1"/>
    <xf numFmtId="41" fontId="3" fillId="0" borderId="0" xfId="8" applyFont="1" applyFill="1" applyAlignment="1"/>
    <xf numFmtId="0" fontId="2" fillId="0" borderId="0" xfId="1" applyAlignment="1">
      <alignment horizontal="left"/>
    </xf>
    <xf numFmtId="0" fontId="57" fillId="2" borderId="0" xfId="1" applyFont="1" applyFill="1"/>
    <xf numFmtId="0" fontId="14" fillId="2" borderId="0" xfId="1" applyFont="1" applyFill="1" applyAlignment="1">
      <alignment horizontal="center" vertical="center"/>
    </xf>
    <xf numFmtId="0" fontId="57" fillId="0" borderId="0" xfId="1" applyFont="1"/>
    <xf numFmtId="0" fontId="57" fillId="14" borderId="0" xfId="1" applyFont="1" applyFill="1"/>
    <xf numFmtId="176" fontId="57" fillId="0" borderId="0" xfId="1" applyNumberFormat="1" applyFont="1"/>
    <xf numFmtId="176" fontId="60" fillId="0" borderId="0" xfId="4" applyFont="1" applyFill="1" applyBorder="1" applyAlignment="1">
      <alignment horizontal="center" vertical="center"/>
    </xf>
    <xf numFmtId="0" fontId="57" fillId="0" borderId="13" xfId="1" applyFont="1" applyBorder="1"/>
    <xf numFmtId="188" fontId="57" fillId="0" borderId="0" xfId="1" applyNumberFormat="1" applyFont="1"/>
    <xf numFmtId="176" fontId="57" fillId="14" borderId="0" xfId="1" applyNumberFormat="1" applyFont="1" applyFill="1"/>
    <xf numFmtId="188" fontId="57" fillId="2" borderId="0" xfId="1" applyNumberFormat="1" applyFont="1" applyFill="1"/>
    <xf numFmtId="176" fontId="57" fillId="2" borderId="0" xfId="1" applyNumberFormat="1" applyFont="1" applyFill="1"/>
    <xf numFmtId="191" fontId="20" fillId="0" borderId="12" xfId="1" applyNumberFormat="1" applyFont="1" applyBorder="1" applyAlignment="1">
      <alignment horizontal="left" vertical="center" shrinkToFit="1"/>
    </xf>
    <xf numFmtId="192" fontId="57" fillId="0" borderId="0" xfId="1" applyNumberFormat="1" applyFont="1"/>
    <xf numFmtId="192" fontId="57" fillId="0" borderId="0" xfId="1" applyNumberFormat="1" applyFont="1" applyAlignment="1">
      <alignment horizontal="left"/>
    </xf>
    <xf numFmtId="193" fontId="14" fillId="0" borderId="0" xfId="1" applyNumberFormat="1" applyFont="1" applyAlignment="1">
      <alignment vertical="center"/>
    </xf>
    <xf numFmtId="192" fontId="57" fillId="0" borderId="0" xfId="1" applyNumberFormat="1" applyFont="1" applyAlignment="1">
      <alignment vertical="center"/>
    </xf>
    <xf numFmtId="192" fontId="57" fillId="0" borderId="0" xfId="1" applyNumberFormat="1" applyFont="1" applyAlignment="1">
      <alignment horizontal="left" vertical="center"/>
    </xf>
    <xf numFmtId="0" fontId="9" fillId="2" borderId="3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176" fontId="14" fillId="2" borderId="0" xfId="4" applyFont="1" applyFill="1" applyBorder="1" applyAlignment="1">
      <alignment horizontal="center" vertical="center"/>
    </xf>
    <xf numFmtId="3" fontId="14" fillId="0" borderId="8" xfId="1" applyNumberFormat="1" applyFont="1" applyBorder="1" applyAlignment="1">
      <alignment horizontal="left" vertical="center"/>
    </xf>
    <xf numFmtId="176" fontId="60" fillId="0" borderId="11" xfId="4" applyFont="1" applyFill="1" applyBorder="1" applyAlignment="1">
      <alignment horizontal="center" vertical="center"/>
    </xf>
    <xf numFmtId="3" fontId="57" fillId="0" borderId="12" xfId="1" applyNumberFormat="1" applyFont="1" applyBorder="1" applyAlignment="1">
      <alignment horizontal="left" vertical="center"/>
    </xf>
    <xf numFmtId="176" fontId="60" fillId="14" borderId="11" xfId="4" applyFont="1" applyFill="1" applyBorder="1" applyAlignment="1">
      <alignment horizontal="center" vertical="center"/>
    </xf>
    <xf numFmtId="0" fontId="57" fillId="14" borderId="12" xfId="1" applyFont="1" applyFill="1" applyBorder="1" applyAlignment="1">
      <alignment horizontal="left" vertical="center"/>
    </xf>
    <xf numFmtId="176" fontId="60" fillId="14" borderId="0" xfId="4" applyFont="1" applyFill="1" applyBorder="1" applyAlignment="1">
      <alignment horizontal="center" vertical="center"/>
    </xf>
    <xf numFmtId="177" fontId="60" fillId="0" borderId="11" xfId="4" applyNumberFormat="1" applyFont="1" applyFill="1" applyBorder="1" applyAlignment="1">
      <alignment horizontal="center" vertical="center"/>
    </xf>
    <xf numFmtId="178" fontId="57" fillId="0" borderId="12" xfId="1" applyNumberFormat="1" applyFont="1" applyBorder="1" applyAlignment="1">
      <alignment horizontal="left" vertical="center"/>
    </xf>
    <xf numFmtId="0" fontId="57" fillId="14" borderId="12" xfId="1" applyFont="1" applyFill="1" applyBorder="1" applyAlignment="1">
      <alignment horizontal="left" vertical="center" shrinkToFit="1"/>
    </xf>
    <xf numFmtId="0" fontId="57" fillId="0" borderId="12" xfId="1" applyFont="1" applyBorder="1" applyAlignment="1">
      <alignment horizontal="left" vertical="center" shrinkToFit="1"/>
    </xf>
    <xf numFmtId="179" fontId="57" fillId="0" borderId="12" xfId="1" applyNumberFormat="1" applyFont="1" applyBorder="1" applyAlignment="1">
      <alignment horizontal="left" vertical="center"/>
    </xf>
    <xf numFmtId="0" fontId="57" fillId="0" borderId="22" xfId="1" applyFont="1" applyBorder="1" applyAlignment="1">
      <alignment horizontal="center" vertical="center"/>
    </xf>
    <xf numFmtId="180" fontId="57" fillId="0" borderId="12" xfId="1" applyNumberFormat="1" applyFont="1" applyBorder="1" applyAlignment="1">
      <alignment horizontal="left" vertical="center"/>
    </xf>
    <xf numFmtId="176" fontId="60" fillId="0" borderId="22" xfId="4" applyFont="1" applyFill="1" applyBorder="1" applyAlignment="1">
      <alignment horizontal="center" vertical="center"/>
    </xf>
    <xf numFmtId="176" fontId="57" fillId="0" borderId="0" xfId="6" applyNumberFormat="1" applyFont="1"/>
    <xf numFmtId="181" fontId="57" fillId="0" borderId="12" xfId="1" applyNumberFormat="1" applyFont="1" applyBorder="1" applyAlignment="1">
      <alignment horizontal="left" vertical="center"/>
    </xf>
    <xf numFmtId="183" fontId="57" fillId="0" borderId="12" xfId="1" applyNumberFormat="1" applyFont="1" applyBorder="1" applyAlignment="1">
      <alignment horizontal="left" vertical="center"/>
    </xf>
    <xf numFmtId="184" fontId="57" fillId="0" borderId="12" xfId="1" applyNumberFormat="1" applyFont="1" applyBorder="1" applyAlignment="1">
      <alignment horizontal="left" vertical="center" shrinkToFit="1"/>
    </xf>
    <xf numFmtId="176" fontId="60" fillId="0" borderId="0" xfId="4" applyFont="1" applyFill="1" applyBorder="1" applyAlignment="1">
      <alignment horizontal="center" vertical="center" shrinkToFit="1"/>
    </xf>
    <xf numFmtId="184" fontId="57" fillId="0" borderId="0" xfId="1" applyNumberFormat="1" applyFont="1" applyAlignment="1">
      <alignment horizontal="left" vertical="center"/>
    </xf>
    <xf numFmtId="198" fontId="60" fillId="0" borderId="0" xfId="4" applyNumberFormat="1" applyFont="1" applyFill="1" applyBorder="1" applyAlignment="1">
      <alignment horizontal="center" vertical="center" shrinkToFit="1"/>
    </xf>
    <xf numFmtId="185" fontId="57" fillId="0" borderId="0" xfId="1" applyNumberFormat="1" applyFont="1" applyAlignment="1">
      <alignment horizontal="left" vertical="center"/>
    </xf>
    <xf numFmtId="186" fontId="57" fillId="0" borderId="14" xfId="1" applyNumberFormat="1" applyFont="1" applyBorder="1" applyAlignment="1">
      <alignment horizontal="left" vertical="center"/>
    </xf>
    <xf numFmtId="187" fontId="57" fillId="0" borderId="12" xfId="1" applyNumberFormat="1" applyFont="1" applyBorder="1" applyAlignment="1">
      <alignment horizontal="left" vertical="center" shrinkToFit="1"/>
    </xf>
    <xf numFmtId="176" fontId="57" fillId="0" borderId="11" xfId="4" applyFont="1" applyFill="1" applyBorder="1" applyAlignment="1">
      <alignment horizontal="center" vertical="center"/>
    </xf>
    <xf numFmtId="189" fontId="57" fillId="0" borderId="12" xfId="1" applyNumberFormat="1" applyFont="1" applyBorder="1" applyAlignment="1">
      <alignment horizontal="left" vertical="center" shrinkToFit="1"/>
    </xf>
    <xf numFmtId="176" fontId="57" fillId="2" borderId="11" xfId="4" applyFont="1" applyFill="1" applyBorder="1" applyAlignment="1">
      <alignment horizontal="center" vertical="center"/>
    </xf>
    <xf numFmtId="0" fontId="57" fillId="2" borderId="12" xfId="1" applyFont="1" applyFill="1" applyBorder="1" applyAlignment="1">
      <alignment horizontal="left" vertical="center" shrinkToFit="1"/>
    </xf>
    <xf numFmtId="191" fontId="57" fillId="0" borderId="12" xfId="1" applyNumberFormat="1" applyFont="1" applyBorder="1" applyAlignment="1">
      <alignment horizontal="left" vertical="center" shrinkToFit="1"/>
    </xf>
    <xf numFmtId="176" fontId="9" fillId="2" borderId="11" xfId="4" applyFont="1" applyFill="1" applyBorder="1" applyAlignment="1">
      <alignment horizontal="center" vertical="center"/>
    </xf>
    <xf numFmtId="0" fontId="60" fillId="2" borderId="12" xfId="1" applyFont="1" applyFill="1" applyBorder="1" applyAlignment="1">
      <alignment horizontal="left" vertical="center" shrinkToFit="1"/>
    </xf>
    <xf numFmtId="176" fontId="62" fillId="0" borderId="11" xfId="4" applyFont="1" applyFill="1" applyBorder="1" applyAlignment="1">
      <alignment horizontal="center" vertical="center"/>
    </xf>
    <xf numFmtId="188" fontId="60" fillId="0" borderId="14" xfId="1" applyNumberFormat="1" applyFont="1" applyBorder="1" applyAlignment="1">
      <alignment horizontal="left" vertical="center" shrinkToFit="1"/>
    </xf>
    <xf numFmtId="176" fontId="9" fillId="2" borderId="20" xfId="4" applyFont="1" applyFill="1" applyBorder="1" applyAlignment="1">
      <alignment horizontal="center" vertical="center"/>
    </xf>
    <xf numFmtId="194" fontId="60" fillId="2" borderId="21" xfId="1" applyNumberFormat="1" applyFont="1" applyFill="1" applyBorder="1" applyAlignment="1">
      <alignment horizontal="left" vertical="center" shrinkToFit="1"/>
    </xf>
    <xf numFmtId="215" fontId="57" fillId="0" borderId="12" xfId="1" applyNumberFormat="1" applyFont="1" applyBorder="1" applyAlignment="1">
      <alignment horizontal="left" vertical="center" shrinkToFit="1"/>
    </xf>
    <xf numFmtId="177" fontId="57" fillId="0" borderId="0" xfId="7" applyNumberFormat="1" applyFont="1" applyFill="1" applyBorder="1" applyAlignment="1">
      <alignment horizontal="center" vertical="center"/>
    </xf>
    <xf numFmtId="0" fontId="57" fillId="0" borderId="15" xfId="5" applyFont="1" applyBorder="1" applyAlignment="1">
      <alignment horizontal="center" vertical="center"/>
    </xf>
    <xf numFmtId="0" fontId="57" fillId="0" borderId="16" xfId="5" applyFont="1" applyBorder="1" applyAlignment="1">
      <alignment horizontal="center" vertical="center"/>
    </xf>
    <xf numFmtId="216" fontId="57" fillId="0" borderId="12" xfId="1" applyNumberFormat="1" applyFont="1" applyBorder="1" applyAlignment="1">
      <alignment horizontal="left" vertical="center" shrinkToFit="1"/>
    </xf>
    <xf numFmtId="217" fontId="57" fillId="0" borderId="12" xfId="1" applyNumberFormat="1" applyFont="1" applyBorder="1" applyAlignment="1">
      <alignment horizontal="left" vertical="center" shrinkToFit="1"/>
    </xf>
    <xf numFmtId="0" fontId="57" fillId="0" borderId="15" xfId="6" applyFont="1" applyBorder="1" applyAlignment="1">
      <alignment horizontal="center" vertical="center"/>
    </xf>
    <xf numFmtId="0" fontId="57" fillId="0" borderId="16" xfId="6" applyFont="1" applyBorder="1" applyAlignment="1">
      <alignment horizontal="center" vertical="center"/>
    </xf>
    <xf numFmtId="0" fontId="9" fillId="0" borderId="15" xfId="6" applyFont="1" applyBorder="1" applyAlignment="1">
      <alignment horizontal="center" vertical="center"/>
    </xf>
    <xf numFmtId="0" fontId="9" fillId="0" borderId="16" xfId="6" applyFont="1" applyBorder="1" applyAlignment="1">
      <alignment horizontal="center" vertical="center"/>
    </xf>
    <xf numFmtId="0" fontId="9" fillId="2" borderId="18" xfId="5" applyFont="1" applyFill="1" applyBorder="1" applyAlignment="1">
      <alignment horizontal="center" vertical="center"/>
    </xf>
    <xf numFmtId="0" fontId="9" fillId="2" borderId="19" xfId="5" applyFont="1" applyFill="1" applyBorder="1" applyAlignment="1">
      <alignment horizontal="center" vertical="center"/>
    </xf>
    <xf numFmtId="41" fontId="57" fillId="0" borderId="0" xfId="11" applyFont="1" applyFill="1" applyAlignment="1"/>
    <xf numFmtId="41" fontId="57" fillId="14" borderId="0" xfId="11" applyFont="1" applyFill="1" applyAlignment="1"/>
    <xf numFmtId="41" fontId="57" fillId="0" borderId="13" xfId="11" applyFont="1" applyFill="1" applyBorder="1" applyAlignment="1"/>
    <xf numFmtId="41" fontId="57" fillId="2" borderId="0" xfId="11" applyFont="1" applyFill="1" applyAlignment="1"/>
    <xf numFmtId="41" fontId="3" fillId="0" borderId="0" xfId="11" applyFont="1" applyFill="1" applyAlignment="1"/>
    <xf numFmtId="0" fontId="60" fillId="2" borderId="21" xfId="1" applyFont="1" applyFill="1" applyBorder="1" applyAlignment="1">
      <alignment horizontal="left" vertical="center" shrinkToFit="1"/>
    </xf>
    <xf numFmtId="0" fontId="20" fillId="0" borderId="15" xfId="5" applyFont="1" applyBorder="1" applyAlignment="1">
      <alignment horizontal="center" vertical="center"/>
    </xf>
    <xf numFmtId="0" fontId="64" fillId="0" borderId="0" xfId="1" applyFont="1"/>
    <xf numFmtId="0" fontId="65" fillId="0" borderId="0" xfId="2" applyFont="1" applyAlignment="1">
      <alignment horizontal="center" vertical="center"/>
    </xf>
    <xf numFmtId="0" fontId="66" fillId="2" borderId="3" xfId="1" applyFont="1" applyFill="1" applyBorder="1" applyAlignment="1">
      <alignment horizontal="center" vertical="center"/>
    </xf>
    <xf numFmtId="176" fontId="67" fillId="0" borderId="7" xfId="4" applyFont="1" applyFill="1" applyBorder="1" applyAlignment="1">
      <alignment horizontal="center" vertical="center"/>
    </xf>
    <xf numFmtId="176" fontId="67" fillId="0" borderId="11" xfId="4" applyFont="1" applyFill="1" applyBorder="1" applyAlignment="1">
      <alignment horizontal="center" vertical="center"/>
    </xf>
    <xf numFmtId="176" fontId="67" fillId="14" borderId="11" xfId="4" applyFont="1" applyFill="1" applyBorder="1" applyAlignment="1">
      <alignment horizontal="center" vertical="center"/>
    </xf>
    <xf numFmtId="177" fontId="67" fillId="0" borderId="11" xfId="4" applyNumberFormat="1" applyFont="1" applyFill="1" applyBorder="1" applyAlignment="1">
      <alignment horizontal="center" vertical="center"/>
    </xf>
    <xf numFmtId="177" fontId="67" fillId="0" borderId="0" xfId="7" applyNumberFormat="1" applyFont="1" applyFill="1" applyBorder="1" applyAlignment="1">
      <alignment horizontal="center" vertical="center"/>
    </xf>
    <xf numFmtId="176" fontId="67" fillId="2" borderId="11" xfId="4" applyFont="1" applyFill="1" applyBorder="1" applyAlignment="1">
      <alignment horizontal="center" vertical="center"/>
    </xf>
    <xf numFmtId="176" fontId="68" fillId="2" borderId="11" xfId="4" applyFont="1" applyFill="1" applyBorder="1" applyAlignment="1">
      <alignment horizontal="center" vertical="center"/>
    </xf>
    <xf numFmtId="176" fontId="68" fillId="0" borderId="11" xfId="4" applyFont="1" applyFill="1" applyBorder="1" applyAlignment="1">
      <alignment horizontal="center" vertical="center"/>
    </xf>
    <xf numFmtId="176" fontId="68" fillId="2" borderId="20" xfId="4" applyFont="1" applyFill="1" applyBorder="1" applyAlignment="1">
      <alignment horizontal="center" vertical="center"/>
    </xf>
    <xf numFmtId="41" fontId="64" fillId="0" borderId="0" xfId="8" applyFont="1" applyFill="1" applyAlignment="1"/>
    <xf numFmtId="41" fontId="64" fillId="0" borderId="0" xfId="11" applyFont="1" applyFill="1" applyAlignment="1"/>
    <xf numFmtId="0" fontId="9" fillId="2" borderId="24" xfId="1" applyFont="1" applyFill="1" applyBorder="1" applyAlignment="1">
      <alignment horizontal="center" vertical="center"/>
    </xf>
    <xf numFmtId="0" fontId="57" fillId="0" borderId="0" xfId="5" applyFont="1" applyAlignment="1">
      <alignment horizontal="center" vertical="center"/>
    </xf>
    <xf numFmtId="0" fontId="9" fillId="2" borderId="16" xfId="5" applyFont="1" applyFill="1" applyBorder="1" applyAlignment="1">
      <alignment horizontal="center" vertical="center"/>
    </xf>
    <xf numFmtId="0" fontId="9" fillId="2" borderId="16" xfId="6" applyFont="1" applyFill="1" applyBorder="1" applyAlignment="1">
      <alignment horizontal="center" vertical="center"/>
    </xf>
    <xf numFmtId="0" fontId="57" fillId="0" borderId="7" xfId="5" applyFont="1" applyBorder="1" applyAlignment="1">
      <alignment horizontal="center" vertical="center" wrapText="1"/>
    </xf>
    <xf numFmtId="0" fontId="57" fillId="0" borderId="11" xfId="5" applyFont="1" applyBorder="1" applyAlignment="1">
      <alignment horizontal="center" vertical="center" wrapText="1"/>
    </xf>
    <xf numFmtId="0" fontId="57" fillId="0" borderId="40" xfId="5" applyFont="1" applyBorder="1" applyAlignment="1">
      <alignment horizontal="center" vertical="center"/>
    </xf>
    <xf numFmtId="0" fontId="60" fillId="14" borderId="16" xfId="5" applyFont="1" applyFill="1" applyBorder="1" applyAlignment="1">
      <alignment horizontal="center" vertical="center"/>
    </xf>
    <xf numFmtId="0" fontId="57" fillId="0" borderId="16" xfId="1" applyFont="1" applyBorder="1" applyAlignment="1">
      <alignment horizontal="center" vertical="center"/>
    </xf>
    <xf numFmtId="0" fontId="9" fillId="2" borderId="15" xfId="5" applyFont="1" applyFill="1" applyBorder="1" applyAlignment="1">
      <alignment horizontal="center" vertical="center"/>
    </xf>
    <xf numFmtId="0" fontId="9" fillId="2" borderId="15" xfId="6" applyFont="1" applyFill="1" applyBorder="1" applyAlignment="1">
      <alignment horizontal="center" vertical="center"/>
    </xf>
    <xf numFmtId="0" fontId="57" fillId="0" borderId="40" xfId="5" applyFont="1" applyBorder="1" applyAlignment="1">
      <alignment horizontal="distributed" vertical="center"/>
    </xf>
    <xf numFmtId="0" fontId="57" fillId="0" borderId="16" xfId="5" applyFont="1" applyBorder="1" applyAlignment="1">
      <alignment horizontal="distributed" vertical="center"/>
    </xf>
    <xf numFmtId="0" fontId="60" fillId="14" borderId="16" xfId="5" applyFont="1" applyFill="1" applyBorder="1" applyAlignment="1">
      <alignment horizontal="distributed" vertical="center"/>
    </xf>
    <xf numFmtId="0" fontId="57" fillId="0" borderId="16" xfId="1" applyFont="1" applyBorder="1" applyAlignment="1">
      <alignment horizontal="distributed" vertical="center"/>
    </xf>
    <xf numFmtId="0" fontId="57" fillId="0" borderId="39" xfId="5" applyFont="1" applyBorder="1" applyAlignment="1">
      <alignment horizontal="center" vertical="center" wrapText="1"/>
    </xf>
    <xf numFmtId="0" fontId="57" fillId="0" borderId="41" xfId="5" applyFont="1" applyBorder="1" applyAlignment="1">
      <alignment horizontal="center" vertical="center" wrapText="1"/>
    </xf>
    <xf numFmtId="0" fontId="9" fillId="2" borderId="19" xfId="6" applyFont="1" applyFill="1" applyBorder="1" applyAlignment="1">
      <alignment horizontal="center" vertical="center"/>
    </xf>
    <xf numFmtId="0" fontId="5" fillId="0" borderId="16" xfId="5" applyFont="1" applyBorder="1" applyAlignment="1">
      <alignment horizontal="center" vertical="center"/>
    </xf>
    <xf numFmtId="0" fontId="63" fillId="0" borderId="16" xfId="5" applyFont="1" applyBorder="1" applyAlignment="1">
      <alignment horizontal="center" vertical="center"/>
    </xf>
    <xf numFmtId="0" fontId="9" fillId="2" borderId="18" xfId="6" applyFont="1" applyFill="1" applyBorder="1" applyAlignment="1">
      <alignment horizontal="center" vertical="center"/>
    </xf>
    <xf numFmtId="0" fontId="5" fillId="0" borderId="16" xfId="5" applyFont="1" applyBorder="1" applyAlignment="1">
      <alignment horizontal="distributed" vertical="center"/>
    </xf>
    <xf numFmtId="0" fontId="63" fillId="0" borderId="16" xfId="5" applyFont="1" applyBorder="1" applyAlignment="1">
      <alignment horizontal="distributed" vertical="center"/>
    </xf>
    <xf numFmtId="0" fontId="5" fillId="0" borderId="17" xfId="5" applyFont="1" applyBorder="1" applyAlignment="1">
      <alignment horizontal="center" vertical="center"/>
    </xf>
    <xf numFmtId="0" fontId="57" fillId="14" borderId="11" xfId="5" applyFont="1" applyFill="1" applyBorder="1" applyAlignment="1">
      <alignment horizontal="center" vertical="center" wrapText="1"/>
    </xf>
    <xf numFmtId="177" fontId="67" fillId="0" borderId="16" xfId="4" applyNumberFormat="1" applyFont="1" applyFill="1" applyBorder="1" applyAlignment="1">
      <alignment horizontal="center" vertical="center"/>
    </xf>
    <xf numFmtId="177" fontId="67" fillId="0" borderId="10" xfId="4" applyNumberFormat="1" applyFont="1" applyFill="1" applyBorder="1" applyAlignment="1">
      <alignment horizontal="center" vertical="center"/>
    </xf>
    <xf numFmtId="177" fontId="67" fillId="0" borderId="42" xfId="7" applyNumberFormat="1" applyFont="1" applyFill="1" applyBorder="1" applyAlignment="1">
      <alignment horizontal="center" vertical="center"/>
    </xf>
    <xf numFmtId="3" fontId="8" fillId="0" borderId="12" xfId="1" applyNumberFormat="1" applyFont="1" applyBorder="1" applyAlignment="1">
      <alignment horizontal="left" vertical="center"/>
    </xf>
    <xf numFmtId="0" fontId="8" fillId="14" borderId="12" xfId="1" applyFont="1" applyFill="1" applyBorder="1" applyAlignment="1">
      <alignment horizontal="left" vertical="center"/>
    </xf>
    <xf numFmtId="178" fontId="8" fillId="0" borderId="12" xfId="1" applyNumberFormat="1" applyFont="1" applyBorder="1" applyAlignment="1">
      <alignment horizontal="left" vertical="center"/>
    </xf>
    <xf numFmtId="0" fontId="8" fillId="14" borderId="12" xfId="1" applyFont="1" applyFill="1" applyBorder="1" applyAlignment="1">
      <alignment horizontal="left" vertical="center" shrinkToFit="1"/>
    </xf>
    <xf numFmtId="0" fontId="8" fillId="0" borderId="12" xfId="1" applyFont="1" applyBorder="1" applyAlignment="1">
      <alignment horizontal="left" vertical="center" shrinkToFit="1"/>
    </xf>
    <xf numFmtId="179" fontId="8" fillId="0" borderId="12" xfId="1" applyNumberFormat="1" applyFont="1" applyBorder="1" applyAlignment="1">
      <alignment horizontal="left" vertical="center"/>
    </xf>
    <xf numFmtId="180" fontId="8" fillId="0" borderId="12" xfId="1" applyNumberFormat="1" applyFont="1" applyBorder="1" applyAlignment="1">
      <alignment horizontal="left" vertical="center"/>
    </xf>
    <xf numFmtId="181" fontId="8" fillId="0" borderId="12" xfId="1" applyNumberFormat="1" applyFont="1" applyBorder="1" applyAlignment="1">
      <alignment horizontal="left" vertical="center"/>
    </xf>
    <xf numFmtId="182" fontId="8" fillId="0" borderId="12" xfId="1" applyNumberFormat="1" applyFont="1" applyBorder="1" applyAlignment="1">
      <alignment horizontal="left" vertical="center"/>
    </xf>
    <xf numFmtId="183" fontId="8" fillId="0" borderId="12" xfId="1" applyNumberFormat="1" applyFont="1" applyBorder="1" applyAlignment="1">
      <alignment horizontal="left" vertical="center"/>
    </xf>
    <xf numFmtId="184" fontId="8" fillId="0" borderId="12" xfId="1" applyNumberFormat="1" applyFont="1" applyBorder="1" applyAlignment="1">
      <alignment horizontal="left" vertical="center" shrinkToFit="1"/>
    </xf>
    <xf numFmtId="185" fontId="69" fillId="0" borderId="12" xfId="1" applyNumberFormat="1" applyFont="1" applyBorder="1" applyAlignment="1">
      <alignment horizontal="left" vertical="center" shrinkToFit="1"/>
    </xf>
    <xf numFmtId="187" fontId="8" fillId="0" borderId="12" xfId="1" applyNumberFormat="1" applyFont="1" applyBorder="1" applyAlignment="1">
      <alignment horizontal="left" vertical="center" shrinkToFit="1"/>
    </xf>
    <xf numFmtId="189" fontId="8" fillId="0" borderId="12" xfId="1" applyNumberFormat="1" applyFont="1" applyBorder="1" applyAlignment="1">
      <alignment horizontal="left" vertical="center" shrinkToFit="1"/>
    </xf>
    <xf numFmtId="0" fontId="8" fillId="2" borderId="12" xfId="1" applyFont="1" applyFill="1" applyBorder="1" applyAlignment="1">
      <alignment horizontal="left" vertical="center" shrinkToFit="1"/>
    </xf>
    <xf numFmtId="190" fontId="8" fillId="0" borderId="12" xfId="1" applyNumberFormat="1" applyFont="1" applyBorder="1" applyAlignment="1">
      <alignment horizontal="left" vertical="center" shrinkToFit="1"/>
    </xf>
    <xf numFmtId="191" fontId="8" fillId="0" borderId="12" xfId="1" applyNumberFormat="1" applyFont="1" applyBorder="1" applyAlignment="1">
      <alignment horizontal="left" vertical="center" shrinkToFit="1"/>
    </xf>
    <xf numFmtId="0" fontId="13" fillId="2" borderId="12" xfId="1" applyFont="1" applyFill="1" applyBorder="1" applyAlignment="1">
      <alignment horizontal="left" vertical="center" shrinkToFit="1"/>
    </xf>
    <xf numFmtId="188" fontId="13" fillId="0" borderId="12" xfId="1" applyNumberFormat="1" applyFont="1" applyBorder="1" applyAlignment="1">
      <alignment horizontal="left" vertical="center" shrinkToFit="1"/>
    </xf>
    <xf numFmtId="188" fontId="13" fillId="0" borderId="14" xfId="1" applyNumberFormat="1" applyFont="1" applyBorder="1" applyAlignment="1">
      <alignment horizontal="left" vertical="center" shrinkToFit="1"/>
    </xf>
    <xf numFmtId="194" fontId="13" fillId="2" borderId="21" xfId="1" applyNumberFormat="1" applyFont="1" applyFill="1" applyBorder="1" applyAlignment="1">
      <alignment horizontal="left" vertical="center" shrinkToFit="1"/>
    </xf>
    <xf numFmtId="0" fontId="71" fillId="0" borderId="0" xfId="16" applyFont="1" applyAlignment="1">
      <alignment vertical="center"/>
    </xf>
    <xf numFmtId="188" fontId="72" fillId="0" borderId="0" xfId="17" applyNumberFormat="1" applyFont="1" applyAlignment="1">
      <alignment horizontal="left" vertical="center"/>
    </xf>
    <xf numFmtId="188" fontId="73" fillId="0" borderId="0" xfId="17" applyNumberFormat="1" applyFont="1" applyAlignment="1">
      <alignment horizontal="left" vertical="center"/>
    </xf>
    <xf numFmtId="202" fontId="73" fillId="0" borderId="0" xfId="18" applyFont="1" applyAlignment="1">
      <alignment horizontal="left" vertical="center"/>
    </xf>
    <xf numFmtId="202" fontId="73" fillId="5" borderId="0" xfId="18" applyFont="1" applyFill="1" applyAlignment="1">
      <alignment horizontal="left" vertical="center"/>
    </xf>
    <xf numFmtId="202" fontId="74" fillId="0" borderId="0" xfId="18" applyFont="1" applyAlignment="1">
      <alignment horizontal="left" vertical="center"/>
    </xf>
    <xf numFmtId="202" fontId="73" fillId="8" borderId="0" xfId="18" applyFont="1" applyFill="1" applyAlignment="1">
      <alignment horizontal="left" vertical="center"/>
    </xf>
    <xf numFmtId="202" fontId="73" fillId="9" borderId="0" xfId="18" applyFont="1" applyFill="1" applyAlignment="1">
      <alignment horizontal="left" vertical="center"/>
    </xf>
    <xf numFmtId="202" fontId="73" fillId="10" borderId="0" xfId="18" applyFont="1" applyFill="1" applyAlignment="1">
      <alignment horizontal="left" vertical="center"/>
    </xf>
    <xf numFmtId="202" fontId="73" fillId="11" borderId="0" xfId="18" applyFont="1" applyFill="1" applyAlignment="1">
      <alignment horizontal="left" vertical="center"/>
    </xf>
    <xf numFmtId="202" fontId="73" fillId="3" borderId="0" xfId="18" applyFont="1" applyFill="1" applyAlignment="1">
      <alignment horizontal="left" vertical="center"/>
    </xf>
    <xf numFmtId="218" fontId="30" fillId="0" borderId="1" xfId="17" applyNumberFormat="1" applyFont="1" applyBorder="1" applyAlignment="1">
      <alignment vertical="center" shrinkToFit="1"/>
    </xf>
    <xf numFmtId="218" fontId="30" fillId="9" borderId="1" xfId="17" applyNumberFormat="1" applyFont="1" applyFill="1" applyBorder="1" applyAlignment="1">
      <alignment vertical="center" shrinkToFit="1"/>
    </xf>
    <xf numFmtId="0" fontId="75" fillId="2" borderId="43" xfId="1" applyFont="1" applyFill="1" applyBorder="1" applyAlignment="1">
      <alignment horizontal="center" vertical="center"/>
    </xf>
    <xf numFmtId="0" fontId="76" fillId="0" borderId="1" xfId="0" applyFont="1" applyBorder="1" applyAlignment="1">
      <alignment vertical="center" wrapText="1"/>
    </xf>
    <xf numFmtId="196" fontId="76" fillId="0" borderId="1" xfId="0" applyNumberFormat="1" applyFont="1" applyBorder="1" applyAlignment="1">
      <alignment vertical="center" wrapText="1"/>
    </xf>
    <xf numFmtId="0" fontId="78" fillId="0" borderId="0" xfId="1" applyFont="1"/>
    <xf numFmtId="0" fontId="79" fillId="2" borderId="0" xfId="1" applyFont="1" applyFill="1" applyAlignment="1">
      <alignment horizontal="center"/>
    </xf>
    <xf numFmtId="0" fontId="80" fillId="0" borderId="0" xfId="1" applyFont="1"/>
    <xf numFmtId="0" fontId="80" fillId="14" borderId="0" xfId="1" applyFont="1" applyFill="1"/>
    <xf numFmtId="0" fontId="80" fillId="2" borderId="0" xfId="1" applyFont="1" applyFill="1"/>
    <xf numFmtId="0" fontId="81" fillId="14" borderId="0" xfId="1" applyFont="1" applyFill="1"/>
    <xf numFmtId="176" fontId="82" fillId="14" borderId="0" xfId="1" applyNumberFormat="1" applyFont="1" applyFill="1"/>
    <xf numFmtId="0" fontId="81" fillId="0" borderId="0" xfId="1" applyFont="1"/>
    <xf numFmtId="177" fontId="82" fillId="0" borderId="0" xfId="1" applyNumberFormat="1" applyFont="1"/>
    <xf numFmtId="0" fontId="9" fillId="0" borderId="0" xfId="1" applyFont="1"/>
    <xf numFmtId="0" fontId="82" fillId="0" borderId="0" xfId="1" applyFont="1"/>
    <xf numFmtId="10" fontId="82" fillId="0" borderId="0" xfId="502" applyNumberFormat="1" applyFont="1" applyAlignment="1"/>
    <xf numFmtId="3" fontId="8" fillId="0" borderId="8" xfId="1" applyNumberFormat="1" applyFont="1" applyBorder="1" applyAlignment="1">
      <alignment horizontal="left" vertical="center"/>
    </xf>
    <xf numFmtId="0" fontId="83" fillId="0" borderId="0" xfId="0" applyFont="1">
      <alignment vertical="center"/>
    </xf>
    <xf numFmtId="0" fontId="9" fillId="2" borderId="15" xfId="5" applyFont="1" applyFill="1" applyBorder="1" applyAlignment="1">
      <alignment horizontal="center" vertical="center"/>
    </xf>
    <xf numFmtId="0" fontId="9" fillId="2" borderId="16" xfId="5" applyFont="1" applyFill="1" applyBorder="1" applyAlignment="1">
      <alignment horizontal="center" vertical="center"/>
    </xf>
    <xf numFmtId="0" fontId="55" fillId="0" borderId="0" xfId="2" applyFont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57" fillId="0" borderId="5" xfId="5" applyFont="1" applyBorder="1" applyAlignment="1">
      <alignment horizontal="center" vertical="center" wrapText="1"/>
    </xf>
    <xf numFmtId="0" fontId="57" fillId="0" borderId="9" xfId="5" applyFont="1" applyBorder="1" applyAlignment="1">
      <alignment horizontal="center" vertical="center" wrapText="1"/>
    </xf>
    <xf numFmtId="0" fontId="57" fillId="0" borderId="6" xfId="5" applyFont="1" applyBorder="1" applyAlignment="1">
      <alignment horizontal="center" vertical="center" wrapText="1"/>
    </xf>
    <xf numFmtId="0" fontId="57" fillId="0" borderId="10" xfId="5" applyFont="1" applyBorder="1" applyAlignment="1">
      <alignment horizontal="center" vertical="center" wrapText="1"/>
    </xf>
    <xf numFmtId="0" fontId="9" fillId="2" borderId="19" xfId="5" applyFont="1" applyFill="1" applyBorder="1" applyAlignment="1">
      <alignment horizontal="distributed" vertical="center"/>
    </xf>
    <xf numFmtId="0" fontId="57" fillId="0" borderId="16" xfId="5" applyFont="1" applyBorder="1" applyAlignment="1">
      <alignment horizontal="distributed" vertical="center"/>
    </xf>
    <xf numFmtId="0" fontId="9" fillId="2" borderId="16" xfId="5" applyFont="1" applyFill="1" applyBorder="1" applyAlignment="1">
      <alignment horizontal="distributed" vertical="center"/>
    </xf>
    <xf numFmtId="0" fontId="9" fillId="2" borderId="16" xfId="6" applyFont="1" applyFill="1" applyBorder="1" applyAlignment="1">
      <alignment horizontal="distributed" vertical="center"/>
    </xf>
    <xf numFmtId="0" fontId="70" fillId="0" borderId="16" xfId="6" applyFont="1" applyBorder="1" applyAlignment="1">
      <alignment horizontal="distributed" vertical="center"/>
    </xf>
    <xf numFmtId="0" fontId="9" fillId="0" borderId="16" xfId="6" applyFont="1" applyBorder="1" applyAlignment="1">
      <alignment horizontal="distributed" vertical="center"/>
    </xf>
    <xf numFmtId="0" fontId="26" fillId="0" borderId="0" xfId="16" applyFont="1" applyAlignment="1">
      <alignment horizontal="center" vertical="center"/>
    </xf>
    <xf numFmtId="0" fontId="25" fillId="0" borderId="0" xfId="16" applyFont="1" applyAlignment="1">
      <alignment horizontal="center" vertical="center"/>
    </xf>
    <xf numFmtId="200" fontId="30" fillId="6" borderId="25" xfId="17" applyNumberFormat="1" applyFont="1" applyFill="1" applyBorder="1" applyAlignment="1">
      <alignment horizontal="center" vertical="center" shrinkToFit="1"/>
    </xf>
    <xf numFmtId="200" fontId="30" fillId="6" borderId="32" xfId="17" applyNumberFormat="1" applyFont="1" applyFill="1" applyBorder="1" applyAlignment="1">
      <alignment horizontal="center" vertical="center" shrinkToFit="1"/>
    </xf>
    <xf numFmtId="200" fontId="30" fillId="7" borderId="26" xfId="17" applyNumberFormat="1" applyFont="1" applyFill="1" applyBorder="1" applyAlignment="1">
      <alignment horizontal="center" vertical="center" shrinkToFit="1"/>
    </xf>
    <xf numFmtId="200" fontId="30" fillId="7" borderId="33" xfId="17" applyNumberFormat="1" applyFont="1" applyFill="1" applyBorder="1" applyAlignment="1">
      <alignment horizontal="center" vertical="center" shrinkToFit="1"/>
    </xf>
    <xf numFmtId="188" fontId="30" fillId="7" borderId="26" xfId="17" applyNumberFormat="1" applyFont="1" applyFill="1" applyBorder="1" applyAlignment="1">
      <alignment horizontal="center" vertical="center" shrinkToFit="1"/>
    </xf>
    <xf numFmtId="188" fontId="30" fillId="7" borderId="33" xfId="17" applyNumberFormat="1" applyFont="1" applyFill="1" applyBorder="1" applyAlignment="1">
      <alignment horizontal="center" vertical="center" shrinkToFit="1"/>
    </xf>
    <xf numFmtId="200" fontId="30" fillId="7" borderId="27" xfId="17" applyNumberFormat="1" applyFont="1" applyFill="1" applyBorder="1" applyAlignment="1">
      <alignment horizontal="center" vertical="center" shrinkToFit="1"/>
    </xf>
    <xf numFmtId="200" fontId="30" fillId="7" borderId="34" xfId="17" applyNumberFormat="1" applyFont="1" applyFill="1" applyBorder="1" applyAlignment="1">
      <alignment horizontal="center" vertical="center" shrinkToFit="1"/>
    </xf>
    <xf numFmtId="0" fontId="9" fillId="2" borderId="19" xfId="6" applyFont="1" applyFill="1" applyBorder="1" applyAlignment="1">
      <alignment horizontal="distributed" vertical="center"/>
    </xf>
    <xf numFmtId="0" fontId="20" fillId="0" borderId="16" xfId="5" applyFont="1" applyBorder="1" applyAlignment="1">
      <alignment horizontal="distributed" vertical="center"/>
    </xf>
    <xf numFmtId="177" fontId="57" fillId="0" borderId="0" xfId="7" applyNumberFormat="1" applyFont="1" applyFill="1" applyBorder="1" applyAlignment="1">
      <alignment horizontal="center" vertical="center"/>
    </xf>
    <xf numFmtId="197" fontId="57" fillId="0" borderId="22" xfId="7" applyNumberFormat="1" applyFont="1" applyFill="1" applyBorder="1" applyAlignment="1">
      <alignment horizontal="center" vertical="center"/>
    </xf>
    <xf numFmtId="0" fontId="9" fillId="2" borderId="18" xfId="5" applyFont="1" applyFill="1" applyBorder="1" applyAlignment="1">
      <alignment horizontal="center" vertical="center"/>
    </xf>
    <xf numFmtId="0" fontId="9" fillId="2" borderId="19" xfId="5" applyFont="1" applyFill="1" applyBorder="1" applyAlignment="1">
      <alignment horizontal="center" vertical="center"/>
    </xf>
    <xf numFmtId="0" fontId="57" fillId="0" borderId="16" xfId="6" applyFont="1" applyBorder="1" applyAlignment="1">
      <alignment horizontal="distributed" vertical="center"/>
    </xf>
    <xf numFmtId="0" fontId="16" fillId="2" borderId="1" xfId="0" quotePrefix="1" applyFont="1" applyFill="1" applyBorder="1" applyAlignment="1">
      <alignment horizontal="center" vertical="center"/>
    </xf>
    <xf numFmtId="0" fontId="15" fillId="0" borderId="0" xfId="0" quotePrefix="1" applyFont="1" applyAlignment="1">
      <alignment horizontal="center" vertical="center"/>
    </xf>
    <xf numFmtId="0" fontId="0" fillId="0" borderId="0" xfId="0" quotePrefix="1">
      <alignment vertical="center"/>
    </xf>
    <xf numFmtId="0" fontId="17" fillId="2" borderId="1" xfId="0" quotePrefix="1" applyFont="1" applyFill="1" applyBorder="1" applyAlignment="1">
      <alignment horizontal="center" vertical="center" wrapText="1"/>
    </xf>
    <xf numFmtId="0" fontId="0" fillId="2" borderId="0" xfId="0" quotePrefix="1" applyFill="1">
      <alignment vertical="center"/>
    </xf>
    <xf numFmtId="0" fontId="16" fillId="0" borderId="1" xfId="0" quotePrefix="1" applyFont="1" applyBorder="1" applyAlignment="1">
      <alignment horizontal="center" vertical="center"/>
    </xf>
    <xf numFmtId="0" fontId="16" fillId="0" borderId="2" xfId="0" quotePrefix="1" applyFont="1" applyBorder="1" applyAlignment="1">
      <alignment horizontal="center" vertical="center"/>
    </xf>
    <xf numFmtId="0" fontId="16" fillId="0" borderId="23" xfId="0" quotePrefix="1" applyFont="1" applyBorder="1" applyAlignment="1">
      <alignment horizontal="center" vertical="center"/>
    </xf>
    <xf numFmtId="0" fontId="84" fillId="0" borderId="0" xfId="0" applyFont="1" applyAlignment="1">
      <alignment horizontal="center" vertical="center"/>
    </xf>
  </cellXfs>
  <cellStyles count="503">
    <cellStyle name="??&amp;O?&amp;H?_x0008__x000f__x0007_?_x0007__x0001__x0001_" xfId="19" xr:uid="{00000000-0005-0000-0000-000000000000}"/>
    <cellStyle name="??&amp;O?&amp;H?_x0008_??_x0007__x0001__x0001_" xfId="20" xr:uid="{00000000-0005-0000-0000-000001000000}"/>
    <cellStyle name="_U수량" xfId="21" xr:uid="{00000000-0005-0000-0000-000002000000}"/>
    <cellStyle name="_U수량_3배수공" xfId="22" xr:uid="{00000000-0005-0000-0000-000003000000}"/>
    <cellStyle name="_U수량_3배수공_맹동공사비집계(토목)" xfId="23" xr:uid="{00000000-0005-0000-0000-000004000000}"/>
    <cellStyle name="_U수량_3배수공_설계예산서" xfId="24" xr:uid="{00000000-0005-0000-0000-000005000000}"/>
    <cellStyle name="_U수량_3배수공_이윤조정" xfId="25" xr:uid="{00000000-0005-0000-0000-000006000000}"/>
    <cellStyle name="_U수량_3배수공_폐기물수량산출" xfId="26" xr:uid="{00000000-0005-0000-0000-000007000000}"/>
    <cellStyle name="_U수량_강경읍염천리" xfId="27" xr:uid="{00000000-0005-0000-0000-000008000000}"/>
    <cellStyle name="_U수량_강경읍염천리_3배수공" xfId="28" xr:uid="{00000000-0005-0000-0000-000009000000}"/>
    <cellStyle name="_U수량_강경읍염천리_3배수공_맹동공사비집계(토목)" xfId="29" xr:uid="{00000000-0005-0000-0000-00000A000000}"/>
    <cellStyle name="_U수량_강경읍염천리_3배수공_설계예산서" xfId="30" xr:uid="{00000000-0005-0000-0000-00000B000000}"/>
    <cellStyle name="_U수량_강경읍염천리_3배수공_이윤조정" xfId="31" xr:uid="{00000000-0005-0000-0000-00000C000000}"/>
    <cellStyle name="_U수량_강경읍염천리_3배수공_폐기물수량산출" xfId="32" xr:uid="{00000000-0005-0000-0000-00000D000000}"/>
    <cellStyle name="_U수량_강경읍염천리_대야포장공" xfId="33" xr:uid="{00000000-0005-0000-0000-00000E000000}"/>
    <cellStyle name="_U수량_강경읍염천리_대야포장공_대야배수공" xfId="34" xr:uid="{00000000-0005-0000-0000-00000F000000}"/>
    <cellStyle name="_U수량_강경읍염천리_대야포장공_대야배수공_3배수공" xfId="35" xr:uid="{00000000-0005-0000-0000-000010000000}"/>
    <cellStyle name="_U수량_강경읍염천리_대야포장공_대야배수공_3배수공_맹동공사비집계(토목)" xfId="36" xr:uid="{00000000-0005-0000-0000-000011000000}"/>
    <cellStyle name="_U수량_강경읍염천리_대야포장공_대야배수공_3배수공_설계예산서" xfId="37" xr:uid="{00000000-0005-0000-0000-000012000000}"/>
    <cellStyle name="_U수량_강경읍염천리_대야포장공_대야배수공_3배수공_이윤조정" xfId="38" xr:uid="{00000000-0005-0000-0000-000013000000}"/>
    <cellStyle name="_U수량_강경읍염천리_대야포장공_대야배수공_3배수공_폐기물수량산출" xfId="39" xr:uid="{00000000-0005-0000-0000-000014000000}"/>
    <cellStyle name="_U수량_강경읍염천리_대야포장공_대야배수공_맹동공사비집계(토목)" xfId="40" xr:uid="{00000000-0005-0000-0000-000015000000}"/>
    <cellStyle name="_U수량_강경읍염천리_대야포장공_대야배수공_설계예산서" xfId="41" xr:uid="{00000000-0005-0000-0000-000016000000}"/>
    <cellStyle name="_U수량_강경읍염천리_대야포장공_대야배수공_이윤조정" xfId="42" xr:uid="{00000000-0005-0000-0000-000017000000}"/>
    <cellStyle name="_U수량_강경읍염천리_대야포장공_대야배수공_폐기물수량산출" xfId="43" xr:uid="{00000000-0005-0000-0000-000018000000}"/>
    <cellStyle name="_U수량_강경읍염천리_대야포장공_맹동공사비집계(토목)" xfId="44" xr:uid="{00000000-0005-0000-0000-000019000000}"/>
    <cellStyle name="_U수량_강경읍염천리_대야포장공_맹동총집계0728" xfId="45" xr:uid="{00000000-0005-0000-0000-00001A000000}"/>
    <cellStyle name="_U수량_강경읍염천리_대야포장공_맹동총집계0728_설계예산서" xfId="46" xr:uid="{00000000-0005-0000-0000-00001B000000}"/>
    <cellStyle name="_U수량_강경읍염천리_대야포장공_맹동총집계0728_이윤조정" xfId="47" xr:uid="{00000000-0005-0000-0000-00001C000000}"/>
    <cellStyle name="_U수량_강경읍염천리_대야포장공_맹동총집계0728_폐기물수량산출" xfId="48" xr:uid="{00000000-0005-0000-0000-00001D000000}"/>
    <cellStyle name="_U수량_강경읍염천리_대야포장공_설계예산서" xfId="49" xr:uid="{00000000-0005-0000-0000-00001E000000}"/>
    <cellStyle name="_U수량_강경읍염천리_대야포장공_이윤조정" xfId="50" xr:uid="{00000000-0005-0000-0000-00001F000000}"/>
    <cellStyle name="_U수량_강경읍염천리_대야포장공_폐기물수량산출" xfId="51" xr:uid="{00000000-0005-0000-0000-000020000000}"/>
    <cellStyle name="_U수량_강경읍염천리_맹동공사비집계(토목)" xfId="52" xr:uid="{00000000-0005-0000-0000-000021000000}"/>
    <cellStyle name="_U수량_강경읍염천리_맹동총집계0728" xfId="53" xr:uid="{00000000-0005-0000-0000-000022000000}"/>
    <cellStyle name="_U수량_강경읍염천리_맹동총집계0728_설계예산서" xfId="54" xr:uid="{00000000-0005-0000-0000-000023000000}"/>
    <cellStyle name="_U수량_강경읍염천리_맹동총집계0728_이윤조정" xfId="55" xr:uid="{00000000-0005-0000-0000-000024000000}"/>
    <cellStyle name="_U수량_강경읍염천리_맹동총집계0728_폐기물수량산출" xfId="56" xr:uid="{00000000-0005-0000-0000-000025000000}"/>
    <cellStyle name="_U수량_강경읍염천리_설계예산서" xfId="57" xr:uid="{00000000-0005-0000-0000-000026000000}"/>
    <cellStyle name="_U수량_강경읍염천리_수량산출1" xfId="58" xr:uid="{00000000-0005-0000-0000-000027000000}"/>
    <cellStyle name="_U수량_강경읍염천리_수량산출1_구조물" xfId="59" xr:uid="{00000000-0005-0000-0000-000028000000}"/>
    <cellStyle name="_U수량_강경읍염천리_수량산출1_구조물_설계예산서" xfId="60" xr:uid="{00000000-0005-0000-0000-000029000000}"/>
    <cellStyle name="_U수량_강경읍염천리_수량산출1_구조물_수량집계" xfId="61" xr:uid="{00000000-0005-0000-0000-00002A000000}"/>
    <cellStyle name="_U수량_강경읍염천리_수량산출1_구조물_수량집계_설계예산서" xfId="62" xr:uid="{00000000-0005-0000-0000-00002B000000}"/>
    <cellStyle name="_U수량_강경읍염천리_수량산출1_구조물_수량집계_성대리수량산출" xfId="63" xr:uid="{00000000-0005-0000-0000-00002C000000}"/>
    <cellStyle name="_U수량_강경읍염천리_수량산출1_구조물_수량집계_성대리수량산출_설계예산서" xfId="64" xr:uid="{00000000-0005-0000-0000-00002D000000}"/>
    <cellStyle name="_U수량_강경읍염천리_수량산출1_구조물_수량집계_성대리수량산출_이윤조정" xfId="65" xr:uid="{00000000-0005-0000-0000-00002E000000}"/>
    <cellStyle name="_U수량_강경읍염천리_수량산출1_구조물_수량집계_수량산출" xfId="66" xr:uid="{00000000-0005-0000-0000-00002F000000}"/>
    <cellStyle name="_U수량_강경읍염천리_수량산출1_구조물_수량집계_수량산출_설계예산서" xfId="67" xr:uid="{00000000-0005-0000-0000-000030000000}"/>
    <cellStyle name="_U수량_강경읍염천리_수량산출1_구조물_수량집계_수량산출_이윤조정" xfId="68" xr:uid="{00000000-0005-0000-0000-000031000000}"/>
    <cellStyle name="_U수량_강경읍염천리_수량산출1_구조물_수량집계_원암리수량산출" xfId="69" xr:uid="{00000000-0005-0000-0000-000032000000}"/>
    <cellStyle name="_U수량_강경읍염천리_수량산출1_구조물_수량집계_원암리수량산출_설계예산서" xfId="70" xr:uid="{00000000-0005-0000-0000-000033000000}"/>
    <cellStyle name="_U수량_강경읍염천리_수량산출1_구조물_수량집계_원암리수량산출_이윤조정" xfId="71" xr:uid="{00000000-0005-0000-0000-000034000000}"/>
    <cellStyle name="_U수량_강경읍염천리_수량산출1_구조물_수량집계_이윤조정" xfId="72" xr:uid="{00000000-0005-0000-0000-000035000000}"/>
    <cellStyle name="_U수량_강경읍염천리_수량산출1_구조물_수량집계_호안공수량산출" xfId="73" xr:uid="{00000000-0005-0000-0000-000036000000}"/>
    <cellStyle name="_U수량_강경읍염천리_수량산출1_구조물_수량집계_호안공수량산출_설계예산서" xfId="74" xr:uid="{00000000-0005-0000-0000-000037000000}"/>
    <cellStyle name="_U수량_강경읍염천리_수량산출1_구조물_수량집계_호안공수량산출_이윤조정" xfId="75" xr:uid="{00000000-0005-0000-0000-000038000000}"/>
    <cellStyle name="_U수량_강경읍염천리_수량산출1_구조물_이윤조정" xfId="76" xr:uid="{00000000-0005-0000-0000-000039000000}"/>
    <cellStyle name="_U수량_강경읍염천리_수량산출1_맹동공사비집계(토목)" xfId="77" xr:uid="{00000000-0005-0000-0000-00003A000000}"/>
    <cellStyle name="_U수량_강경읍염천리_수량산출1_설계예산서" xfId="78" xr:uid="{00000000-0005-0000-0000-00003B000000}"/>
    <cellStyle name="_U수량_강경읍염천리_수량산출1_수량집계" xfId="79" xr:uid="{00000000-0005-0000-0000-00003C000000}"/>
    <cellStyle name="_U수량_강경읍염천리_수량산출1_수량집계_설계예산서" xfId="80" xr:uid="{00000000-0005-0000-0000-00003D000000}"/>
    <cellStyle name="_U수량_강경읍염천리_수량산출1_수량집계_성대리수량산출" xfId="81" xr:uid="{00000000-0005-0000-0000-00003E000000}"/>
    <cellStyle name="_U수량_강경읍염천리_수량산출1_수량집계_성대리수량산출_설계예산서" xfId="82" xr:uid="{00000000-0005-0000-0000-00003F000000}"/>
    <cellStyle name="_U수량_강경읍염천리_수량산출1_수량집계_성대리수량산출_이윤조정" xfId="83" xr:uid="{00000000-0005-0000-0000-000040000000}"/>
    <cellStyle name="_U수량_강경읍염천리_수량산출1_수량집계_수량산출" xfId="84" xr:uid="{00000000-0005-0000-0000-000041000000}"/>
    <cellStyle name="_U수량_강경읍염천리_수량산출1_수량집계_수량산출_설계예산서" xfId="85" xr:uid="{00000000-0005-0000-0000-000042000000}"/>
    <cellStyle name="_U수량_강경읍염천리_수량산출1_수량집계_수량산출_이윤조정" xfId="86" xr:uid="{00000000-0005-0000-0000-000043000000}"/>
    <cellStyle name="_U수량_강경읍염천리_수량산출1_수량집계_원암리수량산출" xfId="87" xr:uid="{00000000-0005-0000-0000-000044000000}"/>
    <cellStyle name="_U수량_강경읍염천리_수량산출1_수량집계_원암리수량산출_설계예산서" xfId="88" xr:uid="{00000000-0005-0000-0000-000045000000}"/>
    <cellStyle name="_U수량_강경읍염천리_수량산출1_수량집계_원암리수량산출_이윤조정" xfId="89" xr:uid="{00000000-0005-0000-0000-000046000000}"/>
    <cellStyle name="_U수량_강경읍염천리_수량산출1_수량집계_이윤조정" xfId="90" xr:uid="{00000000-0005-0000-0000-000047000000}"/>
    <cellStyle name="_U수량_강경읍염천리_수량산출1_수량집계_호안공수량산출" xfId="91" xr:uid="{00000000-0005-0000-0000-000048000000}"/>
    <cellStyle name="_U수량_강경읍염천리_수량산출1_수량집계_호안공수량산출_설계예산서" xfId="92" xr:uid="{00000000-0005-0000-0000-000049000000}"/>
    <cellStyle name="_U수량_강경읍염천리_수량산출1_수량집계_호안공수량산출_이윤조정" xfId="93" xr:uid="{00000000-0005-0000-0000-00004A000000}"/>
    <cellStyle name="_U수량_강경읍염천리_수량산출1_이윤조정" xfId="94" xr:uid="{00000000-0005-0000-0000-00004B000000}"/>
    <cellStyle name="_U수량_강경읍염천리_수량산출1_토공" xfId="95" xr:uid="{00000000-0005-0000-0000-00004C000000}"/>
    <cellStyle name="_U수량_강경읍염천리_수량산출1_토공_설계예산서" xfId="96" xr:uid="{00000000-0005-0000-0000-00004D000000}"/>
    <cellStyle name="_U수량_강경읍염천리_수량산출1_토공_수량집계" xfId="97" xr:uid="{00000000-0005-0000-0000-00004E000000}"/>
    <cellStyle name="_U수량_강경읍염천리_수량산출1_토공_수량집계_설계예산서" xfId="98" xr:uid="{00000000-0005-0000-0000-00004F000000}"/>
    <cellStyle name="_U수량_강경읍염천리_수량산출1_토공_수량집계_성대리수량산출" xfId="99" xr:uid="{00000000-0005-0000-0000-000050000000}"/>
    <cellStyle name="_U수량_강경읍염천리_수량산출1_토공_수량집계_성대리수량산출_설계예산서" xfId="100" xr:uid="{00000000-0005-0000-0000-000051000000}"/>
    <cellStyle name="_U수량_강경읍염천리_수량산출1_토공_수량집계_성대리수량산출_이윤조정" xfId="101" xr:uid="{00000000-0005-0000-0000-000052000000}"/>
    <cellStyle name="_U수량_강경읍염천리_수량산출1_토공_수량집계_수량산출" xfId="102" xr:uid="{00000000-0005-0000-0000-000053000000}"/>
    <cellStyle name="_U수량_강경읍염천리_수량산출1_토공_수량집계_수량산출_설계예산서" xfId="103" xr:uid="{00000000-0005-0000-0000-000054000000}"/>
    <cellStyle name="_U수량_강경읍염천리_수량산출1_토공_수량집계_수량산출_이윤조정" xfId="104" xr:uid="{00000000-0005-0000-0000-000055000000}"/>
    <cellStyle name="_U수량_강경읍염천리_수량산출1_토공_수량집계_원암리수량산출" xfId="105" xr:uid="{00000000-0005-0000-0000-000056000000}"/>
    <cellStyle name="_U수량_강경읍염천리_수량산출1_토공_수량집계_원암리수량산출_설계예산서" xfId="106" xr:uid="{00000000-0005-0000-0000-000057000000}"/>
    <cellStyle name="_U수량_강경읍염천리_수량산출1_토공_수량집계_원암리수량산출_이윤조정" xfId="107" xr:uid="{00000000-0005-0000-0000-000058000000}"/>
    <cellStyle name="_U수량_강경읍염천리_수량산출1_토공_수량집계_이윤조정" xfId="108" xr:uid="{00000000-0005-0000-0000-000059000000}"/>
    <cellStyle name="_U수량_강경읍염천리_수량산출1_토공_수량집계_호안공수량산출" xfId="109" xr:uid="{00000000-0005-0000-0000-00005A000000}"/>
    <cellStyle name="_U수량_강경읍염천리_수량산출1_토공_수량집계_호안공수량산출_설계예산서" xfId="110" xr:uid="{00000000-0005-0000-0000-00005B000000}"/>
    <cellStyle name="_U수량_강경읍염천리_수량산출1_토공_수량집계_호안공수량산출_이윤조정" xfId="111" xr:uid="{00000000-0005-0000-0000-00005C000000}"/>
    <cellStyle name="_U수량_강경읍염천리_수량산출1_토공_이윤조정" xfId="112" xr:uid="{00000000-0005-0000-0000-00005D000000}"/>
    <cellStyle name="_U수량_강경읍염천리_수량산출1_폐기물수량산출" xfId="113" xr:uid="{00000000-0005-0000-0000-00005E000000}"/>
    <cellStyle name="_U수량_강경읍염천리_수량집계" xfId="114" xr:uid="{00000000-0005-0000-0000-00005F000000}"/>
    <cellStyle name="_U수량_강경읍염천리_수량집계_설계예산서" xfId="115" xr:uid="{00000000-0005-0000-0000-000060000000}"/>
    <cellStyle name="_U수량_강경읍염천리_수량집계_성대리수량산출" xfId="116" xr:uid="{00000000-0005-0000-0000-000061000000}"/>
    <cellStyle name="_U수량_강경읍염천리_수량집계_성대리수량산출_설계예산서" xfId="117" xr:uid="{00000000-0005-0000-0000-000062000000}"/>
    <cellStyle name="_U수량_강경읍염천리_수량집계_성대리수량산출_이윤조정" xfId="118" xr:uid="{00000000-0005-0000-0000-000063000000}"/>
    <cellStyle name="_U수량_강경읍염천리_수량집계_수량산출" xfId="119" xr:uid="{00000000-0005-0000-0000-000064000000}"/>
    <cellStyle name="_U수량_강경읍염천리_수량집계_수량산출_설계예산서" xfId="120" xr:uid="{00000000-0005-0000-0000-000065000000}"/>
    <cellStyle name="_U수량_강경읍염천리_수량집계_수량산출_이윤조정" xfId="121" xr:uid="{00000000-0005-0000-0000-000066000000}"/>
    <cellStyle name="_U수량_강경읍염천리_수량집계_원암리수량산출" xfId="122" xr:uid="{00000000-0005-0000-0000-000067000000}"/>
    <cellStyle name="_U수량_강경읍염천리_수량집계_원암리수량산출_설계예산서" xfId="123" xr:uid="{00000000-0005-0000-0000-000068000000}"/>
    <cellStyle name="_U수량_강경읍염천리_수량집계_원암리수량산출_이윤조정" xfId="124" xr:uid="{00000000-0005-0000-0000-000069000000}"/>
    <cellStyle name="_U수량_강경읍염천리_수량집계_이윤조정" xfId="125" xr:uid="{00000000-0005-0000-0000-00006A000000}"/>
    <cellStyle name="_U수량_강경읍염천리_수량집계_호안공수량산출" xfId="126" xr:uid="{00000000-0005-0000-0000-00006B000000}"/>
    <cellStyle name="_U수량_강경읍염천리_수량집계_호안공수량산출_설계예산서" xfId="127" xr:uid="{00000000-0005-0000-0000-00006C000000}"/>
    <cellStyle name="_U수량_강경읍염천리_수량집계_호안공수량산출_이윤조정" xfId="128" xr:uid="{00000000-0005-0000-0000-00006D000000}"/>
    <cellStyle name="_U수량_강경읍염천리_이윤조정" xfId="129" xr:uid="{00000000-0005-0000-0000-00006E000000}"/>
    <cellStyle name="_U수량_강경읍염천리_토적표" xfId="130" xr:uid="{00000000-0005-0000-0000-00006F000000}"/>
    <cellStyle name="_U수량_강경읍염천리_토적표_맹동공사비집계(토목)" xfId="131" xr:uid="{00000000-0005-0000-0000-000070000000}"/>
    <cellStyle name="_U수량_강경읍염천리_토적표_설계예산서" xfId="132" xr:uid="{00000000-0005-0000-0000-000071000000}"/>
    <cellStyle name="_U수량_강경읍염천리_토적표_이윤조정" xfId="133" xr:uid="{00000000-0005-0000-0000-000072000000}"/>
    <cellStyle name="_U수량_강경읍염천리_토적표_폐기물수량산출" xfId="134" xr:uid="{00000000-0005-0000-0000-000073000000}"/>
    <cellStyle name="_U수량_강경읍염천리_폐기물수량산출" xfId="135" xr:uid="{00000000-0005-0000-0000-000074000000}"/>
    <cellStyle name="_U수량_강경읍염천리_폐도토공" xfId="136" xr:uid="{00000000-0005-0000-0000-000075000000}"/>
    <cellStyle name="_U수량_강경읍염천리_폐도토공_구조물" xfId="137" xr:uid="{00000000-0005-0000-0000-000076000000}"/>
    <cellStyle name="_U수량_강경읍염천리_폐도토공_구조물_설계예산서" xfId="138" xr:uid="{00000000-0005-0000-0000-000077000000}"/>
    <cellStyle name="_U수량_강경읍염천리_폐도토공_구조물_수량집계" xfId="139" xr:uid="{00000000-0005-0000-0000-000078000000}"/>
    <cellStyle name="_U수량_강경읍염천리_폐도토공_구조물_수량집계_설계예산서" xfId="140" xr:uid="{00000000-0005-0000-0000-000079000000}"/>
    <cellStyle name="_U수량_강경읍염천리_폐도토공_구조물_수량집계_성대리수량산출" xfId="141" xr:uid="{00000000-0005-0000-0000-00007A000000}"/>
    <cellStyle name="_U수량_강경읍염천리_폐도토공_구조물_수량집계_성대리수량산출_설계예산서" xfId="142" xr:uid="{00000000-0005-0000-0000-00007B000000}"/>
    <cellStyle name="_U수량_강경읍염천리_폐도토공_구조물_수량집계_성대리수량산출_이윤조정" xfId="143" xr:uid="{00000000-0005-0000-0000-00007C000000}"/>
    <cellStyle name="_U수량_강경읍염천리_폐도토공_구조물_수량집계_수량산출" xfId="144" xr:uid="{00000000-0005-0000-0000-00007D000000}"/>
    <cellStyle name="_U수량_강경읍염천리_폐도토공_구조물_수량집계_수량산출_설계예산서" xfId="145" xr:uid="{00000000-0005-0000-0000-00007E000000}"/>
    <cellStyle name="_U수량_강경읍염천리_폐도토공_구조물_수량집계_수량산출_이윤조정" xfId="146" xr:uid="{00000000-0005-0000-0000-00007F000000}"/>
    <cellStyle name="_U수량_강경읍염천리_폐도토공_구조물_수량집계_원암리수량산출" xfId="147" xr:uid="{00000000-0005-0000-0000-000080000000}"/>
    <cellStyle name="_U수량_강경읍염천리_폐도토공_구조물_수량집계_원암리수량산출_설계예산서" xfId="148" xr:uid="{00000000-0005-0000-0000-000081000000}"/>
    <cellStyle name="_U수량_강경읍염천리_폐도토공_구조물_수량집계_원암리수량산출_이윤조정" xfId="149" xr:uid="{00000000-0005-0000-0000-000082000000}"/>
    <cellStyle name="_U수량_강경읍염천리_폐도토공_구조물_수량집계_이윤조정" xfId="150" xr:uid="{00000000-0005-0000-0000-000083000000}"/>
    <cellStyle name="_U수량_강경읍염천리_폐도토공_구조물_수량집계_호안공수량산출" xfId="151" xr:uid="{00000000-0005-0000-0000-000084000000}"/>
    <cellStyle name="_U수량_강경읍염천리_폐도토공_구조물_수량집계_호안공수량산출_설계예산서" xfId="152" xr:uid="{00000000-0005-0000-0000-000085000000}"/>
    <cellStyle name="_U수량_강경읍염천리_폐도토공_구조물_수량집계_호안공수량산출_이윤조정" xfId="153" xr:uid="{00000000-0005-0000-0000-000086000000}"/>
    <cellStyle name="_U수량_강경읍염천리_폐도토공_구조물_이윤조정" xfId="154" xr:uid="{00000000-0005-0000-0000-000087000000}"/>
    <cellStyle name="_U수량_강경읍염천리_폐도토공_설계예산서" xfId="155" xr:uid="{00000000-0005-0000-0000-000088000000}"/>
    <cellStyle name="_U수량_강경읍염천리_폐도토공_수량집계" xfId="156" xr:uid="{00000000-0005-0000-0000-000089000000}"/>
    <cellStyle name="_U수량_강경읍염천리_폐도토공_수량집계_설계예산서" xfId="157" xr:uid="{00000000-0005-0000-0000-00008A000000}"/>
    <cellStyle name="_U수량_강경읍염천리_폐도토공_수량집계_성대리수량산출" xfId="158" xr:uid="{00000000-0005-0000-0000-00008B000000}"/>
    <cellStyle name="_U수량_강경읍염천리_폐도토공_수량집계_성대리수량산출_설계예산서" xfId="159" xr:uid="{00000000-0005-0000-0000-00008C000000}"/>
    <cellStyle name="_U수량_강경읍염천리_폐도토공_수량집계_성대리수량산출_이윤조정" xfId="160" xr:uid="{00000000-0005-0000-0000-00008D000000}"/>
    <cellStyle name="_U수량_강경읍염천리_폐도토공_수량집계_수량산출" xfId="161" xr:uid="{00000000-0005-0000-0000-00008E000000}"/>
    <cellStyle name="_U수량_강경읍염천리_폐도토공_수량집계_수량산출_설계예산서" xfId="162" xr:uid="{00000000-0005-0000-0000-00008F000000}"/>
    <cellStyle name="_U수량_강경읍염천리_폐도토공_수량집계_수량산출_이윤조정" xfId="163" xr:uid="{00000000-0005-0000-0000-000090000000}"/>
    <cellStyle name="_U수량_강경읍염천리_폐도토공_수량집계_원암리수량산출" xfId="164" xr:uid="{00000000-0005-0000-0000-000091000000}"/>
    <cellStyle name="_U수량_강경읍염천리_폐도토공_수량집계_원암리수량산출_설계예산서" xfId="165" xr:uid="{00000000-0005-0000-0000-000092000000}"/>
    <cellStyle name="_U수량_강경읍염천리_폐도토공_수량집계_원암리수량산출_이윤조정" xfId="166" xr:uid="{00000000-0005-0000-0000-000093000000}"/>
    <cellStyle name="_U수량_강경읍염천리_폐도토공_수량집계_이윤조정" xfId="167" xr:uid="{00000000-0005-0000-0000-000094000000}"/>
    <cellStyle name="_U수량_강경읍염천리_폐도토공_수량집계_호안공수량산출" xfId="168" xr:uid="{00000000-0005-0000-0000-000095000000}"/>
    <cellStyle name="_U수량_강경읍염천리_폐도토공_수량집계_호안공수량산출_설계예산서" xfId="169" xr:uid="{00000000-0005-0000-0000-000096000000}"/>
    <cellStyle name="_U수량_강경읍염천리_폐도토공_수량집계_호안공수량산출_이윤조정" xfId="170" xr:uid="{00000000-0005-0000-0000-000097000000}"/>
    <cellStyle name="_U수량_강경읍염천리_폐도토공_이윤조정" xfId="171" xr:uid="{00000000-0005-0000-0000-000098000000}"/>
    <cellStyle name="_U수량_강경읍염천리_폐도토공_토공" xfId="172" xr:uid="{00000000-0005-0000-0000-000099000000}"/>
    <cellStyle name="_U수량_강경읍염천리_폐도토공_토공_설계예산서" xfId="173" xr:uid="{00000000-0005-0000-0000-00009A000000}"/>
    <cellStyle name="_U수량_강경읍염천리_폐도토공_토공_수량집계" xfId="174" xr:uid="{00000000-0005-0000-0000-00009B000000}"/>
    <cellStyle name="_U수량_강경읍염천리_폐도토공_토공_수량집계_설계예산서" xfId="175" xr:uid="{00000000-0005-0000-0000-00009C000000}"/>
    <cellStyle name="_U수량_강경읍염천리_폐도토공_토공_수량집계_성대리수량산출" xfId="176" xr:uid="{00000000-0005-0000-0000-00009D000000}"/>
    <cellStyle name="_U수량_강경읍염천리_폐도토공_토공_수량집계_성대리수량산출_설계예산서" xfId="177" xr:uid="{00000000-0005-0000-0000-00009E000000}"/>
    <cellStyle name="_U수량_강경읍염천리_폐도토공_토공_수량집계_성대리수량산출_이윤조정" xfId="178" xr:uid="{00000000-0005-0000-0000-00009F000000}"/>
    <cellStyle name="_U수량_강경읍염천리_폐도토공_토공_수량집계_수량산출" xfId="179" xr:uid="{00000000-0005-0000-0000-0000A0000000}"/>
    <cellStyle name="_U수량_강경읍염천리_폐도토공_토공_수량집계_수량산출_설계예산서" xfId="180" xr:uid="{00000000-0005-0000-0000-0000A1000000}"/>
    <cellStyle name="_U수량_강경읍염천리_폐도토공_토공_수량집계_수량산출_이윤조정" xfId="181" xr:uid="{00000000-0005-0000-0000-0000A2000000}"/>
    <cellStyle name="_U수량_강경읍염천리_폐도토공_토공_수량집계_원암리수량산출" xfId="182" xr:uid="{00000000-0005-0000-0000-0000A3000000}"/>
    <cellStyle name="_U수량_강경읍염천리_폐도토공_토공_수량집계_원암리수량산출_설계예산서" xfId="183" xr:uid="{00000000-0005-0000-0000-0000A4000000}"/>
    <cellStyle name="_U수량_강경읍염천리_폐도토공_토공_수량집계_원암리수량산출_이윤조정" xfId="184" xr:uid="{00000000-0005-0000-0000-0000A5000000}"/>
    <cellStyle name="_U수량_강경읍염천리_폐도토공_토공_수량집계_이윤조정" xfId="185" xr:uid="{00000000-0005-0000-0000-0000A6000000}"/>
    <cellStyle name="_U수량_강경읍염천리_폐도토공_토공_수량집계_호안공수량산출" xfId="186" xr:uid="{00000000-0005-0000-0000-0000A7000000}"/>
    <cellStyle name="_U수량_강경읍염천리_폐도토공_토공_수량집계_호안공수량산출_설계예산서" xfId="187" xr:uid="{00000000-0005-0000-0000-0000A8000000}"/>
    <cellStyle name="_U수량_강경읍염천리_폐도토공_토공_수량집계_호안공수량산출_이윤조정" xfId="188" xr:uid="{00000000-0005-0000-0000-0000A9000000}"/>
    <cellStyle name="_U수량_강경읍염천리_폐도토공_토공_이윤조정" xfId="189" xr:uid="{00000000-0005-0000-0000-0000AA000000}"/>
    <cellStyle name="_U수량_공설시장내" xfId="190" xr:uid="{00000000-0005-0000-0000-0000AB000000}"/>
    <cellStyle name="_U수량_공설시장내_3배수공" xfId="191" xr:uid="{00000000-0005-0000-0000-0000AC000000}"/>
    <cellStyle name="_U수량_공설시장내_3배수공_맹동공사비집계(토목)" xfId="192" xr:uid="{00000000-0005-0000-0000-0000AD000000}"/>
    <cellStyle name="_U수량_공설시장내_3배수공_설계예산서" xfId="193" xr:uid="{00000000-0005-0000-0000-0000AE000000}"/>
    <cellStyle name="_U수량_공설시장내_3배수공_이윤조정" xfId="194" xr:uid="{00000000-0005-0000-0000-0000AF000000}"/>
    <cellStyle name="_U수량_공설시장내_3배수공_폐기물수량산출" xfId="195" xr:uid="{00000000-0005-0000-0000-0000B0000000}"/>
    <cellStyle name="_U수량_공설시장내_대야포장공" xfId="196" xr:uid="{00000000-0005-0000-0000-0000B1000000}"/>
    <cellStyle name="_U수량_공설시장내_대야포장공_대야배수공" xfId="197" xr:uid="{00000000-0005-0000-0000-0000B2000000}"/>
    <cellStyle name="_U수량_공설시장내_대야포장공_대야배수공_3배수공" xfId="198" xr:uid="{00000000-0005-0000-0000-0000B3000000}"/>
    <cellStyle name="_U수량_공설시장내_대야포장공_대야배수공_3배수공_맹동공사비집계(토목)" xfId="199" xr:uid="{00000000-0005-0000-0000-0000B4000000}"/>
    <cellStyle name="_U수량_공설시장내_대야포장공_대야배수공_3배수공_설계예산서" xfId="200" xr:uid="{00000000-0005-0000-0000-0000B5000000}"/>
    <cellStyle name="_U수량_공설시장내_대야포장공_대야배수공_3배수공_이윤조정" xfId="201" xr:uid="{00000000-0005-0000-0000-0000B6000000}"/>
    <cellStyle name="_U수량_공설시장내_대야포장공_대야배수공_3배수공_폐기물수량산출" xfId="202" xr:uid="{00000000-0005-0000-0000-0000B7000000}"/>
    <cellStyle name="_U수량_공설시장내_대야포장공_대야배수공_맹동공사비집계(토목)" xfId="203" xr:uid="{00000000-0005-0000-0000-0000B8000000}"/>
    <cellStyle name="_U수량_공설시장내_대야포장공_대야배수공_설계예산서" xfId="204" xr:uid="{00000000-0005-0000-0000-0000B9000000}"/>
    <cellStyle name="_U수량_공설시장내_대야포장공_대야배수공_이윤조정" xfId="205" xr:uid="{00000000-0005-0000-0000-0000BA000000}"/>
    <cellStyle name="_U수량_공설시장내_대야포장공_대야배수공_폐기물수량산출" xfId="206" xr:uid="{00000000-0005-0000-0000-0000BB000000}"/>
    <cellStyle name="_U수량_공설시장내_대야포장공_맹동공사비집계(토목)" xfId="207" xr:uid="{00000000-0005-0000-0000-0000BC000000}"/>
    <cellStyle name="_U수량_공설시장내_대야포장공_맹동총집계0728" xfId="208" xr:uid="{00000000-0005-0000-0000-0000BD000000}"/>
    <cellStyle name="_U수량_공설시장내_대야포장공_맹동총집계0728_설계예산서" xfId="209" xr:uid="{00000000-0005-0000-0000-0000BE000000}"/>
    <cellStyle name="_U수량_공설시장내_대야포장공_맹동총집계0728_이윤조정" xfId="210" xr:uid="{00000000-0005-0000-0000-0000BF000000}"/>
    <cellStyle name="_U수량_공설시장내_대야포장공_맹동총집계0728_폐기물수량산출" xfId="211" xr:uid="{00000000-0005-0000-0000-0000C0000000}"/>
    <cellStyle name="_U수량_공설시장내_대야포장공_설계예산서" xfId="212" xr:uid="{00000000-0005-0000-0000-0000C1000000}"/>
    <cellStyle name="_U수량_공설시장내_대야포장공_이윤조정" xfId="213" xr:uid="{00000000-0005-0000-0000-0000C2000000}"/>
    <cellStyle name="_U수량_공설시장내_대야포장공_폐기물수량산출" xfId="214" xr:uid="{00000000-0005-0000-0000-0000C3000000}"/>
    <cellStyle name="_U수량_공설시장내_맹동공사비집계(토목)" xfId="215" xr:uid="{00000000-0005-0000-0000-0000C4000000}"/>
    <cellStyle name="_U수량_공설시장내_맹동총집계0728" xfId="216" xr:uid="{00000000-0005-0000-0000-0000C5000000}"/>
    <cellStyle name="_U수량_공설시장내_맹동총집계0728_설계예산서" xfId="217" xr:uid="{00000000-0005-0000-0000-0000C6000000}"/>
    <cellStyle name="_U수량_공설시장내_맹동총집계0728_이윤조정" xfId="218" xr:uid="{00000000-0005-0000-0000-0000C7000000}"/>
    <cellStyle name="_U수량_공설시장내_맹동총집계0728_폐기물수량산출" xfId="219" xr:uid="{00000000-0005-0000-0000-0000C8000000}"/>
    <cellStyle name="_U수량_공설시장내_설계예산서" xfId="220" xr:uid="{00000000-0005-0000-0000-0000C9000000}"/>
    <cellStyle name="_U수량_공설시장내_이윤조정" xfId="221" xr:uid="{00000000-0005-0000-0000-0000CA000000}"/>
    <cellStyle name="_U수량_공설시장내_폐기물수량산출" xfId="222" xr:uid="{00000000-0005-0000-0000-0000CB000000}"/>
    <cellStyle name="_U수량_대야포장공" xfId="223" xr:uid="{00000000-0005-0000-0000-0000CC000000}"/>
    <cellStyle name="_U수량_대야포장공_대야배수공" xfId="224" xr:uid="{00000000-0005-0000-0000-0000CD000000}"/>
    <cellStyle name="_U수량_대야포장공_대야배수공_3배수공" xfId="225" xr:uid="{00000000-0005-0000-0000-0000CE000000}"/>
    <cellStyle name="_U수량_대야포장공_대야배수공_3배수공_맹동공사비집계(토목)" xfId="226" xr:uid="{00000000-0005-0000-0000-0000CF000000}"/>
    <cellStyle name="_U수량_대야포장공_대야배수공_3배수공_설계예산서" xfId="227" xr:uid="{00000000-0005-0000-0000-0000D0000000}"/>
    <cellStyle name="_U수량_대야포장공_대야배수공_3배수공_이윤조정" xfId="228" xr:uid="{00000000-0005-0000-0000-0000D1000000}"/>
    <cellStyle name="_U수량_대야포장공_대야배수공_3배수공_폐기물수량산출" xfId="229" xr:uid="{00000000-0005-0000-0000-0000D2000000}"/>
    <cellStyle name="_U수량_대야포장공_대야배수공_맹동공사비집계(토목)" xfId="230" xr:uid="{00000000-0005-0000-0000-0000D3000000}"/>
    <cellStyle name="_U수량_대야포장공_대야배수공_설계예산서" xfId="231" xr:uid="{00000000-0005-0000-0000-0000D4000000}"/>
    <cellStyle name="_U수량_대야포장공_대야배수공_이윤조정" xfId="232" xr:uid="{00000000-0005-0000-0000-0000D5000000}"/>
    <cellStyle name="_U수량_대야포장공_대야배수공_폐기물수량산출" xfId="233" xr:uid="{00000000-0005-0000-0000-0000D6000000}"/>
    <cellStyle name="_U수량_대야포장공_맹동공사비집계(토목)" xfId="234" xr:uid="{00000000-0005-0000-0000-0000D7000000}"/>
    <cellStyle name="_U수량_대야포장공_맹동총집계0728" xfId="235" xr:uid="{00000000-0005-0000-0000-0000D8000000}"/>
    <cellStyle name="_U수량_대야포장공_맹동총집계0728_설계예산서" xfId="236" xr:uid="{00000000-0005-0000-0000-0000D9000000}"/>
    <cellStyle name="_U수량_대야포장공_맹동총집계0728_이윤조정" xfId="237" xr:uid="{00000000-0005-0000-0000-0000DA000000}"/>
    <cellStyle name="_U수량_대야포장공_맹동총집계0728_폐기물수량산출" xfId="238" xr:uid="{00000000-0005-0000-0000-0000DB000000}"/>
    <cellStyle name="_U수량_대야포장공_설계예산서" xfId="239" xr:uid="{00000000-0005-0000-0000-0000DC000000}"/>
    <cellStyle name="_U수량_대야포장공_이윤조정" xfId="240" xr:uid="{00000000-0005-0000-0000-0000DD000000}"/>
    <cellStyle name="_U수량_대야포장공_폐기물수량산출" xfId="241" xr:uid="{00000000-0005-0000-0000-0000DE000000}"/>
    <cellStyle name="_U수량_맹동공사비집계(토목)" xfId="242" xr:uid="{00000000-0005-0000-0000-0000DF000000}"/>
    <cellStyle name="_U수량_맹동총집계0728" xfId="243" xr:uid="{00000000-0005-0000-0000-0000E0000000}"/>
    <cellStyle name="_U수량_맹동총집계0728_설계예산서" xfId="244" xr:uid="{00000000-0005-0000-0000-0000E1000000}"/>
    <cellStyle name="_U수량_맹동총집계0728_이윤조정" xfId="245" xr:uid="{00000000-0005-0000-0000-0000E2000000}"/>
    <cellStyle name="_U수량_맹동총집계0728_폐기물수량산출" xfId="246" xr:uid="{00000000-0005-0000-0000-0000E3000000}"/>
    <cellStyle name="_U수량_설계예산서" xfId="247" xr:uid="{00000000-0005-0000-0000-0000E4000000}"/>
    <cellStyle name="_U수량_수량산출1" xfId="248" xr:uid="{00000000-0005-0000-0000-0000E5000000}"/>
    <cellStyle name="_U수량_수량산출1_구조물" xfId="249" xr:uid="{00000000-0005-0000-0000-0000E6000000}"/>
    <cellStyle name="_U수량_수량산출1_구조물_설계예산서" xfId="250" xr:uid="{00000000-0005-0000-0000-0000E7000000}"/>
    <cellStyle name="_U수량_수량산출1_구조물_수량집계" xfId="251" xr:uid="{00000000-0005-0000-0000-0000E8000000}"/>
    <cellStyle name="_U수량_수량산출1_구조물_수량집계_설계예산서" xfId="252" xr:uid="{00000000-0005-0000-0000-0000E9000000}"/>
    <cellStyle name="_U수량_수량산출1_구조물_수량집계_성대리수량산출" xfId="253" xr:uid="{00000000-0005-0000-0000-0000EA000000}"/>
    <cellStyle name="_U수량_수량산출1_구조물_수량집계_성대리수량산출_설계예산서" xfId="254" xr:uid="{00000000-0005-0000-0000-0000EB000000}"/>
    <cellStyle name="_U수량_수량산출1_구조물_수량집계_성대리수량산출_이윤조정" xfId="255" xr:uid="{00000000-0005-0000-0000-0000EC000000}"/>
    <cellStyle name="_U수량_수량산출1_구조물_수량집계_수량산출" xfId="256" xr:uid="{00000000-0005-0000-0000-0000ED000000}"/>
    <cellStyle name="_U수량_수량산출1_구조물_수량집계_수량산출_설계예산서" xfId="257" xr:uid="{00000000-0005-0000-0000-0000EE000000}"/>
    <cellStyle name="_U수량_수량산출1_구조물_수량집계_수량산출_이윤조정" xfId="258" xr:uid="{00000000-0005-0000-0000-0000EF000000}"/>
    <cellStyle name="_U수량_수량산출1_구조물_수량집계_원암리수량산출" xfId="259" xr:uid="{00000000-0005-0000-0000-0000F0000000}"/>
    <cellStyle name="_U수량_수량산출1_구조물_수량집계_원암리수량산출_설계예산서" xfId="260" xr:uid="{00000000-0005-0000-0000-0000F1000000}"/>
    <cellStyle name="_U수량_수량산출1_구조물_수량집계_원암리수량산출_이윤조정" xfId="261" xr:uid="{00000000-0005-0000-0000-0000F2000000}"/>
    <cellStyle name="_U수량_수량산출1_구조물_수량집계_이윤조정" xfId="262" xr:uid="{00000000-0005-0000-0000-0000F3000000}"/>
    <cellStyle name="_U수량_수량산출1_구조물_수량집계_호안공수량산출" xfId="263" xr:uid="{00000000-0005-0000-0000-0000F4000000}"/>
    <cellStyle name="_U수량_수량산출1_구조물_수량집계_호안공수량산출_설계예산서" xfId="264" xr:uid="{00000000-0005-0000-0000-0000F5000000}"/>
    <cellStyle name="_U수량_수량산출1_구조물_수량집계_호안공수량산출_이윤조정" xfId="265" xr:uid="{00000000-0005-0000-0000-0000F6000000}"/>
    <cellStyle name="_U수량_수량산출1_구조물_이윤조정" xfId="266" xr:uid="{00000000-0005-0000-0000-0000F7000000}"/>
    <cellStyle name="_U수량_수량산출1_맹동공사비집계(토목)" xfId="267" xr:uid="{00000000-0005-0000-0000-0000F8000000}"/>
    <cellStyle name="_U수량_수량산출1_설계예산서" xfId="268" xr:uid="{00000000-0005-0000-0000-0000F9000000}"/>
    <cellStyle name="_U수량_수량산출1_수량집계" xfId="269" xr:uid="{00000000-0005-0000-0000-0000FA000000}"/>
    <cellStyle name="_U수량_수량산출1_수량집계_설계예산서" xfId="270" xr:uid="{00000000-0005-0000-0000-0000FB000000}"/>
    <cellStyle name="_U수량_수량산출1_수량집계_성대리수량산출" xfId="271" xr:uid="{00000000-0005-0000-0000-0000FC000000}"/>
    <cellStyle name="_U수량_수량산출1_수량집계_성대리수량산출_설계예산서" xfId="272" xr:uid="{00000000-0005-0000-0000-0000FD000000}"/>
    <cellStyle name="_U수량_수량산출1_수량집계_성대리수량산출_이윤조정" xfId="273" xr:uid="{00000000-0005-0000-0000-0000FE000000}"/>
    <cellStyle name="_U수량_수량산출1_수량집계_수량산출" xfId="274" xr:uid="{00000000-0005-0000-0000-0000FF000000}"/>
    <cellStyle name="_U수량_수량산출1_수량집계_수량산출_설계예산서" xfId="275" xr:uid="{00000000-0005-0000-0000-000000010000}"/>
    <cellStyle name="_U수량_수량산출1_수량집계_수량산출_이윤조정" xfId="276" xr:uid="{00000000-0005-0000-0000-000001010000}"/>
    <cellStyle name="_U수량_수량산출1_수량집계_원암리수량산출" xfId="277" xr:uid="{00000000-0005-0000-0000-000002010000}"/>
    <cellStyle name="_U수량_수량산출1_수량집계_원암리수량산출_설계예산서" xfId="278" xr:uid="{00000000-0005-0000-0000-000003010000}"/>
    <cellStyle name="_U수량_수량산출1_수량집계_원암리수량산출_이윤조정" xfId="279" xr:uid="{00000000-0005-0000-0000-000004010000}"/>
    <cellStyle name="_U수량_수량산출1_수량집계_이윤조정" xfId="280" xr:uid="{00000000-0005-0000-0000-000005010000}"/>
    <cellStyle name="_U수량_수량산출1_수량집계_호안공수량산출" xfId="281" xr:uid="{00000000-0005-0000-0000-000006010000}"/>
    <cellStyle name="_U수량_수량산출1_수량집계_호안공수량산출_설계예산서" xfId="282" xr:uid="{00000000-0005-0000-0000-000007010000}"/>
    <cellStyle name="_U수량_수량산출1_수량집계_호안공수량산출_이윤조정" xfId="283" xr:uid="{00000000-0005-0000-0000-000008010000}"/>
    <cellStyle name="_U수량_수량산출1_이윤조정" xfId="284" xr:uid="{00000000-0005-0000-0000-000009010000}"/>
    <cellStyle name="_U수량_수량산출1_토공" xfId="285" xr:uid="{00000000-0005-0000-0000-00000A010000}"/>
    <cellStyle name="_U수량_수량산출1_토공_설계예산서" xfId="286" xr:uid="{00000000-0005-0000-0000-00000B010000}"/>
    <cellStyle name="_U수량_수량산출1_토공_수량집계" xfId="287" xr:uid="{00000000-0005-0000-0000-00000C010000}"/>
    <cellStyle name="_U수량_수량산출1_토공_수량집계_설계예산서" xfId="288" xr:uid="{00000000-0005-0000-0000-00000D010000}"/>
    <cellStyle name="_U수량_수량산출1_토공_수량집계_성대리수량산출" xfId="289" xr:uid="{00000000-0005-0000-0000-00000E010000}"/>
    <cellStyle name="_U수량_수량산출1_토공_수량집계_성대리수량산출_설계예산서" xfId="290" xr:uid="{00000000-0005-0000-0000-00000F010000}"/>
    <cellStyle name="_U수량_수량산출1_토공_수량집계_성대리수량산출_이윤조정" xfId="291" xr:uid="{00000000-0005-0000-0000-000010010000}"/>
    <cellStyle name="_U수량_수량산출1_토공_수량집계_수량산출" xfId="292" xr:uid="{00000000-0005-0000-0000-000011010000}"/>
    <cellStyle name="_U수량_수량산출1_토공_수량집계_수량산출_설계예산서" xfId="293" xr:uid="{00000000-0005-0000-0000-000012010000}"/>
    <cellStyle name="_U수량_수량산출1_토공_수량집계_수량산출_이윤조정" xfId="294" xr:uid="{00000000-0005-0000-0000-000013010000}"/>
    <cellStyle name="_U수량_수량산출1_토공_수량집계_원암리수량산출" xfId="295" xr:uid="{00000000-0005-0000-0000-000014010000}"/>
    <cellStyle name="_U수량_수량산출1_토공_수량집계_원암리수량산출_설계예산서" xfId="296" xr:uid="{00000000-0005-0000-0000-000015010000}"/>
    <cellStyle name="_U수량_수량산출1_토공_수량집계_원암리수량산출_이윤조정" xfId="297" xr:uid="{00000000-0005-0000-0000-000016010000}"/>
    <cellStyle name="_U수량_수량산출1_토공_수량집계_이윤조정" xfId="298" xr:uid="{00000000-0005-0000-0000-000017010000}"/>
    <cellStyle name="_U수량_수량산출1_토공_수량집계_호안공수량산출" xfId="299" xr:uid="{00000000-0005-0000-0000-000018010000}"/>
    <cellStyle name="_U수량_수량산출1_토공_수량집계_호안공수량산출_설계예산서" xfId="300" xr:uid="{00000000-0005-0000-0000-000019010000}"/>
    <cellStyle name="_U수량_수량산출1_토공_수량집계_호안공수량산출_이윤조정" xfId="301" xr:uid="{00000000-0005-0000-0000-00001A010000}"/>
    <cellStyle name="_U수량_수량산출1_토공_이윤조정" xfId="302" xr:uid="{00000000-0005-0000-0000-00001B010000}"/>
    <cellStyle name="_U수량_수량산출1_폐기물수량산출" xfId="303" xr:uid="{00000000-0005-0000-0000-00001C010000}"/>
    <cellStyle name="_U수량_수량집계" xfId="304" xr:uid="{00000000-0005-0000-0000-00001D010000}"/>
    <cellStyle name="_U수량_수량집계_설계예산서" xfId="305" xr:uid="{00000000-0005-0000-0000-00001E010000}"/>
    <cellStyle name="_U수량_수량집계_성대리수량산출" xfId="306" xr:uid="{00000000-0005-0000-0000-00001F010000}"/>
    <cellStyle name="_U수량_수량집계_성대리수량산출_설계예산서" xfId="307" xr:uid="{00000000-0005-0000-0000-000020010000}"/>
    <cellStyle name="_U수량_수량집계_성대리수량산출_이윤조정" xfId="308" xr:uid="{00000000-0005-0000-0000-000021010000}"/>
    <cellStyle name="_U수량_수량집계_수량산출" xfId="309" xr:uid="{00000000-0005-0000-0000-000022010000}"/>
    <cellStyle name="_U수량_수량집계_수량산출_설계예산서" xfId="310" xr:uid="{00000000-0005-0000-0000-000023010000}"/>
    <cellStyle name="_U수량_수량집계_수량산출_이윤조정" xfId="311" xr:uid="{00000000-0005-0000-0000-000024010000}"/>
    <cellStyle name="_U수량_수량집계_원암리수량산출" xfId="312" xr:uid="{00000000-0005-0000-0000-000025010000}"/>
    <cellStyle name="_U수량_수량집계_원암리수량산출_설계예산서" xfId="313" xr:uid="{00000000-0005-0000-0000-000026010000}"/>
    <cellStyle name="_U수량_수량집계_원암리수량산출_이윤조정" xfId="314" xr:uid="{00000000-0005-0000-0000-000027010000}"/>
    <cellStyle name="_U수량_수량집계_이윤조정" xfId="315" xr:uid="{00000000-0005-0000-0000-000028010000}"/>
    <cellStyle name="_U수량_수량집계_호안공수량산출" xfId="316" xr:uid="{00000000-0005-0000-0000-000029010000}"/>
    <cellStyle name="_U수량_수량집계_호안공수량산출_설계예산서" xfId="317" xr:uid="{00000000-0005-0000-0000-00002A010000}"/>
    <cellStyle name="_U수량_수량집계_호안공수량산출_이윤조정" xfId="318" xr:uid="{00000000-0005-0000-0000-00002B010000}"/>
    <cellStyle name="_U수량_이윤조정" xfId="319" xr:uid="{00000000-0005-0000-0000-00002C010000}"/>
    <cellStyle name="_U수량_취암sample" xfId="320" xr:uid="{00000000-0005-0000-0000-00002D010000}"/>
    <cellStyle name="_U수량_취암sample_3배수공" xfId="321" xr:uid="{00000000-0005-0000-0000-00002E010000}"/>
    <cellStyle name="_U수량_취암sample_3배수공_맹동공사비집계(토목)" xfId="322" xr:uid="{00000000-0005-0000-0000-00002F010000}"/>
    <cellStyle name="_U수량_취암sample_3배수공_설계예산서" xfId="323" xr:uid="{00000000-0005-0000-0000-000030010000}"/>
    <cellStyle name="_U수량_취암sample_3배수공_이윤조정" xfId="324" xr:uid="{00000000-0005-0000-0000-000031010000}"/>
    <cellStyle name="_U수량_취암sample_3배수공_폐기물수량산출" xfId="325" xr:uid="{00000000-0005-0000-0000-000032010000}"/>
    <cellStyle name="_U수량_취암sample_대야포장공" xfId="326" xr:uid="{00000000-0005-0000-0000-000033010000}"/>
    <cellStyle name="_U수량_취암sample_대야포장공_대야배수공" xfId="327" xr:uid="{00000000-0005-0000-0000-000034010000}"/>
    <cellStyle name="_U수량_취암sample_대야포장공_대야배수공_3배수공" xfId="328" xr:uid="{00000000-0005-0000-0000-000035010000}"/>
    <cellStyle name="_U수량_취암sample_대야포장공_대야배수공_3배수공_맹동공사비집계(토목)" xfId="329" xr:uid="{00000000-0005-0000-0000-000036010000}"/>
    <cellStyle name="_U수량_취암sample_대야포장공_대야배수공_3배수공_설계예산서" xfId="330" xr:uid="{00000000-0005-0000-0000-000037010000}"/>
    <cellStyle name="_U수량_취암sample_대야포장공_대야배수공_3배수공_이윤조정" xfId="331" xr:uid="{00000000-0005-0000-0000-000038010000}"/>
    <cellStyle name="_U수량_취암sample_대야포장공_대야배수공_3배수공_폐기물수량산출" xfId="332" xr:uid="{00000000-0005-0000-0000-000039010000}"/>
    <cellStyle name="_U수량_취암sample_대야포장공_대야배수공_맹동공사비집계(토목)" xfId="333" xr:uid="{00000000-0005-0000-0000-00003A010000}"/>
    <cellStyle name="_U수량_취암sample_대야포장공_대야배수공_설계예산서" xfId="334" xr:uid="{00000000-0005-0000-0000-00003B010000}"/>
    <cellStyle name="_U수량_취암sample_대야포장공_대야배수공_이윤조정" xfId="335" xr:uid="{00000000-0005-0000-0000-00003C010000}"/>
    <cellStyle name="_U수량_취암sample_대야포장공_대야배수공_폐기물수량산출" xfId="336" xr:uid="{00000000-0005-0000-0000-00003D010000}"/>
    <cellStyle name="_U수량_취암sample_대야포장공_맹동공사비집계(토목)" xfId="337" xr:uid="{00000000-0005-0000-0000-00003E010000}"/>
    <cellStyle name="_U수량_취암sample_대야포장공_맹동총집계0728" xfId="338" xr:uid="{00000000-0005-0000-0000-00003F010000}"/>
    <cellStyle name="_U수량_취암sample_대야포장공_맹동총집계0728_설계예산서" xfId="339" xr:uid="{00000000-0005-0000-0000-000040010000}"/>
    <cellStyle name="_U수량_취암sample_대야포장공_맹동총집계0728_이윤조정" xfId="340" xr:uid="{00000000-0005-0000-0000-000041010000}"/>
    <cellStyle name="_U수량_취암sample_대야포장공_맹동총집계0728_폐기물수량산출" xfId="341" xr:uid="{00000000-0005-0000-0000-000042010000}"/>
    <cellStyle name="_U수량_취암sample_대야포장공_설계예산서" xfId="342" xr:uid="{00000000-0005-0000-0000-000043010000}"/>
    <cellStyle name="_U수량_취암sample_대야포장공_이윤조정" xfId="343" xr:uid="{00000000-0005-0000-0000-000044010000}"/>
    <cellStyle name="_U수량_취암sample_대야포장공_폐기물수량산출" xfId="344" xr:uid="{00000000-0005-0000-0000-000045010000}"/>
    <cellStyle name="_U수량_취암sample_맹동공사비집계(토목)" xfId="345" xr:uid="{00000000-0005-0000-0000-000046010000}"/>
    <cellStyle name="_U수량_취암sample_맹동총집계0728" xfId="346" xr:uid="{00000000-0005-0000-0000-000047010000}"/>
    <cellStyle name="_U수량_취암sample_맹동총집계0728_설계예산서" xfId="347" xr:uid="{00000000-0005-0000-0000-000048010000}"/>
    <cellStyle name="_U수량_취암sample_맹동총집계0728_이윤조정" xfId="348" xr:uid="{00000000-0005-0000-0000-000049010000}"/>
    <cellStyle name="_U수량_취암sample_맹동총집계0728_폐기물수량산출" xfId="349" xr:uid="{00000000-0005-0000-0000-00004A010000}"/>
    <cellStyle name="_U수량_취암sample_설계예산서" xfId="350" xr:uid="{00000000-0005-0000-0000-00004B010000}"/>
    <cellStyle name="_U수량_취암sample_이윤조정" xfId="351" xr:uid="{00000000-0005-0000-0000-00004C010000}"/>
    <cellStyle name="_U수량_취암sample_폐기물수량산출" xfId="352" xr:uid="{00000000-0005-0000-0000-00004D010000}"/>
    <cellStyle name="_U수량_토적표" xfId="353" xr:uid="{00000000-0005-0000-0000-00004E010000}"/>
    <cellStyle name="_U수량_토적표_맹동공사비집계(토목)" xfId="354" xr:uid="{00000000-0005-0000-0000-00004F010000}"/>
    <cellStyle name="_U수량_토적표_설계예산서" xfId="355" xr:uid="{00000000-0005-0000-0000-000050010000}"/>
    <cellStyle name="_U수량_토적표_이윤조정" xfId="356" xr:uid="{00000000-0005-0000-0000-000051010000}"/>
    <cellStyle name="_U수량_토적표_폐기물수량산출" xfId="357" xr:uid="{00000000-0005-0000-0000-000052010000}"/>
    <cellStyle name="_U수량_폐기물수량산출" xfId="358" xr:uid="{00000000-0005-0000-0000-000053010000}"/>
    <cellStyle name="_U수량_폐도토공" xfId="359" xr:uid="{00000000-0005-0000-0000-000054010000}"/>
    <cellStyle name="_U수량_폐도토공_구조물" xfId="360" xr:uid="{00000000-0005-0000-0000-000055010000}"/>
    <cellStyle name="_U수량_폐도토공_구조물_설계예산서" xfId="361" xr:uid="{00000000-0005-0000-0000-000056010000}"/>
    <cellStyle name="_U수량_폐도토공_구조물_수량집계" xfId="362" xr:uid="{00000000-0005-0000-0000-000057010000}"/>
    <cellStyle name="_U수량_폐도토공_구조물_수량집계_설계예산서" xfId="363" xr:uid="{00000000-0005-0000-0000-000058010000}"/>
    <cellStyle name="_U수량_폐도토공_구조물_수량집계_성대리수량산출" xfId="364" xr:uid="{00000000-0005-0000-0000-000059010000}"/>
    <cellStyle name="_U수량_폐도토공_구조물_수량집계_성대리수량산출_설계예산서" xfId="365" xr:uid="{00000000-0005-0000-0000-00005A010000}"/>
    <cellStyle name="_U수량_폐도토공_구조물_수량집계_성대리수량산출_이윤조정" xfId="366" xr:uid="{00000000-0005-0000-0000-00005B010000}"/>
    <cellStyle name="_U수량_폐도토공_구조물_수량집계_수량산출" xfId="367" xr:uid="{00000000-0005-0000-0000-00005C010000}"/>
    <cellStyle name="_U수량_폐도토공_구조물_수량집계_수량산출_설계예산서" xfId="368" xr:uid="{00000000-0005-0000-0000-00005D010000}"/>
    <cellStyle name="_U수량_폐도토공_구조물_수량집계_수량산출_이윤조정" xfId="369" xr:uid="{00000000-0005-0000-0000-00005E010000}"/>
    <cellStyle name="_U수량_폐도토공_구조물_수량집계_원암리수량산출" xfId="370" xr:uid="{00000000-0005-0000-0000-00005F010000}"/>
    <cellStyle name="_U수량_폐도토공_구조물_수량집계_원암리수량산출_설계예산서" xfId="371" xr:uid="{00000000-0005-0000-0000-000060010000}"/>
    <cellStyle name="_U수량_폐도토공_구조물_수량집계_원암리수량산출_이윤조정" xfId="372" xr:uid="{00000000-0005-0000-0000-000061010000}"/>
    <cellStyle name="_U수량_폐도토공_구조물_수량집계_이윤조정" xfId="373" xr:uid="{00000000-0005-0000-0000-000062010000}"/>
    <cellStyle name="_U수량_폐도토공_구조물_수량집계_호안공수량산출" xfId="374" xr:uid="{00000000-0005-0000-0000-000063010000}"/>
    <cellStyle name="_U수량_폐도토공_구조물_수량집계_호안공수량산출_설계예산서" xfId="375" xr:uid="{00000000-0005-0000-0000-000064010000}"/>
    <cellStyle name="_U수량_폐도토공_구조물_수량집계_호안공수량산출_이윤조정" xfId="376" xr:uid="{00000000-0005-0000-0000-000065010000}"/>
    <cellStyle name="_U수량_폐도토공_구조물_이윤조정" xfId="377" xr:uid="{00000000-0005-0000-0000-000066010000}"/>
    <cellStyle name="_U수량_폐도토공_설계예산서" xfId="378" xr:uid="{00000000-0005-0000-0000-000067010000}"/>
    <cellStyle name="_U수량_폐도토공_수량집계" xfId="379" xr:uid="{00000000-0005-0000-0000-000068010000}"/>
    <cellStyle name="_U수량_폐도토공_수량집계_설계예산서" xfId="380" xr:uid="{00000000-0005-0000-0000-000069010000}"/>
    <cellStyle name="_U수량_폐도토공_수량집계_성대리수량산출" xfId="381" xr:uid="{00000000-0005-0000-0000-00006A010000}"/>
    <cellStyle name="_U수량_폐도토공_수량집계_성대리수량산출_설계예산서" xfId="382" xr:uid="{00000000-0005-0000-0000-00006B010000}"/>
    <cellStyle name="_U수량_폐도토공_수량집계_성대리수량산출_이윤조정" xfId="383" xr:uid="{00000000-0005-0000-0000-00006C010000}"/>
    <cellStyle name="_U수량_폐도토공_수량집계_수량산출" xfId="384" xr:uid="{00000000-0005-0000-0000-00006D010000}"/>
    <cellStyle name="_U수량_폐도토공_수량집계_수량산출_설계예산서" xfId="385" xr:uid="{00000000-0005-0000-0000-00006E010000}"/>
    <cellStyle name="_U수량_폐도토공_수량집계_수량산출_이윤조정" xfId="386" xr:uid="{00000000-0005-0000-0000-00006F010000}"/>
    <cellStyle name="_U수량_폐도토공_수량집계_원암리수량산출" xfId="387" xr:uid="{00000000-0005-0000-0000-000070010000}"/>
    <cellStyle name="_U수량_폐도토공_수량집계_원암리수량산출_설계예산서" xfId="388" xr:uid="{00000000-0005-0000-0000-000071010000}"/>
    <cellStyle name="_U수량_폐도토공_수량집계_원암리수량산출_이윤조정" xfId="389" xr:uid="{00000000-0005-0000-0000-000072010000}"/>
    <cellStyle name="_U수량_폐도토공_수량집계_이윤조정" xfId="390" xr:uid="{00000000-0005-0000-0000-000073010000}"/>
    <cellStyle name="_U수량_폐도토공_수량집계_호안공수량산출" xfId="391" xr:uid="{00000000-0005-0000-0000-000074010000}"/>
    <cellStyle name="_U수량_폐도토공_수량집계_호안공수량산출_설계예산서" xfId="392" xr:uid="{00000000-0005-0000-0000-000075010000}"/>
    <cellStyle name="_U수량_폐도토공_수량집계_호안공수량산출_이윤조정" xfId="393" xr:uid="{00000000-0005-0000-0000-000076010000}"/>
    <cellStyle name="_U수량_폐도토공_이윤조정" xfId="394" xr:uid="{00000000-0005-0000-0000-000077010000}"/>
    <cellStyle name="_U수량_폐도토공_토공" xfId="395" xr:uid="{00000000-0005-0000-0000-000078010000}"/>
    <cellStyle name="_U수량_폐도토공_토공_설계예산서" xfId="396" xr:uid="{00000000-0005-0000-0000-000079010000}"/>
    <cellStyle name="_U수량_폐도토공_토공_수량집계" xfId="397" xr:uid="{00000000-0005-0000-0000-00007A010000}"/>
    <cellStyle name="_U수량_폐도토공_토공_수량집계_설계예산서" xfId="398" xr:uid="{00000000-0005-0000-0000-00007B010000}"/>
    <cellStyle name="_U수량_폐도토공_토공_수량집계_성대리수량산출" xfId="399" xr:uid="{00000000-0005-0000-0000-00007C010000}"/>
    <cellStyle name="_U수량_폐도토공_토공_수량집계_성대리수량산출_설계예산서" xfId="400" xr:uid="{00000000-0005-0000-0000-00007D010000}"/>
    <cellStyle name="_U수량_폐도토공_토공_수량집계_성대리수량산출_이윤조정" xfId="401" xr:uid="{00000000-0005-0000-0000-00007E010000}"/>
    <cellStyle name="_U수량_폐도토공_토공_수량집계_수량산출" xfId="402" xr:uid="{00000000-0005-0000-0000-00007F010000}"/>
    <cellStyle name="_U수량_폐도토공_토공_수량집계_수량산출_설계예산서" xfId="403" xr:uid="{00000000-0005-0000-0000-000080010000}"/>
    <cellStyle name="_U수량_폐도토공_토공_수량집계_수량산출_이윤조정" xfId="404" xr:uid="{00000000-0005-0000-0000-000081010000}"/>
    <cellStyle name="_U수량_폐도토공_토공_수량집계_원암리수량산출" xfId="405" xr:uid="{00000000-0005-0000-0000-000082010000}"/>
    <cellStyle name="_U수량_폐도토공_토공_수량집계_원암리수량산출_설계예산서" xfId="406" xr:uid="{00000000-0005-0000-0000-000083010000}"/>
    <cellStyle name="_U수량_폐도토공_토공_수량집계_원암리수량산출_이윤조정" xfId="407" xr:uid="{00000000-0005-0000-0000-000084010000}"/>
    <cellStyle name="_U수량_폐도토공_토공_수량집계_이윤조정" xfId="408" xr:uid="{00000000-0005-0000-0000-000085010000}"/>
    <cellStyle name="_U수량_폐도토공_토공_수량집계_호안공수량산출" xfId="409" xr:uid="{00000000-0005-0000-0000-000086010000}"/>
    <cellStyle name="_U수량_폐도토공_토공_수량집계_호안공수량산출_설계예산서" xfId="410" xr:uid="{00000000-0005-0000-0000-000087010000}"/>
    <cellStyle name="_U수량_폐도토공_토공_수량집계_호안공수량산출_이윤조정" xfId="411" xr:uid="{00000000-0005-0000-0000-000088010000}"/>
    <cellStyle name="_U수량_폐도토공_토공_이윤조정" xfId="412" xr:uid="{00000000-0005-0000-0000-000089010000}"/>
    <cellStyle name="AeE­ [0]_ 2ÆAAþº° " xfId="413" xr:uid="{00000000-0005-0000-0000-00008A010000}"/>
    <cellStyle name="ÅëÈ­ [0]_»óºÎ¼ö·®Áý°è " xfId="414" xr:uid="{00000000-0005-0000-0000-00008B010000}"/>
    <cellStyle name="AeE­ [0]_INQUIRY ¿μ¾÷AßAø " xfId="415" xr:uid="{00000000-0005-0000-0000-00008C010000}"/>
    <cellStyle name="AeE­_ 2ÆAAþº° " xfId="416" xr:uid="{00000000-0005-0000-0000-00008D010000}"/>
    <cellStyle name="ÅëÈ­_»óºÎ¼ö·®Áý°è " xfId="417" xr:uid="{00000000-0005-0000-0000-00008E010000}"/>
    <cellStyle name="AeE­_INQUIRY ¿μ¾÷AßAø " xfId="418" xr:uid="{00000000-0005-0000-0000-00008F010000}"/>
    <cellStyle name="ALIGNMENT" xfId="419" xr:uid="{00000000-0005-0000-0000-000090010000}"/>
    <cellStyle name="AÞ¸¶ [0]_ 2ÆAAþº° " xfId="420" xr:uid="{00000000-0005-0000-0000-000091010000}"/>
    <cellStyle name="ÄÞ¸¶ [0]_»óºÎ¼ö·®Áý°è " xfId="421" xr:uid="{00000000-0005-0000-0000-000092010000}"/>
    <cellStyle name="AÞ¸¶ [0]_INQUIRY ¿μ¾÷AßAø " xfId="422" xr:uid="{00000000-0005-0000-0000-000093010000}"/>
    <cellStyle name="AÞ¸¶_ 2ÆAAþº° " xfId="423" xr:uid="{00000000-0005-0000-0000-000094010000}"/>
    <cellStyle name="ÄÞ¸¶_»óºÎ¼ö·®Áý°è " xfId="424" xr:uid="{00000000-0005-0000-0000-000095010000}"/>
    <cellStyle name="AÞ¸¶_INQUIRY ¿μ¾÷AßAø " xfId="425" xr:uid="{00000000-0005-0000-0000-000096010000}"/>
    <cellStyle name="C￥AØ_ 2ÆAAþº° " xfId="426" xr:uid="{00000000-0005-0000-0000-000097010000}"/>
    <cellStyle name="Ç¥ÁØ_»óºÎ¼ö·®Áý°è " xfId="427" xr:uid="{00000000-0005-0000-0000-000098010000}"/>
    <cellStyle name="Calc Currency (0)" xfId="428" xr:uid="{00000000-0005-0000-0000-000099010000}"/>
    <cellStyle name="category" xfId="429" xr:uid="{00000000-0005-0000-0000-00009A010000}"/>
    <cellStyle name="Comma" xfId="430" xr:uid="{00000000-0005-0000-0000-00009B010000}"/>
    <cellStyle name="Comma [0]_ SG&amp;A Bridge " xfId="431" xr:uid="{00000000-0005-0000-0000-00009C010000}"/>
    <cellStyle name="comma zerodec" xfId="432" xr:uid="{00000000-0005-0000-0000-00009D010000}"/>
    <cellStyle name="Comma_ SG&amp;A Bridge " xfId="433" xr:uid="{00000000-0005-0000-0000-00009E010000}"/>
    <cellStyle name="Currenby_Cash&amp;DSO Chart" xfId="434" xr:uid="{00000000-0005-0000-0000-00009F010000}"/>
    <cellStyle name="Currency" xfId="435" xr:uid="{00000000-0005-0000-0000-0000A0010000}"/>
    <cellStyle name="Currency [0]_ SG&amp;A Bridge " xfId="436" xr:uid="{00000000-0005-0000-0000-0000A1010000}"/>
    <cellStyle name="Currency_ SG&amp;A Bridge " xfId="437" xr:uid="{00000000-0005-0000-0000-0000A2010000}"/>
    <cellStyle name="Currency1" xfId="438" xr:uid="{00000000-0005-0000-0000-0000A3010000}"/>
    <cellStyle name="Date" xfId="439" xr:uid="{00000000-0005-0000-0000-0000A4010000}"/>
    <cellStyle name="Dezimal [0]_Compiling Utility Macros" xfId="440" xr:uid="{00000000-0005-0000-0000-0000A5010000}"/>
    <cellStyle name="Dezimal_Compiling Utility Macros" xfId="441" xr:uid="{00000000-0005-0000-0000-0000A6010000}"/>
    <cellStyle name="Dollar (zero dec)" xfId="442" xr:uid="{00000000-0005-0000-0000-0000A7010000}"/>
    <cellStyle name="Fixed" xfId="443" xr:uid="{00000000-0005-0000-0000-0000A8010000}"/>
    <cellStyle name="Grey" xfId="444" xr:uid="{00000000-0005-0000-0000-0000A9010000}"/>
    <cellStyle name="HEADER" xfId="445" xr:uid="{00000000-0005-0000-0000-0000AA010000}"/>
    <cellStyle name="Header1" xfId="446" xr:uid="{00000000-0005-0000-0000-0000AB010000}"/>
    <cellStyle name="Header2" xfId="447" xr:uid="{00000000-0005-0000-0000-0000AC010000}"/>
    <cellStyle name="Heading1" xfId="448" xr:uid="{00000000-0005-0000-0000-0000AD010000}"/>
    <cellStyle name="Heading2" xfId="449" xr:uid="{00000000-0005-0000-0000-0000AE010000}"/>
    <cellStyle name="Input [yellow]" xfId="450" xr:uid="{00000000-0005-0000-0000-0000AF010000}"/>
    <cellStyle name="Midtitle" xfId="451" xr:uid="{00000000-0005-0000-0000-0000B0010000}"/>
    <cellStyle name="Milliers [0]_Arabian Spec" xfId="452" xr:uid="{00000000-0005-0000-0000-0000B1010000}"/>
    <cellStyle name="Milliers_Arabian Spec" xfId="453" xr:uid="{00000000-0005-0000-0000-0000B2010000}"/>
    <cellStyle name="Model" xfId="454" xr:uid="{00000000-0005-0000-0000-0000B3010000}"/>
    <cellStyle name="Mon?aire [0]_Arabian Spec" xfId="455" xr:uid="{00000000-0005-0000-0000-0000B4010000}"/>
    <cellStyle name="Mon?aire_Arabian Spec" xfId="456" xr:uid="{00000000-0005-0000-0000-0000B5010000}"/>
    <cellStyle name="Normal - Style1" xfId="457" xr:uid="{00000000-0005-0000-0000-0000B6010000}"/>
    <cellStyle name="Normal - 유형1" xfId="458" xr:uid="{00000000-0005-0000-0000-0000B7010000}"/>
    <cellStyle name="Normal_ SG&amp;A Bridge " xfId="459" xr:uid="{00000000-0005-0000-0000-0000B8010000}"/>
    <cellStyle name="Percent" xfId="460" xr:uid="{00000000-0005-0000-0000-0000B9010000}"/>
    <cellStyle name="Percent [2]" xfId="461" xr:uid="{00000000-0005-0000-0000-0000BA010000}"/>
    <cellStyle name="Percent_03배수공" xfId="462" xr:uid="{00000000-0005-0000-0000-0000BB010000}"/>
    <cellStyle name="Standard_Anpassen der Amortisation" xfId="463" xr:uid="{00000000-0005-0000-0000-0000BC010000}"/>
    <cellStyle name="subhead" xfId="464" xr:uid="{00000000-0005-0000-0000-0000BD010000}"/>
    <cellStyle name="testtitle" xfId="465" xr:uid="{00000000-0005-0000-0000-0000BE010000}"/>
    <cellStyle name="Total" xfId="466" xr:uid="{00000000-0005-0000-0000-0000BF010000}"/>
    <cellStyle name="W?rung [0]_Compiling Utility Macros" xfId="467" xr:uid="{00000000-0005-0000-0000-0000C0010000}"/>
    <cellStyle name="W?rung_Compiling Utility Macros" xfId="468" xr:uid="{00000000-0005-0000-0000-0000C1010000}"/>
    <cellStyle name="고정소숫점" xfId="469" xr:uid="{00000000-0005-0000-0000-0000C2010000}"/>
    <cellStyle name="고정출력1" xfId="470" xr:uid="{00000000-0005-0000-0000-0000C3010000}"/>
    <cellStyle name="고정출력2" xfId="471" xr:uid="{00000000-0005-0000-0000-0000C4010000}"/>
    <cellStyle name="날짜" xfId="472" xr:uid="{00000000-0005-0000-0000-0000C5010000}"/>
    <cellStyle name="내역서" xfId="473" xr:uid="{00000000-0005-0000-0000-0000C6010000}"/>
    <cellStyle name="달러" xfId="474" xr:uid="{00000000-0005-0000-0000-0000C7010000}"/>
    <cellStyle name="뒤에 오는 하이퍼링크_5배수공" xfId="475" xr:uid="{00000000-0005-0000-0000-0000C8010000}"/>
    <cellStyle name="똿떓죶Ø괻 [0.00]_PRODUCT DETAIL Q1" xfId="476" xr:uid="{00000000-0005-0000-0000-0000C9010000}"/>
    <cellStyle name="똿떓죶Ø괻_PRODUCT DETAIL Q1" xfId="477" xr:uid="{00000000-0005-0000-0000-0000CA010000}"/>
    <cellStyle name="똿뗦먛귟 [0.00]_PRODUCT DETAIL Q1" xfId="478" xr:uid="{00000000-0005-0000-0000-0000CB010000}"/>
    <cellStyle name="똿뗦먛귟_PRODUCT DETAIL Q1" xfId="479" xr:uid="{00000000-0005-0000-0000-0000CC010000}"/>
    <cellStyle name="묮뎋 [0.00]_PRODUCT DETAIL Q1" xfId="480" xr:uid="{00000000-0005-0000-0000-0000CD010000}"/>
    <cellStyle name="묮뎋_PRODUCT DETAIL Q1" xfId="481" xr:uid="{00000000-0005-0000-0000-0000CE010000}"/>
    <cellStyle name="믅됞 [0.00]_PRODUCT DETAIL Q1" xfId="482" xr:uid="{00000000-0005-0000-0000-0000CF010000}"/>
    <cellStyle name="믅됞_PRODUCT DETAIL Q1" xfId="483" xr:uid="{00000000-0005-0000-0000-0000D0010000}"/>
    <cellStyle name="백분율" xfId="502" builtinId="5"/>
    <cellStyle name="백분율 2" xfId="13" xr:uid="{00000000-0005-0000-0000-0000D1010000}"/>
    <cellStyle name="백분율 3" xfId="15" xr:uid="{00000000-0005-0000-0000-0000D2010000}"/>
    <cellStyle name="뷭?_BOOKSHIP" xfId="484" xr:uid="{00000000-0005-0000-0000-0000D3010000}"/>
    <cellStyle name="선택영역" xfId="485" xr:uid="{00000000-0005-0000-0000-0000D4010000}"/>
    <cellStyle name="쉼표 [0]" xfId="11" builtinId="6"/>
    <cellStyle name="쉼표 [0] 2" xfId="8" xr:uid="{00000000-0005-0000-0000-0000D6010000}"/>
    <cellStyle name="쉼표 [0] 2 2" xfId="14" xr:uid="{00000000-0005-0000-0000-0000D7010000}"/>
    <cellStyle name="쉼표 [0] 3" xfId="18" xr:uid="{00000000-0005-0000-0000-0000D8010000}"/>
    <cellStyle name="쉼표 [0]_궤도분야최종내역서(20040114)" xfId="4" xr:uid="{00000000-0005-0000-0000-0000D9010000}"/>
    <cellStyle name="쉼표 [0]_현방마을하수 - 원가계산서" xfId="7" xr:uid="{00000000-0005-0000-0000-0000DA010000}"/>
    <cellStyle name="스타일 1" xfId="486" xr:uid="{00000000-0005-0000-0000-0000DB010000}"/>
    <cellStyle name="안건회계법인" xfId="487" xr:uid="{00000000-0005-0000-0000-0000DC010000}"/>
    <cellStyle name="유1" xfId="488" xr:uid="{00000000-0005-0000-0000-0000DD010000}"/>
    <cellStyle name="일반" xfId="489" xr:uid="{00000000-0005-0000-0000-0000DE010000}"/>
    <cellStyle name="자리수" xfId="490" xr:uid="{00000000-0005-0000-0000-0000DF010000}"/>
    <cellStyle name="자리수0" xfId="491" xr:uid="{00000000-0005-0000-0000-0000E0010000}"/>
    <cellStyle name="지정되지 않음" xfId="492" xr:uid="{00000000-0005-0000-0000-0000E1010000}"/>
    <cellStyle name="콤마 [0]_ 4.하중계산  " xfId="493" xr:uid="{00000000-0005-0000-0000-0000E2010000}"/>
    <cellStyle name="콤마 [000]" xfId="494" xr:uid="{00000000-0005-0000-0000-0000E3010000}"/>
    <cellStyle name="콤마_ 4.하중계산  " xfId="495" xr:uid="{00000000-0005-0000-0000-0000E4010000}"/>
    <cellStyle name="통화 [0] 2" xfId="9" xr:uid="{00000000-0005-0000-0000-0000E5010000}"/>
    <cellStyle name="통화 [0㉝〸" xfId="496" xr:uid="{00000000-0005-0000-0000-0000E6010000}"/>
    <cellStyle name="퍼센트" xfId="497" xr:uid="{00000000-0005-0000-0000-0000E7010000}"/>
    <cellStyle name="표준" xfId="0" builtinId="0"/>
    <cellStyle name="표준 2" xfId="16" xr:uid="{00000000-0005-0000-0000-0000E9010000}"/>
    <cellStyle name="표준 2 2" xfId="10" xr:uid="{00000000-0005-0000-0000-0000EA010000}"/>
    <cellStyle name="표준 3" xfId="12" xr:uid="{00000000-0005-0000-0000-0000EB010000}"/>
    <cellStyle name="표준 4" xfId="17" xr:uid="{00000000-0005-0000-0000-0000EC010000}"/>
    <cellStyle name="標準_Akia(F）-8" xfId="498" xr:uid="{00000000-0005-0000-0000-0000ED010000}"/>
    <cellStyle name="표준_내역서 양식 및 WBS Code Sample(Rev.1) (version 1)_원가계산서_non-core 공사비" xfId="3" xr:uid="{00000000-0005-0000-0000-0000EE010000}"/>
    <cellStyle name="표준_내역서 양식 및 WBS Code Sample(Rev.1) (version 1)_원가계산서_전체원가계산서(여주하수)" xfId="2" xr:uid="{00000000-0005-0000-0000-0000EF010000}"/>
    <cellStyle name="표준_제출내역 및 원가계산 작성 지침 제공(긴급)_원가계산서_civil 공사비" xfId="5" xr:uid="{00000000-0005-0000-0000-0000F0010000}"/>
    <cellStyle name="표준_제출내역 및 원가계산 작성 지침 제공(긴급)_원가계산서_non-core 공사비" xfId="6" xr:uid="{00000000-0005-0000-0000-0000F1010000}"/>
    <cellStyle name="표준_제출내역 및 원가계산 작성 지침 제공(긴급)_원가계산서_전체원가계산서(여주하수)" xfId="1" xr:uid="{00000000-0005-0000-0000-0000F2010000}"/>
    <cellStyle name="합산" xfId="499" xr:uid="{00000000-0005-0000-0000-0000F3010000}"/>
    <cellStyle name="화폐기호" xfId="500" xr:uid="{00000000-0005-0000-0000-0000F4010000}"/>
    <cellStyle name="화폐기호0" xfId="501" xr:uid="{00000000-0005-0000-0000-0000F501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3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1DATAFILE/3&#49688;&#47049;&#49328;&#52636;&#49436;/&#50669;T&#54805;&#50745;&#48317;/&#51116;&#47308;&#51665;&#44228;&#5436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53468;\002003PROJ\&#49688;&#47049;&#49368;&#54540;\CHUNJU\&#50577;&#52492;&#49688;&#47049;\PKIDS\SURYANG\DONGC\TOP-BS\D-CHSOI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53468;\002003PROJ\&#49688;&#47049;&#49368;&#54540;\CHUNJU\&#50577;&#52492;&#49688;&#47049;\PKIDS\SURYANG\DONGC\TOP-BS\D-CHPIE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53468;\002003PROJ\&#49688;&#47049;&#49368;&#54540;\CHUNJU\&#50577;&#52492;&#49688;&#47049;\EXABUT\HAILABU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Startup" Target="My%20Documents/&#44592;&#53440;/projct/ANSAN/EXL/GONG181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053;&#50980;\&#44600;&#46972;&#51105;&#51060;\&#49345;&#46041;&#49688;&#47049;\&#52509;&#44292;\TF&#49345;&#48512;&#49688;&#4704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kt\002003proj\&#51333;&#49440;&#51060;&#44732;\EXCEL&#51089;&#50629;\&#51221;&#48372;(&#50641;&#49472;)\AHN\&#54413;&#46041;&#49688;&#47049;&#49328;&#52636;&#49436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Startup" Target="My%20Documents/&#44592;&#53440;/projct/ANSAN/EXL/gongsu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45224;&#53468;_PC\D\1Kdm\DWG-FILE\1999\&#52380;&#50504;-&#45436;&#49328;(&#49457;&#48372;&#44060;&#48156;)\excel\&#48512;&#49328;&#52397;\&#51064;&#52380;&#54617;&#51061;&#46041;%20&#46041;&#50500;&#54413;&#47548;&#50500;&#54028;&#53944;&#54788;&#5110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008;&#49892;\&#54788;&#51109;&#48324;\E\Romee\program\&#44368;&#45824;&#44228;&#49328;(Excel)\abutxls\djdg_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woo2\towoo2\001&#44608;&#44284;&#51109;&#54532;&#47196;&#51229;&#53944;\005&#44256;&#49457;&#44400;&#49688;&#54644;&#48373;&#44396;\&#44592;&#53440;&#52280;&#44256;&#51088;&#47308;\PLAN2-all\002&#49688;&#47049;&#49328;&#52636;&#49436;\04.&#44396;&#51312;&#47932;&#44277;\&#51116;&#47308;&#51665;&#44228;&#54364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ERVER\hdd4\My%20Documents\PERSONAL\Q-ty-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ungki\c\Office\&#48149;&#44592;&#49324;%20&#51089;&#50629;&#50857;\DATA\MR-BAB\&#50641;&#49472;DATA\2.&#53664;&#44277;\&#48149;&#44592;&#49324;-&#45800;&#50948;&#49688;&#4704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44397;&#54620;\&#54532;&#47196;&#51229;&#53944;\&#44608;&#53468;&#51456;%20&#51076;&#49884;&#54028;&#51068;\imsi\&#50641;&#49472;&#50696;&#49328;&#49436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woo2\towoo2\&#44032;&#54217;&#49888;&#54036;\&#49688;&#47049;&#49328;&#52636;\&#48176;&#49688;&#44277;\&#48512;&#45824;&#44277;EXCEL\&#49688;&#47049;-&#47589;\&#54840;&#45224;\&#48512;&#45824;&#44277;&#51088;&#47308;\excel\&#54788;&#51109;&#48143;&#54872;&#44221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kt\002003proj\&#51333;&#49440;&#51060;&#44732;\AHN\&#51453;&#51204;&#47532;%20&#51473;&#50521;&#50500;&#54028;&#53944;\&#50641;&#49472;\&#51453;&#51204;&#47532;&#49688;&#47049;&#49328;&#52636;&#49436;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woo2\towoo2\&#51089;&#50629;&#48169;\&#48372;&#51008;&#44400;\&#49457;&#47532;&#51652;&#51077;&#47196;\&#45225;&#54408;\&#49457;&#47532;\&#49444;&#44228;&#49436;\&#50896;&#44032;&#44228;&#49328;&#49436;(&#48156;&#51452;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689;\C\&#54620;&#44228;2&#44368;\&#49688;&#47049;\&#54620;&#44228;2&#44368;&#49688;&#47049;-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\d\W-EXCEL\&#49688;&#47049;&#49328;&#52636;&#49436;\&#45824;&#44396;&#51652;&#52380;&#49340;&#49457;AP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Startup" Target="&#51060;&#52384;&#44428;/2000FILE/&#50857;&#51064;&#50864;&#49688;&#44277;/&#49688;&#47049;&#49328;&#52636;&#49436;/U&#54805;&#54540;&#47464;&#4428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k-js\&#47196;&#52972;%20&#46356;&#49828;&#53356;%20(D)\&#45800;&#44032;\&#45800;&#44032;&#49328;&#52636;\&#53364;&#47200;&#48288;&#51060;&#49828;\&#53364;&#47200;&#48288;&#51060;&#49828;2000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woo2\towoo2\01.&#44277;&#47924;&#48512;\02.&#53664;&#50864;&#44148;&#49444;(&#51649;&#50689;&#54788;&#51109;)\02.&#51652;&#52380;&#47700;&#44032;&#54260;&#47532;&#49828;\01-2.&#46020;&#44553;&#44288;&#47144;\03.&#46020;&#44553;&#45236;&#50669;&#49436;\240321-&#46020;&#44553;&#45236;&#50669;&#49436;-&#51652;&#52380;%20&#47700;&#44032;&#54260;&#47532;&#49828;%20&#51068;&#48152;&#49328;&#50629;&#45800;&#51648;(&#51204;&#44592;&#54252;&#54632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토공집계표"/>
      <sheetName val="재료집계표"/>
      <sheetName val="현황산출서"/>
      <sheetName val="역T형옹벽수량"/>
      <sheetName val="옹벽기초자료"/>
      <sheetName val="단위수량"/>
      <sheetName val="옹벽치수표"/>
      <sheetName val="날개벽"/>
      <sheetName val="Sheet1 (2)"/>
      <sheetName val="말뚝지지력산정"/>
      <sheetName val="#REF"/>
      <sheetName val="6PILE  (돌출)"/>
      <sheetName val="보도경계블럭"/>
      <sheetName val="수량3"/>
      <sheetName val="조명시설"/>
      <sheetName val="집계표"/>
      <sheetName val="ABUT수량-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터파기및재료"/>
      <sheetName val="가도공"/>
    </sheetNames>
    <sheetDataSet>
      <sheetData sheetId="0" refreshError="1">
        <row r="3">
          <cell r="C3" t="str">
            <v>S</v>
          </cell>
          <cell r="E3" t="str">
            <v>S</v>
          </cell>
        </row>
        <row r="18">
          <cell r="C18" t="str">
            <v>S</v>
          </cell>
          <cell r="E18" t="str">
            <v>S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ABUT수량-A1"/>
      <sheetName val="기초공"/>
      <sheetName val="기둥(원형)"/>
      <sheetName val="변화치수"/>
      <sheetName val="4)유동표"/>
      <sheetName val="단위중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INPUT"/>
      <sheetName val="A1(d)"/>
      <sheetName val="A2(d) "/>
      <sheetName val="수량"/>
      <sheetName val="manual"/>
      <sheetName val="2BOX본체"/>
      <sheetName val="도장수량(하1)"/>
      <sheetName val="주형"/>
    </sheetNames>
    <sheetDataSet>
      <sheetData sheetId="0" refreshError="1"/>
      <sheetData sheetId="1" refreshError="1">
        <row r="26">
          <cell r="F26">
            <v>10.881</v>
          </cell>
          <cell r="I26">
            <v>3.5</v>
          </cell>
          <cell r="L26">
            <v>5</v>
          </cell>
        </row>
        <row r="27">
          <cell r="C27">
            <v>1.639</v>
          </cell>
          <cell r="F27">
            <v>10.364000000000001</v>
          </cell>
        </row>
        <row r="28">
          <cell r="C28">
            <v>2.5110000000000001</v>
          </cell>
          <cell r="I28">
            <v>1.8</v>
          </cell>
        </row>
        <row r="30">
          <cell r="C30">
            <v>5.1369999999999996</v>
          </cell>
        </row>
        <row r="33">
          <cell r="C33">
            <v>2.302</v>
          </cell>
        </row>
        <row r="36">
          <cell r="C36">
            <v>3.9369999999999998</v>
          </cell>
          <cell r="I36">
            <v>1.0329999999999999</v>
          </cell>
        </row>
        <row r="37">
          <cell r="I37">
            <v>3.45</v>
          </cell>
        </row>
        <row r="43">
          <cell r="I43">
            <v>0</v>
          </cell>
        </row>
        <row r="44">
          <cell r="F44">
            <v>1.3</v>
          </cell>
          <cell r="I44">
            <v>1.2</v>
          </cell>
        </row>
        <row r="45">
          <cell r="F45">
            <v>1.35</v>
          </cell>
          <cell r="I45">
            <v>0.5</v>
          </cell>
        </row>
        <row r="46">
          <cell r="I46">
            <v>0.15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간 지"/>
      <sheetName val="1.설계조건"/>
      <sheetName val="BOX 설계"/>
      <sheetName val="SAP DATA"/>
      <sheetName val="단면력 집계"/>
      <sheetName val="구체철근량"/>
      <sheetName val="사용성 검토"/>
      <sheetName val="주철근조립도"/>
      <sheetName val="말뚝지지력산정"/>
      <sheetName val="부력안정검토"/>
      <sheetName val="교각1"/>
      <sheetName val="BID"/>
      <sheetName val="매원개착터널총괄"/>
      <sheetName val="3BL공동구 수량"/>
      <sheetName val="Sheet2"/>
      <sheetName val="정부노임단가"/>
      <sheetName val="내역서 "/>
      <sheetName val="입찰안"/>
      <sheetName val="날개벽(시점좌측)"/>
      <sheetName val="H-pile(298x299)"/>
      <sheetName val="H-pile(250x250)"/>
      <sheetName val="총괄표"/>
      <sheetName val="DATA"/>
      <sheetName val="COP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집계"/>
      <sheetName val="F철근집계"/>
      <sheetName val="type-F"/>
      <sheetName val="말뚝지지력산정"/>
      <sheetName val="조명시설"/>
      <sheetName val="6PILE  (돌출)"/>
      <sheetName val="I.설계조건"/>
      <sheetName val="1.설계조건"/>
      <sheetName val="TF상부수량"/>
      <sheetName val="ABUT수량-A1"/>
      <sheetName val="3. 하중계산"/>
      <sheetName val="대비"/>
      <sheetName val="전기일위대가"/>
      <sheetName val="3련 BOX"/>
      <sheetName val="슬래브"/>
      <sheetName val="소비자가"/>
      <sheetName val="기초공"/>
      <sheetName val="기둥(원형)"/>
      <sheetName val="일위대가"/>
      <sheetName val="3.하중산정4.지지력"/>
      <sheetName val="원형맨홀수량"/>
      <sheetName val="단면가정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재집계표"/>
      <sheetName val="총수량집계표"/>
      <sheetName val="총철근량집계표(1)"/>
      <sheetName val="총철근량집계표(2)"/>
      <sheetName val="토공집계표"/>
      <sheetName val="건축구조물토공집계표"/>
      <sheetName val="토적집계표"/>
      <sheetName val="토적표"/>
      <sheetName val="몰탈"/>
      <sheetName val="포장공수량집계표"/>
      <sheetName val="칼라아스콘포장(회색)"/>
      <sheetName val="칼라아스콘포장(암적색)"/>
      <sheetName val="칼라아스콘포장(암갈색)"/>
      <sheetName val="칼라아스콘포장(녹색)"/>
      <sheetName val="고압블럭(T=6CM)"/>
      <sheetName val="보차도경계석(150-170-200)"/>
      <sheetName val="보도경계블럭"/>
      <sheetName val="L형측구"/>
      <sheetName val="감속턱"/>
      <sheetName val="차선도색(중앙선)"/>
      <sheetName val="차선도색(직각주차-5M)"/>
      <sheetName val="우수공수량집계표"/>
      <sheetName val="우수공철근량집계표"/>
      <sheetName val="우수공맨홀평균깊이"/>
      <sheetName val="PIT평균깊이"/>
      <sheetName val="우수공흄관평균깊이"/>
      <sheetName val="우수맨홀(D900)"/>
      <sheetName val="우수맨홀(D1200)"/>
      <sheetName val="PIT"/>
      <sheetName val="집수정"/>
      <sheetName val="홈통받이"/>
      <sheetName val="빗물받이(910-510-410)"/>
      <sheetName val="빗물받이(600-510-410)"/>
      <sheetName val="플륨관"/>
      <sheetName val="원심력철근관(D300) "/>
      <sheetName val="원심력철근관(D450)"/>
      <sheetName val="홈통받이연락관"/>
      <sheetName val="빗물받이연락관"/>
      <sheetName val="집수정연락관"/>
      <sheetName val="우수관보호공"/>
      <sheetName val="오수공수량집계표"/>
      <sheetName val="오수공철근량집계표"/>
      <sheetName val="오수공맨홀평균깊이"/>
      <sheetName val="오수공흄관평균깊이"/>
      <sheetName val="오수맨홀(D900)"/>
      <sheetName val="오수받이(600-510-410)"/>
      <sheetName val="오수원심력철근관(D300)"/>
      <sheetName val="오수받이연락관"/>
      <sheetName val="오수관보호공"/>
      <sheetName val="상수도공수량집계표"/>
      <sheetName val="상수도공철근량집계표"/>
      <sheetName val="제수변실(1.40-1.80)"/>
      <sheetName val="주철관(D32)"/>
      <sheetName val="주철관(D150)"/>
      <sheetName val="공동구공수량집계표"/>
      <sheetName val="공동구공철근량집계표"/>
      <sheetName val="공동구(1.80-1.80)"/>
      <sheetName val="흙막이평면"/>
      <sheetName val="흙막이토공(1)"/>
      <sheetName val="흙막이토공(2)"/>
      <sheetName val="흙막이토공(3)"/>
      <sheetName val="흙막이토공(4)"/>
      <sheetName val="흙막이공총수량집계표"/>
      <sheetName val="흙막이수량집계표(LINE-A)"/>
      <sheetName val="흙막이(LINE-A)"/>
      <sheetName val="흙막이수량집계표(LINE-B)"/>
      <sheetName val="흙막이(LINE-B)"/>
      <sheetName val="기초공"/>
      <sheetName val="기둥(원형)"/>
      <sheetName val="type-F"/>
      <sheetName val="터파기및재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토적집계표"/>
      <sheetName val="토적표"/>
      <sheetName val="3BL공동구 수량"/>
      <sheetName val="3BL수량집계"/>
      <sheetName val="45BL공동구수량"/>
      <sheetName val="50BL공동구 수량 "/>
      <sheetName val="45,50BL수량집계"/>
      <sheetName val="수량집계표"/>
      <sheetName val="보도경계블럭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간 지"/>
      <sheetName val="상다㎡당 단가"/>
      <sheetName val="토공산출근거"/>
      <sheetName val="블럭물량산출근거"/>
      <sheetName val="토공물량산출근거"/>
      <sheetName val="블럭그리드산출근거"/>
      <sheetName val="총괄수량집계표"/>
      <sheetName val="일위대가표  (2)"/>
      <sheetName val="견적서  (2)"/>
      <sheetName val="시방서"/>
      <sheetName val="구조계산서"/>
      <sheetName val="영문구조계산"/>
      <sheetName val="견적서  (3)"/>
      <sheetName val="견적"/>
      <sheetName val="일위대가"/>
      <sheetName val="단가산출"/>
      <sheetName val="노임단가"/>
      <sheetName val="적용기준"/>
      <sheetName val="장비집계"/>
      <sheetName val="장비단가"/>
      <sheetName val="Sheet2"/>
      <sheetName val="Sheet3"/>
      <sheetName val="관경별내역서"/>
      <sheetName val="말뚝지지력산정"/>
      <sheetName val="Sheet1"/>
      <sheetName val="#REF"/>
      <sheetName val="2003상반기노임기준"/>
      <sheetName val="조명시설"/>
      <sheetName val="일위대가 "/>
      <sheetName val="토사(PE)"/>
      <sheetName val="토목검측서"/>
      <sheetName val="6호기"/>
      <sheetName val="물가시세"/>
      <sheetName val="Sheet1 (2)"/>
      <sheetName val="산정표"/>
      <sheetName val="덤프운반거리산출(토)"/>
      <sheetName val="덤프운반거리산출(풍)"/>
      <sheetName val="덤프운반거리산출(연)"/>
      <sheetName val="쌍송교"/>
      <sheetName val="맨홀수량집계"/>
      <sheetName val="집수정(600-700)"/>
      <sheetName val="보도경계블럭"/>
      <sheetName val="H-PILE수량집계"/>
      <sheetName val="수량산출"/>
      <sheetName val="LP-S"/>
      <sheetName val="단위중량"/>
      <sheetName val="신림자금"/>
      <sheetName val="원가계산"/>
      <sheetName val="간_지"/>
      <sheetName val="상다㎡당_단가"/>
      <sheetName val="일위대가표__(2)"/>
      <sheetName val="견적서__(2)"/>
      <sheetName val="견적서__(3)"/>
      <sheetName val="바닥판"/>
      <sheetName val="입력DATA"/>
      <sheetName val="단위수량"/>
      <sheetName val="계정"/>
      <sheetName val="식생블럭단위수량"/>
      <sheetName val="역T형교대(말뚝기초)"/>
      <sheetName val="을지"/>
      <sheetName val="기둥(원형)"/>
      <sheetName val="인천학익동 동아풍림아파트현장"/>
      <sheetName val="BQ"/>
      <sheetName val="터파기및재료"/>
      <sheetName val="입력란"/>
      <sheetName val="97노임단가"/>
      <sheetName val="3BL공동구 수량"/>
      <sheetName val="8.석축단위(H=1.5M)"/>
      <sheetName val="갑지"/>
      <sheetName val="가도공"/>
      <sheetName val="지장물C"/>
      <sheetName val="우수공"/>
      <sheetName val="DATA"/>
      <sheetName val="해평견적"/>
      <sheetName val="설계내역"/>
      <sheetName val="실행대비"/>
      <sheetName val="SORCE1"/>
      <sheetName val="가시설단위수량"/>
      <sheetName val="대비"/>
      <sheetName val="표지"/>
      <sheetName val="1호맨홀수량산출"/>
      <sheetName val="BID"/>
      <sheetName val="데리네이타현황"/>
      <sheetName val="기초단가"/>
      <sheetName val="WORK"/>
      <sheetName val="단면가정"/>
      <sheetName val="예산서"/>
      <sheetName val="ITEM"/>
      <sheetName val="옹벽기초자료"/>
      <sheetName val="현황산출서"/>
      <sheetName val="플랜트 설치"/>
      <sheetName val="화성태안9공구내역(실행)"/>
      <sheetName val="일위대가목록"/>
      <sheetName val="내역서(전기)"/>
      <sheetName val="2000년1차"/>
      <sheetName val="조명율표"/>
      <sheetName val="램프"/>
      <sheetName val="내역서"/>
      <sheetName val="중기조종사 단위단가"/>
      <sheetName val="상시"/>
      <sheetName val="INPUT"/>
      <sheetName val="부대내역"/>
      <sheetName val="대로근거"/>
      <sheetName val="중로근거"/>
      <sheetName val="실행철강하도"/>
      <sheetName val="N賃率-職"/>
      <sheetName val="미드수량"/>
      <sheetName val="토공집계표"/>
      <sheetName val="일위대가표"/>
      <sheetName val="ABUT수량-A1"/>
      <sheetName val="정공공사"/>
      <sheetName val="보차도경계석"/>
      <sheetName val="공사설명서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형상"/>
      <sheetName val="조건표"/>
      <sheetName val="관련자료입력"/>
      <sheetName val="장비일위대가2002하"/>
      <sheetName val="설계조건"/>
      <sheetName val="입력자료"/>
      <sheetName val="내역서1999.8최종"/>
      <sheetName val="일반맨홀수량집계(A-7 LINE)"/>
      <sheetName val="일반맨홀수량집계"/>
      <sheetName val="DATE"/>
      <sheetName val="준검 내역서"/>
      <sheetName val="관급자재"/>
      <sheetName val="그라우팅일위"/>
      <sheetName val="소야공정계획표"/>
      <sheetName val="오산갈곳"/>
      <sheetName val="아파트 내역"/>
      <sheetName val="주빔의 설계"/>
      <sheetName val="자재단가"/>
      <sheetName val="b_balju_cho"/>
      <sheetName val="MOTOR"/>
      <sheetName val="내역"/>
      <sheetName val="건축내역"/>
      <sheetName val="용역비내역-진짜"/>
      <sheetName val="중기사용료산출근거"/>
      <sheetName val="단가산출2"/>
      <sheetName val="단가 및 재료비"/>
      <sheetName val="빗물받이(910-510-410)"/>
      <sheetName val="원형맨홀수량"/>
      <sheetName val="포장총괄집계표"/>
      <sheetName val="3련 BOX"/>
      <sheetName val="A-4"/>
      <sheetName val="법면단"/>
      <sheetName val="RAHMEN"/>
      <sheetName val="구조물공 수량집계표"/>
      <sheetName val="기초공"/>
      <sheetName val="일위-1"/>
      <sheetName val="상호참고자료"/>
      <sheetName val="발주처자료입력"/>
      <sheetName val="회사기본자료"/>
      <sheetName val="하자보증자료"/>
      <sheetName val="기술자관련자료"/>
      <sheetName val="FOB발"/>
      <sheetName val="실행"/>
      <sheetName val="계약서"/>
      <sheetName val="조내역"/>
      <sheetName val="산출기준 (2)"/>
      <sheetName val="일위산출"/>
      <sheetName val="수량3"/>
      <sheetName val="T13(P68~72,78)"/>
      <sheetName val="우수받이"/>
      <sheetName val="원형1호맨홀토공수량"/>
      <sheetName val="단가"/>
      <sheetName val="시설물일위"/>
      <sheetName val="L형옹벽(key)"/>
      <sheetName val="변화치수"/>
      <sheetName val="가로수분설치현황"/>
      <sheetName val="인부노임"/>
      <sheetName val="산업개발안내서"/>
      <sheetName val="type-F"/>
      <sheetName val="기초견적가"/>
      <sheetName val="정부노임단가"/>
      <sheetName val="내역표지"/>
      <sheetName val="여과지동"/>
      <sheetName val="기초자료"/>
      <sheetName val="3연box"/>
      <sheetName val="Studio"/>
      <sheetName val="수목단가"/>
      <sheetName val="시설수량표"/>
      <sheetName val="식재수량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명서"/>
      <sheetName val="설계조건"/>
      <sheetName val="안정계산"/>
      <sheetName val="말뚝설계"/>
      <sheetName val="단면검토"/>
      <sheetName val="교좌받침부"/>
      <sheetName val="날개벽(TYPE1)"/>
      <sheetName val="날개벽(TYPE2)"/>
      <sheetName val="날개벽(TYPE3)"/>
      <sheetName val="접속슬래브"/>
      <sheetName val="DATA"/>
      <sheetName val="구조계산서"/>
      <sheetName val="반력산정"/>
      <sheetName val="1표지"/>
      <sheetName val="2계산서서론부"/>
      <sheetName val="3CHBDC"/>
      <sheetName val="4반력산정"/>
      <sheetName val="Stem Footing"/>
      <sheetName val="단면(RW1)"/>
      <sheetName val="1.설계조건"/>
      <sheetName val="MOTOR"/>
      <sheetName val="djdg_A"/>
      <sheetName val="교각1"/>
      <sheetName val="범례"/>
      <sheetName val="손익분기점 데이터"/>
      <sheetName val="1.포항"/>
      <sheetName val="현황산출서"/>
      <sheetName val="주형"/>
      <sheetName val="입력DATA"/>
      <sheetName val="바닥판"/>
      <sheetName val="사용성검토"/>
      <sheetName val="3련 BOX"/>
      <sheetName val="보도경계블럭"/>
      <sheetName val="단위중량"/>
      <sheetName val="계단"/>
      <sheetName val="장비집계"/>
      <sheetName val="ABUT수량-A1"/>
      <sheetName val="당초"/>
      <sheetName val="Pier 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재료집계표"/>
      <sheetName val="현황산출서"/>
      <sheetName val="역T형옹벽수량"/>
      <sheetName val="옹벽기초자료"/>
      <sheetName val="단위수량"/>
      <sheetName val="옹벽치수표"/>
      <sheetName val="설계조건"/>
    </sheetNames>
    <sheetDataSet>
      <sheetData sheetId="0"/>
      <sheetData sheetId="1">
        <row r="25">
          <cell r="D25">
            <v>20</v>
          </cell>
        </row>
      </sheetData>
      <sheetData sheetId="2"/>
      <sheetData sheetId="3">
        <row r="5">
          <cell r="D5" t="str">
            <v>25-240-15</v>
          </cell>
        </row>
      </sheetData>
      <sheetData sheetId="4"/>
      <sheetData sheetId="5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우수"/>
      <sheetName val="오수"/>
      <sheetName val="포장"/>
      <sheetName val="우수철근"/>
      <sheetName val="오수철근"/>
      <sheetName val="총수량 집계표"/>
      <sheetName val="총철근"/>
      <sheetName val="자재집게표 "/>
      <sheetName val="총수량집계표 "/>
      <sheetName val="총철근량집계표"/>
      <sheetName val="이음몰탈"/>
      <sheetName val="옹벽공 수량집계표"/>
      <sheetName val="철근집계표"/>
      <sheetName val="내역서적용수량 (지방도893)"/>
      <sheetName val="하수급견적대비"/>
      <sheetName val="Sheet1"/>
      <sheetName val="3.바닥판설계"/>
      <sheetName val="본체"/>
      <sheetName val="플랜트 설치"/>
      <sheetName val="부대내역"/>
      <sheetName val="JUCKEYK"/>
      <sheetName val="5.전사투자계획종함안"/>
      <sheetName val="#REF"/>
      <sheetName val="대공종"/>
      <sheetName val="내역서"/>
      <sheetName val="IBASE"/>
      <sheetName val="말뚝기초"/>
      <sheetName val="합계금액"/>
      <sheetName val="설계조건"/>
      <sheetName val="옹벽"/>
      <sheetName val="Q-ty-1"/>
      <sheetName val="woo(mac)"/>
      <sheetName val="노임"/>
      <sheetName val="기둥(원형)"/>
      <sheetName val="태화42 "/>
      <sheetName val="3차설계"/>
      <sheetName val="주형"/>
      <sheetName val="8. 안정검토"/>
      <sheetName val="터널조도"/>
      <sheetName val="Sheet2"/>
      <sheetName val="실행철강하도"/>
      <sheetName val="6PILE  (돌출)"/>
      <sheetName val="수량산출"/>
      <sheetName val="DATA"/>
      <sheetName val="3BL공동구 수량"/>
      <sheetName val="Sheet1 (2)"/>
      <sheetName val="ABUT수량-A1"/>
      <sheetName val="tggwan(mac)"/>
      <sheetName val="工완성공사율"/>
      <sheetName val="인건-측정"/>
      <sheetName val="I一般比"/>
      <sheetName val="개략"/>
      <sheetName val="통합"/>
      <sheetName val="토적집계"/>
      <sheetName val="H-PILE수량집계"/>
      <sheetName val="STBOX"/>
      <sheetName val="일위"/>
      <sheetName val="DATE"/>
      <sheetName val="수안보-MBR1"/>
      <sheetName val="실행비교"/>
      <sheetName val="단가비교표"/>
      <sheetName val="COVER"/>
      <sheetName val="견적서(대외) (2)"/>
      <sheetName val="총계"/>
      <sheetName val="과천MAIN"/>
      <sheetName val="INPUT"/>
      <sheetName val="2-1포천(각세)(외제)"/>
      <sheetName val="터파기및재료"/>
      <sheetName val="단면검토"/>
      <sheetName val="원형1호맨홀토공수량"/>
      <sheetName val="종배수관"/>
      <sheetName val="정부노임단가"/>
      <sheetName val="2"/>
      <sheetName val="수로BOX"/>
      <sheetName val="조건표"/>
      <sheetName val="우각부보강"/>
      <sheetName val="POOM_MOTO"/>
      <sheetName val="POOM_MOTO2"/>
      <sheetName val="내역"/>
      <sheetName val="JUCK"/>
      <sheetName val="평가데이터"/>
      <sheetName val="착공내역서"/>
      <sheetName val="총수량집계표"/>
      <sheetName val="정부노임(2000.상)"/>
      <sheetName val="여흥"/>
      <sheetName val="하도급원가계산총괄표(식재)"/>
      <sheetName val="교각계산"/>
      <sheetName val="수량"/>
      <sheetName val="1.설계기준"/>
      <sheetName val="총수량_집계표"/>
      <sheetName val="자재집게표_"/>
      <sheetName val="총수량집계표_"/>
      <sheetName val="옹벽공_수량집계표"/>
      <sheetName val="LU"/>
      <sheetName val="인원"/>
      <sheetName val="기별(종합)"/>
      <sheetName val="설계예산서(출력하지마세요)"/>
      <sheetName val="기초자료"/>
      <sheetName val="단위중량"/>
      <sheetName val="¿ì¼ö"/>
      <sheetName val="¿À¼ö"/>
      <sheetName val="Æ÷Àå"/>
      <sheetName val="¿ì¼öÃ¶±Ù"/>
      <sheetName val="¿À¼öÃ¶±Ù"/>
      <sheetName val="ÃÑ¼ö·® Áý°èÇ¥"/>
      <sheetName val="ÃÑÃ¶±Ù"/>
      <sheetName val="ÀÚÀçÁý°ÔÇ¥ "/>
      <sheetName val="ÃÑ¼ö·®Áý°èÇ¥ "/>
      <sheetName val="ÃÑÃ¶±Ù·®Áý°èÇ¥"/>
      <sheetName val="ÀÌÀ½¸ôÅ»"/>
      <sheetName val="¿Ëº®°ø ¼ö·®Áý°èÇ¥"/>
      <sheetName val="Ã¶±ÙÁý°èÇ¥"/>
      <sheetName val="오수공수량집계표"/>
      <sheetName val="철근량 검토"/>
      <sheetName val="연결임시"/>
      <sheetName val="MOTOR"/>
      <sheetName val="설"/>
      <sheetName val="맨홀방수수량(변경)"/>
      <sheetName val="공사진행"/>
      <sheetName val="굴착깊이(주배관)"/>
      <sheetName val="보도경계블럭"/>
      <sheetName val="수로단위수량"/>
      <sheetName val="COPING"/>
      <sheetName val="Sheet6"/>
      <sheetName val="교각1"/>
      <sheetName val="수량집계"/>
      <sheetName val="단면가정"/>
      <sheetName val="전체도급"/>
      <sheetName val="6작업1"/>
      <sheetName val="2000년1차"/>
      <sheetName val="입찰안"/>
      <sheetName val="2000전체분"/>
      <sheetName val="03하반기내역서"/>
      <sheetName val="04상반기"/>
      <sheetName val="Sheet17"/>
      <sheetName val="__MAIN"/>
      <sheetName val="토공분배표"/>
      <sheetName val="설직재-1"/>
      <sheetName val="제-노임"/>
      <sheetName val="제직재"/>
      <sheetName val="평당자료"/>
      <sheetName val="맨홀수량집계"/>
      <sheetName val="적점"/>
      <sheetName val="세목전체"/>
      <sheetName val="Stem Footing"/>
      <sheetName val="설비"/>
      <sheetName val="ⴭⴭⴭⴭ"/>
      <sheetName val="부하(성남)"/>
      <sheetName val="개발운영비청구"/>
      <sheetName val="계단단위수량"/>
      <sheetName val="TYPE-A"/>
      <sheetName val="3.하중산정4.지지력"/>
      <sheetName val="Pier 3"/>
      <sheetName val="빌딩 안내"/>
      <sheetName val="U형수로(1)"/>
      <sheetName val="적격"/>
      <sheetName val="지급자재"/>
      <sheetName val="현황산출서"/>
      <sheetName val="옹벽기초자료"/>
      <sheetName val="말뚝지지력산정"/>
      <sheetName val="인건비"/>
      <sheetName val="직노"/>
      <sheetName val="3련 BOX"/>
      <sheetName val="바닥판"/>
      <sheetName val="영업소실적"/>
      <sheetName val="조건"/>
      <sheetName val="가설건물"/>
      <sheetName val="날개벽"/>
      <sheetName val="기초공"/>
      <sheetName val="조도계산서 (도서)"/>
      <sheetName val="관경결정"/>
      <sheetName val="TYPE-B 평균H"/>
      <sheetName val="집계표"/>
      <sheetName val="첨4"/>
      <sheetName val="예정(3)"/>
      <sheetName val="동원(3)"/>
      <sheetName val="물가시세"/>
      <sheetName val="수량3"/>
      <sheetName val="결합부검토"/>
      <sheetName val="기초계산(Pmax)"/>
      <sheetName val="단면치수"/>
      <sheetName val="집수정(600-700)"/>
      <sheetName val="2000노임기준"/>
      <sheetName val="노임단가"/>
      <sheetName val="전체내역 (2)"/>
      <sheetName val="조명시설"/>
      <sheetName val="WORK"/>
      <sheetName val="설계"/>
      <sheetName val="화재 탐지 설비"/>
      <sheetName val="보차도경계석"/>
      <sheetName val="간지-배수공"/>
      <sheetName val="고창방향"/>
      <sheetName val="횡분배정리(DB)"/>
      <sheetName val="H PILE수량"/>
      <sheetName val="VXXXXX"/>
      <sheetName val="guard(mac)"/>
      <sheetName val="소상 &quot;1&quot;"/>
      <sheetName val="Project Brief"/>
      <sheetName val="토목"/>
      <sheetName val="t형"/>
      <sheetName val="BOX"/>
      <sheetName val="대가표(품셈)"/>
      <sheetName val="기둥"/>
      <sheetName val="횡수량조서"/>
      <sheetName val="건축내역"/>
      <sheetName val="당초"/>
      <sheetName val="터파기"/>
      <sheetName val="공종단가"/>
      <sheetName val="지출결의서(1-3)"/>
      <sheetName val="전기일위대가"/>
      <sheetName val="L_RPTA05_목록"/>
      <sheetName val="변화치수"/>
      <sheetName val="Macro1"/>
      <sheetName val="Piping Design Data"/>
      <sheetName val="을"/>
      <sheetName val="경희대"/>
      <sheetName val="전기내역"/>
      <sheetName val="우수공"/>
      <sheetName val="단면 (2)"/>
      <sheetName val="금액내역서"/>
      <sheetName val="BSD _2_"/>
      <sheetName val="3BL공동구_수량"/>
      <sheetName val="견적서(대외)_(2)"/>
      <sheetName val="내역서적용수량_(지방도893)"/>
      <sheetName val="Pier_3"/>
      <sheetName val="5_전사투자계획종함안"/>
      <sheetName val="3_바닥판설계"/>
      <sheetName val="태화42_"/>
      <sheetName val="BSD__2_"/>
      <sheetName val="Sheet1_(2)"/>
      <sheetName val="ÃÑ¼ö·®_Áý°èÇ¥"/>
      <sheetName val="ÀÚÀçÁý°ÔÇ¥_"/>
      <sheetName val="ÃÑ¼ö·®Áý°èÇ¥_"/>
      <sheetName val="¿Ëº®°ø_¼ö·®Áý°èÇ¥"/>
      <sheetName val="6PILE__(돌출)"/>
      <sheetName val="빌딩_안내"/>
      <sheetName val="Stem_Footing"/>
      <sheetName val="날개벽(시점좌측)"/>
      <sheetName val="통과가능량(수로) (2)"/>
      <sheetName val="품셈TABLE"/>
      <sheetName val="개요"/>
      <sheetName val="0131"/>
      <sheetName val="자압1"/>
      <sheetName val="PARAMETER"/>
      <sheetName val="LEGEND"/>
      <sheetName val="준공갑지"/>
      <sheetName val="현금"/>
      <sheetName val="FOOTING단면력"/>
      <sheetName val="BOX(1.5X1.5)"/>
      <sheetName val="부하계산서"/>
      <sheetName val="일위대가"/>
      <sheetName val="일위대가(계측기설치)"/>
      <sheetName val="1SPAN"/>
      <sheetName val="택지성격총괄"/>
      <sheetName val="표지판단위"/>
      <sheetName val="조작대(1연)"/>
      <sheetName val="교대토공종점"/>
      <sheetName val="L형옹벽측구"/>
      <sheetName val="사용성검토"/>
      <sheetName val="특별교실"/>
      <sheetName val="A공구"/>
      <sheetName val="노무비"/>
      <sheetName val="nys"/>
      <sheetName val="중기손료"/>
      <sheetName val="간지"/>
      <sheetName val="강재집계(오수관정비)"/>
      <sheetName val="흙막이 집계"/>
      <sheetName val="가시설토공집계"/>
      <sheetName val="가시설 토공"/>
      <sheetName val="조립식PC맨홀높이"/>
      <sheetName val="A-LINE"/>
      <sheetName val="B-LINE"/>
      <sheetName val="C-LINE"/>
      <sheetName val="D-LINE"/>
      <sheetName val="E-LINE"/>
      <sheetName val="E1-LINE"/>
      <sheetName val="VXXXXXXX"/>
      <sheetName val="표지"/>
      <sheetName val="시공계획"/>
      <sheetName val="골조시행"/>
      <sheetName val="BID"/>
      <sheetName val="실행자재"/>
      <sheetName val="자압"/>
      <sheetName val="기준액"/>
      <sheetName val="토사(PE)"/>
      <sheetName val="진로도급"/>
      <sheetName val="노원열병합  건축공사기성내역서"/>
      <sheetName val="Y-WORK"/>
      <sheetName val="공사개요"/>
      <sheetName val="미지급명세서"/>
      <sheetName val="경리주보"/>
      <sheetName val="건축공사"/>
      <sheetName val="Total"/>
      <sheetName val="적용단위길이"/>
      <sheetName val="종배수관(신)"/>
      <sheetName val="금호산업"/>
      <sheetName val="단가"/>
      <sheetName val="견적대비표"/>
      <sheetName val="갑지"/>
      <sheetName val="001"/>
      <sheetName val="PROCESS"/>
      <sheetName val="방음벽기초"/>
      <sheetName val="969910( R)"/>
      <sheetName val="설계내역서"/>
      <sheetName val="역T형교대(말뚝기초)"/>
      <sheetName val="단위수량"/>
      <sheetName val="가시설수량"/>
      <sheetName val="설계기준"/>
      <sheetName val="총괄내역서"/>
      <sheetName val="5.모델링"/>
      <sheetName val="Sheet3"/>
      <sheetName val="발주서류"/>
      <sheetName val="2.2.2입적표"/>
      <sheetName val="충주"/>
      <sheetName val="98지급계획"/>
      <sheetName val="MACRO(전선관)"/>
      <sheetName val="기계경비"/>
      <sheetName val="신당동집계표"/>
      <sheetName val="날개벽수량표"/>
      <sheetName val="TYPE-1"/>
      <sheetName val="토목품셈"/>
      <sheetName val="산근"/>
      <sheetName val="가도공"/>
      <sheetName val="유기공정"/>
      <sheetName val="기계경비 (2)"/>
      <sheetName val="산출내역서"/>
      <sheetName val="1호맨홀토공"/>
      <sheetName val="참조(2)"/>
      <sheetName val="참조"/>
      <sheetName val="사급자재"/>
      <sheetName val="본장"/>
      <sheetName val="장비집계"/>
      <sheetName val="내역표지"/>
      <sheetName val="부속동"/>
      <sheetName val="참조 (2)"/>
      <sheetName val="NOMUBI"/>
      <sheetName val="sw1"/>
      <sheetName val="예산서"/>
      <sheetName val="흄관기초"/>
      <sheetName val="1을"/>
      <sheetName val="ITEM"/>
      <sheetName val="각종단가"/>
      <sheetName val="TC표지"/>
      <sheetName val="RD제품개발투자비(매가)"/>
      <sheetName val="견적보고"/>
      <sheetName val="송도(A3)-가야"/>
      <sheetName val="자료입력"/>
      <sheetName val="맨홀평균높이"/>
      <sheetName val="기둥(하중)"/>
      <sheetName val="옹벽수량집계표"/>
      <sheetName val="CRUDE RE-bar"/>
      <sheetName val="교각(P1)수량"/>
      <sheetName val="SELTDATA"/>
      <sheetName val="A-4"/>
      <sheetName val="특2호하천산근"/>
      <sheetName val="특2호부관하천산근"/>
      <sheetName val="O실보"/>
      <sheetName val="규준틀"/>
      <sheetName val="역T형옹벽(3.0)"/>
      <sheetName val="흙쌓기도수로설치현황"/>
      <sheetName val="1-1"/>
      <sheetName val="토공1차"/>
      <sheetName val="가시설(3.0m이하 D80)"/>
      <sheetName val="시험장S자로가로등공사"/>
      <sheetName val="PLC B-M"/>
      <sheetName val="견적서"/>
      <sheetName val="PCSDB1"/>
      <sheetName val="고객_ONE그래프"/>
      <sheetName val="PCSDB2"/>
      <sheetName val="PUSDB1"/>
      <sheetName val="과금_ONE그래프"/>
      <sheetName val="PUSDB2"/>
      <sheetName val="PUSDB3"/>
      <sheetName val="PUSDB4"/>
      <sheetName val="가공비"/>
      <sheetName val="산재 안전"/>
      <sheetName val="노무비 경비"/>
      <sheetName val="빗물받이(910-510-410)"/>
      <sheetName val="데이타"/>
      <sheetName val="c_balju"/>
      <sheetName val="단가산출서"/>
      <sheetName val="MFAB"/>
      <sheetName val="MFRT"/>
      <sheetName val="MPKG"/>
      <sheetName val="MPRD"/>
      <sheetName val="8.PILE  (돌출)"/>
      <sheetName val="J형측구단위수량"/>
      <sheetName val="Payout"/>
      <sheetName val="FAB별"/>
      <sheetName val="CALCULATION"/>
      <sheetName val="도장 및 용접 수량"/>
      <sheetName val="wall"/>
      <sheetName val="대창(함평)"/>
      <sheetName val="99노임기준"/>
      <sheetName val="단가대비표"/>
      <sheetName val="증감대비"/>
      <sheetName val="안정계산"/>
      <sheetName val="TOTAL_BOQ"/>
      <sheetName val="설명"/>
      <sheetName val="견적-내역"/>
      <sheetName val="INSTR"/>
      <sheetName val="기성갑지"/>
      <sheetName val="Formulas &amp; Tables"/>
      <sheetName val="ilch"/>
      <sheetName val="J直材4"/>
      <sheetName val="3.공통공사대비"/>
      <sheetName val="토공(우물통,기타) "/>
      <sheetName val="제잡비집계"/>
      <sheetName val="메크로 연습"/>
      <sheetName val="산정표"/>
      <sheetName val="건축집계합계"/>
      <sheetName val="건축집계표이수"/>
      <sheetName val="당정동공통이수"/>
      <sheetName val="당정동경상이수"/>
      <sheetName val="토공A"/>
      <sheetName val="토공(완충)"/>
      <sheetName val="적정심사"/>
      <sheetName val="POST COL. 일위대가_호표"/>
      <sheetName val="예정_3_"/>
      <sheetName val="동원_3_"/>
      <sheetName val="맨홀수량산출"/>
      <sheetName val="사진대지"/>
      <sheetName val="품셈"/>
      <sheetName val="마포토정"/>
      <sheetName val="관연장산출"/>
      <sheetName val="BCK3672"/>
      <sheetName val="도체종-상수표"/>
      <sheetName val="A2"/>
      <sheetName val="맨홀수량"/>
      <sheetName val="배력철근산정"/>
      <sheetName val="RAHMEN"/>
      <sheetName val="48일위"/>
      <sheetName val="산출기초"/>
      <sheetName val="인원투입계획(실행)"/>
      <sheetName val="경상비내역"/>
      <sheetName val="부대비내역"/>
      <sheetName val="대창(장성)"/>
      <sheetName val="대창(함평)-창열"/>
      <sheetName val="트렌치집계"/>
      <sheetName val="링크해지용"/>
      <sheetName val="가중치산출근거(가동중검사용역)"/>
      <sheetName val="가중치산출근거(추가1,2)"/>
      <sheetName val="예정공정표(총괄)"/>
      <sheetName val="가중치산출근거(보조용역)"/>
      <sheetName val="200"/>
      <sheetName val="도장수량(하1)"/>
      <sheetName val="파이프"/>
      <sheetName val="안정검토(온1)"/>
      <sheetName val="쌍송교"/>
      <sheetName val="예방접종계획"/>
      <sheetName val="버스운행안내"/>
      <sheetName val="근태계획서"/>
      <sheetName val="Macro2"/>
      <sheetName val="소비자가"/>
      <sheetName val="20변경안"/>
      <sheetName val="000000"/>
      <sheetName val="자재시세표"/>
      <sheetName val="데리네이타현황"/>
      <sheetName val="Area"/>
      <sheetName val="공통단가"/>
      <sheetName val="운반비"/>
      <sheetName val="차액보증"/>
      <sheetName val="가설공사내역"/>
      <sheetName val="401"/>
      <sheetName val="주식"/>
      <sheetName val="원가총괄"/>
      <sheetName val="재료비"/>
      <sheetName val="을 2"/>
      <sheetName val="을 1"/>
      <sheetName val="준공검사원"/>
      <sheetName val="8.2TON"/>
      <sheetName val="자재집계표"/>
      <sheetName val="말뚝설계"/>
      <sheetName val="조도계산서"/>
      <sheetName val="제원"/>
      <sheetName val="암거단위"/>
      <sheetName val="역T형"/>
      <sheetName val="일반공사"/>
      <sheetName val="매출예산96"/>
      <sheetName val="확정실적"/>
      <sheetName val="내역(영일)"/>
      <sheetName val="매입세율"/>
      <sheetName val="원가계산서"/>
      <sheetName val="투찰"/>
      <sheetName val="Baby일위대가"/>
      <sheetName val="일위(PN)"/>
      <sheetName val="일반수량집계"/>
      <sheetName val="문학터널-9255(관보고-실)"/>
      <sheetName val="현황CODE"/>
      <sheetName val="손익현황"/>
      <sheetName val="입력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횡배수관토공단위(180)"/>
      <sheetName val="횡배수관토공단위(90)"/>
      <sheetName val="tggwan(mac)"/>
      <sheetName val="ABUT수량-A1"/>
      <sheetName val="우수"/>
      <sheetName val="가도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개략"/>
      <sheetName val="이치-각평"/>
      <sheetName val="이치각평내역서"/>
      <sheetName val="적용수량 (3)"/>
      <sheetName val="적용수량 (2)"/>
      <sheetName val="주요1"/>
      <sheetName val="시,모산출"/>
      <sheetName val="주요2"/>
      <sheetName val="이월"/>
      <sheetName val="부대공집계"/>
      <sheetName val="본선도색제거집계 (3)"/>
      <sheetName val="갈매기표지판연장"/>
      <sheetName val="갈매기집계"/>
      <sheetName val="갈매기설치"/>
      <sheetName val="표지판현황"/>
      <sheetName val="데리네이터수량 (4)"/>
      <sheetName val="데리네이터수량 (3)"/>
      <sheetName val="데리네이터수량 (2)"/>
      <sheetName val="데리네이터수량"/>
      <sheetName val="데리네이터현황 (2)"/>
      <sheetName val="데리네이터현황"/>
      <sheetName val="규제봉집계"/>
      <sheetName val="규제봉현황"/>
      <sheetName val="중앙표지병"/>
      <sheetName val="표지병단위 (2)"/>
      <sheetName val="표지병단위"/>
      <sheetName val="표지병집계 (3)"/>
      <sheetName val="표지병집계 (2)"/>
      <sheetName val="표지병집계"/>
      <sheetName val="가드레일설치"/>
      <sheetName val="가드레일설치 (2)"/>
      <sheetName val="가드레일집계 (2)"/>
      <sheetName val="가드레일집계 (3)"/>
      <sheetName val="가드레일집계"/>
      <sheetName val="폐기물"/>
      <sheetName val="과속조서"/>
      <sheetName val="과속단위"/>
      <sheetName val="과속집계"/>
      <sheetName val="과속수량산출"/>
      <sheetName val="간지"/>
      <sheetName val="노면집계"/>
      <sheetName val="표지판수량집계 (3)"/>
      <sheetName val="표지판수량집계 (2)"/>
      <sheetName val="표지판수량집계"/>
      <sheetName val="표지판조서 (2)"/>
      <sheetName val="표지판조서"/>
      <sheetName val="표지판기초 (2)"/>
      <sheetName val="도색수량집계"/>
      <sheetName val="차선도색수량집계"/>
      <sheetName val="차선도색설치조서"/>
      <sheetName val="노면표시수량집계"/>
      <sheetName val="노면표시설치조서"/>
      <sheetName val="안전지대수량집계"/>
      <sheetName val="안전지대설치조서"/>
      <sheetName val="횡단보도수량집계"/>
      <sheetName val="횡단보도설치조서"/>
      <sheetName val="차선도색산출근거"/>
      <sheetName val="간지-1"/>
      <sheetName val="tggwan(mac)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가설건물"/>
      <sheetName val="시추조사비"/>
      <sheetName val="측량조사수량산출근거"/>
      <sheetName val="측량수량집계"/>
      <sheetName val="가도공"/>
      <sheetName val="precast"/>
      <sheetName val="감독차량비"/>
      <sheetName val="시험비(선정)"/>
      <sheetName val="시험비(관리)"/>
      <sheetName val="교통관리비"/>
      <sheetName val="가도표지판"/>
      <sheetName val="개략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재집계표"/>
      <sheetName val="총수량집계표"/>
      <sheetName val="총철근량집계표"/>
      <sheetName val="토적집계표"/>
      <sheetName val="토적표"/>
      <sheetName val="토공집계표"/>
      <sheetName val="몰탈"/>
      <sheetName val="포장공수량집계표"/>
      <sheetName val="아스콘포장(T=52.5CM)"/>
      <sheetName val="고압블럭(T=6CM)"/>
      <sheetName val="보차도경계석(150-170-200)"/>
      <sheetName val="보도경계블럭"/>
      <sheetName val="L형측구"/>
      <sheetName val="감속턱"/>
      <sheetName val="차선도색(평행주차)"/>
      <sheetName val="차선도색(중앙선)"/>
      <sheetName val="차선도색(직각주차-5M)"/>
      <sheetName val="우수공수량집계표"/>
      <sheetName val="우수공철근량집계표"/>
      <sheetName val="우수공맨홀평균깊이"/>
      <sheetName val="우수공흄관평균깊이"/>
      <sheetName val="우수흄관(D300)"/>
      <sheetName val="흄관(D450)"/>
      <sheetName val="흄관(D500)"/>
      <sheetName val="흄관(D600)"/>
      <sheetName val="흄관(D700)"/>
      <sheetName val="우수맨홀(D900)"/>
      <sheetName val="우수맨홀(D1200)"/>
      <sheetName val="PIT평균깊이"/>
      <sheetName val="플륨관"/>
      <sheetName val="홈통받이"/>
      <sheetName val="홈통받이연락관"/>
      <sheetName val="빗물받이(910-510-410)"/>
      <sheetName val="빗물받이연락관"/>
      <sheetName val="PIT"/>
      <sheetName val="집수정(400-400)"/>
      <sheetName val="집수정(600-700)"/>
      <sheetName val="집수정연락관"/>
      <sheetName val="맹암거(D150)"/>
      <sheetName val="맹암거(D250)"/>
      <sheetName val="U형(300X300~500)"/>
      <sheetName val="우수관보호공(D300)"/>
      <sheetName val="우수관보호공(D450)"/>
      <sheetName val="오수공수량집계표"/>
      <sheetName val="오수공철근량집계표"/>
      <sheetName val="오수공맨홀평균깊이"/>
      <sheetName val="오수공흄관평균깊이"/>
      <sheetName val="오수맨홀(D900)"/>
      <sheetName val="오수받이(940-510-410)"/>
      <sheetName val="흄관(D300)"/>
      <sheetName val="오수관보호공(D300)"/>
      <sheetName val="오수받이연락관"/>
      <sheetName val="상수도공수량집계표"/>
      <sheetName val="상수도공철근량집계표"/>
      <sheetName val="제수변실(1.40-1.50)"/>
      <sheetName val="주철관(D200)"/>
      <sheetName val="공동구공철근량집계표"/>
      <sheetName val="공동구공수량집계표"/>
      <sheetName val="공동구공"/>
      <sheetName val="가도공"/>
      <sheetName val="연결관산출조서"/>
      <sheetName val="우수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총괄내역서"/>
      <sheetName val="경비"/>
      <sheetName val="용지"/>
      <sheetName val="집수정(600-700)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집계"/>
      <sheetName val="타공종이기수량집계표"/>
      <sheetName val="주요자재집계표"/>
      <sheetName val="주요자재산출근거"/>
      <sheetName val="철근집계표"/>
      <sheetName val="slab집계"/>
      <sheetName val="슬래브철근"/>
      <sheetName val="슬래브"/>
      <sheetName val="교대집계"/>
      <sheetName val="교대철근"/>
      <sheetName val="교대(A1)집계"/>
      <sheetName val="교대(A1)"/>
      <sheetName val="날개벽(A1,좌)"/>
      <sheetName val="접속S(A1)"/>
      <sheetName val="교대(A2)집계"/>
      <sheetName val="교대(A2)"/>
      <sheetName val="날개벽(A2,좌우)"/>
      <sheetName val="접속S(A2)"/>
      <sheetName val="교각집계"/>
      <sheetName val="교각철근"/>
      <sheetName val="P1-집계"/>
      <sheetName val="P1"/>
      <sheetName val="P2-집계"/>
      <sheetName val="P2"/>
      <sheetName val="토공집계"/>
      <sheetName val="교대토공집계"/>
      <sheetName val="교대토공상세집계(A1)"/>
      <sheetName val="교대토공(A1)"/>
      <sheetName val="교대토공상세집계(A2)"/>
      <sheetName val="교대토공(A2)"/>
      <sheetName val="교각토공집계"/>
      <sheetName val="교각토공집계(P1)"/>
      <sheetName val="교각토공(P1)"/>
      <sheetName val="교각토공집계(P2)"/>
      <sheetName val="교각토공(P1) (2)"/>
      <sheetName val="가시설공(광장부)"/>
      <sheetName val="Anchor수량"/>
      <sheetName val="MSG"/>
      <sheetName val="MSG (2)"/>
      <sheetName val="SQJ"/>
      <sheetName val="조명시설"/>
      <sheetName val="대로근거"/>
      <sheetName val="총괄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 refreshError="1"/>
      <sheetData sheetId="41" refreshError="1"/>
      <sheetData sheetId="4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자재집계"/>
      <sheetName val="총수량"/>
      <sheetName val="총철근"/>
      <sheetName val="몰탈"/>
      <sheetName val="토공집계"/>
      <sheetName val="토적집계"/>
      <sheetName val="토적표"/>
      <sheetName val="포장수량집계"/>
      <sheetName val="포장철근집계"/>
      <sheetName val="아스콘T=62.5"/>
      <sheetName val="고압블럭T=20"/>
      <sheetName val="보차도경계블럭"/>
      <sheetName val="보도경계블럭"/>
      <sheetName val="L형측구"/>
      <sheetName val="감속턱"/>
      <sheetName val="차선(중앙선)"/>
      <sheetName val="차선(직각주차)"/>
      <sheetName val="우수수량집계"/>
      <sheetName val="우수철근집계"/>
      <sheetName val="우수흄관깊이"/>
      <sheetName val="우수맨홀깊이"/>
      <sheetName val="우수맨홀(D900)"/>
      <sheetName val="우수맨홀(D1200)"/>
      <sheetName val="흄관(D450)"/>
      <sheetName val="흄관(D600)"/>
      <sheetName val="집수정"/>
      <sheetName val="홈통받이"/>
      <sheetName val="빗물받이(910-510-410)"/>
      <sheetName val="빗물받이(600-510-410)"/>
      <sheetName val="U형측구"/>
      <sheetName val="홈통받이연락관(D.C PIPE-150)"/>
      <sheetName val="빗물받이연락관(D.C PIPE-250)"/>
      <sheetName val="맹암거(SDP150)"/>
      <sheetName val="맹암거(SDP100)"/>
      <sheetName val="우수PIT"/>
      <sheetName val="오수수량집계"/>
      <sheetName val="오수철근집계"/>
      <sheetName val="오수공흄관평균깊이"/>
      <sheetName val="오수공맨홀평균깊이"/>
      <sheetName val="오수맨홀(D900)"/>
      <sheetName val="오수-흄관(D300)"/>
      <sheetName val="오수받이(910-510-410)"/>
      <sheetName val="오수받이연락관(D.CPIPE-150)"/>
      <sheetName val="상수수량집계"/>
      <sheetName val="상수철근집계"/>
      <sheetName val="제수변실(1.40-1.80)"/>
      <sheetName val="주철관(D40)"/>
      <sheetName val="주철관(D150)"/>
      <sheetName val="공동구수량집계"/>
      <sheetName val="공동구철근집계"/>
      <sheetName val="공동구단위시트"/>
      <sheetName val="Sheet1 (2)"/>
      <sheetName val="4.2유효폭의 계산"/>
      <sheetName val="우수"/>
      <sheetName val="공비대비"/>
      <sheetName val="빗물받이_910_510_410_"/>
      <sheetName val="터파기및재료"/>
      <sheetName val="코드"/>
      <sheetName val="CT"/>
      <sheetName val="내역서"/>
      <sheetName val="원형1호맨홀토공수량"/>
      <sheetName val="guard(mac)"/>
      <sheetName val="설계"/>
      <sheetName val="본공사"/>
      <sheetName val="대구진천삼성APT"/>
      <sheetName val="마산월령동골조물량변경"/>
      <sheetName val="노임"/>
      <sheetName val="형틀공사"/>
      <sheetName val="환산"/>
      <sheetName val="전신환매도율"/>
      <sheetName val="일반부표"/>
      <sheetName val="Sheet1"/>
      <sheetName val="Sheet2"/>
      <sheetName val="단위수량"/>
      <sheetName val="단가조사"/>
      <sheetName val="#REF"/>
      <sheetName val="원가계산 (2)"/>
      <sheetName val="수량산출"/>
      <sheetName val="자재단가"/>
      <sheetName val="입찰"/>
      <sheetName val="현경"/>
      <sheetName val="원가계산서"/>
      <sheetName val="JUCKEYK"/>
      <sheetName val="BID"/>
      <sheetName val="S0"/>
      <sheetName val="토목"/>
      <sheetName val="식재인부"/>
      <sheetName val="토공"/>
      <sheetName val="DATE"/>
      <sheetName val="터널조도"/>
      <sheetName val="목차임시"/>
      <sheetName val="견적대비"/>
      <sheetName val="감시제어"/>
      <sheetName val="부대내역"/>
      <sheetName val="내역"/>
      <sheetName val="투찰"/>
      <sheetName val="실행철강하도"/>
      <sheetName val="JUCK"/>
      <sheetName val="노무비"/>
      <sheetName val="갑지(추정)"/>
      <sheetName val="금액"/>
      <sheetName val="토목공사"/>
      <sheetName val="이름정의"/>
      <sheetName val="내역(중앙)"/>
      <sheetName val="내역(창신)"/>
      <sheetName val="교각1"/>
      <sheetName val="공내역"/>
      <sheetName val="DATA"/>
      <sheetName val="가공비"/>
      <sheetName val="(1)본선수량집계"/>
      <sheetName val="단가"/>
      <sheetName val="자재운반단가일람표"/>
      <sheetName val="배수공 내역서 적용수량"/>
      <sheetName val="노임단가"/>
      <sheetName val="TYPE-A"/>
      <sheetName val="공통가설"/>
      <sheetName val="전산output"/>
      <sheetName val="단위단가"/>
      <sheetName val="도로포장면적산출(1)"/>
      <sheetName val="시점교대"/>
      <sheetName val="중기 부표"/>
      <sheetName val="토사(PE)"/>
      <sheetName val="백호우계수"/>
      <sheetName val="원가계산"/>
      <sheetName val="Sheet6"/>
      <sheetName val="아스콘T=62_5"/>
      <sheetName val="홈통받이연락관(D_C_PIPE-150)"/>
      <sheetName val="빗물받이연락관(D_C_PIPE-250)"/>
      <sheetName val="오수받이연락관(D_CPIPE-150)"/>
      <sheetName val="제수변실(1_40-1_80)"/>
      <sheetName val="집수정(600-700)"/>
      <sheetName val="★도급내역"/>
      <sheetName val="자재(원원+원대)"/>
      <sheetName val="자재집게표 "/>
      <sheetName val="철근량 검토"/>
      <sheetName val="정보"/>
      <sheetName val="N賃率-職"/>
      <sheetName val="ELEV SPEC(Ia,Ir)"/>
      <sheetName val="복구경비"/>
      <sheetName val="자재집계표"/>
      <sheetName val="이토변실"/>
      <sheetName val="단면설계"/>
      <sheetName val="안정검토"/>
      <sheetName val="교대(A1)"/>
      <sheetName val="수리결과"/>
      <sheetName val="2.대외공문"/>
      <sheetName val="인건비"/>
      <sheetName val="자재비"/>
      <sheetName val="일위대가"/>
      <sheetName val="STORAGE"/>
      <sheetName val="단가비교표"/>
      <sheetName val="시중노임"/>
      <sheetName val="TOWER 10TON"/>
      <sheetName val="Baby일위대가"/>
      <sheetName val="설계명세서"/>
      <sheetName val="SH.R설치"/>
      <sheetName val="슬래브(PF)(하류)"/>
      <sheetName val="3.바닥판설계"/>
      <sheetName val="실행내역"/>
      <sheetName val="부대"/>
      <sheetName val="일위CODE"/>
      <sheetName val="효명0010"/>
      <sheetName val="조명시설"/>
      <sheetName val="흙쌓기도수로설치현황"/>
      <sheetName val="기본단가표"/>
      <sheetName val="70%"/>
      <sheetName val="기계경비(시간당)"/>
      <sheetName val="물가시세"/>
      <sheetName val="단가산출2"/>
      <sheetName val="중기사용료산출근거"/>
      <sheetName val="단가산출1"/>
      <sheetName val="을지"/>
      <sheetName val="부하계산서"/>
      <sheetName val="6PILE  (돌출)"/>
      <sheetName val="유효폭의 계산"/>
      <sheetName val="공사개요"/>
      <sheetName val="합계금액"/>
      <sheetName val="수안보-MBR1"/>
      <sheetName val="3련 BOX"/>
      <sheetName val="부관수량집계"/>
      <sheetName val="재료비단가(800)"/>
      <sheetName val="시중노임단가"/>
      <sheetName val="1,2,3,4,5단위수량"/>
      <sheetName val="현장관리비 산출내역"/>
      <sheetName val="하수급견적대비"/>
      <sheetName val="4_2유효폭의_계산"/>
      <sheetName val="도근좌표"/>
      <sheetName val="약전설비"/>
      <sheetName val="데리네이타현황"/>
      <sheetName val="관리,공감"/>
      <sheetName val="gyun"/>
      <sheetName val="교대(A1-A2)"/>
      <sheetName val="집계표"/>
      <sheetName val="국내조달(통합-1)"/>
      <sheetName val="옹벽기초자료"/>
      <sheetName val="현황산출서"/>
      <sheetName val="조정금액결과표 (차수별)"/>
      <sheetName val="Sheet4"/>
      <sheetName val="특기사항"/>
      <sheetName val="MYUN(MAC)"/>
      <sheetName val="과천MAIN"/>
      <sheetName val="인원자료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기초일위"/>
      <sheetName val="총수량집계표"/>
      <sheetName val="포장공"/>
      <sheetName val="부대공"/>
      <sheetName val="적상기초자료"/>
      <sheetName val="갑지"/>
      <sheetName val="급여data"/>
      <sheetName val="시공계획"/>
      <sheetName val="일위대가표지"/>
      <sheetName val="플랜트 설치"/>
      <sheetName val="부하계산"/>
      <sheetName val="기계경비"/>
      <sheetName val="룡전상부"/>
      <sheetName val="설계조건"/>
      <sheetName val="말뚝지지력산정"/>
      <sheetName val="토공(우물통,기타) "/>
      <sheetName val="woo(mac)"/>
      <sheetName val="맨홀수량"/>
      <sheetName val="종배수관"/>
      <sheetName val="경희대"/>
      <sheetName val="총물량"/>
      <sheetName val="Total"/>
      <sheetName val="단"/>
      <sheetName val="공통비(전체)"/>
      <sheetName val="일위대가 "/>
      <sheetName val="내역표지"/>
      <sheetName val="MOTOR"/>
      <sheetName val="부대원내역"/>
      <sheetName val="부대하내역"/>
      <sheetName val="정부노임(2000.상)"/>
      <sheetName val="품셈"/>
      <sheetName val="덕전리"/>
      <sheetName val="수원공사비"/>
      <sheetName val="자재대"/>
      <sheetName val="날개벽수량표"/>
      <sheetName val="기초자료"/>
      <sheetName val="대로근거"/>
      <sheetName val="ABUT수량-A1"/>
      <sheetName val="역T형"/>
      <sheetName val="PILE"/>
      <sheetName val="순공사비"/>
      <sheetName val="차량별점검"/>
      <sheetName val="1-1"/>
      <sheetName val="1-2"/>
      <sheetName val="1-3"/>
      <sheetName val="1-4"/>
      <sheetName val="대비표(토공1안)"/>
      <sheetName val="간접비"/>
      <sheetName val="97노임단가"/>
      <sheetName val="입력란"/>
      <sheetName val="2경간"/>
      <sheetName val="제경비율"/>
      <sheetName val="노임단가 (2)"/>
      <sheetName val="t형"/>
      <sheetName val="POOM_MOTO"/>
      <sheetName val="POOM_MOTO2"/>
      <sheetName val="3차설계"/>
      <sheetName val="슬래브수량"/>
      <sheetName val="매매"/>
      <sheetName val="노무"/>
      <sheetName val="내역을"/>
      <sheetName val="직노"/>
      <sheetName val="투찰가"/>
      <sheetName val="계림(함평)"/>
      <sheetName val="계림(장성)"/>
      <sheetName val="DATA 입력부"/>
      <sheetName val="샌딩 에폭시 도장"/>
      <sheetName val="일반문틀 설치"/>
      <sheetName val="가설공사비"/>
      <sheetName val="단가 및 재료비"/>
      <sheetName val="부대공수량"/>
      <sheetName val="직접재료비"/>
      <sheetName val="화해(함평)"/>
      <sheetName val="화해(장성)"/>
      <sheetName val="우각부보강"/>
      <sheetName val="우배수"/>
      <sheetName val="내역서적용수량 (지방도893)"/>
      <sheetName val="COVER"/>
      <sheetName val="장비가동"/>
      <sheetName val="정화조동내역"/>
      <sheetName val="다곡2교"/>
      <sheetName val="유림골조"/>
      <sheetName val="Project Brief"/>
      <sheetName val="L_RPTB10_01"/>
      <sheetName val="북제주원가"/>
      <sheetName val="1,2공구원가계산서"/>
      <sheetName val="2공구산출내역"/>
      <sheetName val="1공구산출내역서"/>
      <sheetName val="을-ATYPE"/>
      <sheetName val="03하반기내역서"/>
      <sheetName val="04상반기"/>
      <sheetName val="수입"/>
      <sheetName val="월별손익"/>
      <sheetName val="택지성격총괄"/>
      <sheetName val="95하U$가격"/>
      <sheetName val="문학간접"/>
      <sheetName val="간접"/>
      <sheetName val="개산공사비"/>
      <sheetName val="설비"/>
      <sheetName val="7+160암거변경"/>
      <sheetName val="품셈TABLE"/>
      <sheetName val="DATA테이블1 (2)"/>
      <sheetName val="xxxxxx"/>
      <sheetName val="기계경비일람"/>
      <sheetName val="일반공사"/>
      <sheetName val="SULKEA"/>
      <sheetName val="기기리스트"/>
      <sheetName val="용역단가"/>
      <sheetName val="가도공"/>
      <sheetName val="일위대가표"/>
      <sheetName val="000000"/>
      <sheetName val="수량산출 (8)"/>
      <sheetName val="개별직종노임단가(2005.1)"/>
      <sheetName val="9GNG운반"/>
      <sheetName val="3BL공동구 수량"/>
      <sheetName val="일위대가(가설)"/>
      <sheetName val="Sheet1_(2)"/>
      <sheetName val="원가계산_(2)"/>
      <sheetName val="2~3.해석단면및모델링"/>
      <sheetName val="Source"/>
      <sheetName val="I一般比"/>
      <sheetName val="판매시설"/>
      <sheetName val="(4-2)열관류값-2"/>
      <sheetName val="45,46"/>
      <sheetName val="연결관암거"/>
      <sheetName val="이토변실(A3-LINE)"/>
      <sheetName val="unit 4"/>
      <sheetName val="TIE-IN"/>
      <sheetName val="계약내역"/>
      <sheetName val="총괄표"/>
      <sheetName val="96노임기준"/>
      <sheetName val="농로토공집계"/>
      <sheetName val="농로수량집계"/>
      <sheetName val="H PILE수량"/>
      <sheetName val="H-PILE수량집계"/>
      <sheetName val="직접인건비"/>
      <sheetName val="총괄내역서"/>
      <sheetName val="4차원가계산서"/>
      <sheetName val="설계예산서"/>
      <sheetName val="산출내역서"/>
      <sheetName val="횡배수관부설집계"/>
      <sheetName val="비용적자료"/>
      <sheetName val="강관파일내역"/>
      <sheetName val="2층(부대공사)"/>
      <sheetName val="1.설계조건"/>
      <sheetName val="옹벽"/>
      <sheetName val="통합"/>
      <sheetName val="일위대가표(DEEP)"/>
      <sheetName val="표지"/>
      <sheetName val="명세서"/>
      <sheetName val="데이타"/>
      <sheetName val="일위대가서식"/>
      <sheetName val="유기공정"/>
      <sheetName val="수지"/>
      <sheetName val="PAN"/>
      <sheetName val="점검총괄"/>
      <sheetName val="보도포장연장조서-표준차도부"/>
      <sheetName val="표준차도부연장조서-ASP"/>
      <sheetName val="중기일위대가"/>
      <sheetName val="말뚝물량"/>
      <sheetName val="램머"/>
      <sheetName val="구천"/>
      <sheetName val="청천내"/>
      <sheetName val="토적계산"/>
      <sheetName val="목차"/>
      <sheetName val="연못방수쉬트"/>
      <sheetName val="토목검측서"/>
      <sheetName val="방식총괄"/>
      <sheetName val="철근량"/>
      <sheetName val="맨홀_공사비"/>
      <sheetName val="설계서식"/>
      <sheetName val="단가산출서"/>
      <sheetName val="유첨3.적용기준"/>
      <sheetName val="중기사용료"/>
      <sheetName val="단가목록"/>
      <sheetName val="노무비단가"/>
      <sheetName val="공사비산출내역"/>
      <sheetName val="차도부연장현황"/>
      <sheetName val="배수공집계"/>
      <sheetName val="포장공집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플륨관집계"/>
      <sheetName val="산출근거"/>
      <sheetName val="U형플륨관"/>
      <sheetName val="U형플륨관토공"/>
      <sheetName val="단위토공"/>
      <sheetName val="빗물받이(910-510-410)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계산서구조조정"/>
      <sheetName val="원가계산서"/>
      <sheetName val="공사비내역서"/>
      <sheetName val="내역서표지1"/>
      <sheetName val="내역서표지2"/>
      <sheetName val="설계변경원가계산서"/>
      <sheetName val="설계변경내역서"/>
      <sheetName val="설계변경내역서표지1"/>
      <sheetName val="설계변경내역서표지2"/>
      <sheetName val="기성원가계산서"/>
      <sheetName val="기성세부내역서"/>
      <sheetName val="기성부분내역서"/>
      <sheetName val="기성내역서표지1"/>
      <sheetName val="기성내역서표지2"/>
      <sheetName val="산출근거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예산서-갑지"/>
      <sheetName val="총괄표"/>
      <sheetName val="공사원가계산서"/>
      <sheetName val="내역서"/>
      <sheetName val="일위대가목록"/>
      <sheetName val="일위대가_호표"/>
      <sheetName val="일위대가_산근"/>
      <sheetName val="중기사용료목록"/>
      <sheetName val="중기사용료"/>
      <sheetName val="중기기초자료"/>
      <sheetName val="자재"/>
      <sheetName val="노임"/>
      <sheetName val="경비"/>
      <sheetName val="자재조서"/>
      <sheetName val="전역변수"/>
      <sheetName val="중기전역변수"/>
      <sheetName val="Sheet3"/>
      <sheetName val="원가계산서구조조정"/>
    </sheetNames>
    <sheetDataSet>
      <sheetData sheetId="0">
        <row r="8">
          <cell r="W8" t="str">
            <v>진천 메가폴리스 일반산업단지 조성사업</v>
          </cell>
        </row>
      </sheetData>
      <sheetData sheetId="1"/>
      <sheetData sheetId="2"/>
      <sheetData sheetId="3">
        <row r="37">
          <cell r="L37">
            <v>1329709446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</sheetPr>
  <dimension ref="A1:M42"/>
  <sheetViews>
    <sheetView tabSelected="1" view="pageBreakPreview" zoomScale="115" zoomScaleNormal="115" zoomScaleSheetLayoutView="115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D6" sqref="D6"/>
    </sheetView>
  </sheetViews>
  <sheetFormatPr defaultRowHeight="16.5"/>
  <cols>
    <col min="1" max="2" width="4.75" style="100" customWidth="1"/>
    <col min="3" max="3" width="2.625" style="100" customWidth="1"/>
    <col min="4" max="4" width="19.625" style="100" customWidth="1"/>
    <col min="5" max="5" width="2.625" style="100" customWidth="1"/>
    <col min="6" max="8" width="13.625" style="187" customWidth="1"/>
    <col min="9" max="9" width="10.625" style="101" customWidth="1"/>
    <col min="10" max="10" width="2.25" style="100" customWidth="1"/>
    <col min="11" max="11" width="10.875" style="100" customWidth="1"/>
    <col min="12" max="12" width="12.625" style="266" bestFit="1" customWidth="1"/>
    <col min="13" max="16384" width="9" style="100"/>
  </cols>
  <sheetData>
    <row r="1" spans="1:12" ht="6.95" customHeight="1"/>
    <row r="2" spans="1:12" ht="29.25" customHeight="1">
      <c r="A2" s="282" t="s">
        <v>2488</v>
      </c>
      <c r="B2" s="282"/>
      <c r="C2" s="282"/>
      <c r="D2" s="282"/>
      <c r="E2" s="282"/>
      <c r="F2" s="282"/>
      <c r="G2" s="282"/>
      <c r="H2" s="282"/>
      <c r="I2" s="282"/>
      <c r="J2" s="102"/>
    </row>
    <row r="3" spans="1:12" ht="15" customHeight="1">
      <c r="A3" s="103" t="s">
        <v>2532</v>
      </c>
      <c r="B3" s="103"/>
      <c r="C3" s="103"/>
      <c r="D3" s="104"/>
      <c r="E3" s="104"/>
      <c r="F3" s="188"/>
      <c r="G3" s="188"/>
      <c r="H3" s="188"/>
      <c r="I3" s="105"/>
      <c r="J3" s="105"/>
    </row>
    <row r="4" spans="1:12" ht="4.5" customHeight="1"/>
    <row r="5" spans="1:12" s="113" customFormat="1" ht="20.100000000000001" customHeight="1">
      <c r="A5" s="283" t="s">
        <v>2451</v>
      </c>
      <c r="B5" s="284"/>
      <c r="C5" s="284"/>
      <c r="D5" s="284"/>
      <c r="E5" s="201"/>
      <c r="F5" s="189" t="s">
        <v>2485</v>
      </c>
      <c r="G5" s="189" t="s">
        <v>2486</v>
      </c>
      <c r="H5" s="189" t="s">
        <v>2487</v>
      </c>
      <c r="I5" s="131" t="s">
        <v>2453</v>
      </c>
      <c r="L5" s="267" t="s">
        <v>2541</v>
      </c>
    </row>
    <row r="6" spans="1:12" s="115" customFormat="1" ht="20.100000000000001" customHeight="1">
      <c r="A6" s="285" t="s">
        <v>2456</v>
      </c>
      <c r="B6" s="287" t="s">
        <v>2457</v>
      </c>
      <c r="C6" s="205"/>
      <c r="D6" s="212" t="s">
        <v>2458</v>
      </c>
      <c r="E6" s="207"/>
      <c r="F6" s="190">
        <f>'원가계산서(토목공사)'!F6</f>
        <v>66523722128</v>
      </c>
      <c r="G6" s="190">
        <f>'원가계산서(전기공사)'!F6</f>
        <v>1972482406</v>
      </c>
      <c r="H6" s="190">
        <f>F6+G6</f>
        <v>68496204534</v>
      </c>
      <c r="I6" s="133"/>
      <c r="J6" s="180"/>
      <c r="L6" s="268"/>
    </row>
    <row r="7" spans="1:12" s="115" customFormat="1" ht="20.100000000000001" customHeight="1">
      <c r="A7" s="286"/>
      <c r="B7" s="288"/>
      <c r="C7" s="206"/>
      <c r="D7" s="213" t="s">
        <v>2459</v>
      </c>
      <c r="E7" s="171"/>
      <c r="F7" s="191"/>
      <c r="G7" s="191"/>
      <c r="H7" s="191">
        <f t="shared" ref="H7:H37" si="0">F7+G7</f>
        <v>0</v>
      </c>
      <c r="I7" s="135"/>
      <c r="J7" s="180"/>
      <c r="L7" s="268"/>
    </row>
    <row r="8" spans="1:12" s="116" customFormat="1" ht="20.100000000000001" customHeight="1">
      <c r="A8" s="286"/>
      <c r="B8" s="288"/>
      <c r="C8" s="225"/>
      <c r="D8" s="214" t="s">
        <v>2460</v>
      </c>
      <c r="E8" s="208"/>
      <c r="F8" s="192">
        <f>SUM(F6:F7)</f>
        <v>66523722128</v>
      </c>
      <c r="G8" s="192">
        <f>SUM(G6:G7)</f>
        <v>1972482406</v>
      </c>
      <c r="H8" s="192">
        <f t="shared" si="0"/>
        <v>68496204534</v>
      </c>
      <c r="I8" s="137"/>
      <c r="J8" s="181"/>
    </row>
    <row r="9" spans="1:12" s="115" customFormat="1" ht="20.100000000000001" customHeight="1">
      <c r="A9" s="286"/>
      <c r="B9" s="288" t="s">
        <v>2461</v>
      </c>
      <c r="C9" s="206"/>
      <c r="D9" s="213" t="s">
        <v>2462</v>
      </c>
      <c r="E9" s="171"/>
      <c r="F9" s="191">
        <f>'원가계산서(토목공사)'!F9</f>
        <v>55865798826</v>
      </c>
      <c r="G9" s="191">
        <f>'원가계산서(전기공사)'!F9</f>
        <v>1037484768</v>
      </c>
      <c r="H9" s="191">
        <f t="shared" si="0"/>
        <v>56903283594</v>
      </c>
      <c r="I9" s="135"/>
      <c r="J9" s="180"/>
    </row>
    <row r="10" spans="1:12" s="115" customFormat="1" ht="20.100000000000001" customHeight="1">
      <c r="A10" s="286"/>
      <c r="B10" s="288"/>
      <c r="C10" s="206"/>
      <c r="D10" s="213" t="s">
        <v>2463</v>
      </c>
      <c r="E10" s="171"/>
      <c r="F10" s="193">
        <f>'원가계산서(토목공사)'!F10</f>
        <v>7486017042</v>
      </c>
      <c r="G10" s="193">
        <f>'원가계산서(전기공사)'!F10</f>
        <v>137985474</v>
      </c>
      <c r="H10" s="193">
        <f t="shared" si="0"/>
        <v>7624002516</v>
      </c>
      <c r="I10" s="140"/>
      <c r="J10" s="180"/>
      <c r="L10" s="268"/>
    </row>
    <row r="11" spans="1:12" s="116" customFormat="1" ht="20.100000000000001" customHeight="1">
      <c r="A11" s="286"/>
      <c r="B11" s="288"/>
      <c r="C11" s="225"/>
      <c r="D11" s="214" t="s">
        <v>2460</v>
      </c>
      <c r="E11" s="208"/>
      <c r="F11" s="192">
        <f>SUM(F9:F10)</f>
        <v>63351815868</v>
      </c>
      <c r="G11" s="192">
        <f>SUM(G9:G10)</f>
        <v>1175470242</v>
      </c>
      <c r="H11" s="192">
        <f t="shared" si="0"/>
        <v>64527286110</v>
      </c>
      <c r="I11" s="141"/>
      <c r="J11" s="181"/>
      <c r="L11" s="269"/>
    </row>
    <row r="12" spans="1:12" s="115" customFormat="1" ht="20.100000000000001" customHeight="1">
      <c r="A12" s="286"/>
      <c r="B12" s="288" t="s">
        <v>2464</v>
      </c>
      <c r="C12" s="206"/>
      <c r="D12" s="213" t="s">
        <v>2465</v>
      </c>
      <c r="E12" s="171"/>
      <c r="F12" s="191">
        <f>'원가계산서(토목공사)'!F12</f>
        <v>29621556618</v>
      </c>
      <c r="G12" s="191">
        <f>'원가계산서(전기공사)'!F12</f>
        <v>22109916</v>
      </c>
      <c r="H12" s="191">
        <f t="shared" si="0"/>
        <v>29643666534</v>
      </c>
      <c r="I12" s="142"/>
      <c r="J12" s="180"/>
      <c r="L12" s="268"/>
    </row>
    <row r="13" spans="1:12" s="115" customFormat="1" ht="20.100000000000001" customHeight="1">
      <c r="A13" s="286"/>
      <c r="B13" s="288"/>
      <c r="C13" s="206"/>
      <c r="D13" s="213" t="s">
        <v>2466</v>
      </c>
      <c r="E13" s="171"/>
      <c r="F13" s="191">
        <f>'원가계산서(토목공사)'!F13</f>
        <v>2255324644</v>
      </c>
      <c r="G13" s="193">
        <f>'원가계산서(전기공사)'!F13</f>
        <v>41846740</v>
      </c>
      <c r="H13" s="193">
        <f t="shared" si="0"/>
        <v>2297171384</v>
      </c>
      <c r="I13" s="143"/>
      <c r="J13" s="180"/>
      <c r="L13" s="268"/>
    </row>
    <row r="14" spans="1:12" s="115" customFormat="1" ht="20.100000000000001" customHeight="1">
      <c r="A14" s="286"/>
      <c r="B14" s="288"/>
      <c r="C14" s="206"/>
      <c r="D14" s="213" t="s">
        <v>2467</v>
      </c>
      <c r="E14" s="171"/>
      <c r="F14" s="191">
        <f>'원가계산서(토목공사)'!F14</f>
        <v>994623509</v>
      </c>
      <c r="G14" s="193">
        <f>'원가계산서(전기공사)'!F14</f>
        <v>11872249</v>
      </c>
      <c r="H14" s="193">
        <f t="shared" si="0"/>
        <v>1006495758</v>
      </c>
      <c r="I14" s="143"/>
      <c r="J14" s="180"/>
      <c r="L14" s="268"/>
    </row>
    <row r="15" spans="1:12" s="115" customFormat="1" ht="20.100000000000001" customHeight="1">
      <c r="A15" s="286"/>
      <c r="B15" s="288"/>
      <c r="C15" s="206"/>
      <c r="D15" s="213" t="s">
        <v>2469</v>
      </c>
      <c r="E15" s="171"/>
      <c r="F15" s="191">
        <f>'원가계산서(토목공사)'!F15</f>
        <v>2377966250</v>
      </c>
      <c r="G15" s="193">
        <f>'원가계산서(전기공사)'!F15</f>
        <v>44336163</v>
      </c>
      <c r="H15" s="193">
        <f t="shared" si="0"/>
        <v>2422302413</v>
      </c>
      <c r="I15" s="145"/>
      <c r="J15" s="180"/>
      <c r="L15" s="268"/>
    </row>
    <row r="16" spans="1:12" s="115" customFormat="1" ht="20.100000000000001" customHeight="1">
      <c r="A16" s="286"/>
      <c r="B16" s="288"/>
      <c r="C16" s="206"/>
      <c r="D16" s="213" t="s">
        <v>2472</v>
      </c>
      <c r="E16" s="171"/>
      <c r="F16" s="191">
        <f>'원가계산서(토목공사)'!F16</f>
        <v>307946629</v>
      </c>
      <c r="G16" s="193">
        <f>'원가계산서(전기공사)'!F18</f>
        <v>5741533</v>
      </c>
      <c r="H16" s="193">
        <f t="shared" si="0"/>
        <v>313688162</v>
      </c>
      <c r="I16" s="149"/>
      <c r="J16" s="180"/>
      <c r="L16" s="268"/>
    </row>
    <row r="17" spans="1:13" s="115" customFormat="1" ht="20.100000000000001" customHeight="1">
      <c r="A17" s="286"/>
      <c r="B17" s="288"/>
      <c r="C17" s="206"/>
      <c r="D17" s="213" t="s">
        <v>2470</v>
      </c>
      <c r="E17" s="171"/>
      <c r="F17" s="191">
        <f>'원가계산서(토목공사)'!F17</f>
        <v>3018574930</v>
      </c>
      <c r="G17" s="193">
        <f>'원가계산서(전기공사)'!F16</f>
        <v>56280038</v>
      </c>
      <c r="H17" s="193">
        <f t="shared" si="0"/>
        <v>3074854968</v>
      </c>
      <c r="I17" s="148"/>
      <c r="J17" s="180"/>
      <c r="L17" s="268"/>
    </row>
    <row r="18" spans="1:13" s="115" customFormat="1" ht="20.100000000000001" customHeight="1">
      <c r="A18" s="286"/>
      <c r="B18" s="288"/>
      <c r="C18" s="206"/>
      <c r="D18" s="213" t="s">
        <v>2471</v>
      </c>
      <c r="E18" s="171"/>
      <c r="F18" s="191">
        <f>'원가계산서(토목공사)'!F18</f>
        <v>1542827186</v>
      </c>
      <c r="G18" s="193">
        <f>'원가계산서(전기공사)'!F17</f>
        <v>28765353</v>
      </c>
      <c r="H18" s="193">
        <f t="shared" si="0"/>
        <v>1571592539</v>
      </c>
      <c r="I18" s="148"/>
      <c r="J18" s="180"/>
      <c r="L18" s="268"/>
    </row>
    <row r="19" spans="1:13" s="115" customFormat="1" ht="20.100000000000001" customHeight="1">
      <c r="A19" s="286"/>
      <c r="B19" s="288"/>
      <c r="C19" s="206"/>
      <c r="D19" s="222" t="s">
        <v>2480</v>
      </c>
      <c r="E19" s="219"/>
      <c r="F19" s="191">
        <f>'원가계산서(토목공사)'!F19</f>
        <v>608044310</v>
      </c>
      <c r="G19" s="227"/>
      <c r="H19" s="226">
        <f t="shared" si="0"/>
        <v>608044310</v>
      </c>
      <c r="I19" s="168"/>
      <c r="J19" s="180"/>
      <c r="L19" s="268"/>
    </row>
    <row r="20" spans="1:13" s="115" customFormat="1" ht="20.100000000000001" customHeight="1">
      <c r="A20" s="286"/>
      <c r="B20" s="288"/>
      <c r="C20" s="206"/>
      <c r="D20" s="213" t="s">
        <v>2473</v>
      </c>
      <c r="E20" s="171"/>
      <c r="F20" s="191">
        <f>'원가계산서(토목공사)'!F20</f>
        <v>2027901531</v>
      </c>
      <c r="G20" s="228">
        <f>'원가계산서(전기공사)'!F19</f>
        <v>86334499</v>
      </c>
      <c r="H20" s="194">
        <f t="shared" si="0"/>
        <v>2114236030</v>
      </c>
      <c r="I20" s="150"/>
      <c r="J20" s="182"/>
      <c r="L20" s="268"/>
    </row>
    <row r="21" spans="1:13" s="115" customFormat="1" ht="20.100000000000001" customHeight="1">
      <c r="A21" s="286"/>
      <c r="B21" s="288"/>
      <c r="C21" s="206"/>
      <c r="D21" s="213" t="s">
        <v>2476</v>
      </c>
      <c r="E21" s="171"/>
      <c r="F21" s="191">
        <f>'원가계산서(토목공사)'!F21</f>
        <v>912066465</v>
      </c>
      <c r="G21" s="227"/>
      <c r="H21" s="226">
        <f t="shared" si="0"/>
        <v>912066465</v>
      </c>
      <c r="I21" s="158"/>
      <c r="J21" s="180"/>
      <c r="L21" s="268"/>
    </row>
    <row r="22" spans="1:13" s="115" customFormat="1" ht="20.100000000000001" customHeight="1">
      <c r="A22" s="286"/>
      <c r="B22" s="288"/>
      <c r="C22" s="206"/>
      <c r="D22" s="223" t="s">
        <v>2481</v>
      </c>
      <c r="E22" s="220"/>
      <c r="F22" s="191">
        <f>'원가계산서(토목공사)'!F22</f>
        <v>107927865</v>
      </c>
      <c r="G22" s="227"/>
      <c r="H22" s="226">
        <f t="shared" si="0"/>
        <v>107927865</v>
      </c>
      <c r="I22" s="158"/>
      <c r="J22" s="180"/>
      <c r="L22" s="268"/>
    </row>
    <row r="23" spans="1:13" s="115" customFormat="1" ht="20.100000000000001" customHeight="1">
      <c r="A23" s="286"/>
      <c r="B23" s="288"/>
      <c r="C23" s="206"/>
      <c r="D23" s="213" t="s">
        <v>2474</v>
      </c>
      <c r="E23" s="171"/>
      <c r="F23" s="191">
        <f>'원가계산서(토목공사)'!F23</f>
        <v>8961412121</v>
      </c>
      <c r="G23" s="193">
        <f>'원가계산서(전기공사)'!F21</f>
        <v>223504638</v>
      </c>
      <c r="H23" s="193">
        <f t="shared" si="0"/>
        <v>9184916759</v>
      </c>
      <c r="I23" s="156"/>
      <c r="J23" s="180"/>
      <c r="L23" s="268"/>
    </row>
    <row r="24" spans="1:13" s="116" customFormat="1" ht="20.100000000000001" customHeight="1">
      <c r="A24" s="286"/>
      <c r="B24" s="288"/>
      <c r="C24" s="225"/>
      <c r="D24" s="214" t="s">
        <v>2477</v>
      </c>
      <c r="E24" s="208"/>
      <c r="F24" s="192">
        <f>SUM(F12:F23)</f>
        <v>52736172058</v>
      </c>
      <c r="G24" s="192">
        <f>SUM(G12:G23)</f>
        <v>520791129</v>
      </c>
      <c r="H24" s="192">
        <f t="shared" si="0"/>
        <v>53256963187</v>
      </c>
      <c r="I24" s="141"/>
      <c r="J24" s="181"/>
      <c r="K24" s="271" t="s">
        <v>2542</v>
      </c>
      <c r="L24" s="272">
        <f>SUM(F6,F9,F12)</f>
        <v>152011077572</v>
      </c>
    </row>
    <row r="25" spans="1:13" s="113" customFormat="1" ht="20.100000000000001" customHeight="1">
      <c r="A25" s="280" t="s">
        <v>2478</v>
      </c>
      <c r="B25" s="281"/>
      <c r="C25" s="281"/>
      <c r="D25" s="281"/>
      <c r="E25" s="203"/>
      <c r="F25" s="195">
        <f>SUM(F8+F11+F24)</f>
        <v>182611710054</v>
      </c>
      <c r="G25" s="195">
        <f>SUM(G8+G11+G24)</f>
        <v>3668743777</v>
      </c>
      <c r="H25" s="195">
        <f t="shared" si="0"/>
        <v>186280453831</v>
      </c>
      <c r="I25" s="160"/>
      <c r="J25" s="183"/>
      <c r="K25" s="273" t="s">
        <v>2543</v>
      </c>
      <c r="L25" s="274">
        <f>SUM(F10,F13:F23,F26,F28)</f>
        <v>50024007857</v>
      </c>
    </row>
    <row r="26" spans="1:13" s="115" customFormat="1" ht="20.100000000000001" customHeight="1">
      <c r="A26" s="170"/>
      <c r="B26" s="290" t="s">
        <v>2516</v>
      </c>
      <c r="C26" s="290"/>
      <c r="D26" s="290"/>
      <c r="E26" s="171"/>
      <c r="F26" s="193">
        <f>'원가계산서(토목공사)'!F26</f>
        <v>8217526952</v>
      </c>
      <c r="G26" s="193">
        <f>'원가계산서(전기공사)'!F26</f>
        <v>201780907</v>
      </c>
      <c r="H26" s="193">
        <f t="shared" si="0"/>
        <v>8419307859</v>
      </c>
      <c r="I26" s="172"/>
      <c r="J26" s="180"/>
      <c r="K26" s="275"/>
      <c r="L26" s="276"/>
    </row>
    <row r="27" spans="1:13" s="115" customFormat="1" ht="20.100000000000001" customHeight="1">
      <c r="A27" s="186"/>
      <c r="B27" s="290" t="s">
        <v>2517</v>
      </c>
      <c r="C27" s="290"/>
      <c r="D27" s="290"/>
      <c r="E27" s="171"/>
      <c r="F27" s="193">
        <f>'원가계산서(토목공사)'!F27</f>
        <v>209912160</v>
      </c>
      <c r="G27" s="193"/>
      <c r="H27" s="193">
        <f t="shared" si="0"/>
        <v>209912160</v>
      </c>
      <c r="I27" s="173"/>
      <c r="J27" s="180"/>
      <c r="K27" s="273" t="s">
        <v>2544</v>
      </c>
      <c r="L27" s="277">
        <f>L25/L24</f>
        <v>0.32908133180824367</v>
      </c>
      <c r="M27" s="115" t="s">
        <v>2545</v>
      </c>
    </row>
    <row r="28" spans="1:13" s="115" customFormat="1" ht="20.100000000000001" customHeight="1">
      <c r="A28" s="170"/>
      <c r="B28" s="290" t="s">
        <v>2518</v>
      </c>
      <c r="C28" s="290"/>
      <c r="D28" s="290"/>
      <c r="E28" s="171"/>
      <c r="F28" s="193">
        <f>'원가계산서(토목공사)'!F28</f>
        <v>11205848423</v>
      </c>
      <c r="G28" s="193">
        <f>'원가계산서(전기공사)'!F27</f>
        <v>284651680</v>
      </c>
      <c r="H28" s="193">
        <f t="shared" si="0"/>
        <v>11490500103</v>
      </c>
      <c r="I28" s="161"/>
      <c r="J28" s="180"/>
      <c r="L28" s="268"/>
    </row>
    <row r="29" spans="1:13" s="115" customFormat="1" ht="20.100000000000001" customHeight="1">
      <c r="A29" s="170"/>
      <c r="B29" s="290" t="s">
        <v>2519</v>
      </c>
      <c r="C29" s="290"/>
      <c r="D29" s="290"/>
      <c r="E29" s="171"/>
      <c r="F29" s="193">
        <f>'원가계산서(토목공사)'!F29</f>
        <v>453609000</v>
      </c>
      <c r="G29" s="191"/>
      <c r="H29" s="191">
        <f t="shared" si="0"/>
        <v>453609000</v>
      </c>
      <c r="I29" s="161"/>
      <c r="J29" s="180"/>
      <c r="L29" s="268"/>
    </row>
    <row r="30" spans="1:13" s="115" customFormat="1" ht="20.100000000000001" customHeight="1">
      <c r="A30" s="170"/>
      <c r="B30" s="290" t="s">
        <v>2484</v>
      </c>
      <c r="C30" s="290"/>
      <c r="D30" s="290"/>
      <c r="E30" s="171"/>
      <c r="F30" s="193">
        <f>'원가계산서(토목공사)'!F30</f>
        <v>142023000</v>
      </c>
      <c r="G30" s="191"/>
      <c r="H30" s="191">
        <f t="shared" si="0"/>
        <v>142023000</v>
      </c>
      <c r="I30" s="161"/>
      <c r="J30" s="180"/>
      <c r="L30" s="268"/>
    </row>
    <row r="31" spans="1:13" s="115" customFormat="1" ht="20.100000000000001" customHeight="1">
      <c r="A31" s="186"/>
      <c r="B31" s="290" t="s">
        <v>2520</v>
      </c>
      <c r="C31" s="290"/>
      <c r="D31" s="290"/>
      <c r="E31" s="171"/>
      <c r="F31" s="193">
        <f>'원가계산서(토목공사)'!F31</f>
        <v>1113009593</v>
      </c>
      <c r="G31" s="191"/>
      <c r="H31" s="191">
        <f t="shared" si="0"/>
        <v>1113009593</v>
      </c>
      <c r="I31" s="161"/>
      <c r="J31" s="180"/>
      <c r="L31" s="268"/>
    </row>
    <row r="32" spans="1:13" s="115" customFormat="1" ht="20.100000000000001" customHeight="1">
      <c r="A32" s="186"/>
      <c r="B32" s="290" t="s">
        <v>2521</v>
      </c>
      <c r="C32" s="290"/>
      <c r="D32" s="290"/>
      <c r="E32" s="171"/>
      <c r="F32" s="193">
        <f>'원가계산서(토목공사)'!F32</f>
        <v>86639000</v>
      </c>
      <c r="G32" s="191"/>
      <c r="H32" s="191">
        <f t="shared" si="0"/>
        <v>86639000</v>
      </c>
      <c r="I32" s="124"/>
      <c r="J32" s="180"/>
      <c r="L32" s="268"/>
    </row>
    <row r="33" spans="1:12" s="113" customFormat="1" ht="20.100000000000001" customHeight="1">
      <c r="A33" s="210"/>
      <c r="B33" s="291" t="s">
        <v>2522</v>
      </c>
      <c r="C33" s="291"/>
      <c r="D33" s="291"/>
      <c r="E33" s="203"/>
      <c r="F33" s="196">
        <f>INT(SUM(F25,F26,F27,F28,F29,F30,F31,F32))</f>
        <v>204040278182</v>
      </c>
      <c r="G33" s="196">
        <f>INT(SUM(G25,G26,G27,G28,G29,G30,G31,G32))</f>
        <v>4155176364</v>
      </c>
      <c r="H33" s="196">
        <f t="shared" si="0"/>
        <v>208195454546</v>
      </c>
      <c r="I33" s="160"/>
      <c r="J33" s="183"/>
      <c r="L33" s="270"/>
    </row>
    <row r="34" spans="1:12" s="115" customFormat="1" ht="20.100000000000001" customHeight="1" thickBot="1">
      <c r="A34" s="170"/>
      <c r="B34" s="290" t="s">
        <v>2523</v>
      </c>
      <c r="C34" s="290"/>
      <c r="D34" s="290"/>
      <c r="E34" s="171"/>
      <c r="F34" s="191">
        <f>TRUNC(F33*0.1,0)</f>
        <v>20404027818</v>
      </c>
      <c r="G34" s="191">
        <f>TRUNC(G33*0.1,0)</f>
        <v>415517636</v>
      </c>
      <c r="H34" s="191">
        <f t="shared" si="0"/>
        <v>20819545454</v>
      </c>
      <c r="I34" s="142"/>
      <c r="L34" s="268"/>
    </row>
    <row r="35" spans="1:12" s="113" customFormat="1" ht="20.100000000000001" customHeight="1" thickTop="1" thickBot="1">
      <c r="A35" s="211"/>
      <c r="B35" s="292" t="s">
        <v>2524</v>
      </c>
      <c r="C35" s="292"/>
      <c r="D35" s="292"/>
      <c r="E35" s="204"/>
      <c r="F35" s="196">
        <f>SUM(F33:F34)</f>
        <v>224444306000</v>
      </c>
      <c r="G35" s="196">
        <f>SUM(G33:G34)</f>
        <v>4570694000</v>
      </c>
      <c r="H35" s="196">
        <f>F35+G35</f>
        <v>229015000000</v>
      </c>
      <c r="I35" s="163"/>
      <c r="K35" s="263" t="s">
        <v>2538</v>
      </c>
      <c r="L35" s="270"/>
    </row>
    <row r="36" spans="1:12" s="115" customFormat="1" ht="20.100000000000001" customHeight="1" thickTop="1">
      <c r="A36" s="176"/>
      <c r="B36" s="293" t="s">
        <v>2525</v>
      </c>
      <c r="C36" s="294"/>
      <c r="D36" s="294"/>
      <c r="E36" s="177"/>
      <c r="F36" s="197">
        <f>INT(I36/1000)*1000</f>
        <v>0</v>
      </c>
      <c r="G36" s="197">
        <f>'원가계산서(전기공사)'!F34</f>
        <v>42000000</v>
      </c>
      <c r="H36" s="197">
        <f t="shared" si="0"/>
        <v>42000000</v>
      </c>
      <c r="I36" s="165"/>
      <c r="L36" s="268"/>
    </row>
    <row r="37" spans="1:12" s="113" customFormat="1" ht="20.100000000000001" customHeight="1">
      <c r="A37" s="178"/>
      <c r="B37" s="289" t="s">
        <v>2526</v>
      </c>
      <c r="C37" s="289"/>
      <c r="D37" s="289"/>
      <c r="E37" s="179"/>
      <c r="F37" s="198">
        <f>F35+F36</f>
        <v>224444306000</v>
      </c>
      <c r="G37" s="198">
        <f>G35+G36</f>
        <v>4612694000</v>
      </c>
      <c r="H37" s="198">
        <f t="shared" si="0"/>
        <v>229057000000</v>
      </c>
      <c r="I37" s="167"/>
      <c r="L37" s="270"/>
    </row>
    <row r="38" spans="1:12">
      <c r="F38" s="199"/>
      <c r="G38" s="199"/>
      <c r="H38" s="199"/>
      <c r="I38" s="108"/>
    </row>
    <row r="39" spans="1:12">
      <c r="D39" s="109"/>
      <c r="E39" s="109"/>
      <c r="F39" s="200"/>
      <c r="G39" s="200"/>
      <c r="H39" s="200"/>
    </row>
    <row r="40" spans="1:12">
      <c r="D40" s="109"/>
      <c r="E40" s="109"/>
      <c r="F40" s="200">
        <f>F39*0.86</f>
        <v>0</v>
      </c>
      <c r="G40" s="200"/>
      <c r="H40" s="200"/>
      <c r="I40" s="112"/>
    </row>
    <row r="41" spans="1:12">
      <c r="F41" s="199"/>
      <c r="G41" s="199"/>
      <c r="H41" s="199"/>
    </row>
    <row r="42" spans="1:12">
      <c r="F42" s="199" t="s">
        <v>2530</v>
      </c>
      <c r="G42" s="199"/>
      <c r="H42" s="199"/>
    </row>
  </sheetData>
  <mergeCells count="19">
    <mergeCell ref="B37:D37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A25:D25"/>
    <mergeCell ref="A2:I2"/>
    <mergeCell ref="A5:D5"/>
    <mergeCell ref="A6:A24"/>
    <mergeCell ref="B6:B8"/>
    <mergeCell ref="B9:B11"/>
    <mergeCell ref="B12:B24"/>
  </mergeCells>
  <phoneticPr fontId="4" type="noConversion"/>
  <printOptions horizontalCentered="1"/>
  <pageMargins left="0.47244094488188981" right="0.47244094488188981" top="0.82677165354330717" bottom="0.59055118110236227" header="0.47244094488188981" footer="0.31496062992125984"/>
  <pageSetup paperSize="9" orientation="portrait" r:id="rId1"/>
  <headerFooter alignWithMargins="0"/>
  <rowBreaks count="1" manualBreakCount="1">
    <brk id="37" max="5" man="1"/>
  </rowBreaks>
  <colBreaks count="1" manualBreakCount="1">
    <brk id="9" max="3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39997558519241921"/>
  </sheetPr>
  <dimension ref="A1:M38"/>
  <sheetViews>
    <sheetView view="pageBreakPreview" zoomScaleNormal="100" zoomScaleSheetLayoutView="100" workbookViewId="0">
      <pane xSplit="4" ySplit="4" topLeftCell="E15" activePane="bottomRight" state="frozen"/>
      <selection activeCell="J5" sqref="J5"/>
      <selection pane="topRight" activeCell="J5" sqref="J5"/>
      <selection pane="bottomLeft" activeCell="J5" sqref="J5"/>
      <selection pane="bottomRight" activeCell="L31" sqref="L31"/>
    </sheetView>
  </sheetViews>
  <sheetFormatPr defaultRowHeight="18.399999999999999" customHeight="1"/>
  <cols>
    <col min="1" max="1" width="33.625" style="25" customWidth="1"/>
    <col min="2" max="2" width="26.125" style="25" customWidth="1"/>
    <col min="3" max="3" width="8.125" style="98" customWidth="1"/>
    <col min="4" max="4" width="5.125" style="99" customWidth="1"/>
    <col min="5" max="13" width="12.625" style="25" customWidth="1"/>
    <col min="14" max="252" width="9" style="25"/>
    <col min="253" max="253" width="33.625" style="25" customWidth="1"/>
    <col min="254" max="254" width="26.125" style="25" customWidth="1"/>
    <col min="255" max="255" width="8.125" style="25" customWidth="1"/>
    <col min="256" max="256" width="5.125" style="25" customWidth="1"/>
    <col min="257" max="265" width="12.625" style="25" customWidth="1"/>
    <col min="266" max="266" width="13.25" style="25" customWidth="1"/>
    <col min="267" max="267" width="12.875" style="25" customWidth="1"/>
    <col min="268" max="508" width="9" style="25"/>
    <col min="509" max="509" width="33.625" style="25" customWidth="1"/>
    <col min="510" max="510" width="26.125" style="25" customWidth="1"/>
    <col min="511" max="511" width="8.125" style="25" customWidth="1"/>
    <col min="512" max="512" width="5.125" style="25" customWidth="1"/>
    <col min="513" max="521" width="12.625" style="25" customWidth="1"/>
    <col min="522" max="522" width="13.25" style="25" customWidth="1"/>
    <col min="523" max="523" width="12.875" style="25" customWidth="1"/>
    <col min="524" max="764" width="9" style="25"/>
    <col min="765" max="765" width="33.625" style="25" customWidth="1"/>
    <col min="766" max="766" width="26.125" style="25" customWidth="1"/>
    <col min="767" max="767" width="8.125" style="25" customWidth="1"/>
    <col min="768" max="768" width="5.125" style="25" customWidth="1"/>
    <col min="769" max="777" width="12.625" style="25" customWidth="1"/>
    <col min="778" max="778" width="13.25" style="25" customWidth="1"/>
    <col min="779" max="779" width="12.875" style="25" customWidth="1"/>
    <col min="780" max="1020" width="9" style="25"/>
    <col min="1021" max="1021" width="33.625" style="25" customWidth="1"/>
    <col min="1022" max="1022" width="26.125" style="25" customWidth="1"/>
    <col min="1023" max="1023" width="8.125" style="25" customWidth="1"/>
    <col min="1024" max="1024" width="5.125" style="25" customWidth="1"/>
    <col min="1025" max="1033" width="12.625" style="25" customWidth="1"/>
    <col min="1034" max="1034" width="13.25" style="25" customWidth="1"/>
    <col min="1035" max="1035" width="12.875" style="25" customWidth="1"/>
    <col min="1036" max="1276" width="9" style="25"/>
    <col min="1277" max="1277" width="33.625" style="25" customWidth="1"/>
    <col min="1278" max="1278" width="26.125" style="25" customWidth="1"/>
    <col min="1279" max="1279" width="8.125" style="25" customWidth="1"/>
    <col min="1280" max="1280" width="5.125" style="25" customWidth="1"/>
    <col min="1281" max="1289" width="12.625" style="25" customWidth="1"/>
    <col min="1290" max="1290" width="13.25" style="25" customWidth="1"/>
    <col min="1291" max="1291" width="12.875" style="25" customWidth="1"/>
    <col min="1292" max="1532" width="9" style="25"/>
    <col min="1533" max="1533" width="33.625" style="25" customWidth="1"/>
    <col min="1534" max="1534" width="26.125" style="25" customWidth="1"/>
    <col min="1535" max="1535" width="8.125" style="25" customWidth="1"/>
    <col min="1536" max="1536" width="5.125" style="25" customWidth="1"/>
    <col min="1537" max="1545" width="12.625" style="25" customWidth="1"/>
    <col min="1546" max="1546" width="13.25" style="25" customWidth="1"/>
    <col min="1547" max="1547" width="12.875" style="25" customWidth="1"/>
    <col min="1548" max="1788" width="9" style="25"/>
    <col min="1789" max="1789" width="33.625" style="25" customWidth="1"/>
    <col min="1790" max="1790" width="26.125" style="25" customWidth="1"/>
    <col min="1791" max="1791" width="8.125" style="25" customWidth="1"/>
    <col min="1792" max="1792" width="5.125" style="25" customWidth="1"/>
    <col min="1793" max="1801" width="12.625" style="25" customWidth="1"/>
    <col min="1802" max="1802" width="13.25" style="25" customWidth="1"/>
    <col min="1803" max="1803" width="12.875" style="25" customWidth="1"/>
    <col min="1804" max="2044" width="9" style="25"/>
    <col min="2045" max="2045" width="33.625" style="25" customWidth="1"/>
    <col min="2046" max="2046" width="26.125" style="25" customWidth="1"/>
    <col min="2047" max="2047" width="8.125" style="25" customWidth="1"/>
    <col min="2048" max="2048" width="5.125" style="25" customWidth="1"/>
    <col min="2049" max="2057" width="12.625" style="25" customWidth="1"/>
    <col min="2058" max="2058" width="13.25" style="25" customWidth="1"/>
    <col min="2059" max="2059" width="12.875" style="25" customWidth="1"/>
    <col min="2060" max="2300" width="9" style="25"/>
    <col min="2301" max="2301" width="33.625" style="25" customWidth="1"/>
    <col min="2302" max="2302" width="26.125" style="25" customWidth="1"/>
    <col min="2303" max="2303" width="8.125" style="25" customWidth="1"/>
    <col min="2304" max="2304" width="5.125" style="25" customWidth="1"/>
    <col min="2305" max="2313" width="12.625" style="25" customWidth="1"/>
    <col min="2314" max="2314" width="13.25" style="25" customWidth="1"/>
    <col min="2315" max="2315" width="12.875" style="25" customWidth="1"/>
    <col min="2316" max="2556" width="9" style="25"/>
    <col min="2557" max="2557" width="33.625" style="25" customWidth="1"/>
    <col min="2558" max="2558" width="26.125" style="25" customWidth="1"/>
    <col min="2559" max="2559" width="8.125" style="25" customWidth="1"/>
    <col min="2560" max="2560" width="5.125" style="25" customWidth="1"/>
    <col min="2561" max="2569" width="12.625" style="25" customWidth="1"/>
    <col min="2570" max="2570" width="13.25" style="25" customWidth="1"/>
    <col min="2571" max="2571" width="12.875" style="25" customWidth="1"/>
    <col min="2572" max="2812" width="9" style="25"/>
    <col min="2813" max="2813" width="33.625" style="25" customWidth="1"/>
    <col min="2814" max="2814" width="26.125" style="25" customWidth="1"/>
    <col min="2815" max="2815" width="8.125" style="25" customWidth="1"/>
    <col min="2816" max="2816" width="5.125" style="25" customWidth="1"/>
    <col min="2817" max="2825" width="12.625" style="25" customWidth="1"/>
    <col min="2826" max="2826" width="13.25" style="25" customWidth="1"/>
    <col min="2827" max="2827" width="12.875" style="25" customWidth="1"/>
    <col min="2828" max="3068" width="9" style="25"/>
    <col min="3069" max="3069" width="33.625" style="25" customWidth="1"/>
    <col min="3070" max="3070" width="26.125" style="25" customWidth="1"/>
    <col min="3071" max="3071" width="8.125" style="25" customWidth="1"/>
    <col min="3072" max="3072" width="5.125" style="25" customWidth="1"/>
    <col min="3073" max="3081" width="12.625" style="25" customWidth="1"/>
    <col min="3082" max="3082" width="13.25" style="25" customWidth="1"/>
    <col min="3083" max="3083" width="12.875" style="25" customWidth="1"/>
    <col min="3084" max="3324" width="9" style="25"/>
    <col min="3325" max="3325" width="33.625" style="25" customWidth="1"/>
    <col min="3326" max="3326" width="26.125" style="25" customWidth="1"/>
    <col min="3327" max="3327" width="8.125" style="25" customWidth="1"/>
    <col min="3328" max="3328" width="5.125" style="25" customWidth="1"/>
    <col min="3329" max="3337" width="12.625" style="25" customWidth="1"/>
    <col min="3338" max="3338" width="13.25" style="25" customWidth="1"/>
    <col min="3339" max="3339" width="12.875" style="25" customWidth="1"/>
    <col min="3340" max="3580" width="9" style="25"/>
    <col min="3581" max="3581" width="33.625" style="25" customWidth="1"/>
    <col min="3582" max="3582" width="26.125" style="25" customWidth="1"/>
    <col min="3583" max="3583" width="8.125" style="25" customWidth="1"/>
    <col min="3584" max="3584" width="5.125" style="25" customWidth="1"/>
    <col min="3585" max="3593" width="12.625" style="25" customWidth="1"/>
    <col min="3594" max="3594" width="13.25" style="25" customWidth="1"/>
    <col min="3595" max="3595" width="12.875" style="25" customWidth="1"/>
    <col min="3596" max="3836" width="9" style="25"/>
    <col min="3837" max="3837" width="33.625" style="25" customWidth="1"/>
    <col min="3838" max="3838" width="26.125" style="25" customWidth="1"/>
    <col min="3839" max="3839" width="8.125" style="25" customWidth="1"/>
    <col min="3840" max="3840" width="5.125" style="25" customWidth="1"/>
    <col min="3841" max="3849" width="12.625" style="25" customWidth="1"/>
    <col min="3850" max="3850" width="13.25" style="25" customWidth="1"/>
    <col min="3851" max="3851" width="12.875" style="25" customWidth="1"/>
    <col min="3852" max="4092" width="9" style="25"/>
    <col min="4093" max="4093" width="33.625" style="25" customWidth="1"/>
    <col min="4094" max="4094" width="26.125" style="25" customWidth="1"/>
    <col min="4095" max="4095" width="8.125" style="25" customWidth="1"/>
    <col min="4096" max="4096" width="5.125" style="25" customWidth="1"/>
    <col min="4097" max="4105" width="12.625" style="25" customWidth="1"/>
    <col min="4106" max="4106" width="13.25" style="25" customWidth="1"/>
    <col min="4107" max="4107" width="12.875" style="25" customWidth="1"/>
    <col min="4108" max="4348" width="9" style="25"/>
    <col min="4349" max="4349" width="33.625" style="25" customWidth="1"/>
    <col min="4350" max="4350" width="26.125" style="25" customWidth="1"/>
    <col min="4351" max="4351" width="8.125" style="25" customWidth="1"/>
    <col min="4352" max="4352" width="5.125" style="25" customWidth="1"/>
    <col min="4353" max="4361" width="12.625" style="25" customWidth="1"/>
    <col min="4362" max="4362" width="13.25" style="25" customWidth="1"/>
    <col min="4363" max="4363" width="12.875" style="25" customWidth="1"/>
    <col min="4364" max="4604" width="9" style="25"/>
    <col min="4605" max="4605" width="33.625" style="25" customWidth="1"/>
    <col min="4606" max="4606" width="26.125" style="25" customWidth="1"/>
    <col min="4607" max="4607" width="8.125" style="25" customWidth="1"/>
    <col min="4608" max="4608" width="5.125" style="25" customWidth="1"/>
    <col min="4609" max="4617" width="12.625" style="25" customWidth="1"/>
    <col min="4618" max="4618" width="13.25" style="25" customWidth="1"/>
    <col min="4619" max="4619" width="12.875" style="25" customWidth="1"/>
    <col min="4620" max="4860" width="9" style="25"/>
    <col min="4861" max="4861" width="33.625" style="25" customWidth="1"/>
    <col min="4862" max="4862" width="26.125" style="25" customWidth="1"/>
    <col min="4863" max="4863" width="8.125" style="25" customWidth="1"/>
    <col min="4864" max="4864" width="5.125" style="25" customWidth="1"/>
    <col min="4865" max="4873" width="12.625" style="25" customWidth="1"/>
    <col min="4874" max="4874" width="13.25" style="25" customWidth="1"/>
    <col min="4875" max="4875" width="12.875" style="25" customWidth="1"/>
    <col min="4876" max="5116" width="9" style="25"/>
    <col min="5117" max="5117" width="33.625" style="25" customWidth="1"/>
    <col min="5118" max="5118" width="26.125" style="25" customWidth="1"/>
    <col min="5119" max="5119" width="8.125" style="25" customWidth="1"/>
    <col min="5120" max="5120" width="5.125" style="25" customWidth="1"/>
    <col min="5121" max="5129" width="12.625" style="25" customWidth="1"/>
    <col min="5130" max="5130" width="13.25" style="25" customWidth="1"/>
    <col min="5131" max="5131" width="12.875" style="25" customWidth="1"/>
    <col min="5132" max="5372" width="9" style="25"/>
    <col min="5373" max="5373" width="33.625" style="25" customWidth="1"/>
    <col min="5374" max="5374" width="26.125" style="25" customWidth="1"/>
    <col min="5375" max="5375" width="8.125" style="25" customWidth="1"/>
    <col min="5376" max="5376" width="5.125" style="25" customWidth="1"/>
    <col min="5377" max="5385" width="12.625" style="25" customWidth="1"/>
    <col min="5386" max="5386" width="13.25" style="25" customWidth="1"/>
    <col min="5387" max="5387" width="12.875" style="25" customWidth="1"/>
    <col min="5388" max="5628" width="9" style="25"/>
    <col min="5629" max="5629" width="33.625" style="25" customWidth="1"/>
    <col min="5630" max="5630" width="26.125" style="25" customWidth="1"/>
    <col min="5631" max="5631" width="8.125" style="25" customWidth="1"/>
    <col min="5632" max="5632" width="5.125" style="25" customWidth="1"/>
    <col min="5633" max="5641" width="12.625" style="25" customWidth="1"/>
    <col min="5642" max="5642" width="13.25" style="25" customWidth="1"/>
    <col min="5643" max="5643" width="12.875" style="25" customWidth="1"/>
    <col min="5644" max="5884" width="9" style="25"/>
    <col min="5885" max="5885" width="33.625" style="25" customWidth="1"/>
    <col min="5886" max="5886" width="26.125" style="25" customWidth="1"/>
    <col min="5887" max="5887" width="8.125" style="25" customWidth="1"/>
    <col min="5888" max="5888" width="5.125" style="25" customWidth="1"/>
    <col min="5889" max="5897" width="12.625" style="25" customWidth="1"/>
    <col min="5898" max="5898" width="13.25" style="25" customWidth="1"/>
    <col min="5899" max="5899" width="12.875" style="25" customWidth="1"/>
    <col min="5900" max="6140" width="9" style="25"/>
    <col min="6141" max="6141" width="33.625" style="25" customWidth="1"/>
    <col min="6142" max="6142" width="26.125" style="25" customWidth="1"/>
    <col min="6143" max="6143" width="8.125" style="25" customWidth="1"/>
    <col min="6144" max="6144" width="5.125" style="25" customWidth="1"/>
    <col min="6145" max="6153" width="12.625" style="25" customWidth="1"/>
    <col min="6154" max="6154" width="13.25" style="25" customWidth="1"/>
    <col min="6155" max="6155" width="12.875" style="25" customWidth="1"/>
    <col min="6156" max="6396" width="9" style="25"/>
    <col min="6397" max="6397" width="33.625" style="25" customWidth="1"/>
    <col min="6398" max="6398" width="26.125" style="25" customWidth="1"/>
    <col min="6399" max="6399" width="8.125" style="25" customWidth="1"/>
    <col min="6400" max="6400" width="5.125" style="25" customWidth="1"/>
    <col min="6401" max="6409" width="12.625" style="25" customWidth="1"/>
    <col min="6410" max="6410" width="13.25" style="25" customWidth="1"/>
    <col min="6411" max="6411" width="12.875" style="25" customWidth="1"/>
    <col min="6412" max="6652" width="9" style="25"/>
    <col min="6653" max="6653" width="33.625" style="25" customWidth="1"/>
    <col min="6654" max="6654" width="26.125" style="25" customWidth="1"/>
    <col min="6655" max="6655" width="8.125" style="25" customWidth="1"/>
    <col min="6656" max="6656" width="5.125" style="25" customWidth="1"/>
    <col min="6657" max="6665" width="12.625" style="25" customWidth="1"/>
    <col min="6666" max="6666" width="13.25" style="25" customWidth="1"/>
    <col min="6667" max="6667" width="12.875" style="25" customWidth="1"/>
    <col min="6668" max="6908" width="9" style="25"/>
    <col min="6909" max="6909" width="33.625" style="25" customWidth="1"/>
    <col min="6910" max="6910" width="26.125" style="25" customWidth="1"/>
    <col min="6911" max="6911" width="8.125" style="25" customWidth="1"/>
    <col min="6912" max="6912" width="5.125" style="25" customWidth="1"/>
    <col min="6913" max="6921" width="12.625" style="25" customWidth="1"/>
    <col min="6922" max="6922" width="13.25" style="25" customWidth="1"/>
    <col min="6923" max="6923" width="12.875" style="25" customWidth="1"/>
    <col min="6924" max="7164" width="9" style="25"/>
    <col min="7165" max="7165" width="33.625" style="25" customWidth="1"/>
    <col min="7166" max="7166" width="26.125" style="25" customWidth="1"/>
    <col min="7167" max="7167" width="8.125" style="25" customWidth="1"/>
    <col min="7168" max="7168" width="5.125" style="25" customWidth="1"/>
    <col min="7169" max="7177" width="12.625" style="25" customWidth="1"/>
    <col min="7178" max="7178" width="13.25" style="25" customWidth="1"/>
    <col min="7179" max="7179" width="12.875" style="25" customWidth="1"/>
    <col min="7180" max="7420" width="9" style="25"/>
    <col min="7421" max="7421" width="33.625" style="25" customWidth="1"/>
    <col min="7422" max="7422" width="26.125" style="25" customWidth="1"/>
    <col min="7423" max="7423" width="8.125" style="25" customWidth="1"/>
    <col min="7424" max="7424" width="5.125" style="25" customWidth="1"/>
    <col min="7425" max="7433" width="12.625" style="25" customWidth="1"/>
    <col min="7434" max="7434" width="13.25" style="25" customWidth="1"/>
    <col min="7435" max="7435" width="12.875" style="25" customWidth="1"/>
    <col min="7436" max="7676" width="9" style="25"/>
    <col min="7677" max="7677" width="33.625" style="25" customWidth="1"/>
    <col min="7678" max="7678" width="26.125" style="25" customWidth="1"/>
    <col min="7679" max="7679" width="8.125" style="25" customWidth="1"/>
    <col min="7680" max="7680" width="5.125" style="25" customWidth="1"/>
    <col min="7681" max="7689" width="12.625" style="25" customWidth="1"/>
    <col min="7690" max="7690" width="13.25" style="25" customWidth="1"/>
    <col min="7691" max="7691" width="12.875" style="25" customWidth="1"/>
    <col min="7692" max="7932" width="9" style="25"/>
    <col min="7933" max="7933" width="33.625" style="25" customWidth="1"/>
    <col min="7934" max="7934" width="26.125" style="25" customWidth="1"/>
    <col min="7935" max="7935" width="8.125" style="25" customWidth="1"/>
    <col min="7936" max="7936" width="5.125" style="25" customWidth="1"/>
    <col min="7937" max="7945" width="12.625" style="25" customWidth="1"/>
    <col min="7946" max="7946" width="13.25" style="25" customWidth="1"/>
    <col min="7947" max="7947" width="12.875" style="25" customWidth="1"/>
    <col min="7948" max="8188" width="9" style="25"/>
    <col min="8189" max="8189" width="33.625" style="25" customWidth="1"/>
    <col min="8190" max="8190" width="26.125" style="25" customWidth="1"/>
    <col min="8191" max="8191" width="8.125" style="25" customWidth="1"/>
    <col min="8192" max="8192" width="5.125" style="25" customWidth="1"/>
    <col min="8193" max="8201" width="12.625" style="25" customWidth="1"/>
    <col min="8202" max="8202" width="13.25" style="25" customWidth="1"/>
    <col min="8203" max="8203" width="12.875" style="25" customWidth="1"/>
    <col min="8204" max="8444" width="9" style="25"/>
    <col min="8445" max="8445" width="33.625" style="25" customWidth="1"/>
    <col min="8446" max="8446" width="26.125" style="25" customWidth="1"/>
    <col min="8447" max="8447" width="8.125" style="25" customWidth="1"/>
    <col min="8448" max="8448" width="5.125" style="25" customWidth="1"/>
    <col min="8449" max="8457" width="12.625" style="25" customWidth="1"/>
    <col min="8458" max="8458" width="13.25" style="25" customWidth="1"/>
    <col min="8459" max="8459" width="12.875" style="25" customWidth="1"/>
    <col min="8460" max="8700" width="9" style="25"/>
    <col min="8701" max="8701" width="33.625" style="25" customWidth="1"/>
    <col min="8702" max="8702" width="26.125" style="25" customWidth="1"/>
    <col min="8703" max="8703" width="8.125" style="25" customWidth="1"/>
    <col min="8704" max="8704" width="5.125" style="25" customWidth="1"/>
    <col min="8705" max="8713" width="12.625" style="25" customWidth="1"/>
    <col min="8714" max="8714" width="13.25" style="25" customWidth="1"/>
    <col min="8715" max="8715" width="12.875" style="25" customWidth="1"/>
    <col min="8716" max="8956" width="9" style="25"/>
    <col min="8957" max="8957" width="33.625" style="25" customWidth="1"/>
    <col min="8958" max="8958" width="26.125" style="25" customWidth="1"/>
    <col min="8959" max="8959" width="8.125" style="25" customWidth="1"/>
    <col min="8960" max="8960" width="5.125" style="25" customWidth="1"/>
    <col min="8961" max="8969" width="12.625" style="25" customWidth="1"/>
    <col min="8970" max="8970" width="13.25" style="25" customWidth="1"/>
    <col min="8971" max="8971" width="12.875" style="25" customWidth="1"/>
    <col min="8972" max="9212" width="9" style="25"/>
    <col min="9213" max="9213" width="33.625" style="25" customWidth="1"/>
    <col min="9214" max="9214" width="26.125" style="25" customWidth="1"/>
    <col min="9215" max="9215" width="8.125" style="25" customWidth="1"/>
    <col min="9216" max="9216" width="5.125" style="25" customWidth="1"/>
    <col min="9217" max="9225" width="12.625" style="25" customWidth="1"/>
    <col min="9226" max="9226" width="13.25" style="25" customWidth="1"/>
    <col min="9227" max="9227" width="12.875" style="25" customWidth="1"/>
    <col min="9228" max="9468" width="9" style="25"/>
    <col min="9469" max="9469" width="33.625" style="25" customWidth="1"/>
    <col min="9470" max="9470" width="26.125" style="25" customWidth="1"/>
    <col min="9471" max="9471" width="8.125" style="25" customWidth="1"/>
    <col min="9472" max="9472" width="5.125" style="25" customWidth="1"/>
    <col min="9473" max="9481" width="12.625" style="25" customWidth="1"/>
    <col min="9482" max="9482" width="13.25" style="25" customWidth="1"/>
    <col min="9483" max="9483" width="12.875" style="25" customWidth="1"/>
    <col min="9484" max="9724" width="9" style="25"/>
    <col min="9725" max="9725" width="33.625" style="25" customWidth="1"/>
    <col min="9726" max="9726" width="26.125" style="25" customWidth="1"/>
    <col min="9727" max="9727" width="8.125" style="25" customWidth="1"/>
    <col min="9728" max="9728" width="5.125" style="25" customWidth="1"/>
    <col min="9729" max="9737" width="12.625" style="25" customWidth="1"/>
    <col min="9738" max="9738" width="13.25" style="25" customWidth="1"/>
    <col min="9739" max="9739" width="12.875" style="25" customWidth="1"/>
    <col min="9740" max="9980" width="9" style="25"/>
    <col min="9981" max="9981" width="33.625" style="25" customWidth="1"/>
    <col min="9982" max="9982" width="26.125" style="25" customWidth="1"/>
    <col min="9983" max="9983" width="8.125" style="25" customWidth="1"/>
    <col min="9984" max="9984" width="5.125" style="25" customWidth="1"/>
    <col min="9985" max="9993" width="12.625" style="25" customWidth="1"/>
    <col min="9994" max="9994" width="13.25" style="25" customWidth="1"/>
    <col min="9995" max="9995" width="12.875" style="25" customWidth="1"/>
    <col min="9996" max="10236" width="9" style="25"/>
    <col min="10237" max="10237" width="33.625" style="25" customWidth="1"/>
    <col min="10238" max="10238" width="26.125" style="25" customWidth="1"/>
    <col min="10239" max="10239" width="8.125" style="25" customWidth="1"/>
    <col min="10240" max="10240" width="5.125" style="25" customWidth="1"/>
    <col min="10241" max="10249" width="12.625" style="25" customWidth="1"/>
    <col min="10250" max="10250" width="13.25" style="25" customWidth="1"/>
    <col min="10251" max="10251" width="12.875" style="25" customWidth="1"/>
    <col min="10252" max="10492" width="9" style="25"/>
    <col min="10493" max="10493" width="33.625" style="25" customWidth="1"/>
    <col min="10494" max="10494" width="26.125" style="25" customWidth="1"/>
    <col min="10495" max="10495" width="8.125" style="25" customWidth="1"/>
    <col min="10496" max="10496" width="5.125" style="25" customWidth="1"/>
    <col min="10497" max="10505" width="12.625" style="25" customWidth="1"/>
    <col min="10506" max="10506" width="13.25" style="25" customWidth="1"/>
    <col min="10507" max="10507" width="12.875" style="25" customWidth="1"/>
    <col min="10508" max="10748" width="9" style="25"/>
    <col min="10749" max="10749" width="33.625" style="25" customWidth="1"/>
    <col min="10750" max="10750" width="26.125" style="25" customWidth="1"/>
    <col min="10751" max="10751" width="8.125" style="25" customWidth="1"/>
    <col min="10752" max="10752" width="5.125" style="25" customWidth="1"/>
    <col min="10753" max="10761" width="12.625" style="25" customWidth="1"/>
    <col min="10762" max="10762" width="13.25" style="25" customWidth="1"/>
    <col min="10763" max="10763" width="12.875" style="25" customWidth="1"/>
    <col min="10764" max="11004" width="9" style="25"/>
    <col min="11005" max="11005" width="33.625" style="25" customWidth="1"/>
    <col min="11006" max="11006" width="26.125" style="25" customWidth="1"/>
    <col min="11007" max="11007" width="8.125" style="25" customWidth="1"/>
    <col min="11008" max="11008" width="5.125" style="25" customWidth="1"/>
    <col min="11009" max="11017" width="12.625" style="25" customWidth="1"/>
    <col min="11018" max="11018" width="13.25" style="25" customWidth="1"/>
    <col min="11019" max="11019" width="12.875" style="25" customWidth="1"/>
    <col min="11020" max="11260" width="9" style="25"/>
    <col min="11261" max="11261" width="33.625" style="25" customWidth="1"/>
    <col min="11262" max="11262" width="26.125" style="25" customWidth="1"/>
    <col min="11263" max="11263" width="8.125" style="25" customWidth="1"/>
    <col min="11264" max="11264" width="5.125" style="25" customWidth="1"/>
    <col min="11265" max="11273" width="12.625" style="25" customWidth="1"/>
    <col min="11274" max="11274" width="13.25" style="25" customWidth="1"/>
    <col min="11275" max="11275" width="12.875" style="25" customWidth="1"/>
    <col min="11276" max="11516" width="9" style="25"/>
    <col min="11517" max="11517" width="33.625" style="25" customWidth="1"/>
    <col min="11518" max="11518" width="26.125" style="25" customWidth="1"/>
    <col min="11519" max="11519" width="8.125" style="25" customWidth="1"/>
    <col min="11520" max="11520" width="5.125" style="25" customWidth="1"/>
    <col min="11521" max="11529" width="12.625" style="25" customWidth="1"/>
    <col min="11530" max="11530" width="13.25" style="25" customWidth="1"/>
    <col min="11531" max="11531" width="12.875" style="25" customWidth="1"/>
    <col min="11532" max="11772" width="9" style="25"/>
    <col min="11773" max="11773" width="33.625" style="25" customWidth="1"/>
    <col min="11774" max="11774" width="26.125" style="25" customWidth="1"/>
    <col min="11775" max="11775" width="8.125" style="25" customWidth="1"/>
    <col min="11776" max="11776" width="5.125" style="25" customWidth="1"/>
    <col min="11777" max="11785" width="12.625" style="25" customWidth="1"/>
    <col min="11786" max="11786" width="13.25" style="25" customWidth="1"/>
    <col min="11787" max="11787" width="12.875" style="25" customWidth="1"/>
    <col min="11788" max="12028" width="9" style="25"/>
    <col min="12029" max="12029" width="33.625" style="25" customWidth="1"/>
    <col min="12030" max="12030" width="26.125" style="25" customWidth="1"/>
    <col min="12031" max="12031" width="8.125" style="25" customWidth="1"/>
    <col min="12032" max="12032" width="5.125" style="25" customWidth="1"/>
    <col min="12033" max="12041" width="12.625" style="25" customWidth="1"/>
    <col min="12042" max="12042" width="13.25" style="25" customWidth="1"/>
    <col min="12043" max="12043" width="12.875" style="25" customWidth="1"/>
    <col min="12044" max="12284" width="9" style="25"/>
    <col min="12285" max="12285" width="33.625" style="25" customWidth="1"/>
    <col min="12286" max="12286" width="26.125" style="25" customWidth="1"/>
    <col min="12287" max="12287" width="8.125" style="25" customWidth="1"/>
    <col min="12288" max="12288" width="5.125" style="25" customWidth="1"/>
    <col min="12289" max="12297" width="12.625" style="25" customWidth="1"/>
    <col min="12298" max="12298" width="13.25" style="25" customWidth="1"/>
    <col min="12299" max="12299" width="12.875" style="25" customWidth="1"/>
    <col min="12300" max="12540" width="9" style="25"/>
    <col min="12541" max="12541" width="33.625" style="25" customWidth="1"/>
    <col min="12542" max="12542" width="26.125" style="25" customWidth="1"/>
    <col min="12543" max="12543" width="8.125" style="25" customWidth="1"/>
    <col min="12544" max="12544" width="5.125" style="25" customWidth="1"/>
    <col min="12545" max="12553" width="12.625" style="25" customWidth="1"/>
    <col min="12554" max="12554" width="13.25" style="25" customWidth="1"/>
    <col min="12555" max="12555" width="12.875" style="25" customWidth="1"/>
    <col min="12556" max="12796" width="9" style="25"/>
    <col min="12797" max="12797" width="33.625" style="25" customWidth="1"/>
    <col min="12798" max="12798" width="26.125" style="25" customWidth="1"/>
    <col min="12799" max="12799" width="8.125" style="25" customWidth="1"/>
    <col min="12800" max="12800" width="5.125" style="25" customWidth="1"/>
    <col min="12801" max="12809" width="12.625" style="25" customWidth="1"/>
    <col min="12810" max="12810" width="13.25" style="25" customWidth="1"/>
    <col min="12811" max="12811" width="12.875" style="25" customWidth="1"/>
    <col min="12812" max="13052" width="9" style="25"/>
    <col min="13053" max="13053" width="33.625" style="25" customWidth="1"/>
    <col min="13054" max="13054" width="26.125" style="25" customWidth="1"/>
    <col min="13055" max="13055" width="8.125" style="25" customWidth="1"/>
    <col min="13056" max="13056" width="5.125" style="25" customWidth="1"/>
    <col min="13057" max="13065" width="12.625" style="25" customWidth="1"/>
    <col min="13066" max="13066" width="13.25" style="25" customWidth="1"/>
    <col min="13067" max="13067" width="12.875" style="25" customWidth="1"/>
    <col min="13068" max="13308" width="9" style="25"/>
    <col min="13309" max="13309" width="33.625" style="25" customWidth="1"/>
    <col min="13310" max="13310" width="26.125" style="25" customWidth="1"/>
    <col min="13311" max="13311" width="8.125" style="25" customWidth="1"/>
    <col min="13312" max="13312" width="5.125" style="25" customWidth="1"/>
    <col min="13313" max="13321" width="12.625" style="25" customWidth="1"/>
    <col min="13322" max="13322" width="13.25" style="25" customWidth="1"/>
    <col min="13323" max="13323" width="12.875" style="25" customWidth="1"/>
    <col min="13324" max="13564" width="9" style="25"/>
    <col min="13565" max="13565" width="33.625" style="25" customWidth="1"/>
    <col min="13566" max="13566" width="26.125" style="25" customWidth="1"/>
    <col min="13567" max="13567" width="8.125" style="25" customWidth="1"/>
    <col min="13568" max="13568" width="5.125" style="25" customWidth="1"/>
    <col min="13569" max="13577" width="12.625" style="25" customWidth="1"/>
    <col min="13578" max="13578" width="13.25" style="25" customWidth="1"/>
    <col min="13579" max="13579" width="12.875" style="25" customWidth="1"/>
    <col min="13580" max="13820" width="9" style="25"/>
    <col min="13821" max="13821" width="33.625" style="25" customWidth="1"/>
    <col min="13822" max="13822" width="26.125" style="25" customWidth="1"/>
    <col min="13823" max="13823" width="8.125" style="25" customWidth="1"/>
    <col min="13824" max="13824" width="5.125" style="25" customWidth="1"/>
    <col min="13825" max="13833" width="12.625" style="25" customWidth="1"/>
    <col min="13834" max="13834" width="13.25" style="25" customWidth="1"/>
    <col min="13835" max="13835" width="12.875" style="25" customWidth="1"/>
    <col min="13836" max="14076" width="9" style="25"/>
    <col min="14077" max="14077" width="33.625" style="25" customWidth="1"/>
    <col min="14078" max="14078" width="26.125" style="25" customWidth="1"/>
    <col min="14079" max="14079" width="8.125" style="25" customWidth="1"/>
    <col min="14080" max="14080" width="5.125" style="25" customWidth="1"/>
    <col min="14081" max="14089" width="12.625" style="25" customWidth="1"/>
    <col min="14090" max="14090" width="13.25" style="25" customWidth="1"/>
    <col min="14091" max="14091" width="12.875" style="25" customWidth="1"/>
    <col min="14092" max="14332" width="9" style="25"/>
    <col min="14333" max="14333" width="33.625" style="25" customWidth="1"/>
    <col min="14334" max="14334" width="26.125" style="25" customWidth="1"/>
    <col min="14335" max="14335" width="8.125" style="25" customWidth="1"/>
    <col min="14336" max="14336" width="5.125" style="25" customWidth="1"/>
    <col min="14337" max="14345" width="12.625" style="25" customWidth="1"/>
    <col min="14346" max="14346" width="13.25" style="25" customWidth="1"/>
    <col min="14347" max="14347" width="12.875" style="25" customWidth="1"/>
    <col min="14348" max="14588" width="9" style="25"/>
    <col min="14589" max="14589" width="33.625" style="25" customWidth="1"/>
    <col min="14590" max="14590" width="26.125" style="25" customWidth="1"/>
    <col min="14591" max="14591" width="8.125" style="25" customWidth="1"/>
    <col min="14592" max="14592" width="5.125" style="25" customWidth="1"/>
    <col min="14593" max="14601" width="12.625" style="25" customWidth="1"/>
    <col min="14602" max="14602" width="13.25" style="25" customWidth="1"/>
    <col min="14603" max="14603" width="12.875" style="25" customWidth="1"/>
    <col min="14604" max="14844" width="9" style="25"/>
    <col min="14845" max="14845" width="33.625" style="25" customWidth="1"/>
    <col min="14846" max="14846" width="26.125" style="25" customWidth="1"/>
    <col min="14847" max="14847" width="8.125" style="25" customWidth="1"/>
    <col min="14848" max="14848" width="5.125" style="25" customWidth="1"/>
    <col min="14849" max="14857" width="12.625" style="25" customWidth="1"/>
    <col min="14858" max="14858" width="13.25" style="25" customWidth="1"/>
    <col min="14859" max="14859" width="12.875" style="25" customWidth="1"/>
    <col min="14860" max="15100" width="9" style="25"/>
    <col min="15101" max="15101" width="33.625" style="25" customWidth="1"/>
    <col min="15102" max="15102" width="26.125" style="25" customWidth="1"/>
    <col min="15103" max="15103" width="8.125" style="25" customWidth="1"/>
    <col min="15104" max="15104" width="5.125" style="25" customWidth="1"/>
    <col min="15105" max="15113" width="12.625" style="25" customWidth="1"/>
    <col min="15114" max="15114" width="13.25" style="25" customWidth="1"/>
    <col min="15115" max="15115" width="12.875" style="25" customWidth="1"/>
    <col min="15116" max="15356" width="9" style="25"/>
    <col min="15357" max="15357" width="33.625" style="25" customWidth="1"/>
    <col min="15358" max="15358" width="26.125" style="25" customWidth="1"/>
    <col min="15359" max="15359" width="8.125" style="25" customWidth="1"/>
    <col min="15360" max="15360" width="5.125" style="25" customWidth="1"/>
    <col min="15361" max="15369" width="12.625" style="25" customWidth="1"/>
    <col min="15370" max="15370" width="13.25" style="25" customWidth="1"/>
    <col min="15371" max="15371" width="12.875" style="25" customWidth="1"/>
    <col min="15372" max="15612" width="9" style="25"/>
    <col min="15613" max="15613" width="33.625" style="25" customWidth="1"/>
    <col min="15614" max="15614" width="26.125" style="25" customWidth="1"/>
    <col min="15615" max="15615" width="8.125" style="25" customWidth="1"/>
    <col min="15616" max="15616" width="5.125" style="25" customWidth="1"/>
    <col min="15617" max="15625" width="12.625" style="25" customWidth="1"/>
    <col min="15626" max="15626" width="13.25" style="25" customWidth="1"/>
    <col min="15627" max="15627" width="12.875" style="25" customWidth="1"/>
    <col min="15628" max="15868" width="9" style="25"/>
    <col min="15869" max="15869" width="33.625" style="25" customWidth="1"/>
    <col min="15870" max="15870" width="26.125" style="25" customWidth="1"/>
    <col min="15871" max="15871" width="8.125" style="25" customWidth="1"/>
    <col min="15872" max="15872" width="5.125" style="25" customWidth="1"/>
    <col min="15873" max="15881" width="12.625" style="25" customWidth="1"/>
    <col min="15882" max="15882" width="13.25" style="25" customWidth="1"/>
    <col min="15883" max="15883" width="12.875" style="25" customWidth="1"/>
    <col min="15884" max="16124" width="9" style="25"/>
    <col min="16125" max="16125" width="33.625" style="25" customWidth="1"/>
    <col min="16126" max="16126" width="26.125" style="25" customWidth="1"/>
    <col min="16127" max="16127" width="8.125" style="25" customWidth="1"/>
    <col min="16128" max="16128" width="5.125" style="25" customWidth="1"/>
    <col min="16129" max="16137" width="12.625" style="25" customWidth="1"/>
    <col min="16138" max="16138" width="13.25" style="25" customWidth="1"/>
    <col min="16139" max="16139" width="12.875" style="25" customWidth="1"/>
    <col min="16140" max="16384" width="9" style="25"/>
  </cols>
  <sheetData>
    <row r="1" spans="1:13" ht="30" customHeight="1">
      <c r="A1" s="295" t="s">
        <v>2496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</row>
    <row r="2" spans="1:13" ht="24.95" customHeight="1" thickBot="1">
      <c r="A2" s="250" t="s">
        <v>2531</v>
      </c>
      <c r="B2" s="26"/>
      <c r="C2" s="27"/>
      <c r="D2" s="28"/>
      <c r="E2" s="26"/>
      <c r="F2" s="26"/>
      <c r="G2" s="26"/>
      <c r="H2" s="26"/>
      <c r="I2" s="26"/>
      <c r="J2" s="26"/>
      <c r="K2" s="26"/>
      <c r="L2" s="26"/>
      <c r="M2" s="26"/>
    </row>
    <row r="3" spans="1:13" s="29" customFormat="1" ht="24.95" customHeight="1">
      <c r="A3" s="297" t="s">
        <v>742</v>
      </c>
      <c r="B3" s="299" t="s">
        <v>743</v>
      </c>
      <c r="C3" s="301" t="s">
        <v>744</v>
      </c>
      <c r="D3" s="299" t="s">
        <v>745</v>
      </c>
      <c r="E3" s="299" t="s">
        <v>746</v>
      </c>
      <c r="F3" s="299"/>
      <c r="G3" s="299" t="s">
        <v>747</v>
      </c>
      <c r="H3" s="299"/>
      <c r="I3" s="299" t="s">
        <v>748</v>
      </c>
      <c r="J3" s="299"/>
      <c r="K3" s="299" t="s">
        <v>749</v>
      </c>
      <c r="L3" s="299"/>
      <c r="M3" s="303" t="s">
        <v>750</v>
      </c>
    </row>
    <row r="4" spans="1:13" s="29" customFormat="1" ht="24.95" customHeight="1" thickBot="1">
      <c r="A4" s="298" t="s">
        <v>22</v>
      </c>
      <c r="B4" s="300" t="s">
        <v>22</v>
      </c>
      <c r="C4" s="302" t="s">
        <v>22</v>
      </c>
      <c r="D4" s="300" t="s">
        <v>22</v>
      </c>
      <c r="E4" s="30" t="s">
        <v>751</v>
      </c>
      <c r="F4" s="30" t="s">
        <v>752</v>
      </c>
      <c r="G4" s="30" t="s">
        <v>751</v>
      </c>
      <c r="H4" s="30" t="s">
        <v>752</v>
      </c>
      <c r="I4" s="30" t="s">
        <v>751</v>
      </c>
      <c r="J4" s="30" t="s">
        <v>752</v>
      </c>
      <c r="K4" s="30" t="s">
        <v>751</v>
      </c>
      <c r="L4" s="30" t="s">
        <v>752</v>
      </c>
      <c r="M4" s="304" t="s">
        <v>22</v>
      </c>
    </row>
    <row r="5" spans="1:13" s="29" customFormat="1" ht="24.95" customHeight="1">
      <c r="A5" s="31" t="s">
        <v>753</v>
      </c>
      <c r="B5" s="32" t="s">
        <v>22</v>
      </c>
      <c r="C5" s="33">
        <v>1</v>
      </c>
      <c r="D5" s="34" t="s">
        <v>754</v>
      </c>
      <c r="E5" s="35"/>
      <c r="F5" s="36">
        <f>TRUNC(F6+F7+F10+F11+F12+F13+F14+F15+F16+F17+F18+F19+F20+F21+F22+F23+F24+F25+F26+F27+F28+F29+F310+F31+F33)</f>
        <v>64527286110</v>
      </c>
      <c r="H5" s="36">
        <f>TRUNC(H6+H7+H10+H11+H12+H13+H14+H15+H16+H17+H18+H19+H20+H21+H22+H23+H24+H25+H26+H27+H28+H29+H310+H31+H33)</f>
        <v>68496204534</v>
      </c>
      <c r="J5" s="36">
        <f>TRUNC(J6+J7+J10+J11+J12+J13+J14+J15+J16+J17+J18+J19+J20+J21+J22+J23+J24+J25+J26+J27+J28+J29+J310+J31+J33)</f>
        <v>96033509356</v>
      </c>
      <c r="L5" s="36">
        <f t="shared" ref="L5:L32" si="0">H5+F5+J5</f>
        <v>229057000000</v>
      </c>
      <c r="M5" s="37" t="s">
        <v>22</v>
      </c>
    </row>
    <row r="6" spans="1:13" s="29" customFormat="1" ht="24.95" customHeight="1">
      <c r="A6" s="31" t="s">
        <v>2491</v>
      </c>
      <c r="B6" s="32" t="s">
        <v>22</v>
      </c>
      <c r="C6" s="33">
        <v>1</v>
      </c>
      <c r="D6" s="34" t="s">
        <v>754</v>
      </c>
      <c r="E6" s="36">
        <f>'원가계산서(토목공사)'!F9</f>
        <v>55865798826</v>
      </c>
      <c r="F6" s="36">
        <f>TRUNC(E6*$C6,0)</f>
        <v>55865798826</v>
      </c>
      <c r="G6" s="36">
        <f>'원가계산서(토목공사)'!F6</f>
        <v>66523722128</v>
      </c>
      <c r="H6" s="36">
        <f t="shared" ref="H6:H7" si="1">TRUNC(G6*$C6,0)</f>
        <v>66523722128</v>
      </c>
      <c r="I6" s="36">
        <f>'원가계산서(토목공사)'!F12</f>
        <v>29621556618</v>
      </c>
      <c r="J6" s="36">
        <f t="shared" ref="J6:J7" si="2">TRUNC(I6*$C6,0)</f>
        <v>29621556618</v>
      </c>
      <c r="K6" s="36">
        <f t="shared" ref="K6:K32" si="3">G6+E6+I6</f>
        <v>152011077572</v>
      </c>
      <c r="L6" s="36">
        <f t="shared" si="0"/>
        <v>152011077572</v>
      </c>
      <c r="M6" s="37" t="s">
        <v>22</v>
      </c>
    </row>
    <row r="7" spans="1:13" s="29" customFormat="1" ht="24.95" customHeight="1">
      <c r="A7" s="31" t="s">
        <v>2492</v>
      </c>
      <c r="B7" s="32" t="s">
        <v>22</v>
      </c>
      <c r="C7" s="33">
        <v>1</v>
      </c>
      <c r="D7" s="34" t="s">
        <v>754</v>
      </c>
      <c r="E7" s="36">
        <f>'원가계산서(총괄)'!G9</f>
        <v>1037484768</v>
      </c>
      <c r="F7" s="36">
        <f t="shared" ref="F7" si="4">TRUNC(E7*$C7,0)</f>
        <v>1037484768</v>
      </c>
      <c r="G7" s="36">
        <f>'원가계산서(총괄)'!G6</f>
        <v>1972482406</v>
      </c>
      <c r="H7" s="36">
        <f t="shared" si="1"/>
        <v>1972482406</v>
      </c>
      <c r="I7" s="36">
        <f>'원가계산서(총괄)'!G12</f>
        <v>22109916</v>
      </c>
      <c r="J7" s="36">
        <f t="shared" si="2"/>
        <v>22109916</v>
      </c>
      <c r="K7" s="36">
        <f t="shared" si="3"/>
        <v>3032077090</v>
      </c>
      <c r="L7" s="36">
        <f t="shared" si="0"/>
        <v>3032077090</v>
      </c>
      <c r="M7" s="37" t="s">
        <v>22</v>
      </c>
    </row>
    <row r="8" spans="1:13" s="29" customFormat="1" ht="24.95" customHeight="1">
      <c r="A8" s="31" t="s">
        <v>766</v>
      </c>
      <c r="B8" s="32" t="s">
        <v>22</v>
      </c>
      <c r="C8" s="33"/>
      <c r="D8" s="34" t="s">
        <v>22</v>
      </c>
      <c r="E8" s="34"/>
      <c r="F8" s="36">
        <v>0</v>
      </c>
      <c r="G8" s="34"/>
      <c r="H8" s="36">
        <v>0</v>
      </c>
      <c r="I8" s="34"/>
      <c r="J8" s="36">
        <v>0</v>
      </c>
      <c r="K8" s="36">
        <f t="shared" si="3"/>
        <v>0</v>
      </c>
      <c r="L8" s="36">
        <f t="shared" si="0"/>
        <v>0</v>
      </c>
      <c r="M8" s="37" t="s">
        <v>22</v>
      </c>
    </row>
    <row r="9" spans="1:13" s="45" customFormat="1" ht="24.95" customHeight="1">
      <c r="A9" s="39" t="s">
        <v>767</v>
      </c>
      <c r="B9" s="40" t="s">
        <v>22</v>
      </c>
      <c r="C9" s="41">
        <v>1</v>
      </c>
      <c r="D9" s="42" t="s">
        <v>754</v>
      </c>
      <c r="E9" s="42"/>
      <c r="F9" s="43">
        <f>F6+F7</f>
        <v>56903283594</v>
      </c>
      <c r="G9" s="42"/>
      <c r="H9" s="43">
        <f>H6+H7</f>
        <v>68496204534</v>
      </c>
      <c r="I9" s="42"/>
      <c r="J9" s="43">
        <f>J6+J7</f>
        <v>29643666534</v>
      </c>
      <c r="K9" s="43">
        <f t="shared" si="3"/>
        <v>0</v>
      </c>
      <c r="L9" s="43">
        <f t="shared" si="0"/>
        <v>155043154662</v>
      </c>
      <c r="M9" s="44" t="s">
        <v>22</v>
      </c>
    </row>
    <row r="10" spans="1:13" s="29" customFormat="1" ht="24.95" customHeight="1">
      <c r="A10" s="31" t="s">
        <v>768</v>
      </c>
      <c r="B10" s="32"/>
      <c r="C10" s="33">
        <v>1</v>
      </c>
      <c r="D10" s="34" t="s">
        <v>754</v>
      </c>
      <c r="E10" s="34"/>
      <c r="F10" s="36">
        <v>0</v>
      </c>
      <c r="G10" s="34"/>
      <c r="H10" s="36">
        <f>TRUNC((0*0/100),0)</f>
        <v>0</v>
      </c>
      <c r="I10" s="34"/>
      <c r="J10" s="36">
        <v>0</v>
      </c>
      <c r="K10" s="36">
        <f t="shared" si="3"/>
        <v>0</v>
      </c>
      <c r="L10" s="36">
        <f t="shared" si="0"/>
        <v>0</v>
      </c>
      <c r="M10" s="37" t="s">
        <v>22</v>
      </c>
    </row>
    <row r="11" spans="1:13" s="29" customFormat="1" ht="24.95" customHeight="1">
      <c r="A11" s="31" t="s">
        <v>769</v>
      </c>
      <c r="B11" s="32"/>
      <c r="C11" s="33">
        <v>1</v>
      </c>
      <c r="D11" s="34" t="s">
        <v>754</v>
      </c>
      <c r="E11" s="34"/>
      <c r="F11" s="36">
        <f>'원가계산서(총괄)'!H10</f>
        <v>7624002516</v>
      </c>
      <c r="G11" s="34"/>
      <c r="H11" s="36">
        <v>0</v>
      </c>
      <c r="I11" s="34"/>
      <c r="J11" s="36">
        <v>0</v>
      </c>
      <c r="K11" s="36">
        <f t="shared" si="3"/>
        <v>0</v>
      </c>
      <c r="L11" s="36">
        <f t="shared" si="0"/>
        <v>7624002516</v>
      </c>
      <c r="M11" s="37" t="s">
        <v>22</v>
      </c>
    </row>
    <row r="12" spans="1:13" s="29" customFormat="1" ht="24.95" customHeight="1">
      <c r="A12" s="31" t="s">
        <v>771</v>
      </c>
      <c r="B12" s="32"/>
      <c r="C12" s="33">
        <v>1</v>
      </c>
      <c r="D12" s="34" t="s">
        <v>754</v>
      </c>
      <c r="E12" s="34"/>
      <c r="F12" s="36"/>
      <c r="G12" s="34"/>
      <c r="H12" s="36">
        <v>0</v>
      </c>
      <c r="I12" s="34"/>
      <c r="J12" s="36">
        <f>'원가계산서(총괄)'!H13</f>
        <v>2297171384</v>
      </c>
      <c r="K12" s="36">
        <f t="shared" si="3"/>
        <v>0</v>
      </c>
      <c r="L12" s="36">
        <f t="shared" si="0"/>
        <v>2297171384</v>
      </c>
      <c r="M12" s="37" t="s">
        <v>22</v>
      </c>
    </row>
    <row r="13" spans="1:13" s="29" customFormat="1" ht="24.95" customHeight="1">
      <c r="A13" s="31" t="s">
        <v>773</v>
      </c>
      <c r="B13" s="32"/>
      <c r="C13" s="33">
        <v>1</v>
      </c>
      <c r="D13" s="34" t="s">
        <v>754</v>
      </c>
      <c r="E13" s="34"/>
      <c r="F13" s="36"/>
      <c r="G13" s="34"/>
      <c r="H13" s="36">
        <v>0</v>
      </c>
      <c r="I13" s="34"/>
      <c r="J13" s="36">
        <f>'원가계산서(총괄)'!H14</f>
        <v>1006495758</v>
      </c>
      <c r="K13" s="36">
        <f t="shared" si="3"/>
        <v>0</v>
      </c>
      <c r="L13" s="36">
        <f t="shared" si="0"/>
        <v>1006495758</v>
      </c>
      <c r="M13" s="37" t="s">
        <v>22</v>
      </c>
    </row>
    <row r="14" spans="1:13" s="54" customFormat="1" ht="24.95" customHeight="1">
      <c r="A14" s="47" t="s">
        <v>776</v>
      </c>
      <c r="B14" s="48"/>
      <c r="C14" s="49">
        <v>1</v>
      </c>
      <c r="D14" s="50" t="s">
        <v>754</v>
      </c>
      <c r="E14" s="50"/>
      <c r="F14" s="51"/>
      <c r="G14" s="50"/>
      <c r="H14" s="51">
        <v>0</v>
      </c>
      <c r="I14" s="50"/>
      <c r="J14" s="51">
        <f>'원가계산서(총괄)'!H15</f>
        <v>2422302413</v>
      </c>
      <c r="K14" s="51">
        <f t="shared" si="3"/>
        <v>0</v>
      </c>
      <c r="L14" s="51">
        <f t="shared" si="0"/>
        <v>2422302413</v>
      </c>
      <c r="M14" s="52" t="s">
        <v>22</v>
      </c>
    </row>
    <row r="15" spans="1:13" s="54" customFormat="1" ht="24.95" customHeight="1">
      <c r="A15" s="47" t="s">
        <v>778</v>
      </c>
      <c r="B15" s="48"/>
      <c r="C15" s="49">
        <v>1</v>
      </c>
      <c r="D15" s="50" t="s">
        <v>754</v>
      </c>
      <c r="E15" s="50"/>
      <c r="F15" s="51"/>
      <c r="G15" s="50"/>
      <c r="H15" s="51">
        <v>0</v>
      </c>
      <c r="I15" s="50"/>
      <c r="J15" s="51">
        <f>'원가계산서(총괄)'!H16</f>
        <v>313688162</v>
      </c>
      <c r="K15" s="51">
        <f t="shared" si="3"/>
        <v>0</v>
      </c>
      <c r="L15" s="51">
        <f t="shared" si="0"/>
        <v>313688162</v>
      </c>
      <c r="M15" s="52" t="s">
        <v>22</v>
      </c>
    </row>
    <row r="16" spans="1:13" s="54" customFormat="1" ht="24.95" customHeight="1">
      <c r="A16" s="47" t="s">
        <v>780</v>
      </c>
      <c r="B16" s="48"/>
      <c r="C16" s="49">
        <v>1</v>
      </c>
      <c r="D16" s="50" t="s">
        <v>754</v>
      </c>
      <c r="E16" s="50"/>
      <c r="F16" s="51"/>
      <c r="G16" s="50"/>
      <c r="H16" s="51">
        <v>0</v>
      </c>
      <c r="I16" s="50"/>
      <c r="J16" s="51">
        <f>'원가계산서(총괄)'!H17</f>
        <v>3074854968</v>
      </c>
      <c r="K16" s="51">
        <f t="shared" si="3"/>
        <v>0</v>
      </c>
      <c r="L16" s="51">
        <f t="shared" si="0"/>
        <v>3074854968</v>
      </c>
      <c r="M16" s="52" t="s">
        <v>22</v>
      </c>
    </row>
    <row r="17" spans="1:13" s="54" customFormat="1" ht="24.95" customHeight="1">
      <c r="A17" s="47" t="s">
        <v>782</v>
      </c>
      <c r="B17" s="48"/>
      <c r="C17" s="49">
        <v>1</v>
      </c>
      <c r="D17" s="50" t="s">
        <v>754</v>
      </c>
      <c r="E17" s="50"/>
      <c r="F17" s="51"/>
      <c r="G17" s="50"/>
      <c r="H17" s="51">
        <v>0</v>
      </c>
      <c r="I17" s="50"/>
      <c r="J17" s="51">
        <f>'원가계산서(총괄)'!H18</f>
        <v>1571592539</v>
      </c>
      <c r="K17" s="51">
        <f t="shared" si="3"/>
        <v>0</v>
      </c>
      <c r="L17" s="51">
        <f t="shared" si="0"/>
        <v>1571592539</v>
      </c>
      <c r="M17" s="52" t="s">
        <v>22</v>
      </c>
    </row>
    <row r="18" spans="1:13" s="29" customFormat="1" ht="24.95" customHeight="1">
      <c r="A18" s="31" t="s">
        <v>784</v>
      </c>
      <c r="B18" s="32"/>
      <c r="C18" s="33">
        <v>1</v>
      </c>
      <c r="D18" s="34" t="s">
        <v>754</v>
      </c>
      <c r="E18" s="34"/>
      <c r="F18" s="36"/>
      <c r="G18" s="34"/>
      <c r="H18" s="36">
        <v>0</v>
      </c>
      <c r="I18" s="34"/>
      <c r="J18" s="36">
        <f>'원가계산서(총괄)'!H19</f>
        <v>608044310</v>
      </c>
      <c r="K18" s="36">
        <f t="shared" si="3"/>
        <v>0</v>
      </c>
      <c r="L18" s="36">
        <f t="shared" si="0"/>
        <v>608044310</v>
      </c>
      <c r="M18" s="37" t="s">
        <v>22</v>
      </c>
    </row>
    <row r="19" spans="1:13" s="54" customFormat="1" ht="24.95" customHeight="1">
      <c r="A19" s="47" t="s">
        <v>786</v>
      </c>
      <c r="B19" s="48"/>
      <c r="C19" s="49">
        <v>1</v>
      </c>
      <c r="D19" s="50" t="s">
        <v>754</v>
      </c>
      <c r="E19" s="50"/>
      <c r="F19" s="51"/>
      <c r="G19" s="50"/>
      <c r="H19" s="51">
        <v>0</v>
      </c>
      <c r="I19" s="50"/>
      <c r="J19" s="51">
        <f>'원가계산서(총괄)'!H20</f>
        <v>2114236030</v>
      </c>
      <c r="K19" s="51">
        <f t="shared" si="3"/>
        <v>0</v>
      </c>
      <c r="L19" s="51">
        <f t="shared" si="0"/>
        <v>2114236030</v>
      </c>
      <c r="M19" s="52" t="s">
        <v>22</v>
      </c>
    </row>
    <row r="20" spans="1:13" s="29" customFormat="1" ht="24.95" customHeight="1">
      <c r="A20" s="31" t="s">
        <v>788</v>
      </c>
      <c r="B20" s="32"/>
      <c r="C20" s="33">
        <v>1</v>
      </c>
      <c r="D20" s="34" t="s">
        <v>754</v>
      </c>
      <c r="E20" s="34"/>
      <c r="F20" s="36"/>
      <c r="G20" s="34"/>
      <c r="H20" s="36">
        <v>0</v>
      </c>
      <c r="I20" s="34"/>
      <c r="J20" s="36">
        <f>'원가계산서(총괄)'!H21</f>
        <v>912066465</v>
      </c>
      <c r="K20" s="36">
        <f t="shared" si="3"/>
        <v>0</v>
      </c>
      <c r="L20" s="36">
        <f t="shared" si="0"/>
        <v>912066465</v>
      </c>
      <c r="M20" s="37" t="s">
        <v>22</v>
      </c>
    </row>
    <row r="21" spans="1:13" s="29" customFormat="1" ht="24.95" customHeight="1">
      <c r="A21" s="31" t="s">
        <v>790</v>
      </c>
      <c r="B21" s="32"/>
      <c r="C21" s="33">
        <v>1</v>
      </c>
      <c r="D21" s="34" t="s">
        <v>754</v>
      </c>
      <c r="E21" s="34"/>
      <c r="F21" s="36"/>
      <c r="G21" s="34"/>
      <c r="H21" s="36">
        <v>0</v>
      </c>
      <c r="I21" s="34"/>
      <c r="J21" s="36">
        <f>'원가계산서(총괄)'!H22</f>
        <v>107927865</v>
      </c>
      <c r="K21" s="36">
        <f t="shared" si="3"/>
        <v>0</v>
      </c>
      <c r="L21" s="36">
        <f t="shared" si="0"/>
        <v>107927865</v>
      </c>
      <c r="M21" s="37" t="s">
        <v>22</v>
      </c>
    </row>
    <row r="22" spans="1:13" s="29" customFormat="1" ht="24.95" customHeight="1">
      <c r="A22" s="31" t="s">
        <v>792</v>
      </c>
      <c r="B22" s="32"/>
      <c r="C22" s="33">
        <v>1</v>
      </c>
      <c r="D22" s="34" t="s">
        <v>754</v>
      </c>
      <c r="E22" s="34"/>
      <c r="F22" s="36"/>
      <c r="G22" s="34"/>
      <c r="H22" s="36">
        <v>0</v>
      </c>
      <c r="I22" s="34"/>
      <c r="J22" s="36">
        <f>'원가계산서(총괄)'!H23</f>
        <v>9184916759</v>
      </c>
      <c r="K22" s="36">
        <f t="shared" si="3"/>
        <v>0</v>
      </c>
      <c r="L22" s="36">
        <f t="shared" si="0"/>
        <v>9184916759</v>
      </c>
      <c r="M22" s="37"/>
    </row>
    <row r="23" spans="1:13" s="29" customFormat="1" ht="24.95" customHeight="1">
      <c r="A23" s="31" t="s">
        <v>794</v>
      </c>
      <c r="B23" s="32"/>
      <c r="C23" s="33">
        <v>1</v>
      </c>
      <c r="D23" s="34" t="s">
        <v>754</v>
      </c>
      <c r="E23" s="34"/>
      <c r="F23" s="36"/>
      <c r="G23" s="34"/>
      <c r="H23" s="36">
        <v>0</v>
      </c>
      <c r="I23" s="34"/>
      <c r="J23" s="36">
        <f>'원가계산서(총괄)'!H26</f>
        <v>8419307859</v>
      </c>
      <c r="K23" s="36">
        <f t="shared" si="3"/>
        <v>0</v>
      </c>
      <c r="L23" s="36">
        <f t="shared" si="0"/>
        <v>8419307859</v>
      </c>
      <c r="M23" s="37"/>
    </row>
    <row r="24" spans="1:13" s="29" customFormat="1" ht="24.95" customHeight="1">
      <c r="A24" s="31" t="s">
        <v>796</v>
      </c>
      <c r="B24" s="32"/>
      <c r="C24" s="33">
        <v>1</v>
      </c>
      <c r="D24" s="34" t="s">
        <v>754</v>
      </c>
      <c r="E24" s="34"/>
      <c r="F24" s="36"/>
      <c r="G24" s="34"/>
      <c r="H24" s="36">
        <v>0</v>
      </c>
      <c r="I24" s="34"/>
      <c r="J24" s="36">
        <f>'원가계산서(총괄)'!H27</f>
        <v>209912160</v>
      </c>
      <c r="K24" s="36">
        <f t="shared" si="3"/>
        <v>0</v>
      </c>
      <c r="L24" s="36">
        <f t="shared" si="0"/>
        <v>209912160</v>
      </c>
      <c r="M24" s="37"/>
    </row>
    <row r="25" spans="1:13" s="29" customFormat="1" ht="24.95" customHeight="1">
      <c r="A25" s="31" t="s">
        <v>798</v>
      </c>
      <c r="B25" s="32"/>
      <c r="C25" s="33">
        <v>1</v>
      </c>
      <c r="D25" s="34" t="s">
        <v>754</v>
      </c>
      <c r="E25" s="34"/>
      <c r="F25" s="36"/>
      <c r="G25" s="34"/>
      <c r="H25" s="36">
        <v>0</v>
      </c>
      <c r="I25" s="34"/>
      <c r="J25" s="36">
        <f>'원가계산서(총괄)'!H28</f>
        <v>11490500103</v>
      </c>
      <c r="K25" s="36">
        <f t="shared" si="3"/>
        <v>0</v>
      </c>
      <c r="L25" s="36">
        <f t="shared" si="0"/>
        <v>11490500103</v>
      </c>
      <c r="M25" s="37"/>
    </row>
    <row r="26" spans="1:13" s="29" customFormat="1" ht="24.95" customHeight="1">
      <c r="A26" s="31" t="s">
        <v>800</v>
      </c>
      <c r="B26" s="32"/>
      <c r="C26" s="33">
        <v>1</v>
      </c>
      <c r="D26" s="34" t="s">
        <v>754</v>
      </c>
      <c r="E26" s="36">
        <v>0</v>
      </c>
      <c r="F26" s="36"/>
      <c r="G26" s="36">
        <v>0</v>
      </c>
      <c r="H26" s="36"/>
      <c r="I26" s="36"/>
      <c r="J26" s="36">
        <f>'원가계산서(총괄)'!H29</f>
        <v>453609000</v>
      </c>
      <c r="K26" s="36">
        <f t="shared" si="3"/>
        <v>0</v>
      </c>
      <c r="L26" s="36">
        <f t="shared" si="0"/>
        <v>453609000</v>
      </c>
      <c r="M26" s="37"/>
    </row>
    <row r="27" spans="1:13" s="29" customFormat="1" ht="24.95" customHeight="1">
      <c r="A27" s="31" t="s">
        <v>801</v>
      </c>
      <c r="B27" s="32"/>
      <c r="C27" s="33">
        <v>21</v>
      </c>
      <c r="D27" s="34" t="s">
        <v>513</v>
      </c>
      <c r="E27" s="36"/>
      <c r="F27" s="36"/>
      <c r="G27" s="36">
        <v>0</v>
      </c>
      <c r="H27" s="36"/>
      <c r="I27" s="36"/>
      <c r="J27" s="36">
        <f>'원가계산서(총괄)'!H30</f>
        <v>142023000</v>
      </c>
      <c r="K27" s="36">
        <f t="shared" si="3"/>
        <v>0</v>
      </c>
      <c r="L27" s="36">
        <f t="shared" si="0"/>
        <v>142023000</v>
      </c>
      <c r="M27" s="37"/>
    </row>
    <row r="28" spans="1:13" s="29" customFormat="1" ht="24.95" customHeight="1">
      <c r="A28" s="31" t="s">
        <v>802</v>
      </c>
      <c r="B28" s="32"/>
      <c r="C28" s="33">
        <v>1</v>
      </c>
      <c r="D28" s="34" t="s">
        <v>754</v>
      </c>
      <c r="E28" s="36"/>
      <c r="F28" s="36"/>
      <c r="G28" s="36"/>
      <c r="H28" s="36">
        <f>TRUNC(G28*C28,0)</f>
        <v>0</v>
      </c>
      <c r="I28" s="36"/>
      <c r="J28" s="36">
        <f>'원가계산서(총괄)'!H31</f>
        <v>1113009593</v>
      </c>
      <c r="K28" s="36">
        <f t="shared" si="3"/>
        <v>0</v>
      </c>
      <c r="L28" s="36">
        <f t="shared" si="0"/>
        <v>1113009593</v>
      </c>
      <c r="M28" s="37"/>
    </row>
    <row r="29" spans="1:13" s="29" customFormat="1" ht="24.95" customHeight="1">
      <c r="A29" s="31" t="s">
        <v>803</v>
      </c>
      <c r="B29" s="32"/>
      <c r="C29" s="33">
        <v>1</v>
      </c>
      <c r="D29" s="34" t="s">
        <v>754</v>
      </c>
      <c r="E29" s="36"/>
      <c r="F29" s="36"/>
      <c r="G29" s="36">
        <v>0</v>
      </c>
      <c r="H29" s="36"/>
      <c r="I29" s="36"/>
      <c r="J29" s="36">
        <f>'원가계산서(총괄)'!H32</f>
        <v>86639000</v>
      </c>
      <c r="K29" s="36">
        <f t="shared" si="3"/>
        <v>0</v>
      </c>
      <c r="L29" s="36">
        <f t="shared" si="0"/>
        <v>86639000</v>
      </c>
      <c r="M29" s="37"/>
    </row>
    <row r="30" spans="1:13" s="45" customFormat="1" ht="24.95" customHeight="1">
      <c r="A30" s="39" t="s">
        <v>2494</v>
      </c>
      <c r="B30" s="40"/>
      <c r="C30" s="41">
        <v>1</v>
      </c>
      <c r="D30" s="42" t="s">
        <v>754</v>
      </c>
      <c r="E30" s="42"/>
      <c r="F30" s="43"/>
      <c r="G30" s="42"/>
      <c r="H30" s="43">
        <v>0</v>
      </c>
      <c r="I30" s="42"/>
      <c r="J30" s="43">
        <f>TRUNC((H9+J9+F9+F11+J12+J13+J14+J15+J16+J17+J18+J19+J20+J21+J22+J23+J24+J25+J26+J27+H28+J28+J29),0)</f>
        <v>208195454546</v>
      </c>
      <c r="K30" s="43">
        <f t="shared" si="3"/>
        <v>0</v>
      </c>
      <c r="L30" s="43">
        <f t="shared" si="0"/>
        <v>208195454546</v>
      </c>
      <c r="M30" s="44"/>
    </row>
    <row r="31" spans="1:13" s="29" customFormat="1" ht="24.95" customHeight="1">
      <c r="A31" s="31" t="s">
        <v>806</v>
      </c>
      <c r="B31" s="32"/>
      <c r="C31" s="33">
        <v>1</v>
      </c>
      <c r="D31" s="34" t="s">
        <v>754</v>
      </c>
      <c r="E31" s="34"/>
      <c r="F31" s="36"/>
      <c r="G31" s="34"/>
      <c r="H31" s="36">
        <v>0</v>
      </c>
      <c r="I31" s="34"/>
      <c r="J31" s="36">
        <f>'원가계산서(총괄)'!H34</f>
        <v>20819545454</v>
      </c>
      <c r="K31" s="36">
        <f t="shared" si="3"/>
        <v>0</v>
      </c>
      <c r="L31" s="36">
        <f t="shared" si="0"/>
        <v>20819545454</v>
      </c>
      <c r="M31" s="37"/>
    </row>
    <row r="32" spans="1:13" s="45" customFormat="1" ht="24.95" customHeight="1">
      <c r="A32" s="39" t="s">
        <v>2493</v>
      </c>
      <c r="B32" s="40"/>
      <c r="C32" s="41">
        <v>1</v>
      </c>
      <c r="D32" s="42" t="s">
        <v>754</v>
      </c>
      <c r="E32" s="42"/>
      <c r="F32" s="43"/>
      <c r="G32" s="42"/>
      <c r="H32" s="43">
        <v>0</v>
      </c>
      <c r="I32" s="42"/>
      <c r="J32" s="43">
        <f>J30+J31</f>
        <v>229015000000</v>
      </c>
      <c r="K32" s="43">
        <f t="shared" si="3"/>
        <v>0</v>
      </c>
      <c r="L32" s="43">
        <f t="shared" si="0"/>
        <v>229015000000</v>
      </c>
      <c r="M32" s="44"/>
    </row>
    <row r="33" spans="1:13" s="29" customFormat="1" ht="24.95" customHeight="1">
      <c r="A33" s="31" t="s">
        <v>2495</v>
      </c>
      <c r="B33" s="32"/>
      <c r="C33" s="33">
        <v>1</v>
      </c>
      <c r="D33" s="34" t="s">
        <v>754</v>
      </c>
      <c r="E33" s="34"/>
      <c r="F33" s="36"/>
      <c r="G33" s="34"/>
      <c r="H33" s="36">
        <v>0</v>
      </c>
      <c r="I33" s="34"/>
      <c r="J33" s="36">
        <f>'원가계산서(총괄)'!H36</f>
        <v>42000000</v>
      </c>
      <c r="K33" s="36">
        <f t="shared" ref="K33:K34" si="5">G33+E33+I33</f>
        <v>0</v>
      </c>
      <c r="L33" s="36">
        <f t="shared" ref="L33:L34" si="6">H33+F33+J33</f>
        <v>42000000</v>
      </c>
      <c r="M33" s="37"/>
    </row>
    <row r="34" spans="1:13" s="45" customFormat="1" ht="24.95" customHeight="1">
      <c r="A34" s="39" t="s">
        <v>808</v>
      </c>
      <c r="B34" s="40"/>
      <c r="C34" s="41">
        <v>1</v>
      </c>
      <c r="D34" s="42" t="s">
        <v>754</v>
      </c>
      <c r="E34" s="42"/>
      <c r="F34" s="43"/>
      <c r="G34" s="42"/>
      <c r="H34" s="43">
        <v>0</v>
      </c>
      <c r="I34" s="42"/>
      <c r="J34" s="43">
        <f>J32+J33</f>
        <v>229057000000</v>
      </c>
      <c r="K34" s="43">
        <f t="shared" si="5"/>
        <v>0</v>
      </c>
      <c r="L34" s="43">
        <f t="shared" si="6"/>
        <v>229057000000</v>
      </c>
      <c r="M34" s="44"/>
    </row>
    <row r="35" spans="1:13" s="29" customFormat="1" ht="24.95" customHeight="1">
      <c r="A35" s="31"/>
      <c r="B35" s="32"/>
      <c r="C35" s="33"/>
      <c r="D35" s="34"/>
      <c r="E35" s="34"/>
      <c r="F35" s="36"/>
      <c r="G35" s="34"/>
      <c r="H35" s="36"/>
      <c r="I35" s="34"/>
      <c r="J35" s="36"/>
      <c r="K35" s="36"/>
      <c r="L35" s="56"/>
      <c r="M35" s="37"/>
    </row>
    <row r="36" spans="1:13" s="29" customFormat="1" ht="24.95" customHeight="1">
      <c r="A36" s="31"/>
      <c r="B36" s="32"/>
      <c r="C36" s="33"/>
      <c r="D36" s="34"/>
      <c r="E36" s="34"/>
      <c r="F36" s="36"/>
      <c r="G36" s="34"/>
      <c r="H36" s="36"/>
      <c r="I36" s="34"/>
      <c r="J36" s="36"/>
      <c r="K36" s="36"/>
      <c r="L36" s="36"/>
      <c r="M36" s="37"/>
    </row>
    <row r="37" spans="1:13" s="29" customFormat="1" ht="24.95" customHeight="1">
      <c r="A37" s="31"/>
      <c r="B37" s="32"/>
      <c r="C37" s="33"/>
      <c r="D37" s="34"/>
      <c r="E37" s="34"/>
      <c r="F37" s="36"/>
      <c r="G37" s="34"/>
      <c r="H37" s="36"/>
      <c r="I37" s="34"/>
      <c r="J37" s="36"/>
      <c r="K37" s="36"/>
      <c r="L37" s="36"/>
      <c r="M37" s="37"/>
    </row>
    <row r="38" spans="1:13" ht="24.95" customHeight="1"/>
  </sheetData>
  <mergeCells count="10">
    <mergeCell ref="A1:M1"/>
    <mergeCell ref="A3:A4"/>
    <mergeCell ref="B3:B4"/>
    <mergeCell ref="C3:C4"/>
    <mergeCell ref="D3:D4"/>
    <mergeCell ref="E3:F3"/>
    <mergeCell ref="G3:H3"/>
    <mergeCell ref="I3:J3"/>
    <mergeCell ref="K3:L3"/>
    <mergeCell ref="M3:M4"/>
  </mergeCells>
  <phoneticPr fontId="4" type="noConversion"/>
  <printOptions horizontalCentered="1"/>
  <pageMargins left="0.59055118110236227" right="0.39370078740157483" top="0.59055118110236227" bottom="0.51181102362204722" header="0.39370078740157483" footer="0.15748031496062992"/>
  <pageSetup paperSize="9" scale="66" orientation="landscape" r:id="rId1"/>
  <headerFooter alignWithMargins="0">
    <oddFooter>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pageSetUpPr fitToPage="1"/>
  </sheetPr>
  <dimension ref="A1:I40"/>
  <sheetViews>
    <sheetView view="pageBreakPreview" zoomScaleNormal="115" zoomScaleSheetLayoutView="100" workbookViewId="0">
      <selection activeCell="J25" sqref="J25"/>
    </sheetView>
  </sheetViews>
  <sheetFormatPr defaultRowHeight="16.5"/>
  <cols>
    <col min="1" max="2" width="4.75" style="100" customWidth="1"/>
    <col min="3" max="3" width="2.625" style="100" customWidth="1"/>
    <col min="4" max="4" width="20.625" style="100" customWidth="1"/>
    <col min="5" max="5" width="2.625" style="100" customWidth="1"/>
    <col min="6" max="6" width="16.625" style="100" customWidth="1"/>
    <col min="7" max="7" width="35.625" style="101" customWidth="1"/>
    <col min="8" max="8" width="3" style="100" customWidth="1"/>
    <col min="9" max="9" width="15.5" style="100" bestFit="1" customWidth="1"/>
    <col min="10" max="16384" width="9" style="100"/>
  </cols>
  <sheetData>
    <row r="1" spans="1:9" ht="6.95" customHeight="1"/>
    <row r="2" spans="1:9" ht="29.25" customHeight="1">
      <c r="A2" s="282" t="s">
        <v>2489</v>
      </c>
      <c r="B2" s="282"/>
      <c r="C2" s="282"/>
      <c r="D2" s="282"/>
      <c r="E2" s="282"/>
      <c r="F2" s="282"/>
      <c r="G2" s="282"/>
      <c r="H2" s="102"/>
      <c r="I2" s="102"/>
    </row>
    <row r="3" spans="1:9" ht="19.5" customHeight="1">
      <c r="A3" s="103" t="s">
        <v>2532</v>
      </c>
      <c r="B3" s="103"/>
      <c r="C3" s="103"/>
      <c r="D3" s="104"/>
      <c r="E3" s="104"/>
      <c r="F3" s="104"/>
      <c r="G3" s="105"/>
      <c r="H3" s="105"/>
      <c r="I3" s="105"/>
    </row>
    <row r="4" spans="1:9" ht="4.5" customHeight="1"/>
    <row r="5" spans="1:9" s="113" customFormat="1" ht="21" customHeight="1">
      <c r="A5" s="283" t="s">
        <v>2451</v>
      </c>
      <c r="B5" s="284"/>
      <c r="C5" s="284"/>
      <c r="D5" s="284"/>
      <c r="E5" s="201"/>
      <c r="F5" s="130" t="s">
        <v>2452</v>
      </c>
      <c r="G5" s="131" t="s">
        <v>2453</v>
      </c>
      <c r="I5" s="114"/>
    </row>
    <row r="6" spans="1:9" s="115" customFormat="1" ht="21" customHeight="1">
      <c r="A6" s="285" t="s">
        <v>2456</v>
      </c>
      <c r="B6" s="287" t="s">
        <v>2457</v>
      </c>
      <c r="C6" s="205"/>
      <c r="D6" s="212" t="s">
        <v>2458</v>
      </c>
      <c r="E6" s="207"/>
      <c r="F6" s="190">
        <f>'내역서(토목공사)'!H18</f>
        <v>66523722128</v>
      </c>
      <c r="G6" s="133"/>
      <c r="H6" s="180"/>
    </row>
    <row r="7" spans="1:9" s="115" customFormat="1" ht="21" customHeight="1">
      <c r="A7" s="286"/>
      <c r="B7" s="288"/>
      <c r="C7" s="206"/>
      <c r="D7" s="213" t="s">
        <v>2459</v>
      </c>
      <c r="E7" s="171"/>
      <c r="F7" s="191"/>
      <c r="G7" s="135"/>
      <c r="H7" s="180"/>
    </row>
    <row r="8" spans="1:9" s="116" customFormat="1" ht="21" customHeight="1">
      <c r="A8" s="286"/>
      <c r="B8" s="288"/>
      <c r="C8" s="225"/>
      <c r="D8" s="214" t="s">
        <v>2460</v>
      </c>
      <c r="E8" s="208"/>
      <c r="F8" s="192">
        <f>SUM(F6:F7)</f>
        <v>66523722128</v>
      </c>
      <c r="G8" s="137"/>
      <c r="H8" s="181"/>
    </row>
    <row r="9" spans="1:9" s="115" customFormat="1" ht="21" customHeight="1">
      <c r="A9" s="286"/>
      <c r="B9" s="288" t="s">
        <v>2461</v>
      </c>
      <c r="C9" s="206"/>
      <c r="D9" s="213" t="s">
        <v>2462</v>
      </c>
      <c r="E9" s="171"/>
      <c r="F9" s="191">
        <f>'내역서(토목공사)'!F18</f>
        <v>55865798826</v>
      </c>
      <c r="G9" s="135"/>
      <c r="H9" s="180"/>
    </row>
    <row r="10" spans="1:9" s="115" customFormat="1" ht="21" customHeight="1">
      <c r="A10" s="286"/>
      <c r="B10" s="288"/>
      <c r="C10" s="206"/>
      <c r="D10" s="213" t="s">
        <v>2463</v>
      </c>
      <c r="E10" s="171"/>
      <c r="F10" s="193">
        <f>TRUNC(($F$9)*G10%)</f>
        <v>7486017042</v>
      </c>
      <c r="G10" s="140">
        <v>13.4</v>
      </c>
      <c r="H10" s="180"/>
    </row>
    <row r="11" spans="1:9" s="116" customFormat="1" ht="21" customHeight="1">
      <c r="A11" s="286"/>
      <c r="B11" s="288"/>
      <c r="C11" s="225"/>
      <c r="D11" s="214" t="s">
        <v>2460</v>
      </c>
      <c r="E11" s="208"/>
      <c r="F11" s="192">
        <f>SUM(F9:F10)</f>
        <v>63351815868</v>
      </c>
      <c r="G11" s="141"/>
      <c r="H11" s="181"/>
    </row>
    <row r="12" spans="1:9" s="115" customFormat="1" ht="21" customHeight="1">
      <c r="A12" s="286"/>
      <c r="B12" s="288" t="s">
        <v>2464</v>
      </c>
      <c r="C12" s="206"/>
      <c r="D12" s="213" t="s">
        <v>2465</v>
      </c>
      <c r="E12" s="171"/>
      <c r="F12" s="191">
        <f>'내역서(토목공사)'!J18</f>
        <v>29621556618</v>
      </c>
      <c r="G12" s="142"/>
      <c r="H12" s="180"/>
      <c r="I12" s="117"/>
    </row>
    <row r="13" spans="1:9" s="115" customFormat="1" ht="21" customHeight="1" thickBot="1">
      <c r="A13" s="286"/>
      <c r="B13" s="288"/>
      <c r="C13" s="206"/>
      <c r="D13" s="213" t="s">
        <v>2466</v>
      </c>
      <c r="E13" s="171"/>
      <c r="F13" s="193">
        <f>TRUNC(($F$9+$F$10)*G13%)</f>
        <v>2255324644</v>
      </c>
      <c r="G13" s="143">
        <v>3.56</v>
      </c>
      <c r="H13" s="180"/>
    </row>
    <row r="14" spans="1:9" s="115" customFormat="1" ht="21" customHeight="1" thickBot="1">
      <c r="A14" s="286"/>
      <c r="B14" s="288"/>
      <c r="C14" s="206"/>
      <c r="D14" s="213" t="s">
        <v>2467</v>
      </c>
      <c r="E14" s="171"/>
      <c r="F14" s="193">
        <f>TRUNC(($F$9+$F$10)*G14%)</f>
        <v>994623509</v>
      </c>
      <c r="G14" s="143">
        <v>1.57</v>
      </c>
      <c r="H14" s="180"/>
      <c r="I14" s="144" t="s">
        <v>2468</v>
      </c>
    </row>
    <row r="15" spans="1:9" s="115" customFormat="1" ht="21" customHeight="1" thickBot="1">
      <c r="A15" s="286"/>
      <c r="B15" s="288"/>
      <c r="C15" s="206"/>
      <c r="D15" s="213" t="s">
        <v>2483</v>
      </c>
      <c r="E15" s="171"/>
      <c r="F15" s="139">
        <f>TRUNC(($F$9)*G15%)*0+I15</f>
        <v>2377966250</v>
      </c>
      <c r="G15" s="145">
        <v>3.5449999999999999</v>
      </c>
      <c r="H15" s="180"/>
      <c r="I15" s="146">
        <v>2377966250</v>
      </c>
    </row>
    <row r="16" spans="1:9" s="115" customFormat="1" ht="21" customHeight="1" thickBot="1">
      <c r="A16" s="286"/>
      <c r="B16" s="288"/>
      <c r="C16" s="206"/>
      <c r="D16" s="213" t="s">
        <v>2472</v>
      </c>
      <c r="E16" s="171"/>
      <c r="F16" s="139">
        <f>TRUNC(($F$15)*G16%)*0+I16</f>
        <v>307946629</v>
      </c>
      <c r="G16" s="149">
        <v>12.95</v>
      </c>
      <c r="H16" s="180"/>
      <c r="I16" s="146">
        <v>307946629</v>
      </c>
    </row>
    <row r="17" spans="1:9" s="115" customFormat="1" ht="21" customHeight="1" thickBot="1">
      <c r="A17" s="286"/>
      <c r="B17" s="288"/>
      <c r="C17" s="206"/>
      <c r="D17" s="213" t="s">
        <v>2470</v>
      </c>
      <c r="E17" s="171"/>
      <c r="F17" s="139">
        <f>TRUNC(($F$9)*G17%)*0+I17</f>
        <v>3018574930</v>
      </c>
      <c r="G17" s="148">
        <v>4.5</v>
      </c>
      <c r="H17" s="180"/>
      <c r="I17" s="146">
        <v>3018574930</v>
      </c>
    </row>
    <row r="18" spans="1:9" s="115" customFormat="1" ht="21" customHeight="1" thickBot="1">
      <c r="A18" s="286"/>
      <c r="B18" s="288"/>
      <c r="C18" s="206"/>
      <c r="D18" s="213" t="s">
        <v>2471</v>
      </c>
      <c r="E18" s="171"/>
      <c r="F18" s="139">
        <f>TRUNC(($F$9)*G18%)*0+I18</f>
        <v>1542827186</v>
      </c>
      <c r="G18" s="148">
        <v>2.2999999999999998</v>
      </c>
      <c r="H18" s="180"/>
      <c r="I18" s="146">
        <v>1542827186</v>
      </c>
    </row>
    <row r="19" spans="1:9" s="115" customFormat="1" ht="21" customHeight="1" thickBot="1">
      <c r="A19" s="286"/>
      <c r="B19" s="288"/>
      <c r="C19" s="206"/>
      <c r="D19" s="222" t="s">
        <v>2480</v>
      </c>
      <c r="E19" s="219"/>
      <c r="F19" s="139">
        <f>TRUNC(($F$6+$F$9+$F$12)*G19%)</f>
        <v>608044310</v>
      </c>
      <c r="G19" s="168">
        <v>0.4</v>
      </c>
      <c r="H19" s="180"/>
    </row>
    <row r="20" spans="1:9" s="115" customFormat="1" ht="21" customHeight="1" thickBot="1">
      <c r="A20" s="286"/>
      <c r="B20" s="288"/>
      <c r="C20" s="206"/>
      <c r="D20" s="213" t="s">
        <v>2473</v>
      </c>
      <c r="E20" s="224"/>
      <c r="F20" s="169">
        <f>TRUNC(($F$6+$F$9)*G20%)*0+I20</f>
        <v>2027901531</v>
      </c>
      <c r="G20" s="150">
        <v>1.38</v>
      </c>
      <c r="H20" s="182"/>
      <c r="I20" s="146">
        <v>2027901531</v>
      </c>
    </row>
    <row r="21" spans="1:9" s="115" customFormat="1" ht="21" customHeight="1">
      <c r="A21" s="286"/>
      <c r="B21" s="288"/>
      <c r="C21" s="206"/>
      <c r="D21" s="213" t="s">
        <v>2476</v>
      </c>
      <c r="E21" s="171"/>
      <c r="F21" s="139">
        <f>TRUNC(($F$6+$F$9+$F$12)*G21%)</f>
        <v>912066465</v>
      </c>
      <c r="G21" s="158">
        <v>0.6</v>
      </c>
      <c r="H21" s="180"/>
    </row>
    <row r="22" spans="1:9" s="115" customFormat="1" ht="21" customHeight="1">
      <c r="A22" s="286"/>
      <c r="B22" s="288"/>
      <c r="C22" s="206"/>
      <c r="D22" s="223" t="s">
        <v>2481</v>
      </c>
      <c r="E22" s="220"/>
      <c r="F22" s="139">
        <f t="shared" ref="F22" si="0">TRUNC(($F$6+$F$9+$F$12)*G22%)</f>
        <v>107927865</v>
      </c>
      <c r="G22" s="158">
        <v>7.0999999999999994E-2</v>
      </c>
      <c r="H22" s="180"/>
    </row>
    <row r="23" spans="1:9" s="115" customFormat="1" ht="21" customHeight="1">
      <c r="A23" s="286"/>
      <c r="B23" s="288"/>
      <c r="C23" s="206"/>
      <c r="D23" s="213" t="s">
        <v>2474</v>
      </c>
      <c r="E23" s="171"/>
      <c r="F23" s="139">
        <f>TRUNC(($F$6+$F$11)*G23%)</f>
        <v>8961412121</v>
      </c>
      <c r="G23" s="156">
        <v>6.9</v>
      </c>
      <c r="H23" s="180"/>
    </row>
    <row r="24" spans="1:9" s="116" customFormat="1" ht="21" customHeight="1">
      <c r="A24" s="286"/>
      <c r="B24" s="288"/>
      <c r="C24" s="225"/>
      <c r="D24" s="214" t="s">
        <v>2477</v>
      </c>
      <c r="E24" s="208"/>
      <c r="F24" s="136">
        <f>SUM(F12:F23)</f>
        <v>52736172058</v>
      </c>
      <c r="G24" s="141"/>
      <c r="H24" s="181"/>
    </row>
    <row r="25" spans="1:9" s="113" customFormat="1" ht="21" customHeight="1">
      <c r="A25" s="280" t="s">
        <v>2478</v>
      </c>
      <c r="B25" s="281"/>
      <c r="C25" s="281"/>
      <c r="D25" s="281"/>
      <c r="E25" s="203"/>
      <c r="F25" s="159">
        <f>SUM(F8+F11+F24)</f>
        <v>182611710054</v>
      </c>
      <c r="G25" s="160"/>
      <c r="H25" s="183"/>
      <c r="I25" s="122"/>
    </row>
    <row r="26" spans="1:9" s="115" customFormat="1" ht="21" customHeight="1">
      <c r="A26" s="170"/>
      <c r="B26" s="290" t="s">
        <v>2506</v>
      </c>
      <c r="C26" s="290"/>
      <c r="D26" s="290"/>
      <c r="E26" s="171"/>
      <c r="F26" s="139">
        <f>TRUNC(($F$25)*G26%)</f>
        <v>8217526952</v>
      </c>
      <c r="G26" s="172">
        <v>4.5</v>
      </c>
      <c r="H26" s="180"/>
      <c r="I26" s="120"/>
    </row>
    <row r="27" spans="1:9" s="115" customFormat="1" ht="21" customHeight="1">
      <c r="A27" s="186"/>
      <c r="B27" s="290" t="s">
        <v>2507</v>
      </c>
      <c r="C27" s="290"/>
      <c r="D27" s="290"/>
      <c r="E27" s="171"/>
      <c r="F27" s="139">
        <f>TRUNC(($F$25+$F$26)*G27%)</f>
        <v>209912160</v>
      </c>
      <c r="G27" s="173">
        <v>0.11</v>
      </c>
      <c r="H27" s="180"/>
      <c r="I27" s="120"/>
    </row>
    <row r="28" spans="1:9" s="115" customFormat="1" ht="21" customHeight="1">
      <c r="A28" s="170"/>
      <c r="B28" s="290" t="s">
        <v>2508</v>
      </c>
      <c r="C28" s="290"/>
      <c r="D28" s="290"/>
      <c r="E28" s="171"/>
      <c r="F28" s="139">
        <f>TRUNC(($F$11+$F$24+$F$26+$F$27)*G28%)-INT(594011/1.1)</f>
        <v>11205848423</v>
      </c>
      <c r="G28" s="161">
        <v>9</v>
      </c>
      <c r="H28" s="180"/>
      <c r="I28" s="120"/>
    </row>
    <row r="29" spans="1:9" s="115" customFormat="1" ht="21" customHeight="1">
      <c r="A29" s="170"/>
      <c r="B29" s="290" t="s">
        <v>2509</v>
      </c>
      <c r="C29" s="290"/>
      <c r="D29" s="290"/>
      <c r="E29" s="171"/>
      <c r="F29" s="134">
        <f>'내역서(토목공사)'!L35</f>
        <v>453609000</v>
      </c>
      <c r="G29" s="161"/>
      <c r="H29" s="180"/>
      <c r="I29" s="120"/>
    </row>
    <row r="30" spans="1:9" s="115" customFormat="1" ht="21" customHeight="1">
      <c r="A30" s="170"/>
      <c r="B30" s="306" t="s">
        <v>2511</v>
      </c>
      <c r="C30" s="290"/>
      <c r="D30" s="290"/>
      <c r="E30" s="171"/>
      <c r="F30" s="134">
        <f>'내역서(토목공사)'!L36</f>
        <v>142023000</v>
      </c>
      <c r="G30" s="161"/>
      <c r="H30" s="180"/>
      <c r="I30" s="120"/>
    </row>
    <row r="31" spans="1:9" s="115" customFormat="1" ht="21" customHeight="1">
      <c r="A31" s="186"/>
      <c r="B31" s="290" t="s">
        <v>2510</v>
      </c>
      <c r="C31" s="290"/>
      <c r="D31" s="290"/>
      <c r="E31" s="171"/>
      <c r="F31" s="134">
        <f>'내역서(토목공사)'!L37</f>
        <v>1113009593</v>
      </c>
      <c r="G31" s="161"/>
      <c r="H31" s="180"/>
      <c r="I31" s="120"/>
    </row>
    <row r="32" spans="1:9" s="115" customFormat="1" ht="21" customHeight="1">
      <c r="A32" s="186"/>
      <c r="B32" s="290" t="s">
        <v>2512</v>
      </c>
      <c r="C32" s="290"/>
      <c r="D32" s="290"/>
      <c r="E32" s="171"/>
      <c r="F32" s="134">
        <f>'내역서(토목공사)'!L38</f>
        <v>86639000</v>
      </c>
      <c r="G32" s="124" t="s">
        <v>2482</v>
      </c>
      <c r="H32" s="180"/>
      <c r="I32" s="120"/>
    </row>
    <row r="33" spans="1:9" s="113" customFormat="1" ht="21" customHeight="1">
      <c r="A33" s="210"/>
      <c r="B33" s="291" t="s">
        <v>2513</v>
      </c>
      <c r="C33" s="291"/>
      <c r="D33" s="291"/>
      <c r="E33" s="203"/>
      <c r="F33" s="162">
        <f>INT(SUM(F25,F26,F27,F28,F29,F30,F31,F32))</f>
        <v>204040278182</v>
      </c>
      <c r="G33" s="160"/>
      <c r="H33" s="183"/>
      <c r="I33" s="122"/>
    </row>
    <row r="34" spans="1:9" s="115" customFormat="1" ht="21" customHeight="1">
      <c r="A34" s="170"/>
      <c r="B34" s="290" t="s">
        <v>2514</v>
      </c>
      <c r="C34" s="290"/>
      <c r="D34" s="290"/>
      <c r="E34" s="171"/>
      <c r="F34" s="157">
        <f>TRUNC(F33*0.1,0)</f>
        <v>20404027818</v>
      </c>
      <c r="G34" s="142"/>
      <c r="I34" s="120"/>
    </row>
    <row r="35" spans="1:9" s="113" customFormat="1" ht="21" customHeight="1">
      <c r="A35" s="221"/>
      <c r="B35" s="305" t="s">
        <v>2515</v>
      </c>
      <c r="C35" s="305"/>
      <c r="D35" s="305"/>
      <c r="E35" s="218"/>
      <c r="F35" s="166">
        <f>SUM(F33:F34)</f>
        <v>224444306000</v>
      </c>
      <c r="G35" s="185"/>
      <c r="I35" s="122"/>
    </row>
    <row r="36" spans="1:9">
      <c r="F36" s="107"/>
      <c r="G36" s="108"/>
    </row>
    <row r="37" spans="1:9">
      <c r="D37" s="109"/>
      <c r="E37" s="109"/>
      <c r="F37" s="184"/>
    </row>
    <row r="38" spans="1:9">
      <c r="D38" s="109"/>
      <c r="E38" s="109"/>
      <c r="F38" s="184"/>
      <c r="G38" s="112"/>
    </row>
    <row r="39" spans="1:9">
      <c r="F39" s="111"/>
    </row>
    <row r="40" spans="1:9">
      <c r="F40" s="111"/>
    </row>
  </sheetData>
  <mergeCells count="17"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A25:D25"/>
    <mergeCell ref="A2:G2"/>
    <mergeCell ref="A5:D5"/>
    <mergeCell ref="A6:A24"/>
    <mergeCell ref="B6:B8"/>
    <mergeCell ref="B9:B11"/>
    <mergeCell ref="B12:B24"/>
  </mergeCells>
  <phoneticPr fontId="4" type="noConversion"/>
  <printOptions horizontalCentered="1"/>
  <pageMargins left="0.47244094488188981" right="0.47244094488188981" top="0.82677165354330717" bottom="0.59055118110236227" header="0.47244094488188981" footer="0.31496062992125984"/>
  <pageSetup paperSize="9" scale="98" fitToHeight="0" orientation="portrait" r:id="rId1"/>
  <headerFooter alignWithMargins="0"/>
  <rowBreaks count="1" manualBreakCount="1">
    <brk id="35" max="5" man="1"/>
  </rowBreaks>
  <colBreaks count="1" manualBreakCount="1">
    <brk id="7" max="3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pageSetUpPr fitToPage="1"/>
  </sheetPr>
  <dimension ref="A1:O1820"/>
  <sheetViews>
    <sheetView view="pageBreakPreview" zoomScale="115" zoomScaleNormal="100" zoomScaleSheetLayoutView="115" workbookViewId="0">
      <pane xSplit="4" ySplit="4" topLeftCell="E5" activePane="bottomRight" state="frozen"/>
      <selection activeCell="A39" sqref="A39"/>
      <selection pane="topRight" activeCell="A39" sqref="A39"/>
      <selection pane="bottomLeft" activeCell="A39" sqref="A39"/>
      <selection pane="bottomRight" activeCell="E5" sqref="E5"/>
    </sheetView>
  </sheetViews>
  <sheetFormatPr defaultRowHeight="18.399999999999999" customHeight="1"/>
  <cols>
    <col min="1" max="1" width="33.625" style="25" customWidth="1"/>
    <col min="2" max="2" width="26.125" style="25" customWidth="1"/>
    <col min="3" max="3" width="8.125" style="98" customWidth="1"/>
    <col min="4" max="4" width="5.125" style="99" customWidth="1"/>
    <col min="5" max="13" width="12.625" style="25" customWidth="1"/>
    <col min="14" max="14" width="13.25" style="251" customWidth="1"/>
    <col min="15" max="15" width="12.875" style="25" customWidth="1"/>
    <col min="16" max="256" width="9" style="25"/>
    <col min="257" max="257" width="33.625" style="25" customWidth="1"/>
    <col min="258" max="258" width="26.125" style="25" customWidth="1"/>
    <col min="259" max="259" width="8.125" style="25" customWidth="1"/>
    <col min="260" max="260" width="5.125" style="25" customWidth="1"/>
    <col min="261" max="269" width="12.625" style="25" customWidth="1"/>
    <col min="270" max="270" width="13.25" style="25" customWidth="1"/>
    <col min="271" max="271" width="12.875" style="25" customWidth="1"/>
    <col min="272" max="512" width="9" style="25"/>
    <col min="513" max="513" width="33.625" style="25" customWidth="1"/>
    <col min="514" max="514" width="26.125" style="25" customWidth="1"/>
    <col min="515" max="515" width="8.125" style="25" customWidth="1"/>
    <col min="516" max="516" width="5.125" style="25" customWidth="1"/>
    <col min="517" max="525" width="12.625" style="25" customWidth="1"/>
    <col min="526" max="526" width="13.25" style="25" customWidth="1"/>
    <col min="527" max="527" width="12.875" style="25" customWidth="1"/>
    <col min="528" max="768" width="9" style="25"/>
    <col min="769" max="769" width="33.625" style="25" customWidth="1"/>
    <col min="770" max="770" width="26.125" style="25" customWidth="1"/>
    <col min="771" max="771" width="8.125" style="25" customWidth="1"/>
    <col min="772" max="772" width="5.125" style="25" customWidth="1"/>
    <col min="773" max="781" width="12.625" style="25" customWidth="1"/>
    <col min="782" max="782" width="13.25" style="25" customWidth="1"/>
    <col min="783" max="783" width="12.875" style="25" customWidth="1"/>
    <col min="784" max="1024" width="9" style="25"/>
    <col min="1025" max="1025" width="33.625" style="25" customWidth="1"/>
    <col min="1026" max="1026" width="26.125" style="25" customWidth="1"/>
    <col min="1027" max="1027" width="8.125" style="25" customWidth="1"/>
    <col min="1028" max="1028" width="5.125" style="25" customWidth="1"/>
    <col min="1029" max="1037" width="12.625" style="25" customWidth="1"/>
    <col min="1038" max="1038" width="13.25" style="25" customWidth="1"/>
    <col min="1039" max="1039" width="12.875" style="25" customWidth="1"/>
    <col min="1040" max="1280" width="9" style="25"/>
    <col min="1281" max="1281" width="33.625" style="25" customWidth="1"/>
    <col min="1282" max="1282" width="26.125" style="25" customWidth="1"/>
    <col min="1283" max="1283" width="8.125" style="25" customWidth="1"/>
    <col min="1284" max="1284" width="5.125" style="25" customWidth="1"/>
    <col min="1285" max="1293" width="12.625" style="25" customWidth="1"/>
    <col min="1294" max="1294" width="13.25" style="25" customWidth="1"/>
    <col min="1295" max="1295" width="12.875" style="25" customWidth="1"/>
    <col min="1296" max="1536" width="9" style="25"/>
    <col min="1537" max="1537" width="33.625" style="25" customWidth="1"/>
    <col min="1538" max="1538" width="26.125" style="25" customWidth="1"/>
    <col min="1539" max="1539" width="8.125" style="25" customWidth="1"/>
    <col min="1540" max="1540" width="5.125" style="25" customWidth="1"/>
    <col min="1541" max="1549" width="12.625" style="25" customWidth="1"/>
    <col min="1550" max="1550" width="13.25" style="25" customWidth="1"/>
    <col min="1551" max="1551" width="12.875" style="25" customWidth="1"/>
    <col min="1552" max="1792" width="9" style="25"/>
    <col min="1793" max="1793" width="33.625" style="25" customWidth="1"/>
    <col min="1794" max="1794" width="26.125" style="25" customWidth="1"/>
    <col min="1795" max="1795" width="8.125" style="25" customWidth="1"/>
    <col min="1796" max="1796" width="5.125" style="25" customWidth="1"/>
    <col min="1797" max="1805" width="12.625" style="25" customWidth="1"/>
    <col min="1806" max="1806" width="13.25" style="25" customWidth="1"/>
    <col min="1807" max="1807" width="12.875" style="25" customWidth="1"/>
    <col min="1808" max="2048" width="9" style="25"/>
    <col min="2049" max="2049" width="33.625" style="25" customWidth="1"/>
    <col min="2050" max="2050" width="26.125" style="25" customWidth="1"/>
    <col min="2051" max="2051" width="8.125" style="25" customWidth="1"/>
    <col min="2052" max="2052" width="5.125" style="25" customWidth="1"/>
    <col min="2053" max="2061" width="12.625" style="25" customWidth="1"/>
    <col min="2062" max="2062" width="13.25" style="25" customWidth="1"/>
    <col min="2063" max="2063" width="12.875" style="25" customWidth="1"/>
    <col min="2064" max="2304" width="9" style="25"/>
    <col min="2305" max="2305" width="33.625" style="25" customWidth="1"/>
    <col min="2306" max="2306" width="26.125" style="25" customWidth="1"/>
    <col min="2307" max="2307" width="8.125" style="25" customWidth="1"/>
    <col min="2308" max="2308" width="5.125" style="25" customWidth="1"/>
    <col min="2309" max="2317" width="12.625" style="25" customWidth="1"/>
    <col min="2318" max="2318" width="13.25" style="25" customWidth="1"/>
    <col min="2319" max="2319" width="12.875" style="25" customWidth="1"/>
    <col min="2320" max="2560" width="9" style="25"/>
    <col min="2561" max="2561" width="33.625" style="25" customWidth="1"/>
    <col min="2562" max="2562" width="26.125" style="25" customWidth="1"/>
    <col min="2563" max="2563" width="8.125" style="25" customWidth="1"/>
    <col min="2564" max="2564" width="5.125" style="25" customWidth="1"/>
    <col min="2565" max="2573" width="12.625" style="25" customWidth="1"/>
    <col min="2574" max="2574" width="13.25" style="25" customWidth="1"/>
    <col min="2575" max="2575" width="12.875" style="25" customWidth="1"/>
    <col min="2576" max="2816" width="9" style="25"/>
    <col min="2817" max="2817" width="33.625" style="25" customWidth="1"/>
    <col min="2818" max="2818" width="26.125" style="25" customWidth="1"/>
    <col min="2819" max="2819" width="8.125" style="25" customWidth="1"/>
    <col min="2820" max="2820" width="5.125" style="25" customWidth="1"/>
    <col min="2821" max="2829" width="12.625" style="25" customWidth="1"/>
    <col min="2830" max="2830" width="13.25" style="25" customWidth="1"/>
    <col min="2831" max="2831" width="12.875" style="25" customWidth="1"/>
    <col min="2832" max="3072" width="9" style="25"/>
    <col min="3073" max="3073" width="33.625" style="25" customWidth="1"/>
    <col min="3074" max="3074" width="26.125" style="25" customWidth="1"/>
    <col min="3075" max="3075" width="8.125" style="25" customWidth="1"/>
    <col min="3076" max="3076" width="5.125" style="25" customWidth="1"/>
    <col min="3077" max="3085" width="12.625" style="25" customWidth="1"/>
    <col min="3086" max="3086" width="13.25" style="25" customWidth="1"/>
    <col min="3087" max="3087" width="12.875" style="25" customWidth="1"/>
    <col min="3088" max="3328" width="9" style="25"/>
    <col min="3329" max="3329" width="33.625" style="25" customWidth="1"/>
    <col min="3330" max="3330" width="26.125" style="25" customWidth="1"/>
    <col min="3331" max="3331" width="8.125" style="25" customWidth="1"/>
    <col min="3332" max="3332" width="5.125" style="25" customWidth="1"/>
    <col min="3333" max="3341" width="12.625" style="25" customWidth="1"/>
    <col min="3342" max="3342" width="13.25" style="25" customWidth="1"/>
    <col min="3343" max="3343" width="12.875" style="25" customWidth="1"/>
    <col min="3344" max="3584" width="9" style="25"/>
    <col min="3585" max="3585" width="33.625" style="25" customWidth="1"/>
    <col min="3586" max="3586" width="26.125" style="25" customWidth="1"/>
    <col min="3587" max="3587" width="8.125" style="25" customWidth="1"/>
    <col min="3588" max="3588" width="5.125" style="25" customWidth="1"/>
    <col min="3589" max="3597" width="12.625" style="25" customWidth="1"/>
    <col min="3598" max="3598" width="13.25" style="25" customWidth="1"/>
    <col min="3599" max="3599" width="12.875" style="25" customWidth="1"/>
    <col min="3600" max="3840" width="9" style="25"/>
    <col min="3841" max="3841" width="33.625" style="25" customWidth="1"/>
    <col min="3842" max="3842" width="26.125" style="25" customWidth="1"/>
    <col min="3843" max="3843" width="8.125" style="25" customWidth="1"/>
    <col min="3844" max="3844" width="5.125" style="25" customWidth="1"/>
    <col min="3845" max="3853" width="12.625" style="25" customWidth="1"/>
    <col min="3854" max="3854" width="13.25" style="25" customWidth="1"/>
    <col min="3855" max="3855" width="12.875" style="25" customWidth="1"/>
    <col min="3856" max="4096" width="9" style="25"/>
    <col min="4097" max="4097" width="33.625" style="25" customWidth="1"/>
    <col min="4098" max="4098" width="26.125" style="25" customWidth="1"/>
    <col min="4099" max="4099" width="8.125" style="25" customWidth="1"/>
    <col min="4100" max="4100" width="5.125" style="25" customWidth="1"/>
    <col min="4101" max="4109" width="12.625" style="25" customWidth="1"/>
    <col min="4110" max="4110" width="13.25" style="25" customWidth="1"/>
    <col min="4111" max="4111" width="12.875" style="25" customWidth="1"/>
    <col min="4112" max="4352" width="9" style="25"/>
    <col min="4353" max="4353" width="33.625" style="25" customWidth="1"/>
    <col min="4354" max="4354" width="26.125" style="25" customWidth="1"/>
    <col min="4355" max="4355" width="8.125" style="25" customWidth="1"/>
    <col min="4356" max="4356" width="5.125" style="25" customWidth="1"/>
    <col min="4357" max="4365" width="12.625" style="25" customWidth="1"/>
    <col min="4366" max="4366" width="13.25" style="25" customWidth="1"/>
    <col min="4367" max="4367" width="12.875" style="25" customWidth="1"/>
    <col min="4368" max="4608" width="9" style="25"/>
    <col min="4609" max="4609" width="33.625" style="25" customWidth="1"/>
    <col min="4610" max="4610" width="26.125" style="25" customWidth="1"/>
    <col min="4611" max="4611" width="8.125" style="25" customWidth="1"/>
    <col min="4612" max="4612" width="5.125" style="25" customWidth="1"/>
    <col min="4613" max="4621" width="12.625" style="25" customWidth="1"/>
    <col min="4622" max="4622" width="13.25" style="25" customWidth="1"/>
    <col min="4623" max="4623" width="12.875" style="25" customWidth="1"/>
    <col min="4624" max="4864" width="9" style="25"/>
    <col min="4865" max="4865" width="33.625" style="25" customWidth="1"/>
    <col min="4866" max="4866" width="26.125" style="25" customWidth="1"/>
    <col min="4867" max="4867" width="8.125" style="25" customWidth="1"/>
    <col min="4868" max="4868" width="5.125" style="25" customWidth="1"/>
    <col min="4869" max="4877" width="12.625" style="25" customWidth="1"/>
    <col min="4878" max="4878" width="13.25" style="25" customWidth="1"/>
    <col min="4879" max="4879" width="12.875" style="25" customWidth="1"/>
    <col min="4880" max="5120" width="9" style="25"/>
    <col min="5121" max="5121" width="33.625" style="25" customWidth="1"/>
    <col min="5122" max="5122" width="26.125" style="25" customWidth="1"/>
    <col min="5123" max="5123" width="8.125" style="25" customWidth="1"/>
    <col min="5124" max="5124" width="5.125" style="25" customWidth="1"/>
    <col min="5125" max="5133" width="12.625" style="25" customWidth="1"/>
    <col min="5134" max="5134" width="13.25" style="25" customWidth="1"/>
    <col min="5135" max="5135" width="12.875" style="25" customWidth="1"/>
    <col min="5136" max="5376" width="9" style="25"/>
    <col min="5377" max="5377" width="33.625" style="25" customWidth="1"/>
    <col min="5378" max="5378" width="26.125" style="25" customWidth="1"/>
    <col min="5379" max="5379" width="8.125" style="25" customWidth="1"/>
    <col min="5380" max="5380" width="5.125" style="25" customWidth="1"/>
    <col min="5381" max="5389" width="12.625" style="25" customWidth="1"/>
    <col min="5390" max="5390" width="13.25" style="25" customWidth="1"/>
    <col min="5391" max="5391" width="12.875" style="25" customWidth="1"/>
    <col min="5392" max="5632" width="9" style="25"/>
    <col min="5633" max="5633" width="33.625" style="25" customWidth="1"/>
    <col min="5634" max="5634" width="26.125" style="25" customWidth="1"/>
    <col min="5635" max="5635" width="8.125" style="25" customWidth="1"/>
    <col min="5636" max="5636" width="5.125" style="25" customWidth="1"/>
    <col min="5637" max="5645" width="12.625" style="25" customWidth="1"/>
    <col min="5646" max="5646" width="13.25" style="25" customWidth="1"/>
    <col min="5647" max="5647" width="12.875" style="25" customWidth="1"/>
    <col min="5648" max="5888" width="9" style="25"/>
    <col min="5889" max="5889" width="33.625" style="25" customWidth="1"/>
    <col min="5890" max="5890" width="26.125" style="25" customWidth="1"/>
    <col min="5891" max="5891" width="8.125" style="25" customWidth="1"/>
    <col min="5892" max="5892" width="5.125" style="25" customWidth="1"/>
    <col min="5893" max="5901" width="12.625" style="25" customWidth="1"/>
    <col min="5902" max="5902" width="13.25" style="25" customWidth="1"/>
    <col min="5903" max="5903" width="12.875" style="25" customWidth="1"/>
    <col min="5904" max="6144" width="9" style="25"/>
    <col min="6145" max="6145" width="33.625" style="25" customWidth="1"/>
    <col min="6146" max="6146" width="26.125" style="25" customWidth="1"/>
    <col min="6147" max="6147" width="8.125" style="25" customWidth="1"/>
    <col min="6148" max="6148" width="5.125" style="25" customWidth="1"/>
    <col min="6149" max="6157" width="12.625" style="25" customWidth="1"/>
    <col min="6158" max="6158" width="13.25" style="25" customWidth="1"/>
    <col min="6159" max="6159" width="12.875" style="25" customWidth="1"/>
    <col min="6160" max="6400" width="9" style="25"/>
    <col min="6401" max="6401" width="33.625" style="25" customWidth="1"/>
    <col min="6402" max="6402" width="26.125" style="25" customWidth="1"/>
    <col min="6403" max="6403" width="8.125" style="25" customWidth="1"/>
    <col min="6404" max="6404" width="5.125" style="25" customWidth="1"/>
    <col min="6405" max="6413" width="12.625" style="25" customWidth="1"/>
    <col min="6414" max="6414" width="13.25" style="25" customWidth="1"/>
    <col min="6415" max="6415" width="12.875" style="25" customWidth="1"/>
    <col min="6416" max="6656" width="9" style="25"/>
    <col min="6657" max="6657" width="33.625" style="25" customWidth="1"/>
    <col min="6658" max="6658" width="26.125" style="25" customWidth="1"/>
    <col min="6659" max="6659" width="8.125" style="25" customWidth="1"/>
    <col min="6660" max="6660" width="5.125" style="25" customWidth="1"/>
    <col min="6661" max="6669" width="12.625" style="25" customWidth="1"/>
    <col min="6670" max="6670" width="13.25" style="25" customWidth="1"/>
    <col min="6671" max="6671" width="12.875" style="25" customWidth="1"/>
    <col min="6672" max="6912" width="9" style="25"/>
    <col min="6913" max="6913" width="33.625" style="25" customWidth="1"/>
    <col min="6914" max="6914" width="26.125" style="25" customWidth="1"/>
    <col min="6915" max="6915" width="8.125" style="25" customWidth="1"/>
    <col min="6916" max="6916" width="5.125" style="25" customWidth="1"/>
    <col min="6917" max="6925" width="12.625" style="25" customWidth="1"/>
    <col min="6926" max="6926" width="13.25" style="25" customWidth="1"/>
    <col min="6927" max="6927" width="12.875" style="25" customWidth="1"/>
    <col min="6928" max="7168" width="9" style="25"/>
    <col min="7169" max="7169" width="33.625" style="25" customWidth="1"/>
    <col min="7170" max="7170" width="26.125" style="25" customWidth="1"/>
    <col min="7171" max="7171" width="8.125" style="25" customWidth="1"/>
    <col min="7172" max="7172" width="5.125" style="25" customWidth="1"/>
    <col min="7173" max="7181" width="12.625" style="25" customWidth="1"/>
    <col min="7182" max="7182" width="13.25" style="25" customWidth="1"/>
    <col min="7183" max="7183" width="12.875" style="25" customWidth="1"/>
    <col min="7184" max="7424" width="9" style="25"/>
    <col min="7425" max="7425" width="33.625" style="25" customWidth="1"/>
    <col min="7426" max="7426" width="26.125" style="25" customWidth="1"/>
    <col min="7427" max="7427" width="8.125" style="25" customWidth="1"/>
    <col min="7428" max="7428" width="5.125" style="25" customWidth="1"/>
    <col min="7429" max="7437" width="12.625" style="25" customWidth="1"/>
    <col min="7438" max="7438" width="13.25" style="25" customWidth="1"/>
    <col min="7439" max="7439" width="12.875" style="25" customWidth="1"/>
    <col min="7440" max="7680" width="9" style="25"/>
    <col min="7681" max="7681" width="33.625" style="25" customWidth="1"/>
    <col min="7682" max="7682" width="26.125" style="25" customWidth="1"/>
    <col min="7683" max="7683" width="8.125" style="25" customWidth="1"/>
    <col min="7684" max="7684" width="5.125" style="25" customWidth="1"/>
    <col min="7685" max="7693" width="12.625" style="25" customWidth="1"/>
    <col min="7694" max="7694" width="13.25" style="25" customWidth="1"/>
    <col min="7695" max="7695" width="12.875" style="25" customWidth="1"/>
    <col min="7696" max="7936" width="9" style="25"/>
    <col min="7937" max="7937" width="33.625" style="25" customWidth="1"/>
    <col min="7938" max="7938" width="26.125" style="25" customWidth="1"/>
    <col min="7939" max="7939" width="8.125" style="25" customWidth="1"/>
    <col min="7940" max="7940" width="5.125" style="25" customWidth="1"/>
    <col min="7941" max="7949" width="12.625" style="25" customWidth="1"/>
    <col min="7950" max="7950" width="13.25" style="25" customWidth="1"/>
    <col min="7951" max="7951" width="12.875" style="25" customWidth="1"/>
    <col min="7952" max="8192" width="9" style="25"/>
    <col min="8193" max="8193" width="33.625" style="25" customWidth="1"/>
    <col min="8194" max="8194" width="26.125" style="25" customWidth="1"/>
    <col min="8195" max="8195" width="8.125" style="25" customWidth="1"/>
    <col min="8196" max="8196" width="5.125" style="25" customWidth="1"/>
    <col min="8197" max="8205" width="12.625" style="25" customWidth="1"/>
    <col min="8206" max="8206" width="13.25" style="25" customWidth="1"/>
    <col min="8207" max="8207" width="12.875" style="25" customWidth="1"/>
    <col min="8208" max="8448" width="9" style="25"/>
    <col min="8449" max="8449" width="33.625" style="25" customWidth="1"/>
    <col min="8450" max="8450" width="26.125" style="25" customWidth="1"/>
    <col min="8451" max="8451" width="8.125" style="25" customWidth="1"/>
    <col min="8452" max="8452" width="5.125" style="25" customWidth="1"/>
    <col min="8453" max="8461" width="12.625" style="25" customWidth="1"/>
    <col min="8462" max="8462" width="13.25" style="25" customWidth="1"/>
    <col min="8463" max="8463" width="12.875" style="25" customWidth="1"/>
    <col min="8464" max="8704" width="9" style="25"/>
    <col min="8705" max="8705" width="33.625" style="25" customWidth="1"/>
    <col min="8706" max="8706" width="26.125" style="25" customWidth="1"/>
    <col min="8707" max="8707" width="8.125" style="25" customWidth="1"/>
    <col min="8708" max="8708" width="5.125" style="25" customWidth="1"/>
    <col min="8709" max="8717" width="12.625" style="25" customWidth="1"/>
    <col min="8718" max="8718" width="13.25" style="25" customWidth="1"/>
    <col min="8719" max="8719" width="12.875" style="25" customWidth="1"/>
    <col min="8720" max="8960" width="9" style="25"/>
    <col min="8961" max="8961" width="33.625" style="25" customWidth="1"/>
    <col min="8962" max="8962" width="26.125" style="25" customWidth="1"/>
    <col min="8963" max="8963" width="8.125" style="25" customWidth="1"/>
    <col min="8964" max="8964" width="5.125" style="25" customWidth="1"/>
    <col min="8965" max="8973" width="12.625" style="25" customWidth="1"/>
    <col min="8974" max="8974" width="13.25" style="25" customWidth="1"/>
    <col min="8975" max="8975" width="12.875" style="25" customWidth="1"/>
    <col min="8976" max="9216" width="9" style="25"/>
    <col min="9217" max="9217" width="33.625" style="25" customWidth="1"/>
    <col min="9218" max="9218" width="26.125" style="25" customWidth="1"/>
    <col min="9219" max="9219" width="8.125" style="25" customWidth="1"/>
    <col min="9220" max="9220" width="5.125" style="25" customWidth="1"/>
    <col min="9221" max="9229" width="12.625" style="25" customWidth="1"/>
    <col min="9230" max="9230" width="13.25" style="25" customWidth="1"/>
    <col min="9231" max="9231" width="12.875" style="25" customWidth="1"/>
    <col min="9232" max="9472" width="9" style="25"/>
    <col min="9473" max="9473" width="33.625" style="25" customWidth="1"/>
    <col min="9474" max="9474" width="26.125" style="25" customWidth="1"/>
    <col min="9475" max="9475" width="8.125" style="25" customWidth="1"/>
    <col min="9476" max="9476" width="5.125" style="25" customWidth="1"/>
    <col min="9477" max="9485" width="12.625" style="25" customWidth="1"/>
    <col min="9486" max="9486" width="13.25" style="25" customWidth="1"/>
    <col min="9487" max="9487" width="12.875" style="25" customWidth="1"/>
    <col min="9488" max="9728" width="9" style="25"/>
    <col min="9729" max="9729" width="33.625" style="25" customWidth="1"/>
    <col min="9730" max="9730" width="26.125" style="25" customWidth="1"/>
    <col min="9731" max="9731" width="8.125" style="25" customWidth="1"/>
    <col min="9732" max="9732" width="5.125" style="25" customWidth="1"/>
    <col min="9733" max="9741" width="12.625" style="25" customWidth="1"/>
    <col min="9742" max="9742" width="13.25" style="25" customWidth="1"/>
    <col min="9743" max="9743" width="12.875" style="25" customWidth="1"/>
    <col min="9744" max="9984" width="9" style="25"/>
    <col min="9985" max="9985" width="33.625" style="25" customWidth="1"/>
    <col min="9986" max="9986" width="26.125" style="25" customWidth="1"/>
    <col min="9987" max="9987" width="8.125" style="25" customWidth="1"/>
    <col min="9988" max="9988" width="5.125" style="25" customWidth="1"/>
    <col min="9989" max="9997" width="12.625" style="25" customWidth="1"/>
    <col min="9998" max="9998" width="13.25" style="25" customWidth="1"/>
    <col min="9999" max="9999" width="12.875" style="25" customWidth="1"/>
    <col min="10000" max="10240" width="9" style="25"/>
    <col min="10241" max="10241" width="33.625" style="25" customWidth="1"/>
    <col min="10242" max="10242" width="26.125" style="25" customWidth="1"/>
    <col min="10243" max="10243" width="8.125" style="25" customWidth="1"/>
    <col min="10244" max="10244" width="5.125" style="25" customWidth="1"/>
    <col min="10245" max="10253" width="12.625" style="25" customWidth="1"/>
    <col min="10254" max="10254" width="13.25" style="25" customWidth="1"/>
    <col min="10255" max="10255" width="12.875" style="25" customWidth="1"/>
    <col min="10256" max="10496" width="9" style="25"/>
    <col min="10497" max="10497" width="33.625" style="25" customWidth="1"/>
    <col min="10498" max="10498" width="26.125" style="25" customWidth="1"/>
    <col min="10499" max="10499" width="8.125" style="25" customWidth="1"/>
    <col min="10500" max="10500" width="5.125" style="25" customWidth="1"/>
    <col min="10501" max="10509" width="12.625" style="25" customWidth="1"/>
    <col min="10510" max="10510" width="13.25" style="25" customWidth="1"/>
    <col min="10511" max="10511" width="12.875" style="25" customWidth="1"/>
    <col min="10512" max="10752" width="9" style="25"/>
    <col min="10753" max="10753" width="33.625" style="25" customWidth="1"/>
    <col min="10754" max="10754" width="26.125" style="25" customWidth="1"/>
    <col min="10755" max="10755" width="8.125" style="25" customWidth="1"/>
    <col min="10756" max="10756" width="5.125" style="25" customWidth="1"/>
    <col min="10757" max="10765" width="12.625" style="25" customWidth="1"/>
    <col min="10766" max="10766" width="13.25" style="25" customWidth="1"/>
    <col min="10767" max="10767" width="12.875" style="25" customWidth="1"/>
    <col min="10768" max="11008" width="9" style="25"/>
    <col min="11009" max="11009" width="33.625" style="25" customWidth="1"/>
    <col min="11010" max="11010" width="26.125" style="25" customWidth="1"/>
    <col min="11011" max="11011" width="8.125" style="25" customWidth="1"/>
    <col min="11012" max="11012" width="5.125" style="25" customWidth="1"/>
    <col min="11013" max="11021" width="12.625" style="25" customWidth="1"/>
    <col min="11022" max="11022" width="13.25" style="25" customWidth="1"/>
    <col min="11023" max="11023" width="12.875" style="25" customWidth="1"/>
    <col min="11024" max="11264" width="9" style="25"/>
    <col min="11265" max="11265" width="33.625" style="25" customWidth="1"/>
    <col min="11266" max="11266" width="26.125" style="25" customWidth="1"/>
    <col min="11267" max="11267" width="8.125" style="25" customWidth="1"/>
    <col min="11268" max="11268" width="5.125" style="25" customWidth="1"/>
    <col min="11269" max="11277" width="12.625" style="25" customWidth="1"/>
    <col min="11278" max="11278" width="13.25" style="25" customWidth="1"/>
    <col min="11279" max="11279" width="12.875" style="25" customWidth="1"/>
    <col min="11280" max="11520" width="9" style="25"/>
    <col min="11521" max="11521" width="33.625" style="25" customWidth="1"/>
    <col min="11522" max="11522" width="26.125" style="25" customWidth="1"/>
    <col min="11523" max="11523" width="8.125" style="25" customWidth="1"/>
    <col min="11524" max="11524" width="5.125" style="25" customWidth="1"/>
    <col min="11525" max="11533" width="12.625" style="25" customWidth="1"/>
    <col min="11534" max="11534" width="13.25" style="25" customWidth="1"/>
    <col min="11535" max="11535" width="12.875" style="25" customWidth="1"/>
    <col min="11536" max="11776" width="9" style="25"/>
    <col min="11777" max="11777" width="33.625" style="25" customWidth="1"/>
    <col min="11778" max="11778" width="26.125" style="25" customWidth="1"/>
    <col min="11779" max="11779" width="8.125" style="25" customWidth="1"/>
    <col min="11780" max="11780" width="5.125" style="25" customWidth="1"/>
    <col min="11781" max="11789" width="12.625" style="25" customWidth="1"/>
    <col min="11790" max="11790" width="13.25" style="25" customWidth="1"/>
    <col min="11791" max="11791" width="12.875" style="25" customWidth="1"/>
    <col min="11792" max="12032" width="9" style="25"/>
    <col min="12033" max="12033" width="33.625" style="25" customWidth="1"/>
    <col min="12034" max="12034" width="26.125" style="25" customWidth="1"/>
    <col min="12035" max="12035" width="8.125" style="25" customWidth="1"/>
    <col min="12036" max="12036" width="5.125" style="25" customWidth="1"/>
    <col min="12037" max="12045" width="12.625" style="25" customWidth="1"/>
    <col min="12046" max="12046" width="13.25" style="25" customWidth="1"/>
    <col min="12047" max="12047" width="12.875" style="25" customWidth="1"/>
    <col min="12048" max="12288" width="9" style="25"/>
    <col min="12289" max="12289" width="33.625" style="25" customWidth="1"/>
    <col min="12290" max="12290" width="26.125" style="25" customWidth="1"/>
    <col min="12291" max="12291" width="8.125" style="25" customWidth="1"/>
    <col min="12292" max="12292" width="5.125" style="25" customWidth="1"/>
    <col min="12293" max="12301" width="12.625" style="25" customWidth="1"/>
    <col min="12302" max="12302" width="13.25" style="25" customWidth="1"/>
    <col min="12303" max="12303" width="12.875" style="25" customWidth="1"/>
    <col min="12304" max="12544" width="9" style="25"/>
    <col min="12545" max="12545" width="33.625" style="25" customWidth="1"/>
    <col min="12546" max="12546" width="26.125" style="25" customWidth="1"/>
    <col min="12547" max="12547" width="8.125" style="25" customWidth="1"/>
    <col min="12548" max="12548" width="5.125" style="25" customWidth="1"/>
    <col min="12549" max="12557" width="12.625" style="25" customWidth="1"/>
    <col min="12558" max="12558" width="13.25" style="25" customWidth="1"/>
    <col min="12559" max="12559" width="12.875" style="25" customWidth="1"/>
    <col min="12560" max="12800" width="9" style="25"/>
    <col min="12801" max="12801" width="33.625" style="25" customWidth="1"/>
    <col min="12802" max="12802" width="26.125" style="25" customWidth="1"/>
    <col min="12803" max="12803" width="8.125" style="25" customWidth="1"/>
    <col min="12804" max="12804" width="5.125" style="25" customWidth="1"/>
    <col min="12805" max="12813" width="12.625" style="25" customWidth="1"/>
    <col min="12814" max="12814" width="13.25" style="25" customWidth="1"/>
    <col min="12815" max="12815" width="12.875" style="25" customWidth="1"/>
    <col min="12816" max="13056" width="9" style="25"/>
    <col min="13057" max="13057" width="33.625" style="25" customWidth="1"/>
    <col min="13058" max="13058" width="26.125" style="25" customWidth="1"/>
    <col min="13059" max="13059" width="8.125" style="25" customWidth="1"/>
    <col min="13060" max="13060" width="5.125" style="25" customWidth="1"/>
    <col min="13061" max="13069" width="12.625" style="25" customWidth="1"/>
    <col min="13070" max="13070" width="13.25" style="25" customWidth="1"/>
    <col min="13071" max="13071" width="12.875" style="25" customWidth="1"/>
    <col min="13072" max="13312" width="9" style="25"/>
    <col min="13313" max="13313" width="33.625" style="25" customWidth="1"/>
    <col min="13314" max="13314" width="26.125" style="25" customWidth="1"/>
    <col min="13315" max="13315" width="8.125" style="25" customWidth="1"/>
    <col min="13316" max="13316" width="5.125" style="25" customWidth="1"/>
    <col min="13317" max="13325" width="12.625" style="25" customWidth="1"/>
    <col min="13326" max="13326" width="13.25" style="25" customWidth="1"/>
    <col min="13327" max="13327" width="12.875" style="25" customWidth="1"/>
    <col min="13328" max="13568" width="9" style="25"/>
    <col min="13569" max="13569" width="33.625" style="25" customWidth="1"/>
    <col min="13570" max="13570" width="26.125" style="25" customWidth="1"/>
    <col min="13571" max="13571" width="8.125" style="25" customWidth="1"/>
    <col min="13572" max="13572" width="5.125" style="25" customWidth="1"/>
    <col min="13573" max="13581" width="12.625" style="25" customWidth="1"/>
    <col min="13582" max="13582" width="13.25" style="25" customWidth="1"/>
    <col min="13583" max="13583" width="12.875" style="25" customWidth="1"/>
    <col min="13584" max="13824" width="9" style="25"/>
    <col min="13825" max="13825" width="33.625" style="25" customWidth="1"/>
    <col min="13826" max="13826" width="26.125" style="25" customWidth="1"/>
    <col min="13827" max="13827" width="8.125" style="25" customWidth="1"/>
    <col min="13828" max="13828" width="5.125" style="25" customWidth="1"/>
    <col min="13829" max="13837" width="12.625" style="25" customWidth="1"/>
    <col min="13838" max="13838" width="13.25" style="25" customWidth="1"/>
    <col min="13839" max="13839" width="12.875" style="25" customWidth="1"/>
    <col min="13840" max="14080" width="9" style="25"/>
    <col min="14081" max="14081" width="33.625" style="25" customWidth="1"/>
    <col min="14082" max="14082" width="26.125" style="25" customWidth="1"/>
    <col min="14083" max="14083" width="8.125" style="25" customWidth="1"/>
    <col min="14084" max="14084" width="5.125" style="25" customWidth="1"/>
    <col min="14085" max="14093" width="12.625" style="25" customWidth="1"/>
    <col min="14094" max="14094" width="13.25" style="25" customWidth="1"/>
    <col min="14095" max="14095" width="12.875" style="25" customWidth="1"/>
    <col min="14096" max="14336" width="9" style="25"/>
    <col min="14337" max="14337" width="33.625" style="25" customWidth="1"/>
    <col min="14338" max="14338" width="26.125" style="25" customWidth="1"/>
    <col min="14339" max="14339" width="8.125" style="25" customWidth="1"/>
    <col min="14340" max="14340" width="5.125" style="25" customWidth="1"/>
    <col min="14341" max="14349" width="12.625" style="25" customWidth="1"/>
    <col min="14350" max="14350" width="13.25" style="25" customWidth="1"/>
    <col min="14351" max="14351" width="12.875" style="25" customWidth="1"/>
    <col min="14352" max="14592" width="9" style="25"/>
    <col min="14593" max="14593" width="33.625" style="25" customWidth="1"/>
    <col min="14594" max="14594" width="26.125" style="25" customWidth="1"/>
    <col min="14595" max="14595" width="8.125" style="25" customWidth="1"/>
    <col min="14596" max="14596" width="5.125" style="25" customWidth="1"/>
    <col min="14597" max="14605" width="12.625" style="25" customWidth="1"/>
    <col min="14606" max="14606" width="13.25" style="25" customWidth="1"/>
    <col min="14607" max="14607" width="12.875" style="25" customWidth="1"/>
    <col min="14608" max="14848" width="9" style="25"/>
    <col min="14849" max="14849" width="33.625" style="25" customWidth="1"/>
    <col min="14850" max="14850" width="26.125" style="25" customWidth="1"/>
    <col min="14851" max="14851" width="8.125" style="25" customWidth="1"/>
    <col min="14852" max="14852" width="5.125" style="25" customWidth="1"/>
    <col min="14853" max="14861" width="12.625" style="25" customWidth="1"/>
    <col min="14862" max="14862" width="13.25" style="25" customWidth="1"/>
    <col min="14863" max="14863" width="12.875" style="25" customWidth="1"/>
    <col min="14864" max="15104" width="9" style="25"/>
    <col min="15105" max="15105" width="33.625" style="25" customWidth="1"/>
    <col min="15106" max="15106" width="26.125" style="25" customWidth="1"/>
    <col min="15107" max="15107" width="8.125" style="25" customWidth="1"/>
    <col min="15108" max="15108" width="5.125" style="25" customWidth="1"/>
    <col min="15109" max="15117" width="12.625" style="25" customWidth="1"/>
    <col min="15118" max="15118" width="13.25" style="25" customWidth="1"/>
    <col min="15119" max="15119" width="12.875" style="25" customWidth="1"/>
    <col min="15120" max="15360" width="9" style="25"/>
    <col min="15361" max="15361" width="33.625" style="25" customWidth="1"/>
    <col min="15362" max="15362" width="26.125" style="25" customWidth="1"/>
    <col min="15363" max="15363" width="8.125" style="25" customWidth="1"/>
    <col min="15364" max="15364" width="5.125" style="25" customWidth="1"/>
    <col min="15365" max="15373" width="12.625" style="25" customWidth="1"/>
    <col min="15374" max="15374" width="13.25" style="25" customWidth="1"/>
    <col min="15375" max="15375" width="12.875" style="25" customWidth="1"/>
    <col min="15376" max="15616" width="9" style="25"/>
    <col min="15617" max="15617" width="33.625" style="25" customWidth="1"/>
    <col min="15618" max="15618" width="26.125" style="25" customWidth="1"/>
    <col min="15619" max="15619" width="8.125" style="25" customWidth="1"/>
    <col min="15620" max="15620" width="5.125" style="25" customWidth="1"/>
    <col min="15621" max="15629" width="12.625" style="25" customWidth="1"/>
    <col min="15630" max="15630" width="13.25" style="25" customWidth="1"/>
    <col min="15631" max="15631" width="12.875" style="25" customWidth="1"/>
    <col min="15632" max="15872" width="9" style="25"/>
    <col min="15873" max="15873" width="33.625" style="25" customWidth="1"/>
    <col min="15874" max="15874" width="26.125" style="25" customWidth="1"/>
    <col min="15875" max="15875" width="8.125" style="25" customWidth="1"/>
    <col min="15876" max="15876" width="5.125" style="25" customWidth="1"/>
    <col min="15877" max="15885" width="12.625" style="25" customWidth="1"/>
    <col min="15886" max="15886" width="13.25" style="25" customWidth="1"/>
    <col min="15887" max="15887" width="12.875" style="25" customWidth="1"/>
    <col min="15888" max="16128" width="9" style="25"/>
    <col min="16129" max="16129" width="33.625" style="25" customWidth="1"/>
    <col min="16130" max="16130" width="26.125" style="25" customWidth="1"/>
    <col min="16131" max="16131" width="8.125" style="25" customWidth="1"/>
    <col min="16132" max="16132" width="5.125" style="25" customWidth="1"/>
    <col min="16133" max="16141" width="12.625" style="25" customWidth="1"/>
    <col min="16142" max="16142" width="13.25" style="25" customWidth="1"/>
    <col min="16143" max="16143" width="12.875" style="25" customWidth="1"/>
    <col min="16144" max="16384" width="9" style="25"/>
  </cols>
  <sheetData>
    <row r="1" spans="1:15" ht="30" customHeight="1">
      <c r="A1" s="296" t="s">
        <v>741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</row>
    <row r="2" spans="1:15" ht="24.95" customHeight="1" thickBot="1">
      <c r="A2" s="250" t="s">
        <v>2531</v>
      </c>
      <c r="B2" s="26"/>
      <c r="C2" s="27"/>
      <c r="D2" s="28"/>
      <c r="E2" s="26"/>
      <c r="F2" s="26"/>
      <c r="G2" s="26"/>
      <c r="H2" s="26"/>
      <c r="I2" s="26"/>
      <c r="J2" s="26"/>
      <c r="K2" s="26"/>
      <c r="L2" s="26"/>
      <c r="M2" s="26"/>
    </row>
    <row r="3" spans="1:15" s="29" customFormat="1" ht="24.95" customHeight="1">
      <c r="A3" s="297" t="s">
        <v>742</v>
      </c>
      <c r="B3" s="299" t="s">
        <v>743</v>
      </c>
      <c r="C3" s="301" t="s">
        <v>744</v>
      </c>
      <c r="D3" s="299" t="s">
        <v>745</v>
      </c>
      <c r="E3" s="299" t="s">
        <v>746</v>
      </c>
      <c r="F3" s="299"/>
      <c r="G3" s="299" t="s">
        <v>747</v>
      </c>
      <c r="H3" s="299"/>
      <c r="I3" s="299" t="s">
        <v>748</v>
      </c>
      <c r="J3" s="299"/>
      <c r="K3" s="299" t="s">
        <v>749</v>
      </c>
      <c r="L3" s="299"/>
      <c r="M3" s="303" t="s">
        <v>750</v>
      </c>
      <c r="N3" s="252"/>
    </row>
    <row r="4" spans="1:15" s="29" customFormat="1" ht="24.95" customHeight="1" thickBot="1">
      <c r="A4" s="298" t="s">
        <v>22</v>
      </c>
      <c r="B4" s="300" t="s">
        <v>22</v>
      </c>
      <c r="C4" s="302" t="s">
        <v>22</v>
      </c>
      <c r="D4" s="300" t="s">
        <v>22</v>
      </c>
      <c r="E4" s="30" t="s">
        <v>751</v>
      </c>
      <c r="F4" s="30" t="s">
        <v>752</v>
      </c>
      <c r="G4" s="30" t="s">
        <v>751</v>
      </c>
      <c r="H4" s="30" t="s">
        <v>752</v>
      </c>
      <c r="I4" s="30" t="s">
        <v>751</v>
      </c>
      <c r="J4" s="30" t="s">
        <v>752</v>
      </c>
      <c r="K4" s="30" t="s">
        <v>751</v>
      </c>
      <c r="L4" s="30" t="s">
        <v>752</v>
      </c>
      <c r="M4" s="304" t="s">
        <v>22</v>
      </c>
      <c r="N4" s="252"/>
    </row>
    <row r="5" spans="1:15" s="29" customFormat="1" ht="24.95" customHeight="1">
      <c r="A5" s="31" t="s">
        <v>753</v>
      </c>
      <c r="B5" s="32" t="s">
        <v>22</v>
      </c>
      <c r="C5" s="33">
        <v>1</v>
      </c>
      <c r="D5" s="34" t="s">
        <v>754</v>
      </c>
      <c r="E5" s="35"/>
      <c r="F5" s="36">
        <f>TRUNC(F6+F7+F8+F9+F10+F11+F12+F13+F14+F15+F16+F19+F20+F21+F22+F23+F24+F25+F26+F27+F28+F29+F30+F31+F32+F33+F34+F35+F36+F37+F38+F40,0)</f>
        <v>63351815868</v>
      </c>
      <c r="H5" s="36">
        <f>TRUNC(H6+H7+H8+H9+H10+H11+H12+H13+H14+H15+H16+H19+H20+H21+H22+H23+H24+H25+H26+H27+H28+H29+H30+H31+H32+H33+H34+H35+H36+H37+H38+H40,0)</f>
        <v>66361975118</v>
      </c>
      <c r="J5" s="36">
        <f>TRUNC(J6+J7+J8+J9+J10+J11+J12+J13+J14+J15+J16+J19+J20+J21+J22+J23+J24+J25+J26+J27+J28+J29+J30+J31+J32+J33+J34+J35+J36+J37+J38+J40,0)</f>
        <v>94730515014</v>
      </c>
      <c r="L5" s="36">
        <f t="shared" ref="L5:L41" si="0">H5+F5+J5</f>
        <v>224444306000</v>
      </c>
      <c r="M5" s="37" t="s">
        <v>22</v>
      </c>
      <c r="N5" s="252"/>
    </row>
    <row r="6" spans="1:15" s="29" customFormat="1" ht="24.95" customHeight="1">
      <c r="A6" s="31" t="s">
        <v>755</v>
      </c>
      <c r="B6" s="32" t="s">
        <v>22</v>
      </c>
      <c r="C6" s="33">
        <v>1</v>
      </c>
      <c r="D6" s="34" t="s">
        <v>754</v>
      </c>
      <c r="E6" s="36">
        <f>F68</f>
        <v>45679031635</v>
      </c>
      <c r="F6" s="36">
        <f>TRUNC(E6*$C6,0)</f>
        <v>45679031635</v>
      </c>
      <c r="G6" s="36">
        <f>H68</f>
        <v>34503742445</v>
      </c>
      <c r="H6" s="36">
        <f t="shared" ref="H6:H16" si="1">TRUNC(G6*$C6,0)</f>
        <v>34503742445</v>
      </c>
      <c r="I6" s="36">
        <f>J68</f>
        <v>24142306805</v>
      </c>
      <c r="J6" s="36">
        <f t="shared" ref="J6:J16" si="2">TRUNC(I6*$C6,0)</f>
        <v>24142306805</v>
      </c>
      <c r="K6" s="36">
        <f t="shared" ref="K6:K41" si="3">G6+E6+I6</f>
        <v>104325080885</v>
      </c>
      <c r="L6" s="36">
        <f t="shared" si="0"/>
        <v>104325080885</v>
      </c>
      <c r="M6" s="37" t="s">
        <v>22</v>
      </c>
      <c r="N6" s="253"/>
      <c r="O6" s="38"/>
    </row>
    <row r="7" spans="1:15" s="29" customFormat="1" ht="24.95" customHeight="1">
      <c r="A7" s="31" t="s">
        <v>756</v>
      </c>
      <c r="B7" s="32" t="s">
        <v>22</v>
      </c>
      <c r="C7" s="33">
        <v>1</v>
      </c>
      <c r="D7" s="34" t="s">
        <v>754</v>
      </c>
      <c r="E7" s="36">
        <f>F192</f>
        <v>3010933998</v>
      </c>
      <c r="F7" s="36">
        <f t="shared" ref="F7:F16" si="4">TRUNC(E7*$C7,0)</f>
        <v>3010933998</v>
      </c>
      <c r="G7" s="36">
        <f>H192</f>
        <v>17125536464</v>
      </c>
      <c r="H7" s="36">
        <f t="shared" si="1"/>
        <v>17125536464</v>
      </c>
      <c r="I7" s="36">
        <f>J192</f>
        <v>1303483758</v>
      </c>
      <c r="J7" s="36">
        <f t="shared" si="2"/>
        <v>1303483758</v>
      </c>
      <c r="K7" s="36">
        <f t="shared" si="3"/>
        <v>21439954220</v>
      </c>
      <c r="L7" s="36">
        <f t="shared" si="0"/>
        <v>21439954220</v>
      </c>
      <c r="M7" s="37" t="s">
        <v>22</v>
      </c>
      <c r="N7" s="253"/>
      <c r="O7" s="38"/>
    </row>
    <row r="8" spans="1:15" s="29" customFormat="1" ht="24.95" customHeight="1">
      <c r="A8" s="31" t="s">
        <v>757</v>
      </c>
      <c r="B8" s="32" t="s">
        <v>22</v>
      </c>
      <c r="C8" s="33">
        <v>1</v>
      </c>
      <c r="D8" s="34" t="s">
        <v>754</v>
      </c>
      <c r="E8" s="36">
        <f>F529</f>
        <v>485844891</v>
      </c>
      <c r="F8" s="36">
        <f t="shared" si="4"/>
        <v>485844891</v>
      </c>
      <c r="G8" s="36">
        <f>H529</f>
        <v>1149654085</v>
      </c>
      <c r="H8" s="36">
        <f t="shared" si="1"/>
        <v>1149654085</v>
      </c>
      <c r="I8" s="36">
        <f>J529</f>
        <v>141779721</v>
      </c>
      <c r="J8" s="36">
        <f t="shared" si="2"/>
        <v>141779721</v>
      </c>
      <c r="K8" s="36">
        <f t="shared" si="3"/>
        <v>1777278697</v>
      </c>
      <c r="L8" s="36">
        <f t="shared" si="0"/>
        <v>1777278697</v>
      </c>
      <c r="M8" s="37" t="s">
        <v>22</v>
      </c>
      <c r="N8" s="253"/>
      <c r="O8" s="38"/>
    </row>
    <row r="9" spans="1:15" s="29" customFormat="1" ht="24.95" customHeight="1">
      <c r="A9" s="31" t="s">
        <v>758</v>
      </c>
      <c r="B9" s="32" t="s">
        <v>22</v>
      </c>
      <c r="C9" s="33">
        <v>1</v>
      </c>
      <c r="D9" s="34" t="s">
        <v>754</v>
      </c>
      <c r="E9" s="36">
        <f>F659</f>
        <v>892938847</v>
      </c>
      <c r="F9" s="36">
        <f t="shared" si="4"/>
        <v>892938847</v>
      </c>
      <c r="G9" s="36">
        <f>H659</f>
        <v>2061404807</v>
      </c>
      <c r="H9" s="36">
        <f t="shared" si="1"/>
        <v>2061404807</v>
      </c>
      <c r="I9" s="36">
        <f>J659</f>
        <v>51455768</v>
      </c>
      <c r="J9" s="36">
        <f t="shared" si="2"/>
        <v>51455768</v>
      </c>
      <c r="K9" s="36">
        <f t="shared" si="3"/>
        <v>3005799422</v>
      </c>
      <c r="L9" s="36">
        <f t="shared" si="0"/>
        <v>3005799422</v>
      </c>
      <c r="M9" s="37" t="s">
        <v>22</v>
      </c>
      <c r="N9" s="253"/>
      <c r="O9" s="38"/>
    </row>
    <row r="10" spans="1:15" s="29" customFormat="1" ht="24.95" customHeight="1">
      <c r="A10" s="31" t="s">
        <v>759</v>
      </c>
      <c r="B10" s="32" t="s">
        <v>22</v>
      </c>
      <c r="C10" s="33">
        <v>1</v>
      </c>
      <c r="D10" s="34" t="s">
        <v>754</v>
      </c>
      <c r="E10" s="36">
        <f>F1091</f>
        <v>1811681837</v>
      </c>
      <c r="F10" s="36">
        <f t="shared" si="4"/>
        <v>1811681837</v>
      </c>
      <c r="G10" s="36">
        <f>H1091</f>
        <v>7851898505</v>
      </c>
      <c r="H10" s="36">
        <f t="shared" si="1"/>
        <v>7851898505</v>
      </c>
      <c r="I10" s="36">
        <f>J1091</f>
        <v>220097629</v>
      </c>
      <c r="J10" s="36">
        <f t="shared" si="2"/>
        <v>220097629</v>
      </c>
      <c r="K10" s="36">
        <f t="shared" si="3"/>
        <v>9883677971</v>
      </c>
      <c r="L10" s="36">
        <f t="shared" si="0"/>
        <v>9883677971</v>
      </c>
      <c r="M10" s="37" t="s">
        <v>22</v>
      </c>
      <c r="N10" s="253"/>
      <c r="O10" s="38"/>
    </row>
    <row r="11" spans="1:15" s="29" customFormat="1" ht="24.95" customHeight="1">
      <c r="A11" s="31" t="s">
        <v>760</v>
      </c>
      <c r="B11" s="32" t="s">
        <v>22</v>
      </c>
      <c r="C11" s="33">
        <v>1</v>
      </c>
      <c r="D11" s="34" t="s">
        <v>754</v>
      </c>
      <c r="E11" s="36">
        <f>F1240</f>
        <v>2569518308</v>
      </c>
      <c r="F11" s="36">
        <f t="shared" si="4"/>
        <v>2569518308</v>
      </c>
      <c r="G11" s="36">
        <f>H1240</f>
        <v>1308807381</v>
      </c>
      <c r="H11" s="36">
        <f t="shared" si="1"/>
        <v>1308807381</v>
      </c>
      <c r="I11" s="36">
        <f>J1240</f>
        <v>538865817</v>
      </c>
      <c r="J11" s="36">
        <f t="shared" si="2"/>
        <v>538865817</v>
      </c>
      <c r="K11" s="36">
        <f t="shared" si="3"/>
        <v>4417191506</v>
      </c>
      <c r="L11" s="36">
        <f t="shared" si="0"/>
        <v>4417191506</v>
      </c>
      <c r="M11" s="37" t="s">
        <v>22</v>
      </c>
      <c r="N11" s="253"/>
      <c r="O11" s="38"/>
    </row>
    <row r="12" spans="1:15" s="29" customFormat="1" ht="24.95" customHeight="1">
      <c r="A12" s="31" t="s">
        <v>761</v>
      </c>
      <c r="B12" s="32" t="s">
        <v>22</v>
      </c>
      <c r="C12" s="33">
        <v>1</v>
      </c>
      <c r="D12" s="34" t="s">
        <v>754</v>
      </c>
      <c r="E12" s="36">
        <f>F1490</f>
        <v>694353421</v>
      </c>
      <c r="F12" s="36">
        <f t="shared" si="4"/>
        <v>694353421</v>
      </c>
      <c r="G12" s="36">
        <f>H1490</f>
        <v>631445266</v>
      </c>
      <c r="H12" s="36">
        <f t="shared" si="1"/>
        <v>631445266</v>
      </c>
      <c r="I12" s="36">
        <f>J1490</f>
        <v>62635909</v>
      </c>
      <c r="J12" s="36">
        <f t="shared" si="2"/>
        <v>62635909</v>
      </c>
      <c r="K12" s="36">
        <f t="shared" si="3"/>
        <v>1388434596</v>
      </c>
      <c r="L12" s="36">
        <f t="shared" si="0"/>
        <v>1388434596</v>
      </c>
      <c r="M12" s="37" t="s">
        <v>22</v>
      </c>
      <c r="N12" s="253"/>
      <c r="O12" s="38"/>
    </row>
    <row r="13" spans="1:15" s="29" customFormat="1" ht="24.95" customHeight="1">
      <c r="A13" s="31" t="s">
        <v>762</v>
      </c>
      <c r="B13" s="32" t="s">
        <v>22</v>
      </c>
      <c r="C13" s="33">
        <v>1</v>
      </c>
      <c r="D13" s="34" t="s">
        <v>754</v>
      </c>
      <c r="E13" s="36">
        <f>F1552</f>
        <v>12982062</v>
      </c>
      <c r="F13" s="36">
        <f t="shared" si="4"/>
        <v>12982062</v>
      </c>
      <c r="G13" s="36">
        <f>H1552</f>
        <v>41363394</v>
      </c>
      <c r="H13" s="36">
        <f t="shared" si="1"/>
        <v>41363394</v>
      </c>
      <c r="I13" s="36">
        <f>J1552</f>
        <v>1601760</v>
      </c>
      <c r="J13" s="36">
        <f t="shared" si="2"/>
        <v>1601760</v>
      </c>
      <c r="K13" s="36">
        <f t="shared" si="3"/>
        <v>55947216</v>
      </c>
      <c r="L13" s="36">
        <f t="shared" si="0"/>
        <v>55947216</v>
      </c>
      <c r="M13" s="37" t="s">
        <v>22</v>
      </c>
      <c r="N13" s="253"/>
      <c r="O13" s="38"/>
    </row>
    <row r="14" spans="1:15" s="29" customFormat="1" ht="24.95" customHeight="1">
      <c r="A14" s="31" t="s">
        <v>763</v>
      </c>
      <c r="B14" s="32" t="s">
        <v>22</v>
      </c>
      <c r="C14" s="33">
        <v>1</v>
      </c>
      <c r="D14" s="34" t="s">
        <v>754</v>
      </c>
      <c r="E14" s="36">
        <f>F1580</f>
        <v>491964880</v>
      </c>
      <c r="F14" s="36">
        <f t="shared" si="4"/>
        <v>491964880</v>
      </c>
      <c r="G14" s="36">
        <f>H1580</f>
        <v>769593823</v>
      </c>
      <c r="H14" s="36">
        <f t="shared" si="1"/>
        <v>769593823</v>
      </c>
      <c r="I14" s="36">
        <f>J1580</f>
        <v>86738218</v>
      </c>
      <c r="J14" s="36">
        <f t="shared" si="2"/>
        <v>86738218</v>
      </c>
      <c r="K14" s="36">
        <f t="shared" si="3"/>
        <v>1348296921</v>
      </c>
      <c r="L14" s="36">
        <f t="shared" si="0"/>
        <v>1348296921</v>
      </c>
      <c r="M14" s="37" t="s">
        <v>22</v>
      </c>
      <c r="N14" s="253"/>
      <c r="O14" s="38"/>
    </row>
    <row r="15" spans="1:15" s="29" customFormat="1" ht="24.95" customHeight="1">
      <c r="A15" s="31" t="s">
        <v>764</v>
      </c>
      <c r="B15" s="32" t="s">
        <v>22</v>
      </c>
      <c r="C15" s="33">
        <v>1</v>
      </c>
      <c r="D15" s="34" t="s">
        <v>754</v>
      </c>
      <c r="E15" s="36">
        <f>F1653</f>
        <v>127999030</v>
      </c>
      <c r="F15" s="36">
        <f t="shared" si="4"/>
        <v>127999030</v>
      </c>
      <c r="G15" s="36">
        <f>H1653</f>
        <v>403186048</v>
      </c>
      <c r="H15" s="36">
        <f t="shared" si="1"/>
        <v>403186048</v>
      </c>
      <c r="I15" s="36">
        <f>J1653</f>
        <v>31570040</v>
      </c>
      <c r="J15" s="36">
        <f t="shared" si="2"/>
        <v>31570040</v>
      </c>
      <c r="K15" s="36">
        <f t="shared" si="3"/>
        <v>562755118</v>
      </c>
      <c r="L15" s="36">
        <f t="shared" si="0"/>
        <v>562755118</v>
      </c>
      <c r="M15" s="37" t="s">
        <v>22</v>
      </c>
      <c r="N15" s="253"/>
      <c r="O15" s="38"/>
    </row>
    <row r="16" spans="1:15" s="29" customFormat="1" ht="24.95" customHeight="1">
      <c r="A16" s="31" t="s">
        <v>765</v>
      </c>
      <c r="B16" s="32" t="s">
        <v>22</v>
      </c>
      <c r="C16" s="33">
        <v>1</v>
      </c>
      <c r="D16" s="34" t="s">
        <v>754</v>
      </c>
      <c r="E16" s="36">
        <f>F1695</f>
        <v>88549917</v>
      </c>
      <c r="F16" s="36">
        <f t="shared" si="4"/>
        <v>88549917</v>
      </c>
      <c r="G16" s="36">
        <f>H1695</f>
        <v>677089910</v>
      </c>
      <c r="H16" s="36">
        <f t="shared" si="1"/>
        <v>677089910</v>
      </c>
      <c r="I16" s="36">
        <f>J1695</f>
        <v>3041021193</v>
      </c>
      <c r="J16" s="36">
        <f t="shared" si="2"/>
        <v>3041021193</v>
      </c>
      <c r="K16" s="36">
        <f t="shared" si="3"/>
        <v>3806661020</v>
      </c>
      <c r="L16" s="36">
        <f t="shared" si="0"/>
        <v>3806661020</v>
      </c>
      <c r="M16" s="37" t="s">
        <v>22</v>
      </c>
      <c r="N16" s="253"/>
      <c r="O16" s="38"/>
    </row>
    <row r="17" spans="1:15" s="29" customFormat="1" ht="24.95" customHeight="1">
      <c r="A17" s="31" t="s">
        <v>766</v>
      </c>
      <c r="B17" s="32" t="s">
        <v>22</v>
      </c>
      <c r="C17" s="33"/>
      <c r="D17" s="34" t="s">
        <v>22</v>
      </c>
      <c r="E17" s="34"/>
      <c r="F17" s="36">
        <v>0</v>
      </c>
      <c r="G17" s="34"/>
      <c r="H17" s="36">
        <v>0</v>
      </c>
      <c r="I17" s="34"/>
      <c r="J17" s="36">
        <v>0</v>
      </c>
      <c r="K17" s="36">
        <f t="shared" si="3"/>
        <v>0</v>
      </c>
      <c r="L17" s="36">
        <f t="shared" si="0"/>
        <v>0</v>
      </c>
      <c r="M17" s="37" t="s">
        <v>22</v>
      </c>
      <c r="N17" s="253"/>
    </row>
    <row r="18" spans="1:15" s="45" customFormat="1" ht="24.95" customHeight="1">
      <c r="A18" s="39" t="s">
        <v>767</v>
      </c>
      <c r="B18" s="40" t="s">
        <v>22</v>
      </c>
      <c r="C18" s="41">
        <v>1</v>
      </c>
      <c r="D18" s="42" t="s">
        <v>754</v>
      </c>
      <c r="E18" s="42"/>
      <c r="F18" s="43">
        <f>TRUNC((F6+F7+F8+F9+F10+F11+F12+F13+F14+F15+F16),0)</f>
        <v>55865798826</v>
      </c>
      <c r="G18" s="42"/>
      <c r="H18" s="43">
        <f>TRUNC((H6+H7+H8+H9+H10+H11+H12+H13+H14+H15+H16),0)</f>
        <v>66523722128</v>
      </c>
      <c r="I18" s="42"/>
      <c r="J18" s="43">
        <f>TRUNC((J6+J7+J8+J9+J10+J11+J12+J13+J14+J15+J16),0)</f>
        <v>29621556618</v>
      </c>
      <c r="K18" s="43">
        <f t="shared" si="3"/>
        <v>0</v>
      </c>
      <c r="L18" s="43">
        <f t="shared" si="0"/>
        <v>152011077572</v>
      </c>
      <c r="M18" s="44" t="s">
        <v>22</v>
      </c>
      <c r="N18" s="253"/>
    </row>
    <row r="19" spans="1:15" s="29" customFormat="1" ht="24.95" customHeight="1">
      <c r="A19" s="31" t="s">
        <v>768</v>
      </c>
      <c r="B19" s="32" t="s">
        <v>22</v>
      </c>
      <c r="C19" s="33">
        <v>1</v>
      </c>
      <c r="D19" s="34" t="s">
        <v>754</v>
      </c>
      <c r="E19" s="34"/>
      <c r="F19" s="36">
        <v>0</v>
      </c>
      <c r="G19" s="34"/>
      <c r="H19" s="36">
        <f>TRUNC((0*0/100),0)</f>
        <v>0</v>
      </c>
      <c r="I19" s="34"/>
      <c r="J19" s="36">
        <v>0</v>
      </c>
      <c r="K19" s="36">
        <f t="shared" si="3"/>
        <v>0</v>
      </c>
      <c r="L19" s="36">
        <f t="shared" si="0"/>
        <v>0</v>
      </c>
      <c r="M19" s="37" t="s">
        <v>22</v>
      </c>
      <c r="N19" s="253"/>
    </row>
    <row r="20" spans="1:15" s="29" customFormat="1" ht="24.95" customHeight="1">
      <c r="A20" s="31" t="s">
        <v>769</v>
      </c>
      <c r="B20" s="32" t="s">
        <v>770</v>
      </c>
      <c r="C20" s="33">
        <v>1</v>
      </c>
      <c r="D20" s="34" t="s">
        <v>754</v>
      </c>
      <c r="E20" s="34"/>
      <c r="F20" s="36">
        <f>TRUNC((F18*13.4/100),0)</f>
        <v>7486017042</v>
      </c>
      <c r="G20" s="34"/>
      <c r="H20" s="36">
        <v>0</v>
      </c>
      <c r="I20" s="34"/>
      <c r="J20" s="36">
        <v>0</v>
      </c>
      <c r="K20" s="36">
        <f t="shared" si="3"/>
        <v>0</v>
      </c>
      <c r="L20" s="36">
        <f t="shared" si="0"/>
        <v>7486017042</v>
      </c>
      <c r="M20" s="37" t="s">
        <v>22</v>
      </c>
      <c r="N20" s="253"/>
    </row>
    <row r="21" spans="1:15" s="29" customFormat="1" ht="24.95" customHeight="1" thickBot="1">
      <c r="A21" s="31" t="s">
        <v>771</v>
      </c>
      <c r="B21" s="32" t="s">
        <v>772</v>
      </c>
      <c r="C21" s="33">
        <v>1</v>
      </c>
      <c r="D21" s="34" t="s">
        <v>754</v>
      </c>
      <c r="E21" s="34"/>
      <c r="F21" s="36">
        <v>0</v>
      </c>
      <c r="G21" s="34"/>
      <c r="H21" s="36">
        <v>0</v>
      </c>
      <c r="I21" s="34"/>
      <c r="J21" s="36">
        <f>TRUNC(((F18+F20)*3.56/100),0)</f>
        <v>2255324644</v>
      </c>
      <c r="K21" s="36">
        <f t="shared" si="3"/>
        <v>0</v>
      </c>
      <c r="L21" s="36">
        <f t="shared" si="0"/>
        <v>2255324644</v>
      </c>
      <c r="M21" s="37" t="s">
        <v>22</v>
      </c>
      <c r="N21" s="253"/>
    </row>
    <row r="22" spans="1:15" s="29" customFormat="1" ht="24.95" customHeight="1" thickBot="1">
      <c r="A22" s="31" t="s">
        <v>773</v>
      </c>
      <c r="B22" s="32" t="s">
        <v>774</v>
      </c>
      <c r="C22" s="33">
        <v>1</v>
      </c>
      <c r="D22" s="34" t="s">
        <v>754</v>
      </c>
      <c r="E22" s="34"/>
      <c r="F22" s="36">
        <v>0</v>
      </c>
      <c r="G22" s="34"/>
      <c r="H22" s="36">
        <v>0</v>
      </c>
      <c r="I22" s="34"/>
      <c r="J22" s="36">
        <f>TRUNC(((F18+F20)*1.57/100),0)</f>
        <v>994623509</v>
      </c>
      <c r="K22" s="36">
        <f t="shared" si="3"/>
        <v>0</v>
      </c>
      <c r="L22" s="36">
        <f t="shared" si="0"/>
        <v>994623509</v>
      </c>
      <c r="M22" s="37" t="s">
        <v>22</v>
      </c>
      <c r="N22" s="253"/>
      <c r="O22" s="46" t="s">
        <v>775</v>
      </c>
    </row>
    <row r="23" spans="1:15" s="54" customFormat="1" ht="24.95" customHeight="1" thickBot="1">
      <c r="A23" s="47" t="s">
        <v>776</v>
      </c>
      <c r="B23" s="48" t="s">
        <v>777</v>
      </c>
      <c r="C23" s="49">
        <v>1</v>
      </c>
      <c r="D23" s="50" t="s">
        <v>754</v>
      </c>
      <c r="E23" s="50"/>
      <c r="F23" s="51">
        <v>0</v>
      </c>
      <c r="G23" s="50"/>
      <c r="H23" s="51">
        <v>0</v>
      </c>
      <c r="I23" s="50"/>
      <c r="J23" s="51">
        <f>TRUNC((F18*3.545/100),0)*0+$O$23</f>
        <v>2377966250</v>
      </c>
      <c r="K23" s="51">
        <f t="shared" si="3"/>
        <v>0</v>
      </c>
      <c r="L23" s="51">
        <f t="shared" si="0"/>
        <v>2377966250</v>
      </c>
      <c r="M23" s="52" t="s">
        <v>22</v>
      </c>
      <c r="N23" s="254"/>
      <c r="O23" s="53">
        <v>2377966250</v>
      </c>
    </row>
    <row r="24" spans="1:15" s="54" customFormat="1" ht="24.95" customHeight="1" thickBot="1">
      <c r="A24" s="47" t="s">
        <v>778</v>
      </c>
      <c r="B24" s="48" t="s">
        <v>779</v>
      </c>
      <c r="C24" s="49">
        <v>1</v>
      </c>
      <c r="D24" s="50" t="s">
        <v>754</v>
      </c>
      <c r="E24" s="50"/>
      <c r="F24" s="51">
        <v>0</v>
      </c>
      <c r="G24" s="50"/>
      <c r="H24" s="51">
        <v>0</v>
      </c>
      <c r="I24" s="50"/>
      <c r="J24" s="51">
        <f>TRUNC((J23*12.95/100),0)*0+$O$24</f>
        <v>307946629</v>
      </c>
      <c r="K24" s="51">
        <f t="shared" si="3"/>
        <v>0</v>
      </c>
      <c r="L24" s="51">
        <f t="shared" si="0"/>
        <v>307946629</v>
      </c>
      <c r="M24" s="52" t="s">
        <v>22</v>
      </c>
      <c r="N24" s="254"/>
      <c r="O24" s="53">
        <v>307946629</v>
      </c>
    </row>
    <row r="25" spans="1:15" s="54" customFormat="1" ht="24.95" customHeight="1" thickBot="1">
      <c r="A25" s="47" t="s">
        <v>780</v>
      </c>
      <c r="B25" s="48" t="s">
        <v>781</v>
      </c>
      <c r="C25" s="49">
        <v>1</v>
      </c>
      <c r="D25" s="50" t="s">
        <v>754</v>
      </c>
      <c r="E25" s="50"/>
      <c r="F25" s="51">
        <v>0</v>
      </c>
      <c r="G25" s="50"/>
      <c r="H25" s="51">
        <v>0</v>
      </c>
      <c r="I25" s="50"/>
      <c r="J25" s="51">
        <f>TRUNC((F18*4.5/100),0)*0+$O$25</f>
        <v>3018574930</v>
      </c>
      <c r="K25" s="51">
        <f t="shared" si="3"/>
        <v>0</v>
      </c>
      <c r="L25" s="51">
        <f t="shared" si="0"/>
        <v>3018574930</v>
      </c>
      <c r="M25" s="52" t="s">
        <v>22</v>
      </c>
      <c r="N25" s="254"/>
      <c r="O25" s="53">
        <v>3018574930</v>
      </c>
    </row>
    <row r="26" spans="1:15" s="54" customFormat="1" ht="24.95" customHeight="1" thickBot="1">
      <c r="A26" s="47" t="s">
        <v>782</v>
      </c>
      <c r="B26" s="48" t="s">
        <v>783</v>
      </c>
      <c r="C26" s="49">
        <v>1</v>
      </c>
      <c r="D26" s="50" t="s">
        <v>754</v>
      </c>
      <c r="E26" s="50"/>
      <c r="F26" s="51">
        <v>0</v>
      </c>
      <c r="G26" s="50"/>
      <c r="H26" s="51">
        <v>0</v>
      </c>
      <c r="I26" s="50"/>
      <c r="J26" s="51">
        <f>TRUNC((F18*2.3/100),0)*0+$O$26</f>
        <v>1542827186</v>
      </c>
      <c r="K26" s="51">
        <f t="shared" si="3"/>
        <v>0</v>
      </c>
      <c r="L26" s="51">
        <f t="shared" si="0"/>
        <v>1542827186</v>
      </c>
      <c r="M26" s="52" t="s">
        <v>22</v>
      </c>
      <c r="N26" s="254"/>
      <c r="O26" s="53">
        <v>1542827186</v>
      </c>
    </row>
    <row r="27" spans="1:15" s="29" customFormat="1" ht="24.95" customHeight="1" thickBot="1">
      <c r="A27" s="31" t="s">
        <v>784</v>
      </c>
      <c r="B27" s="32" t="s">
        <v>785</v>
      </c>
      <c r="C27" s="33">
        <v>1</v>
      </c>
      <c r="D27" s="34" t="s">
        <v>754</v>
      </c>
      <c r="E27" s="34"/>
      <c r="F27" s="36">
        <v>0</v>
      </c>
      <c r="G27" s="34"/>
      <c r="H27" s="36">
        <v>0</v>
      </c>
      <c r="I27" s="34"/>
      <c r="J27" s="36">
        <f>TRUNC(((H18+F18+J18)*0.4/100),0)</f>
        <v>608044310</v>
      </c>
      <c r="K27" s="36">
        <f t="shared" si="3"/>
        <v>0</v>
      </c>
      <c r="L27" s="36">
        <f t="shared" si="0"/>
        <v>608044310</v>
      </c>
      <c r="M27" s="37" t="s">
        <v>22</v>
      </c>
      <c r="N27" s="253"/>
      <c r="O27" s="55"/>
    </row>
    <row r="28" spans="1:15" s="54" customFormat="1" ht="24.95" customHeight="1" thickBot="1">
      <c r="A28" s="47" t="s">
        <v>786</v>
      </c>
      <c r="B28" s="48" t="s">
        <v>787</v>
      </c>
      <c r="C28" s="49">
        <v>1</v>
      </c>
      <c r="D28" s="50" t="s">
        <v>754</v>
      </c>
      <c r="E28" s="50"/>
      <c r="F28" s="51">
        <v>0</v>
      </c>
      <c r="G28" s="50"/>
      <c r="H28" s="51">
        <v>0</v>
      </c>
      <c r="I28" s="50"/>
      <c r="J28" s="51">
        <f>TRUNC(((H18+H19+F18)*1.38/100),0)*0+$O$28</f>
        <v>2027901531</v>
      </c>
      <c r="K28" s="51">
        <f t="shared" si="3"/>
        <v>0</v>
      </c>
      <c r="L28" s="51">
        <f t="shared" si="0"/>
        <v>2027901531</v>
      </c>
      <c r="M28" s="52" t="s">
        <v>22</v>
      </c>
      <c r="N28" s="254"/>
      <c r="O28" s="53">
        <v>2027901531</v>
      </c>
    </row>
    <row r="29" spans="1:15" s="29" customFormat="1" ht="24.95" customHeight="1">
      <c r="A29" s="31" t="s">
        <v>788</v>
      </c>
      <c r="B29" s="32" t="s">
        <v>789</v>
      </c>
      <c r="C29" s="33">
        <v>1</v>
      </c>
      <c r="D29" s="34" t="s">
        <v>754</v>
      </c>
      <c r="E29" s="34"/>
      <c r="F29" s="36">
        <v>0</v>
      </c>
      <c r="G29" s="34"/>
      <c r="H29" s="36">
        <v>0</v>
      </c>
      <c r="I29" s="34"/>
      <c r="J29" s="36">
        <f>TRUNC(((H18+F18+J18)*0.6/100),0)</f>
        <v>912066465</v>
      </c>
      <c r="K29" s="36">
        <f t="shared" si="3"/>
        <v>0</v>
      </c>
      <c r="L29" s="36">
        <f t="shared" si="0"/>
        <v>912066465</v>
      </c>
      <c r="M29" s="37" t="s">
        <v>22</v>
      </c>
      <c r="N29" s="253"/>
    </row>
    <row r="30" spans="1:15" s="29" customFormat="1" ht="24.95" customHeight="1">
      <c r="A30" s="31" t="s">
        <v>790</v>
      </c>
      <c r="B30" s="32" t="s">
        <v>791</v>
      </c>
      <c r="C30" s="33">
        <v>1</v>
      </c>
      <c r="D30" s="34" t="s">
        <v>754</v>
      </c>
      <c r="E30" s="34"/>
      <c r="F30" s="36">
        <v>0</v>
      </c>
      <c r="G30" s="34"/>
      <c r="H30" s="36">
        <v>0</v>
      </c>
      <c r="I30" s="34"/>
      <c r="J30" s="36">
        <f>TRUNC(((H18+F18+J18)*0.071/100),0)</f>
        <v>107927865</v>
      </c>
      <c r="K30" s="36">
        <f t="shared" si="3"/>
        <v>0</v>
      </c>
      <c r="L30" s="36">
        <f t="shared" si="0"/>
        <v>107927865</v>
      </c>
      <c r="M30" s="37" t="s">
        <v>22</v>
      </c>
      <c r="N30" s="253"/>
    </row>
    <row r="31" spans="1:15" s="29" customFormat="1" ht="24.95" customHeight="1">
      <c r="A31" s="31" t="s">
        <v>792</v>
      </c>
      <c r="B31" s="32" t="s">
        <v>793</v>
      </c>
      <c r="C31" s="33">
        <v>1</v>
      </c>
      <c r="D31" s="34" t="s">
        <v>754</v>
      </c>
      <c r="E31" s="34"/>
      <c r="F31" s="36">
        <v>0</v>
      </c>
      <c r="G31" s="34"/>
      <c r="H31" s="36">
        <v>0</v>
      </c>
      <c r="I31" s="34"/>
      <c r="J31" s="36">
        <f>TRUNC(((H18+H19+F18+F20)*6.9/100),0)</f>
        <v>8961412121</v>
      </c>
      <c r="K31" s="36">
        <f t="shared" si="3"/>
        <v>0</v>
      </c>
      <c r="L31" s="36">
        <f t="shared" si="0"/>
        <v>8961412121</v>
      </c>
      <c r="M31" s="37"/>
      <c r="N31" s="253"/>
    </row>
    <row r="32" spans="1:15" s="29" customFormat="1" ht="24.95" customHeight="1">
      <c r="A32" s="31" t="s">
        <v>794</v>
      </c>
      <c r="B32" s="32" t="s">
        <v>795</v>
      </c>
      <c r="C32" s="33">
        <v>1</v>
      </c>
      <c r="D32" s="34" t="s">
        <v>754</v>
      </c>
      <c r="E32" s="34"/>
      <c r="F32" s="36">
        <v>0</v>
      </c>
      <c r="G32" s="34"/>
      <c r="H32" s="36">
        <v>0</v>
      </c>
      <c r="I32" s="34"/>
      <c r="J32" s="36">
        <f>TRUNC(((F18+H18+J18+F20+J21+J22+J23+J24+J25+J26+J27+J28+J29+J30+J31)*4.5/100),0)</f>
        <v>8217526952</v>
      </c>
      <c r="K32" s="36">
        <f t="shared" si="3"/>
        <v>0</v>
      </c>
      <c r="L32" s="36">
        <f t="shared" si="0"/>
        <v>8217526952</v>
      </c>
      <c r="M32" s="37"/>
      <c r="N32" s="253"/>
    </row>
    <row r="33" spans="1:15" s="29" customFormat="1" ht="24.95" customHeight="1">
      <c r="A33" s="31" t="s">
        <v>796</v>
      </c>
      <c r="B33" s="32" t="s">
        <v>797</v>
      </c>
      <c r="C33" s="33">
        <v>1</v>
      </c>
      <c r="D33" s="34" t="s">
        <v>754</v>
      </c>
      <c r="E33" s="34"/>
      <c r="F33" s="36">
        <v>0</v>
      </c>
      <c r="G33" s="34"/>
      <c r="H33" s="36">
        <v>0</v>
      </c>
      <c r="I33" s="34"/>
      <c r="J33" s="36">
        <f>TRUNC(((F18+H18+J18+F20+J21+J22+J23+J24+J25+J26+J27+J28+J29+J30+J31+J32)*0.11/100),0)</f>
        <v>209912160</v>
      </c>
      <c r="K33" s="36">
        <f t="shared" si="3"/>
        <v>0</v>
      </c>
      <c r="L33" s="36">
        <f t="shared" si="0"/>
        <v>209912160</v>
      </c>
      <c r="M33" s="37"/>
      <c r="N33" s="253"/>
    </row>
    <row r="34" spans="1:15" s="29" customFormat="1" ht="24.95" customHeight="1">
      <c r="A34" s="31" t="s">
        <v>798</v>
      </c>
      <c r="B34" s="32" t="s">
        <v>799</v>
      </c>
      <c r="C34" s="33">
        <v>1</v>
      </c>
      <c r="D34" s="34" t="s">
        <v>754</v>
      </c>
      <c r="E34" s="34"/>
      <c r="F34" s="36">
        <v>0</v>
      </c>
      <c r="G34" s="34"/>
      <c r="H34" s="36">
        <v>0</v>
      </c>
      <c r="I34" s="34"/>
      <c r="J34" s="36">
        <f>TRUNC(((F18+J18+F20+J21+J22+J23+J24+J25+J26+J27+J28+J29+J30+J31+J32+J33)*9/100-594011/1.1),0)</f>
        <v>11205848423</v>
      </c>
      <c r="K34" s="36">
        <f t="shared" si="3"/>
        <v>0</v>
      </c>
      <c r="L34" s="36">
        <f t="shared" si="0"/>
        <v>11205848423</v>
      </c>
      <c r="M34" s="37"/>
      <c r="N34" s="253"/>
    </row>
    <row r="35" spans="1:15" s="29" customFormat="1" ht="24.95" customHeight="1">
      <c r="A35" s="31" t="s">
        <v>800</v>
      </c>
      <c r="B35" s="32" t="s">
        <v>22</v>
      </c>
      <c r="C35" s="33">
        <v>1</v>
      </c>
      <c r="D35" s="34" t="s">
        <v>754</v>
      </c>
      <c r="E35" s="36">
        <v>0</v>
      </c>
      <c r="F35" s="36"/>
      <c r="G35" s="36">
        <v>0</v>
      </c>
      <c r="H35" s="36"/>
      <c r="I35" s="36">
        <v>453609000</v>
      </c>
      <c r="J35" s="36">
        <f>TRUNC(I35*C35,0)</f>
        <v>453609000</v>
      </c>
      <c r="K35" s="36">
        <f t="shared" si="3"/>
        <v>453609000</v>
      </c>
      <c r="L35" s="36">
        <f t="shared" si="0"/>
        <v>453609000</v>
      </c>
      <c r="M35" s="37"/>
      <c r="N35" s="253"/>
      <c r="O35" s="38"/>
    </row>
    <row r="36" spans="1:15" s="29" customFormat="1" ht="24.95" customHeight="1">
      <c r="A36" s="31" t="s">
        <v>801</v>
      </c>
      <c r="B36" s="32" t="s">
        <v>22</v>
      </c>
      <c r="C36" s="33">
        <v>21</v>
      </c>
      <c r="D36" s="34" t="s">
        <v>513</v>
      </c>
      <c r="E36" s="36">
        <v>0</v>
      </c>
      <c r="F36" s="36"/>
      <c r="G36" s="36">
        <v>0</v>
      </c>
      <c r="H36" s="36"/>
      <c r="I36" s="36">
        <v>6763000</v>
      </c>
      <c r="J36" s="36">
        <f>TRUNC(I36*C36,0)</f>
        <v>142023000</v>
      </c>
      <c r="K36" s="36">
        <f t="shared" si="3"/>
        <v>6763000</v>
      </c>
      <c r="L36" s="36">
        <f t="shared" si="0"/>
        <v>142023000</v>
      </c>
      <c r="M36" s="37"/>
      <c r="N36" s="253"/>
      <c r="O36" s="38"/>
    </row>
    <row r="37" spans="1:15" s="29" customFormat="1" ht="24.95" customHeight="1">
      <c r="A37" s="31" t="s">
        <v>802</v>
      </c>
      <c r="B37" s="32" t="s">
        <v>22</v>
      </c>
      <c r="C37" s="33">
        <v>1</v>
      </c>
      <c r="D37" s="34" t="s">
        <v>754</v>
      </c>
      <c r="E37" s="36">
        <f>F1806</f>
        <v>0</v>
      </c>
      <c r="F37" s="36"/>
      <c r="G37" s="36">
        <f>H1806</f>
        <v>-161747010</v>
      </c>
      <c r="H37" s="36">
        <f>TRUNC(G37*C37,0)</f>
        <v>-161747010</v>
      </c>
      <c r="I37" s="36">
        <f>J1806</f>
        <v>1274756603</v>
      </c>
      <c r="J37" s="36">
        <f>TRUNC(I37*C37,0)</f>
        <v>1274756603</v>
      </c>
      <c r="K37" s="36">
        <f t="shared" si="3"/>
        <v>1113009593</v>
      </c>
      <c r="L37" s="36">
        <f t="shared" si="0"/>
        <v>1113009593</v>
      </c>
      <c r="M37" s="37"/>
      <c r="N37" s="253"/>
      <c r="O37" s="38"/>
    </row>
    <row r="38" spans="1:15" s="29" customFormat="1" ht="24.95" customHeight="1">
      <c r="A38" s="31" t="s">
        <v>803</v>
      </c>
      <c r="B38" s="32" t="s">
        <v>804</v>
      </c>
      <c r="C38" s="33">
        <v>1</v>
      </c>
      <c r="D38" s="34" t="s">
        <v>754</v>
      </c>
      <c r="E38" s="36">
        <v>0</v>
      </c>
      <c r="F38" s="36"/>
      <c r="G38" s="36">
        <v>0</v>
      </c>
      <c r="H38" s="36"/>
      <c r="I38" s="36">
        <v>86639000</v>
      </c>
      <c r="J38" s="36">
        <f>TRUNC(I38*C38,0)</f>
        <v>86639000</v>
      </c>
      <c r="K38" s="36">
        <f t="shared" si="3"/>
        <v>86639000</v>
      </c>
      <c r="L38" s="36">
        <f t="shared" si="0"/>
        <v>86639000</v>
      </c>
      <c r="M38" s="37"/>
      <c r="N38" s="253"/>
      <c r="O38" s="38"/>
    </row>
    <row r="39" spans="1:15" s="45" customFormat="1" ht="24.95" customHeight="1">
      <c r="A39" s="39" t="s">
        <v>2494</v>
      </c>
      <c r="B39" s="40" t="s">
        <v>805</v>
      </c>
      <c r="C39" s="41">
        <v>1</v>
      </c>
      <c r="D39" s="42" t="s">
        <v>754</v>
      </c>
      <c r="E39" s="42"/>
      <c r="F39" s="43">
        <v>0</v>
      </c>
      <c r="G39" s="42"/>
      <c r="H39" s="43">
        <v>0</v>
      </c>
      <c r="I39" s="42"/>
      <c r="J39" s="43">
        <f>TRUNC((H18+J18+F18+F20+J21+J22+J23+J24+J25+J26+J27+J28+J29+J30+J31+J32+J33+J34+J35+J36+H37+J37+J38),0)</f>
        <v>204040278182</v>
      </c>
      <c r="K39" s="43">
        <f t="shared" si="3"/>
        <v>0</v>
      </c>
      <c r="L39" s="43">
        <f t="shared" si="0"/>
        <v>204040278182</v>
      </c>
      <c r="M39" s="44"/>
      <c r="N39" s="253"/>
    </row>
    <row r="40" spans="1:15" s="29" customFormat="1" ht="24.95" customHeight="1">
      <c r="A40" s="31" t="s">
        <v>806</v>
      </c>
      <c r="B40" s="32" t="s">
        <v>807</v>
      </c>
      <c r="C40" s="33">
        <v>1</v>
      </c>
      <c r="D40" s="34" t="s">
        <v>754</v>
      </c>
      <c r="E40" s="34"/>
      <c r="F40" s="36">
        <v>0</v>
      </c>
      <c r="G40" s="34"/>
      <c r="H40" s="36">
        <v>0</v>
      </c>
      <c r="I40" s="34"/>
      <c r="J40" s="36">
        <f>TRUNC((J39*10/100),0)</f>
        <v>20404027818</v>
      </c>
      <c r="K40" s="36">
        <f t="shared" si="3"/>
        <v>0</v>
      </c>
      <c r="L40" s="36">
        <f t="shared" si="0"/>
        <v>20404027818</v>
      </c>
      <c r="M40" s="37"/>
      <c r="N40" s="253"/>
    </row>
    <row r="41" spans="1:15" s="45" customFormat="1" ht="24.95" customHeight="1">
      <c r="A41" s="39" t="s">
        <v>808</v>
      </c>
      <c r="B41" s="40" t="s">
        <v>809</v>
      </c>
      <c r="C41" s="41">
        <v>1</v>
      </c>
      <c r="D41" s="42" t="s">
        <v>754</v>
      </c>
      <c r="E41" s="42"/>
      <c r="F41" s="43">
        <v>0</v>
      </c>
      <c r="G41" s="42"/>
      <c r="H41" s="43">
        <v>0</v>
      </c>
      <c r="I41" s="42"/>
      <c r="J41" s="43">
        <f>J39+J40</f>
        <v>224444306000</v>
      </c>
      <c r="K41" s="43">
        <f t="shared" si="3"/>
        <v>0</v>
      </c>
      <c r="L41" s="43">
        <f t="shared" si="0"/>
        <v>224444306000</v>
      </c>
      <c r="M41" s="44"/>
      <c r="N41" s="253"/>
    </row>
    <row r="42" spans="1:15" s="29" customFormat="1" ht="24.95" customHeight="1">
      <c r="A42" s="31"/>
      <c r="B42" s="32"/>
      <c r="C42" s="33"/>
      <c r="D42" s="34"/>
      <c r="E42" s="34"/>
      <c r="F42" s="36"/>
      <c r="G42" s="34"/>
      <c r="H42" s="36"/>
      <c r="I42" s="34"/>
      <c r="J42" s="36"/>
      <c r="K42" s="36"/>
      <c r="L42" s="56"/>
      <c r="M42" s="37"/>
      <c r="N42" s="253"/>
    </row>
    <row r="43" spans="1:15" s="29" customFormat="1" ht="24.95" customHeight="1">
      <c r="A43" s="31"/>
      <c r="B43" s="32"/>
      <c r="C43" s="33"/>
      <c r="D43" s="34"/>
      <c r="E43" s="34"/>
      <c r="F43" s="36"/>
      <c r="G43" s="34"/>
      <c r="H43" s="36"/>
      <c r="I43" s="34"/>
      <c r="J43" s="36"/>
      <c r="K43" s="36"/>
      <c r="L43" s="36"/>
      <c r="M43" s="37"/>
      <c r="N43" s="253"/>
    </row>
    <row r="44" spans="1:15" s="29" customFormat="1" ht="24.95" customHeight="1">
      <c r="A44" s="31"/>
      <c r="B44" s="32"/>
      <c r="C44" s="33"/>
      <c r="D44" s="34"/>
      <c r="E44" s="34"/>
      <c r="F44" s="36"/>
      <c r="G44" s="34"/>
      <c r="H44" s="36"/>
      <c r="I44" s="34"/>
      <c r="J44" s="36"/>
      <c r="K44" s="36"/>
      <c r="L44" s="36"/>
      <c r="M44" s="37"/>
      <c r="N44" s="253"/>
    </row>
    <row r="45" spans="1:15" s="29" customFormat="1" ht="24.95" customHeight="1">
      <c r="A45" s="31"/>
      <c r="B45" s="32"/>
      <c r="C45" s="33"/>
      <c r="D45" s="34"/>
      <c r="E45" s="34"/>
      <c r="F45" s="36"/>
      <c r="G45" s="34"/>
      <c r="H45" s="36"/>
      <c r="I45" s="34"/>
      <c r="J45" s="36"/>
      <c r="K45" s="36"/>
      <c r="L45" s="36"/>
      <c r="M45" s="37"/>
      <c r="N45" s="253"/>
    </row>
    <row r="46" spans="1:15" s="29" customFormat="1" ht="24.95" customHeight="1">
      <c r="A46" s="31"/>
      <c r="B46" s="32"/>
      <c r="C46" s="33"/>
      <c r="D46" s="34"/>
      <c r="E46" s="34"/>
      <c r="F46" s="36"/>
      <c r="G46" s="34"/>
      <c r="H46" s="36"/>
      <c r="I46" s="34"/>
      <c r="J46" s="36"/>
      <c r="K46" s="36"/>
      <c r="L46" s="36"/>
      <c r="M46" s="37"/>
      <c r="N46" s="253"/>
    </row>
    <row r="47" spans="1:15" s="29" customFormat="1" ht="24.95" customHeight="1">
      <c r="A47" s="31"/>
      <c r="B47" s="32"/>
      <c r="C47" s="33"/>
      <c r="D47" s="34"/>
      <c r="E47" s="34"/>
      <c r="F47" s="36"/>
      <c r="G47" s="34"/>
      <c r="H47" s="36"/>
      <c r="I47" s="34"/>
      <c r="J47" s="36"/>
      <c r="K47" s="36"/>
      <c r="L47" s="36"/>
      <c r="M47" s="37"/>
      <c r="N47" s="253"/>
    </row>
    <row r="48" spans="1:15" s="29" customFormat="1" ht="24.95" customHeight="1">
      <c r="A48" s="31"/>
      <c r="B48" s="32"/>
      <c r="C48" s="33"/>
      <c r="D48" s="34"/>
      <c r="E48" s="34"/>
      <c r="F48" s="36"/>
      <c r="G48" s="34"/>
      <c r="H48" s="36"/>
      <c r="I48" s="34"/>
      <c r="J48" s="36"/>
      <c r="K48" s="36"/>
      <c r="L48" s="36"/>
      <c r="M48" s="37"/>
      <c r="N48" s="253"/>
    </row>
    <row r="49" spans="1:14" s="29" customFormat="1" ht="24.95" customHeight="1">
      <c r="A49" s="31"/>
      <c r="B49" s="32"/>
      <c r="C49" s="33"/>
      <c r="D49" s="34"/>
      <c r="E49" s="34"/>
      <c r="F49" s="36"/>
      <c r="G49" s="34"/>
      <c r="H49" s="36"/>
      <c r="I49" s="34"/>
      <c r="J49" s="36"/>
      <c r="K49" s="36"/>
      <c r="L49" s="36"/>
      <c r="M49" s="37"/>
      <c r="N49" s="253"/>
    </row>
    <row r="50" spans="1:14" s="29" customFormat="1" ht="24.95" customHeight="1">
      <c r="A50" s="31"/>
      <c r="B50" s="32"/>
      <c r="C50" s="33"/>
      <c r="D50" s="34"/>
      <c r="E50" s="34"/>
      <c r="F50" s="36"/>
      <c r="G50" s="34"/>
      <c r="H50" s="36"/>
      <c r="I50" s="34"/>
      <c r="J50" s="36"/>
      <c r="K50" s="36"/>
      <c r="L50" s="36"/>
      <c r="M50" s="37"/>
      <c r="N50" s="253"/>
    </row>
    <row r="51" spans="1:14" s="29" customFormat="1" ht="24.95" customHeight="1">
      <c r="A51" s="31"/>
      <c r="B51" s="32"/>
      <c r="C51" s="33"/>
      <c r="D51" s="34"/>
      <c r="E51" s="34"/>
      <c r="F51" s="36"/>
      <c r="G51" s="34"/>
      <c r="H51" s="36"/>
      <c r="I51" s="34"/>
      <c r="J51" s="36"/>
      <c r="K51" s="36"/>
      <c r="L51" s="36"/>
      <c r="M51" s="37"/>
      <c r="N51" s="253"/>
    </row>
    <row r="52" spans="1:14" s="29" customFormat="1" ht="24.95" customHeight="1">
      <c r="A52" s="31"/>
      <c r="B52" s="32"/>
      <c r="C52" s="33"/>
      <c r="D52" s="34"/>
      <c r="E52" s="34"/>
      <c r="F52" s="36"/>
      <c r="G52" s="34"/>
      <c r="H52" s="36"/>
      <c r="I52" s="34"/>
      <c r="J52" s="36"/>
      <c r="K52" s="36"/>
      <c r="L52" s="36"/>
      <c r="M52" s="37"/>
      <c r="N52" s="253"/>
    </row>
    <row r="53" spans="1:14" s="29" customFormat="1" ht="24.95" customHeight="1">
      <c r="A53" s="31"/>
      <c r="B53" s="32"/>
      <c r="C53" s="33"/>
      <c r="D53" s="34"/>
      <c r="E53" s="34"/>
      <c r="F53" s="36"/>
      <c r="G53" s="34"/>
      <c r="H53" s="36"/>
      <c r="I53" s="34"/>
      <c r="J53" s="36"/>
      <c r="K53" s="36"/>
      <c r="L53" s="36"/>
      <c r="M53" s="37"/>
      <c r="N53" s="253"/>
    </row>
    <row r="54" spans="1:14" s="29" customFormat="1" ht="24.95" customHeight="1">
      <c r="A54" s="31"/>
      <c r="B54" s="32"/>
      <c r="C54" s="33"/>
      <c r="D54" s="34"/>
      <c r="E54" s="34"/>
      <c r="F54" s="36"/>
      <c r="G54" s="34"/>
      <c r="H54" s="36"/>
      <c r="I54" s="34"/>
      <c r="J54" s="36"/>
      <c r="K54" s="36"/>
      <c r="L54" s="36"/>
      <c r="M54" s="37"/>
      <c r="N54" s="253"/>
    </row>
    <row r="55" spans="1:14" s="29" customFormat="1" ht="24.95" customHeight="1">
      <c r="A55" s="31"/>
      <c r="B55" s="32"/>
      <c r="C55" s="33"/>
      <c r="D55" s="34"/>
      <c r="E55" s="34"/>
      <c r="F55" s="36"/>
      <c r="G55" s="34"/>
      <c r="H55" s="36"/>
      <c r="I55" s="34"/>
      <c r="J55" s="36"/>
      <c r="K55" s="36"/>
      <c r="L55" s="36"/>
      <c r="M55" s="37"/>
      <c r="N55" s="253"/>
    </row>
    <row r="56" spans="1:14" s="29" customFormat="1" ht="24.95" customHeight="1">
      <c r="A56" s="31"/>
      <c r="B56" s="32"/>
      <c r="C56" s="33"/>
      <c r="D56" s="34"/>
      <c r="E56" s="34"/>
      <c r="F56" s="36"/>
      <c r="G56" s="34"/>
      <c r="H56" s="36"/>
      <c r="I56" s="34"/>
      <c r="J56" s="36"/>
      <c r="K56" s="36"/>
      <c r="L56" s="36"/>
      <c r="M56" s="37"/>
      <c r="N56" s="253"/>
    </row>
    <row r="57" spans="1:14" s="29" customFormat="1" ht="24.95" customHeight="1">
      <c r="A57" s="31"/>
      <c r="B57" s="32"/>
      <c r="C57" s="33"/>
      <c r="D57" s="34"/>
      <c r="E57" s="34"/>
      <c r="F57" s="36"/>
      <c r="G57" s="34"/>
      <c r="H57" s="36"/>
      <c r="I57" s="34"/>
      <c r="J57" s="36"/>
      <c r="K57" s="36"/>
      <c r="L57" s="36"/>
      <c r="M57" s="37"/>
      <c r="N57" s="253"/>
    </row>
    <row r="58" spans="1:14" s="29" customFormat="1" ht="24.95" customHeight="1">
      <c r="A58" s="31"/>
      <c r="B58" s="32"/>
      <c r="C58" s="33"/>
      <c r="D58" s="34"/>
      <c r="E58" s="34"/>
      <c r="F58" s="36"/>
      <c r="G58" s="34"/>
      <c r="H58" s="36"/>
      <c r="I58" s="34"/>
      <c r="J58" s="36"/>
      <c r="K58" s="36"/>
      <c r="L58" s="36"/>
      <c r="M58" s="37"/>
      <c r="N58" s="253"/>
    </row>
    <row r="59" spans="1:14" s="29" customFormat="1" ht="24.95" customHeight="1">
      <c r="A59" s="31"/>
      <c r="B59" s="32"/>
      <c r="C59" s="33"/>
      <c r="D59" s="34"/>
      <c r="E59" s="34"/>
      <c r="F59" s="36"/>
      <c r="G59" s="34"/>
      <c r="H59" s="36"/>
      <c r="I59" s="34"/>
      <c r="J59" s="36"/>
      <c r="K59" s="36"/>
      <c r="L59" s="36"/>
      <c r="M59" s="37"/>
      <c r="N59" s="253"/>
    </row>
    <row r="60" spans="1:14" s="29" customFormat="1" ht="24.95" customHeight="1">
      <c r="A60" s="31"/>
      <c r="B60" s="32"/>
      <c r="C60" s="33"/>
      <c r="D60" s="34"/>
      <c r="E60" s="34"/>
      <c r="F60" s="36"/>
      <c r="G60" s="34"/>
      <c r="H60" s="36"/>
      <c r="I60" s="34"/>
      <c r="J60" s="36"/>
      <c r="K60" s="36"/>
      <c r="L60" s="36"/>
      <c r="M60" s="37"/>
      <c r="N60" s="253"/>
    </row>
    <row r="61" spans="1:14" s="29" customFormat="1" ht="24.95" customHeight="1">
      <c r="A61" s="31"/>
      <c r="B61" s="32"/>
      <c r="C61" s="33"/>
      <c r="D61" s="34"/>
      <c r="E61" s="34"/>
      <c r="F61" s="36"/>
      <c r="G61" s="34"/>
      <c r="H61" s="36"/>
      <c r="I61" s="34"/>
      <c r="J61" s="36"/>
      <c r="K61" s="36"/>
      <c r="L61" s="36"/>
      <c r="M61" s="37"/>
      <c r="N61" s="253"/>
    </row>
    <row r="62" spans="1:14" s="29" customFormat="1" ht="24.95" customHeight="1">
      <c r="A62" s="31"/>
      <c r="B62" s="32"/>
      <c r="C62" s="33"/>
      <c r="D62" s="34"/>
      <c r="E62" s="34"/>
      <c r="F62" s="36"/>
      <c r="G62" s="34"/>
      <c r="H62" s="36"/>
      <c r="I62" s="34"/>
      <c r="J62" s="36"/>
      <c r="K62" s="36"/>
      <c r="L62" s="36"/>
      <c r="M62" s="37"/>
      <c r="N62" s="253"/>
    </row>
    <row r="63" spans="1:14" s="29" customFormat="1" ht="24.95" customHeight="1">
      <c r="A63" s="31"/>
      <c r="B63" s="32"/>
      <c r="C63" s="33"/>
      <c r="D63" s="34"/>
      <c r="E63" s="34"/>
      <c r="F63" s="36"/>
      <c r="G63" s="34"/>
      <c r="H63" s="36"/>
      <c r="I63" s="34"/>
      <c r="J63" s="36"/>
      <c r="K63" s="36"/>
      <c r="L63" s="36"/>
      <c r="M63" s="37"/>
      <c r="N63" s="253"/>
    </row>
    <row r="64" spans="1:14" s="29" customFormat="1" ht="24.95" customHeight="1">
      <c r="A64" s="31"/>
      <c r="B64" s="32"/>
      <c r="C64" s="33"/>
      <c r="D64" s="34"/>
      <c r="E64" s="34"/>
      <c r="F64" s="36"/>
      <c r="G64" s="34"/>
      <c r="H64" s="36"/>
      <c r="I64" s="34"/>
      <c r="J64" s="36"/>
      <c r="K64" s="36"/>
      <c r="L64" s="36"/>
      <c r="M64" s="37"/>
      <c r="N64" s="253"/>
    </row>
    <row r="65" spans="1:15" s="29" customFormat="1" ht="24.95" customHeight="1">
      <c r="A65" s="31"/>
      <c r="B65" s="32"/>
      <c r="C65" s="33"/>
      <c r="D65" s="34"/>
      <c r="E65" s="34"/>
      <c r="F65" s="36"/>
      <c r="G65" s="34"/>
      <c r="H65" s="36"/>
      <c r="I65" s="34"/>
      <c r="J65" s="36"/>
      <c r="K65" s="36"/>
      <c r="L65" s="36"/>
      <c r="M65" s="37"/>
      <c r="N65" s="253"/>
    </row>
    <row r="66" spans="1:15" s="29" customFormat="1" ht="24.95" customHeight="1">
      <c r="A66" s="31"/>
      <c r="B66" s="32"/>
      <c r="C66" s="33"/>
      <c r="D66" s="34"/>
      <c r="E66" s="34"/>
      <c r="F66" s="36"/>
      <c r="G66" s="34"/>
      <c r="H66" s="36"/>
      <c r="I66" s="34"/>
      <c r="J66" s="36"/>
      <c r="K66" s="36"/>
      <c r="L66" s="36"/>
      <c r="M66" s="37"/>
      <c r="N66" s="253"/>
    </row>
    <row r="67" spans="1:15" s="29" customFormat="1" ht="24.95" customHeight="1">
      <c r="A67" s="31" t="s">
        <v>766</v>
      </c>
      <c r="B67" s="32" t="s">
        <v>22</v>
      </c>
      <c r="C67" s="33"/>
      <c r="D67" s="34" t="s">
        <v>22</v>
      </c>
      <c r="E67" s="34"/>
      <c r="F67" s="36">
        <v>0</v>
      </c>
      <c r="G67" s="34"/>
      <c r="H67" s="36">
        <v>0</v>
      </c>
      <c r="I67" s="34"/>
      <c r="J67" s="36">
        <v>0</v>
      </c>
      <c r="K67" s="36">
        <f>G67+E67+I67</f>
        <v>0</v>
      </c>
      <c r="L67" s="36">
        <f t="shared" ref="L67:L147" si="5">H67+F67+J67</f>
        <v>0</v>
      </c>
      <c r="M67" s="37" t="s">
        <v>22</v>
      </c>
      <c r="N67" s="253"/>
    </row>
    <row r="68" spans="1:15" s="45" customFormat="1" ht="24.95" customHeight="1">
      <c r="A68" s="39" t="s">
        <v>810</v>
      </c>
      <c r="B68" s="40" t="s">
        <v>22</v>
      </c>
      <c r="C68" s="41">
        <v>1</v>
      </c>
      <c r="D68" s="42" t="s">
        <v>754</v>
      </c>
      <c r="E68" s="42"/>
      <c r="F68" s="43">
        <f>F69+F100+F105+F108+F125+F149+F155+F159+F161+F168+F172+F175+F179+F183+F187</f>
        <v>45679031635</v>
      </c>
      <c r="G68" s="42"/>
      <c r="H68" s="43">
        <f>H69+H100+H105+H108+H125+H149+H155+H159+H161+H168+H172+H175+H179+H183+H187</f>
        <v>34503742445</v>
      </c>
      <c r="I68" s="42"/>
      <c r="J68" s="43">
        <f>J69+J100+J105+J108+J125+J149+J155+J159+J161+J168+J172+J175+J179+J183+J187</f>
        <v>24142306805</v>
      </c>
      <c r="K68" s="42"/>
      <c r="L68" s="43">
        <f t="shared" si="5"/>
        <v>104325080885</v>
      </c>
      <c r="M68" s="44" t="s">
        <v>22</v>
      </c>
      <c r="N68" s="253"/>
    </row>
    <row r="69" spans="1:15" s="63" customFormat="1" ht="24.95" customHeight="1">
      <c r="A69" s="57" t="s">
        <v>811</v>
      </c>
      <c r="B69" s="58" t="s">
        <v>22</v>
      </c>
      <c r="C69" s="59"/>
      <c r="D69" s="60" t="s">
        <v>22</v>
      </c>
      <c r="E69" s="60"/>
      <c r="F69" s="61">
        <f>TRUNC(F71+F72+F74+F75+F77+F78+F79+F80+F82+F83+F84+F85+F87+F88+F90+F92+F94+F95+F96+F97+F99,0)</f>
        <v>838727433</v>
      </c>
      <c r="G69" s="60"/>
      <c r="H69" s="61">
        <f>TRUNC(H71+H72+H74+H75+H77+H78+H79+H80+H82+H83+H84+H85+H87+H88+H90+H92+H94+H95+H96+H97+H99,0)</f>
        <v>80493256</v>
      </c>
      <c r="I69" s="60"/>
      <c r="J69" s="61">
        <f>TRUNC(J71+J72+J74+J75+J77+J78+J79+J80+J82+J83+J84+J85+J87+J88+J90+J92+J94+J95+J96+J97+J99,0)</f>
        <v>178248039</v>
      </c>
      <c r="K69" s="61">
        <f t="shared" ref="K69:K132" si="6">G69+E69+I69</f>
        <v>0</v>
      </c>
      <c r="L69" s="61">
        <f t="shared" si="5"/>
        <v>1097468728</v>
      </c>
      <c r="M69" s="62" t="s">
        <v>22</v>
      </c>
      <c r="N69" s="253"/>
    </row>
    <row r="70" spans="1:15" s="29" customFormat="1" ht="24.95" customHeight="1">
      <c r="A70" s="31" t="s">
        <v>812</v>
      </c>
      <c r="B70" s="32" t="s">
        <v>22</v>
      </c>
      <c r="C70" s="33"/>
      <c r="D70" s="34" t="s">
        <v>22</v>
      </c>
      <c r="E70" s="34"/>
      <c r="F70" s="36">
        <f>TRUNC(F71+F72,0)</f>
        <v>104648018</v>
      </c>
      <c r="G70" s="34"/>
      <c r="H70" s="36">
        <f>TRUNC(H71+H72,0)</f>
        <v>-21672468</v>
      </c>
      <c r="I70" s="34"/>
      <c r="J70" s="36">
        <f>TRUNC(J71+J72,0)</f>
        <v>33201046</v>
      </c>
      <c r="K70" s="36">
        <f t="shared" si="6"/>
        <v>0</v>
      </c>
      <c r="L70" s="36">
        <f t="shared" si="5"/>
        <v>116176596</v>
      </c>
      <c r="M70" s="37"/>
      <c r="N70" s="253"/>
    </row>
    <row r="71" spans="1:15" s="29" customFormat="1" ht="24.95" customHeight="1">
      <c r="A71" s="31" t="s">
        <v>813</v>
      </c>
      <c r="B71" s="32" t="s">
        <v>814</v>
      </c>
      <c r="C71" s="33">
        <v>1826</v>
      </c>
      <c r="D71" s="34" t="s">
        <v>815</v>
      </c>
      <c r="E71" s="36">
        <v>41590</v>
      </c>
      <c r="F71" s="36">
        <f>TRUNC(E71*$C71,0)</f>
        <v>75943340</v>
      </c>
      <c r="G71" s="36">
        <v>-9187</v>
      </c>
      <c r="H71" s="36">
        <f>TRUNC(G71*$C71,0)</f>
        <v>-16775462</v>
      </c>
      <c r="I71" s="36">
        <v>12986</v>
      </c>
      <c r="J71" s="36">
        <f>TRUNC(I71*$C71,0)</f>
        <v>23712436</v>
      </c>
      <c r="K71" s="36">
        <f t="shared" si="6"/>
        <v>45389</v>
      </c>
      <c r="L71" s="36">
        <f t="shared" si="5"/>
        <v>82880314</v>
      </c>
      <c r="M71" s="37"/>
      <c r="N71" s="253"/>
      <c r="O71" s="38"/>
    </row>
    <row r="72" spans="1:15" s="29" customFormat="1" ht="24.95" customHeight="1">
      <c r="A72" s="31" t="s">
        <v>813</v>
      </c>
      <c r="B72" s="32" t="s">
        <v>816</v>
      </c>
      <c r="C72" s="33">
        <v>622</v>
      </c>
      <c r="D72" s="34" t="s">
        <v>815</v>
      </c>
      <c r="E72" s="36">
        <v>46149</v>
      </c>
      <c r="F72" s="36">
        <f>TRUNC(E72*$C72,0)</f>
        <v>28704678</v>
      </c>
      <c r="G72" s="36">
        <v>-7873</v>
      </c>
      <c r="H72" s="36">
        <f>TRUNC(G72*$C72,0)</f>
        <v>-4897006</v>
      </c>
      <c r="I72" s="36">
        <v>15255</v>
      </c>
      <c r="J72" s="36">
        <f>TRUNC(I72*$C72,0)</f>
        <v>9488610</v>
      </c>
      <c r="K72" s="36">
        <f t="shared" si="6"/>
        <v>53531</v>
      </c>
      <c r="L72" s="36">
        <f t="shared" si="5"/>
        <v>33296282</v>
      </c>
      <c r="M72" s="37"/>
      <c r="N72" s="253"/>
      <c r="O72" s="38"/>
    </row>
    <row r="73" spans="1:15" s="29" customFormat="1" ht="24.95" customHeight="1">
      <c r="A73" s="31" t="s">
        <v>817</v>
      </c>
      <c r="B73" s="32" t="s">
        <v>22</v>
      </c>
      <c r="C73" s="33"/>
      <c r="D73" s="34" t="s">
        <v>22</v>
      </c>
      <c r="E73" s="36">
        <v>0</v>
      </c>
      <c r="F73" s="36">
        <f>TRUNC(F74+F75,0)</f>
        <v>85215795</v>
      </c>
      <c r="G73" s="36">
        <v>0</v>
      </c>
      <c r="H73" s="36">
        <f>TRUNC(H74+H75,0)</f>
        <v>25581171</v>
      </c>
      <c r="I73" s="36">
        <v>0</v>
      </c>
      <c r="J73" s="36">
        <f>TRUNC(J74+J75,0)</f>
        <v>44136639</v>
      </c>
      <c r="K73" s="36">
        <f t="shared" si="6"/>
        <v>0</v>
      </c>
      <c r="L73" s="36">
        <f t="shared" si="5"/>
        <v>154933605</v>
      </c>
      <c r="M73" s="37"/>
      <c r="N73" s="253"/>
    </row>
    <row r="74" spans="1:15" s="29" customFormat="1" ht="24.95" customHeight="1">
      <c r="A74" s="31" t="s">
        <v>818</v>
      </c>
      <c r="B74" s="32" t="s">
        <v>819</v>
      </c>
      <c r="C74" s="33">
        <v>931</v>
      </c>
      <c r="D74" s="34" t="s">
        <v>820</v>
      </c>
      <c r="E74" s="36">
        <v>14910</v>
      </c>
      <c r="F74" s="36">
        <f>TRUNC(E74*$C74,0)</f>
        <v>13881210</v>
      </c>
      <c r="G74" s="36">
        <v>4476</v>
      </c>
      <c r="H74" s="36">
        <f>TRUNC(G74*$C74,0)</f>
        <v>4167156</v>
      </c>
      <c r="I74" s="36">
        <v>7722</v>
      </c>
      <c r="J74" s="36">
        <f>TRUNC(I74*$C74,0)</f>
        <v>7189182</v>
      </c>
      <c r="K74" s="36">
        <f t="shared" si="6"/>
        <v>27108</v>
      </c>
      <c r="L74" s="36">
        <f t="shared" si="5"/>
        <v>25237548</v>
      </c>
      <c r="M74" s="37"/>
      <c r="N74" s="253"/>
      <c r="O74" s="38"/>
    </row>
    <row r="75" spans="1:15" s="29" customFormat="1" ht="24.95" customHeight="1">
      <c r="A75" s="31" t="s">
        <v>821</v>
      </c>
      <c r="B75" s="32" t="s">
        <v>819</v>
      </c>
      <c r="C75" s="33">
        <v>3897</v>
      </c>
      <c r="D75" s="34" t="s">
        <v>820</v>
      </c>
      <c r="E75" s="36">
        <v>18305</v>
      </c>
      <c r="F75" s="36">
        <f>TRUNC(E75*$C75,0)</f>
        <v>71334585</v>
      </c>
      <c r="G75" s="36">
        <v>5495</v>
      </c>
      <c r="H75" s="36">
        <f>TRUNC(G75*$C75,0)</f>
        <v>21414015</v>
      </c>
      <c r="I75" s="36">
        <v>9481</v>
      </c>
      <c r="J75" s="36">
        <f>TRUNC(I75*$C75,0)</f>
        <v>36947457</v>
      </c>
      <c r="K75" s="36">
        <f t="shared" si="6"/>
        <v>33281</v>
      </c>
      <c r="L75" s="36">
        <f t="shared" si="5"/>
        <v>129696057</v>
      </c>
      <c r="M75" s="37"/>
      <c r="N75" s="253"/>
      <c r="O75" s="38"/>
    </row>
    <row r="76" spans="1:15" s="29" customFormat="1" ht="24.95" customHeight="1">
      <c r="A76" s="31" t="s">
        <v>822</v>
      </c>
      <c r="B76" s="32" t="s">
        <v>22</v>
      </c>
      <c r="C76" s="33"/>
      <c r="D76" s="34" t="s">
        <v>22</v>
      </c>
      <c r="E76" s="34"/>
      <c r="F76" s="36">
        <f>TRUNC(F77+F78+F79+F80,0)</f>
        <v>41961825</v>
      </c>
      <c r="G76" s="34"/>
      <c r="H76" s="36">
        <f>TRUNC(H77+H78+H79+H80,0)</f>
        <v>13275605</v>
      </c>
      <c r="I76" s="34"/>
      <c r="J76" s="36">
        <f>TRUNC(J77+J78+J79+J80,0)</f>
        <v>21969834</v>
      </c>
      <c r="K76" s="36">
        <f t="shared" si="6"/>
        <v>0</v>
      </c>
      <c r="L76" s="36">
        <f t="shared" si="5"/>
        <v>77207264</v>
      </c>
      <c r="M76" s="37"/>
      <c r="N76" s="253"/>
    </row>
    <row r="77" spans="1:15" s="29" customFormat="1" ht="24.95" customHeight="1">
      <c r="A77" s="31" t="s">
        <v>823</v>
      </c>
      <c r="B77" s="32" t="s">
        <v>814</v>
      </c>
      <c r="C77" s="33">
        <v>2332</v>
      </c>
      <c r="D77" s="34" t="s">
        <v>820</v>
      </c>
      <c r="E77" s="36">
        <v>14737</v>
      </c>
      <c r="F77" s="36">
        <f>TRUNC(E77*$C77,0)</f>
        <v>34366684</v>
      </c>
      <c r="G77" s="36">
        <v>4425</v>
      </c>
      <c r="H77" s="36">
        <f>TRUNC(G77*$C77,0)</f>
        <v>10319100</v>
      </c>
      <c r="I77" s="36">
        <v>7634</v>
      </c>
      <c r="J77" s="36">
        <f>TRUNC(I77*$C77,0)</f>
        <v>17802488</v>
      </c>
      <c r="K77" s="36">
        <f t="shared" si="6"/>
        <v>26796</v>
      </c>
      <c r="L77" s="36">
        <f t="shared" si="5"/>
        <v>62488272</v>
      </c>
      <c r="M77" s="37"/>
      <c r="N77" s="253"/>
      <c r="O77" s="38"/>
    </row>
    <row r="78" spans="1:15" s="29" customFormat="1" ht="24.95" customHeight="1">
      <c r="A78" s="31" t="s">
        <v>824</v>
      </c>
      <c r="B78" s="32" t="s">
        <v>814</v>
      </c>
      <c r="C78" s="33">
        <v>1236</v>
      </c>
      <c r="D78" s="34" t="s">
        <v>820</v>
      </c>
      <c r="E78" s="36">
        <v>5696</v>
      </c>
      <c r="F78" s="36">
        <f>TRUNC(E78*$C78,0)</f>
        <v>7040256</v>
      </c>
      <c r="G78" s="36">
        <v>1930</v>
      </c>
      <c r="H78" s="36">
        <f>TRUNC(G78*$C78,0)</f>
        <v>2385480</v>
      </c>
      <c r="I78" s="36">
        <v>3328</v>
      </c>
      <c r="J78" s="36">
        <f>TRUNC(I78*$C78,0)</f>
        <v>4113408</v>
      </c>
      <c r="K78" s="36">
        <f t="shared" si="6"/>
        <v>10954</v>
      </c>
      <c r="L78" s="36">
        <f t="shared" si="5"/>
        <v>13539144</v>
      </c>
      <c r="M78" s="37"/>
      <c r="N78" s="253"/>
      <c r="O78" s="38"/>
    </row>
    <row r="79" spans="1:15" s="29" customFormat="1" ht="24.95" customHeight="1">
      <c r="A79" s="31" t="s">
        <v>825</v>
      </c>
      <c r="B79" s="32" t="s">
        <v>826</v>
      </c>
      <c r="C79" s="33">
        <v>22</v>
      </c>
      <c r="D79" s="34" t="s">
        <v>116</v>
      </c>
      <c r="E79" s="36">
        <v>1091</v>
      </c>
      <c r="F79" s="36">
        <f>TRUNC(E79*$C79,0)</f>
        <v>24002</v>
      </c>
      <c r="G79" s="36">
        <v>1076</v>
      </c>
      <c r="H79" s="36">
        <f>TRUNC(G79*$C79,0)</f>
        <v>23672</v>
      </c>
      <c r="I79" s="36">
        <v>106</v>
      </c>
      <c r="J79" s="36">
        <f>TRUNC(I79*$C79,0)</f>
        <v>2332</v>
      </c>
      <c r="K79" s="36">
        <f t="shared" si="6"/>
        <v>2273</v>
      </c>
      <c r="L79" s="36">
        <f t="shared" si="5"/>
        <v>50006</v>
      </c>
      <c r="M79" s="37"/>
      <c r="N79" s="253"/>
      <c r="O79" s="38"/>
    </row>
    <row r="80" spans="1:15" s="29" customFormat="1" ht="24.95" customHeight="1">
      <c r="A80" s="31" t="s">
        <v>827</v>
      </c>
      <c r="B80" s="32" t="s">
        <v>826</v>
      </c>
      <c r="C80" s="33">
        <v>549</v>
      </c>
      <c r="D80" s="34" t="s">
        <v>116</v>
      </c>
      <c r="E80" s="36">
        <v>967</v>
      </c>
      <c r="F80" s="36">
        <f>TRUNC(E80*$C80,0)</f>
        <v>530883</v>
      </c>
      <c r="G80" s="36">
        <v>997</v>
      </c>
      <c r="H80" s="36">
        <f>TRUNC(G80*$C80,0)</f>
        <v>547353</v>
      </c>
      <c r="I80" s="36">
        <v>94</v>
      </c>
      <c r="J80" s="36">
        <f>TRUNC(I80*$C80,0)</f>
        <v>51606</v>
      </c>
      <c r="K80" s="36">
        <f t="shared" si="6"/>
        <v>2058</v>
      </c>
      <c r="L80" s="36">
        <f t="shared" si="5"/>
        <v>1129842</v>
      </c>
      <c r="M80" s="37"/>
      <c r="N80" s="253"/>
      <c r="O80" s="38"/>
    </row>
    <row r="81" spans="1:15" s="29" customFormat="1" ht="24.95" customHeight="1">
      <c r="A81" s="31" t="s">
        <v>828</v>
      </c>
      <c r="B81" s="32" t="s">
        <v>22</v>
      </c>
      <c r="C81" s="33"/>
      <c r="D81" s="34" t="s">
        <v>22</v>
      </c>
      <c r="E81" s="34"/>
      <c r="F81" s="36">
        <f>TRUNC(F82+F83+F84+F85,0)</f>
        <v>138541915</v>
      </c>
      <c r="G81" s="34"/>
      <c r="H81" s="36">
        <f>TRUNC(H82+H83+H84+H85,0)</f>
        <v>6404358</v>
      </c>
      <c r="I81" s="34"/>
      <c r="J81" s="36">
        <f>TRUNC(J82+J83+J84+J85,0)</f>
        <v>24454938</v>
      </c>
      <c r="K81" s="36">
        <f t="shared" si="6"/>
        <v>0</v>
      </c>
      <c r="L81" s="36">
        <f t="shared" si="5"/>
        <v>169401211</v>
      </c>
      <c r="M81" s="37"/>
      <c r="N81" s="253"/>
    </row>
    <row r="82" spans="1:15" s="29" customFormat="1" ht="24.95" customHeight="1">
      <c r="A82" s="31" t="s">
        <v>829</v>
      </c>
      <c r="B82" s="32" t="s">
        <v>830</v>
      </c>
      <c r="C82" s="33">
        <v>116</v>
      </c>
      <c r="D82" s="34" t="s">
        <v>831</v>
      </c>
      <c r="E82" s="36">
        <v>1397</v>
      </c>
      <c r="F82" s="36">
        <f>TRUNC(E82*$C82,0)</f>
        <v>162052</v>
      </c>
      <c r="G82" s="36">
        <v>458</v>
      </c>
      <c r="H82" s="36">
        <f>TRUNC(G82*$C82,0)</f>
        <v>53128</v>
      </c>
      <c r="I82" s="36">
        <v>939</v>
      </c>
      <c r="J82" s="36">
        <f>TRUNC(I82*$C82,0)</f>
        <v>108924</v>
      </c>
      <c r="K82" s="36">
        <f t="shared" si="6"/>
        <v>2794</v>
      </c>
      <c r="L82" s="36">
        <f t="shared" si="5"/>
        <v>324104</v>
      </c>
      <c r="M82" s="37"/>
      <c r="N82" s="253"/>
      <c r="O82" s="38"/>
    </row>
    <row r="83" spans="1:15" s="29" customFormat="1" ht="24.95" customHeight="1">
      <c r="A83" s="31" t="s">
        <v>832</v>
      </c>
      <c r="B83" s="32" t="s">
        <v>826</v>
      </c>
      <c r="C83" s="33">
        <v>462</v>
      </c>
      <c r="D83" s="34" t="s">
        <v>831</v>
      </c>
      <c r="E83" s="36">
        <v>1620</v>
      </c>
      <c r="F83" s="36">
        <f>TRUNC(E83*$C83,0)</f>
        <v>748440</v>
      </c>
      <c r="G83" s="36">
        <v>211</v>
      </c>
      <c r="H83" s="36">
        <f>TRUNC(G83*$C83,0)</f>
        <v>97482</v>
      </c>
      <c r="I83" s="36">
        <v>272</v>
      </c>
      <c r="J83" s="36">
        <f>TRUNC(I83*$C83,0)</f>
        <v>125664</v>
      </c>
      <c r="K83" s="36">
        <f t="shared" si="6"/>
        <v>2103</v>
      </c>
      <c r="L83" s="36">
        <f t="shared" si="5"/>
        <v>971586</v>
      </c>
      <c r="M83" s="37"/>
      <c r="N83" s="253"/>
      <c r="O83" s="38"/>
    </row>
    <row r="84" spans="1:15" s="29" customFormat="1" ht="24.95" customHeight="1">
      <c r="A84" s="31" t="s">
        <v>833</v>
      </c>
      <c r="B84" s="32" t="s">
        <v>826</v>
      </c>
      <c r="C84" s="33">
        <v>2449</v>
      </c>
      <c r="D84" s="34" t="s">
        <v>831</v>
      </c>
      <c r="E84" s="36">
        <v>719</v>
      </c>
      <c r="F84" s="36">
        <f>TRUNC(E84*$C84,0)</f>
        <v>1760831</v>
      </c>
      <c r="G84" s="36">
        <v>290</v>
      </c>
      <c r="H84" s="36">
        <f>TRUNC(G84*$C84,0)</f>
        <v>710210</v>
      </c>
      <c r="I84" s="36">
        <v>374</v>
      </c>
      <c r="J84" s="36">
        <f>TRUNC(I84*$C84,0)</f>
        <v>915926</v>
      </c>
      <c r="K84" s="36">
        <f t="shared" si="6"/>
        <v>1383</v>
      </c>
      <c r="L84" s="36">
        <f t="shared" si="5"/>
        <v>3386967</v>
      </c>
      <c r="M84" s="37"/>
      <c r="N84" s="253"/>
      <c r="O84" s="38"/>
    </row>
    <row r="85" spans="1:15" s="29" customFormat="1" ht="24.95" customHeight="1">
      <c r="A85" s="31" t="s">
        <v>834</v>
      </c>
      <c r="B85" s="32" t="s">
        <v>22</v>
      </c>
      <c r="C85" s="33">
        <v>3718</v>
      </c>
      <c r="D85" s="34" t="s">
        <v>831</v>
      </c>
      <c r="E85" s="36">
        <v>36544</v>
      </c>
      <c r="F85" s="36">
        <f>TRUNC(E85*$C85,0)</f>
        <v>135870592</v>
      </c>
      <c r="G85" s="36">
        <v>1491</v>
      </c>
      <c r="H85" s="36">
        <f>TRUNC(G85*$C85,0)</f>
        <v>5543538</v>
      </c>
      <c r="I85" s="36">
        <v>6268</v>
      </c>
      <c r="J85" s="36">
        <f>TRUNC(I85*$C85,0)</f>
        <v>23304424</v>
      </c>
      <c r="K85" s="36">
        <f t="shared" si="6"/>
        <v>44303</v>
      </c>
      <c r="L85" s="36">
        <f t="shared" si="5"/>
        <v>164718554</v>
      </c>
      <c r="M85" s="37"/>
      <c r="N85" s="253"/>
      <c r="O85" s="38"/>
    </row>
    <row r="86" spans="1:15" s="29" customFormat="1" ht="24.95" customHeight="1">
      <c r="A86" s="31" t="s">
        <v>835</v>
      </c>
      <c r="B86" s="32" t="s">
        <v>22</v>
      </c>
      <c r="C86" s="33"/>
      <c r="D86" s="34" t="s">
        <v>22</v>
      </c>
      <c r="E86" s="34"/>
      <c r="F86" s="36">
        <f>TRUNC(F87+F88,0)</f>
        <v>779892</v>
      </c>
      <c r="G86" s="34"/>
      <c r="H86" s="36">
        <f>TRUNC(H87+H88,0)</f>
        <v>138196</v>
      </c>
      <c r="I86" s="34"/>
      <c r="J86" s="36">
        <f>TRUNC(J87+J88,0)</f>
        <v>228960</v>
      </c>
      <c r="K86" s="36">
        <f t="shared" si="6"/>
        <v>0</v>
      </c>
      <c r="L86" s="36">
        <f t="shared" si="5"/>
        <v>1147048</v>
      </c>
      <c r="M86" s="37"/>
      <c r="N86" s="253"/>
    </row>
    <row r="87" spans="1:15" s="29" customFormat="1" ht="24.95" customHeight="1">
      <c r="A87" s="31" t="s">
        <v>836</v>
      </c>
      <c r="B87" s="32" t="s">
        <v>837</v>
      </c>
      <c r="C87" s="33">
        <v>32</v>
      </c>
      <c r="D87" s="34" t="s">
        <v>116</v>
      </c>
      <c r="E87" s="36">
        <v>814</v>
      </c>
      <c r="F87" s="36">
        <f>TRUNC(E87*$C87,0)</f>
        <v>26048</v>
      </c>
      <c r="G87" s="36">
        <v>144</v>
      </c>
      <c r="H87" s="36">
        <f>TRUNC(G87*$C87,0)</f>
        <v>4608</v>
      </c>
      <c r="I87" s="36">
        <v>239</v>
      </c>
      <c r="J87" s="36">
        <f>TRUNC(I87*$C87,0)</f>
        <v>7648</v>
      </c>
      <c r="K87" s="36">
        <f t="shared" si="6"/>
        <v>1197</v>
      </c>
      <c r="L87" s="36">
        <f t="shared" si="5"/>
        <v>38304</v>
      </c>
      <c r="M87" s="37"/>
      <c r="N87" s="253"/>
      <c r="O87" s="38"/>
    </row>
    <row r="88" spans="1:15" s="29" customFormat="1" ht="24.95" customHeight="1">
      <c r="A88" s="31" t="s">
        <v>836</v>
      </c>
      <c r="B88" s="32" t="s">
        <v>838</v>
      </c>
      <c r="C88" s="33">
        <v>364</v>
      </c>
      <c r="D88" s="34" t="s">
        <v>116</v>
      </c>
      <c r="E88" s="36">
        <v>2071</v>
      </c>
      <c r="F88" s="36">
        <f>TRUNC(E88*$C88,0)</f>
        <v>753844</v>
      </c>
      <c r="G88" s="36">
        <v>367</v>
      </c>
      <c r="H88" s="36">
        <f>TRUNC(G88*$C88,0)</f>
        <v>133588</v>
      </c>
      <c r="I88" s="36">
        <v>608</v>
      </c>
      <c r="J88" s="36">
        <f>TRUNC(I88*$C88,0)</f>
        <v>221312</v>
      </c>
      <c r="K88" s="36">
        <f t="shared" si="6"/>
        <v>3046</v>
      </c>
      <c r="L88" s="36">
        <f t="shared" si="5"/>
        <v>1108744</v>
      </c>
      <c r="M88" s="37"/>
      <c r="N88" s="253"/>
      <c r="O88" s="38"/>
    </row>
    <row r="89" spans="1:15" s="29" customFormat="1" ht="24.95" customHeight="1">
      <c r="A89" s="31" t="s">
        <v>839</v>
      </c>
      <c r="B89" s="32" t="s">
        <v>22</v>
      </c>
      <c r="C89" s="33"/>
      <c r="D89" s="34" t="s">
        <v>22</v>
      </c>
      <c r="E89" s="34"/>
      <c r="F89" s="36">
        <f>TRUNC(F90,0)</f>
        <v>9277248</v>
      </c>
      <c r="G89" s="34"/>
      <c r="H89" s="36">
        <f>TRUNC(H90,0)</f>
        <v>555096</v>
      </c>
      <c r="I89" s="34"/>
      <c r="J89" s="36">
        <f>TRUNC(J90,0)</f>
        <v>240450</v>
      </c>
      <c r="K89" s="36">
        <f t="shared" si="6"/>
        <v>0</v>
      </c>
      <c r="L89" s="36">
        <f t="shared" si="5"/>
        <v>10072794</v>
      </c>
      <c r="M89" s="37"/>
      <c r="N89" s="253"/>
    </row>
    <row r="90" spans="1:15" s="29" customFormat="1" ht="24.95" customHeight="1">
      <c r="A90" s="31" t="s">
        <v>840</v>
      </c>
      <c r="B90" s="32" t="s">
        <v>841</v>
      </c>
      <c r="C90" s="33">
        <v>1374</v>
      </c>
      <c r="D90" s="34" t="s">
        <v>116</v>
      </c>
      <c r="E90" s="36">
        <v>6752</v>
      </c>
      <c r="F90" s="36">
        <f>TRUNC(E90*$C90,0)</f>
        <v>9277248</v>
      </c>
      <c r="G90" s="36">
        <v>404</v>
      </c>
      <c r="H90" s="36">
        <f>TRUNC(G90*$C90,0)</f>
        <v>555096</v>
      </c>
      <c r="I90" s="36">
        <v>175</v>
      </c>
      <c r="J90" s="36">
        <f>TRUNC(I90*$C90,0)</f>
        <v>240450</v>
      </c>
      <c r="K90" s="36">
        <f t="shared" si="6"/>
        <v>7331</v>
      </c>
      <c r="L90" s="36">
        <f t="shared" si="5"/>
        <v>10072794</v>
      </c>
      <c r="M90" s="37"/>
      <c r="N90" s="253"/>
      <c r="O90" s="38"/>
    </row>
    <row r="91" spans="1:15" s="29" customFormat="1" ht="24.95" customHeight="1">
      <c r="A91" s="31" t="s">
        <v>842</v>
      </c>
      <c r="B91" s="32" t="s">
        <v>22</v>
      </c>
      <c r="C91" s="33"/>
      <c r="D91" s="34" t="s">
        <v>22</v>
      </c>
      <c r="E91" s="34"/>
      <c r="F91" s="36">
        <f>TRUNC(F92,0)</f>
        <v>9168408</v>
      </c>
      <c r="G91" s="34"/>
      <c r="H91" s="36">
        <f>TRUNC(H92,0)</f>
        <v>69136</v>
      </c>
      <c r="I91" s="34"/>
      <c r="J91" s="36">
        <f>TRUNC(J92,0)</f>
        <v>290696</v>
      </c>
      <c r="K91" s="36">
        <f t="shared" si="6"/>
        <v>0</v>
      </c>
      <c r="L91" s="36">
        <f t="shared" si="5"/>
        <v>9528240</v>
      </c>
      <c r="M91" s="37"/>
      <c r="N91" s="253"/>
    </row>
    <row r="92" spans="1:15" s="29" customFormat="1" ht="24.95" customHeight="1">
      <c r="A92" s="31" t="s">
        <v>843</v>
      </c>
      <c r="B92" s="32" t="s">
        <v>22</v>
      </c>
      <c r="C92" s="33">
        <v>232</v>
      </c>
      <c r="D92" s="34" t="s">
        <v>116</v>
      </c>
      <c r="E92" s="36">
        <v>39519</v>
      </c>
      <c r="F92" s="36">
        <f>TRUNC(E92*$C92,0)</f>
        <v>9168408</v>
      </c>
      <c r="G92" s="36">
        <v>298</v>
      </c>
      <c r="H92" s="36">
        <f>TRUNC(G92*$C92,0)</f>
        <v>69136</v>
      </c>
      <c r="I92" s="36">
        <v>1253</v>
      </c>
      <c r="J92" s="36">
        <f>TRUNC(I92*$C92,0)</f>
        <v>290696</v>
      </c>
      <c r="K92" s="36">
        <f t="shared" si="6"/>
        <v>41070</v>
      </c>
      <c r="L92" s="36">
        <f t="shared" si="5"/>
        <v>9528240</v>
      </c>
      <c r="M92" s="37"/>
      <c r="N92" s="253"/>
      <c r="O92" s="38"/>
    </row>
    <row r="93" spans="1:15" s="29" customFormat="1" ht="24.95" customHeight="1">
      <c r="A93" s="31" t="s">
        <v>844</v>
      </c>
      <c r="B93" s="32" t="s">
        <v>22</v>
      </c>
      <c r="C93" s="33"/>
      <c r="D93" s="34" t="s">
        <v>22</v>
      </c>
      <c r="E93" s="34"/>
      <c r="F93" s="36">
        <f>TRUNC(F94+F95+F96+F97,0)</f>
        <v>422570564</v>
      </c>
      <c r="G93" s="34"/>
      <c r="H93" s="36">
        <f>TRUNC(H94+H95+H96+H97,0)</f>
        <v>46995794</v>
      </c>
      <c r="I93" s="34"/>
      <c r="J93" s="36">
        <f>TRUNC(J94+J95+J96+J97,0)</f>
        <v>42703388</v>
      </c>
      <c r="K93" s="36">
        <f t="shared" si="6"/>
        <v>0</v>
      </c>
      <c r="L93" s="36">
        <f t="shared" si="5"/>
        <v>512269746</v>
      </c>
      <c r="M93" s="37"/>
      <c r="N93" s="253"/>
    </row>
    <row r="94" spans="1:15" s="29" customFormat="1" ht="24.95" customHeight="1">
      <c r="A94" s="31" t="s">
        <v>845</v>
      </c>
      <c r="B94" s="32" t="s">
        <v>846</v>
      </c>
      <c r="C94" s="33">
        <v>1852</v>
      </c>
      <c r="D94" s="34" t="s">
        <v>847</v>
      </c>
      <c r="E94" s="36">
        <v>9362</v>
      </c>
      <c r="F94" s="36">
        <f>TRUNC(E94*$C94,0)</f>
        <v>17338424</v>
      </c>
      <c r="G94" s="36">
        <v>2255</v>
      </c>
      <c r="H94" s="36">
        <f>TRUNC(G94*$C94,0)</f>
        <v>4176260</v>
      </c>
      <c r="I94" s="36">
        <v>4775</v>
      </c>
      <c r="J94" s="36">
        <f>TRUNC(I94*$C94,0)</f>
        <v>8843300</v>
      </c>
      <c r="K94" s="36">
        <f t="shared" si="6"/>
        <v>16392</v>
      </c>
      <c r="L94" s="36">
        <f t="shared" si="5"/>
        <v>30357984</v>
      </c>
      <c r="M94" s="37"/>
      <c r="N94" s="253"/>
      <c r="O94" s="38"/>
    </row>
    <row r="95" spans="1:15" s="29" customFormat="1" ht="24.95" customHeight="1">
      <c r="A95" s="31" t="s">
        <v>848</v>
      </c>
      <c r="B95" s="32" t="s">
        <v>849</v>
      </c>
      <c r="C95" s="33">
        <v>686</v>
      </c>
      <c r="D95" s="34" t="s">
        <v>847</v>
      </c>
      <c r="E95" s="36">
        <v>27245</v>
      </c>
      <c r="F95" s="36">
        <f>TRUNC(E95*$C95,0)</f>
        <v>18690070</v>
      </c>
      <c r="G95" s="36">
        <v>4638</v>
      </c>
      <c r="H95" s="36">
        <f>TRUNC(G95*$C95,0)</f>
        <v>3181668</v>
      </c>
      <c r="I95" s="36">
        <v>8602</v>
      </c>
      <c r="J95" s="36">
        <f>TRUNC(I95*$C95,0)</f>
        <v>5900972</v>
      </c>
      <c r="K95" s="36">
        <f t="shared" si="6"/>
        <v>40485</v>
      </c>
      <c r="L95" s="36">
        <f t="shared" si="5"/>
        <v>27772710</v>
      </c>
      <c r="M95" s="37"/>
      <c r="N95" s="253"/>
      <c r="O95" s="38"/>
    </row>
    <row r="96" spans="1:15" s="29" customFormat="1" ht="24.95" customHeight="1">
      <c r="A96" s="31" t="s">
        <v>848</v>
      </c>
      <c r="B96" s="32" t="s">
        <v>850</v>
      </c>
      <c r="C96" s="33">
        <v>1570</v>
      </c>
      <c r="D96" s="34" t="s">
        <v>847</v>
      </c>
      <c r="E96" s="36">
        <v>78380</v>
      </c>
      <c r="F96" s="36">
        <f>TRUNC(E96*$C96,0)</f>
        <v>123056600</v>
      </c>
      <c r="G96" s="36">
        <v>8025</v>
      </c>
      <c r="H96" s="36">
        <f>TRUNC(G96*$C96,0)</f>
        <v>12599250</v>
      </c>
      <c r="I96" s="36">
        <v>5634</v>
      </c>
      <c r="J96" s="36">
        <f>TRUNC(I96*$C96,0)</f>
        <v>8845380</v>
      </c>
      <c r="K96" s="36">
        <f t="shared" si="6"/>
        <v>92039</v>
      </c>
      <c r="L96" s="36">
        <f t="shared" si="5"/>
        <v>144501230</v>
      </c>
      <c r="M96" s="37"/>
      <c r="N96" s="253"/>
      <c r="O96" s="38"/>
    </row>
    <row r="97" spans="1:15" s="29" customFormat="1" ht="24.95" customHeight="1">
      <c r="A97" s="31" t="s">
        <v>851</v>
      </c>
      <c r="B97" s="32" t="s">
        <v>850</v>
      </c>
      <c r="C97" s="33">
        <v>3358</v>
      </c>
      <c r="D97" s="34" t="s">
        <v>847</v>
      </c>
      <c r="E97" s="36">
        <v>78465</v>
      </c>
      <c r="F97" s="36">
        <f>TRUNC(E97*$C97,0)</f>
        <v>263485470</v>
      </c>
      <c r="G97" s="36">
        <v>8052</v>
      </c>
      <c r="H97" s="36">
        <f>TRUNC(G97*$C97,0)</f>
        <v>27038616</v>
      </c>
      <c r="I97" s="36">
        <v>5692</v>
      </c>
      <c r="J97" s="36">
        <f>TRUNC(I97*$C97,0)</f>
        <v>19113736</v>
      </c>
      <c r="K97" s="36">
        <f t="shared" si="6"/>
        <v>92209</v>
      </c>
      <c r="L97" s="36">
        <f t="shared" si="5"/>
        <v>309637822</v>
      </c>
      <c r="M97" s="37"/>
      <c r="N97" s="253"/>
      <c r="O97" s="38"/>
    </row>
    <row r="98" spans="1:15" s="29" customFormat="1" ht="24.95" customHeight="1">
      <c r="A98" s="31" t="s">
        <v>852</v>
      </c>
      <c r="B98" s="32" t="s">
        <v>22</v>
      </c>
      <c r="C98" s="33"/>
      <c r="D98" s="34" t="s">
        <v>22</v>
      </c>
      <c r="E98" s="34"/>
      <c r="F98" s="36">
        <f>TRUNC(F99,0)</f>
        <v>26563768</v>
      </c>
      <c r="G98" s="34"/>
      <c r="H98" s="36">
        <f>TRUNC(H99,0)</f>
        <v>9146368</v>
      </c>
      <c r="I98" s="34"/>
      <c r="J98" s="36">
        <f>TRUNC(J99,0)</f>
        <v>11022088</v>
      </c>
      <c r="K98" s="36">
        <f t="shared" si="6"/>
        <v>0</v>
      </c>
      <c r="L98" s="36">
        <f t="shared" si="5"/>
        <v>46732224</v>
      </c>
      <c r="M98" s="37"/>
      <c r="N98" s="253"/>
    </row>
    <row r="99" spans="1:15" s="29" customFormat="1" ht="24.95" customHeight="1">
      <c r="A99" s="31" t="s">
        <v>853</v>
      </c>
      <c r="B99" s="32" t="s">
        <v>854</v>
      </c>
      <c r="C99" s="33">
        <v>17864</v>
      </c>
      <c r="D99" s="34" t="s">
        <v>815</v>
      </c>
      <c r="E99" s="36">
        <v>1487</v>
      </c>
      <c r="F99" s="36">
        <f>TRUNC(E99*$C99,0)</f>
        <v>26563768</v>
      </c>
      <c r="G99" s="36">
        <v>512</v>
      </c>
      <c r="H99" s="36">
        <f>TRUNC(G99*$C99,0)</f>
        <v>9146368</v>
      </c>
      <c r="I99" s="36">
        <v>617</v>
      </c>
      <c r="J99" s="36">
        <f>TRUNC(I99*$C99,0)</f>
        <v>11022088</v>
      </c>
      <c r="K99" s="36">
        <f t="shared" si="6"/>
        <v>2616</v>
      </c>
      <c r="L99" s="36">
        <f t="shared" si="5"/>
        <v>46732224</v>
      </c>
      <c r="M99" s="37"/>
      <c r="N99" s="253"/>
      <c r="O99" s="38"/>
    </row>
    <row r="100" spans="1:15" s="63" customFormat="1" ht="24.95" customHeight="1">
      <c r="A100" s="57" t="s">
        <v>855</v>
      </c>
      <c r="B100" s="58" t="s">
        <v>22</v>
      </c>
      <c r="C100" s="59"/>
      <c r="D100" s="60" t="s">
        <v>22</v>
      </c>
      <c r="E100" s="60"/>
      <c r="F100" s="61">
        <f>TRUNC(F101+F102+F103+F104,0)</f>
        <v>134274770</v>
      </c>
      <c r="G100" s="60"/>
      <c r="H100" s="61">
        <f>TRUNC(H101+H102+H103+H104,0)</f>
        <v>11019510</v>
      </c>
      <c r="I100" s="60"/>
      <c r="J100" s="61">
        <f>TRUNC(J101+J102+J103+J104,0)</f>
        <v>24079670</v>
      </c>
      <c r="K100" s="61">
        <f t="shared" si="6"/>
        <v>0</v>
      </c>
      <c r="L100" s="61">
        <f t="shared" si="5"/>
        <v>169373950</v>
      </c>
      <c r="M100" s="62"/>
      <c r="N100" s="253"/>
    </row>
    <row r="101" spans="1:15" s="29" customFormat="1" ht="24.95" customHeight="1">
      <c r="A101" s="31" t="s">
        <v>856</v>
      </c>
      <c r="B101" s="32" t="s">
        <v>826</v>
      </c>
      <c r="C101" s="33">
        <v>408130</v>
      </c>
      <c r="D101" s="34" t="s">
        <v>831</v>
      </c>
      <c r="E101" s="36">
        <v>329</v>
      </c>
      <c r="F101" s="36">
        <f>TRUNC(E101*$C101,0)</f>
        <v>134274770</v>
      </c>
      <c r="G101" s="36">
        <v>27</v>
      </c>
      <c r="H101" s="36">
        <f>TRUNC(G101*$C101,0)</f>
        <v>11019510</v>
      </c>
      <c r="I101" s="36">
        <v>59</v>
      </c>
      <c r="J101" s="36">
        <f>TRUNC(I101*$C101,0)</f>
        <v>24079670</v>
      </c>
      <c r="K101" s="36">
        <f t="shared" si="6"/>
        <v>415</v>
      </c>
      <c r="L101" s="36">
        <f t="shared" si="5"/>
        <v>169373950</v>
      </c>
      <c r="M101" s="37"/>
      <c r="N101" s="253"/>
      <c r="O101" s="38"/>
    </row>
    <row r="102" spans="1:15" s="29" customFormat="1" ht="24.95" customHeight="1">
      <c r="A102" s="31" t="s">
        <v>857</v>
      </c>
      <c r="B102" s="32" t="s">
        <v>858</v>
      </c>
      <c r="C102" s="33">
        <v>0</v>
      </c>
      <c r="D102" s="34" t="s">
        <v>831</v>
      </c>
      <c r="E102" s="36">
        <v>487</v>
      </c>
      <c r="F102" s="36">
        <f>TRUNC(E102*$C102,0)</f>
        <v>0</v>
      </c>
      <c r="G102" s="36">
        <v>89</v>
      </c>
      <c r="H102" s="36">
        <f>TRUNC(G102*$C102,0)</f>
        <v>0</v>
      </c>
      <c r="I102" s="36">
        <v>48</v>
      </c>
      <c r="J102" s="36">
        <f>TRUNC(I102*$C102,0)</f>
        <v>0</v>
      </c>
      <c r="K102" s="36">
        <f t="shared" si="6"/>
        <v>624</v>
      </c>
      <c r="L102" s="36">
        <f t="shared" si="5"/>
        <v>0</v>
      </c>
      <c r="M102" s="37"/>
      <c r="N102" s="253"/>
      <c r="O102" s="38"/>
    </row>
    <row r="103" spans="1:15" s="29" customFormat="1" ht="24.95" customHeight="1">
      <c r="A103" s="31" t="s">
        <v>857</v>
      </c>
      <c r="B103" s="32" t="s">
        <v>859</v>
      </c>
      <c r="C103" s="33">
        <v>0</v>
      </c>
      <c r="D103" s="34" t="s">
        <v>831</v>
      </c>
      <c r="E103" s="36">
        <v>637</v>
      </c>
      <c r="F103" s="36">
        <f>TRUNC(E103*$C103,0)</f>
        <v>0</v>
      </c>
      <c r="G103" s="36">
        <v>118</v>
      </c>
      <c r="H103" s="36">
        <f>TRUNC(G103*$C103,0)</f>
        <v>0</v>
      </c>
      <c r="I103" s="36">
        <v>62</v>
      </c>
      <c r="J103" s="36">
        <f>TRUNC(I103*$C103,0)</f>
        <v>0</v>
      </c>
      <c r="K103" s="36">
        <f t="shared" si="6"/>
        <v>817</v>
      </c>
      <c r="L103" s="36">
        <f t="shared" si="5"/>
        <v>0</v>
      </c>
      <c r="M103" s="37"/>
      <c r="N103" s="253"/>
      <c r="O103" s="38"/>
    </row>
    <row r="104" spans="1:15" s="29" customFormat="1" ht="24.95" customHeight="1">
      <c r="A104" s="31" t="s">
        <v>857</v>
      </c>
      <c r="B104" s="32" t="s">
        <v>860</v>
      </c>
      <c r="C104" s="33">
        <v>0</v>
      </c>
      <c r="D104" s="34" t="s">
        <v>831</v>
      </c>
      <c r="E104" s="36">
        <v>831</v>
      </c>
      <c r="F104" s="36">
        <f>TRUNC(E104*$C104,0)</f>
        <v>0</v>
      </c>
      <c r="G104" s="36">
        <v>153</v>
      </c>
      <c r="H104" s="36">
        <f>TRUNC(G104*$C104,0)</f>
        <v>0</v>
      </c>
      <c r="I104" s="36">
        <v>81</v>
      </c>
      <c r="J104" s="36">
        <f>TRUNC(I104*$C104,0)</f>
        <v>0</v>
      </c>
      <c r="K104" s="36">
        <f t="shared" si="6"/>
        <v>1065</v>
      </c>
      <c r="L104" s="36">
        <f t="shared" si="5"/>
        <v>0</v>
      </c>
      <c r="M104" s="37"/>
      <c r="N104" s="253"/>
      <c r="O104" s="38"/>
    </row>
    <row r="105" spans="1:15" s="63" customFormat="1" ht="24.95" customHeight="1">
      <c r="A105" s="57" t="s">
        <v>861</v>
      </c>
      <c r="B105" s="58" t="s">
        <v>22</v>
      </c>
      <c r="C105" s="59"/>
      <c r="D105" s="60" t="s">
        <v>22</v>
      </c>
      <c r="E105" s="60"/>
      <c r="F105" s="61">
        <f>TRUNC(F106+F107,0)</f>
        <v>13311963</v>
      </c>
      <c r="G105" s="60"/>
      <c r="H105" s="61">
        <f>TRUNC(H106+H107,0)</f>
        <v>14019118</v>
      </c>
      <c r="I105" s="60"/>
      <c r="J105" s="61">
        <f>TRUNC(J106+J107,0)</f>
        <v>11587535</v>
      </c>
      <c r="K105" s="61">
        <f t="shared" si="6"/>
        <v>0</v>
      </c>
      <c r="L105" s="61">
        <f t="shared" si="5"/>
        <v>38918616</v>
      </c>
      <c r="M105" s="62"/>
      <c r="N105" s="253"/>
    </row>
    <row r="106" spans="1:15" s="29" customFormat="1" ht="24.95" customHeight="1">
      <c r="A106" s="31" t="s">
        <v>862</v>
      </c>
      <c r="B106" s="32" t="s">
        <v>863</v>
      </c>
      <c r="C106" s="33">
        <v>61027</v>
      </c>
      <c r="D106" s="34" t="s">
        <v>831</v>
      </c>
      <c r="E106" s="36">
        <v>154</v>
      </c>
      <c r="F106" s="36">
        <f>TRUNC(E106*$C106,0)</f>
        <v>9398158</v>
      </c>
      <c r="G106" s="36">
        <v>134</v>
      </c>
      <c r="H106" s="36">
        <f>TRUNC(G106*$C106,0)</f>
        <v>8177618</v>
      </c>
      <c r="I106" s="36">
        <v>120</v>
      </c>
      <c r="J106" s="36">
        <f>TRUNC(I106*$C106,0)</f>
        <v>7323240</v>
      </c>
      <c r="K106" s="36">
        <f t="shared" si="6"/>
        <v>408</v>
      </c>
      <c r="L106" s="36">
        <f t="shared" si="5"/>
        <v>24899016</v>
      </c>
      <c r="M106" s="37"/>
      <c r="N106" s="253"/>
      <c r="O106" s="38"/>
    </row>
    <row r="107" spans="1:15" s="29" customFormat="1" ht="24.95" customHeight="1">
      <c r="A107" s="31" t="s">
        <v>864</v>
      </c>
      <c r="B107" s="32" t="s">
        <v>863</v>
      </c>
      <c r="C107" s="33">
        <v>58415</v>
      </c>
      <c r="D107" s="34" t="s">
        <v>831</v>
      </c>
      <c r="E107" s="36">
        <v>67</v>
      </c>
      <c r="F107" s="36">
        <f>TRUNC(E107*$C107,0)</f>
        <v>3913805</v>
      </c>
      <c r="G107" s="36">
        <v>100</v>
      </c>
      <c r="H107" s="36">
        <f>TRUNC(G107*$C107,0)</f>
        <v>5841500</v>
      </c>
      <c r="I107" s="36">
        <v>73</v>
      </c>
      <c r="J107" s="36">
        <f>TRUNC(I107*$C107,0)</f>
        <v>4264295</v>
      </c>
      <c r="K107" s="36">
        <f t="shared" si="6"/>
        <v>240</v>
      </c>
      <c r="L107" s="36">
        <f t="shared" si="5"/>
        <v>14019600</v>
      </c>
      <c r="M107" s="37"/>
      <c r="N107" s="253"/>
      <c r="O107" s="38"/>
    </row>
    <row r="108" spans="1:15" s="63" customFormat="1" ht="24.95" customHeight="1">
      <c r="A108" s="57" t="s">
        <v>865</v>
      </c>
      <c r="B108" s="58" t="s">
        <v>22</v>
      </c>
      <c r="C108" s="59"/>
      <c r="D108" s="60" t="s">
        <v>22</v>
      </c>
      <c r="E108" s="60"/>
      <c r="F108" s="61">
        <f>TRUNC(F110+F111+F113+F115+F116+F117+F118+F119+F120+F121+F122+F123+F124,0)</f>
        <v>18464958988</v>
      </c>
      <c r="G108" s="60"/>
      <c r="H108" s="61">
        <f>TRUNC(H110+H111+H113+H115+H116+H117+H118+H119+H120+H121+H122+H123+H124,0)</f>
        <v>18503409708</v>
      </c>
      <c r="I108" s="60"/>
      <c r="J108" s="61">
        <f>TRUNC(J110+J111+J113+J115+J116+J117+J118+J119+J120+J121+J122+J123+J124,0)</f>
        <v>8152380025</v>
      </c>
      <c r="K108" s="61">
        <f t="shared" si="6"/>
        <v>0</v>
      </c>
      <c r="L108" s="61">
        <f t="shared" si="5"/>
        <v>45120748721</v>
      </c>
      <c r="M108" s="62"/>
      <c r="N108" s="253"/>
    </row>
    <row r="109" spans="1:15" s="29" customFormat="1" ht="24.95" customHeight="1">
      <c r="A109" s="31" t="s">
        <v>866</v>
      </c>
      <c r="B109" s="32" t="s">
        <v>22</v>
      </c>
      <c r="C109" s="33"/>
      <c r="D109" s="34" t="s">
        <v>22</v>
      </c>
      <c r="E109" s="34"/>
      <c r="F109" s="36">
        <f>TRUNC(F110+F111,0)</f>
        <v>720476643</v>
      </c>
      <c r="G109" s="34"/>
      <c r="H109" s="36">
        <f>TRUNC(H110+H111,0)</f>
        <v>473642065</v>
      </c>
      <c r="I109" s="34"/>
      <c r="J109" s="36">
        <f>TRUNC(J110+J111,0)</f>
        <v>343617992</v>
      </c>
      <c r="K109" s="36">
        <f t="shared" si="6"/>
        <v>0</v>
      </c>
      <c r="L109" s="36">
        <f t="shared" si="5"/>
        <v>1537736700</v>
      </c>
      <c r="M109" s="37"/>
      <c r="N109" s="253"/>
    </row>
    <row r="110" spans="1:15" s="29" customFormat="1" ht="24.95" customHeight="1">
      <c r="A110" s="31" t="s">
        <v>867</v>
      </c>
      <c r="B110" s="32" t="s">
        <v>868</v>
      </c>
      <c r="C110" s="33">
        <v>1393759</v>
      </c>
      <c r="D110" s="34" t="s">
        <v>820</v>
      </c>
      <c r="E110" s="36">
        <v>489</v>
      </c>
      <c r="F110" s="36">
        <f>TRUNC(E110*$C110,0)</f>
        <v>681548151</v>
      </c>
      <c r="G110" s="36">
        <v>307</v>
      </c>
      <c r="H110" s="36">
        <f>TRUNC(G110*$C110,0)</f>
        <v>427884013</v>
      </c>
      <c r="I110" s="36">
        <v>224</v>
      </c>
      <c r="J110" s="36">
        <f>TRUNC(I110*$C110,0)</f>
        <v>312202016</v>
      </c>
      <c r="K110" s="36">
        <f t="shared" si="6"/>
        <v>1020</v>
      </c>
      <c r="L110" s="36">
        <f t="shared" si="5"/>
        <v>1421634180</v>
      </c>
      <c r="M110" s="37"/>
      <c r="N110" s="253"/>
      <c r="O110" s="38"/>
    </row>
    <row r="111" spans="1:15" s="29" customFormat="1" ht="24.95" customHeight="1">
      <c r="A111" s="31" t="s">
        <v>869</v>
      </c>
      <c r="B111" s="32" t="s">
        <v>870</v>
      </c>
      <c r="C111" s="33">
        <v>113826</v>
      </c>
      <c r="D111" s="34" t="s">
        <v>815</v>
      </c>
      <c r="E111" s="36">
        <v>342</v>
      </c>
      <c r="F111" s="36">
        <f>TRUNC(E111*$C111,0)</f>
        <v>38928492</v>
      </c>
      <c r="G111" s="36">
        <v>402</v>
      </c>
      <c r="H111" s="36">
        <f>TRUNC(G111*$C111,0)</f>
        <v>45758052</v>
      </c>
      <c r="I111" s="36">
        <v>276</v>
      </c>
      <c r="J111" s="36">
        <f>TRUNC(I111*$C111,0)</f>
        <v>31415976</v>
      </c>
      <c r="K111" s="36">
        <f t="shared" si="6"/>
        <v>1020</v>
      </c>
      <c r="L111" s="36">
        <f t="shared" si="5"/>
        <v>116102520</v>
      </c>
      <c r="M111" s="37"/>
      <c r="N111" s="253"/>
      <c r="O111" s="38"/>
    </row>
    <row r="112" spans="1:15" s="29" customFormat="1" ht="24.95" customHeight="1">
      <c r="A112" s="31" t="s">
        <v>871</v>
      </c>
      <c r="B112" s="32" t="s">
        <v>22</v>
      </c>
      <c r="C112" s="33"/>
      <c r="D112" s="34" t="s">
        <v>22</v>
      </c>
      <c r="E112" s="34"/>
      <c r="F112" s="36">
        <f>TRUNC(F113,0)</f>
        <v>764274723</v>
      </c>
      <c r="G112" s="34"/>
      <c r="H112" s="36">
        <f>TRUNC(H113,0)</f>
        <v>582464877</v>
      </c>
      <c r="I112" s="34"/>
      <c r="J112" s="36">
        <f>TRUNC(J113,0)</f>
        <v>430956672</v>
      </c>
      <c r="K112" s="36">
        <f t="shared" si="6"/>
        <v>0</v>
      </c>
      <c r="L112" s="36">
        <f t="shared" si="5"/>
        <v>1777696272</v>
      </c>
      <c r="M112" s="37"/>
      <c r="N112" s="253"/>
    </row>
    <row r="113" spans="1:15" s="29" customFormat="1" ht="24.95" customHeight="1">
      <c r="A113" s="31" t="s">
        <v>872</v>
      </c>
      <c r="B113" s="32" t="s">
        <v>868</v>
      </c>
      <c r="C113" s="33">
        <v>1122283</v>
      </c>
      <c r="D113" s="34" t="s">
        <v>820</v>
      </c>
      <c r="E113" s="36">
        <v>681</v>
      </c>
      <c r="F113" s="36">
        <f>TRUNC(E113*$C113,0)</f>
        <v>764274723</v>
      </c>
      <c r="G113" s="36">
        <v>519</v>
      </c>
      <c r="H113" s="36">
        <f>TRUNC(G113*$C113,0)</f>
        <v>582464877</v>
      </c>
      <c r="I113" s="36">
        <v>384</v>
      </c>
      <c r="J113" s="36">
        <f>TRUNC(I113*$C113,0)</f>
        <v>430956672</v>
      </c>
      <c r="K113" s="36">
        <f t="shared" si="6"/>
        <v>1584</v>
      </c>
      <c r="L113" s="36">
        <f t="shared" si="5"/>
        <v>1777696272</v>
      </c>
      <c r="M113" s="37"/>
      <c r="N113" s="253"/>
      <c r="O113" s="38"/>
    </row>
    <row r="114" spans="1:15" s="29" customFormat="1" ht="24.95" customHeight="1">
      <c r="A114" s="31" t="s">
        <v>873</v>
      </c>
      <c r="B114" s="32" t="s">
        <v>22</v>
      </c>
      <c r="C114" s="33"/>
      <c r="D114" s="34" t="s">
        <v>22</v>
      </c>
      <c r="E114" s="34"/>
      <c r="F114" s="36">
        <f>TRUNC(F115+F116+F117+F118+F119+F120+F121,0)</f>
        <v>16980207622</v>
      </c>
      <c r="G114" s="34"/>
      <c r="H114" s="36">
        <f>TRUNC(H115+H116+H117+H118+H119+H120+H121,0)</f>
        <v>17447302766</v>
      </c>
      <c r="I114" s="34"/>
      <c r="J114" s="36">
        <f>TRUNC(J115+J116+J117+J118+J119+J120+J121,0)</f>
        <v>7238848451</v>
      </c>
      <c r="K114" s="36">
        <f t="shared" si="6"/>
        <v>0</v>
      </c>
      <c r="L114" s="36">
        <f t="shared" si="5"/>
        <v>41666358839</v>
      </c>
      <c r="M114" s="37"/>
      <c r="N114" s="253"/>
    </row>
    <row r="115" spans="1:15" s="29" customFormat="1" ht="24.95" customHeight="1">
      <c r="A115" s="31" t="s">
        <v>874</v>
      </c>
      <c r="B115" s="32" t="s">
        <v>875</v>
      </c>
      <c r="C115" s="33">
        <v>11183</v>
      </c>
      <c r="D115" s="34" t="s">
        <v>815</v>
      </c>
      <c r="E115" s="36">
        <v>18279</v>
      </c>
      <c r="F115" s="36">
        <f t="shared" ref="F115:F124" si="7">TRUNC(E115*$C115,0)</f>
        <v>204414057</v>
      </c>
      <c r="G115" s="36">
        <v>11967</v>
      </c>
      <c r="H115" s="36">
        <f t="shared" ref="H115:H124" si="8">TRUNC(G115*$C115,0)</f>
        <v>133826961</v>
      </c>
      <c r="I115" s="36">
        <v>4927</v>
      </c>
      <c r="J115" s="36">
        <f t="shared" ref="J115:J124" si="9">TRUNC(I115*$C115,0)</f>
        <v>55098641</v>
      </c>
      <c r="K115" s="36">
        <f t="shared" si="6"/>
        <v>35173</v>
      </c>
      <c r="L115" s="36">
        <f t="shared" si="5"/>
        <v>393339659</v>
      </c>
      <c r="M115" s="37"/>
      <c r="N115" s="253"/>
      <c r="O115" s="38"/>
    </row>
    <row r="116" spans="1:15" s="29" customFormat="1" ht="24.95" customHeight="1">
      <c r="A116" s="31" t="s">
        <v>874</v>
      </c>
      <c r="B116" s="32" t="s">
        <v>876</v>
      </c>
      <c r="C116" s="33">
        <v>25417</v>
      </c>
      <c r="D116" s="34" t="s">
        <v>815</v>
      </c>
      <c r="E116" s="36">
        <v>13165</v>
      </c>
      <c r="F116" s="36">
        <f t="shared" si="7"/>
        <v>334614805</v>
      </c>
      <c r="G116" s="36">
        <v>9984</v>
      </c>
      <c r="H116" s="36">
        <f t="shared" si="8"/>
        <v>253763328</v>
      </c>
      <c r="I116" s="36">
        <v>3680</v>
      </c>
      <c r="J116" s="36">
        <f t="shared" si="9"/>
        <v>93534560</v>
      </c>
      <c r="K116" s="36">
        <f t="shared" si="6"/>
        <v>26829</v>
      </c>
      <c r="L116" s="36">
        <f t="shared" si="5"/>
        <v>681912693</v>
      </c>
      <c r="M116" s="37"/>
      <c r="N116" s="253"/>
      <c r="O116" s="38"/>
    </row>
    <row r="117" spans="1:15" s="29" customFormat="1" ht="24.95" customHeight="1">
      <c r="A117" s="31" t="s">
        <v>874</v>
      </c>
      <c r="B117" s="32" t="s">
        <v>877</v>
      </c>
      <c r="C117" s="33">
        <v>162421</v>
      </c>
      <c r="D117" s="34" t="s">
        <v>815</v>
      </c>
      <c r="E117" s="36">
        <v>8162</v>
      </c>
      <c r="F117" s="36">
        <f t="shared" si="7"/>
        <v>1325680202</v>
      </c>
      <c r="G117" s="36">
        <v>6271</v>
      </c>
      <c r="H117" s="36">
        <f t="shared" si="8"/>
        <v>1018542091</v>
      </c>
      <c r="I117" s="36">
        <v>2190</v>
      </c>
      <c r="J117" s="36">
        <f t="shared" si="9"/>
        <v>355701990</v>
      </c>
      <c r="K117" s="36">
        <f t="shared" si="6"/>
        <v>16623</v>
      </c>
      <c r="L117" s="36">
        <f t="shared" si="5"/>
        <v>2699924283</v>
      </c>
      <c r="M117" s="37"/>
      <c r="N117" s="253"/>
      <c r="O117" s="38"/>
    </row>
    <row r="118" spans="1:15" s="29" customFormat="1" ht="24.95" customHeight="1">
      <c r="A118" s="31" t="s">
        <v>874</v>
      </c>
      <c r="B118" s="32" t="s">
        <v>878</v>
      </c>
      <c r="C118" s="33">
        <v>755573</v>
      </c>
      <c r="D118" s="34" t="s">
        <v>815</v>
      </c>
      <c r="E118" s="36">
        <v>4439</v>
      </c>
      <c r="F118" s="36">
        <f t="shared" si="7"/>
        <v>3353988547</v>
      </c>
      <c r="G118" s="36">
        <v>4317</v>
      </c>
      <c r="H118" s="36">
        <f t="shared" si="8"/>
        <v>3261808641</v>
      </c>
      <c r="I118" s="36">
        <v>1659</v>
      </c>
      <c r="J118" s="36">
        <f t="shared" si="9"/>
        <v>1253495607</v>
      </c>
      <c r="K118" s="36">
        <f t="shared" si="6"/>
        <v>10415</v>
      </c>
      <c r="L118" s="36">
        <f t="shared" si="5"/>
        <v>7869292795</v>
      </c>
      <c r="M118" s="37"/>
      <c r="N118" s="253"/>
      <c r="O118" s="38"/>
    </row>
    <row r="119" spans="1:15" s="29" customFormat="1" ht="24.95" customHeight="1">
      <c r="A119" s="31" t="s">
        <v>874</v>
      </c>
      <c r="B119" s="32" t="s">
        <v>879</v>
      </c>
      <c r="C119" s="33">
        <v>2818233</v>
      </c>
      <c r="D119" s="34" t="s">
        <v>815</v>
      </c>
      <c r="E119" s="36">
        <v>3248</v>
      </c>
      <c r="F119" s="36">
        <f t="shared" si="7"/>
        <v>9153620784</v>
      </c>
      <c r="G119" s="36">
        <v>3605</v>
      </c>
      <c r="H119" s="36">
        <f t="shared" si="8"/>
        <v>10159729965</v>
      </c>
      <c r="I119" s="36">
        <v>1422</v>
      </c>
      <c r="J119" s="36">
        <f t="shared" si="9"/>
        <v>4007527326</v>
      </c>
      <c r="K119" s="36">
        <f t="shared" si="6"/>
        <v>8275</v>
      </c>
      <c r="L119" s="36">
        <f t="shared" si="5"/>
        <v>23320878075</v>
      </c>
      <c r="M119" s="37"/>
      <c r="N119" s="253"/>
      <c r="O119" s="38"/>
    </row>
    <row r="120" spans="1:15" s="29" customFormat="1" ht="24.95" customHeight="1">
      <c r="A120" s="31" t="s">
        <v>874</v>
      </c>
      <c r="B120" s="32" t="s">
        <v>880</v>
      </c>
      <c r="C120" s="33">
        <v>22081</v>
      </c>
      <c r="D120" s="34" t="s">
        <v>815</v>
      </c>
      <c r="E120" s="36">
        <v>2536</v>
      </c>
      <c r="F120" s="36">
        <f t="shared" si="7"/>
        <v>55997416</v>
      </c>
      <c r="G120" s="36">
        <v>3238</v>
      </c>
      <c r="H120" s="36">
        <f t="shared" si="8"/>
        <v>71498278</v>
      </c>
      <c r="I120" s="36">
        <v>1202</v>
      </c>
      <c r="J120" s="36">
        <f t="shared" si="9"/>
        <v>26541362</v>
      </c>
      <c r="K120" s="36">
        <f t="shared" si="6"/>
        <v>6976</v>
      </c>
      <c r="L120" s="36">
        <f t="shared" si="5"/>
        <v>154037056</v>
      </c>
      <c r="M120" s="37"/>
      <c r="N120" s="253"/>
      <c r="O120" s="38"/>
    </row>
    <row r="121" spans="1:15" s="29" customFormat="1" ht="24.95" customHeight="1">
      <c r="A121" s="31" t="s">
        <v>881</v>
      </c>
      <c r="B121" s="32" t="s">
        <v>882</v>
      </c>
      <c r="C121" s="33">
        <v>3758309</v>
      </c>
      <c r="D121" s="34" t="s">
        <v>820</v>
      </c>
      <c r="E121" s="36">
        <v>679</v>
      </c>
      <c r="F121" s="36">
        <f t="shared" si="7"/>
        <v>2551891811</v>
      </c>
      <c r="G121" s="36">
        <v>678</v>
      </c>
      <c r="H121" s="36">
        <f t="shared" si="8"/>
        <v>2548133502</v>
      </c>
      <c r="I121" s="36">
        <v>385</v>
      </c>
      <c r="J121" s="36">
        <f t="shared" si="9"/>
        <v>1446948965</v>
      </c>
      <c r="K121" s="36">
        <f t="shared" si="6"/>
        <v>1742</v>
      </c>
      <c r="L121" s="36">
        <f t="shared" si="5"/>
        <v>6546974278</v>
      </c>
      <c r="M121" s="37"/>
      <c r="N121" s="253"/>
      <c r="O121" s="38"/>
    </row>
    <row r="122" spans="1:15" s="29" customFormat="1" ht="24.95" customHeight="1">
      <c r="A122" s="31" t="s">
        <v>883</v>
      </c>
      <c r="B122" s="32" t="s">
        <v>884</v>
      </c>
      <c r="C122" s="33">
        <v>4</v>
      </c>
      <c r="D122" s="34" t="s">
        <v>885</v>
      </c>
      <c r="E122" s="36">
        <v>0</v>
      </c>
      <c r="F122" s="36">
        <f t="shared" si="7"/>
        <v>0</v>
      </c>
      <c r="G122" s="36">
        <v>0</v>
      </c>
      <c r="H122" s="36">
        <f t="shared" si="8"/>
        <v>0</v>
      </c>
      <c r="I122" s="36">
        <v>8330750</v>
      </c>
      <c r="J122" s="36">
        <f t="shared" si="9"/>
        <v>33323000</v>
      </c>
      <c r="K122" s="36">
        <f t="shared" si="6"/>
        <v>8330750</v>
      </c>
      <c r="L122" s="36">
        <f t="shared" si="5"/>
        <v>33323000</v>
      </c>
      <c r="M122" s="37"/>
      <c r="N122" s="253"/>
      <c r="O122" s="38"/>
    </row>
    <row r="123" spans="1:15" s="29" customFormat="1" ht="24.95" customHeight="1">
      <c r="A123" s="31" t="s">
        <v>886</v>
      </c>
      <c r="B123" s="32" t="s">
        <v>22</v>
      </c>
      <c r="C123" s="33">
        <v>10</v>
      </c>
      <c r="D123" s="34" t="s">
        <v>887</v>
      </c>
      <c r="E123" s="36">
        <v>0</v>
      </c>
      <c r="F123" s="36">
        <f t="shared" si="7"/>
        <v>0</v>
      </c>
      <c r="G123" s="36">
        <v>0</v>
      </c>
      <c r="H123" s="36">
        <f t="shared" si="8"/>
        <v>0</v>
      </c>
      <c r="I123" s="36">
        <v>6664600</v>
      </c>
      <c r="J123" s="36">
        <f t="shared" si="9"/>
        <v>66646000</v>
      </c>
      <c r="K123" s="36">
        <f t="shared" si="6"/>
        <v>6664600</v>
      </c>
      <c r="L123" s="36">
        <f t="shared" si="5"/>
        <v>66646000</v>
      </c>
      <c r="M123" s="37"/>
      <c r="N123" s="253"/>
      <c r="O123" s="38"/>
    </row>
    <row r="124" spans="1:15" s="29" customFormat="1" ht="24.95" customHeight="1">
      <c r="A124" s="31" t="s">
        <v>888</v>
      </c>
      <c r="B124" s="32" t="s">
        <v>889</v>
      </c>
      <c r="C124" s="33">
        <v>1</v>
      </c>
      <c r="D124" s="34" t="s">
        <v>754</v>
      </c>
      <c r="E124" s="36">
        <v>0</v>
      </c>
      <c r="F124" s="36">
        <f t="shared" si="7"/>
        <v>0</v>
      </c>
      <c r="G124" s="36">
        <v>0</v>
      </c>
      <c r="H124" s="36">
        <f t="shared" si="8"/>
        <v>0</v>
      </c>
      <c r="I124" s="36">
        <v>38987910</v>
      </c>
      <c r="J124" s="36">
        <f t="shared" si="9"/>
        <v>38987910</v>
      </c>
      <c r="K124" s="36">
        <f t="shared" si="6"/>
        <v>38987910</v>
      </c>
      <c r="L124" s="36">
        <f t="shared" si="5"/>
        <v>38987910</v>
      </c>
      <c r="M124" s="37"/>
      <c r="N124" s="253"/>
      <c r="O124" s="38"/>
    </row>
    <row r="125" spans="1:15" s="63" customFormat="1" ht="24.95" customHeight="1">
      <c r="A125" s="57" t="s">
        <v>890</v>
      </c>
      <c r="B125" s="58" t="s">
        <v>22</v>
      </c>
      <c r="C125" s="59"/>
      <c r="D125" s="60" t="s">
        <v>22</v>
      </c>
      <c r="E125" s="60"/>
      <c r="F125" s="61">
        <f>TRUNC(F127+F128+F129+F131+F132+F133+F135+F136+F137+F139+F140+F141+F143+F144+F146+F147+F148,0)</f>
        <v>16868591980</v>
      </c>
      <c r="G125" s="60"/>
      <c r="H125" s="61">
        <f>TRUNC(H127+H128+H129+H131+H132+H133+H135+H136+H137+H139+H140+H141+H143+H144+H146+H147+H148,0)</f>
        <v>9816432931</v>
      </c>
      <c r="I125" s="60"/>
      <c r="J125" s="61">
        <f>TRUNC(J127+J128+J129+J131+J132+J133+J135+J136+J137+J139+J140+J141+J143+J144+J146+J147+J148,0)</f>
        <v>10355992403</v>
      </c>
      <c r="K125" s="61">
        <f t="shared" si="6"/>
        <v>0</v>
      </c>
      <c r="L125" s="61">
        <f t="shared" si="5"/>
        <v>37041017314</v>
      </c>
      <c r="M125" s="62"/>
      <c r="N125" s="253"/>
    </row>
    <row r="126" spans="1:15" s="29" customFormat="1" ht="24.95" customHeight="1">
      <c r="A126" s="31" t="s">
        <v>891</v>
      </c>
      <c r="B126" s="32" t="s">
        <v>22</v>
      </c>
      <c r="C126" s="33"/>
      <c r="D126" s="34" t="s">
        <v>22</v>
      </c>
      <c r="E126" s="36">
        <v>0</v>
      </c>
      <c r="F126" s="36">
        <f>TRUNC(F127+F128+F129,0)</f>
        <v>0</v>
      </c>
      <c r="G126" s="36">
        <v>0</v>
      </c>
      <c r="H126" s="36">
        <f>TRUNC(H127+H128+H129,0)</f>
        <v>0</v>
      </c>
      <c r="I126" s="36">
        <v>0</v>
      </c>
      <c r="J126" s="36">
        <f>TRUNC(J127+J128+J129,0)</f>
        <v>0</v>
      </c>
      <c r="K126" s="36">
        <f t="shared" si="6"/>
        <v>0</v>
      </c>
      <c r="L126" s="36">
        <f t="shared" si="5"/>
        <v>0</v>
      </c>
      <c r="M126" s="37"/>
      <c r="N126" s="253"/>
    </row>
    <row r="127" spans="1:15" s="29" customFormat="1" ht="24.95" customHeight="1">
      <c r="A127" s="31" t="s">
        <v>892</v>
      </c>
      <c r="B127" s="32" t="s">
        <v>893</v>
      </c>
      <c r="C127" s="33">
        <v>265003</v>
      </c>
      <c r="D127" s="34" t="s">
        <v>815</v>
      </c>
      <c r="E127" s="36">
        <v>0</v>
      </c>
      <c r="F127" s="36">
        <f>TRUNC(E127*$C127,0)</f>
        <v>0</v>
      </c>
      <c r="G127" s="36">
        <v>0</v>
      </c>
      <c r="H127" s="36">
        <f>TRUNC(G127*$C127,0)</f>
        <v>0</v>
      </c>
      <c r="I127" s="36">
        <v>0</v>
      </c>
      <c r="J127" s="36">
        <f>TRUNC(I127*$C127,0)</f>
        <v>0</v>
      </c>
      <c r="K127" s="36">
        <f t="shared" si="6"/>
        <v>0</v>
      </c>
      <c r="L127" s="36">
        <f t="shared" si="5"/>
        <v>0</v>
      </c>
      <c r="M127" s="37"/>
      <c r="N127" s="253"/>
      <c r="O127" s="38"/>
    </row>
    <row r="128" spans="1:15" s="29" customFormat="1" ht="24.95" customHeight="1">
      <c r="A128" s="31" t="s">
        <v>894</v>
      </c>
      <c r="B128" s="32" t="s">
        <v>895</v>
      </c>
      <c r="C128" s="33">
        <v>31146</v>
      </c>
      <c r="D128" s="34" t="s">
        <v>815</v>
      </c>
      <c r="E128" s="36">
        <v>0</v>
      </c>
      <c r="F128" s="36">
        <f>TRUNC(E128*$C128,0)</f>
        <v>0</v>
      </c>
      <c r="G128" s="36">
        <v>0</v>
      </c>
      <c r="H128" s="36">
        <f>TRUNC(G128*$C128,0)</f>
        <v>0</v>
      </c>
      <c r="I128" s="36">
        <v>0</v>
      </c>
      <c r="J128" s="36">
        <f>TRUNC(I128*$C128,0)</f>
        <v>0</v>
      </c>
      <c r="K128" s="36">
        <f t="shared" si="6"/>
        <v>0</v>
      </c>
      <c r="L128" s="36">
        <f t="shared" si="5"/>
        <v>0</v>
      </c>
      <c r="M128" s="37"/>
      <c r="N128" s="253"/>
      <c r="O128" s="38"/>
    </row>
    <row r="129" spans="1:15" s="29" customFormat="1" ht="24.95" customHeight="1">
      <c r="A129" s="31" t="s">
        <v>896</v>
      </c>
      <c r="B129" s="32" t="s">
        <v>897</v>
      </c>
      <c r="C129" s="33">
        <v>10962</v>
      </c>
      <c r="D129" s="34" t="s">
        <v>815</v>
      </c>
      <c r="E129" s="36">
        <v>0</v>
      </c>
      <c r="F129" s="36">
        <f>TRUNC(E129*$C129,0)</f>
        <v>0</v>
      </c>
      <c r="G129" s="36">
        <v>0</v>
      </c>
      <c r="H129" s="36">
        <f>TRUNC(G129*$C129,0)</f>
        <v>0</v>
      </c>
      <c r="I129" s="36">
        <v>0</v>
      </c>
      <c r="J129" s="36">
        <f>TRUNC(I129*$C129,0)</f>
        <v>0</v>
      </c>
      <c r="K129" s="36">
        <f t="shared" si="6"/>
        <v>0</v>
      </c>
      <c r="L129" s="36">
        <f t="shared" si="5"/>
        <v>0</v>
      </c>
      <c r="M129" s="37"/>
      <c r="N129" s="253"/>
      <c r="O129" s="38"/>
    </row>
    <row r="130" spans="1:15" s="29" customFormat="1" ht="24.95" customHeight="1">
      <c r="A130" s="31" t="s">
        <v>898</v>
      </c>
      <c r="B130" s="32" t="s">
        <v>22</v>
      </c>
      <c r="C130" s="33"/>
      <c r="D130" s="34" t="s">
        <v>22</v>
      </c>
      <c r="E130" s="34"/>
      <c r="F130" s="36">
        <f>TRUNC(F131+F132+F133,0)</f>
        <v>97110779</v>
      </c>
      <c r="G130" s="34"/>
      <c r="H130" s="36">
        <f>TRUNC(H131+H132+H133,0)</f>
        <v>225519363</v>
      </c>
      <c r="I130" s="34"/>
      <c r="J130" s="36">
        <f>TRUNC(J131+J132+J133,0)</f>
        <v>164991302</v>
      </c>
      <c r="K130" s="36">
        <f t="shared" si="6"/>
        <v>0</v>
      </c>
      <c r="L130" s="36">
        <f t="shared" si="5"/>
        <v>487621444</v>
      </c>
      <c r="M130" s="37"/>
      <c r="N130" s="253"/>
    </row>
    <row r="131" spans="1:15" s="29" customFormat="1" ht="24.95" customHeight="1">
      <c r="A131" s="31" t="s">
        <v>899</v>
      </c>
      <c r="B131" s="32" t="s">
        <v>900</v>
      </c>
      <c r="C131" s="33">
        <v>365564</v>
      </c>
      <c r="D131" s="34" t="s">
        <v>820</v>
      </c>
      <c r="E131" s="36">
        <v>98</v>
      </c>
      <c r="F131" s="36">
        <f>TRUNC(E131*$C131,0)</f>
        <v>35825272</v>
      </c>
      <c r="G131" s="36">
        <v>228</v>
      </c>
      <c r="H131" s="36">
        <f>TRUNC(G131*$C131,0)</f>
        <v>83348592</v>
      </c>
      <c r="I131" s="36">
        <v>167</v>
      </c>
      <c r="J131" s="36">
        <f>TRUNC(I131*$C131,0)</f>
        <v>61049188</v>
      </c>
      <c r="K131" s="36">
        <f t="shared" si="6"/>
        <v>493</v>
      </c>
      <c r="L131" s="36">
        <f t="shared" si="5"/>
        <v>180223052</v>
      </c>
      <c r="M131" s="37"/>
      <c r="N131" s="253"/>
      <c r="O131" s="38"/>
    </row>
    <row r="132" spans="1:15" s="29" customFormat="1" ht="24.95" customHeight="1">
      <c r="A132" s="31" t="s">
        <v>901</v>
      </c>
      <c r="B132" s="32" t="s">
        <v>900</v>
      </c>
      <c r="C132" s="33">
        <v>164796</v>
      </c>
      <c r="D132" s="34" t="s">
        <v>820</v>
      </c>
      <c r="E132" s="36">
        <v>167</v>
      </c>
      <c r="F132" s="36">
        <f>TRUNC(E132*$C132,0)</f>
        <v>27520932</v>
      </c>
      <c r="G132" s="36">
        <v>388</v>
      </c>
      <c r="H132" s="36">
        <f>TRUNC(G132*$C132,0)</f>
        <v>63940848</v>
      </c>
      <c r="I132" s="36">
        <v>284</v>
      </c>
      <c r="J132" s="36">
        <f>TRUNC(I132*$C132,0)</f>
        <v>46802064</v>
      </c>
      <c r="K132" s="36">
        <f t="shared" si="6"/>
        <v>839</v>
      </c>
      <c r="L132" s="36">
        <f t="shared" si="5"/>
        <v>138263844</v>
      </c>
      <c r="M132" s="37"/>
      <c r="N132" s="253"/>
      <c r="O132" s="38"/>
    </row>
    <row r="133" spans="1:15" s="29" customFormat="1" ht="24.95" customHeight="1">
      <c r="A133" s="31" t="s">
        <v>902</v>
      </c>
      <c r="B133" s="32" t="s">
        <v>900</v>
      </c>
      <c r="C133" s="33">
        <v>103891</v>
      </c>
      <c r="D133" s="34" t="s">
        <v>815</v>
      </c>
      <c r="E133" s="36">
        <v>325</v>
      </c>
      <c r="F133" s="36">
        <f>TRUNC(E133*$C133,0)</f>
        <v>33764575</v>
      </c>
      <c r="G133" s="36">
        <v>753</v>
      </c>
      <c r="H133" s="36">
        <f>TRUNC(G133*$C133,0)</f>
        <v>78229923</v>
      </c>
      <c r="I133" s="36">
        <v>550</v>
      </c>
      <c r="J133" s="36">
        <f>TRUNC(I133*$C133,0)</f>
        <v>57140050</v>
      </c>
      <c r="K133" s="36">
        <f t="shared" ref="K133:L191" si="10">G133+E133+I133</f>
        <v>1628</v>
      </c>
      <c r="L133" s="36">
        <f t="shared" si="5"/>
        <v>169134548</v>
      </c>
      <c r="M133" s="37"/>
      <c r="N133" s="253"/>
      <c r="O133" s="38"/>
    </row>
    <row r="134" spans="1:15" s="29" customFormat="1" ht="24.95" customHeight="1">
      <c r="A134" s="31" t="s">
        <v>903</v>
      </c>
      <c r="B134" s="32" t="s">
        <v>22</v>
      </c>
      <c r="C134" s="33"/>
      <c r="D134" s="34" t="s">
        <v>22</v>
      </c>
      <c r="E134" s="34"/>
      <c r="F134" s="36">
        <f>TRUNC(F135+F136+F137,0)</f>
        <v>16227192534</v>
      </c>
      <c r="G134" s="34"/>
      <c r="H134" s="36">
        <f>TRUNC(H135+H136+H137,0)</f>
        <v>9209782193</v>
      </c>
      <c r="I134" s="34"/>
      <c r="J134" s="36">
        <f>TRUNC(J135+J136+J137,0)</f>
        <v>9852138732</v>
      </c>
      <c r="K134" s="36">
        <f t="shared" si="10"/>
        <v>0</v>
      </c>
      <c r="L134" s="36">
        <f t="shared" si="5"/>
        <v>35289113459</v>
      </c>
      <c r="M134" s="37"/>
      <c r="N134" s="253"/>
    </row>
    <row r="135" spans="1:15" s="29" customFormat="1" ht="24.95" customHeight="1">
      <c r="A135" s="31" t="s">
        <v>904</v>
      </c>
      <c r="B135" s="32" t="s">
        <v>905</v>
      </c>
      <c r="C135" s="33">
        <v>1182339</v>
      </c>
      <c r="D135" s="34" t="s">
        <v>815</v>
      </c>
      <c r="E135" s="36">
        <v>887</v>
      </c>
      <c r="F135" s="36">
        <f>TRUNC(E135*$C135,0)</f>
        <v>1048734693</v>
      </c>
      <c r="G135" s="36">
        <v>639</v>
      </c>
      <c r="H135" s="36">
        <f>TRUNC(G135*$C135,0)</f>
        <v>755514621</v>
      </c>
      <c r="I135" s="36">
        <v>552</v>
      </c>
      <c r="J135" s="36">
        <f>TRUNC(I135*$C135,0)</f>
        <v>652651128</v>
      </c>
      <c r="K135" s="36">
        <f t="shared" si="10"/>
        <v>2078</v>
      </c>
      <c r="L135" s="36">
        <f t="shared" si="5"/>
        <v>2456900442</v>
      </c>
      <c r="M135" s="37"/>
      <c r="N135" s="253"/>
      <c r="O135" s="38"/>
    </row>
    <row r="136" spans="1:15" s="29" customFormat="1" ht="24.95" customHeight="1">
      <c r="A136" s="31" t="s">
        <v>906</v>
      </c>
      <c r="B136" s="32" t="s">
        <v>907</v>
      </c>
      <c r="C136" s="33">
        <v>954528</v>
      </c>
      <c r="D136" s="34" t="s">
        <v>815</v>
      </c>
      <c r="E136" s="36">
        <v>1619</v>
      </c>
      <c r="F136" s="36">
        <f>TRUNC(E136*$C136,0)</f>
        <v>1545380832</v>
      </c>
      <c r="G136" s="36">
        <v>1125</v>
      </c>
      <c r="H136" s="36">
        <f>TRUNC(G136*$C136,0)</f>
        <v>1073844000</v>
      </c>
      <c r="I136" s="36">
        <v>1038</v>
      </c>
      <c r="J136" s="36">
        <f>TRUNC(I136*$C136,0)</f>
        <v>990800064</v>
      </c>
      <c r="K136" s="36">
        <f t="shared" si="10"/>
        <v>3782</v>
      </c>
      <c r="L136" s="36">
        <f t="shared" si="5"/>
        <v>3610024896</v>
      </c>
      <c r="M136" s="37"/>
      <c r="N136" s="253"/>
      <c r="O136" s="38"/>
    </row>
    <row r="137" spans="1:15" s="29" customFormat="1" ht="24.95" customHeight="1">
      <c r="A137" s="31" t="s">
        <v>908</v>
      </c>
      <c r="B137" s="32" t="s">
        <v>909</v>
      </c>
      <c r="C137" s="33">
        <v>3697607</v>
      </c>
      <c r="D137" s="34" t="s">
        <v>815</v>
      </c>
      <c r="E137" s="36">
        <v>3687</v>
      </c>
      <c r="F137" s="36">
        <f>TRUNC(E137*$C137,0)</f>
        <v>13633077009</v>
      </c>
      <c r="G137" s="36">
        <v>1996</v>
      </c>
      <c r="H137" s="36">
        <f>TRUNC(G137*$C137,0)</f>
        <v>7380423572</v>
      </c>
      <c r="I137" s="36">
        <v>2220</v>
      </c>
      <c r="J137" s="36">
        <f>TRUNC(I137*$C137,0)</f>
        <v>8208687540</v>
      </c>
      <c r="K137" s="36">
        <f t="shared" si="10"/>
        <v>7903</v>
      </c>
      <c r="L137" s="36">
        <f t="shared" si="5"/>
        <v>29222188121</v>
      </c>
      <c r="M137" s="37"/>
      <c r="N137" s="253"/>
      <c r="O137" s="38"/>
    </row>
    <row r="138" spans="1:15" s="29" customFormat="1" ht="24.95" customHeight="1">
      <c r="A138" s="31" t="s">
        <v>910</v>
      </c>
      <c r="B138" s="32" t="s">
        <v>22</v>
      </c>
      <c r="C138" s="33"/>
      <c r="D138" s="34" t="s">
        <v>22</v>
      </c>
      <c r="E138" s="34"/>
      <c r="F138" s="36">
        <f>TRUNC(F139+F140+F141,0)</f>
        <v>95066779</v>
      </c>
      <c r="G138" s="34"/>
      <c r="H138" s="36">
        <f>TRUNC(H139+H140+H141,0)</f>
        <v>64969855</v>
      </c>
      <c r="I138" s="34"/>
      <c r="J138" s="36">
        <f>TRUNC(J139+J140+J141,0)</f>
        <v>58856888</v>
      </c>
      <c r="K138" s="36">
        <f t="shared" si="10"/>
        <v>0</v>
      </c>
      <c r="L138" s="36">
        <f t="shared" si="5"/>
        <v>218893522</v>
      </c>
      <c r="M138" s="37"/>
      <c r="N138" s="253"/>
    </row>
    <row r="139" spans="1:15" s="29" customFormat="1" ht="24.95" customHeight="1">
      <c r="A139" s="31" t="s">
        <v>911</v>
      </c>
      <c r="B139" s="32" t="s">
        <v>912</v>
      </c>
      <c r="C139" s="33">
        <v>29582</v>
      </c>
      <c r="D139" s="34" t="s">
        <v>815</v>
      </c>
      <c r="E139" s="36">
        <v>1481</v>
      </c>
      <c r="F139" s="36">
        <f>TRUNC(E139*$C139,0)</f>
        <v>43810942</v>
      </c>
      <c r="G139" s="36">
        <v>1121</v>
      </c>
      <c r="H139" s="36">
        <f>TRUNC(G139*$C139,0)</f>
        <v>33161422</v>
      </c>
      <c r="I139" s="36">
        <v>927</v>
      </c>
      <c r="J139" s="36">
        <f>TRUNC(I139*$C139,0)</f>
        <v>27422514</v>
      </c>
      <c r="K139" s="36">
        <f t="shared" si="10"/>
        <v>3529</v>
      </c>
      <c r="L139" s="36">
        <f t="shared" si="5"/>
        <v>104394878</v>
      </c>
      <c r="M139" s="37"/>
      <c r="N139" s="253"/>
      <c r="O139" s="38"/>
    </row>
    <row r="140" spans="1:15" s="29" customFormat="1" ht="24.95" customHeight="1">
      <c r="A140" s="31" t="s">
        <v>911</v>
      </c>
      <c r="B140" s="32" t="s">
        <v>913</v>
      </c>
      <c r="C140" s="33">
        <v>4330</v>
      </c>
      <c r="D140" s="34" t="s">
        <v>815</v>
      </c>
      <c r="E140" s="36">
        <v>2340</v>
      </c>
      <c r="F140" s="36">
        <f>TRUNC(E140*$C140,0)</f>
        <v>10132200</v>
      </c>
      <c r="G140" s="36">
        <v>1709</v>
      </c>
      <c r="H140" s="36">
        <f>TRUNC(G140*$C140,0)</f>
        <v>7399970</v>
      </c>
      <c r="I140" s="36">
        <v>1492</v>
      </c>
      <c r="J140" s="36">
        <f>TRUNC(I140*$C140,0)</f>
        <v>6460360</v>
      </c>
      <c r="K140" s="36">
        <f t="shared" si="10"/>
        <v>5541</v>
      </c>
      <c r="L140" s="36">
        <f t="shared" si="5"/>
        <v>23992530</v>
      </c>
      <c r="M140" s="37"/>
      <c r="N140" s="253"/>
      <c r="O140" s="38"/>
    </row>
    <row r="141" spans="1:15" s="29" customFormat="1" ht="24.95" customHeight="1">
      <c r="A141" s="31" t="s">
        <v>911</v>
      </c>
      <c r="B141" s="32" t="s">
        <v>914</v>
      </c>
      <c r="C141" s="33">
        <v>8977</v>
      </c>
      <c r="D141" s="34" t="s">
        <v>815</v>
      </c>
      <c r="E141" s="36">
        <v>4581</v>
      </c>
      <c r="F141" s="36">
        <f>TRUNC(E141*$C141,0)</f>
        <v>41123637</v>
      </c>
      <c r="G141" s="36">
        <v>2719</v>
      </c>
      <c r="H141" s="36">
        <f>TRUNC(G141*$C141,0)</f>
        <v>24408463</v>
      </c>
      <c r="I141" s="36">
        <v>2782</v>
      </c>
      <c r="J141" s="36">
        <f>TRUNC(I141*$C141,0)</f>
        <v>24974014</v>
      </c>
      <c r="K141" s="36">
        <f t="shared" si="10"/>
        <v>10082</v>
      </c>
      <c r="L141" s="36">
        <f t="shared" si="5"/>
        <v>90506114</v>
      </c>
      <c r="M141" s="37"/>
      <c r="N141" s="253"/>
      <c r="O141" s="38"/>
    </row>
    <row r="142" spans="1:15" s="29" customFormat="1" ht="24.95" customHeight="1">
      <c r="A142" s="31" t="s">
        <v>915</v>
      </c>
      <c r="B142" s="32" t="s">
        <v>22</v>
      </c>
      <c r="C142" s="33"/>
      <c r="D142" s="34" t="s">
        <v>22</v>
      </c>
      <c r="E142" s="34"/>
      <c r="F142" s="36">
        <f>TRUNC(F143+F144,0)</f>
        <v>246152646</v>
      </c>
      <c r="G142" s="34"/>
      <c r="H142" s="36">
        <f>TRUNC(H143+H144,0)</f>
        <v>182238471</v>
      </c>
      <c r="I142" s="34"/>
      <c r="J142" s="36">
        <f>TRUNC(J143+J144,0)</f>
        <v>154206900</v>
      </c>
      <c r="K142" s="36">
        <f t="shared" si="10"/>
        <v>0</v>
      </c>
      <c r="L142" s="36">
        <f t="shared" si="5"/>
        <v>582598017</v>
      </c>
      <c r="M142" s="37"/>
      <c r="N142" s="253"/>
    </row>
    <row r="143" spans="1:15" s="29" customFormat="1" ht="24.95" customHeight="1">
      <c r="A143" s="31" t="s">
        <v>916</v>
      </c>
      <c r="B143" s="32" t="s">
        <v>917</v>
      </c>
      <c r="C143" s="33">
        <v>113826</v>
      </c>
      <c r="D143" s="34" t="s">
        <v>815</v>
      </c>
      <c r="E143" s="36">
        <v>989</v>
      </c>
      <c r="F143" s="36">
        <f>TRUNC(E143*$C143,0)</f>
        <v>112573914</v>
      </c>
      <c r="G143" s="36">
        <v>739</v>
      </c>
      <c r="H143" s="36">
        <f>TRUNC(G143*$C143,0)</f>
        <v>84117414</v>
      </c>
      <c r="I143" s="36">
        <v>623</v>
      </c>
      <c r="J143" s="36">
        <f>TRUNC(I143*$C143,0)</f>
        <v>70913598</v>
      </c>
      <c r="K143" s="36">
        <f t="shared" si="10"/>
        <v>2351</v>
      </c>
      <c r="L143" s="36">
        <f t="shared" si="5"/>
        <v>267604926</v>
      </c>
      <c r="M143" s="37"/>
      <c r="N143" s="253"/>
      <c r="O143" s="38"/>
    </row>
    <row r="144" spans="1:15" s="29" customFormat="1" ht="24.95" customHeight="1">
      <c r="A144" s="31" t="s">
        <v>918</v>
      </c>
      <c r="B144" s="32" t="s">
        <v>919</v>
      </c>
      <c r="C144" s="33">
        <v>128937</v>
      </c>
      <c r="D144" s="34" t="s">
        <v>815</v>
      </c>
      <c r="E144" s="36">
        <v>1036</v>
      </c>
      <c r="F144" s="36">
        <f>TRUNC(E144*$C144,0)</f>
        <v>133578732</v>
      </c>
      <c r="G144" s="36">
        <v>761</v>
      </c>
      <c r="H144" s="36">
        <f>TRUNC(G144*$C144,0)</f>
        <v>98121057</v>
      </c>
      <c r="I144" s="36">
        <v>646</v>
      </c>
      <c r="J144" s="36">
        <f>TRUNC(I144*$C144,0)</f>
        <v>83293302</v>
      </c>
      <c r="K144" s="36">
        <f t="shared" si="10"/>
        <v>2443</v>
      </c>
      <c r="L144" s="36">
        <f t="shared" si="5"/>
        <v>314993091</v>
      </c>
      <c r="M144" s="37"/>
      <c r="N144" s="253"/>
      <c r="O144" s="38"/>
    </row>
    <row r="145" spans="1:15" s="29" customFormat="1" ht="24.95" customHeight="1">
      <c r="A145" s="31" t="s">
        <v>920</v>
      </c>
      <c r="B145" s="32" t="s">
        <v>22</v>
      </c>
      <c r="C145" s="33"/>
      <c r="D145" s="34" t="s">
        <v>22</v>
      </c>
      <c r="E145" s="34"/>
      <c r="F145" s="36">
        <f>TRUNC(F146+F147+F148,0)</f>
        <v>203069242</v>
      </c>
      <c r="G145" s="34"/>
      <c r="H145" s="36">
        <f>TRUNC(H146+H147+H148,0)</f>
        <v>133923049</v>
      </c>
      <c r="I145" s="34"/>
      <c r="J145" s="36">
        <f>TRUNC(J146+J147+J148,0)</f>
        <v>125798581</v>
      </c>
      <c r="K145" s="36">
        <f t="shared" si="10"/>
        <v>0</v>
      </c>
      <c r="L145" s="36">
        <f t="shared" si="5"/>
        <v>462790872</v>
      </c>
      <c r="M145" s="37"/>
      <c r="N145" s="253"/>
    </row>
    <row r="146" spans="1:15" s="29" customFormat="1" ht="24.95" customHeight="1">
      <c r="A146" s="31" t="s">
        <v>921</v>
      </c>
      <c r="B146" s="32" t="s">
        <v>922</v>
      </c>
      <c r="C146" s="33">
        <v>2393</v>
      </c>
      <c r="D146" s="34" t="s">
        <v>815</v>
      </c>
      <c r="E146" s="36">
        <v>2156</v>
      </c>
      <c r="F146" s="36">
        <f>TRUNC(E146*$C146,0)</f>
        <v>5159308</v>
      </c>
      <c r="G146" s="36">
        <v>1697</v>
      </c>
      <c r="H146" s="36">
        <f>TRUNC(G146*$C146,0)</f>
        <v>4060921</v>
      </c>
      <c r="I146" s="36">
        <v>1367</v>
      </c>
      <c r="J146" s="36">
        <f>TRUNC(I146*$C146,0)</f>
        <v>3271231</v>
      </c>
      <c r="K146" s="36">
        <f t="shared" si="10"/>
        <v>5220</v>
      </c>
      <c r="L146" s="36">
        <f t="shared" si="5"/>
        <v>12491460</v>
      </c>
      <c r="M146" s="37"/>
      <c r="N146" s="253"/>
      <c r="O146" s="38"/>
    </row>
    <row r="147" spans="1:15" s="29" customFormat="1" ht="24.95" customHeight="1">
      <c r="A147" s="31" t="s">
        <v>921</v>
      </c>
      <c r="B147" s="32" t="s">
        <v>923</v>
      </c>
      <c r="C147" s="33">
        <v>5310</v>
      </c>
      <c r="D147" s="34" t="s">
        <v>815</v>
      </c>
      <c r="E147" s="36">
        <v>3146</v>
      </c>
      <c r="F147" s="36">
        <f>TRUNC(E147*$C147,0)</f>
        <v>16705260</v>
      </c>
      <c r="G147" s="36">
        <v>2395</v>
      </c>
      <c r="H147" s="36">
        <f>TRUNC(G147*$C147,0)</f>
        <v>12717450</v>
      </c>
      <c r="I147" s="36">
        <v>2014</v>
      </c>
      <c r="J147" s="36">
        <f>TRUNC(I147*$C147,0)</f>
        <v>10694340</v>
      </c>
      <c r="K147" s="36">
        <f t="shared" si="10"/>
        <v>7555</v>
      </c>
      <c r="L147" s="36">
        <f t="shared" si="5"/>
        <v>40117050</v>
      </c>
      <c r="M147" s="37"/>
      <c r="N147" s="253"/>
      <c r="O147" s="38"/>
    </row>
    <row r="148" spans="1:15" s="29" customFormat="1" ht="24.95" customHeight="1">
      <c r="A148" s="31" t="s">
        <v>921</v>
      </c>
      <c r="B148" s="32" t="s">
        <v>924</v>
      </c>
      <c r="C148" s="33">
        <v>31998</v>
      </c>
      <c r="D148" s="34" t="s">
        <v>815</v>
      </c>
      <c r="E148" s="36">
        <v>5663</v>
      </c>
      <c r="F148" s="36">
        <f>TRUNC(E148*$C148,0)</f>
        <v>181204674</v>
      </c>
      <c r="G148" s="36">
        <v>3661</v>
      </c>
      <c r="H148" s="36">
        <f>TRUNC(G148*$C148,0)</f>
        <v>117144678</v>
      </c>
      <c r="I148" s="36">
        <v>3495</v>
      </c>
      <c r="J148" s="36">
        <f>TRUNC(I148*$C148,0)</f>
        <v>111833010</v>
      </c>
      <c r="K148" s="36">
        <f t="shared" si="10"/>
        <v>12819</v>
      </c>
      <c r="L148" s="36">
        <f t="shared" si="10"/>
        <v>410182362</v>
      </c>
      <c r="M148" s="37"/>
      <c r="N148" s="253"/>
      <c r="O148" s="38"/>
    </row>
    <row r="149" spans="1:15" s="63" customFormat="1" ht="24.95" customHeight="1">
      <c r="A149" s="57" t="s">
        <v>925</v>
      </c>
      <c r="B149" s="58" t="s">
        <v>22</v>
      </c>
      <c r="C149" s="59"/>
      <c r="D149" s="60" t="s">
        <v>22</v>
      </c>
      <c r="E149" s="60"/>
      <c r="F149" s="61">
        <f>TRUNC(F150+F151+F153+F154,0)</f>
        <v>6820183210</v>
      </c>
      <c r="G149" s="60"/>
      <c r="H149" s="61">
        <f>TRUNC(H150+H151+H153+H154,0)</f>
        <v>3612183297</v>
      </c>
      <c r="I149" s="60"/>
      <c r="J149" s="61">
        <f>TRUNC(J150+J151+J153+J154,0)</f>
        <v>4423204293</v>
      </c>
      <c r="K149" s="61">
        <f t="shared" si="10"/>
        <v>0</v>
      </c>
      <c r="L149" s="61">
        <f t="shared" si="10"/>
        <v>14855570800</v>
      </c>
      <c r="M149" s="62"/>
      <c r="N149" s="253"/>
    </row>
    <row r="150" spans="1:15" s="29" customFormat="1" ht="24.95" customHeight="1">
      <c r="A150" s="31" t="s">
        <v>926</v>
      </c>
      <c r="B150" s="32" t="s">
        <v>927</v>
      </c>
      <c r="C150" s="33">
        <v>86936</v>
      </c>
      <c r="D150" s="34" t="s">
        <v>820</v>
      </c>
      <c r="E150" s="36">
        <v>1246</v>
      </c>
      <c r="F150" s="36">
        <f>TRUNC(E150*$C150,0)</f>
        <v>108322256</v>
      </c>
      <c r="G150" s="36">
        <v>492</v>
      </c>
      <c r="H150" s="36">
        <f>TRUNC(G150*$C150,0)</f>
        <v>42772512</v>
      </c>
      <c r="I150" s="36">
        <v>658</v>
      </c>
      <c r="J150" s="36">
        <f>TRUNC(I150*$C150,0)</f>
        <v>57203888</v>
      </c>
      <c r="K150" s="36">
        <f t="shared" si="10"/>
        <v>2396</v>
      </c>
      <c r="L150" s="36">
        <f t="shared" si="10"/>
        <v>208298656</v>
      </c>
      <c r="M150" s="37"/>
      <c r="N150" s="253"/>
      <c r="O150" s="38"/>
    </row>
    <row r="151" spans="1:15" s="29" customFormat="1" ht="24.95" customHeight="1">
      <c r="A151" s="31" t="s">
        <v>928</v>
      </c>
      <c r="B151" s="32" t="s">
        <v>929</v>
      </c>
      <c r="C151" s="33">
        <v>1309103</v>
      </c>
      <c r="D151" s="34" t="s">
        <v>820</v>
      </c>
      <c r="E151" s="36">
        <v>950</v>
      </c>
      <c r="F151" s="36">
        <f>TRUNC(E151*$C151,0)</f>
        <v>1243647850</v>
      </c>
      <c r="G151" s="36">
        <v>379</v>
      </c>
      <c r="H151" s="36">
        <f>TRUNC(G151*$C151,0)</f>
        <v>496150037</v>
      </c>
      <c r="I151" s="36">
        <v>499</v>
      </c>
      <c r="J151" s="36">
        <f>TRUNC(I151*$C151,0)</f>
        <v>653242397</v>
      </c>
      <c r="K151" s="36">
        <f t="shared" si="10"/>
        <v>1828</v>
      </c>
      <c r="L151" s="36">
        <f t="shared" si="10"/>
        <v>2393040284</v>
      </c>
      <c r="M151" s="37"/>
      <c r="N151" s="253"/>
      <c r="O151" s="38"/>
    </row>
    <row r="152" spans="1:15" s="29" customFormat="1" ht="24.95" customHeight="1">
      <c r="A152" s="31" t="s">
        <v>930</v>
      </c>
      <c r="B152" s="32" t="s">
        <v>22</v>
      </c>
      <c r="C152" s="33"/>
      <c r="D152" s="34" t="s">
        <v>22</v>
      </c>
      <c r="E152" s="34"/>
      <c r="F152" s="36">
        <f>TRUNC(F153+F154,0)</f>
        <v>5468213104</v>
      </c>
      <c r="G152" s="34"/>
      <c r="H152" s="36">
        <f>TRUNC(H153+H154,0)</f>
        <v>3073260748</v>
      </c>
      <c r="I152" s="34"/>
      <c r="J152" s="36">
        <f>TRUNC(J153+J154,0)</f>
        <v>3712758008</v>
      </c>
      <c r="K152" s="36">
        <f t="shared" si="10"/>
        <v>0</v>
      </c>
      <c r="L152" s="36">
        <f t="shared" si="10"/>
        <v>12254231860</v>
      </c>
      <c r="M152" s="37"/>
      <c r="N152" s="253"/>
    </row>
    <row r="153" spans="1:15" s="29" customFormat="1" ht="24.95" customHeight="1">
      <c r="A153" s="31" t="s">
        <v>931</v>
      </c>
      <c r="B153" s="32" t="s">
        <v>932</v>
      </c>
      <c r="C153" s="33">
        <v>1466320</v>
      </c>
      <c r="D153" s="34" t="s">
        <v>815</v>
      </c>
      <c r="E153" s="36">
        <v>308</v>
      </c>
      <c r="F153" s="36">
        <f>TRUNC(E153*$C153,0)</f>
        <v>451626560</v>
      </c>
      <c r="G153" s="36">
        <v>362</v>
      </c>
      <c r="H153" s="36">
        <f>TRUNC(G153*$C153,0)</f>
        <v>530807840</v>
      </c>
      <c r="I153" s="36">
        <v>249</v>
      </c>
      <c r="J153" s="36">
        <f>TRUNC(I153*$C153,0)</f>
        <v>365113680</v>
      </c>
      <c r="K153" s="36">
        <f t="shared" si="10"/>
        <v>919</v>
      </c>
      <c r="L153" s="36">
        <f t="shared" si="10"/>
        <v>1347548080</v>
      </c>
      <c r="M153" s="37"/>
      <c r="N153" s="253"/>
      <c r="O153" s="38"/>
    </row>
    <row r="154" spans="1:15" s="29" customFormat="1" ht="24.95" customHeight="1">
      <c r="A154" s="31" t="s">
        <v>933</v>
      </c>
      <c r="B154" s="32" t="s">
        <v>934</v>
      </c>
      <c r="C154" s="33">
        <v>4879948</v>
      </c>
      <c r="D154" s="34" t="s">
        <v>820</v>
      </c>
      <c r="E154" s="36">
        <v>1028</v>
      </c>
      <c r="F154" s="36">
        <f>TRUNC(E154*$C154,0)</f>
        <v>5016586544</v>
      </c>
      <c r="G154" s="36">
        <v>521</v>
      </c>
      <c r="H154" s="36">
        <f>TRUNC(G154*$C154,0)</f>
        <v>2542452908</v>
      </c>
      <c r="I154" s="36">
        <v>686</v>
      </c>
      <c r="J154" s="36">
        <f>TRUNC(I154*$C154,0)</f>
        <v>3347644328</v>
      </c>
      <c r="K154" s="36">
        <f t="shared" si="10"/>
        <v>2235</v>
      </c>
      <c r="L154" s="36">
        <f t="shared" si="10"/>
        <v>10906683780</v>
      </c>
      <c r="M154" s="37"/>
      <c r="N154" s="253"/>
      <c r="O154" s="38"/>
    </row>
    <row r="155" spans="1:15" s="63" customFormat="1" ht="24.95" customHeight="1">
      <c r="A155" s="57" t="s">
        <v>935</v>
      </c>
      <c r="B155" s="58" t="s">
        <v>22</v>
      </c>
      <c r="C155" s="59"/>
      <c r="D155" s="60" t="s">
        <v>22</v>
      </c>
      <c r="E155" s="60"/>
      <c r="F155" s="61">
        <f>TRUNC(F156+F157+F158,0)</f>
        <v>655210465</v>
      </c>
      <c r="G155" s="60"/>
      <c r="H155" s="61">
        <f>TRUNC(H156+H157+H158,0)</f>
        <v>388052369</v>
      </c>
      <c r="I155" s="60"/>
      <c r="J155" s="61">
        <f>TRUNC(J156+J157+J158,0)</f>
        <v>589866114</v>
      </c>
      <c r="K155" s="61">
        <f t="shared" si="10"/>
        <v>0</v>
      </c>
      <c r="L155" s="61">
        <f t="shared" si="10"/>
        <v>1633128948</v>
      </c>
      <c r="M155" s="62"/>
      <c r="N155" s="253"/>
    </row>
    <row r="156" spans="1:15" s="29" customFormat="1" ht="24.95" customHeight="1">
      <c r="A156" s="31" t="s">
        <v>936</v>
      </c>
      <c r="B156" s="32" t="s">
        <v>819</v>
      </c>
      <c r="C156" s="33">
        <v>12390</v>
      </c>
      <c r="D156" s="34" t="s">
        <v>820</v>
      </c>
      <c r="E156" s="36">
        <v>687</v>
      </c>
      <c r="F156" s="36">
        <f>TRUNC(E156*$C156,0)</f>
        <v>8511930</v>
      </c>
      <c r="G156" s="36">
        <v>278</v>
      </c>
      <c r="H156" s="36">
        <f>TRUNC(G156*$C156,0)</f>
        <v>3444420</v>
      </c>
      <c r="I156" s="36">
        <v>357</v>
      </c>
      <c r="J156" s="36">
        <f>TRUNC(I156*$C156,0)</f>
        <v>4423230</v>
      </c>
      <c r="K156" s="36">
        <f t="shared" si="10"/>
        <v>1322</v>
      </c>
      <c r="L156" s="36">
        <f t="shared" si="10"/>
        <v>16379580</v>
      </c>
      <c r="M156" s="37"/>
      <c r="N156" s="253"/>
      <c r="O156" s="38"/>
    </row>
    <row r="157" spans="1:15" s="29" customFormat="1" ht="24.95" customHeight="1">
      <c r="A157" s="31" t="s">
        <v>937</v>
      </c>
      <c r="B157" s="32" t="s">
        <v>819</v>
      </c>
      <c r="C157" s="33">
        <v>6061</v>
      </c>
      <c r="D157" s="34" t="s">
        <v>820</v>
      </c>
      <c r="E157" s="36">
        <v>8923</v>
      </c>
      <c r="F157" s="36">
        <f>TRUNC(E157*$C157,0)</f>
        <v>54082303</v>
      </c>
      <c r="G157" s="36">
        <v>4909</v>
      </c>
      <c r="H157" s="36">
        <f>TRUNC(G157*$C157,0)</f>
        <v>29753449</v>
      </c>
      <c r="I157" s="36">
        <v>8476</v>
      </c>
      <c r="J157" s="36">
        <f>TRUNC(I157*$C157,0)</f>
        <v>51373036</v>
      </c>
      <c r="K157" s="36">
        <f t="shared" si="10"/>
        <v>22308</v>
      </c>
      <c r="L157" s="36">
        <f t="shared" si="10"/>
        <v>135208788</v>
      </c>
      <c r="M157" s="37"/>
      <c r="N157" s="253"/>
      <c r="O157" s="38"/>
    </row>
    <row r="158" spans="1:15" s="29" customFormat="1" ht="24.95" customHeight="1">
      <c r="A158" s="31" t="s">
        <v>938</v>
      </c>
      <c r="B158" s="32" t="s">
        <v>819</v>
      </c>
      <c r="C158" s="33">
        <v>36868</v>
      </c>
      <c r="D158" s="34" t="s">
        <v>820</v>
      </c>
      <c r="E158" s="36">
        <v>16074</v>
      </c>
      <c r="F158" s="36">
        <f>TRUNC(E158*$C158,0)</f>
        <v>592616232</v>
      </c>
      <c r="G158" s="36">
        <v>9625</v>
      </c>
      <c r="H158" s="36">
        <f>TRUNC(G158*$C158,0)</f>
        <v>354854500</v>
      </c>
      <c r="I158" s="36">
        <v>14486</v>
      </c>
      <c r="J158" s="36">
        <f>TRUNC(I158*$C158,0)</f>
        <v>534069848</v>
      </c>
      <c r="K158" s="36">
        <f t="shared" si="10"/>
        <v>40185</v>
      </c>
      <c r="L158" s="36">
        <f t="shared" si="10"/>
        <v>1481540580</v>
      </c>
      <c r="M158" s="37"/>
      <c r="N158" s="253"/>
      <c r="O158" s="38"/>
    </row>
    <row r="159" spans="1:15" s="63" customFormat="1" ht="24.95" customHeight="1">
      <c r="A159" s="57" t="s">
        <v>939</v>
      </c>
      <c r="B159" s="58" t="s">
        <v>22</v>
      </c>
      <c r="C159" s="59"/>
      <c r="D159" s="60" t="s">
        <v>22</v>
      </c>
      <c r="E159" s="60"/>
      <c r="F159" s="61">
        <f>TRUNC(F160,0)</f>
        <v>118258800</v>
      </c>
      <c r="G159" s="60"/>
      <c r="H159" s="61">
        <f>TRUNC(H160,0)</f>
        <v>42110400</v>
      </c>
      <c r="I159" s="60"/>
      <c r="J159" s="61">
        <f>TRUNC(J160,0)</f>
        <v>40027200</v>
      </c>
      <c r="K159" s="61">
        <f t="shared" si="10"/>
        <v>0</v>
      </c>
      <c r="L159" s="61">
        <f t="shared" si="10"/>
        <v>200396400</v>
      </c>
      <c r="M159" s="62"/>
      <c r="N159" s="253"/>
    </row>
    <row r="160" spans="1:15" s="29" customFormat="1" ht="24.95" customHeight="1">
      <c r="A160" s="31" t="s">
        <v>940</v>
      </c>
      <c r="B160" s="32" t="s">
        <v>941</v>
      </c>
      <c r="C160" s="33">
        <v>37200</v>
      </c>
      <c r="D160" s="34" t="s">
        <v>820</v>
      </c>
      <c r="E160" s="36">
        <v>3179</v>
      </c>
      <c r="F160" s="36">
        <f>TRUNC(E160*$C160,0)</f>
        <v>118258800</v>
      </c>
      <c r="G160" s="36">
        <v>1132</v>
      </c>
      <c r="H160" s="36">
        <f>TRUNC(G160*$C160,0)</f>
        <v>42110400</v>
      </c>
      <c r="I160" s="36">
        <v>1076</v>
      </c>
      <c r="J160" s="36">
        <f>TRUNC(I160*$C160,0)</f>
        <v>40027200</v>
      </c>
      <c r="K160" s="36">
        <f t="shared" si="10"/>
        <v>5387</v>
      </c>
      <c r="L160" s="36">
        <f t="shared" si="10"/>
        <v>200396400</v>
      </c>
      <c r="M160" s="37"/>
      <c r="N160" s="253"/>
      <c r="O160" s="38"/>
    </row>
    <row r="161" spans="1:15" s="63" customFormat="1" ht="24.95" customHeight="1">
      <c r="A161" s="57" t="s">
        <v>942</v>
      </c>
      <c r="B161" s="58" t="s">
        <v>22</v>
      </c>
      <c r="C161" s="59"/>
      <c r="D161" s="60" t="s">
        <v>22</v>
      </c>
      <c r="E161" s="60"/>
      <c r="F161" s="61">
        <f>TRUNC(F163+F164+F165+F166+F167,0)</f>
        <v>909638751</v>
      </c>
      <c r="G161" s="60"/>
      <c r="H161" s="61">
        <f>TRUNC(H163+H164+H165+H166+H167,0)</f>
        <v>1633893083</v>
      </c>
      <c r="I161" s="60"/>
      <c r="J161" s="61">
        <f>TRUNC(J163+J164+J165+J166+J167,0)</f>
        <v>62392882</v>
      </c>
      <c r="K161" s="61">
        <f t="shared" si="10"/>
        <v>0</v>
      </c>
      <c r="L161" s="61">
        <f t="shared" si="10"/>
        <v>2605924716</v>
      </c>
      <c r="M161" s="62"/>
      <c r="N161" s="253"/>
    </row>
    <row r="162" spans="1:15" s="29" customFormat="1" ht="24.95" customHeight="1">
      <c r="A162" s="31" t="s">
        <v>943</v>
      </c>
      <c r="B162" s="32" t="s">
        <v>22</v>
      </c>
      <c r="C162" s="33"/>
      <c r="D162" s="34" t="s">
        <v>22</v>
      </c>
      <c r="E162" s="34"/>
      <c r="F162" s="36">
        <f>TRUNC(F163+F164,0)</f>
        <v>51377067</v>
      </c>
      <c r="G162" s="34"/>
      <c r="H162" s="36">
        <f>TRUNC(H163+H164,0)</f>
        <v>385842709</v>
      </c>
      <c r="I162" s="34"/>
      <c r="J162" s="36">
        <f>TRUNC(J163+J164,0)</f>
        <v>0</v>
      </c>
      <c r="K162" s="36">
        <f t="shared" si="10"/>
        <v>0</v>
      </c>
      <c r="L162" s="36">
        <f t="shared" si="10"/>
        <v>437219776</v>
      </c>
      <c r="M162" s="37"/>
      <c r="N162" s="253"/>
    </row>
    <row r="163" spans="1:15" s="29" customFormat="1" ht="24.95" customHeight="1">
      <c r="A163" s="31" t="s">
        <v>944</v>
      </c>
      <c r="B163" s="32" t="s">
        <v>945</v>
      </c>
      <c r="C163" s="33">
        <v>93583</v>
      </c>
      <c r="D163" s="34" t="s">
        <v>831</v>
      </c>
      <c r="E163" s="36">
        <v>169</v>
      </c>
      <c r="F163" s="36">
        <f>TRUNC(E163*$C163,0)</f>
        <v>15815527</v>
      </c>
      <c r="G163" s="36">
        <v>1783</v>
      </c>
      <c r="H163" s="36">
        <f>TRUNC(G163*$C163,0)</f>
        <v>166858489</v>
      </c>
      <c r="I163" s="36">
        <v>0</v>
      </c>
      <c r="J163" s="36">
        <f>TRUNC(I163*$C163,0)</f>
        <v>0</v>
      </c>
      <c r="K163" s="36">
        <f t="shared" si="10"/>
        <v>1952</v>
      </c>
      <c r="L163" s="36">
        <f t="shared" si="10"/>
        <v>182674016</v>
      </c>
      <c r="M163" s="37"/>
      <c r="N163" s="253"/>
      <c r="O163" s="38"/>
    </row>
    <row r="164" spans="1:15" s="29" customFormat="1" ht="24.95" customHeight="1">
      <c r="A164" s="31" t="s">
        <v>946</v>
      </c>
      <c r="B164" s="32" t="s">
        <v>826</v>
      </c>
      <c r="C164" s="33">
        <v>93583</v>
      </c>
      <c r="D164" s="34" t="s">
        <v>831</v>
      </c>
      <c r="E164" s="36">
        <v>380</v>
      </c>
      <c r="F164" s="36">
        <f>TRUNC(E164*$C164,0)</f>
        <v>35561540</v>
      </c>
      <c r="G164" s="36">
        <v>2340</v>
      </c>
      <c r="H164" s="36">
        <f>TRUNC(G164*$C164,0)</f>
        <v>218984220</v>
      </c>
      <c r="I164" s="36">
        <v>0</v>
      </c>
      <c r="J164" s="36">
        <f>TRUNC(I164*$C164,0)</f>
        <v>0</v>
      </c>
      <c r="K164" s="36">
        <f t="shared" si="10"/>
        <v>2720</v>
      </c>
      <c r="L164" s="36">
        <f t="shared" si="10"/>
        <v>254545760</v>
      </c>
      <c r="M164" s="37"/>
      <c r="N164" s="253"/>
      <c r="O164" s="38"/>
    </row>
    <row r="165" spans="1:15" s="29" customFormat="1" ht="24.95" customHeight="1">
      <c r="A165" s="31" t="s">
        <v>947</v>
      </c>
      <c r="B165" s="32" t="s">
        <v>948</v>
      </c>
      <c r="C165" s="33">
        <v>26388</v>
      </c>
      <c r="D165" s="34" t="s">
        <v>847</v>
      </c>
      <c r="E165" s="36">
        <v>7347</v>
      </c>
      <c r="F165" s="36">
        <f>TRUNC(E165*$C165,0)</f>
        <v>193872636</v>
      </c>
      <c r="G165" s="36">
        <v>9062</v>
      </c>
      <c r="H165" s="36">
        <f>TRUNC(G165*$C165,0)</f>
        <v>239128056</v>
      </c>
      <c r="I165" s="36">
        <v>203</v>
      </c>
      <c r="J165" s="36">
        <f>TRUNC(I165*$C165,0)</f>
        <v>5356764</v>
      </c>
      <c r="K165" s="36">
        <f t="shared" si="10"/>
        <v>16612</v>
      </c>
      <c r="L165" s="36">
        <f t="shared" si="10"/>
        <v>438357456</v>
      </c>
      <c r="M165" s="37"/>
      <c r="N165" s="253"/>
      <c r="O165" s="38"/>
    </row>
    <row r="166" spans="1:15" s="29" customFormat="1" ht="24.95" customHeight="1">
      <c r="A166" s="31" t="s">
        <v>949</v>
      </c>
      <c r="B166" s="32" t="s">
        <v>950</v>
      </c>
      <c r="C166" s="33">
        <v>12842</v>
      </c>
      <c r="D166" s="34" t="s">
        <v>847</v>
      </c>
      <c r="E166" s="36">
        <v>8589</v>
      </c>
      <c r="F166" s="36">
        <f>TRUNC(E166*$C166,0)</f>
        <v>110299938</v>
      </c>
      <c r="G166" s="36">
        <v>12134</v>
      </c>
      <c r="H166" s="36">
        <f>TRUNC(G166*$C166,0)</f>
        <v>155824828</v>
      </c>
      <c r="I166" s="36">
        <v>284</v>
      </c>
      <c r="J166" s="36">
        <f>TRUNC(I166*$C166,0)</f>
        <v>3647128</v>
      </c>
      <c r="K166" s="36">
        <f t="shared" si="10"/>
        <v>21007</v>
      </c>
      <c r="L166" s="36">
        <f t="shared" si="10"/>
        <v>269771894</v>
      </c>
      <c r="M166" s="37"/>
      <c r="N166" s="253"/>
      <c r="O166" s="38"/>
    </row>
    <row r="167" spans="1:15" s="29" customFormat="1" ht="24.95" customHeight="1">
      <c r="A167" s="31" t="s">
        <v>951</v>
      </c>
      <c r="B167" s="32" t="s">
        <v>952</v>
      </c>
      <c r="C167" s="33">
        <v>37545</v>
      </c>
      <c r="D167" s="34" t="s">
        <v>847</v>
      </c>
      <c r="E167" s="36">
        <v>14758</v>
      </c>
      <c r="F167" s="36">
        <f>TRUNC(E167*$C167,0)</f>
        <v>554089110</v>
      </c>
      <c r="G167" s="36">
        <v>22722</v>
      </c>
      <c r="H167" s="36">
        <f>TRUNC(G167*$C167,0)</f>
        <v>853097490</v>
      </c>
      <c r="I167" s="36">
        <v>1422</v>
      </c>
      <c r="J167" s="36">
        <f>TRUNC(I167*$C167,0)</f>
        <v>53388990</v>
      </c>
      <c r="K167" s="36">
        <f t="shared" si="10"/>
        <v>38902</v>
      </c>
      <c r="L167" s="36">
        <f t="shared" si="10"/>
        <v>1460575590</v>
      </c>
      <c r="M167" s="37"/>
      <c r="N167" s="253"/>
      <c r="O167" s="38"/>
    </row>
    <row r="168" spans="1:15" s="63" customFormat="1" ht="24.95" customHeight="1">
      <c r="A168" s="57" t="s">
        <v>953</v>
      </c>
      <c r="B168" s="58" t="s">
        <v>22</v>
      </c>
      <c r="C168" s="59"/>
      <c r="D168" s="60" t="s">
        <v>22</v>
      </c>
      <c r="E168" s="60"/>
      <c r="F168" s="61">
        <f>TRUNC(F169+F170+F171,0)</f>
        <v>394197581</v>
      </c>
      <c r="G168" s="60"/>
      <c r="H168" s="61">
        <f>TRUNC(H169+H170+H171,0)</f>
        <v>65718421</v>
      </c>
      <c r="I168" s="60"/>
      <c r="J168" s="61">
        <f>TRUNC(J169+J170+J171,0)</f>
        <v>125873347</v>
      </c>
      <c r="K168" s="61">
        <f t="shared" si="10"/>
        <v>0</v>
      </c>
      <c r="L168" s="61">
        <f t="shared" si="10"/>
        <v>585789349</v>
      </c>
      <c r="M168" s="62"/>
      <c r="N168" s="253"/>
    </row>
    <row r="169" spans="1:15" s="29" customFormat="1" ht="24.95" customHeight="1">
      <c r="A169" s="31" t="s">
        <v>954</v>
      </c>
      <c r="B169" s="32" t="s">
        <v>893</v>
      </c>
      <c r="C169" s="33">
        <v>26388</v>
      </c>
      <c r="D169" s="34" t="s">
        <v>831</v>
      </c>
      <c r="E169" s="36">
        <v>1197</v>
      </c>
      <c r="F169" s="36">
        <f>TRUNC(E169*$C169,0)</f>
        <v>31586436</v>
      </c>
      <c r="G169" s="36">
        <v>194</v>
      </c>
      <c r="H169" s="36">
        <f>TRUNC(G169*$C169,0)</f>
        <v>5119272</v>
      </c>
      <c r="I169" s="36">
        <v>271</v>
      </c>
      <c r="J169" s="36">
        <f>TRUNC(I169*$C169,0)</f>
        <v>7151148</v>
      </c>
      <c r="K169" s="36">
        <f t="shared" si="10"/>
        <v>1662</v>
      </c>
      <c r="L169" s="36">
        <f t="shared" si="10"/>
        <v>43856856</v>
      </c>
      <c r="M169" s="37"/>
      <c r="N169" s="253"/>
      <c r="O169" s="38"/>
    </row>
    <row r="170" spans="1:15" s="29" customFormat="1" ht="24.95" customHeight="1">
      <c r="A170" s="31" t="s">
        <v>955</v>
      </c>
      <c r="B170" s="32" t="s">
        <v>895</v>
      </c>
      <c r="C170" s="33">
        <v>12842</v>
      </c>
      <c r="D170" s="34" t="s">
        <v>831</v>
      </c>
      <c r="E170" s="36">
        <v>3985</v>
      </c>
      <c r="F170" s="36">
        <f>TRUNC(E170*$C170,0)</f>
        <v>51175370</v>
      </c>
      <c r="G170" s="36">
        <v>617</v>
      </c>
      <c r="H170" s="36">
        <f>TRUNC(G170*$C170,0)</f>
        <v>7923514</v>
      </c>
      <c r="I170" s="36">
        <v>857</v>
      </c>
      <c r="J170" s="36">
        <f>TRUNC(I170*$C170,0)</f>
        <v>11005594</v>
      </c>
      <c r="K170" s="36">
        <f t="shared" si="10"/>
        <v>5459</v>
      </c>
      <c r="L170" s="36">
        <f t="shared" si="10"/>
        <v>70104478</v>
      </c>
      <c r="M170" s="37"/>
      <c r="N170" s="253"/>
      <c r="O170" s="38"/>
    </row>
    <row r="171" spans="1:15" s="29" customFormat="1" ht="24.95" customHeight="1">
      <c r="A171" s="31" t="s">
        <v>956</v>
      </c>
      <c r="B171" s="32" t="s">
        <v>897</v>
      </c>
      <c r="C171" s="33">
        <v>37545</v>
      </c>
      <c r="D171" s="34" t="s">
        <v>831</v>
      </c>
      <c r="E171" s="36">
        <v>8295</v>
      </c>
      <c r="F171" s="36">
        <f>TRUNC(E171*$C171,0)</f>
        <v>311435775</v>
      </c>
      <c r="G171" s="36">
        <v>1403</v>
      </c>
      <c r="H171" s="36">
        <f>TRUNC(G171*$C171,0)</f>
        <v>52675635</v>
      </c>
      <c r="I171" s="36">
        <v>2869</v>
      </c>
      <c r="J171" s="36">
        <f>TRUNC(I171*$C171,0)</f>
        <v>107716605</v>
      </c>
      <c r="K171" s="36">
        <f t="shared" si="10"/>
        <v>12567</v>
      </c>
      <c r="L171" s="36">
        <f t="shared" si="10"/>
        <v>471828015</v>
      </c>
      <c r="M171" s="37"/>
      <c r="N171" s="253"/>
      <c r="O171" s="38"/>
    </row>
    <row r="172" spans="1:15" s="63" customFormat="1" ht="24.95" customHeight="1">
      <c r="A172" s="57" t="s">
        <v>957</v>
      </c>
      <c r="B172" s="58" t="s">
        <v>22</v>
      </c>
      <c r="C172" s="59"/>
      <c r="D172" s="60" t="s">
        <v>22</v>
      </c>
      <c r="E172" s="60"/>
      <c r="F172" s="61">
        <f>TRUNC(F173+F174,0)</f>
        <v>28997067</v>
      </c>
      <c r="G172" s="60"/>
      <c r="H172" s="61">
        <f>TRUNC(H173+H174,0)</f>
        <v>4987146</v>
      </c>
      <c r="I172" s="60"/>
      <c r="J172" s="61">
        <f>TRUNC(J173+J174,0)</f>
        <v>0</v>
      </c>
      <c r="K172" s="61">
        <f t="shared" si="10"/>
        <v>0</v>
      </c>
      <c r="L172" s="61">
        <f t="shared" si="10"/>
        <v>33984213</v>
      </c>
      <c r="M172" s="62"/>
      <c r="N172" s="253"/>
    </row>
    <row r="173" spans="1:15" s="29" customFormat="1" ht="24.95" customHeight="1">
      <c r="A173" s="31" t="s">
        <v>958</v>
      </c>
      <c r="B173" s="32" t="s">
        <v>959</v>
      </c>
      <c r="C173" s="33">
        <v>321</v>
      </c>
      <c r="D173" s="34" t="s">
        <v>960</v>
      </c>
      <c r="E173" s="36">
        <v>55037</v>
      </c>
      <c r="F173" s="36">
        <f>TRUNC(E173*$C173,0)</f>
        <v>17666877</v>
      </c>
      <c r="G173" s="36">
        <v>11796</v>
      </c>
      <c r="H173" s="36">
        <f>TRUNC(G173*$C173,0)</f>
        <v>3786516</v>
      </c>
      <c r="I173" s="36">
        <v>0</v>
      </c>
      <c r="J173" s="36">
        <f>TRUNC(I173*$C173,0)</f>
        <v>0</v>
      </c>
      <c r="K173" s="36">
        <f t="shared" si="10"/>
        <v>66833</v>
      </c>
      <c r="L173" s="36">
        <f t="shared" si="10"/>
        <v>21453393</v>
      </c>
      <c r="M173" s="37"/>
      <c r="N173" s="253"/>
      <c r="O173" s="38"/>
    </row>
    <row r="174" spans="1:15" s="29" customFormat="1" ht="24.95" customHeight="1">
      <c r="A174" s="31" t="s">
        <v>961</v>
      </c>
      <c r="B174" s="32" t="s">
        <v>962</v>
      </c>
      <c r="C174" s="33">
        <v>155</v>
      </c>
      <c r="D174" s="34" t="s">
        <v>960</v>
      </c>
      <c r="E174" s="36">
        <v>73098</v>
      </c>
      <c r="F174" s="36">
        <f>TRUNC(E174*$C174,0)</f>
        <v>11330190</v>
      </c>
      <c r="G174" s="36">
        <v>7746</v>
      </c>
      <c r="H174" s="36">
        <f>TRUNC(G174*$C174,0)</f>
        <v>1200630</v>
      </c>
      <c r="I174" s="36">
        <v>0</v>
      </c>
      <c r="J174" s="36">
        <f>TRUNC(I174*$C174,0)</f>
        <v>0</v>
      </c>
      <c r="K174" s="36">
        <f t="shared" si="10"/>
        <v>80844</v>
      </c>
      <c r="L174" s="36">
        <f t="shared" si="10"/>
        <v>12530820</v>
      </c>
      <c r="M174" s="37"/>
      <c r="N174" s="253"/>
      <c r="O174" s="38"/>
    </row>
    <row r="175" spans="1:15" s="63" customFormat="1" ht="24.95" customHeight="1">
      <c r="A175" s="57" t="s">
        <v>963</v>
      </c>
      <c r="B175" s="58" t="s">
        <v>22</v>
      </c>
      <c r="C175" s="59"/>
      <c r="D175" s="60" t="s">
        <v>22</v>
      </c>
      <c r="E175" s="60"/>
      <c r="F175" s="61">
        <f>TRUNC(F176+F177+F178,0)</f>
        <v>6605066</v>
      </c>
      <c r="G175" s="60"/>
      <c r="H175" s="61">
        <f>TRUNC(H176+H177+H178,0)</f>
        <v>107939962</v>
      </c>
      <c r="I175" s="60"/>
      <c r="J175" s="61">
        <f>TRUNC(J176+J177+J178,0)</f>
        <v>465725</v>
      </c>
      <c r="K175" s="61">
        <f t="shared" si="10"/>
        <v>0</v>
      </c>
      <c r="L175" s="61">
        <f t="shared" si="10"/>
        <v>115010753</v>
      </c>
      <c r="M175" s="62"/>
      <c r="N175" s="253"/>
    </row>
    <row r="176" spans="1:15" s="29" customFormat="1" ht="24.95" customHeight="1">
      <c r="A176" s="31" t="s">
        <v>936</v>
      </c>
      <c r="B176" s="32" t="s">
        <v>819</v>
      </c>
      <c r="C176" s="33">
        <v>325</v>
      </c>
      <c r="D176" s="34" t="s">
        <v>820</v>
      </c>
      <c r="E176" s="36">
        <v>687</v>
      </c>
      <c r="F176" s="36">
        <f>TRUNC(E176*$C176,0)</f>
        <v>223275</v>
      </c>
      <c r="G176" s="36">
        <v>278</v>
      </c>
      <c r="H176" s="36">
        <f>TRUNC(G176*$C176,0)</f>
        <v>90350</v>
      </c>
      <c r="I176" s="36">
        <v>357</v>
      </c>
      <c r="J176" s="36">
        <f>TRUNC(I176*$C176,0)</f>
        <v>116025</v>
      </c>
      <c r="K176" s="36">
        <f t="shared" si="10"/>
        <v>1322</v>
      </c>
      <c r="L176" s="36">
        <f t="shared" si="10"/>
        <v>429650</v>
      </c>
      <c r="M176" s="37"/>
      <c r="N176" s="253"/>
      <c r="O176" s="38"/>
    </row>
    <row r="177" spans="1:15" s="29" customFormat="1" ht="24.95" customHeight="1">
      <c r="A177" s="31" t="s">
        <v>964</v>
      </c>
      <c r="B177" s="32" t="s">
        <v>941</v>
      </c>
      <c r="C177" s="33">
        <v>325</v>
      </c>
      <c r="D177" s="34" t="s">
        <v>820</v>
      </c>
      <c r="E177" s="36">
        <v>3179</v>
      </c>
      <c r="F177" s="36">
        <f>TRUNC(E177*$C177,0)</f>
        <v>1033175</v>
      </c>
      <c r="G177" s="36">
        <v>1132</v>
      </c>
      <c r="H177" s="36">
        <f>TRUNC(G177*$C177,0)</f>
        <v>367900</v>
      </c>
      <c r="I177" s="36">
        <v>1076</v>
      </c>
      <c r="J177" s="36">
        <f>TRUNC(I177*$C177,0)</f>
        <v>349700</v>
      </c>
      <c r="K177" s="36">
        <f t="shared" si="10"/>
        <v>5387</v>
      </c>
      <c r="L177" s="36">
        <f t="shared" si="10"/>
        <v>1750775</v>
      </c>
      <c r="M177" s="37"/>
      <c r="N177" s="253"/>
      <c r="O177" s="38"/>
    </row>
    <row r="178" spans="1:15" s="29" customFormat="1" ht="24.95" customHeight="1">
      <c r="A178" s="31" t="s">
        <v>965</v>
      </c>
      <c r="B178" s="32" t="s">
        <v>966</v>
      </c>
      <c r="C178" s="33">
        <v>31837</v>
      </c>
      <c r="D178" s="34" t="s">
        <v>847</v>
      </c>
      <c r="E178" s="36">
        <v>168</v>
      </c>
      <c r="F178" s="36">
        <f>TRUNC(E178*$C178,0)</f>
        <v>5348616</v>
      </c>
      <c r="G178" s="36">
        <v>3376</v>
      </c>
      <c r="H178" s="36">
        <f>TRUNC(G178*$C178,0)</f>
        <v>107481712</v>
      </c>
      <c r="I178" s="36">
        <v>0</v>
      </c>
      <c r="J178" s="36">
        <f>TRUNC(I178*$C178,0)</f>
        <v>0</v>
      </c>
      <c r="K178" s="36">
        <f t="shared" si="10"/>
        <v>3544</v>
      </c>
      <c r="L178" s="36">
        <f t="shared" si="10"/>
        <v>112830328</v>
      </c>
      <c r="M178" s="37"/>
      <c r="N178" s="253"/>
      <c r="O178" s="38"/>
    </row>
    <row r="179" spans="1:15" s="63" customFormat="1" ht="24.95" customHeight="1">
      <c r="A179" s="57" t="s">
        <v>967</v>
      </c>
      <c r="B179" s="58" t="s">
        <v>22</v>
      </c>
      <c r="C179" s="59"/>
      <c r="D179" s="60" t="s">
        <v>22</v>
      </c>
      <c r="E179" s="60"/>
      <c r="F179" s="61">
        <f>TRUNC(F180+F181+F182,0)</f>
        <v>420567285</v>
      </c>
      <c r="G179" s="60"/>
      <c r="H179" s="61">
        <f>TRUNC(H180+H181+H182,0)</f>
        <v>159933048</v>
      </c>
      <c r="I179" s="60"/>
      <c r="J179" s="61">
        <f>TRUNC(J180+J181+J182,0)</f>
        <v>177303978</v>
      </c>
      <c r="K179" s="61">
        <f t="shared" si="10"/>
        <v>0</v>
      </c>
      <c r="L179" s="61">
        <f t="shared" si="10"/>
        <v>757804311</v>
      </c>
      <c r="M179" s="62"/>
      <c r="N179" s="253"/>
    </row>
    <row r="180" spans="1:15" s="29" customFormat="1" ht="24.95" customHeight="1">
      <c r="A180" s="31" t="s">
        <v>968</v>
      </c>
      <c r="B180" s="32" t="s">
        <v>969</v>
      </c>
      <c r="C180" s="33">
        <v>10041</v>
      </c>
      <c r="D180" s="34" t="s">
        <v>815</v>
      </c>
      <c r="E180" s="36">
        <v>34954</v>
      </c>
      <c r="F180" s="36">
        <f>TRUNC(E180*$C180,0)</f>
        <v>350973114</v>
      </c>
      <c r="G180" s="36">
        <v>14176</v>
      </c>
      <c r="H180" s="36">
        <f>TRUNC(G180*$C180,0)</f>
        <v>142341216</v>
      </c>
      <c r="I180" s="36">
        <v>14550</v>
      </c>
      <c r="J180" s="36">
        <f>TRUNC(I180*$C180,0)</f>
        <v>146096550</v>
      </c>
      <c r="K180" s="36">
        <f t="shared" si="10"/>
        <v>63680</v>
      </c>
      <c r="L180" s="36">
        <f t="shared" si="10"/>
        <v>639410880</v>
      </c>
      <c r="M180" s="37"/>
      <c r="N180" s="255" t="s">
        <v>2537</v>
      </c>
      <c r="O180" s="38"/>
    </row>
    <row r="181" spans="1:15" s="29" customFormat="1" ht="24.95" customHeight="1">
      <c r="A181" s="31" t="s">
        <v>970</v>
      </c>
      <c r="B181" s="32" t="s">
        <v>971</v>
      </c>
      <c r="C181" s="33">
        <v>10041</v>
      </c>
      <c r="D181" s="34" t="s">
        <v>815</v>
      </c>
      <c r="E181" s="36">
        <v>4934</v>
      </c>
      <c r="F181" s="36">
        <f>TRUNC(E181*$C181,0)</f>
        <v>49542294</v>
      </c>
      <c r="G181" s="36">
        <v>1064</v>
      </c>
      <c r="H181" s="36">
        <f>TRUNC(G181*$C181,0)</f>
        <v>10683624</v>
      </c>
      <c r="I181" s="36">
        <v>2082</v>
      </c>
      <c r="J181" s="36">
        <f>TRUNC(I181*$C181,0)</f>
        <v>20905362</v>
      </c>
      <c r="K181" s="36">
        <f t="shared" si="10"/>
        <v>8080</v>
      </c>
      <c r="L181" s="36">
        <f t="shared" si="10"/>
        <v>81131280</v>
      </c>
      <c r="M181" s="37"/>
      <c r="N181" s="255" t="s">
        <v>2535</v>
      </c>
      <c r="O181" s="38"/>
    </row>
    <row r="182" spans="1:15" s="29" customFormat="1" ht="24.95" customHeight="1">
      <c r="A182" s="31" t="s">
        <v>972</v>
      </c>
      <c r="B182" s="32" t="s">
        <v>973</v>
      </c>
      <c r="C182" s="33">
        <v>10041</v>
      </c>
      <c r="D182" s="34" t="s">
        <v>815</v>
      </c>
      <c r="E182" s="36">
        <v>1997</v>
      </c>
      <c r="F182" s="36">
        <f>TRUNC(E182*$C182,0)</f>
        <v>20051877</v>
      </c>
      <c r="G182" s="36">
        <v>688</v>
      </c>
      <c r="H182" s="36">
        <f>TRUNC(G182*$C182,0)</f>
        <v>6908208</v>
      </c>
      <c r="I182" s="36">
        <v>1026</v>
      </c>
      <c r="J182" s="36">
        <f>TRUNC(I182*$C182,0)</f>
        <v>10302066</v>
      </c>
      <c r="K182" s="36">
        <f t="shared" si="10"/>
        <v>3711</v>
      </c>
      <c r="L182" s="36">
        <f t="shared" si="10"/>
        <v>37262151</v>
      </c>
      <c r="M182" s="37"/>
      <c r="N182" s="255" t="s">
        <v>2536</v>
      </c>
      <c r="O182" s="38"/>
    </row>
    <row r="183" spans="1:15" s="63" customFormat="1" ht="24.95" customHeight="1">
      <c r="A183" s="57" t="s">
        <v>974</v>
      </c>
      <c r="B183" s="58" t="s">
        <v>975</v>
      </c>
      <c r="C183" s="59"/>
      <c r="D183" s="60" t="s">
        <v>22</v>
      </c>
      <c r="E183" s="60"/>
      <c r="F183" s="61">
        <f>TRUNC(F184+F185+F186,0)</f>
        <v>2396748</v>
      </c>
      <c r="G183" s="60"/>
      <c r="H183" s="61">
        <f>TRUNC(H184+H185+H186,0)</f>
        <v>26652772</v>
      </c>
      <c r="I183" s="60"/>
      <c r="J183" s="61">
        <f>TRUNC(J184+J185+J186,0)</f>
        <v>404106</v>
      </c>
      <c r="K183" s="61">
        <f t="shared" si="10"/>
        <v>0</v>
      </c>
      <c r="L183" s="61">
        <f t="shared" si="10"/>
        <v>29453626</v>
      </c>
      <c r="M183" s="62"/>
      <c r="N183" s="253"/>
    </row>
    <row r="184" spans="1:15" s="29" customFormat="1" ht="24.95" customHeight="1">
      <c r="A184" s="31" t="s">
        <v>936</v>
      </c>
      <c r="B184" s="32" t="s">
        <v>819</v>
      </c>
      <c r="C184" s="33">
        <v>282</v>
      </c>
      <c r="D184" s="34" t="s">
        <v>820</v>
      </c>
      <c r="E184" s="36">
        <v>687</v>
      </c>
      <c r="F184" s="36">
        <f>TRUNC(E184*$C184,0)</f>
        <v>193734</v>
      </c>
      <c r="G184" s="36">
        <v>278</v>
      </c>
      <c r="H184" s="36">
        <f>TRUNC(G184*$C184,0)</f>
        <v>78396</v>
      </c>
      <c r="I184" s="36">
        <v>357</v>
      </c>
      <c r="J184" s="36">
        <f>TRUNC(I184*$C184,0)</f>
        <v>100674</v>
      </c>
      <c r="K184" s="36">
        <f t="shared" si="10"/>
        <v>1322</v>
      </c>
      <c r="L184" s="36">
        <f t="shared" si="10"/>
        <v>372804</v>
      </c>
      <c r="M184" s="37"/>
      <c r="N184" s="253"/>
      <c r="O184" s="38"/>
    </row>
    <row r="185" spans="1:15" s="29" customFormat="1" ht="24.95" customHeight="1">
      <c r="A185" s="31" t="s">
        <v>964</v>
      </c>
      <c r="B185" s="32" t="s">
        <v>941</v>
      </c>
      <c r="C185" s="33">
        <v>282</v>
      </c>
      <c r="D185" s="34" t="s">
        <v>820</v>
      </c>
      <c r="E185" s="36">
        <v>3179</v>
      </c>
      <c r="F185" s="36">
        <f>TRUNC(E185*$C185,0)</f>
        <v>896478</v>
      </c>
      <c r="G185" s="36">
        <v>1132</v>
      </c>
      <c r="H185" s="36">
        <f>TRUNC(G185*$C185,0)</f>
        <v>319224</v>
      </c>
      <c r="I185" s="36">
        <v>1076</v>
      </c>
      <c r="J185" s="36">
        <f>TRUNC(I185*$C185,0)</f>
        <v>303432</v>
      </c>
      <c r="K185" s="36">
        <f t="shared" si="10"/>
        <v>5387</v>
      </c>
      <c r="L185" s="36">
        <f t="shared" si="10"/>
        <v>1519134</v>
      </c>
      <c r="M185" s="37"/>
      <c r="N185" s="253"/>
      <c r="O185" s="38"/>
    </row>
    <row r="186" spans="1:15" s="29" customFormat="1" ht="24.95" customHeight="1">
      <c r="A186" s="31" t="s">
        <v>965</v>
      </c>
      <c r="B186" s="32" t="s">
        <v>966</v>
      </c>
      <c r="C186" s="33">
        <v>7777</v>
      </c>
      <c r="D186" s="34" t="s">
        <v>847</v>
      </c>
      <c r="E186" s="36">
        <v>168</v>
      </c>
      <c r="F186" s="36">
        <f>TRUNC(E186*$C186,0)</f>
        <v>1306536</v>
      </c>
      <c r="G186" s="36">
        <v>3376</v>
      </c>
      <c r="H186" s="36">
        <f>TRUNC(G186*$C186,0)</f>
        <v>26255152</v>
      </c>
      <c r="I186" s="36">
        <v>0</v>
      </c>
      <c r="J186" s="36">
        <f>TRUNC(I186*$C186,0)</f>
        <v>0</v>
      </c>
      <c r="K186" s="36">
        <f t="shared" si="10"/>
        <v>3544</v>
      </c>
      <c r="L186" s="36">
        <f t="shared" si="10"/>
        <v>27561688</v>
      </c>
      <c r="M186" s="37"/>
      <c r="N186" s="253"/>
      <c r="O186" s="38"/>
    </row>
    <row r="187" spans="1:15" s="63" customFormat="1" ht="24.95" customHeight="1">
      <c r="A187" s="57" t="s">
        <v>976</v>
      </c>
      <c r="B187" s="58" t="s">
        <v>975</v>
      </c>
      <c r="C187" s="59"/>
      <c r="D187" s="60" t="s">
        <v>22</v>
      </c>
      <c r="E187" s="60"/>
      <c r="F187" s="61">
        <f>TRUNC(F188+F189+F190,0)</f>
        <v>3111528</v>
      </c>
      <c r="G187" s="60"/>
      <c r="H187" s="61">
        <f>TRUNC(H188+H189+H190,0)</f>
        <v>36897424</v>
      </c>
      <c r="I187" s="60"/>
      <c r="J187" s="61">
        <f>TRUNC(J188+J189+J190,0)</f>
        <v>481488</v>
      </c>
      <c r="K187" s="61">
        <f t="shared" si="10"/>
        <v>0</v>
      </c>
      <c r="L187" s="61">
        <f t="shared" si="10"/>
        <v>40490440</v>
      </c>
      <c r="M187" s="62"/>
      <c r="N187" s="253"/>
    </row>
    <row r="188" spans="1:15" s="29" customFormat="1" ht="24.95" customHeight="1">
      <c r="A188" s="31" t="s">
        <v>936</v>
      </c>
      <c r="B188" s="32" t="s">
        <v>819</v>
      </c>
      <c r="C188" s="33">
        <v>336</v>
      </c>
      <c r="D188" s="34" t="s">
        <v>820</v>
      </c>
      <c r="E188" s="36">
        <v>687</v>
      </c>
      <c r="F188" s="36">
        <f>TRUNC(E188*$C188,0)</f>
        <v>230832</v>
      </c>
      <c r="G188" s="36">
        <v>278</v>
      </c>
      <c r="H188" s="36">
        <f>TRUNC(G188*$C188,0)</f>
        <v>93408</v>
      </c>
      <c r="I188" s="36">
        <v>357</v>
      </c>
      <c r="J188" s="36">
        <f>TRUNC(I188*$C188,0)</f>
        <v>119952</v>
      </c>
      <c r="K188" s="36">
        <f t="shared" si="10"/>
        <v>1322</v>
      </c>
      <c r="L188" s="36">
        <f t="shared" si="10"/>
        <v>444192</v>
      </c>
      <c r="M188" s="37"/>
      <c r="N188" s="253"/>
      <c r="O188" s="38"/>
    </row>
    <row r="189" spans="1:15" s="29" customFormat="1" ht="24.95" customHeight="1">
      <c r="A189" s="31" t="s">
        <v>964</v>
      </c>
      <c r="B189" s="32" t="s">
        <v>941</v>
      </c>
      <c r="C189" s="33">
        <v>336</v>
      </c>
      <c r="D189" s="34" t="s">
        <v>820</v>
      </c>
      <c r="E189" s="36">
        <v>3179</v>
      </c>
      <c r="F189" s="36">
        <f>TRUNC(E189*$C189,0)</f>
        <v>1068144</v>
      </c>
      <c r="G189" s="36">
        <v>1132</v>
      </c>
      <c r="H189" s="36">
        <f>TRUNC(G189*$C189,0)</f>
        <v>380352</v>
      </c>
      <c r="I189" s="36">
        <v>1076</v>
      </c>
      <c r="J189" s="36">
        <f>TRUNC(I189*$C189,0)</f>
        <v>361536</v>
      </c>
      <c r="K189" s="36">
        <f t="shared" si="10"/>
        <v>5387</v>
      </c>
      <c r="L189" s="36">
        <f t="shared" si="10"/>
        <v>1810032</v>
      </c>
      <c r="M189" s="37"/>
      <c r="N189" s="253"/>
      <c r="O189" s="38"/>
    </row>
    <row r="190" spans="1:15" s="29" customFormat="1" ht="24.95" customHeight="1">
      <c r="A190" s="31" t="s">
        <v>965</v>
      </c>
      <c r="B190" s="32" t="s">
        <v>966</v>
      </c>
      <c r="C190" s="33">
        <v>10789</v>
      </c>
      <c r="D190" s="34" t="s">
        <v>847</v>
      </c>
      <c r="E190" s="36">
        <v>168</v>
      </c>
      <c r="F190" s="36">
        <f>TRUNC(E190*$C190,0)</f>
        <v>1812552</v>
      </c>
      <c r="G190" s="36">
        <v>3376</v>
      </c>
      <c r="H190" s="36">
        <f>TRUNC(G190*$C190,0)</f>
        <v>36423664</v>
      </c>
      <c r="I190" s="36">
        <v>0</v>
      </c>
      <c r="J190" s="36">
        <f>TRUNC(I190*$C190,0)</f>
        <v>0</v>
      </c>
      <c r="K190" s="36">
        <f t="shared" si="10"/>
        <v>3544</v>
      </c>
      <c r="L190" s="36">
        <f t="shared" si="10"/>
        <v>38236216</v>
      </c>
      <c r="M190" s="37"/>
      <c r="N190" s="253"/>
      <c r="O190" s="38"/>
    </row>
    <row r="191" spans="1:15" s="29" customFormat="1" ht="24.95" customHeight="1">
      <c r="A191" s="31" t="s">
        <v>766</v>
      </c>
      <c r="B191" s="32" t="s">
        <v>22</v>
      </c>
      <c r="C191" s="33"/>
      <c r="D191" s="34" t="s">
        <v>22</v>
      </c>
      <c r="E191" s="34"/>
      <c r="F191" s="36">
        <v>0</v>
      </c>
      <c r="G191" s="34"/>
      <c r="H191" s="36">
        <v>0</v>
      </c>
      <c r="I191" s="34"/>
      <c r="J191" s="36">
        <v>0</v>
      </c>
      <c r="K191" s="36">
        <f t="shared" si="10"/>
        <v>0</v>
      </c>
      <c r="L191" s="36">
        <f t="shared" si="10"/>
        <v>0</v>
      </c>
      <c r="M191" s="37"/>
      <c r="N191" s="253"/>
    </row>
    <row r="192" spans="1:15" s="45" customFormat="1" ht="24.95" customHeight="1">
      <c r="A192" s="39" t="s">
        <v>977</v>
      </c>
      <c r="B192" s="40" t="s">
        <v>22</v>
      </c>
      <c r="C192" s="41">
        <v>1</v>
      </c>
      <c r="D192" s="42" t="s">
        <v>754</v>
      </c>
      <c r="E192" s="42"/>
      <c r="F192" s="43">
        <f>F193+F202+F222+F273+F289+F304+F306+F309+F315+F327+F330+F334+F336+F346+F374+F381+F430</f>
        <v>3010933998</v>
      </c>
      <c r="G192" s="42"/>
      <c r="H192" s="43">
        <f>H193+H202+H222+H273+H289+H304+H306+H309+H315+H327+H330+H334+H336+H346+H374+H381+H430</f>
        <v>17125536464</v>
      </c>
      <c r="I192" s="42"/>
      <c r="J192" s="43">
        <f>J193+J202+J222+J273+J289+J304+J306+J309+J315+J327+J330+J334+J336+J346+J374+J381+J430</f>
        <v>1303483758</v>
      </c>
      <c r="K192" s="42"/>
      <c r="L192" s="43">
        <f t="shared" ref="L192:L255" si="11">H192+F192+J192</f>
        <v>21439954220</v>
      </c>
      <c r="M192" s="44"/>
      <c r="N192" s="253"/>
    </row>
    <row r="193" spans="1:15" s="63" customFormat="1" ht="24.95" customHeight="1">
      <c r="A193" s="57" t="s">
        <v>978</v>
      </c>
      <c r="B193" s="58" t="s">
        <v>22</v>
      </c>
      <c r="C193" s="59"/>
      <c r="D193" s="60" t="s">
        <v>22</v>
      </c>
      <c r="E193" s="60"/>
      <c r="F193" s="61">
        <f>TRUNC(F195+F196+F197+F199+F200+F201,0)</f>
        <v>600513739</v>
      </c>
      <c r="G193" s="60"/>
      <c r="H193" s="61">
        <f>TRUNC(H195+H196+H197+H199+H200+H201,0)</f>
        <v>219069675</v>
      </c>
      <c r="I193" s="60"/>
      <c r="J193" s="61">
        <f>TRUNC(J195+J196+J197+J199+J200+J201,0)</f>
        <v>303084385</v>
      </c>
      <c r="K193" s="61">
        <f t="shared" ref="K193:L256" si="12">G193+E193+I193</f>
        <v>0</v>
      </c>
      <c r="L193" s="61">
        <f t="shared" si="11"/>
        <v>1122667799</v>
      </c>
      <c r="M193" s="62"/>
      <c r="N193" s="253"/>
    </row>
    <row r="194" spans="1:15" s="29" customFormat="1" ht="24.95" customHeight="1">
      <c r="A194" s="31" t="s">
        <v>979</v>
      </c>
      <c r="B194" s="32" t="s">
        <v>22</v>
      </c>
      <c r="C194" s="33"/>
      <c r="D194" s="34" t="s">
        <v>22</v>
      </c>
      <c r="E194" s="34"/>
      <c r="F194" s="36">
        <f>TRUNC(F195+F196+F197,0)</f>
        <v>312366576</v>
      </c>
      <c r="G194" s="34"/>
      <c r="H194" s="36">
        <f>TRUNC(H195+H196+H197,0)</f>
        <v>177537704</v>
      </c>
      <c r="I194" s="34"/>
      <c r="J194" s="36">
        <f>TRUNC(J195+J196+J197,0)</f>
        <v>265362993</v>
      </c>
      <c r="K194" s="36">
        <f t="shared" si="12"/>
        <v>0</v>
      </c>
      <c r="L194" s="36">
        <f t="shared" si="11"/>
        <v>755267273</v>
      </c>
      <c r="M194" s="37"/>
      <c r="N194" s="253"/>
    </row>
    <row r="195" spans="1:15" s="29" customFormat="1" ht="24.95" customHeight="1">
      <c r="A195" s="31" t="s">
        <v>980</v>
      </c>
      <c r="B195" s="32" t="s">
        <v>819</v>
      </c>
      <c r="C195" s="33">
        <v>64855</v>
      </c>
      <c r="D195" s="34" t="s">
        <v>820</v>
      </c>
      <c r="E195" s="36">
        <v>687</v>
      </c>
      <c r="F195" s="36">
        <f>TRUNC(E195*$C195,0)</f>
        <v>44555385</v>
      </c>
      <c r="G195" s="36">
        <v>278</v>
      </c>
      <c r="H195" s="36">
        <f>TRUNC(G195*$C195,0)</f>
        <v>18029690</v>
      </c>
      <c r="I195" s="36">
        <v>357</v>
      </c>
      <c r="J195" s="36">
        <f>TRUNC(I195*$C195,0)</f>
        <v>23153235</v>
      </c>
      <c r="K195" s="36">
        <f t="shared" si="12"/>
        <v>1322</v>
      </c>
      <c r="L195" s="36">
        <f t="shared" si="11"/>
        <v>85738310</v>
      </c>
      <c r="M195" s="37"/>
      <c r="N195" s="253"/>
      <c r="O195" s="38"/>
    </row>
    <row r="196" spans="1:15" s="29" customFormat="1" ht="24.95" customHeight="1">
      <c r="A196" s="31" t="s">
        <v>981</v>
      </c>
      <c r="B196" s="32" t="s">
        <v>819</v>
      </c>
      <c r="C196" s="33">
        <v>1971</v>
      </c>
      <c r="D196" s="34" t="s">
        <v>820</v>
      </c>
      <c r="E196" s="36">
        <v>8923</v>
      </c>
      <c r="F196" s="36">
        <f>TRUNC(E196*$C196,0)</f>
        <v>17587233</v>
      </c>
      <c r="G196" s="36">
        <v>4909</v>
      </c>
      <c r="H196" s="36">
        <f>TRUNC(G196*$C196,0)</f>
        <v>9675639</v>
      </c>
      <c r="I196" s="36">
        <v>8476</v>
      </c>
      <c r="J196" s="36">
        <f>TRUNC(I196*$C196,0)</f>
        <v>16706196</v>
      </c>
      <c r="K196" s="36">
        <f t="shared" si="12"/>
        <v>22308</v>
      </c>
      <c r="L196" s="36">
        <f t="shared" si="11"/>
        <v>43969068</v>
      </c>
      <c r="M196" s="37"/>
      <c r="N196" s="253"/>
      <c r="O196" s="38"/>
    </row>
    <row r="197" spans="1:15" s="29" customFormat="1" ht="24.95" customHeight="1">
      <c r="A197" s="31" t="s">
        <v>982</v>
      </c>
      <c r="B197" s="32" t="s">
        <v>819</v>
      </c>
      <c r="C197" s="33">
        <v>15567</v>
      </c>
      <c r="D197" s="34" t="s">
        <v>820</v>
      </c>
      <c r="E197" s="36">
        <v>16074</v>
      </c>
      <c r="F197" s="36">
        <f>TRUNC(E197*$C197,0)</f>
        <v>250223958</v>
      </c>
      <c r="G197" s="36">
        <v>9625</v>
      </c>
      <c r="H197" s="36">
        <f>TRUNC(G197*$C197,0)</f>
        <v>149832375</v>
      </c>
      <c r="I197" s="36">
        <v>14486</v>
      </c>
      <c r="J197" s="36">
        <f>TRUNC(I197*$C197,0)</f>
        <v>225503562</v>
      </c>
      <c r="K197" s="36">
        <f t="shared" si="12"/>
        <v>40185</v>
      </c>
      <c r="L197" s="36">
        <f t="shared" si="11"/>
        <v>625559895</v>
      </c>
      <c r="M197" s="37"/>
      <c r="N197" s="253"/>
      <c r="O197" s="38"/>
    </row>
    <row r="198" spans="1:15" s="29" customFormat="1" ht="24.95" customHeight="1">
      <c r="A198" s="31" t="s">
        <v>983</v>
      </c>
      <c r="B198" s="32" t="s">
        <v>22</v>
      </c>
      <c r="C198" s="33"/>
      <c r="D198" s="34" t="s">
        <v>22</v>
      </c>
      <c r="E198" s="34"/>
      <c r="F198" s="36">
        <f>TRUNC(F199+F200+F201,0)</f>
        <v>288147163</v>
      </c>
      <c r="G198" s="34"/>
      <c r="H198" s="36">
        <f>TRUNC(H199+H200+H201,0)</f>
        <v>41531971</v>
      </c>
      <c r="I198" s="34"/>
      <c r="J198" s="36">
        <f>TRUNC(J199+J200+J201,0)</f>
        <v>37721392</v>
      </c>
      <c r="K198" s="36">
        <f t="shared" si="12"/>
        <v>0</v>
      </c>
      <c r="L198" s="36">
        <f t="shared" si="11"/>
        <v>367400526</v>
      </c>
      <c r="M198" s="37"/>
      <c r="N198" s="253"/>
    </row>
    <row r="199" spans="1:15" s="29" customFormat="1" ht="24.95" customHeight="1">
      <c r="A199" s="31" t="s">
        <v>984</v>
      </c>
      <c r="B199" s="32" t="s">
        <v>941</v>
      </c>
      <c r="C199" s="33">
        <v>16210</v>
      </c>
      <c r="D199" s="34" t="s">
        <v>820</v>
      </c>
      <c r="E199" s="36">
        <v>3179</v>
      </c>
      <c r="F199" s="36">
        <f>TRUNC(E199*$C199,0)</f>
        <v>51531590</v>
      </c>
      <c r="G199" s="36">
        <v>1132</v>
      </c>
      <c r="H199" s="36">
        <f>TRUNC(G199*$C199,0)</f>
        <v>18349720</v>
      </c>
      <c r="I199" s="36">
        <v>1076</v>
      </c>
      <c r="J199" s="36">
        <f>TRUNC(I199*$C199,0)</f>
        <v>17441960</v>
      </c>
      <c r="K199" s="36">
        <f t="shared" si="12"/>
        <v>5387</v>
      </c>
      <c r="L199" s="36">
        <f t="shared" si="11"/>
        <v>87323270</v>
      </c>
      <c r="M199" s="37"/>
      <c r="N199" s="253"/>
      <c r="O199" s="38"/>
    </row>
    <row r="200" spans="1:15" s="29" customFormat="1" ht="24.95" customHeight="1">
      <c r="A200" s="31" t="s">
        <v>985</v>
      </c>
      <c r="B200" s="32" t="s">
        <v>986</v>
      </c>
      <c r="C200" s="33">
        <v>45655</v>
      </c>
      <c r="D200" s="34" t="s">
        <v>815</v>
      </c>
      <c r="E200" s="36">
        <v>3869</v>
      </c>
      <c r="F200" s="36">
        <f>TRUNC(E200*$C200,0)</f>
        <v>176639195</v>
      </c>
      <c r="G200" s="36">
        <v>421</v>
      </c>
      <c r="H200" s="36">
        <f>TRUNC(G200*$C200,0)</f>
        <v>19220755</v>
      </c>
      <c r="I200" s="36">
        <v>369</v>
      </c>
      <c r="J200" s="36">
        <f>TRUNC(I200*$C200,0)</f>
        <v>16846695</v>
      </c>
      <c r="K200" s="36">
        <f t="shared" si="12"/>
        <v>4659</v>
      </c>
      <c r="L200" s="36">
        <f t="shared" si="11"/>
        <v>212706645</v>
      </c>
      <c r="M200" s="37"/>
      <c r="N200" s="253"/>
      <c r="O200" s="38"/>
    </row>
    <row r="201" spans="1:15" s="29" customFormat="1" ht="24.95" customHeight="1">
      <c r="A201" s="31" t="s">
        <v>987</v>
      </c>
      <c r="B201" s="32" t="s">
        <v>988</v>
      </c>
      <c r="C201" s="33">
        <v>8393</v>
      </c>
      <c r="D201" s="34" t="s">
        <v>815</v>
      </c>
      <c r="E201" s="36">
        <v>7146</v>
      </c>
      <c r="F201" s="36">
        <f>TRUNC(E201*$C201,0)</f>
        <v>59976378</v>
      </c>
      <c r="G201" s="36">
        <v>472</v>
      </c>
      <c r="H201" s="36">
        <f>TRUNC(G201*$C201,0)</f>
        <v>3961496</v>
      </c>
      <c r="I201" s="36">
        <v>409</v>
      </c>
      <c r="J201" s="36">
        <f>TRUNC(I201*$C201,0)</f>
        <v>3432737</v>
      </c>
      <c r="K201" s="36">
        <f t="shared" si="12"/>
        <v>8027</v>
      </c>
      <c r="L201" s="36">
        <f t="shared" si="11"/>
        <v>67370611</v>
      </c>
      <c r="M201" s="37"/>
      <c r="N201" s="253"/>
      <c r="O201" s="38"/>
    </row>
    <row r="202" spans="1:15" s="63" customFormat="1" ht="24.95" customHeight="1">
      <c r="A202" s="57" t="s">
        <v>989</v>
      </c>
      <c r="B202" s="58" t="s">
        <v>22</v>
      </c>
      <c r="C202" s="59"/>
      <c r="D202" s="60" t="s">
        <v>22</v>
      </c>
      <c r="E202" s="60"/>
      <c r="F202" s="61">
        <f>TRUNC(F204+F206+F207+F208+F209+F210+F211+F213+F214+F216+F217+F218+F219+F220+F221,0)</f>
        <v>737679328</v>
      </c>
      <c r="G202" s="60"/>
      <c r="H202" s="61">
        <f>TRUNC(H204+H206+H207+H208+H209+H210+H211+H213+H214+H216+H217+H218+H219+H220+H221,0)</f>
        <v>224565280</v>
      </c>
      <c r="I202" s="60"/>
      <c r="J202" s="61">
        <f>TRUNC(J204+J206+J207+J208+J209+J210+J211+J213+J214+J216+J217+J218+J219+J220+J221,0)</f>
        <v>71184566</v>
      </c>
      <c r="K202" s="61">
        <f t="shared" si="12"/>
        <v>0</v>
      </c>
      <c r="L202" s="61">
        <f t="shared" si="11"/>
        <v>1033429174</v>
      </c>
      <c r="M202" s="62"/>
      <c r="N202" s="253"/>
    </row>
    <row r="203" spans="1:15" s="29" customFormat="1" ht="24.95" customHeight="1">
      <c r="A203" s="31" t="s">
        <v>990</v>
      </c>
      <c r="B203" s="32" t="s">
        <v>22</v>
      </c>
      <c r="C203" s="33"/>
      <c r="D203" s="34" t="s">
        <v>22</v>
      </c>
      <c r="E203" s="34"/>
      <c r="F203" s="36">
        <f>TRUNC(F204,0)</f>
        <v>19993176</v>
      </c>
      <c r="G203" s="34"/>
      <c r="H203" s="36">
        <f>TRUNC(H204,0)</f>
        <v>2988398</v>
      </c>
      <c r="I203" s="34"/>
      <c r="J203" s="36">
        <f>TRUNC(J204,0)</f>
        <v>0</v>
      </c>
      <c r="K203" s="36">
        <f t="shared" si="12"/>
        <v>0</v>
      </c>
      <c r="L203" s="36">
        <f t="shared" si="11"/>
        <v>22981574</v>
      </c>
      <c r="M203" s="37"/>
      <c r="N203" s="253"/>
    </row>
    <row r="204" spans="1:15" s="29" customFormat="1" ht="24.95" customHeight="1">
      <c r="A204" s="31" t="s">
        <v>991</v>
      </c>
      <c r="B204" s="32" t="s">
        <v>992</v>
      </c>
      <c r="C204" s="33">
        <v>3778</v>
      </c>
      <c r="D204" s="34" t="s">
        <v>116</v>
      </c>
      <c r="E204" s="36">
        <v>5292</v>
      </c>
      <c r="F204" s="36">
        <f>TRUNC(E204*$C204,0)</f>
        <v>19993176</v>
      </c>
      <c r="G204" s="36">
        <v>791</v>
      </c>
      <c r="H204" s="36">
        <f>TRUNC(G204*$C204,0)</f>
        <v>2988398</v>
      </c>
      <c r="I204" s="36">
        <v>0</v>
      </c>
      <c r="J204" s="36">
        <f>TRUNC(I204*$C204,0)</f>
        <v>0</v>
      </c>
      <c r="K204" s="36">
        <f t="shared" si="12"/>
        <v>6083</v>
      </c>
      <c r="L204" s="36">
        <f t="shared" si="11"/>
        <v>22981574</v>
      </c>
      <c r="M204" s="37"/>
      <c r="N204" s="253"/>
      <c r="O204" s="38"/>
    </row>
    <row r="205" spans="1:15" s="29" customFormat="1" ht="24.95" customHeight="1">
      <c r="A205" s="31" t="s">
        <v>993</v>
      </c>
      <c r="B205" s="32" t="s">
        <v>22</v>
      </c>
      <c r="C205" s="33"/>
      <c r="D205" s="34" t="s">
        <v>22</v>
      </c>
      <c r="E205" s="34"/>
      <c r="F205" s="36">
        <f>TRUNC(F206+F207+F208+F209+F210+F211+F213+F214,0)</f>
        <v>698549476</v>
      </c>
      <c r="G205" s="34"/>
      <c r="H205" s="36">
        <f>TRUNC(H206+H207+H208+H209+H210+H211+H213+H214,0)</f>
        <v>197971778</v>
      </c>
      <c r="I205" s="34"/>
      <c r="J205" s="36">
        <f>TRUNC(J206+J207+J208+J209+J210+J211+J213+J214,0)</f>
        <v>71184566</v>
      </c>
      <c r="K205" s="36">
        <f t="shared" si="12"/>
        <v>0</v>
      </c>
      <c r="L205" s="36">
        <f t="shared" si="11"/>
        <v>967705820</v>
      </c>
      <c r="M205" s="37"/>
      <c r="N205" s="253"/>
    </row>
    <row r="206" spans="1:15" s="29" customFormat="1" ht="24.95" customHeight="1">
      <c r="A206" s="31" t="s">
        <v>994</v>
      </c>
      <c r="B206" s="32" t="s">
        <v>995</v>
      </c>
      <c r="C206" s="33">
        <v>1751</v>
      </c>
      <c r="D206" s="34" t="s">
        <v>116</v>
      </c>
      <c r="E206" s="36">
        <v>30445</v>
      </c>
      <c r="F206" s="36">
        <f t="shared" ref="F206:F211" si="13">TRUNC(E206*$C206,0)</f>
        <v>53309195</v>
      </c>
      <c r="G206" s="36">
        <v>3997</v>
      </c>
      <c r="H206" s="36">
        <f t="shared" ref="H206:H211" si="14">TRUNC(G206*$C206,0)</f>
        <v>6998747</v>
      </c>
      <c r="I206" s="36">
        <v>4096</v>
      </c>
      <c r="J206" s="36">
        <f t="shared" ref="J206:J211" si="15">TRUNC(I206*$C206,0)</f>
        <v>7172096</v>
      </c>
      <c r="K206" s="36">
        <f t="shared" si="12"/>
        <v>38538</v>
      </c>
      <c r="L206" s="36">
        <f t="shared" si="11"/>
        <v>67480038</v>
      </c>
      <c r="M206" s="37"/>
      <c r="N206" s="253"/>
      <c r="O206" s="38"/>
    </row>
    <row r="207" spans="1:15" s="29" customFormat="1" ht="24.95" customHeight="1">
      <c r="A207" s="31" t="s">
        <v>996</v>
      </c>
      <c r="B207" s="32" t="s">
        <v>997</v>
      </c>
      <c r="C207" s="33">
        <v>1039</v>
      </c>
      <c r="D207" s="34" t="s">
        <v>116</v>
      </c>
      <c r="E207" s="36">
        <v>42414</v>
      </c>
      <c r="F207" s="36">
        <f t="shared" si="13"/>
        <v>44068146</v>
      </c>
      <c r="G207" s="36">
        <v>6284</v>
      </c>
      <c r="H207" s="36">
        <f t="shared" si="14"/>
        <v>6529076</v>
      </c>
      <c r="I207" s="36">
        <v>6384</v>
      </c>
      <c r="J207" s="36">
        <f t="shared" si="15"/>
        <v>6632976</v>
      </c>
      <c r="K207" s="36">
        <f t="shared" si="12"/>
        <v>55082</v>
      </c>
      <c r="L207" s="36">
        <f t="shared" si="11"/>
        <v>57230198</v>
      </c>
      <c r="M207" s="37"/>
      <c r="N207" s="253"/>
      <c r="O207" s="38"/>
    </row>
    <row r="208" spans="1:15" s="29" customFormat="1" ht="24.95" customHeight="1">
      <c r="A208" s="31" t="s">
        <v>998</v>
      </c>
      <c r="B208" s="32" t="s">
        <v>999</v>
      </c>
      <c r="C208" s="33">
        <v>2071</v>
      </c>
      <c r="D208" s="34" t="s">
        <v>116</v>
      </c>
      <c r="E208" s="36">
        <v>61120</v>
      </c>
      <c r="F208" s="36">
        <f t="shared" si="13"/>
        <v>126579520</v>
      </c>
      <c r="G208" s="36">
        <v>9086</v>
      </c>
      <c r="H208" s="36">
        <f t="shared" si="14"/>
        <v>18817106</v>
      </c>
      <c r="I208" s="36">
        <v>9171</v>
      </c>
      <c r="J208" s="36">
        <f t="shared" si="15"/>
        <v>18993141</v>
      </c>
      <c r="K208" s="36">
        <f t="shared" si="12"/>
        <v>79377</v>
      </c>
      <c r="L208" s="36">
        <f t="shared" si="11"/>
        <v>164389767</v>
      </c>
      <c r="M208" s="37"/>
      <c r="N208" s="253"/>
      <c r="O208" s="38"/>
    </row>
    <row r="209" spans="1:15" s="29" customFormat="1" ht="24.95" customHeight="1">
      <c r="A209" s="31" t="s">
        <v>1000</v>
      </c>
      <c r="B209" s="32" t="s">
        <v>1001</v>
      </c>
      <c r="C209" s="33">
        <v>1125</v>
      </c>
      <c r="D209" s="34" t="s">
        <v>116</v>
      </c>
      <c r="E209" s="36">
        <v>80599</v>
      </c>
      <c r="F209" s="36">
        <f t="shared" si="13"/>
        <v>90673875</v>
      </c>
      <c r="G209" s="36">
        <v>12003</v>
      </c>
      <c r="H209" s="36">
        <f t="shared" si="14"/>
        <v>13503375</v>
      </c>
      <c r="I209" s="36">
        <v>12072</v>
      </c>
      <c r="J209" s="36">
        <f t="shared" si="15"/>
        <v>13581000</v>
      </c>
      <c r="K209" s="36">
        <f t="shared" si="12"/>
        <v>104674</v>
      </c>
      <c r="L209" s="36">
        <f t="shared" si="11"/>
        <v>117758250</v>
      </c>
      <c r="M209" s="37"/>
      <c r="N209" s="253"/>
      <c r="O209" s="38"/>
    </row>
    <row r="210" spans="1:15" s="29" customFormat="1" ht="24.95" customHeight="1">
      <c r="A210" s="31" t="s">
        <v>1002</v>
      </c>
      <c r="B210" s="32" t="s">
        <v>1003</v>
      </c>
      <c r="C210" s="33">
        <v>631</v>
      </c>
      <c r="D210" s="34" t="s">
        <v>116</v>
      </c>
      <c r="E210" s="36">
        <v>101524</v>
      </c>
      <c r="F210" s="36">
        <f t="shared" si="13"/>
        <v>64061644</v>
      </c>
      <c r="G210" s="36">
        <v>15138</v>
      </c>
      <c r="H210" s="36">
        <f t="shared" si="14"/>
        <v>9552078</v>
      </c>
      <c r="I210" s="36">
        <v>15187</v>
      </c>
      <c r="J210" s="36">
        <f t="shared" si="15"/>
        <v>9582997</v>
      </c>
      <c r="K210" s="36">
        <f t="shared" si="12"/>
        <v>131849</v>
      </c>
      <c r="L210" s="36">
        <f t="shared" si="11"/>
        <v>83196719</v>
      </c>
      <c r="M210" s="37"/>
      <c r="N210" s="253"/>
      <c r="O210" s="38"/>
    </row>
    <row r="211" spans="1:15" s="29" customFormat="1" ht="24.95" customHeight="1">
      <c r="A211" s="31" t="s">
        <v>1004</v>
      </c>
      <c r="B211" s="32" t="s">
        <v>1005</v>
      </c>
      <c r="C211" s="33">
        <v>473</v>
      </c>
      <c r="D211" s="34" t="s">
        <v>116</v>
      </c>
      <c r="E211" s="36">
        <v>121633</v>
      </c>
      <c r="F211" s="36">
        <f t="shared" si="13"/>
        <v>57532409</v>
      </c>
      <c r="G211" s="36">
        <v>15189</v>
      </c>
      <c r="H211" s="36">
        <f t="shared" si="14"/>
        <v>7184397</v>
      </c>
      <c r="I211" s="36">
        <v>15219</v>
      </c>
      <c r="J211" s="36">
        <f t="shared" si="15"/>
        <v>7198587</v>
      </c>
      <c r="K211" s="36">
        <f t="shared" si="12"/>
        <v>152041</v>
      </c>
      <c r="L211" s="36">
        <f t="shared" si="11"/>
        <v>71915393</v>
      </c>
      <c r="M211" s="37"/>
      <c r="N211" s="253"/>
      <c r="O211" s="38"/>
    </row>
    <row r="212" spans="1:15" s="29" customFormat="1" ht="24.95" customHeight="1">
      <c r="A212" s="31" t="s">
        <v>1006</v>
      </c>
      <c r="B212" s="32" t="s">
        <v>22</v>
      </c>
      <c r="C212" s="33"/>
      <c r="D212" s="34" t="s">
        <v>22</v>
      </c>
      <c r="E212" s="34"/>
      <c r="F212" s="36">
        <f>TRUNC(F213+F214,0)</f>
        <v>262324687</v>
      </c>
      <c r="G212" s="34"/>
      <c r="H212" s="36">
        <f>TRUNC(H213+H214,0)</f>
        <v>135386999</v>
      </c>
      <c r="I212" s="34"/>
      <c r="J212" s="36">
        <f>TRUNC(J213+J214,0)</f>
        <v>8023769</v>
      </c>
      <c r="K212" s="36">
        <f t="shared" si="12"/>
        <v>0</v>
      </c>
      <c r="L212" s="36">
        <f t="shared" si="11"/>
        <v>405735455</v>
      </c>
      <c r="M212" s="37"/>
      <c r="N212" s="253"/>
    </row>
    <row r="213" spans="1:15" s="29" customFormat="1" ht="24.95" customHeight="1">
      <c r="A213" s="31" t="s">
        <v>1007</v>
      </c>
      <c r="B213" s="32" t="s">
        <v>1008</v>
      </c>
      <c r="C213" s="33">
        <v>2951</v>
      </c>
      <c r="D213" s="34" t="s">
        <v>815</v>
      </c>
      <c r="E213" s="36">
        <v>16966</v>
      </c>
      <c r="F213" s="36">
        <f>TRUNC(E213*$C213,0)</f>
        <v>50066666</v>
      </c>
      <c r="G213" s="36">
        <v>1791</v>
      </c>
      <c r="H213" s="36">
        <f>TRUNC(G213*$C213,0)</f>
        <v>5285241</v>
      </c>
      <c r="I213" s="36">
        <v>2719</v>
      </c>
      <c r="J213" s="36">
        <f>TRUNC(I213*$C213,0)</f>
        <v>8023769</v>
      </c>
      <c r="K213" s="36">
        <f t="shared" si="12"/>
        <v>21476</v>
      </c>
      <c r="L213" s="36">
        <f t="shared" si="11"/>
        <v>63375676</v>
      </c>
      <c r="M213" s="37"/>
      <c r="N213" s="253"/>
      <c r="O213" s="38"/>
    </row>
    <row r="214" spans="1:15" s="29" customFormat="1" ht="24.95" customHeight="1">
      <c r="A214" s="31" t="s">
        <v>1009</v>
      </c>
      <c r="B214" s="32" t="s">
        <v>1010</v>
      </c>
      <c r="C214" s="33">
        <v>9337</v>
      </c>
      <c r="D214" s="34" t="s">
        <v>831</v>
      </c>
      <c r="E214" s="36">
        <v>22733</v>
      </c>
      <c r="F214" s="36">
        <f>TRUNC(E214*$C214,0)</f>
        <v>212258021</v>
      </c>
      <c r="G214" s="36">
        <v>13934</v>
      </c>
      <c r="H214" s="36">
        <f>TRUNC(G214*$C214,0)</f>
        <v>130101758</v>
      </c>
      <c r="I214" s="36">
        <v>0</v>
      </c>
      <c r="J214" s="36">
        <f>TRUNC(I214*$C214,0)</f>
        <v>0</v>
      </c>
      <c r="K214" s="36">
        <f t="shared" si="12"/>
        <v>36667</v>
      </c>
      <c r="L214" s="36">
        <f t="shared" si="11"/>
        <v>342359779</v>
      </c>
      <c r="M214" s="37"/>
      <c r="N214" s="253"/>
      <c r="O214" s="38"/>
    </row>
    <row r="215" spans="1:15" s="29" customFormat="1" ht="24.95" customHeight="1">
      <c r="A215" s="31" t="s">
        <v>1011</v>
      </c>
      <c r="B215" s="32" t="s">
        <v>22</v>
      </c>
      <c r="C215" s="33"/>
      <c r="D215" s="34" t="s">
        <v>22</v>
      </c>
      <c r="E215" s="34"/>
      <c r="F215" s="36">
        <f>TRUNC(F216+F217+F218+F219+F220+F221,0)</f>
        <v>19136676</v>
      </c>
      <c r="G215" s="34"/>
      <c r="H215" s="36">
        <f>TRUNC(H216+H217+H218+H219+H220+H221,0)</f>
        <v>23605104</v>
      </c>
      <c r="I215" s="34"/>
      <c r="J215" s="36">
        <f>TRUNC(J216+J217+J218+J219+J220+J221,0)</f>
        <v>0</v>
      </c>
      <c r="K215" s="36">
        <f t="shared" si="12"/>
        <v>0</v>
      </c>
      <c r="L215" s="36">
        <f t="shared" si="11"/>
        <v>42741780</v>
      </c>
      <c r="M215" s="37"/>
      <c r="N215" s="253"/>
    </row>
    <row r="216" spans="1:15" s="29" customFormat="1" ht="24.95" customHeight="1">
      <c r="A216" s="31" t="s">
        <v>1012</v>
      </c>
      <c r="B216" s="32" t="s">
        <v>1013</v>
      </c>
      <c r="C216" s="33">
        <v>132</v>
      </c>
      <c r="D216" s="34" t="s">
        <v>1014</v>
      </c>
      <c r="E216" s="36">
        <v>31917</v>
      </c>
      <c r="F216" s="36">
        <f t="shared" ref="F216:F221" si="16">TRUNC(E216*$C216,0)</f>
        <v>4213044</v>
      </c>
      <c r="G216" s="36">
        <v>46533</v>
      </c>
      <c r="H216" s="36">
        <f t="shared" ref="H216:H221" si="17">TRUNC(G216*$C216,0)</f>
        <v>6142356</v>
      </c>
      <c r="I216" s="36">
        <v>0</v>
      </c>
      <c r="J216" s="36">
        <f t="shared" ref="J216:J221" si="18">TRUNC(I216*$C216,0)</f>
        <v>0</v>
      </c>
      <c r="K216" s="36">
        <f t="shared" si="12"/>
        <v>78450</v>
      </c>
      <c r="L216" s="36">
        <f t="shared" si="11"/>
        <v>10355400</v>
      </c>
      <c r="M216" s="37"/>
      <c r="N216" s="253"/>
      <c r="O216" s="38"/>
    </row>
    <row r="217" spans="1:15" s="29" customFormat="1" ht="24.95" customHeight="1">
      <c r="A217" s="31" t="s">
        <v>1015</v>
      </c>
      <c r="B217" s="32" t="s">
        <v>1016</v>
      </c>
      <c r="C217" s="33">
        <v>82</v>
      </c>
      <c r="D217" s="34" t="s">
        <v>1014</v>
      </c>
      <c r="E217" s="36">
        <v>38726</v>
      </c>
      <c r="F217" s="36">
        <f t="shared" si="16"/>
        <v>3175532</v>
      </c>
      <c r="G217" s="36">
        <v>46873</v>
      </c>
      <c r="H217" s="36">
        <f t="shared" si="17"/>
        <v>3843586</v>
      </c>
      <c r="I217" s="36">
        <v>0</v>
      </c>
      <c r="J217" s="36">
        <f t="shared" si="18"/>
        <v>0</v>
      </c>
      <c r="K217" s="36">
        <f t="shared" si="12"/>
        <v>85599</v>
      </c>
      <c r="L217" s="36">
        <f t="shared" si="11"/>
        <v>7019118</v>
      </c>
      <c r="M217" s="37"/>
      <c r="N217" s="253"/>
      <c r="O217" s="38"/>
    </row>
    <row r="218" spans="1:15" s="29" customFormat="1" ht="24.95" customHeight="1">
      <c r="A218" s="31" t="s">
        <v>1017</v>
      </c>
      <c r="B218" s="32" t="s">
        <v>1018</v>
      </c>
      <c r="C218" s="33">
        <v>138</v>
      </c>
      <c r="D218" s="34" t="s">
        <v>1014</v>
      </c>
      <c r="E218" s="36">
        <v>38726</v>
      </c>
      <c r="F218" s="36">
        <f t="shared" si="16"/>
        <v>5344188</v>
      </c>
      <c r="G218" s="36">
        <v>46873</v>
      </c>
      <c r="H218" s="36">
        <f t="shared" si="17"/>
        <v>6468474</v>
      </c>
      <c r="I218" s="36">
        <v>0</v>
      </c>
      <c r="J218" s="36">
        <f t="shared" si="18"/>
        <v>0</v>
      </c>
      <c r="K218" s="36">
        <f t="shared" si="12"/>
        <v>85599</v>
      </c>
      <c r="L218" s="36">
        <f t="shared" si="11"/>
        <v>11812662</v>
      </c>
      <c r="M218" s="37"/>
      <c r="N218" s="253"/>
      <c r="O218" s="38"/>
    </row>
    <row r="219" spans="1:15" s="29" customFormat="1" ht="24.95" customHeight="1">
      <c r="A219" s="31" t="s">
        <v>1019</v>
      </c>
      <c r="B219" s="32" t="s">
        <v>1020</v>
      </c>
      <c r="C219" s="33">
        <v>82</v>
      </c>
      <c r="D219" s="34" t="s">
        <v>1014</v>
      </c>
      <c r="E219" s="36">
        <v>42131</v>
      </c>
      <c r="F219" s="36">
        <f t="shared" si="16"/>
        <v>3454742</v>
      </c>
      <c r="G219" s="36">
        <v>47044</v>
      </c>
      <c r="H219" s="36">
        <f t="shared" si="17"/>
        <v>3857608</v>
      </c>
      <c r="I219" s="36">
        <v>0</v>
      </c>
      <c r="J219" s="36">
        <f t="shared" si="18"/>
        <v>0</v>
      </c>
      <c r="K219" s="36">
        <f t="shared" si="12"/>
        <v>89175</v>
      </c>
      <c r="L219" s="36">
        <f t="shared" si="11"/>
        <v>7312350</v>
      </c>
      <c r="M219" s="37"/>
      <c r="N219" s="253"/>
      <c r="O219" s="38"/>
    </row>
    <row r="220" spans="1:15" s="29" customFormat="1" ht="24.95" customHeight="1">
      <c r="A220" s="31" t="s">
        <v>1021</v>
      </c>
      <c r="B220" s="32" t="s">
        <v>1022</v>
      </c>
      <c r="C220" s="33">
        <v>33</v>
      </c>
      <c r="D220" s="34" t="s">
        <v>1014</v>
      </c>
      <c r="E220" s="36">
        <v>42131</v>
      </c>
      <c r="F220" s="36">
        <f t="shared" si="16"/>
        <v>1390323</v>
      </c>
      <c r="G220" s="36">
        <v>47044</v>
      </c>
      <c r="H220" s="36">
        <f t="shared" si="17"/>
        <v>1552452</v>
      </c>
      <c r="I220" s="36">
        <v>0</v>
      </c>
      <c r="J220" s="36">
        <f t="shared" si="18"/>
        <v>0</v>
      </c>
      <c r="K220" s="36">
        <f t="shared" si="12"/>
        <v>89175</v>
      </c>
      <c r="L220" s="36">
        <f t="shared" si="11"/>
        <v>2942775</v>
      </c>
      <c r="M220" s="37"/>
      <c r="N220" s="253"/>
      <c r="O220" s="38"/>
    </row>
    <row r="221" spans="1:15" s="29" customFormat="1" ht="24.95" customHeight="1">
      <c r="A221" s="31" t="s">
        <v>1023</v>
      </c>
      <c r="B221" s="32" t="s">
        <v>1024</v>
      </c>
      <c r="C221" s="33">
        <v>37</v>
      </c>
      <c r="D221" s="34" t="s">
        <v>1014</v>
      </c>
      <c r="E221" s="36">
        <v>42131</v>
      </c>
      <c r="F221" s="36">
        <f t="shared" si="16"/>
        <v>1558847</v>
      </c>
      <c r="G221" s="36">
        <v>47044</v>
      </c>
      <c r="H221" s="36">
        <f t="shared" si="17"/>
        <v>1740628</v>
      </c>
      <c r="I221" s="36">
        <v>0</v>
      </c>
      <c r="J221" s="36">
        <f t="shared" si="18"/>
        <v>0</v>
      </c>
      <c r="K221" s="36">
        <f t="shared" si="12"/>
        <v>89175</v>
      </c>
      <c r="L221" s="36">
        <f t="shared" si="11"/>
        <v>3299475</v>
      </c>
      <c r="M221" s="37"/>
      <c r="N221" s="253"/>
      <c r="O221" s="38"/>
    </row>
    <row r="222" spans="1:15" s="63" customFormat="1" ht="24.95" customHeight="1">
      <c r="A222" s="57" t="s">
        <v>1025</v>
      </c>
      <c r="B222" s="58" t="s">
        <v>22</v>
      </c>
      <c r="C222" s="59"/>
      <c r="D222" s="60" t="s">
        <v>22</v>
      </c>
      <c r="E222" s="60"/>
      <c r="F222" s="61">
        <f>F223+F262+F266</f>
        <v>486965225</v>
      </c>
      <c r="G222" s="60"/>
      <c r="H222" s="61">
        <f>H223+H262+H266</f>
        <v>191441508</v>
      </c>
      <c r="I222" s="60"/>
      <c r="J222" s="61">
        <f>J223+J262+J266</f>
        <v>242055619</v>
      </c>
      <c r="K222" s="61">
        <f t="shared" si="12"/>
        <v>0</v>
      </c>
      <c r="L222" s="61">
        <f t="shared" si="11"/>
        <v>920462352</v>
      </c>
      <c r="M222" s="62"/>
      <c r="N222" s="253"/>
    </row>
    <row r="223" spans="1:15" s="70" customFormat="1" ht="24.95" customHeight="1">
      <c r="A223" s="64" t="s">
        <v>1026</v>
      </c>
      <c r="B223" s="65" t="s">
        <v>22</v>
      </c>
      <c r="C223" s="66"/>
      <c r="D223" s="67" t="s">
        <v>22</v>
      </c>
      <c r="E223" s="67"/>
      <c r="F223" s="68">
        <f>F224+F247</f>
        <v>414676295</v>
      </c>
      <c r="G223" s="67"/>
      <c r="H223" s="68">
        <f>H224+H247</f>
        <v>169505205</v>
      </c>
      <c r="I223" s="67"/>
      <c r="J223" s="68">
        <f>J224+J247</f>
        <v>237039438</v>
      </c>
      <c r="K223" s="68">
        <f t="shared" si="12"/>
        <v>0</v>
      </c>
      <c r="L223" s="68">
        <f t="shared" si="11"/>
        <v>821220938</v>
      </c>
      <c r="M223" s="69"/>
      <c r="N223" s="256"/>
    </row>
    <row r="224" spans="1:15" s="29" customFormat="1" ht="24.95" customHeight="1">
      <c r="A224" s="31" t="s">
        <v>1027</v>
      </c>
      <c r="B224" s="32" t="s">
        <v>22</v>
      </c>
      <c r="C224" s="33"/>
      <c r="D224" s="34" t="s">
        <v>22</v>
      </c>
      <c r="E224" s="34"/>
      <c r="F224" s="36">
        <f>TRUNC(F225+F226+F227+F228+F229+F230+F231+F232+F233+F234+F235+F236+F237+F238+F239+F240+F241+F242+F243+F244+F245+F246,0)</f>
        <v>374322027</v>
      </c>
      <c r="G224" s="34"/>
      <c r="H224" s="36">
        <f>TRUNC(H225+H226+H227+H228+H229+H230+H231+H232+H233+H234+H235+H236+H237+H238+H239+H240+H241+H242+H243+H244+H245+H246,0)</f>
        <v>152729301</v>
      </c>
      <c r="I224" s="34"/>
      <c r="J224" s="36">
        <f>TRUNC(J225+J226+J227+J228+J229+J230+J231+J232+J233+J234+J235+J236+J237+J238+J239+J240+J241+J242+J243+J244+J245+J246,0)</f>
        <v>208916310</v>
      </c>
      <c r="K224" s="36">
        <f t="shared" si="12"/>
        <v>0</v>
      </c>
      <c r="L224" s="36">
        <f t="shared" si="11"/>
        <v>735967638</v>
      </c>
      <c r="M224" s="37"/>
      <c r="N224" s="253"/>
    </row>
    <row r="225" spans="1:15" s="29" customFormat="1" ht="24.95" customHeight="1">
      <c r="A225" s="31" t="s">
        <v>1028</v>
      </c>
      <c r="B225" s="32" t="s">
        <v>1029</v>
      </c>
      <c r="C225" s="33">
        <v>1218</v>
      </c>
      <c r="D225" s="34" t="s">
        <v>116</v>
      </c>
      <c r="E225" s="36">
        <v>54695</v>
      </c>
      <c r="F225" s="36">
        <f t="shared" ref="F225:F246" si="19">TRUNC(E225*$C225,0)</f>
        <v>66618510</v>
      </c>
      <c r="G225" s="36">
        <v>19645</v>
      </c>
      <c r="H225" s="36">
        <f t="shared" ref="H225:H246" si="20">TRUNC(G225*$C225,0)</f>
        <v>23927610</v>
      </c>
      <c r="I225" s="36">
        <v>19936</v>
      </c>
      <c r="J225" s="36">
        <f t="shared" ref="J225:J246" si="21">TRUNC(I225*$C225,0)</f>
        <v>24282048</v>
      </c>
      <c r="K225" s="36">
        <f t="shared" si="12"/>
        <v>94276</v>
      </c>
      <c r="L225" s="36">
        <f t="shared" si="11"/>
        <v>114828168</v>
      </c>
      <c r="M225" s="37"/>
      <c r="N225" s="253"/>
      <c r="O225" s="38"/>
    </row>
    <row r="226" spans="1:15" s="29" customFormat="1" ht="24.95" customHeight="1">
      <c r="A226" s="31" t="s">
        <v>1028</v>
      </c>
      <c r="B226" s="32" t="s">
        <v>1030</v>
      </c>
      <c r="C226" s="33">
        <v>436</v>
      </c>
      <c r="D226" s="34" t="s">
        <v>116</v>
      </c>
      <c r="E226" s="36">
        <v>54695</v>
      </c>
      <c r="F226" s="36">
        <f t="shared" si="19"/>
        <v>23847020</v>
      </c>
      <c r="G226" s="36">
        <v>19645</v>
      </c>
      <c r="H226" s="36">
        <f t="shared" si="20"/>
        <v>8565220</v>
      </c>
      <c r="I226" s="36">
        <v>19936</v>
      </c>
      <c r="J226" s="36">
        <f t="shared" si="21"/>
        <v>8692096</v>
      </c>
      <c r="K226" s="36">
        <f t="shared" si="12"/>
        <v>94276</v>
      </c>
      <c r="L226" s="36">
        <f t="shared" si="11"/>
        <v>41104336</v>
      </c>
      <c r="M226" s="37"/>
      <c r="N226" s="253"/>
      <c r="O226" s="38"/>
    </row>
    <row r="227" spans="1:15" s="29" customFormat="1" ht="24.95" customHeight="1">
      <c r="A227" s="31" t="s">
        <v>1028</v>
      </c>
      <c r="B227" s="32" t="s">
        <v>1031</v>
      </c>
      <c r="C227" s="33">
        <v>322</v>
      </c>
      <c r="D227" s="34" t="s">
        <v>116</v>
      </c>
      <c r="E227" s="36">
        <v>54695</v>
      </c>
      <c r="F227" s="36">
        <f t="shared" si="19"/>
        <v>17611790</v>
      </c>
      <c r="G227" s="36">
        <v>19645</v>
      </c>
      <c r="H227" s="36">
        <f t="shared" si="20"/>
        <v>6325690</v>
      </c>
      <c r="I227" s="36">
        <v>19936</v>
      </c>
      <c r="J227" s="36">
        <f t="shared" si="21"/>
        <v>6419392</v>
      </c>
      <c r="K227" s="36">
        <f t="shared" si="12"/>
        <v>94276</v>
      </c>
      <c r="L227" s="36">
        <f t="shared" si="11"/>
        <v>30356872</v>
      </c>
      <c r="M227" s="37"/>
      <c r="N227" s="253"/>
      <c r="O227" s="38"/>
    </row>
    <row r="228" spans="1:15" s="29" customFormat="1" ht="24.95" customHeight="1">
      <c r="A228" s="31" t="s">
        <v>1028</v>
      </c>
      <c r="B228" s="32" t="s">
        <v>1032</v>
      </c>
      <c r="C228" s="33">
        <v>38</v>
      </c>
      <c r="D228" s="34" t="s">
        <v>116</v>
      </c>
      <c r="E228" s="36">
        <v>54695</v>
      </c>
      <c r="F228" s="36">
        <f t="shared" si="19"/>
        <v>2078410</v>
      </c>
      <c r="G228" s="36">
        <v>19645</v>
      </c>
      <c r="H228" s="36">
        <f t="shared" si="20"/>
        <v>746510</v>
      </c>
      <c r="I228" s="36">
        <v>19936</v>
      </c>
      <c r="J228" s="36">
        <f t="shared" si="21"/>
        <v>757568</v>
      </c>
      <c r="K228" s="36">
        <f t="shared" si="12"/>
        <v>94276</v>
      </c>
      <c r="L228" s="36">
        <f t="shared" si="11"/>
        <v>3582488</v>
      </c>
      <c r="M228" s="37"/>
      <c r="N228" s="253"/>
      <c r="O228" s="38"/>
    </row>
    <row r="229" spans="1:15" s="29" customFormat="1" ht="24.95" customHeight="1">
      <c r="A229" s="31" t="s">
        <v>1028</v>
      </c>
      <c r="B229" s="32" t="s">
        <v>1033</v>
      </c>
      <c r="C229" s="33">
        <v>28</v>
      </c>
      <c r="D229" s="34" t="s">
        <v>116</v>
      </c>
      <c r="E229" s="36">
        <v>54695</v>
      </c>
      <c r="F229" s="36">
        <f t="shared" si="19"/>
        <v>1531460</v>
      </c>
      <c r="G229" s="36">
        <v>19645</v>
      </c>
      <c r="H229" s="36">
        <f t="shared" si="20"/>
        <v>550060</v>
      </c>
      <c r="I229" s="36">
        <v>19936</v>
      </c>
      <c r="J229" s="36">
        <f t="shared" si="21"/>
        <v>558208</v>
      </c>
      <c r="K229" s="36">
        <f t="shared" si="12"/>
        <v>94276</v>
      </c>
      <c r="L229" s="36">
        <f t="shared" si="11"/>
        <v>2639728</v>
      </c>
      <c r="M229" s="37"/>
      <c r="N229" s="253"/>
      <c r="O229" s="38"/>
    </row>
    <row r="230" spans="1:15" s="29" customFormat="1" ht="24.95" customHeight="1">
      <c r="A230" s="31" t="s">
        <v>1028</v>
      </c>
      <c r="B230" s="32" t="s">
        <v>1034</v>
      </c>
      <c r="C230" s="33">
        <v>28</v>
      </c>
      <c r="D230" s="34" t="s">
        <v>116</v>
      </c>
      <c r="E230" s="36">
        <v>54695</v>
      </c>
      <c r="F230" s="36">
        <f t="shared" si="19"/>
        <v>1531460</v>
      </c>
      <c r="G230" s="36">
        <v>19645</v>
      </c>
      <c r="H230" s="36">
        <f t="shared" si="20"/>
        <v>550060</v>
      </c>
      <c r="I230" s="36">
        <v>19936</v>
      </c>
      <c r="J230" s="36">
        <f t="shared" si="21"/>
        <v>558208</v>
      </c>
      <c r="K230" s="36">
        <f t="shared" si="12"/>
        <v>94276</v>
      </c>
      <c r="L230" s="36">
        <f t="shared" si="11"/>
        <v>2639728</v>
      </c>
      <c r="M230" s="37"/>
      <c r="N230" s="253"/>
      <c r="O230" s="38"/>
    </row>
    <row r="231" spans="1:15" s="29" customFormat="1" ht="24.95" customHeight="1">
      <c r="A231" s="31" t="s">
        <v>1028</v>
      </c>
      <c r="B231" s="32" t="s">
        <v>1035</v>
      </c>
      <c r="C231" s="33">
        <v>210</v>
      </c>
      <c r="D231" s="34" t="s">
        <v>116</v>
      </c>
      <c r="E231" s="36">
        <v>54695</v>
      </c>
      <c r="F231" s="36">
        <f t="shared" si="19"/>
        <v>11485950</v>
      </c>
      <c r="G231" s="36">
        <v>19645</v>
      </c>
      <c r="H231" s="36">
        <f t="shared" si="20"/>
        <v>4125450</v>
      </c>
      <c r="I231" s="36">
        <v>19936</v>
      </c>
      <c r="J231" s="36">
        <f t="shared" si="21"/>
        <v>4186560</v>
      </c>
      <c r="K231" s="36">
        <f t="shared" si="12"/>
        <v>94276</v>
      </c>
      <c r="L231" s="36">
        <f t="shared" si="11"/>
        <v>19797960</v>
      </c>
      <c r="M231" s="37"/>
      <c r="N231" s="253"/>
      <c r="O231" s="38"/>
    </row>
    <row r="232" spans="1:15" s="29" customFormat="1" ht="24.95" customHeight="1">
      <c r="A232" s="31" t="s">
        <v>1028</v>
      </c>
      <c r="B232" s="32" t="s">
        <v>1036</v>
      </c>
      <c r="C232" s="33">
        <v>16</v>
      </c>
      <c r="D232" s="34" t="s">
        <v>116</v>
      </c>
      <c r="E232" s="36">
        <v>54695</v>
      </c>
      <c r="F232" s="36">
        <f t="shared" si="19"/>
        <v>875120</v>
      </c>
      <c r="G232" s="36">
        <v>19645</v>
      </c>
      <c r="H232" s="36">
        <f t="shared" si="20"/>
        <v>314320</v>
      </c>
      <c r="I232" s="36">
        <v>19936</v>
      </c>
      <c r="J232" s="36">
        <f t="shared" si="21"/>
        <v>318976</v>
      </c>
      <c r="K232" s="36">
        <f t="shared" si="12"/>
        <v>94276</v>
      </c>
      <c r="L232" s="36">
        <f t="shared" si="11"/>
        <v>1508416</v>
      </c>
      <c r="M232" s="37"/>
      <c r="N232" s="253"/>
      <c r="O232" s="38"/>
    </row>
    <row r="233" spans="1:15" s="29" customFormat="1" ht="24.95" customHeight="1">
      <c r="A233" s="31" t="s">
        <v>1028</v>
      </c>
      <c r="B233" s="32" t="s">
        <v>1037</v>
      </c>
      <c r="C233" s="33">
        <v>1264</v>
      </c>
      <c r="D233" s="34" t="s">
        <v>116</v>
      </c>
      <c r="E233" s="36">
        <v>54695</v>
      </c>
      <c r="F233" s="36">
        <f t="shared" si="19"/>
        <v>69134480</v>
      </c>
      <c r="G233" s="36">
        <v>22716</v>
      </c>
      <c r="H233" s="36">
        <f t="shared" si="20"/>
        <v>28713024</v>
      </c>
      <c r="I233" s="36">
        <v>19936</v>
      </c>
      <c r="J233" s="36">
        <f t="shared" si="21"/>
        <v>25199104</v>
      </c>
      <c r="K233" s="36">
        <f t="shared" si="12"/>
        <v>97347</v>
      </c>
      <c r="L233" s="36">
        <f t="shared" si="11"/>
        <v>123046608</v>
      </c>
      <c r="M233" s="37"/>
      <c r="N233" s="253"/>
      <c r="O233" s="38"/>
    </row>
    <row r="234" spans="1:15" s="29" customFormat="1" ht="24.95" customHeight="1">
      <c r="A234" s="31" t="s">
        <v>1028</v>
      </c>
      <c r="B234" s="32" t="s">
        <v>1038</v>
      </c>
      <c r="C234" s="33">
        <v>173</v>
      </c>
      <c r="D234" s="34" t="s">
        <v>116</v>
      </c>
      <c r="E234" s="36">
        <v>54695</v>
      </c>
      <c r="F234" s="36">
        <f t="shared" si="19"/>
        <v>9462235</v>
      </c>
      <c r="G234" s="36">
        <v>22716</v>
      </c>
      <c r="H234" s="36">
        <f t="shared" si="20"/>
        <v>3929868</v>
      </c>
      <c r="I234" s="36">
        <v>19936</v>
      </c>
      <c r="J234" s="36">
        <f t="shared" si="21"/>
        <v>3448928</v>
      </c>
      <c r="K234" s="36">
        <f t="shared" si="12"/>
        <v>97347</v>
      </c>
      <c r="L234" s="36">
        <f t="shared" si="11"/>
        <v>16841031</v>
      </c>
      <c r="M234" s="37"/>
      <c r="N234" s="253"/>
      <c r="O234" s="38"/>
    </row>
    <row r="235" spans="1:15" s="29" customFormat="1" ht="24.95" customHeight="1">
      <c r="A235" s="31" t="s">
        <v>1039</v>
      </c>
      <c r="B235" s="32" t="s">
        <v>1040</v>
      </c>
      <c r="C235" s="33">
        <v>836</v>
      </c>
      <c r="D235" s="34" t="s">
        <v>116</v>
      </c>
      <c r="E235" s="36">
        <v>62509</v>
      </c>
      <c r="F235" s="36">
        <f t="shared" si="19"/>
        <v>52257524</v>
      </c>
      <c r="G235" s="36">
        <v>27836</v>
      </c>
      <c r="H235" s="36">
        <f t="shared" si="20"/>
        <v>23270896</v>
      </c>
      <c r="I235" s="36">
        <v>22783</v>
      </c>
      <c r="J235" s="36">
        <f t="shared" si="21"/>
        <v>19046588</v>
      </c>
      <c r="K235" s="36">
        <f t="shared" si="12"/>
        <v>113128</v>
      </c>
      <c r="L235" s="36">
        <f t="shared" si="11"/>
        <v>94575008</v>
      </c>
      <c r="M235" s="37"/>
      <c r="N235" s="253"/>
      <c r="O235" s="38"/>
    </row>
    <row r="236" spans="1:15" s="29" customFormat="1" ht="24.95" customHeight="1">
      <c r="A236" s="31" t="s">
        <v>1039</v>
      </c>
      <c r="B236" s="32" t="s">
        <v>1041</v>
      </c>
      <c r="C236" s="33">
        <v>2</v>
      </c>
      <c r="D236" s="34" t="s">
        <v>116</v>
      </c>
      <c r="E236" s="36">
        <v>62509</v>
      </c>
      <c r="F236" s="36">
        <f t="shared" si="19"/>
        <v>125018</v>
      </c>
      <c r="G236" s="36">
        <v>27836</v>
      </c>
      <c r="H236" s="36">
        <f t="shared" si="20"/>
        <v>55672</v>
      </c>
      <c r="I236" s="36">
        <v>22783</v>
      </c>
      <c r="J236" s="36">
        <f t="shared" si="21"/>
        <v>45566</v>
      </c>
      <c r="K236" s="36">
        <f t="shared" si="12"/>
        <v>113128</v>
      </c>
      <c r="L236" s="36">
        <f t="shared" si="11"/>
        <v>226256</v>
      </c>
      <c r="M236" s="37"/>
      <c r="N236" s="253"/>
      <c r="O236" s="38"/>
    </row>
    <row r="237" spans="1:15" s="29" customFormat="1" ht="24.95" customHeight="1">
      <c r="A237" s="31" t="s">
        <v>1039</v>
      </c>
      <c r="B237" s="32" t="s">
        <v>1042</v>
      </c>
      <c r="C237" s="33">
        <v>472</v>
      </c>
      <c r="D237" s="34" t="s">
        <v>116</v>
      </c>
      <c r="E237" s="36">
        <v>62509</v>
      </c>
      <c r="F237" s="36">
        <f t="shared" si="19"/>
        <v>29504248</v>
      </c>
      <c r="G237" s="36">
        <v>30826</v>
      </c>
      <c r="H237" s="36">
        <f t="shared" si="20"/>
        <v>14549872</v>
      </c>
      <c r="I237" s="36">
        <v>38870</v>
      </c>
      <c r="J237" s="36">
        <f t="shared" si="21"/>
        <v>18346640</v>
      </c>
      <c r="K237" s="36">
        <f t="shared" si="12"/>
        <v>132205</v>
      </c>
      <c r="L237" s="36">
        <f t="shared" si="11"/>
        <v>62400760</v>
      </c>
      <c r="M237" s="37"/>
      <c r="N237" s="253"/>
      <c r="O237" s="38"/>
    </row>
    <row r="238" spans="1:15" s="29" customFormat="1" ht="24.95" customHeight="1">
      <c r="A238" s="31" t="s">
        <v>1039</v>
      </c>
      <c r="B238" s="32" t="s">
        <v>1043</v>
      </c>
      <c r="C238" s="33">
        <v>35</v>
      </c>
      <c r="D238" s="34" t="s">
        <v>116</v>
      </c>
      <c r="E238" s="36">
        <v>62509</v>
      </c>
      <c r="F238" s="36">
        <f t="shared" si="19"/>
        <v>2187815</v>
      </c>
      <c r="G238" s="36">
        <v>30826</v>
      </c>
      <c r="H238" s="36">
        <f t="shared" si="20"/>
        <v>1078910</v>
      </c>
      <c r="I238" s="36">
        <v>38870</v>
      </c>
      <c r="J238" s="36">
        <f t="shared" si="21"/>
        <v>1360450</v>
      </c>
      <c r="K238" s="36">
        <f t="shared" si="12"/>
        <v>132205</v>
      </c>
      <c r="L238" s="36">
        <f t="shared" si="11"/>
        <v>4627175</v>
      </c>
      <c r="M238" s="37"/>
      <c r="N238" s="253"/>
      <c r="O238" s="38"/>
    </row>
    <row r="239" spans="1:15" s="29" customFormat="1" ht="24.95" customHeight="1">
      <c r="A239" s="31" t="s">
        <v>1044</v>
      </c>
      <c r="B239" s="32" t="s">
        <v>1045</v>
      </c>
      <c r="C239" s="33">
        <v>137</v>
      </c>
      <c r="D239" s="34" t="s">
        <v>116</v>
      </c>
      <c r="E239" s="36">
        <v>140024</v>
      </c>
      <c r="F239" s="36">
        <f t="shared" si="19"/>
        <v>19183288</v>
      </c>
      <c r="G239" s="36">
        <v>58126</v>
      </c>
      <c r="H239" s="36">
        <f t="shared" si="20"/>
        <v>7963262</v>
      </c>
      <c r="I239" s="36">
        <v>157358</v>
      </c>
      <c r="J239" s="36">
        <f t="shared" si="21"/>
        <v>21558046</v>
      </c>
      <c r="K239" s="36">
        <f t="shared" si="12"/>
        <v>355508</v>
      </c>
      <c r="L239" s="36">
        <f t="shared" si="11"/>
        <v>48704596</v>
      </c>
      <c r="M239" s="37"/>
      <c r="N239" s="253"/>
      <c r="O239" s="38"/>
    </row>
    <row r="240" spans="1:15" s="29" customFormat="1" ht="24.95" customHeight="1">
      <c r="A240" s="31" t="s">
        <v>1044</v>
      </c>
      <c r="B240" s="32" t="s">
        <v>1046</v>
      </c>
      <c r="C240" s="33">
        <v>4</v>
      </c>
      <c r="D240" s="34" t="s">
        <v>116</v>
      </c>
      <c r="E240" s="36">
        <v>140024</v>
      </c>
      <c r="F240" s="36">
        <f t="shared" si="19"/>
        <v>560096</v>
      </c>
      <c r="G240" s="36">
        <v>58126</v>
      </c>
      <c r="H240" s="36">
        <f t="shared" si="20"/>
        <v>232504</v>
      </c>
      <c r="I240" s="36">
        <v>157358</v>
      </c>
      <c r="J240" s="36">
        <f t="shared" si="21"/>
        <v>629432</v>
      </c>
      <c r="K240" s="36">
        <f t="shared" si="12"/>
        <v>355508</v>
      </c>
      <c r="L240" s="36">
        <f t="shared" si="11"/>
        <v>1422032</v>
      </c>
      <c r="M240" s="37"/>
      <c r="N240" s="253"/>
      <c r="O240" s="38"/>
    </row>
    <row r="241" spans="1:15" s="29" customFormat="1" ht="24.95" customHeight="1">
      <c r="A241" s="31" t="s">
        <v>1028</v>
      </c>
      <c r="B241" s="32" t="s">
        <v>1047</v>
      </c>
      <c r="C241" s="33">
        <v>12</v>
      </c>
      <c r="D241" s="34" t="s">
        <v>116</v>
      </c>
      <c r="E241" s="36">
        <v>43757</v>
      </c>
      <c r="F241" s="36">
        <f t="shared" si="19"/>
        <v>525084</v>
      </c>
      <c r="G241" s="36">
        <v>27739</v>
      </c>
      <c r="H241" s="36">
        <f t="shared" si="20"/>
        <v>332868</v>
      </c>
      <c r="I241" s="36">
        <v>15948</v>
      </c>
      <c r="J241" s="36">
        <f t="shared" si="21"/>
        <v>191376</v>
      </c>
      <c r="K241" s="36">
        <f t="shared" si="12"/>
        <v>87444</v>
      </c>
      <c r="L241" s="36">
        <f t="shared" si="11"/>
        <v>1049328</v>
      </c>
      <c r="M241" s="37"/>
      <c r="N241" s="253"/>
      <c r="O241" s="38"/>
    </row>
    <row r="242" spans="1:15" s="29" customFormat="1" ht="24.95" customHeight="1">
      <c r="A242" s="31" t="s">
        <v>1028</v>
      </c>
      <c r="B242" s="32" t="s">
        <v>1048</v>
      </c>
      <c r="C242" s="33">
        <v>19</v>
      </c>
      <c r="D242" s="34" t="s">
        <v>116</v>
      </c>
      <c r="E242" s="36">
        <v>43757</v>
      </c>
      <c r="F242" s="36">
        <f t="shared" si="19"/>
        <v>831383</v>
      </c>
      <c r="G242" s="36">
        <v>27739</v>
      </c>
      <c r="H242" s="36">
        <f t="shared" si="20"/>
        <v>527041</v>
      </c>
      <c r="I242" s="36">
        <v>15948</v>
      </c>
      <c r="J242" s="36">
        <f t="shared" si="21"/>
        <v>303012</v>
      </c>
      <c r="K242" s="36">
        <f t="shared" si="12"/>
        <v>87444</v>
      </c>
      <c r="L242" s="36">
        <f t="shared" si="11"/>
        <v>1661436</v>
      </c>
      <c r="M242" s="37"/>
      <c r="N242" s="253"/>
      <c r="O242" s="38"/>
    </row>
    <row r="243" spans="1:15" s="29" customFormat="1" ht="24.95" customHeight="1">
      <c r="A243" s="31" t="s">
        <v>1044</v>
      </c>
      <c r="B243" s="32" t="s">
        <v>1049</v>
      </c>
      <c r="C243" s="33">
        <v>257</v>
      </c>
      <c r="D243" s="34" t="s">
        <v>116</v>
      </c>
      <c r="E243" s="36">
        <v>140024</v>
      </c>
      <c r="F243" s="36">
        <f t="shared" si="19"/>
        <v>35986168</v>
      </c>
      <c r="G243" s="36">
        <v>58126</v>
      </c>
      <c r="H243" s="36">
        <f t="shared" si="20"/>
        <v>14938382</v>
      </c>
      <c r="I243" s="36">
        <v>157358</v>
      </c>
      <c r="J243" s="36">
        <f t="shared" si="21"/>
        <v>40441006</v>
      </c>
      <c r="K243" s="36">
        <f t="shared" si="12"/>
        <v>355508</v>
      </c>
      <c r="L243" s="36">
        <f t="shared" si="11"/>
        <v>91365556</v>
      </c>
      <c r="M243" s="37"/>
      <c r="N243" s="253"/>
      <c r="O243" s="38"/>
    </row>
    <row r="244" spans="1:15" s="29" customFormat="1" ht="24.95" customHeight="1">
      <c r="A244" s="31" t="s">
        <v>1044</v>
      </c>
      <c r="B244" s="32" t="s">
        <v>1050</v>
      </c>
      <c r="C244" s="33">
        <v>27</v>
      </c>
      <c r="D244" s="34" t="s">
        <v>116</v>
      </c>
      <c r="E244" s="36">
        <v>140024</v>
      </c>
      <c r="F244" s="36">
        <f t="shared" si="19"/>
        <v>3780648</v>
      </c>
      <c r="G244" s="36">
        <v>58126</v>
      </c>
      <c r="H244" s="36">
        <f t="shared" si="20"/>
        <v>1569402</v>
      </c>
      <c r="I244" s="36">
        <v>157358</v>
      </c>
      <c r="J244" s="36">
        <f t="shared" si="21"/>
        <v>4248666</v>
      </c>
      <c r="K244" s="36">
        <f t="shared" si="12"/>
        <v>355508</v>
      </c>
      <c r="L244" s="36">
        <f t="shared" si="11"/>
        <v>9598716</v>
      </c>
      <c r="M244" s="37"/>
      <c r="N244" s="253"/>
      <c r="O244" s="38"/>
    </row>
    <row r="245" spans="1:15" s="29" customFormat="1" ht="24.95" customHeight="1">
      <c r="A245" s="31" t="s">
        <v>1044</v>
      </c>
      <c r="B245" s="32" t="s">
        <v>1051</v>
      </c>
      <c r="C245" s="33">
        <v>87</v>
      </c>
      <c r="D245" s="34" t="s">
        <v>116</v>
      </c>
      <c r="E245" s="36">
        <v>140024</v>
      </c>
      <c r="F245" s="36">
        <f t="shared" si="19"/>
        <v>12182088</v>
      </c>
      <c r="G245" s="36">
        <v>58126</v>
      </c>
      <c r="H245" s="36">
        <f t="shared" si="20"/>
        <v>5056962</v>
      </c>
      <c r="I245" s="36">
        <v>157358</v>
      </c>
      <c r="J245" s="36">
        <f t="shared" si="21"/>
        <v>13690146</v>
      </c>
      <c r="K245" s="36">
        <f t="shared" si="12"/>
        <v>355508</v>
      </c>
      <c r="L245" s="36">
        <f t="shared" si="11"/>
        <v>30929196</v>
      </c>
      <c r="M245" s="37"/>
      <c r="N245" s="253"/>
      <c r="O245" s="38"/>
    </row>
    <row r="246" spans="1:15" s="29" customFormat="1" ht="24.95" customHeight="1">
      <c r="A246" s="31" t="s">
        <v>1044</v>
      </c>
      <c r="B246" s="32" t="s">
        <v>1052</v>
      </c>
      <c r="C246" s="33">
        <v>93</v>
      </c>
      <c r="D246" s="34" t="s">
        <v>116</v>
      </c>
      <c r="E246" s="36">
        <v>140024</v>
      </c>
      <c r="F246" s="36">
        <f t="shared" si="19"/>
        <v>13022232</v>
      </c>
      <c r="G246" s="36">
        <v>58126</v>
      </c>
      <c r="H246" s="36">
        <f t="shared" si="20"/>
        <v>5405718</v>
      </c>
      <c r="I246" s="36">
        <v>157358</v>
      </c>
      <c r="J246" s="36">
        <f t="shared" si="21"/>
        <v>14634294</v>
      </c>
      <c r="K246" s="36">
        <f t="shared" si="12"/>
        <v>355508</v>
      </c>
      <c r="L246" s="36">
        <f t="shared" si="11"/>
        <v>33062244</v>
      </c>
      <c r="M246" s="37"/>
      <c r="N246" s="253"/>
      <c r="O246" s="38"/>
    </row>
    <row r="247" spans="1:15" s="29" customFormat="1" ht="24.95" customHeight="1">
      <c r="A247" s="31" t="s">
        <v>1053</v>
      </c>
      <c r="B247" s="32" t="s">
        <v>22</v>
      </c>
      <c r="C247" s="33"/>
      <c r="D247" s="34" t="s">
        <v>22</v>
      </c>
      <c r="E247" s="34"/>
      <c r="F247" s="36">
        <f>TRUNC(F248+F249+F250+F251+F252+F253+F254+F255+F256+F257+F258+F259+F260+F261,0)</f>
        <v>40354268</v>
      </c>
      <c r="G247" s="34"/>
      <c r="H247" s="36">
        <f>TRUNC(H248+H249+H250+H251+H252+H253+H254+H255+H256+H257+H258+H259+H260+H261,0)</f>
        <v>16775904</v>
      </c>
      <c r="I247" s="34"/>
      <c r="J247" s="36">
        <f>TRUNC(J248+J249+J250+J251+J252+J253+J254+J255+J256+J257+J258+J259+J260+J261,0)</f>
        <v>28123128</v>
      </c>
      <c r="K247" s="36">
        <f t="shared" si="12"/>
        <v>0</v>
      </c>
      <c r="L247" s="36">
        <f t="shared" si="11"/>
        <v>85253300</v>
      </c>
      <c r="M247" s="37"/>
      <c r="N247" s="253"/>
    </row>
    <row r="248" spans="1:15" s="29" customFormat="1" ht="24.95" customHeight="1">
      <c r="A248" s="31" t="s">
        <v>1028</v>
      </c>
      <c r="B248" s="32" t="s">
        <v>1054</v>
      </c>
      <c r="C248" s="33">
        <v>56</v>
      </c>
      <c r="D248" s="34" t="s">
        <v>116</v>
      </c>
      <c r="E248" s="36">
        <v>54695</v>
      </c>
      <c r="F248" s="36">
        <f t="shared" ref="F248:F261" si="22">TRUNC(E248*$C248,0)</f>
        <v>3062920</v>
      </c>
      <c r="G248" s="36">
        <v>19645</v>
      </c>
      <c r="H248" s="36">
        <f t="shared" ref="H248:H261" si="23">TRUNC(G248*$C248,0)</f>
        <v>1100120</v>
      </c>
      <c r="I248" s="36">
        <v>19936</v>
      </c>
      <c r="J248" s="36">
        <f t="shared" ref="J248:J261" si="24">TRUNC(I248*$C248,0)</f>
        <v>1116416</v>
      </c>
      <c r="K248" s="36">
        <f t="shared" si="12"/>
        <v>94276</v>
      </c>
      <c r="L248" s="36">
        <f t="shared" si="11"/>
        <v>5279456</v>
      </c>
      <c r="M248" s="37"/>
      <c r="N248" s="253"/>
      <c r="O248" s="38"/>
    </row>
    <row r="249" spans="1:15" s="29" customFormat="1" ht="24.95" customHeight="1">
      <c r="A249" s="31" t="s">
        <v>1028</v>
      </c>
      <c r="B249" s="32" t="s">
        <v>1055</v>
      </c>
      <c r="C249" s="33">
        <v>76</v>
      </c>
      <c r="D249" s="34" t="s">
        <v>116</v>
      </c>
      <c r="E249" s="36">
        <v>54695</v>
      </c>
      <c r="F249" s="36">
        <f t="shared" si="22"/>
        <v>4156820</v>
      </c>
      <c r="G249" s="36">
        <v>19645</v>
      </c>
      <c r="H249" s="36">
        <f t="shared" si="23"/>
        <v>1493020</v>
      </c>
      <c r="I249" s="36">
        <v>19936</v>
      </c>
      <c r="J249" s="36">
        <f t="shared" si="24"/>
        <v>1515136</v>
      </c>
      <c r="K249" s="36">
        <f t="shared" si="12"/>
        <v>94276</v>
      </c>
      <c r="L249" s="36">
        <f t="shared" si="11"/>
        <v>7164976</v>
      </c>
      <c r="M249" s="37"/>
      <c r="N249" s="253"/>
      <c r="O249" s="38"/>
    </row>
    <row r="250" spans="1:15" s="29" customFormat="1" ht="24.95" customHeight="1">
      <c r="A250" s="31" t="s">
        <v>1028</v>
      </c>
      <c r="B250" s="32" t="s">
        <v>1056</v>
      </c>
      <c r="C250" s="33">
        <v>44</v>
      </c>
      <c r="D250" s="34" t="s">
        <v>116</v>
      </c>
      <c r="E250" s="36">
        <v>54695</v>
      </c>
      <c r="F250" s="36">
        <f t="shared" si="22"/>
        <v>2406580</v>
      </c>
      <c r="G250" s="36">
        <v>19645</v>
      </c>
      <c r="H250" s="36">
        <f t="shared" si="23"/>
        <v>864380</v>
      </c>
      <c r="I250" s="36">
        <v>19936</v>
      </c>
      <c r="J250" s="36">
        <f t="shared" si="24"/>
        <v>877184</v>
      </c>
      <c r="K250" s="36">
        <f t="shared" si="12"/>
        <v>94276</v>
      </c>
      <c r="L250" s="36">
        <f t="shared" si="11"/>
        <v>4148144</v>
      </c>
      <c r="M250" s="37"/>
      <c r="N250" s="253"/>
      <c r="O250" s="38"/>
    </row>
    <row r="251" spans="1:15" s="29" customFormat="1" ht="24.95" customHeight="1">
      <c r="A251" s="31" t="s">
        <v>1028</v>
      </c>
      <c r="B251" s="32" t="s">
        <v>1057</v>
      </c>
      <c r="C251" s="33">
        <v>16</v>
      </c>
      <c r="D251" s="34" t="s">
        <v>116</v>
      </c>
      <c r="E251" s="36">
        <v>54695</v>
      </c>
      <c r="F251" s="36">
        <f t="shared" si="22"/>
        <v>875120</v>
      </c>
      <c r="G251" s="36">
        <v>19645</v>
      </c>
      <c r="H251" s="36">
        <f t="shared" si="23"/>
        <v>314320</v>
      </c>
      <c r="I251" s="36">
        <v>19936</v>
      </c>
      <c r="J251" s="36">
        <f t="shared" si="24"/>
        <v>318976</v>
      </c>
      <c r="K251" s="36">
        <f t="shared" si="12"/>
        <v>94276</v>
      </c>
      <c r="L251" s="36">
        <f t="shared" si="11"/>
        <v>1508416</v>
      </c>
      <c r="M251" s="37"/>
      <c r="N251" s="253"/>
      <c r="O251" s="38"/>
    </row>
    <row r="252" spans="1:15" s="29" customFormat="1" ht="24.95" customHeight="1">
      <c r="A252" s="31" t="s">
        <v>1028</v>
      </c>
      <c r="B252" s="32" t="s">
        <v>1058</v>
      </c>
      <c r="C252" s="33">
        <v>10</v>
      </c>
      <c r="D252" s="34" t="s">
        <v>116</v>
      </c>
      <c r="E252" s="36">
        <v>54695</v>
      </c>
      <c r="F252" s="36">
        <f t="shared" si="22"/>
        <v>546950</v>
      </c>
      <c r="G252" s="36">
        <v>22716</v>
      </c>
      <c r="H252" s="36">
        <f t="shared" si="23"/>
        <v>227160</v>
      </c>
      <c r="I252" s="36">
        <v>19936</v>
      </c>
      <c r="J252" s="36">
        <f t="shared" si="24"/>
        <v>199360</v>
      </c>
      <c r="K252" s="36">
        <f t="shared" si="12"/>
        <v>97347</v>
      </c>
      <c r="L252" s="36">
        <f t="shared" si="11"/>
        <v>973470</v>
      </c>
      <c r="M252" s="37"/>
      <c r="N252" s="253"/>
      <c r="O252" s="38"/>
    </row>
    <row r="253" spans="1:15" s="29" customFormat="1" ht="24.95" customHeight="1">
      <c r="A253" s="31" t="s">
        <v>1028</v>
      </c>
      <c r="B253" s="32" t="s">
        <v>1059</v>
      </c>
      <c r="C253" s="33">
        <v>12</v>
      </c>
      <c r="D253" s="34" t="s">
        <v>116</v>
      </c>
      <c r="E253" s="36">
        <v>54695</v>
      </c>
      <c r="F253" s="36">
        <f t="shared" si="22"/>
        <v>656340</v>
      </c>
      <c r="G253" s="36">
        <v>22716</v>
      </c>
      <c r="H253" s="36">
        <f t="shared" si="23"/>
        <v>272592</v>
      </c>
      <c r="I253" s="36">
        <v>19936</v>
      </c>
      <c r="J253" s="36">
        <f t="shared" si="24"/>
        <v>239232</v>
      </c>
      <c r="K253" s="36">
        <f t="shared" si="12"/>
        <v>97347</v>
      </c>
      <c r="L253" s="36">
        <f t="shared" si="11"/>
        <v>1168164</v>
      </c>
      <c r="M253" s="37"/>
      <c r="N253" s="253"/>
      <c r="O253" s="38"/>
    </row>
    <row r="254" spans="1:15" s="29" customFormat="1" ht="24.95" customHeight="1">
      <c r="A254" s="31" t="s">
        <v>1039</v>
      </c>
      <c r="B254" s="32" t="s">
        <v>1060</v>
      </c>
      <c r="C254" s="33">
        <v>70</v>
      </c>
      <c r="D254" s="34" t="s">
        <v>116</v>
      </c>
      <c r="E254" s="36">
        <v>62509</v>
      </c>
      <c r="F254" s="36">
        <f t="shared" si="22"/>
        <v>4375630</v>
      </c>
      <c r="G254" s="36">
        <v>27836</v>
      </c>
      <c r="H254" s="36">
        <f t="shared" si="23"/>
        <v>1948520</v>
      </c>
      <c r="I254" s="36">
        <v>22783</v>
      </c>
      <c r="J254" s="36">
        <f t="shared" si="24"/>
        <v>1594810</v>
      </c>
      <c r="K254" s="36">
        <f t="shared" si="12"/>
        <v>113128</v>
      </c>
      <c r="L254" s="36">
        <f t="shared" si="11"/>
        <v>7918960</v>
      </c>
      <c r="M254" s="37"/>
      <c r="N254" s="253"/>
      <c r="O254" s="38"/>
    </row>
    <row r="255" spans="1:15" s="29" customFormat="1" ht="24.95" customHeight="1">
      <c r="A255" s="31" t="s">
        <v>1039</v>
      </c>
      <c r="B255" s="32" t="s">
        <v>1061</v>
      </c>
      <c r="C255" s="33">
        <v>70</v>
      </c>
      <c r="D255" s="34" t="s">
        <v>116</v>
      </c>
      <c r="E255" s="36">
        <v>62509</v>
      </c>
      <c r="F255" s="36">
        <f t="shared" si="22"/>
        <v>4375630</v>
      </c>
      <c r="G255" s="36">
        <v>27836</v>
      </c>
      <c r="H255" s="36">
        <f t="shared" si="23"/>
        <v>1948520</v>
      </c>
      <c r="I255" s="36">
        <v>22783</v>
      </c>
      <c r="J255" s="36">
        <f t="shared" si="24"/>
        <v>1594810</v>
      </c>
      <c r="K255" s="36">
        <f t="shared" si="12"/>
        <v>113128</v>
      </c>
      <c r="L255" s="36">
        <f t="shared" si="11"/>
        <v>7918960</v>
      </c>
      <c r="M255" s="37"/>
      <c r="N255" s="253"/>
      <c r="O255" s="38"/>
    </row>
    <row r="256" spans="1:15" s="29" customFormat="1" ht="24.95" customHeight="1">
      <c r="A256" s="31" t="s">
        <v>1039</v>
      </c>
      <c r="B256" s="32" t="s">
        <v>1062</v>
      </c>
      <c r="C256" s="33">
        <v>54</v>
      </c>
      <c r="D256" s="34" t="s">
        <v>116</v>
      </c>
      <c r="E256" s="36">
        <v>62509</v>
      </c>
      <c r="F256" s="36">
        <f t="shared" si="22"/>
        <v>3375486</v>
      </c>
      <c r="G256" s="36">
        <v>30826</v>
      </c>
      <c r="H256" s="36">
        <f t="shared" si="23"/>
        <v>1664604</v>
      </c>
      <c r="I256" s="36">
        <v>38870</v>
      </c>
      <c r="J256" s="36">
        <f t="shared" si="24"/>
        <v>2098980</v>
      </c>
      <c r="K256" s="36">
        <f t="shared" si="12"/>
        <v>132205</v>
      </c>
      <c r="L256" s="36">
        <f t="shared" si="12"/>
        <v>7139070</v>
      </c>
      <c r="M256" s="37"/>
      <c r="N256" s="253"/>
      <c r="O256" s="38"/>
    </row>
    <row r="257" spans="1:15" s="29" customFormat="1" ht="24.95" customHeight="1">
      <c r="A257" s="31" t="s">
        <v>1044</v>
      </c>
      <c r="B257" s="32" t="s">
        <v>1063</v>
      </c>
      <c r="C257" s="33">
        <v>48</v>
      </c>
      <c r="D257" s="34" t="s">
        <v>116</v>
      </c>
      <c r="E257" s="36">
        <v>140024</v>
      </c>
      <c r="F257" s="36">
        <f t="shared" si="22"/>
        <v>6721152</v>
      </c>
      <c r="G257" s="36">
        <v>58126</v>
      </c>
      <c r="H257" s="36">
        <f t="shared" si="23"/>
        <v>2790048</v>
      </c>
      <c r="I257" s="36">
        <v>157358</v>
      </c>
      <c r="J257" s="36">
        <f t="shared" si="24"/>
        <v>7553184</v>
      </c>
      <c r="K257" s="36">
        <f t="shared" ref="K257:L320" si="25">G257+E257+I257</f>
        <v>355508</v>
      </c>
      <c r="L257" s="36">
        <f t="shared" si="25"/>
        <v>17064384</v>
      </c>
      <c r="M257" s="37"/>
      <c r="N257" s="253"/>
      <c r="O257" s="38"/>
    </row>
    <row r="258" spans="1:15" s="29" customFormat="1" ht="24.95" customHeight="1">
      <c r="A258" s="31" t="s">
        <v>1044</v>
      </c>
      <c r="B258" s="32" t="s">
        <v>1064</v>
      </c>
      <c r="C258" s="33">
        <v>16</v>
      </c>
      <c r="D258" s="34" t="s">
        <v>116</v>
      </c>
      <c r="E258" s="36">
        <v>140024</v>
      </c>
      <c r="F258" s="36">
        <f t="shared" si="22"/>
        <v>2240384</v>
      </c>
      <c r="G258" s="36">
        <v>58126</v>
      </c>
      <c r="H258" s="36">
        <f t="shared" si="23"/>
        <v>930016</v>
      </c>
      <c r="I258" s="36">
        <v>157358</v>
      </c>
      <c r="J258" s="36">
        <f t="shared" si="24"/>
        <v>2517728</v>
      </c>
      <c r="K258" s="36">
        <f t="shared" si="25"/>
        <v>355508</v>
      </c>
      <c r="L258" s="36">
        <f t="shared" si="25"/>
        <v>5688128</v>
      </c>
      <c r="M258" s="37"/>
      <c r="N258" s="253"/>
      <c r="O258" s="38"/>
    </row>
    <row r="259" spans="1:15" s="29" customFormat="1" ht="24.95" customHeight="1">
      <c r="A259" s="31" t="s">
        <v>1044</v>
      </c>
      <c r="B259" s="32" t="s">
        <v>1065</v>
      </c>
      <c r="C259" s="33">
        <v>20</v>
      </c>
      <c r="D259" s="34" t="s">
        <v>116</v>
      </c>
      <c r="E259" s="36">
        <v>70010</v>
      </c>
      <c r="F259" s="36">
        <f t="shared" si="22"/>
        <v>1400200</v>
      </c>
      <c r="G259" s="36">
        <v>33253</v>
      </c>
      <c r="H259" s="36">
        <f t="shared" si="23"/>
        <v>665060</v>
      </c>
      <c r="I259" s="36">
        <v>78678</v>
      </c>
      <c r="J259" s="36">
        <f t="shared" si="24"/>
        <v>1573560</v>
      </c>
      <c r="K259" s="36">
        <f t="shared" si="25"/>
        <v>181941</v>
      </c>
      <c r="L259" s="36">
        <f t="shared" si="25"/>
        <v>3638820</v>
      </c>
      <c r="M259" s="37"/>
      <c r="N259" s="253"/>
      <c r="O259" s="38"/>
    </row>
    <row r="260" spans="1:15" s="29" customFormat="1" ht="24.95" customHeight="1">
      <c r="A260" s="31" t="s">
        <v>1044</v>
      </c>
      <c r="B260" s="32" t="s">
        <v>1066</v>
      </c>
      <c r="C260" s="33">
        <v>7</v>
      </c>
      <c r="D260" s="34" t="s">
        <v>116</v>
      </c>
      <c r="E260" s="36">
        <v>140024</v>
      </c>
      <c r="F260" s="36">
        <f t="shared" si="22"/>
        <v>980168</v>
      </c>
      <c r="G260" s="36">
        <v>58126</v>
      </c>
      <c r="H260" s="36">
        <f t="shared" si="23"/>
        <v>406882</v>
      </c>
      <c r="I260" s="36">
        <v>157358</v>
      </c>
      <c r="J260" s="36">
        <f t="shared" si="24"/>
        <v>1101506</v>
      </c>
      <c r="K260" s="36">
        <f t="shared" si="25"/>
        <v>355508</v>
      </c>
      <c r="L260" s="36">
        <f t="shared" si="25"/>
        <v>2488556</v>
      </c>
      <c r="M260" s="37"/>
      <c r="N260" s="253"/>
      <c r="O260" s="38"/>
    </row>
    <row r="261" spans="1:15" s="29" customFormat="1" ht="24.95" customHeight="1">
      <c r="A261" s="31" t="s">
        <v>1044</v>
      </c>
      <c r="B261" s="32" t="s">
        <v>1067</v>
      </c>
      <c r="C261" s="33">
        <v>37</v>
      </c>
      <c r="D261" s="34" t="s">
        <v>116</v>
      </c>
      <c r="E261" s="36">
        <v>140024</v>
      </c>
      <c r="F261" s="36">
        <f t="shared" si="22"/>
        <v>5180888</v>
      </c>
      <c r="G261" s="36">
        <v>58126</v>
      </c>
      <c r="H261" s="36">
        <f t="shared" si="23"/>
        <v>2150662</v>
      </c>
      <c r="I261" s="36">
        <v>157358</v>
      </c>
      <c r="J261" s="36">
        <f t="shared" si="24"/>
        <v>5822246</v>
      </c>
      <c r="K261" s="36">
        <f t="shared" si="25"/>
        <v>355508</v>
      </c>
      <c r="L261" s="36">
        <f t="shared" si="25"/>
        <v>13153796</v>
      </c>
      <c r="M261" s="37"/>
      <c r="N261" s="253"/>
      <c r="O261" s="38"/>
    </row>
    <row r="262" spans="1:15" s="70" customFormat="1" ht="24.95" customHeight="1">
      <c r="A262" s="64" t="s">
        <v>1068</v>
      </c>
      <c r="B262" s="65" t="s">
        <v>22</v>
      </c>
      <c r="C262" s="66"/>
      <c r="D262" s="67" t="s">
        <v>22</v>
      </c>
      <c r="E262" s="67"/>
      <c r="F262" s="68">
        <f>TRUNC(F263+F264+F265,0)</f>
        <v>69766900</v>
      </c>
      <c r="G262" s="67"/>
      <c r="H262" s="68">
        <f>TRUNC(H263+H264+H265,0)</f>
        <v>20711149</v>
      </c>
      <c r="I262" s="67"/>
      <c r="J262" s="68">
        <f>TRUNC(J263+J264+J265,0)</f>
        <v>5000241</v>
      </c>
      <c r="K262" s="68">
        <f t="shared" si="25"/>
        <v>0</v>
      </c>
      <c r="L262" s="68">
        <f t="shared" si="25"/>
        <v>95478290</v>
      </c>
      <c r="M262" s="69"/>
      <c r="N262" s="256"/>
    </row>
    <row r="263" spans="1:15" s="29" customFormat="1" ht="24.95" customHeight="1">
      <c r="A263" s="31" t="s">
        <v>1069</v>
      </c>
      <c r="B263" s="32" t="s">
        <v>1008</v>
      </c>
      <c r="C263" s="33">
        <v>1839</v>
      </c>
      <c r="D263" s="34" t="s">
        <v>815</v>
      </c>
      <c r="E263" s="36">
        <v>16966</v>
      </c>
      <c r="F263" s="36">
        <f>TRUNC(E263*$C263,0)</f>
        <v>31200474</v>
      </c>
      <c r="G263" s="36">
        <v>1791</v>
      </c>
      <c r="H263" s="36">
        <f>TRUNC(G263*$C263,0)</f>
        <v>3293649</v>
      </c>
      <c r="I263" s="36">
        <v>2719</v>
      </c>
      <c r="J263" s="36">
        <f>TRUNC(I263*$C263,0)</f>
        <v>5000241</v>
      </c>
      <c r="K263" s="36">
        <f t="shared" si="25"/>
        <v>21476</v>
      </c>
      <c r="L263" s="36">
        <f t="shared" si="25"/>
        <v>39494364</v>
      </c>
      <c r="M263" s="37"/>
      <c r="N263" s="253"/>
      <c r="O263" s="38"/>
    </row>
    <row r="264" spans="1:15" s="29" customFormat="1" ht="24.95" customHeight="1">
      <c r="A264" s="31" t="s">
        <v>1070</v>
      </c>
      <c r="B264" s="32" t="s">
        <v>1010</v>
      </c>
      <c r="C264" s="33">
        <v>1250</v>
      </c>
      <c r="D264" s="34" t="s">
        <v>831</v>
      </c>
      <c r="E264" s="36">
        <v>22733</v>
      </c>
      <c r="F264" s="36">
        <f>TRUNC(E264*$C264,0)</f>
        <v>28416250</v>
      </c>
      <c r="G264" s="36">
        <v>13934</v>
      </c>
      <c r="H264" s="36">
        <f>TRUNC(G264*$C264,0)</f>
        <v>17417500</v>
      </c>
      <c r="I264" s="36">
        <v>0</v>
      </c>
      <c r="J264" s="36">
        <f>TRUNC(I264*$C264,0)</f>
        <v>0</v>
      </c>
      <c r="K264" s="36">
        <f t="shared" si="25"/>
        <v>36667</v>
      </c>
      <c r="L264" s="36">
        <f t="shared" si="25"/>
        <v>45833750</v>
      </c>
      <c r="M264" s="37"/>
      <c r="N264" s="253"/>
      <c r="O264" s="38"/>
    </row>
    <row r="265" spans="1:15" s="29" customFormat="1" ht="24.95" customHeight="1">
      <c r="A265" s="31" t="s">
        <v>1071</v>
      </c>
      <c r="B265" s="32" t="s">
        <v>1072</v>
      </c>
      <c r="C265" s="33">
        <v>368</v>
      </c>
      <c r="D265" s="34" t="s">
        <v>815</v>
      </c>
      <c r="E265" s="36">
        <v>27582</v>
      </c>
      <c r="F265" s="36">
        <f>TRUNC(E265*$C265,0)</f>
        <v>10150176</v>
      </c>
      <c r="G265" s="36">
        <v>0</v>
      </c>
      <c r="H265" s="36">
        <f>TRUNC(G265*$C265,0)</f>
        <v>0</v>
      </c>
      <c r="I265" s="36">
        <v>0</v>
      </c>
      <c r="J265" s="36">
        <f>TRUNC(I265*$C265,0)</f>
        <v>0</v>
      </c>
      <c r="K265" s="36">
        <f t="shared" si="25"/>
        <v>27582</v>
      </c>
      <c r="L265" s="36">
        <f t="shared" si="25"/>
        <v>10150176</v>
      </c>
      <c r="M265" s="37"/>
      <c r="N265" s="253"/>
      <c r="O265" s="38"/>
    </row>
    <row r="266" spans="1:15" s="70" customFormat="1" ht="24.95" customHeight="1">
      <c r="A266" s="64" t="s">
        <v>1073</v>
      </c>
      <c r="B266" s="65" t="s">
        <v>22</v>
      </c>
      <c r="C266" s="66"/>
      <c r="D266" s="67" t="s">
        <v>22</v>
      </c>
      <c r="E266" s="67"/>
      <c r="F266" s="68">
        <f>TRUNC(F267+F268+F269+F270+F271+F272,0)</f>
        <v>2522030</v>
      </c>
      <c r="G266" s="67"/>
      <c r="H266" s="68">
        <f>TRUNC(H267+H268+H269+H270+H271+H272,0)</f>
        <v>1225154</v>
      </c>
      <c r="I266" s="67"/>
      <c r="J266" s="68">
        <f>TRUNC(J267+J268+J269+J270+J271+J272,0)</f>
        <v>15940</v>
      </c>
      <c r="K266" s="68">
        <f t="shared" si="25"/>
        <v>0</v>
      </c>
      <c r="L266" s="68">
        <f t="shared" si="25"/>
        <v>3763124</v>
      </c>
      <c r="M266" s="69"/>
      <c r="N266" s="256"/>
    </row>
    <row r="267" spans="1:15" s="29" customFormat="1" ht="24.95" customHeight="1">
      <c r="A267" s="31" t="s">
        <v>1074</v>
      </c>
      <c r="B267" s="32" t="s">
        <v>1075</v>
      </c>
      <c r="C267" s="33">
        <v>6</v>
      </c>
      <c r="D267" s="34" t="s">
        <v>1014</v>
      </c>
      <c r="E267" s="36">
        <v>43812</v>
      </c>
      <c r="F267" s="36">
        <f t="shared" ref="F267:F272" si="26">TRUNC(E267*$C267,0)</f>
        <v>262872</v>
      </c>
      <c r="G267" s="36">
        <v>20007</v>
      </c>
      <c r="H267" s="36">
        <f t="shared" ref="H267:H272" si="27">TRUNC(G267*$C267,0)</f>
        <v>120042</v>
      </c>
      <c r="I267" s="36">
        <v>271</v>
      </c>
      <c r="J267" s="36">
        <f t="shared" ref="J267:J272" si="28">TRUNC(I267*$C267,0)</f>
        <v>1626</v>
      </c>
      <c r="K267" s="36">
        <f t="shared" si="25"/>
        <v>64090</v>
      </c>
      <c r="L267" s="36">
        <f t="shared" si="25"/>
        <v>384540</v>
      </c>
      <c r="M267" s="37"/>
      <c r="N267" s="253"/>
      <c r="O267" s="38"/>
    </row>
    <row r="268" spans="1:15" s="29" customFormat="1" ht="24.95" customHeight="1">
      <c r="A268" s="31" t="s">
        <v>1076</v>
      </c>
      <c r="B268" s="32" t="s">
        <v>1077</v>
      </c>
      <c r="C268" s="33">
        <v>1</v>
      </c>
      <c r="D268" s="34" t="s">
        <v>1014</v>
      </c>
      <c r="E268" s="36">
        <v>56280</v>
      </c>
      <c r="F268" s="36">
        <f t="shared" si="26"/>
        <v>56280</v>
      </c>
      <c r="G268" s="36">
        <v>26350</v>
      </c>
      <c r="H268" s="36">
        <f t="shared" si="27"/>
        <v>26350</v>
      </c>
      <c r="I268" s="36">
        <v>353</v>
      </c>
      <c r="J268" s="36">
        <f t="shared" si="28"/>
        <v>353</v>
      </c>
      <c r="K268" s="36">
        <f t="shared" si="25"/>
        <v>82983</v>
      </c>
      <c r="L268" s="36">
        <f t="shared" si="25"/>
        <v>82983</v>
      </c>
      <c r="M268" s="37"/>
      <c r="N268" s="253"/>
      <c r="O268" s="38"/>
    </row>
    <row r="269" spans="1:15" s="29" customFormat="1" ht="24.95" customHeight="1">
      <c r="A269" s="31" t="s">
        <v>1078</v>
      </c>
      <c r="B269" s="32" t="s">
        <v>1079</v>
      </c>
      <c r="C269" s="33">
        <v>13</v>
      </c>
      <c r="D269" s="34" t="s">
        <v>1014</v>
      </c>
      <c r="E269" s="36">
        <v>76547</v>
      </c>
      <c r="F269" s="36">
        <f t="shared" si="26"/>
        <v>995111</v>
      </c>
      <c r="G269" s="36">
        <v>36780</v>
      </c>
      <c r="H269" s="36">
        <f t="shared" si="27"/>
        <v>478140</v>
      </c>
      <c r="I269" s="36">
        <v>489</v>
      </c>
      <c r="J269" s="36">
        <f t="shared" si="28"/>
        <v>6357</v>
      </c>
      <c r="K269" s="36">
        <f t="shared" si="25"/>
        <v>113816</v>
      </c>
      <c r="L269" s="36">
        <f t="shared" si="25"/>
        <v>1479608</v>
      </c>
      <c r="M269" s="37"/>
      <c r="N269" s="253"/>
      <c r="O269" s="38"/>
    </row>
    <row r="270" spans="1:15" s="29" customFormat="1" ht="24.95" customHeight="1">
      <c r="A270" s="31" t="s">
        <v>1080</v>
      </c>
      <c r="B270" s="32" t="s">
        <v>1081</v>
      </c>
      <c r="C270" s="33">
        <v>2</v>
      </c>
      <c r="D270" s="34" t="s">
        <v>1014</v>
      </c>
      <c r="E270" s="36">
        <v>98406</v>
      </c>
      <c r="F270" s="36">
        <f t="shared" si="26"/>
        <v>196812</v>
      </c>
      <c r="G270" s="36">
        <v>48185</v>
      </c>
      <c r="H270" s="36">
        <f t="shared" si="27"/>
        <v>96370</v>
      </c>
      <c r="I270" s="36">
        <v>624</v>
      </c>
      <c r="J270" s="36">
        <f t="shared" si="28"/>
        <v>1248</v>
      </c>
      <c r="K270" s="36">
        <f t="shared" si="25"/>
        <v>147215</v>
      </c>
      <c r="L270" s="36">
        <f t="shared" si="25"/>
        <v>294430</v>
      </c>
      <c r="M270" s="37"/>
      <c r="N270" s="253"/>
      <c r="O270" s="38"/>
    </row>
    <row r="271" spans="1:15" s="29" customFormat="1" ht="24.95" customHeight="1">
      <c r="A271" s="31" t="s">
        <v>1082</v>
      </c>
      <c r="B271" s="32" t="s">
        <v>1083</v>
      </c>
      <c r="C271" s="33">
        <v>5</v>
      </c>
      <c r="D271" s="34" t="s">
        <v>1014</v>
      </c>
      <c r="E271" s="36">
        <v>117138</v>
      </c>
      <c r="F271" s="36">
        <f t="shared" si="26"/>
        <v>585690</v>
      </c>
      <c r="G271" s="36">
        <v>57762</v>
      </c>
      <c r="H271" s="36">
        <f t="shared" si="27"/>
        <v>288810</v>
      </c>
      <c r="I271" s="36">
        <v>733</v>
      </c>
      <c r="J271" s="36">
        <f t="shared" si="28"/>
        <v>3665</v>
      </c>
      <c r="K271" s="36">
        <f t="shared" si="25"/>
        <v>175633</v>
      </c>
      <c r="L271" s="36">
        <f t="shared" si="25"/>
        <v>878165</v>
      </c>
      <c r="M271" s="37"/>
      <c r="N271" s="253"/>
      <c r="O271" s="38"/>
    </row>
    <row r="272" spans="1:15" s="29" customFormat="1" ht="24.95" customHeight="1">
      <c r="A272" s="31" t="s">
        <v>1084</v>
      </c>
      <c r="B272" s="32" t="s">
        <v>1085</v>
      </c>
      <c r="C272" s="33">
        <v>3</v>
      </c>
      <c r="D272" s="34" t="s">
        <v>1014</v>
      </c>
      <c r="E272" s="36">
        <v>141755</v>
      </c>
      <c r="F272" s="36">
        <f t="shared" si="26"/>
        <v>425265</v>
      </c>
      <c r="G272" s="36">
        <v>71814</v>
      </c>
      <c r="H272" s="36">
        <f t="shared" si="27"/>
        <v>215442</v>
      </c>
      <c r="I272" s="36">
        <v>897</v>
      </c>
      <c r="J272" s="36">
        <f t="shared" si="28"/>
        <v>2691</v>
      </c>
      <c r="K272" s="36">
        <f t="shared" si="25"/>
        <v>214466</v>
      </c>
      <c r="L272" s="36">
        <f t="shared" si="25"/>
        <v>643398</v>
      </c>
      <c r="M272" s="37"/>
      <c r="N272" s="253"/>
      <c r="O272" s="38"/>
    </row>
    <row r="273" spans="1:15" s="63" customFormat="1" ht="24.95" customHeight="1">
      <c r="A273" s="57" t="s">
        <v>1086</v>
      </c>
      <c r="B273" s="58" t="s">
        <v>22</v>
      </c>
      <c r="C273" s="59"/>
      <c r="D273" s="60" t="s">
        <v>22</v>
      </c>
      <c r="E273" s="60"/>
      <c r="F273" s="61">
        <f>TRUNC(F275+F276+F278+F279+F280+F281+F282+F284+F285+F286+F287+F288,0)</f>
        <v>3644433</v>
      </c>
      <c r="G273" s="60"/>
      <c r="H273" s="61">
        <f>TRUNC(H275+H276+H278+H279+H280+H281+H282+H284+H285+H286+H287+H288,0)</f>
        <v>1424962</v>
      </c>
      <c r="I273" s="60"/>
      <c r="J273" s="61">
        <f>TRUNC(J275+J276+J278+J279+J280+J281+J282+J284+J285+J286+J287+J288,0)</f>
        <v>86105</v>
      </c>
      <c r="K273" s="61">
        <f t="shared" si="25"/>
        <v>0</v>
      </c>
      <c r="L273" s="61">
        <f t="shared" si="25"/>
        <v>5155500</v>
      </c>
      <c r="M273" s="62"/>
      <c r="N273" s="253"/>
    </row>
    <row r="274" spans="1:15" s="29" customFormat="1" ht="24.95" customHeight="1">
      <c r="A274" s="31" t="s">
        <v>1087</v>
      </c>
      <c r="B274" s="32" t="s">
        <v>22</v>
      </c>
      <c r="C274" s="33"/>
      <c r="D274" s="34" t="s">
        <v>22</v>
      </c>
      <c r="E274" s="34"/>
      <c r="F274" s="36">
        <f>TRUNC(F275+F276,0)</f>
        <v>233628</v>
      </c>
      <c r="G274" s="34"/>
      <c r="H274" s="36">
        <f>TRUNC(H275+H276,0)</f>
        <v>31688</v>
      </c>
      <c r="I274" s="34"/>
      <c r="J274" s="36">
        <f>TRUNC(J275+J276,0)</f>
        <v>83380</v>
      </c>
      <c r="K274" s="36">
        <f t="shared" si="25"/>
        <v>0</v>
      </c>
      <c r="L274" s="36">
        <f t="shared" si="25"/>
        <v>348696</v>
      </c>
      <c r="M274" s="37"/>
      <c r="N274" s="253"/>
    </row>
    <row r="275" spans="1:15" s="29" customFormat="1" ht="24.95" customHeight="1">
      <c r="A275" s="31" t="s">
        <v>1088</v>
      </c>
      <c r="B275" s="32" t="s">
        <v>1089</v>
      </c>
      <c r="C275" s="33">
        <v>18</v>
      </c>
      <c r="D275" s="34" t="s">
        <v>815</v>
      </c>
      <c r="E275" s="36">
        <v>12111</v>
      </c>
      <c r="F275" s="36">
        <f>TRUNC(E275*$C275,0)</f>
        <v>217998</v>
      </c>
      <c r="G275" s="36">
        <v>1641</v>
      </c>
      <c r="H275" s="36">
        <f>TRUNC(G275*$C275,0)</f>
        <v>29538</v>
      </c>
      <c r="I275" s="36">
        <v>4324</v>
      </c>
      <c r="J275" s="36">
        <f>TRUNC(I275*$C275,0)</f>
        <v>77832</v>
      </c>
      <c r="K275" s="36">
        <f t="shared" si="25"/>
        <v>18076</v>
      </c>
      <c r="L275" s="36">
        <f t="shared" si="25"/>
        <v>325368</v>
      </c>
      <c r="M275" s="37"/>
      <c r="N275" s="253"/>
      <c r="O275" s="38"/>
    </row>
    <row r="276" spans="1:15" s="29" customFormat="1" ht="24.95" customHeight="1">
      <c r="A276" s="31" t="s">
        <v>1090</v>
      </c>
      <c r="B276" s="32" t="s">
        <v>1091</v>
      </c>
      <c r="C276" s="33">
        <v>2</v>
      </c>
      <c r="D276" s="34" t="s">
        <v>820</v>
      </c>
      <c r="E276" s="36">
        <v>7815</v>
      </c>
      <c r="F276" s="36">
        <f>TRUNC(E276*$C276,0)</f>
        <v>15630</v>
      </c>
      <c r="G276" s="36">
        <v>1075</v>
      </c>
      <c r="H276" s="36">
        <f>TRUNC(G276*$C276,0)</f>
        <v>2150</v>
      </c>
      <c r="I276" s="36">
        <v>2774</v>
      </c>
      <c r="J276" s="36">
        <f>TRUNC(I276*$C276,0)</f>
        <v>5548</v>
      </c>
      <c r="K276" s="36">
        <f t="shared" si="25"/>
        <v>11664</v>
      </c>
      <c r="L276" s="36">
        <f t="shared" si="25"/>
        <v>23328</v>
      </c>
      <c r="M276" s="37"/>
      <c r="N276" s="253"/>
      <c r="O276" s="38"/>
    </row>
    <row r="277" spans="1:15" s="29" customFormat="1" ht="24.95" customHeight="1">
      <c r="A277" s="31" t="s">
        <v>1092</v>
      </c>
      <c r="B277" s="32" t="s">
        <v>22</v>
      </c>
      <c r="C277" s="33"/>
      <c r="D277" s="34" t="s">
        <v>22</v>
      </c>
      <c r="E277" s="34"/>
      <c r="F277" s="36">
        <f>TRUNC(F278+F279+F280,0)</f>
        <v>1855886</v>
      </c>
      <c r="G277" s="34"/>
      <c r="H277" s="36">
        <f>TRUNC(H278+H279+H280,0)</f>
        <v>629618</v>
      </c>
      <c r="I277" s="34"/>
      <c r="J277" s="36">
        <f>TRUNC(J278+J279+J280,0)</f>
        <v>0</v>
      </c>
      <c r="K277" s="36">
        <f t="shared" si="25"/>
        <v>0</v>
      </c>
      <c r="L277" s="36">
        <f t="shared" si="25"/>
        <v>2485504</v>
      </c>
      <c r="M277" s="37"/>
      <c r="N277" s="253"/>
    </row>
    <row r="278" spans="1:15" s="29" customFormat="1" ht="24.95" customHeight="1">
      <c r="A278" s="31" t="s">
        <v>1093</v>
      </c>
      <c r="B278" s="32" t="s">
        <v>1094</v>
      </c>
      <c r="C278" s="33">
        <v>50</v>
      </c>
      <c r="D278" s="34" t="s">
        <v>831</v>
      </c>
      <c r="E278" s="36">
        <v>25822</v>
      </c>
      <c r="F278" s="36">
        <f>TRUNC(E278*$C278,0)</f>
        <v>1291100</v>
      </c>
      <c r="G278" s="36">
        <v>5669</v>
      </c>
      <c r="H278" s="36">
        <f>TRUNC(G278*$C278,0)</f>
        <v>283450</v>
      </c>
      <c r="I278" s="36">
        <v>0</v>
      </c>
      <c r="J278" s="36">
        <f>TRUNC(I278*$C278,0)</f>
        <v>0</v>
      </c>
      <c r="K278" s="36">
        <f t="shared" si="25"/>
        <v>31491</v>
      </c>
      <c r="L278" s="36">
        <f t="shared" si="25"/>
        <v>1574550</v>
      </c>
      <c r="M278" s="37"/>
      <c r="N278" s="253"/>
      <c r="O278" s="38"/>
    </row>
    <row r="279" spans="1:15" s="29" customFormat="1" ht="24.95" customHeight="1">
      <c r="A279" s="31" t="s">
        <v>1070</v>
      </c>
      <c r="B279" s="32" t="s">
        <v>1095</v>
      </c>
      <c r="C279" s="33">
        <v>20</v>
      </c>
      <c r="D279" s="34" t="s">
        <v>831</v>
      </c>
      <c r="E279" s="36">
        <v>25966</v>
      </c>
      <c r="F279" s="36">
        <f>TRUNC(E279*$C279,0)</f>
        <v>519320</v>
      </c>
      <c r="G279" s="36">
        <v>15915</v>
      </c>
      <c r="H279" s="36">
        <f>TRUNC(G279*$C279,0)</f>
        <v>318300</v>
      </c>
      <c r="I279" s="36">
        <v>0</v>
      </c>
      <c r="J279" s="36">
        <f>TRUNC(I279*$C279,0)</f>
        <v>0</v>
      </c>
      <c r="K279" s="36">
        <f t="shared" si="25"/>
        <v>41881</v>
      </c>
      <c r="L279" s="36">
        <f t="shared" si="25"/>
        <v>837620</v>
      </c>
      <c r="M279" s="37"/>
      <c r="N279" s="253"/>
      <c r="O279" s="38"/>
    </row>
    <row r="280" spans="1:15" s="29" customFormat="1" ht="24.95" customHeight="1">
      <c r="A280" s="31" t="s">
        <v>1096</v>
      </c>
      <c r="B280" s="32" t="s">
        <v>1010</v>
      </c>
      <c r="C280" s="33">
        <v>2</v>
      </c>
      <c r="D280" s="34" t="s">
        <v>831</v>
      </c>
      <c r="E280" s="36">
        <v>22733</v>
      </c>
      <c r="F280" s="36">
        <f>TRUNC(E280*$C280,0)</f>
        <v>45466</v>
      </c>
      <c r="G280" s="36">
        <v>13934</v>
      </c>
      <c r="H280" s="36">
        <f>TRUNC(G280*$C280,0)</f>
        <v>27868</v>
      </c>
      <c r="I280" s="36">
        <v>0</v>
      </c>
      <c r="J280" s="36">
        <f>TRUNC(I280*$C280,0)</f>
        <v>0</v>
      </c>
      <c r="K280" s="36">
        <f t="shared" si="25"/>
        <v>36667</v>
      </c>
      <c r="L280" s="36">
        <f t="shared" si="25"/>
        <v>73334</v>
      </c>
      <c r="M280" s="37"/>
      <c r="N280" s="253"/>
      <c r="O280" s="38"/>
    </row>
    <row r="281" spans="1:15" s="29" customFormat="1" ht="24.95" customHeight="1">
      <c r="A281" s="31" t="s">
        <v>1097</v>
      </c>
      <c r="B281" s="32" t="s">
        <v>1098</v>
      </c>
      <c r="C281" s="33">
        <v>22</v>
      </c>
      <c r="D281" s="34" t="s">
        <v>1099</v>
      </c>
      <c r="E281" s="36">
        <v>12809</v>
      </c>
      <c r="F281" s="36">
        <f>TRUNC(E281*$C281,0)</f>
        <v>281798</v>
      </c>
      <c r="G281" s="36">
        <v>2624</v>
      </c>
      <c r="H281" s="36">
        <f>TRUNC(G281*$C281,0)</f>
        <v>57728</v>
      </c>
      <c r="I281" s="36">
        <v>0</v>
      </c>
      <c r="J281" s="36">
        <f>TRUNC(I281*$C281,0)</f>
        <v>0</v>
      </c>
      <c r="K281" s="36">
        <f t="shared" si="25"/>
        <v>15433</v>
      </c>
      <c r="L281" s="36">
        <f t="shared" si="25"/>
        <v>339526</v>
      </c>
      <c r="M281" s="37"/>
      <c r="N281" s="253"/>
      <c r="O281" s="38"/>
    </row>
    <row r="282" spans="1:15" s="29" customFormat="1" ht="24.95" customHeight="1">
      <c r="A282" s="31" t="s">
        <v>1100</v>
      </c>
      <c r="B282" s="32" t="s">
        <v>1101</v>
      </c>
      <c r="C282" s="33">
        <v>36</v>
      </c>
      <c r="D282" s="34" t="s">
        <v>831</v>
      </c>
      <c r="E282" s="36">
        <v>12905</v>
      </c>
      <c r="F282" s="36">
        <f>TRUNC(E282*$C282,0)</f>
        <v>464580</v>
      </c>
      <c r="G282" s="36">
        <v>7580</v>
      </c>
      <c r="H282" s="36">
        <f>TRUNC(G282*$C282,0)</f>
        <v>272880</v>
      </c>
      <c r="I282" s="36">
        <v>0</v>
      </c>
      <c r="J282" s="36">
        <f>TRUNC(I282*$C282,0)</f>
        <v>0</v>
      </c>
      <c r="K282" s="36">
        <f t="shared" si="25"/>
        <v>20485</v>
      </c>
      <c r="L282" s="36">
        <f t="shared" si="25"/>
        <v>737460</v>
      </c>
      <c r="M282" s="37"/>
      <c r="N282" s="253"/>
      <c r="O282" s="38"/>
    </row>
    <row r="283" spans="1:15" s="29" customFormat="1" ht="24.95" customHeight="1">
      <c r="A283" s="31" t="s">
        <v>1102</v>
      </c>
      <c r="B283" s="32" t="s">
        <v>22</v>
      </c>
      <c r="C283" s="33"/>
      <c r="D283" s="34" t="s">
        <v>22</v>
      </c>
      <c r="E283" s="34"/>
      <c r="F283" s="36">
        <f>TRUNC(F284+F285,0)</f>
        <v>15142</v>
      </c>
      <c r="G283" s="34"/>
      <c r="H283" s="36">
        <f>TRUNC(H284+H285,0)</f>
        <v>305184</v>
      </c>
      <c r="I283" s="34"/>
      <c r="J283" s="36">
        <f>TRUNC(J284+J285,0)</f>
        <v>0</v>
      </c>
      <c r="K283" s="36">
        <f t="shared" si="25"/>
        <v>0</v>
      </c>
      <c r="L283" s="36">
        <f t="shared" si="25"/>
        <v>320326</v>
      </c>
      <c r="M283" s="37"/>
      <c r="N283" s="253"/>
    </row>
    <row r="284" spans="1:15" s="29" customFormat="1" ht="24.95" customHeight="1">
      <c r="A284" s="31" t="s">
        <v>1103</v>
      </c>
      <c r="B284" s="32" t="s">
        <v>1104</v>
      </c>
      <c r="C284" s="33">
        <v>58</v>
      </c>
      <c r="D284" s="34" t="s">
        <v>847</v>
      </c>
      <c r="E284" s="36">
        <v>199</v>
      </c>
      <c r="F284" s="36">
        <f>TRUNC(E284*$C284,0)</f>
        <v>11542</v>
      </c>
      <c r="G284" s="36">
        <v>3998</v>
      </c>
      <c r="H284" s="36">
        <f>TRUNC(G284*$C284,0)</f>
        <v>231884</v>
      </c>
      <c r="I284" s="36">
        <v>0</v>
      </c>
      <c r="J284" s="36">
        <f>TRUNC(I284*$C284,0)</f>
        <v>0</v>
      </c>
      <c r="K284" s="36">
        <f t="shared" si="25"/>
        <v>4197</v>
      </c>
      <c r="L284" s="36">
        <f t="shared" si="25"/>
        <v>243426</v>
      </c>
      <c r="M284" s="37"/>
      <c r="N284" s="253"/>
      <c r="O284" s="38"/>
    </row>
    <row r="285" spans="1:15" s="29" customFormat="1" ht="24.95" customHeight="1">
      <c r="A285" s="31" t="s">
        <v>1105</v>
      </c>
      <c r="B285" s="32" t="s">
        <v>1106</v>
      </c>
      <c r="C285" s="33">
        <v>100</v>
      </c>
      <c r="D285" s="34" t="s">
        <v>847</v>
      </c>
      <c r="E285" s="36">
        <v>36</v>
      </c>
      <c r="F285" s="36">
        <f>TRUNC(E285*$C285,0)</f>
        <v>3600</v>
      </c>
      <c r="G285" s="36">
        <v>733</v>
      </c>
      <c r="H285" s="36">
        <f>TRUNC(G285*$C285,0)</f>
        <v>73300</v>
      </c>
      <c r="I285" s="36">
        <v>0</v>
      </c>
      <c r="J285" s="36">
        <f>TRUNC(I285*$C285,0)</f>
        <v>0</v>
      </c>
      <c r="K285" s="36">
        <f t="shared" si="25"/>
        <v>769</v>
      </c>
      <c r="L285" s="36">
        <f t="shared" si="25"/>
        <v>76900</v>
      </c>
      <c r="M285" s="37"/>
      <c r="N285" s="253"/>
      <c r="O285" s="38"/>
    </row>
    <row r="286" spans="1:15" s="29" customFormat="1" ht="24.95" customHeight="1">
      <c r="A286" s="31" t="s">
        <v>1107</v>
      </c>
      <c r="B286" s="32" t="s">
        <v>22</v>
      </c>
      <c r="C286" s="33">
        <v>5</v>
      </c>
      <c r="D286" s="34" t="s">
        <v>815</v>
      </c>
      <c r="E286" s="36">
        <v>5973</v>
      </c>
      <c r="F286" s="36">
        <f>TRUNC(E286*$C286,0)</f>
        <v>29865</v>
      </c>
      <c r="G286" s="36">
        <v>664</v>
      </c>
      <c r="H286" s="36">
        <f>TRUNC(G286*$C286,0)</f>
        <v>3320</v>
      </c>
      <c r="I286" s="36">
        <v>545</v>
      </c>
      <c r="J286" s="36">
        <f>TRUNC(I286*$C286,0)</f>
        <v>2725</v>
      </c>
      <c r="K286" s="36">
        <f t="shared" si="25"/>
        <v>7182</v>
      </c>
      <c r="L286" s="36">
        <f t="shared" si="25"/>
        <v>35910</v>
      </c>
      <c r="M286" s="37"/>
      <c r="N286" s="253"/>
      <c r="O286" s="38"/>
    </row>
    <row r="287" spans="1:15" s="29" customFormat="1" ht="24.95" customHeight="1">
      <c r="A287" s="31" t="s">
        <v>1108</v>
      </c>
      <c r="B287" s="32" t="s">
        <v>1109</v>
      </c>
      <c r="C287" s="33">
        <v>13</v>
      </c>
      <c r="D287" s="34" t="s">
        <v>116</v>
      </c>
      <c r="E287" s="36">
        <v>79</v>
      </c>
      <c r="F287" s="36">
        <f>TRUNC(E287*$C287,0)</f>
        <v>1027</v>
      </c>
      <c r="G287" s="36">
        <v>1582</v>
      </c>
      <c r="H287" s="36">
        <f>TRUNC(G287*$C287,0)</f>
        <v>20566</v>
      </c>
      <c r="I287" s="36">
        <v>0</v>
      </c>
      <c r="J287" s="36">
        <f>TRUNC(I287*$C287,0)</f>
        <v>0</v>
      </c>
      <c r="K287" s="36">
        <f t="shared" si="25"/>
        <v>1661</v>
      </c>
      <c r="L287" s="36">
        <f t="shared" si="25"/>
        <v>21593</v>
      </c>
      <c r="M287" s="37"/>
      <c r="N287" s="253"/>
      <c r="O287" s="38"/>
    </row>
    <row r="288" spans="1:15" s="29" customFormat="1" ht="24.95" customHeight="1">
      <c r="A288" s="31" t="s">
        <v>1110</v>
      </c>
      <c r="B288" s="32" t="s">
        <v>1111</v>
      </c>
      <c r="C288" s="261">
        <v>1.3959999999999999</v>
      </c>
      <c r="D288" s="34" t="s">
        <v>1112</v>
      </c>
      <c r="E288" s="36">
        <v>546209</v>
      </c>
      <c r="F288" s="36">
        <f>TRUNC(E288*$C288,0)</f>
        <v>762507</v>
      </c>
      <c r="G288" s="36">
        <v>74483</v>
      </c>
      <c r="H288" s="36">
        <f>TRUNC(G288*$C288,0)</f>
        <v>103978</v>
      </c>
      <c r="I288" s="36">
        <v>0</v>
      </c>
      <c r="J288" s="36">
        <f>TRUNC(I288*$C288,0)</f>
        <v>0</v>
      </c>
      <c r="K288" s="36">
        <f t="shared" si="25"/>
        <v>620692</v>
      </c>
      <c r="L288" s="36">
        <f t="shared" si="25"/>
        <v>866485</v>
      </c>
      <c r="M288" s="37"/>
      <c r="N288" s="253"/>
      <c r="O288" s="38"/>
    </row>
    <row r="289" spans="1:15" s="63" customFormat="1" ht="24.95" customHeight="1">
      <c r="A289" s="57" t="s">
        <v>1113</v>
      </c>
      <c r="B289" s="58" t="s">
        <v>22</v>
      </c>
      <c r="C289" s="59"/>
      <c r="D289" s="60" t="s">
        <v>22</v>
      </c>
      <c r="E289" s="60"/>
      <c r="F289" s="61">
        <f>TRUNC(F290+F291+F292+F293+F294+F295+F296+F298+F299+F300+F301+F302+F303,0)</f>
        <v>453662242</v>
      </c>
      <c r="G289" s="60"/>
      <c r="H289" s="61">
        <f>TRUNC(H290+H291+H292+H293+H294+H295+H296+H298+H299+H300+H301+H302+H303,0)</f>
        <v>404354176</v>
      </c>
      <c r="I289" s="60"/>
      <c r="J289" s="61">
        <f>TRUNC(J290+J291+J292+J293+J294+J295+J296+J298+J299+J300+J301+J302+J303,0)</f>
        <v>5405209</v>
      </c>
      <c r="K289" s="61">
        <f t="shared" si="25"/>
        <v>0</v>
      </c>
      <c r="L289" s="61">
        <f t="shared" si="25"/>
        <v>863421627</v>
      </c>
      <c r="M289" s="62"/>
      <c r="N289" s="253"/>
    </row>
    <row r="290" spans="1:15" s="29" customFormat="1" ht="24.95" customHeight="1">
      <c r="A290" s="31" t="s">
        <v>1114</v>
      </c>
      <c r="B290" s="32" t="s">
        <v>1115</v>
      </c>
      <c r="C290" s="33">
        <v>49</v>
      </c>
      <c r="D290" s="34" t="s">
        <v>1116</v>
      </c>
      <c r="E290" s="36">
        <v>610668</v>
      </c>
      <c r="F290" s="36">
        <f t="shared" ref="F290:F296" si="29">TRUNC(E290*$C290,0)</f>
        <v>29922732</v>
      </c>
      <c r="G290" s="36">
        <v>616837</v>
      </c>
      <c r="H290" s="36">
        <f t="shared" ref="H290:H296" si="30">TRUNC(G290*$C290,0)</f>
        <v>30225013</v>
      </c>
      <c r="I290" s="36">
        <v>7281</v>
      </c>
      <c r="J290" s="36">
        <f t="shared" ref="J290:J296" si="31">TRUNC(I290*$C290,0)</f>
        <v>356769</v>
      </c>
      <c r="K290" s="36">
        <f t="shared" si="25"/>
        <v>1234786</v>
      </c>
      <c r="L290" s="36">
        <f t="shared" si="25"/>
        <v>60504514</v>
      </c>
      <c r="M290" s="37"/>
      <c r="N290" s="253"/>
      <c r="O290" s="38"/>
    </row>
    <row r="291" spans="1:15" s="29" customFormat="1" ht="24.95" customHeight="1">
      <c r="A291" s="31" t="s">
        <v>1117</v>
      </c>
      <c r="B291" s="32" t="s">
        <v>1118</v>
      </c>
      <c r="C291" s="33">
        <v>25</v>
      </c>
      <c r="D291" s="34" t="s">
        <v>1116</v>
      </c>
      <c r="E291" s="36">
        <v>883382</v>
      </c>
      <c r="F291" s="36">
        <f t="shared" si="29"/>
        <v>22084550</v>
      </c>
      <c r="G291" s="36">
        <v>723374</v>
      </c>
      <c r="H291" s="36">
        <f t="shared" si="30"/>
        <v>18084350</v>
      </c>
      <c r="I291" s="36">
        <v>14227</v>
      </c>
      <c r="J291" s="36">
        <f t="shared" si="31"/>
        <v>355675</v>
      </c>
      <c r="K291" s="36">
        <f t="shared" si="25"/>
        <v>1620983</v>
      </c>
      <c r="L291" s="36">
        <f t="shared" si="25"/>
        <v>40524575</v>
      </c>
      <c r="M291" s="37"/>
      <c r="N291" s="253"/>
      <c r="O291" s="38"/>
    </row>
    <row r="292" spans="1:15" s="29" customFormat="1" ht="24.95" customHeight="1">
      <c r="A292" s="31" t="s">
        <v>1119</v>
      </c>
      <c r="B292" s="32" t="s">
        <v>1120</v>
      </c>
      <c r="C292" s="33">
        <v>78</v>
      </c>
      <c r="D292" s="34" t="s">
        <v>1116</v>
      </c>
      <c r="E292" s="36">
        <v>2120641</v>
      </c>
      <c r="F292" s="36">
        <f t="shared" si="29"/>
        <v>165409998</v>
      </c>
      <c r="G292" s="36">
        <v>1690231</v>
      </c>
      <c r="H292" s="36">
        <f t="shared" si="30"/>
        <v>131838018</v>
      </c>
      <c r="I292" s="36">
        <v>27550</v>
      </c>
      <c r="J292" s="36">
        <f t="shared" si="31"/>
        <v>2148900</v>
      </c>
      <c r="K292" s="36">
        <f t="shared" si="25"/>
        <v>3838422</v>
      </c>
      <c r="L292" s="36">
        <f t="shared" si="25"/>
        <v>299396916</v>
      </c>
      <c r="M292" s="37"/>
      <c r="N292" s="253"/>
      <c r="O292" s="38"/>
    </row>
    <row r="293" spans="1:15" s="29" customFormat="1" ht="24.95" customHeight="1">
      <c r="A293" s="31" t="s">
        <v>1121</v>
      </c>
      <c r="B293" s="32" t="s">
        <v>1122</v>
      </c>
      <c r="C293" s="33">
        <v>18</v>
      </c>
      <c r="D293" s="34" t="s">
        <v>1116</v>
      </c>
      <c r="E293" s="36">
        <v>2607439</v>
      </c>
      <c r="F293" s="36">
        <f t="shared" si="29"/>
        <v>46933902</v>
      </c>
      <c r="G293" s="36">
        <v>1999550</v>
      </c>
      <c r="H293" s="36">
        <f t="shared" si="30"/>
        <v>35991900</v>
      </c>
      <c r="I293" s="36">
        <v>34848</v>
      </c>
      <c r="J293" s="36">
        <f t="shared" si="31"/>
        <v>627264</v>
      </c>
      <c r="K293" s="36">
        <f t="shared" si="25"/>
        <v>4641837</v>
      </c>
      <c r="L293" s="36">
        <f t="shared" si="25"/>
        <v>83553066</v>
      </c>
      <c r="M293" s="37"/>
      <c r="N293" s="253"/>
      <c r="O293" s="38"/>
    </row>
    <row r="294" spans="1:15" s="29" customFormat="1" ht="24.95" customHeight="1">
      <c r="A294" s="31" t="s">
        <v>1123</v>
      </c>
      <c r="B294" s="32" t="s">
        <v>1124</v>
      </c>
      <c r="C294" s="33">
        <v>3</v>
      </c>
      <c r="D294" s="34" t="s">
        <v>1116</v>
      </c>
      <c r="E294" s="36">
        <v>2849572</v>
      </c>
      <c r="F294" s="36">
        <f t="shared" si="29"/>
        <v>8548716</v>
      </c>
      <c r="G294" s="36">
        <v>2107459</v>
      </c>
      <c r="H294" s="36">
        <f t="shared" si="30"/>
        <v>6322377</v>
      </c>
      <c r="I294" s="36">
        <v>40033</v>
      </c>
      <c r="J294" s="36">
        <f t="shared" si="31"/>
        <v>120099</v>
      </c>
      <c r="K294" s="36">
        <f t="shared" si="25"/>
        <v>4997064</v>
      </c>
      <c r="L294" s="36">
        <f t="shared" si="25"/>
        <v>14991192</v>
      </c>
      <c r="M294" s="37"/>
      <c r="N294" s="253"/>
      <c r="O294" s="38"/>
    </row>
    <row r="295" spans="1:15" s="29" customFormat="1" ht="24.95" customHeight="1">
      <c r="A295" s="31" t="s">
        <v>1125</v>
      </c>
      <c r="B295" s="32" t="s">
        <v>1126</v>
      </c>
      <c r="C295" s="33">
        <v>6</v>
      </c>
      <c r="D295" s="34" t="s">
        <v>1116</v>
      </c>
      <c r="E295" s="36">
        <v>3742668</v>
      </c>
      <c r="F295" s="36">
        <f t="shared" si="29"/>
        <v>22456008</v>
      </c>
      <c r="G295" s="36">
        <v>2409836</v>
      </c>
      <c r="H295" s="36">
        <f t="shared" si="30"/>
        <v>14459016</v>
      </c>
      <c r="I295" s="36">
        <v>49767</v>
      </c>
      <c r="J295" s="36">
        <f t="shared" si="31"/>
        <v>298602</v>
      </c>
      <c r="K295" s="36">
        <f t="shared" si="25"/>
        <v>6202271</v>
      </c>
      <c r="L295" s="36">
        <f t="shared" si="25"/>
        <v>37213626</v>
      </c>
      <c r="M295" s="37"/>
      <c r="N295" s="253"/>
      <c r="O295" s="38"/>
    </row>
    <row r="296" spans="1:15" s="29" customFormat="1" ht="24.95" customHeight="1">
      <c r="A296" s="31" t="s">
        <v>1127</v>
      </c>
      <c r="B296" s="32" t="s">
        <v>1128</v>
      </c>
      <c r="C296" s="33">
        <v>150</v>
      </c>
      <c r="D296" s="34" t="s">
        <v>1116</v>
      </c>
      <c r="E296" s="36">
        <v>1051887</v>
      </c>
      <c r="F296" s="36">
        <f t="shared" si="29"/>
        <v>157783050</v>
      </c>
      <c r="G296" s="36">
        <v>1101579</v>
      </c>
      <c r="H296" s="36">
        <f t="shared" si="30"/>
        <v>165236850</v>
      </c>
      <c r="I296" s="36">
        <v>9986</v>
      </c>
      <c r="J296" s="36">
        <f t="shared" si="31"/>
        <v>1497900</v>
      </c>
      <c r="K296" s="36">
        <f t="shared" si="25"/>
        <v>2163452</v>
      </c>
      <c r="L296" s="36">
        <f t="shared" si="25"/>
        <v>324517800</v>
      </c>
      <c r="M296" s="37"/>
      <c r="N296" s="253"/>
      <c r="O296" s="38"/>
    </row>
    <row r="297" spans="1:15" s="29" customFormat="1" ht="24.95" customHeight="1">
      <c r="A297" s="31" t="s">
        <v>1129</v>
      </c>
      <c r="B297" s="32" t="s">
        <v>22</v>
      </c>
      <c r="C297" s="33"/>
      <c r="D297" s="34" t="s">
        <v>22</v>
      </c>
      <c r="E297" s="34"/>
      <c r="F297" s="36">
        <f>TRUNC(F298+F299+F300+F301+F302+F303,0)</f>
        <v>523286</v>
      </c>
      <c r="G297" s="34"/>
      <c r="H297" s="36">
        <f>TRUNC(H298+H299+H300+H301+H302+H303,0)</f>
        <v>2196652</v>
      </c>
      <c r="I297" s="34"/>
      <c r="J297" s="36">
        <f>TRUNC(J298+J299+J300+J301+J302+J303,0)</f>
        <v>0</v>
      </c>
      <c r="K297" s="36">
        <f t="shared" si="25"/>
        <v>0</v>
      </c>
      <c r="L297" s="36">
        <f t="shared" si="25"/>
        <v>2719938</v>
      </c>
      <c r="M297" s="37"/>
      <c r="N297" s="253"/>
    </row>
    <row r="298" spans="1:15" s="29" customFormat="1" ht="24.95" customHeight="1">
      <c r="A298" s="31" t="s">
        <v>1130</v>
      </c>
      <c r="B298" s="32" t="s">
        <v>1075</v>
      </c>
      <c r="C298" s="33">
        <v>84</v>
      </c>
      <c r="D298" s="34" t="s">
        <v>1014</v>
      </c>
      <c r="E298" s="36">
        <v>998</v>
      </c>
      <c r="F298" s="36">
        <f t="shared" ref="F298:F303" si="32">TRUNC(E298*$C298,0)</f>
        <v>83832</v>
      </c>
      <c r="G298" s="36">
        <v>4663</v>
      </c>
      <c r="H298" s="36">
        <f t="shared" ref="H298:H303" si="33">TRUNC(G298*$C298,0)</f>
        <v>391692</v>
      </c>
      <c r="I298" s="36">
        <v>0</v>
      </c>
      <c r="J298" s="36">
        <f t="shared" ref="J298:J303" si="34">TRUNC(I298*$C298,0)</f>
        <v>0</v>
      </c>
      <c r="K298" s="36">
        <f t="shared" si="25"/>
        <v>5661</v>
      </c>
      <c r="L298" s="36">
        <f t="shared" si="25"/>
        <v>475524</v>
      </c>
      <c r="M298" s="37"/>
      <c r="N298" s="253"/>
      <c r="O298" s="38"/>
    </row>
    <row r="299" spans="1:15" s="29" customFormat="1" ht="24.95" customHeight="1">
      <c r="A299" s="31" t="s">
        <v>1130</v>
      </c>
      <c r="B299" s="32" t="s">
        <v>1077</v>
      </c>
      <c r="C299" s="33">
        <v>51</v>
      </c>
      <c r="D299" s="34" t="s">
        <v>1014</v>
      </c>
      <c r="E299" s="36">
        <v>1296</v>
      </c>
      <c r="F299" s="36">
        <f t="shared" si="32"/>
        <v>66096</v>
      </c>
      <c r="G299" s="36">
        <v>5524</v>
      </c>
      <c r="H299" s="36">
        <f t="shared" si="33"/>
        <v>281724</v>
      </c>
      <c r="I299" s="36">
        <v>0</v>
      </c>
      <c r="J299" s="36">
        <f t="shared" si="34"/>
        <v>0</v>
      </c>
      <c r="K299" s="36">
        <f t="shared" si="25"/>
        <v>6820</v>
      </c>
      <c r="L299" s="36">
        <f t="shared" si="25"/>
        <v>347820</v>
      </c>
      <c r="M299" s="37"/>
      <c r="N299" s="253"/>
      <c r="O299" s="38"/>
    </row>
    <row r="300" spans="1:15" s="29" customFormat="1" ht="24.95" customHeight="1">
      <c r="A300" s="31" t="s">
        <v>1130</v>
      </c>
      <c r="B300" s="32" t="s">
        <v>1079</v>
      </c>
      <c r="C300" s="33">
        <v>85</v>
      </c>
      <c r="D300" s="34" t="s">
        <v>1014</v>
      </c>
      <c r="E300" s="36">
        <v>1581</v>
      </c>
      <c r="F300" s="36">
        <f t="shared" si="32"/>
        <v>134385</v>
      </c>
      <c r="G300" s="36">
        <v>6134</v>
      </c>
      <c r="H300" s="36">
        <f t="shared" si="33"/>
        <v>521390</v>
      </c>
      <c r="I300" s="36">
        <v>0</v>
      </c>
      <c r="J300" s="36">
        <f t="shared" si="34"/>
        <v>0</v>
      </c>
      <c r="K300" s="36">
        <f t="shared" si="25"/>
        <v>7715</v>
      </c>
      <c r="L300" s="36">
        <f t="shared" si="25"/>
        <v>655775</v>
      </c>
      <c r="M300" s="37"/>
      <c r="N300" s="253"/>
      <c r="O300" s="38"/>
    </row>
    <row r="301" spans="1:15" s="29" customFormat="1" ht="24.95" customHeight="1">
      <c r="A301" s="31" t="s">
        <v>1130</v>
      </c>
      <c r="B301" s="32" t="s">
        <v>1081</v>
      </c>
      <c r="C301" s="33">
        <v>56</v>
      </c>
      <c r="D301" s="34" t="s">
        <v>1014</v>
      </c>
      <c r="E301" s="36">
        <v>2020</v>
      </c>
      <c r="F301" s="36">
        <f t="shared" si="32"/>
        <v>113120</v>
      </c>
      <c r="G301" s="36">
        <v>8114</v>
      </c>
      <c r="H301" s="36">
        <f t="shared" si="33"/>
        <v>454384</v>
      </c>
      <c r="I301" s="36">
        <v>0</v>
      </c>
      <c r="J301" s="36">
        <f t="shared" si="34"/>
        <v>0</v>
      </c>
      <c r="K301" s="36">
        <f t="shared" si="25"/>
        <v>10134</v>
      </c>
      <c r="L301" s="36">
        <f t="shared" si="25"/>
        <v>567504</v>
      </c>
      <c r="M301" s="37"/>
      <c r="N301" s="253"/>
      <c r="O301" s="38"/>
    </row>
    <row r="302" spans="1:15" s="29" customFormat="1" ht="24.95" customHeight="1">
      <c r="A302" s="31" t="s">
        <v>1130</v>
      </c>
      <c r="B302" s="32" t="s">
        <v>1083</v>
      </c>
      <c r="C302" s="33">
        <v>33</v>
      </c>
      <c r="D302" s="34" t="s">
        <v>1014</v>
      </c>
      <c r="E302" s="36">
        <v>2509</v>
      </c>
      <c r="F302" s="36">
        <f t="shared" si="32"/>
        <v>82797</v>
      </c>
      <c r="G302" s="36">
        <v>11094</v>
      </c>
      <c r="H302" s="36">
        <f t="shared" si="33"/>
        <v>366102</v>
      </c>
      <c r="I302" s="36">
        <v>0</v>
      </c>
      <c r="J302" s="36">
        <f t="shared" si="34"/>
        <v>0</v>
      </c>
      <c r="K302" s="36">
        <f t="shared" si="25"/>
        <v>13603</v>
      </c>
      <c r="L302" s="36">
        <f t="shared" si="25"/>
        <v>448899</v>
      </c>
      <c r="M302" s="37"/>
      <c r="N302" s="253"/>
      <c r="O302" s="38"/>
    </row>
    <row r="303" spans="1:15" s="29" customFormat="1" ht="24.95" customHeight="1">
      <c r="A303" s="31" t="s">
        <v>1130</v>
      </c>
      <c r="B303" s="32" t="s">
        <v>1085</v>
      </c>
      <c r="C303" s="33">
        <v>16</v>
      </c>
      <c r="D303" s="34" t="s">
        <v>1014</v>
      </c>
      <c r="E303" s="36">
        <v>2691</v>
      </c>
      <c r="F303" s="36">
        <f t="shared" si="32"/>
        <v>43056</v>
      </c>
      <c r="G303" s="36">
        <v>11335</v>
      </c>
      <c r="H303" s="36">
        <f t="shared" si="33"/>
        <v>181360</v>
      </c>
      <c r="I303" s="36">
        <v>0</v>
      </c>
      <c r="J303" s="36">
        <f t="shared" si="34"/>
        <v>0</v>
      </c>
      <c r="K303" s="36">
        <f t="shared" si="25"/>
        <v>14026</v>
      </c>
      <c r="L303" s="36">
        <f t="shared" si="25"/>
        <v>224416</v>
      </c>
      <c r="M303" s="37"/>
      <c r="N303" s="253"/>
      <c r="O303" s="38"/>
    </row>
    <row r="304" spans="1:15" s="63" customFormat="1" ht="24.95" customHeight="1">
      <c r="A304" s="57" t="s">
        <v>1131</v>
      </c>
      <c r="B304" s="58" t="s">
        <v>22</v>
      </c>
      <c r="C304" s="59"/>
      <c r="D304" s="60" t="s">
        <v>22</v>
      </c>
      <c r="E304" s="60"/>
      <c r="F304" s="61">
        <f>TRUNC(F305,0)</f>
        <v>118785975</v>
      </c>
      <c r="G304" s="60"/>
      <c r="H304" s="61">
        <f>TRUNC(H305,0)</f>
        <v>121780146</v>
      </c>
      <c r="I304" s="60"/>
      <c r="J304" s="61">
        <f>TRUNC(J305,0)</f>
        <v>976260</v>
      </c>
      <c r="K304" s="61">
        <f t="shared" si="25"/>
        <v>0</v>
      </c>
      <c r="L304" s="61">
        <f t="shared" si="25"/>
        <v>241542381</v>
      </c>
      <c r="M304" s="62"/>
      <c r="N304" s="253"/>
    </row>
    <row r="305" spans="1:15" s="29" customFormat="1" ht="24.95" customHeight="1">
      <c r="A305" s="31" t="s">
        <v>1132</v>
      </c>
      <c r="B305" s="32" t="s">
        <v>1133</v>
      </c>
      <c r="C305" s="33">
        <v>921</v>
      </c>
      <c r="D305" s="34" t="s">
        <v>1014</v>
      </c>
      <c r="E305" s="36">
        <v>128975</v>
      </c>
      <c r="F305" s="36">
        <f>TRUNC(E305*$C305,0)</f>
        <v>118785975</v>
      </c>
      <c r="G305" s="36">
        <v>132226</v>
      </c>
      <c r="H305" s="36">
        <f>TRUNC(G305*$C305,0)</f>
        <v>121780146</v>
      </c>
      <c r="I305" s="36">
        <v>1060</v>
      </c>
      <c r="J305" s="36">
        <f>TRUNC(I305*$C305,0)</f>
        <v>976260</v>
      </c>
      <c r="K305" s="36">
        <f t="shared" si="25"/>
        <v>262261</v>
      </c>
      <c r="L305" s="36">
        <f t="shared" si="25"/>
        <v>241542381</v>
      </c>
      <c r="M305" s="37"/>
      <c r="N305" s="253"/>
      <c r="O305" s="38"/>
    </row>
    <row r="306" spans="1:15" s="63" customFormat="1" ht="24.95" customHeight="1">
      <c r="A306" s="57" t="s">
        <v>1134</v>
      </c>
      <c r="B306" s="58" t="s">
        <v>22</v>
      </c>
      <c r="C306" s="59"/>
      <c r="D306" s="60" t="s">
        <v>22</v>
      </c>
      <c r="E306" s="60"/>
      <c r="F306" s="61">
        <f>TRUNC(F307+F308,0)</f>
        <v>14101454</v>
      </c>
      <c r="G306" s="60"/>
      <c r="H306" s="61">
        <f>TRUNC(H307+H308,0)</f>
        <v>14356882</v>
      </c>
      <c r="I306" s="60"/>
      <c r="J306" s="61">
        <f>TRUNC(J307+J308,0)</f>
        <v>145624</v>
      </c>
      <c r="K306" s="61">
        <f t="shared" si="25"/>
        <v>0</v>
      </c>
      <c r="L306" s="61">
        <f t="shared" si="25"/>
        <v>28603960</v>
      </c>
      <c r="M306" s="62"/>
      <c r="N306" s="253"/>
    </row>
    <row r="307" spans="1:15" s="29" customFormat="1" ht="24.95" customHeight="1">
      <c r="A307" s="31" t="s">
        <v>1135</v>
      </c>
      <c r="B307" s="32" t="s">
        <v>1136</v>
      </c>
      <c r="C307" s="33">
        <v>3</v>
      </c>
      <c r="D307" s="34" t="s">
        <v>1014</v>
      </c>
      <c r="E307" s="36">
        <v>860718</v>
      </c>
      <c r="F307" s="36">
        <f>TRUNC(E307*$C307,0)</f>
        <v>2582154</v>
      </c>
      <c r="G307" s="36">
        <v>857608</v>
      </c>
      <c r="H307" s="36">
        <f>TRUNC(G307*$C307,0)</f>
        <v>2572824</v>
      </c>
      <c r="I307" s="36">
        <v>7886</v>
      </c>
      <c r="J307" s="36">
        <f>TRUNC(I307*$C307,0)</f>
        <v>23658</v>
      </c>
      <c r="K307" s="36">
        <f t="shared" si="25"/>
        <v>1726212</v>
      </c>
      <c r="L307" s="36">
        <f t="shared" si="25"/>
        <v>5178636</v>
      </c>
      <c r="M307" s="37"/>
      <c r="N307" s="253"/>
      <c r="O307" s="38"/>
    </row>
    <row r="308" spans="1:15" s="29" customFormat="1" ht="24.95" customHeight="1">
      <c r="A308" s="31" t="s">
        <v>1135</v>
      </c>
      <c r="B308" s="32" t="s">
        <v>1137</v>
      </c>
      <c r="C308" s="33">
        <v>13</v>
      </c>
      <c r="D308" s="34" t="s">
        <v>1014</v>
      </c>
      <c r="E308" s="36">
        <v>886100</v>
      </c>
      <c r="F308" s="36">
        <f>TRUNC(E308*$C308,0)</f>
        <v>11519300</v>
      </c>
      <c r="G308" s="36">
        <v>906466</v>
      </c>
      <c r="H308" s="36">
        <f>TRUNC(G308*$C308,0)</f>
        <v>11784058</v>
      </c>
      <c r="I308" s="36">
        <v>9382</v>
      </c>
      <c r="J308" s="36">
        <f>TRUNC(I308*$C308,0)</f>
        <v>121966</v>
      </c>
      <c r="K308" s="36">
        <f t="shared" si="25"/>
        <v>1801948</v>
      </c>
      <c r="L308" s="36">
        <f t="shared" si="25"/>
        <v>23425324</v>
      </c>
      <c r="M308" s="37"/>
      <c r="N308" s="253"/>
      <c r="O308" s="38"/>
    </row>
    <row r="309" spans="1:15" s="63" customFormat="1" ht="24.95" customHeight="1">
      <c r="A309" s="57" t="s">
        <v>1138</v>
      </c>
      <c r="B309" s="58" t="s">
        <v>22</v>
      </c>
      <c r="C309" s="59"/>
      <c r="D309" s="60" t="s">
        <v>22</v>
      </c>
      <c r="E309" s="60"/>
      <c r="F309" s="61">
        <f>TRUNC(F310+F311+F313+F314,0)</f>
        <v>226637951</v>
      </c>
      <c r="G309" s="60"/>
      <c r="H309" s="61">
        <f>TRUNC(H310+H311+H313+H314,0)</f>
        <v>94253182</v>
      </c>
      <c r="I309" s="60"/>
      <c r="J309" s="61">
        <f>TRUNC(J310+J311+J313+J314,0)</f>
        <v>110848215</v>
      </c>
      <c r="K309" s="61">
        <f t="shared" si="25"/>
        <v>0</v>
      </c>
      <c r="L309" s="61">
        <f t="shared" si="25"/>
        <v>431739348</v>
      </c>
      <c r="M309" s="62"/>
      <c r="N309" s="253"/>
    </row>
    <row r="310" spans="1:15" s="29" customFormat="1" ht="24.95" customHeight="1">
      <c r="A310" s="31" t="s">
        <v>1139</v>
      </c>
      <c r="B310" s="32" t="s">
        <v>1140</v>
      </c>
      <c r="C310" s="33">
        <v>10636</v>
      </c>
      <c r="D310" s="34" t="s">
        <v>116</v>
      </c>
      <c r="E310" s="36">
        <v>40</v>
      </c>
      <c r="F310" s="36">
        <f>TRUNC(E310*$C310,0)</f>
        <v>425440</v>
      </c>
      <c r="G310" s="36">
        <v>816</v>
      </c>
      <c r="H310" s="36">
        <f>TRUNC(G310*$C310,0)</f>
        <v>8678976</v>
      </c>
      <c r="I310" s="36">
        <v>0</v>
      </c>
      <c r="J310" s="36">
        <f>TRUNC(I310*$C310,0)</f>
        <v>0</v>
      </c>
      <c r="K310" s="36">
        <f t="shared" si="25"/>
        <v>856</v>
      </c>
      <c r="L310" s="36">
        <f t="shared" si="25"/>
        <v>9104416</v>
      </c>
      <c r="M310" s="37"/>
      <c r="N310" s="253"/>
      <c r="O310" s="38"/>
    </row>
    <row r="311" spans="1:15" s="29" customFormat="1" ht="24.95" customHeight="1">
      <c r="A311" s="31" t="s">
        <v>1141</v>
      </c>
      <c r="B311" s="32" t="s">
        <v>1142</v>
      </c>
      <c r="C311" s="33">
        <v>4862</v>
      </c>
      <c r="D311" s="34" t="s">
        <v>116</v>
      </c>
      <c r="E311" s="36">
        <v>1411</v>
      </c>
      <c r="F311" s="36">
        <f>TRUNC(E311*$C311,0)</f>
        <v>6860282</v>
      </c>
      <c r="G311" s="36">
        <v>50</v>
      </c>
      <c r="H311" s="36">
        <f>TRUNC(G311*$C311,0)</f>
        <v>243100</v>
      </c>
      <c r="I311" s="36">
        <v>1022</v>
      </c>
      <c r="J311" s="36">
        <f>TRUNC(I311*$C311,0)</f>
        <v>4968964</v>
      </c>
      <c r="K311" s="36">
        <f t="shared" si="25"/>
        <v>2483</v>
      </c>
      <c r="L311" s="36">
        <f t="shared" si="25"/>
        <v>12072346</v>
      </c>
      <c r="M311" s="37"/>
      <c r="N311" s="253"/>
      <c r="O311" s="38"/>
    </row>
    <row r="312" spans="1:15" s="29" customFormat="1" ht="24.95" customHeight="1">
      <c r="A312" s="31" t="s">
        <v>1143</v>
      </c>
      <c r="B312" s="32" t="s">
        <v>22</v>
      </c>
      <c r="C312" s="33"/>
      <c r="D312" s="34" t="s">
        <v>22</v>
      </c>
      <c r="E312" s="34"/>
      <c r="F312" s="36">
        <f>TRUNC(F313+F314,0)</f>
        <v>219352229</v>
      </c>
      <c r="G312" s="34"/>
      <c r="H312" s="36">
        <f>TRUNC(H313+H314,0)</f>
        <v>85331106</v>
      </c>
      <c r="I312" s="34"/>
      <c r="J312" s="36">
        <f>TRUNC(J313+J314,0)</f>
        <v>105879251</v>
      </c>
      <c r="K312" s="36">
        <f t="shared" si="25"/>
        <v>0</v>
      </c>
      <c r="L312" s="36">
        <f t="shared" si="25"/>
        <v>410562586</v>
      </c>
      <c r="M312" s="37"/>
      <c r="N312" s="253"/>
    </row>
    <row r="313" spans="1:15" s="29" customFormat="1" ht="24.95" customHeight="1">
      <c r="A313" s="31" t="s">
        <v>1144</v>
      </c>
      <c r="B313" s="32" t="s">
        <v>1145</v>
      </c>
      <c r="C313" s="33">
        <v>296</v>
      </c>
      <c r="D313" s="34" t="s">
        <v>815</v>
      </c>
      <c r="E313" s="36">
        <v>123654</v>
      </c>
      <c r="F313" s="36">
        <f>TRUNC(E313*$C313,0)</f>
        <v>36601584</v>
      </c>
      <c r="G313" s="36">
        <v>57967</v>
      </c>
      <c r="H313" s="36">
        <f>TRUNC(G313*$C313,0)</f>
        <v>17158232</v>
      </c>
      <c r="I313" s="36">
        <v>70967</v>
      </c>
      <c r="J313" s="36">
        <f>TRUNC(I313*$C313,0)</f>
        <v>21006232</v>
      </c>
      <c r="K313" s="36">
        <f t="shared" si="25"/>
        <v>252588</v>
      </c>
      <c r="L313" s="36">
        <f t="shared" si="25"/>
        <v>74766048</v>
      </c>
      <c r="M313" s="37"/>
      <c r="N313" s="253"/>
      <c r="O313" s="38"/>
    </row>
    <row r="314" spans="1:15" s="29" customFormat="1" ht="24.95" customHeight="1">
      <c r="A314" s="31" t="s">
        <v>1146</v>
      </c>
      <c r="B314" s="32" t="s">
        <v>1145</v>
      </c>
      <c r="C314" s="33">
        <v>1463</v>
      </c>
      <c r="D314" s="34" t="s">
        <v>815</v>
      </c>
      <c r="E314" s="36">
        <v>124915</v>
      </c>
      <c r="F314" s="36">
        <f>TRUNC(E314*$C314,0)</f>
        <v>182750645</v>
      </c>
      <c r="G314" s="36">
        <v>46598</v>
      </c>
      <c r="H314" s="36">
        <f>TRUNC(G314*$C314,0)</f>
        <v>68172874</v>
      </c>
      <c r="I314" s="36">
        <v>58013</v>
      </c>
      <c r="J314" s="36">
        <f>TRUNC(I314*$C314,0)</f>
        <v>84873019</v>
      </c>
      <c r="K314" s="36">
        <f t="shared" si="25"/>
        <v>229526</v>
      </c>
      <c r="L314" s="36">
        <f t="shared" si="25"/>
        <v>335796538</v>
      </c>
      <c r="M314" s="37"/>
      <c r="N314" s="253"/>
      <c r="O314" s="38"/>
    </row>
    <row r="315" spans="1:15" s="63" customFormat="1" ht="24.95" customHeight="1">
      <c r="A315" s="57" t="s">
        <v>1147</v>
      </c>
      <c r="B315" s="58" t="s">
        <v>22</v>
      </c>
      <c r="C315" s="59"/>
      <c r="D315" s="60" t="s">
        <v>22</v>
      </c>
      <c r="E315" s="60"/>
      <c r="F315" s="61">
        <f>TRUNC(F317+F318+F320+F321+F322+F323+F324+F325+F326,0)</f>
        <v>21138792</v>
      </c>
      <c r="G315" s="60"/>
      <c r="H315" s="61">
        <f>TRUNC(H317+H318+H320+H321+H322+H323+H324+H325+H326,0)</f>
        <v>9358572</v>
      </c>
      <c r="I315" s="60"/>
      <c r="J315" s="61">
        <f>TRUNC(J317+J318+J320+J321+J322+J323+J324+J325+J326,0)</f>
        <v>537626</v>
      </c>
      <c r="K315" s="61">
        <f t="shared" si="25"/>
        <v>0</v>
      </c>
      <c r="L315" s="61">
        <f t="shared" si="25"/>
        <v>31034990</v>
      </c>
      <c r="M315" s="62"/>
      <c r="N315" s="253"/>
    </row>
    <row r="316" spans="1:15" s="29" customFormat="1" ht="24.95" customHeight="1">
      <c r="A316" s="31" t="s">
        <v>1087</v>
      </c>
      <c r="B316" s="32" t="s">
        <v>22</v>
      </c>
      <c r="C316" s="33"/>
      <c r="D316" s="34" t="s">
        <v>22</v>
      </c>
      <c r="E316" s="34"/>
      <c r="F316" s="36">
        <f>TRUNC(F317+F318,0)</f>
        <v>1363530</v>
      </c>
      <c r="G316" s="34"/>
      <c r="H316" s="36">
        <f>TRUNC(H317+H318,0)</f>
        <v>184930</v>
      </c>
      <c r="I316" s="34"/>
      <c r="J316" s="36">
        <f>TRUNC(J317+J318,0)</f>
        <v>486722</v>
      </c>
      <c r="K316" s="36">
        <f t="shared" si="25"/>
        <v>0</v>
      </c>
      <c r="L316" s="36">
        <f t="shared" si="25"/>
        <v>2035182</v>
      </c>
      <c r="M316" s="37"/>
      <c r="N316" s="253"/>
    </row>
    <row r="317" spans="1:15" s="29" customFormat="1" ht="24.95" customHeight="1">
      <c r="A317" s="31" t="s">
        <v>1088</v>
      </c>
      <c r="B317" s="32" t="s">
        <v>1148</v>
      </c>
      <c r="C317" s="33">
        <v>145</v>
      </c>
      <c r="D317" s="34" t="s">
        <v>815</v>
      </c>
      <c r="E317" s="36">
        <v>8703</v>
      </c>
      <c r="F317" s="36">
        <f>TRUNC(E317*$C317,0)</f>
        <v>1261935</v>
      </c>
      <c r="G317" s="36">
        <v>1179</v>
      </c>
      <c r="H317" s="36">
        <f>TRUNC(G317*$C317,0)</f>
        <v>170955</v>
      </c>
      <c r="I317" s="36">
        <v>3108</v>
      </c>
      <c r="J317" s="36">
        <f>TRUNC(I317*$C317,0)</f>
        <v>450660</v>
      </c>
      <c r="K317" s="36">
        <f t="shared" si="25"/>
        <v>12990</v>
      </c>
      <c r="L317" s="36">
        <f t="shared" si="25"/>
        <v>1883550</v>
      </c>
      <c r="M317" s="37"/>
      <c r="N317" s="253"/>
      <c r="O317" s="38"/>
    </row>
    <row r="318" spans="1:15" s="29" customFormat="1" ht="24.95" customHeight="1">
      <c r="A318" s="31" t="s">
        <v>1090</v>
      </c>
      <c r="B318" s="32" t="s">
        <v>1091</v>
      </c>
      <c r="C318" s="33">
        <v>13</v>
      </c>
      <c r="D318" s="34" t="s">
        <v>820</v>
      </c>
      <c r="E318" s="36">
        <v>7815</v>
      </c>
      <c r="F318" s="36">
        <f>TRUNC(E318*$C318,0)</f>
        <v>101595</v>
      </c>
      <c r="G318" s="36">
        <v>1075</v>
      </c>
      <c r="H318" s="36">
        <f>TRUNC(G318*$C318,0)</f>
        <v>13975</v>
      </c>
      <c r="I318" s="36">
        <v>2774</v>
      </c>
      <c r="J318" s="36">
        <f>TRUNC(I318*$C318,0)</f>
        <v>36062</v>
      </c>
      <c r="K318" s="36">
        <f t="shared" si="25"/>
        <v>11664</v>
      </c>
      <c r="L318" s="36">
        <f t="shared" si="25"/>
        <v>151632</v>
      </c>
      <c r="M318" s="37"/>
      <c r="N318" s="253"/>
      <c r="O318" s="38"/>
    </row>
    <row r="319" spans="1:15" s="29" customFormat="1" ht="24.95" customHeight="1">
      <c r="A319" s="31" t="s">
        <v>1092</v>
      </c>
      <c r="B319" s="32" t="s">
        <v>22</v>
      </c>
      <c r="C319" s="33"/>
      <c r="D319" s="34" t="s">
        <v>22</v>
      </c>
      <c r="E319" s="34"/>
      <c r="F319" s="36">
        <f>TRUNC(F320+F321,0)</f>
        <v>9270882</v>
      </c>
      <c r="G319" s="34"/>
      <c r="H319" s="36">
        <f>TRUNC(H320+H321,0)</f>
        <v>5682325</v>
      </c>
      <c r="I319" s="34"/>
      <c r="J319" s="36">
        <f>TRUNC(J320+J321,0)</f>
        <v>0</v>
      </c>
      <c r="K319" s="36">
        <f t="shared" si="25"/>
        <v>0</v>
      </c>
      <c r="L319" s="36">
        <f t="shared" si="25"/>
        <v>14953207</v>
      </c>
      <c r="M319" s="37"/>
      <c r="N319" s="253"/>
    </row>
    <row r="320" spans="1:15" s="29" customFormat="1" ht="24.95" customHeight="1">
      <c r="A320" s="31" t="s">
        <v>1009</v>
      </c>
      <c r="B320" s="32" t="s">
        <v>1095</v>
      </c>
      <c r="C320" s="33">
        <v>287</v>
      </c>
      <c r="D320" s="34" t="s">
        <v>831</v>
      </c>
      <c r="E320" s="36">
        <v>25966</v>
      </c>
      <c r="F320" s="36">
        <f t="shared" ref="F320:F326" si="35">TRUNC(E320*$C320,0)</f>
        <v>7452242</v>
      </c>
      <c r="G320" s="36">
        <v>15915</v>
      </c>
      <c r="H320" s="36">
        <f t="shared" ref="H320:H326" si="36">TRUNC(G320*$C320,0)</f>
        <v>4567605</v>
      </c>
      <c r="I320" s="36">
        <v>0</v>
      </c>
      <c r="J320" s="36">
        <f t="shared" ref="J320:J326" si="37">TRUNC(I320*$C320,0)</f>
        <v>0</v>
      </c>
      <c r="K320" s="36">
        <f t="shared" si="25"/>
        <v>41881</v>
      </c>
      <c r="L320" s="36">
        <f t="shared" si="25"/>
        <v>12019847</v>
      </c>
      <c r="M320" s="37"/>
      <c r="N320" s="253"/>
      <c r="O320" s="38"/>
    </row>
    <row r="321" spans="1:15" s="29" customFormat="1" ht="24.95" customHeight="1">
      <c r="A321" s="31" t="s">
        <v>1149</v>
      </c>
      <c r="B321" s="32" t="s">
        <v>1010</v>
      </c>
      <c r="C321" s="33">
        <v>80</v>
      </c>
      <c r="D321" s="34" t="s">
        <v>831</v>
      </c>
      <c r="E321" s="36">
        <v>22733</v>
      </c>
      <c r="F321" s="36">
        <f t="shared" si="35"/>
        <v>1818640</v>
      </c>
      <c r="G321" s="36">
        <v>13934</v>
      </c>
      <c r="H321" s="36">
        <f t="shared" si="36"/>
        <v>1114720</v>
      </c>
      <c r="I321" s="36">
        <v>0</v>
      </c>
      <c r="J321" s="36">
        <f t="shared" si="37"/>
        <v>0</v>
      </c>
      <c r="K321" s="36">
        <f t="shared" ref="K321:L384" si="38">G321+E321+I321</f>
        <v>36667</v>
      </c>
      <c r="L321" s="36">
        <f t="shared" si="38"/>
        <v>2933360</v>
      </c>
      <c r="M321" s="37"/>
      <c r="N321" s="253"/>
      <c r="O321" s="38"/>
    </row>
    <row r="322" spans="1:15" s="29" customFormat="1" ht="24.95" customHeight="1">
      <c r="A322" s="31" t="s">
        <v>1150</v>
      </c>
      <c r="B322" s="32" t="s">
        <v>1101</v>
      </c>
      <c r="C322" s="33">
        <v>237</v>
      </c>
      <c r="D322" s="34" t="s">
        <v>831</v>
      </c>
      <c r="E322" s="36">
        <v>12905</v>
      </c>
      <c r="F322" s="36">
        <f t="shared" si="35"/>
        <v>3058485</v>
      </c>
      <c r="G322" s="36">
        <v>7580</v>
      </c>
      <c r="H322" s="36">
        <f t="shared" si="36"/>
        <v>1796460</v>
      </c>
      <c r="I322" s="36">
        <v>0</v>
      </c>
      <c r="J322" s="36">
        <f t="shared" si="37"/>
        <v>0</v>
      </c>
      <c r="K322" s="36">
        <f t="shared" si="38"/>
        <v>20485</v>
      </c>
      <c r="L322" s="36">
        <f t="shared" si="38"/>
        <v>4854945</v>
      </c>
      <c r="M322" s="37"/>
      <c r="N322" s="253"/>
      <c r="O322" s="38"/>
    </row>
    <row r="323" spans="1:15" s="29" customFormat="1" ht="24.95" customHeight="1">
      <c r="A323" s="31" t="s">
        <v>1151</v>
      </c>
      <c r="B323" s="32" t="s">
        <v>1152</v>
      </c>
      <c r="C323" s="33">
        <v>56</v>
      </c>
      <c r="D323" s="34" t="s">
        <v>820</v>
      </c>
      <c r="E323" s="36">
        <v>7628</v>
      </c>
      <c r="F323" s="36">
        <f t="shared" si="35"/>
        <v>427168</v>
      </c>
      <c r="G323" s="36">
        <v>765</v>
      </c>
      <c r="H323" s="36">
        <f t="shared" si="36"/>
        <v>42840</v>
      </c>
      <c r="I323" s="36">
        <v>909</v>
      </c>
      <c r="J323" s="36">
        <f t="shared" si="37"/>
        <v>50904</v>
      </c>
      <c r="K323" s="36">
        <f t="shared" si="38"/>
        <v>9302</v>
      </c>
      <c r="L323" s="36">
        <f t="shared" si="38"/>
        <v>520912</v>
      </c>
      <c r="M323" s="37"/>
      <c r="N323" s="253"/>
      <c r="O323" s="38"/>
    </row>
    <row r="324" spans="1:15" s="29" customFormat="1" ht="24.95" customHeight="1">
      <c r="A324" s="31" t="s">
        <v>1153</v>
      </c>
      <c r="B324" s="32" t="s">
        <v>22</v>
      </c>
      <c r="C324" s="33">
        <v>90</v>
      </c>
      <c r="D324" s="34" t="s">
        <v>847</v>
      </c>
      <c r="E324" s="36">
        <v>218</v>
      </c>
      <c r="F324" s="36">
        <f t="shared" si="35"/>
        <v>19620</v>
      </c>
      <c r="G324" s="36">
        <v>4373</v>
      </c>
      <c r="H324" s="36">
        <f t="shared" si="36"/>
        <v>393570</v>
      </c>
      <c r="I324" s="36">
        <v>0</v>
      </c>
      <c r="J324" s="36">
        <f t="shared" si="37"/>
        <v>0</v>
      </c>
      <c r="K324" s="36">
        <f t="shared" si="38"/>
        <v>4591</v>
      </c>
      <c r="L324" s="36">
        <f t="shared" si="38"/>
        <v>413190</v>
      </c>
      <c r="M324" s="37"/>
      <c r="N324" s="253"/>
      <c r="O324" s="38"/>
    </row>
    <row r="325" spans="1:15" s="29" customFormat="1" ht="24.95" customHeight="1">
      <c r="A325" s="31" t="s">
        <v>1154</v>
      </c>
      <c r="B325" s="32" t="s">
        <v>1155</v>
      </c>
      <c r="C325" s="33">
        <v>33</v>
      </c>
      <c r="D325" s="34" t="s">
        <v>116</v>
      </c>
      <c r="E325" s="36">
        <v>463</v>
      </c>
      <c r="F325" s="36">
        <f t="shared" si="35"/>
        <v>15279</v>
      </c>
      <c r="G325" s="36">
        <v>9276</v>
      </c>
      <c r="H325" s="36">
        <f t="shared" si="36"/>
        <v>306108</v>
      </c>
      <c r="I325" s="36">
        <v>0</v>
      </c>
      <c r="J325" s="36">
        <f t="shared" si="37"/>
        <v>0</v>
      </c>
      <c r="K325" s="36">
        <f t="shared" si="38"/>
        <v>9739</v>
      </c>
      <c r="L325" s="36">
        <f t="shared" si="38"/>
        <v>321387</v>
      </c>
      <c r="M325" s="37"/>
      <c r="N325" s="253"/>
      <c r="O325" s="38"/>
    </row>
    <row r="326" spans="1:15" s="29" customFormat="1" ht="24.95" customHeight="1">
      <c r="A326" s="31" t="s">
        <v>1156</v>
      </c>
      <c r="B326" s="32" t="s">
        <v>1111</v>
      </c>
      <c r="C326" s="261">
        <v>12.786</v>
      </c>
      <c r="D326" s="34" t="s">
        <v>1112</v>
      </c>
      <c r="E326" s="36">
        <v>546209</v>
      </c>
      <c r="F326" s="36">
        <f t="shared" si="35"/>
        <v>6983828</v>
      </c>
      <c r="G326" s="36">
        <v>74483</v>
      </c>
      <c r="H326" s="36">
        <f t="shared" si="36"/>
        <v>952339</v>
      </c>
      <c r="I326" s="36">
        <v>0</v>
      </c>
      <c r="J326" s="36">
        <f t="shared" si="37"/>
        <v>0</v>
      </c>
      <c r="K326" s="36">
        <f t="shared" si="38"/>
        <v>620692</v>
      </c>
      <c r="L326" s="36">
        <f t="shared" si="38"/>
        <v>7936167</v>
      </c>
      <c r="M326" s="37"/>
      <c r="N326" s="253"/>
      <c r="O326" s="38"/>
    </row>
    <row r="327" spans="1:15" s="63" customFormat="1" ht="24.95" customHeight="1">
      <c r="A327" s="57" t="s">
        <v>1157</v>
      </c>
      <c r="B327" s="58" t="s">
        <v>22</v>
      </c>
      <c r="C327" s="59"/>
      <c r="D327" s="60" t="s">
        <v>22</v>
      </c>
      <c r="E327" s="60"/>
      <c r="F327" s="61">
        <f>TRUNC(F328+F329,0)</f>
        <v>4451970</v>
      </c>
      <c r="G327" s="60"/>
      <c r="H327" s="61">
        <f>TRUNC(H328+H329,0)</f>
        <v>2054943</v>
      </c>
      <c r="I327" s="60"/>
      <c r="J327" s="61">
        <f>TRUNC(J328+J329,0)</f>
        <v>57099</v>
      </c>
      <c r="K327" s="61">
        <f t="shared" si="38"/>
        <v>0</v>
      </c>
      <c r="L327" s="61">
        <f t="shared" si="38"/>
        <v>6564012</v>
      </c>
      <c r="M327" s="62"/>
      <c r="N327" s="253"/>
    </row>
    <row r="328" spans="1:15" s="29" customFormat="1" ht="24.95" customHeight="1">
      <c r="A328" s="31" t="s">
        <v>1158</v>
      </c>
      <c r="B328" s="32" t="s">
        <v>1008</v>
      </c>
      <c r="C328" s="33">
        <v>21</v>
      </c>
      <c r="D328" s="34" t="s">
        <v>815</v>
      </c>
      <c r="E328" s="36">
        <v>16966</v>
      </c>
      <c r="F328" s="36">
        <f>TRUNC(E328*$C328,0)</f>
        <v>356286</v>
      </c>
      <c r="G328" s="36">
        <v>1791</v>
      </c>
      <c r="H328" s="36">
        <f>TRUNC(G328*$C328,0)</f>
        <v>37611</v>
      </c>
      <c r="I328" s="36">
        <v>2719</v>
      </c>
      <c r="J328" s="36">
        <f>TRUNC(I328*$C328,0)</f>
        <v>57099</v>
      </c>
      <c r="K328" s="36">
        <f t="shared" si="38"/>
        <v>21476</v>
      </c>
      <c r="L328" s="36">
        <f t="shared" si="38"/>
        <v>450996</v>
      </c>
      <c r="M328" s="37"/>
      <c r="N328" s="253"/>
      <c r="O328" s="38"/>
    </row>
    <row r="329" spans="1:15" s="29" customFormat="1" ht="24.95" customHeight="1">
      <c r="A329" s="31" t="s">
        <v>1159</v>
      </c>
      <c r="B329" s="32" t="s">
        <v>1160</v>
      </c>
      <c r="C329" s="33">
        <v>108</v>
      </c>
      <c r="D329" s="34" t="s">
        <v>831</v>
      </c>
      <c r="E329" s="36">
        <v>37923</v>
      </c>
      <c r="F329" s="36">
        <f>TRUNC(E329*$C329,0)</f>
        <v>4095684</v>
      </c>
      <c r="G329" s="36">
        <v>18679</v>
      </c>
      <c r="H329" s="36">
        <f>TRUNC(G329*$C329,0)</f>
        <v>2017332</v>
      </c>
      <c r="I329" s="36">
        <v>0</v>
      </c>
      <c r="J329" s="36">
        <f>TRUNC(I329*$C329,0)</f>
        <v>0</v>
      </c>
      <c r="K329" s="36">
        <f t="shared" si="38"/>
        <v>56602</v>
      </c>
      <c r="L329" s="36">
        <f t="shared" si="38"/>
        <v>6113016</v>
      </c>
      <c r="M329" s="37"/>
      <c r="N329" s="253"/>
      <c r="O329" s="38"/>
    </row>
    <row r="330" spans="1:15" s="63" customFormat="1" ht="24.95" customHeight="1">
      <c r="A330" s="57" t="s">
        <v>1161</v>
      </c>
      <c r="B330" s="58" t="s">
        <v>22</v>
      </c>
      <c r="C330" s="59"/>
      <c r="D330" s="60" t="s">
        <v>22</v>
      </c>
      <c r="E330" s="60"/>
      <c r="F330" s="61">
        <f>TRUNC(F331+F332+F333,0)</f>
        <v>6271684</v>
      </c>
      <c r="G330" s="60"/>
      <c r="H330" s="61">
        <f>TRUNC(H331+H332+H333,0)</f>
        <v>3158898</v>
      </c>
      <c r="I330" s="60"/>
      <c r="J330" s="61">
        <f>TRUNC(J331+J332+J333,0)</f>
        <v>402444</v>
      </c>
      <c r="K330" s="61">
        <f t="shared" si="38"/>
        <v>0</v>
      </c>
      <c r="L330" s="61">
        <f t="shared" si="38"/>
        <v>9833026</v>
      </c>
      <c r="M330" s="62"/>
      <c r="N330" s="253"/>
    </row>
    <row r="331" spans="1:15" s="29" customFormat="1" ht="24.95" customHeight="1">
      <c r="A331" s="31" t="s">
        <v>1162</v>
      </c>
      <c r="B331" s="32" t="s">
        <v>1163</v>
      </c>
      <c r="C331" s="33">
        <v>21</v>
      </c>
      <c r="D331" s="34" t="s">
        <v>820</v>
      </c>
      <c r="E331" s="36">
        <v>39656</v>
      </c>
      <c r="F331" s="36">
        <f>TRUNC(E331*$C331,0)</f>
        <v>832776</v>
      </c>
      <c r="G331" s="36">
        <v>7274</v>
      </c>
      <c r="H331" s="36">
        <f>TRUNC(G331*$C331,0)</f>
        <v>152754</v>
      </c>
      <c r="I331" s="36">
        <v>19164</v>
      </c>
      <c r="J331" s="36">
        <f>TRUNC(I331*$C331,0)</f>
        <v>402444</v>
      </c>
      <c r="K331" s="36">
        <f t="shared" si="38"/>
        <v>66094</v>
      </c>
      <c r="L331" s="36">
        <f t="shared" si="38"/>
        <v>1387974</v>
      </c>
      <c r="M331" s="37"/>
      <c r="N331" s="253"/>
      <c r="O331" s="38"/>
    </row>
    <row r="332" spans="1:15" s="29" customFormat="1" ht="24.95" customHeight="1">
      <c r="A332" s="31" t="s">
        <v>1159</v>
      </c>
      <c r="B332" s="32" t="s">
        <v>1095</v>
      </c>
      <c r="C332" s="33">
        <v>183</v>
      </c>
      <c r="D332" s="34" t="s">
        <v>831</v>
      </c>
      <c r="E332" s="36">
        <v>25966</v>
      </c>
      <c r="F332" s="36">
        <f>TRUNC(E332*$C332,0)</f>
        <v>4751778</v>
      </c>
      <c r="G332" s="36">
        <v>15915</v>
      </c>
      <c r="H332" s="36">
        <f>TRUNC(G332*$C332,0)</f>
        <v>2912445</v>
      </c>
      <c r="I332" s="36">
        <v>0</v>
      </c>
      <c r="J332" s="36">
        <f>TRUNC(I332*$C332,0)</f>
        <v>0</v>
      </c>
      <c r="K332" s="36">
        <f t="shared" si="38"/>
        <v>41881</v>
      </c>
      <c r="L332" s="36">
        <f t="shared" si="38"/>
        <v>7664223</v>
      </c>
      <c r="M332" s="37"/>
      <c r="N332" s="253"/>
      <c r="O332" s="38"/>
    </row>
    <row r="333" spans="1:15" s="29" customFormat="1" ht="24.95" customHeight="1">
      <c r="A333" s="31" t="s">
        <v>1164</v>
      </c>
      <c r="B333" s="32" t="s">
        <v>1111</v>
      </c>
      <c r="C333" s="261">
        <v>1.258</v>
      </c>
      <c r="D333" s="34" t="s">
        <v>1112</v>
      </c>
      <c r="E333" s="36">
        <v>546209</v>
      </c>
      <c r="F333" s="36">
        <f>TRUNC(E333*$C333,0)</f>
        <v>687130</v>
      </c>
      <c r="G333" s="36">
        <v>74483</v>
      </c>
      <c r="H333" s="36">
        <f>TRUNC(G333*$C333,0)</f>
        <v>93699</v>
      </c>
      <c r="I333" s="36">
        <v>0</v>
      </c>
      <c r="J333" s="36">
        <f>TRUNC(I333*$C333,0)</f>
        <v>0</v>
      </c>
      <c r="K333" s="36">
        <f t="shared" si="38"/>
        <v>620692</v>
      </c>
      <c r="L333" s="36">
        <f t="shared" si="38"/>
        <v>780829</v>
      </c>
      <c r="M333" s="37"/>
      <c r="N333" s="253"/>
      <c r="O333" s="38"/>
    </row>
    <row r="334" spans="1:15" s="63" customFormat="1" ht="24.95" customHeight="1">
      <c r="A334" s="57" t="s">
        <v>1165</v>
      </c>
      <c r="B334" s="58" t="s">
        <v>22</v>
      </c>
      <c r="C334" s="59"/>
      <c r="D334" s="60" t="s">
        <v>22</v>
      </c>
      <c r="E334" s="60"/>
      <c r="F334" s="61">
        <f>TRUNC(F335,0)</f>
        <v>70994448</v>
      </c>
      <c r="G334" s="60"/>
      <c r="H334" s="61">
        <f>TRUNC(H335,0)</f>
        <v>11482072</v>
      </c>
      <c r="I334" s="60"/>
      <c r="J334" s="61">
        <f>TRUNC(J335,0)</f>
        <v>5171264</v>
      </c>
      <c r="K334" s="61">
        <f t="shared" si="38"/>
        <v>0</v>
      </c>
      <c r="L334" s="61">
        <f t="shared" si="38"/>
        <v>87647784</v>
      </c>
      <c r="M334" s="62"/>
      <c r="N334" s="253"/>
    </row>
    <row r="335" spans="1:15" s="29" customFormat="1" ht="24.95" customHeight="1">
      <c r="A335" s="31" t="s">
        <v>1166</v>
      </c>
      <c r="B335" s="32" t="s">
        <v>1167</v>
      </c>
      <c r="C335" s="33">
        <v>952</v>
      </c>
      <c r="D335" s="34" t="s">
        <v>116</v>
      </c>
      <c r="E335" s="36">
        <v>74574</v>
      </c>
      <c r="F335" s="36">
        <f>TRUNC(E335*$C335,0)</f>
        <v>70994448</v>
      </c>
      <c r="G335" s="36">
        <v>12061</v>
      </c>
      <c r="H335" s="36">
        <f>TRUNC(G335*$C335,0)</f>
        <v>11482072</v>
      </c>
      <c r="I335" s="36">
        <v>5432</v>
      </c>
      <c r="J335" s="36">
        <f>TRUNC(I335*$C335,0)</f>
        <v>5171264</v>
      </c>
      <c r="K335" s="36">
        <f t="shared" si="38"/>
        <v>92067</v>
      </c>
      <c r="L335" s="36">
        <f t="shared" si="38"/>
        <v>87647784</v>
      </c>
      <c r="M335" s="37"/>
      <c r="N335" s="253"/>
      <c r="O335" s="38"/>
    </row>
    <row r="336" spans="1:15" s="63" customFormat="1" ht="24.95" customHeight="1">
      <c r="A336" s="57" t="s">
        <v>1168</v>
      </c>
      <c r="B336" s="58" t="s">
        <v>22</v>
      </c>
      <c r="C336" s="59"/>
      <c r="D336" s="60" t="s">
        <v>22</v>
      </c>
      <c r="E336" s="60"/>
      <c r="F336" s="61">
        <f>TRUNC(F338+F339+F341+F342+F343+F344+F345,0)</f>
        <v>253790580</v>
      </c>
      <c r="G336" s="60"/>
      <c r="H336" s="61">
        <f>TRUNC(H338+H339+H341+H342+H343+H344+H345,0)</f>
        <v>133601964</v>
      </c>
      <c r="I336" s="60"/>
      <c r="J336" s="61">
        <f>TRUNC(J338+J339+J341+J342+J343+J344+J345,0)</f>
        <v>4643212</v>
      </c>
      <c r="K336" s="61">
        <f t="shared" si="38"/>
        <v>0</v>
      </c>
      <c r="L336" s="61">
        <f t="shared" si="38"/>
        <v>392035756</v>
      </c>
      <c r="M336" s="62"/>
      <c r="N336" s="253"/>
    </row>
    <row r="337" spans="1:15" s="29" customFormat="1" ht="24.95" customHeight="1">
      <c r="A337" s="31" t="s">
        <v>1087</v>
      </c>
      <c r="B337" s="32" t="s">
        <v>22</v>
      </c>
      <c r="C337" s="33"/>
      <c r="D337" s="34" t="s">
        <v>22</v>
      </c>
      <c r="E337" s="34"/>
      <c r="F337" s="36">
        <f>TRUNC(F338+F339,0)</f>
        <v>13018438</v>
      </c>
      <c r="G337" s="34"/>
      <c r="H337" s="36">
        <f>TRUNC(H338+H339,0)</f>
        <v>1768274</v>
      </c>
      <c r="I337" s="34"/>
      <c r="J337" s="36">
        <f>TRUNC(J338+J339,0)</f>
        <v>4643212</v>
      </c>
      <c r="K337" s="36">
        <f t="shared" si="38"/>
        <v>0</v>
      </c>
      <c r="L337" s="36">
        <f t="shared" si="38"/>
        <v>19429924</v>
      </c>
      <c r="M337" s="37"/>
      <c r="N337" s="253"/>
    </row>
    <row r="338" spans="1:15" s="29" customFormat="1" ht="24.95" customHeight="1">
      <c r="A338" s="31" t="s">
        <v>1088</v>
      </c>
      <c r="B338" s="32" t="s">
        <v>1091</v>
      </c>
      <c r="C338" s="33">
        <v>1174</v>
      </c>
      <c r="D338" s="34" t="s">
        <v>820</v>
      </c>
      <c r="E338" s="36">
        <v>9052</v>
      </c>
      <c r="F338" s="36">
        <f>TRUNC(E338*$C338,0)</f>
        <v>10627048</v>
      </c>
      <c r="G338" s="36">
        <v>1226</v>
      </c>
      <c r="H338" s="36">
        <f>TRUNC(G338*$C338,0)</f>
        <v>1439324</v>
      </c>
      <c r="I338" s="36">
        <v>3232</v>
      </c>
      <c r="J338" s="36">
        <f>TRUNC(I338*$C338,0)</f>
        <v>3794368</v>
      </c>
      <c r="K338" s="36">
        <f t="shared" si="38"/>
        <v>13510</v>
      </c>
      <c r="L338" s="36">
        <f t="shared" si="38"/>
        <v>15860740</v>
      </c>
      <c r="M338" s="37"/>
      <c r="N338" s="253"/>
      <c r="O338" s="38"/>
    </row>
    <row r="339" spans="1:15" s="29" customFormat="1" ht="24.95" customHeight="1">
      <c r="A339" s="31" t="s">
        <v>1090</v>
      </c>
      <c r="B339" s="32" t="s">
        <v>1091</v>
      </c>
      <c r="C339" s="33">
        <v>306</v>
      </c>
      <c r="D339" s="34" t="s">
        <v>820</v>
      </c>
      <c r="E339" s="36">
        <v>7815</v>
      </c>
      <c r="F339" s="36">
        <f>TRUNC(E339*$C339,0)</f>
        <v>2391390</v>
      </c>
      <c r="G339" s="36">
        <v>1075</v>
      </c>
      <c r="H339" s="36">
        <f>TRUNC(G339*$C339,0)</f>
        <v>328950</v>
      </c>
      <c r="I339" s="36">
        <v>2774</v>
      </c>
      <c r="J339" s="36">
        <f>TRUNC(I339*$C339,0)</f>
        <v>848844</v>
      </c>
      <c r="K339" s="36">
        <f t="shared" si="38"/>
        <v>11664</v>
      </c>
      <c r="L339" s="36">
        <f t="shared" si="38"/>
        <v>3569184</v>
      </c>
      <c r="M339" s="37"/>
      <c r="N339" s="253"/>
      <c r="O339" s="38"/>
    </row>
    <row r="340" spans="1:15" s="29" customFormat="1" ht="24.95" customHeight="1">
      <c r="A340" s="31" t="s">
        <v>1092</v>
      </c>
      <c r="B340" s="32" t="s">
        <v>22</v>
      </c>
      <c r="C340" s="33"/>
      <c r="D340" s="34" t="s">
        <v>22</v>
      </c>
      <c r="E340" s="34"/>
      <c r="F340" s="36">
        <f>TRUNC(F341+F342,0)</f>
        <v>205757369</v>
      </c>
      <c r="G340" s="34"/>
      <c r="H340" s="36">
        <f>TRUNC(H341+H342,0)</f>
        <v>126112432</v>
      </c>
      <c r="I340" s="34"/>
      <c r="J340" s="36">
        <f>TRUNC(J341+J342,0)</f>
        <v>0</v>
      </c>
      <c r="K340" s="36">
        <f t="shared" si="38"/>
        <v>0</v>
      </c>
      <c r="L340" s="36">
        <f t="shared" si="38"/>
        <v>331869801</v>
      </c>
      <c r="M340" s="37"/>
      <c r="N340" s="253"/>
    </row>
    <row r="341" spans="1:15" s="29" customFormat="1" ht="24.95" customHeight="1">
      <c r="A341" s="31" t="s">
        <v>1149</v>
      </c>
      <c r="B341" s="32" t="s">
        <v>1095</v>
      </c>
      <c r="C341" s="33">
        <v>7510</v>
      </c>
      <c r="D341" s="34" t="s">
        <v>831</v>
      </c>
      <c r="E341" s="36">
        <v>25966</v>
      </c>
      <c r="F341" s="36">
        <f>TRUNC(E341*$C341,0)</f>
        <v>195004660</v>
      </c>
      <c r="G341" s="36">
        <v>15915</v>
      </c>
      <c r="H341" s="36">
        <f>TRUNC(G341*$C341,0)</f>
        <v>119521650</v>
      </c>
      <c r="I341" s="36">
        <v>0</v>
      </c>
      <c r="J341" s="36">
        <f>TRUNC(I341*$C341,0)</f>
        <v>0</v>
      </c>
      <c r="K341" s="36">
        <f t="shared" si="38"/>
        <v>41881</v>
      </c>
      <c r="L341" s="36">
        <f t="shared" si="38"/>
        <v>314526310</v>
      </c>
      <c r="M341" s="37"/>
      <c r="N341" s="253"/>
      <c r="O341" s="38"/>
    </row>
    <row r="342" spans="1:15" s="29" customFormat="1" ht="24.95" customHeight="1">
      <c r="A342" s="31" t="s">
        <v>1149</v>
      </c>
      <c r="B342" s="32" t="s">
        <v>1010</v>
      </c>
      <c r="C342" s="33">
        <v>473</v>
      </c>
      <c r="D342" s="34" t="s">
        <v>831</v>
      </c>
      <c r="E342" s="36">
        <v>22733</v>
      </c>
      <c r="F342" s="36">
        <f>TRUNC(E342*$C342,0)</f>
        <v>10752709</v>
      </c>
      <c r="G342" s="36">
        <v>13934</v>
      </c>
      <c r="H342" s="36">
        <f>TRUNC(G342*$C342,0)</f>
        <v>6590782</v>
      </c>
      <c r="I342" s="36">
        <v>0</v>
      </c>
      <c r="J342" s="36">
        <f>TRUNC(I342*$C342,0)</f>
        <v>0</v>
      </c>
      <c r="K342" s="36">
        <f t="shared" si="38"/>
        <v>36667</v>
      </c>
      <c r="L342" s="36">
        <f t="shared" si="38"/>
        <v>17343491</v>
      </c>
      <c r="M342" s="37"/>
      <c r="N342" s="253"/>
      <c r="O342" s="38"/>
    </row>
    <row r="343" spans="1:15" s="29" customFormat="1" ht="24.95" customHeight="1">
      <c r="A343" s="31" t="s">
        <v>1164</v>
      </c>
      <c r="B343" s="32" t="s">
        <v>1111</v>
      </c>
      <c r="C343" s="261">
        <v>51.863</v>
      </c>
      <c r="D343" s="34" t="s">
        <v>1112</v>
      </c>
      <c r="E343" s="36">
        <v>546209</v>
      </c>
      <c r="F343" s="36">
        <f>TRUNC(E343*$C343,0)</f>
        <v>28328037</v>
      </c>
      <c r="G343" s="36">
        <v>74483</v>
      </c>
      <c r="H343" s="36">
        <f>TRUNC(G343*$C343,0)</f>
        <v>3862911</v>
      </c>
      <c r="I343" s="36">
        <v>0</v>
      </c>
      <c r="J343" s="36">
        <f>TRUNC(I343*$C343,0)</f>
        <v>0</v>
      </c>
      <c r="K343" s="36">
        <f t="shared" si="38"/>
        <v>620692</v>
      </c>
      <c r="L343" s="36">
        <f t="shared" si="38"/>
        <v>32190948</v>
      </c>
      <c r="M343" s="37"/>
      <c r="N343" s="253"/>
      <c r="O343" s="38"/>
    </row>
    <row r="344" spans="1:15" s="29" customFormat="1" ht="24.95" customHeight="1">
      <c r="A344" s="31" t="s">
        <v>1169</v>
      </c>
      <c r="B344" s="32" t="s">
        <v>1170</v>
      </c>
      <c r="C344" s="33">
        <v>399</v>
      </c>
      <c r="D344" s="34" t="s">
        <v>116</v>
      </c>
      <c r="E344" s="36">
        <v>15514</v>
      </c>
      <c r="F344" s="36">
        <f>TRUNC(E344*$C344,0)</f>
        <v>6190086</v>
      </c>
      <c r="G344" s="36">
        <v>4378</v>
      </c>
      <c r="H344" s="36">
        <f>TRUNC(G344*$C344,0)</f>
        <v>1746822</v>
      </c>
      <c r="I344" s="36">
        <v>0</v>
      </c>
      <c r="J344" s="36">
        <f>TRUNC(I344*$C344,0)</f>
        <v>0</v>
      </c>
      <c r="K344" s="36">
        <f t="shared" si="38"/>
        <v>19892</v>
      </c>
      <c r="L344" s="36">
        <f t="shared" si="38"/>
        <v>7936908</v>
      </c>
      <c r="M344" s="37"/>
      <c r="N344" s="253"/>
      <c r="O344" s="38"/>
    </row>
    <row r="345" spans="1:15" s="29" customFormat="1" ht="24.95" customHeight="1">
      <c r="A345" s="31" t="s">
        <v>1171</v>
      </c>
      <c r="B345" s="32" t="s">
        <v>1172</v>
      </c>
      <c r="C345" s="33">
        <v>75</v>
      </c>
      <c r="D345" s="34" t="s">
        <v>847</v>
      </c>
      <c r="E345" s="36">
        <v>6622</v>
      </c>
      <c r="F345" s="36">
        <f>TRUNC(E345*$C345,0)</f>
        <v>496650</v>
      </c>
      <c r="G345" s="36">
        <v>1487</v>
      </c>
      <c r="H345" s="36">
        <f>TRUNC(G345*$C345,0)</f>
        <v>111525</v>
      </c>
      <c r="I345" s="36">
        <v>0</v>
      </c>
      <c r="J345" s="36">
        <f>TRUNC(I345*$C345,0)</f>
        <v>0</v>
      </c>
      <c r="K345" s="36">
        <f t="shared" si="38"/>
        <v>8109</v>
      </c>
      <c r="L345" s="36">
        <f t="shared" si="38"/>
        <v>608175</v>
      </c>
      <c r="M345" s="37"/>
      <c r="N345" s="253"/>
      <c r="O345" s="38"/>
    </row>
    <row r="346" spans="1:15" s="63" customFormat="1" ht="24.95" customHeight="1">
      <c r="A346" s="57" t="s">
        <v>1173</v>
      </c>
      <c r="B346" s="58" t="s">
        <v>22</v>
      </c>
      <c r="C346" s="59"/>
      <c r="D346" s="60" t="s">
        <v>22</v>
      </c>
      <c r="E346" s="60"/>
      <c r="F346" s="61">
        <f>TRUNC(F348+F350+F351+F353+F354+F355+F357+F358+F359+F360+F362+F363+F364+F365+F367+F368+F369+F371+F372+F373,0)</f>
        <v>8005830</v>
      </c>
      <c r="G346" s="60"/>
      <c r="H346" s="61">
        <f>TRUNC(H348+H350+H351+H353+H354+H355+H357+H358+H359+H360+H362+H363+H364+H365+H367+H368+H369+H371+H372+H373,0)</f>
        <v>2863876</v>
      </c>
      <c r="I346" s="60"/>
      <c r="J346" s="61">
        <f>TRUNC(J348+J350+J351+J353+J354+J355+J357+J358+J359+J360+J362+J363+J364+J365+J367+J368+J369+J371+J372+J373,0)</f>
        <v>791933</v>
      </c>
      <c r="K346" s="61">
        <f t="shared" si="38"/>
        <v>0</v>
      </c>
      <c r="L346" s="61">
        <f t="shared" si="38"/>
        <v>11661639</v>
      </c>
      <c r="M346" s="62"/>
      <c r="N346" s="253"/>
    </row>
    <row r="347" spans="1:15" s="29" customFormat="1" ht="24.95" customHeight="1">
      <c r="A347" s="31" t="s">
        <v>1174</v>
      </c>
      <c r="B347" s="32" t="s">
        <v>22</v>
      </c>
      <c r="C347" s="33"/>
      <c r="D347" s="34" t="s">
        <v>22</v>
      </c>
      <c r="E347" s="34"/>
      <c r="F347" s="36">
        <f>TRUNC(F348,0)</f>
        <v>1863576</v>
      </c>
      <c r="G347" s="34"/>
      <c r="H347" s="36">
        <f>TRUNC(H348,0)</f>
        <v>207168</v>
      </c>
      <c r="I347" s="34"/>
      <c r="J347" s="36">
        <f>TRUNC(J348,0)</f>
        <v>170040</v>
      </c>
      <c r="K347" s="36">
        <f t="shared" si="38"/>
        <v>0</v>
      </c>
      <c r="L347" s="36">
        <f t="shared" si="38"/>
        <v>2240784</v>
      </c>
      <c r="M347" s="37"/>
      <c r="N347" s="253"/>
    </row>
    <row r="348" spans="1:15" s="29" customFormat="1" ht="24.95" customHeight="1">
      <c r="A348" s="31" t="s">
        <v>1175</v>
      </c>
      <c r="B348" s="32" t="s">
        <v>22</v>
      </c>
      <c r="C348" s="33">
        <v>312</v>
      </c>
      <c r="D348" s="34" t="s">
        <v>815</v>
      </c>
      <c r="E348" s="36">
        <v>5973</v>
      </c>
      <c r="F348" s="36">
        <f>TRUNC(E348*$C348,0)</f>
        <v>1863576</v>
      </c>
      <c r="G348" s="36">
        <v>664</v>
      </c>
      <c r="H348" s="36">
        <f>TRUNC(G348*$C348,0)</f>
        <v>207168</v>
      </c>
      <c r="I348" s="36">
        <v>545</v>
      </c>
      <c r="J348" s="36">
        <f>TRUNC(I348*$C348,0)</f>
        <v>170040</v>
      </c>
      <c r="K348" s="36">
        <f t="shared" si="38"/>
        <v>7182</v>
      </c>
      <c r="L348" s="36">
        <f t="shared" si="38"/>
        <v>2240784</v>
      </c>
      <c r="M348" s="37"/>
      <c r="N348" s="253"/>
      <c r="O348" s="38"/>
    </row>
    <row r="349" spans="1:15" s="29" customFormat="1" ht="24.95" customHeight="1">
      <c r="A349" s="31" t="s">
        <v>1176</v>
      </c>
      <c r="B349" s="32" t="s">
        <v>22</v>
      </c>
      <c r="C349" s="33"/>
      <c r="D349" s="34" t="s">
        <v>22</v>
      </c>
      <c r="E349" s="34"/>
      <c r="F349" s="36">
        <f>TRUNC(F350+F351,0)</f>
        <v>851072</v>
      </c>
      <c r="G349" s="34"/>
      <c r="H349" s="36">
        <f>TRUNC(H350+H351,0)</f>
        <v>115834</v>
      </c>
      <c r="I349" s="34"/>
      <c r="J349" s="36">
        <f>TRUNC(J350+J351,0)</f>
        <v>294644</v>
      </c>
      <c r="K349" s="36">
        <f t="shared" si="38"/>
        <v>0</v>
      </c>
      <c r="L349" s="36">
        <f t="shared" si="38"/>
        <v>1261550</v>
      </c>
      <c r="M349" s="37"/>
      <c r="N349" s="253"/>
    </row>
    <row r="350" spans="1:15" s="29" customFormat="1" ht="24.95" customHeight="1">
      <c r="A350" s="31" t="s">
        <v>1090</v>
      </c>
      <c r="B350" s="32" t="s">
        <v>1091</v>
      </c>
      <c r="C350" s="33">
        <v>104</v>
      </c>
      <c r="D350" s="34" t="s">
        <v>820</v>
      </c>
      <c r="E350" s="36">
        <v>7815</v>
      </c>
      <c r="F350" s="36">
        <f>TRUNC(E350*$C350,0)</f>
        <v>812760</v>
      </c>
      <c r="G350" s="36">
        <v>1075</v>
      </c>
      <c r="H350" s="36">
        <f>TRUNC(G350*$C350,0)</f>
        <v>111800</v>
      </c>
      <c r="I350" s="36">
        <v>2774</v>
      </c>
      <c r="J350" s="36">
        <f>TRUNC(I350*$C350,0)</f>
        <v>288496</v>
      </c>
      <c r="K350" s="36">
        <f t="shared" si="38"/>
        <v>11664</v>
      </c>
      <c r="L350" s="36">
        <f t="shared" si="38"/>
        <v>1213056</v>
      </c>
      <c r="M350" s="37"/>
      <c r="N350" s="253"/>
      <c r="O350" s="38"/>
    </row>
    <row r="351" spans="1:15" s="29" customFormat="1" ht="24.95" customHeight="1">
      <c r="A351" s="31" t="s">
        <v>1177</v>
      </c>
      <c r="B351" s="32" t="s">
        <v>1178</v>
      </c>
      <c r="C351" s="33">
        <v>2</v>
      </c>
      <c r="D351" s="34" t="s">
        <v>815</v>
      </c>
      <c r="E351" s="36">
        <v>19156</v>
      </c>
      <c r="F351" s="36">
        <f>TRUNC(E351*$C351,0)</f>
        <v>38312</v>
      </c>
      <c r="G351" s="36">
        <v>2017</v>
      </c>
      <c r="H351" s="36">
        <f>TRUNC(G351*$C351,0)</f>
        <v>4034</v>
      </c>
      <c r="I351" s="36">
        <v>3074</v>
      </c>
      <c r="J351" s="36">
        <f>TRUNC(I351*$C351,0)</f>
        <v>6148</v>
      </c>
      <c r="K351" s="36">
        <f t="shared" si="38"/>
        <v>24247</v>
      </c>
      <c r="L351" s="36">
        <f t="shared" si="38"/>
        <v>48494</v>
      </c>
      <c r="M351" s="37"/>
      <c r="N351" s="253"/>
      <c r="O351" s="38"/>
    </row>
    <row r="352" spans="1:15" s="29" customFormat="1" ht="24.95" customHeight="1">
      <c r="A352" s="31" t="s">
        <v>1179</v>
      </c>
      <c r="B352" s="32" t="s">
        <v>22</v>
      </c>
      <c r="C352" s="33"/>
      <c r="D352" s="34" t="s">
        <v>22</v>
      </c>
      <c r="E352" s="34"/>
      <c r="F352" s="36">
        <f>TRUNC(F353+F354,0)</f>
        <v>902650</v>
      </c>
      <c r="G352" s="34"/>
      <c r="H352" s="36">
        <f>TRUNC(H353+H354,0)</f>
        <v>553264</v>
      </c>
      <c r="I352" s="34"/>
      <c r="J352" s="36">
        <f>TRUNC(J353+J354,0)</f>
        <v>0</v>
      </c>
      <c r="K352" s="36">
        <f t="shared" si="38"/>
        <v>0</v>
      </c>
      <c r="L352" s="36">
        <f t="shared" si="38"/>
        <v>1455914</v>
      </c>
      <c r="M352" s="37"/>
      <c r="N352" s="253"/>
    </row>
    <row r="353" spans="1:15" s="29" customFormat="1" ht="24.95" customHeight="1">
      <c r="A353" s="31" t="s">
        <v>1149</v>
      </c>
      <c r="B353" s="32" t="s">
        <v>1095</v>
      </c>
      <c r="C353" s="33">
        <v>12</v>
      </c>
      <c r="D353" s="34" t="s">
        <v>831</v>
      </c>
      <c r="E353" s="36">
        <v>25966</v>
      </c>
      <c r="F353" s="36">
        <f>TRUNC(E353*$C353,0)</f>
        <v>311592</v>
      </c>
      <c r="G353" s="36">
        <v>15915</v>
      </c>
      <c r="H353" s="36">
        <f>TRUNC(G353*$C353,0)</f>
        <v>190980</v>
      </c>
      <c r="I353" s="36">
        <v>0</v>
      </c>
      <c r="J353" s="36">
        <f>TRUNC(I353*$C353,0)</f>
        <v>0</v>
      </c>
      <c r="K353" s="36">
        <f t="shared" si="38"/>
        <v>41881</v>
      </c>
      <c r="L353" s="36">
        <f t="shared" si="38"/>
        <v>502572</v>
      </c>
      <c r="M353" s="37"/>
      <c r="N353" s="253"/>
      <c r="O353" s="38"/>
    </row>
    <row r="354" spans="1:15" s="29" customFormat="1" ht="24.95" customHeight="1">
      <c r="A354" s="31" t="s">
        <v>1149</v>
      </c>
      <c r="B354" s="32" t="s">
        <v>1010</v>
      </c>
      <c r="C354" s="33">
        <v>26</v>
      </c>
      <c r="D354" s="34" t="s">
        <v>831</v>
      </c>
      <c r="E354" s="36">
        <v>22733</v>
      </c>
      <c r="F354" s="36">
        <f>TRUNC(E354*$C354,0)</f>
        <v>591058</v>
      </c>
      <c r="G354" s="36">
        <v>13934</v>
      </c>
      <c r="H354" s="36">
        <f>TRUNC(G354*$C354,0)</f>
        <v>362284</v>
      </c>
      <c r="I354" s="36">
        <v>0</v>
      </c>
      <c r="J354" s="36">
        <f>TRUNC(I354*$C354,0)</f>
        <v>0</v>
      </c>
      <c r="K354" s="36">
        <f t="shared" si="38"/>
        <v>36667</v>
      </c>
      <c r="L354" s="36">
        <f t="shared" si="38"/>
        <v>953342</v>
      </c>
      <c r="M354" s="37"/>
      <c r="N354" s="253"/>
      <c r="O354" s="38"/>
    </row>
    <row r="355" spans="1:15" s="29" customFormat="1" ht="24.95" customHeight="1">
      <c r="A355" s="31" t="s">
        <v>1180</v>
      </c>
      <c r="B355" s="32" t="s">
        <v>1181</v>
      </c>
      <c r="C355" s="261">
        <v>5.3999999999999999E-2</v>
      </c>
      <c r="D355" s="34" t="s">
        <v>1112</v>
      </c>
      <c r="E355" s="36">
        <v>492979</v>
      </c>
      <c r="F355" s="36">
        <f>TRUNC(E355*$C355,0)</f>
        <v>26620</v>
      </c>
      <c r="G355" s="36">
        <v>54776</v>
      </c>
      <c r="H355" s="36">
        <f>TRUNC(G355*$C355,0)</f>
        <v>2957</v>
      </c>
      <c r="I355" s="36">
        <v>0</v>
      </c>
      <c r="J355" s="36">
        <f>TRUNC(I355*$C355,0)</f>
        <v>0</v>
      </c>
      <c r="K355" s="36">
        <f t="shared" si="38"/>
        <v>547755</v>
      </c>
      <c r="L355" s="36">
        <f t="shared" si="38"/>
        <v>29577</v>
      </c>
      <c r="M355" s="37"/>
      <c r="N355" s="253"/>
      <c r="O355" s="38"/>
    </row>
    <row r="356" spans="1:15" s="29" customFormat="1" ht="24.95" customHeight="1">
      <c r="A356" s="31" t="s">
        <v>1182</v>
      </c>
      <c r="B356" s="32" t="s">
        <v>22</v>
      </c>
      <c r="C356" s="33"/>
      <c r="D356" s="34" t="s">
        <v>22</v>
      </c>
      <c r="E356" s="34"/>
      <c r="F356" s="36">
        <f>TRUNC(F357+F358+F359+F360,0)</f>
        <v>220707</v>
      </c>
      <c r="G356" s="34"/>
      <c r="H356" s="36">
        <f>TRUNC(H357+H358+H359+H360,0)</f>
        <v>166269</v>
      </c>
      <c r="I356" s="34"/>
      <c r="J356" s="36">
        <f>TRUNC(J357+J358+J359+J360,0)</f>
        <v>43414</v>
      </c>
      <c r="K356" s="36">
        <f t="shared" si="38"/>
        <v>0</v>
      </c>
      <c r="L356" s="36">
        <f t="shared" si="38"/>
        <v>430390</v>
      </c>
      <c r="M356" s="37"/>
      <c r="N356" s="253"/>
    </row>
    <row r="357" spans="1:15" s="29" customFormat="1" ht="24.95" customHeight="1">
      <c r="A357" s="31" t="s">
        <v>1183</v>
      </c>
      <c r="B357" s="32" t="s">
        <v>1184</v>
      </c>
      <c r="C357" s="33">
        <v>8</v>
      </c>
      <c r="D357" s="34" t="s">
        <v>116</v>
      </c>
      <c r="E357" s="36">
        <v>2595</v>
      </c>
      <c r="F357" s="36">
        <f>TRUNC(E357*$C357,0)</f>
        <v>20760</v>
      </c>
      <c r="G357" s="36">
        <v>1631</v>
      </c>
      <c r="H357" s="36">
        <f>TRUNC(G357*$C357,0)</f>
        <v>13048</v>
      </c>
      <c r="I357" s="36">
        <v>165</v>
      </c>
      <c r="J357" s="36">
        <f>TRUNC(I357*$C357,0)</f>
        <v>1320</v>
      </c>
      <c r="K357" s="36">
        <f t="shared" si="38"/>
        <v>4391</v>
      </c>
      <c r="L357" s="36">
        <f t="shared" si="38"/>
        <v>35128</v>
      </c>
      <c r="M357" s="37"/>
      <c r="N357" s="253"/>
      <c r="O357" s="38"/>
    </row>
    <row r="358" spans="1:15" s="29" customFormat="1" ht="24.95" customHeight="1">
      <c r="A358" s="31" t="s">
        <v>1183</v>
      </c>
      <c r="B358" s="32" t="s">
        <v>1185</v>
      </c>
      <c r="C358" s="33">
        <v>8</v>
      </c>
      <c r="D358" s="34" t="s">
        <v>116</v>
      </c>
      <c r="E358" s="36">
        <v>2595</v>
      </c>
      <c r="F358" s="36">
        <f>TRUNC(E358*$C358,0)</f>
        <v>20760</v>
      </c>
      <c r="G358" s="36">
        <v>1756</v>
      </c>
      <c r="H358" s="36">
        <f>TRUNC(G358*$C358,0)</f>
        <v>14048</v>
      </c>
      <c r="I358" s="36">
        <v>165</v>
      </c>
      <c r="J358" s="36">
        <f>TRUNC(I358*$C358,0)</f>
        <v>1320</v>
      </c>
      <c r="K358" s="36">
        <f t="shared" si="38"/>
        <v>4516</v>
      </c>
      <c r="L358" s="36">
        <f t="shared" si="38"/>
        <v>36128</v>
      </c>
      <c r="M358" s="37"/>
      <c r="N358" s="253"/>
      <c r="O358" s="38"/>
    </row>
    <row r="359" spans="1:15" s="29" customFormat="1" ht="24.95" customHeight="1">
      <c r="A359" s="31" t="s">
        <v>1183</v>
      </c>
      <c r="B359" s="32" t="s">
        <v>1186</v>
      </c>
      <c r="C359" s="33">
        <v>14</v>
      </c>
      <c r="D359" s="34" t="s">
        <v>116</v>
      </c>
      <c r="E359" s="36">
        <v>5088</v>
      </c>
      <c r="F359" s="36">
        <f>TRUNC(E359*$C359,0)</f>
        <v>71232</v>
      </c>
      <c r="G359" s="36">
        <v>4107</v>
      </c>
      <c r="H359" s="36">
        <f>TRUNC(G359*$C359,0)</f>
        <v>57498</v>
      </c>
      <c r="I359" s="36">
        <v>1226</v>
      </c>
      <c r="J359" s="36">
        <f>TRUNC(I359*$C359,0)</f>
        <v>17164</v>
      </c>
      <c r="K359" s="36">
        <f t="shared" si="38"/>
        <v>10421</v>
      </c>
      <c r="L359" s="36">
        <f t="shared" si="38"/>
        <v>145894</v>
      </c>
      <c r="M359" s="37"/>
      <c r="N359" s="253"/>
      <c r="O359" s="38"/>
    </row>
    <row r="360" spans="1:15" s="29" customFormat="1" ht="24.95" customHeight="1">
      <c r="A360" s="31" t="s">
        <v>1183</v>
      </c>
      <c r="B360" s="32" t="s">
        <v>1187</v>
      </c>
      <c r="C360" s="33">
        <v>15</v>
      </c>
      <c r="D360" s="34" t="s">
        <v>116</v>
      </c>
      <c r="E360" s="36">
        <v>7197</v>
      </c>
      <c r="F360" s="36">
        <f>TRUNC(E360*$C360,0)</f>
        <v>107955</v>
      </c>
      <c r="G360" s="36">
        <v>5445</v>
      </c>
      <c r="H360" s="36">
        <f>TRUNC(G360*$C360,0)</f>
        <v>81675</v>
      </c>
      <c r="I360" s="36">
        <v>1574</v>
      </c>
      <c r="J360" s="36">
        <f>TRUNC(I360*$C360,0)</f>
        <v>23610</v>
      </c>
      <c r="K360" s="36">
        <f t="shared" si="38"/>
        <v>14216</v>
      </c>
      <c r="L360" s="36">
        <f t="shared" si="38"/>
        <v>213240</v>
      </c>
      <c r="M360" s="37"/>
      <c r="N360" s="253"/>
      <c r="O360" s="38"/>
    </row>
    <row r="361" spans="1:15" s="29" customFormat="1" ht="24.95" customHeight="1">
      <c r="A361" s="31" t="s">
        <v>1188</v>
      </c>
      <c r="B361" s="32" t="s">
        <v>22</v>
      </c>
      <c r="C361" s="33"/>
      <c r="D361" s="34" t="s">
        <v>22</v>
      </c>
      <c r="E361" s="34"/>
      <c r="F361" s="36">
        <f>TRUNC(F362+F363+F364+F365,0)</f>
        <v>1175787</v>
      </c>
      <c r="G361" s="34"/>
      <c r="H361" s="36">
        <f>TRUNC(H362+H363+H364+H365,0)</f>
        <v>887528</v>
      </c>
      <c r="I361" s="34"/>
      <c r="J361" s="36">
        <f>TRUNC(J362+J363+J364+J365,0)</f>
        <v>234419</v>
      </c>
      <c r="K361" s="36">
        <f t="shared" si="38"/>
        <v>0</v>
      </c>
      <c r="L361" s="36">
        <f t="shared" si="38"/>
        <v>2297734</v>
      </c>
      <c r="M361" s="37"/>
      <c r="N361" s="253"/>
    </row>
    <row r="362" spans="1:15" s="29" customFormat="1" ht="24.95" customHeight="1">
      <c r="A362" s="31" t="s">
        <v>1183</v>
      </c>
      <c r="B362" s="32" t="s">
        <v>1184</v>
      </c>
      <c r="C362" s="33">
        <v>39</v>
      </c>
      <c r="D362" s="34" t="s">
        <v>116</v>
      </c>
      <c r="E362" s="36">
        <v>2595</v>
      </c>
      <c r="F362" s="36">
        <f>TRUNC(E362*$C362,0)</f>
        <v>101205</v>
      </c>
      <c r="G362" s="36">
        <v>1631</v>
      </c>
      <c r="H362" s="36">
        <f>TRUNC(G362*$C362,0)</f>
        <v>63609</v>
      </c>
      <c r="I362" s="36">
        <v>165</v>
      </c>
      <c r="J362" s="36">
        <f>TRUNC(I362*$C362,0)</f>
        <v>6435</v>
      </c>
      <c r="K362" s="36">
        <f t="shared" si="38"/>
        <v>4391</v>
      </c>
      <c r="L362" s="36">
        <f t="shared" si="38"/>
        <v>171249</v>
      </c>
      <c r="M362" s="37"/>
      <c r="N362" s="253"/>
      <c r="O362" s="38"/>
    </row>
    <row r="363" spans="1:15" s="29" customFormat="1" ht="24.95" customHeight="1">
      <c r="A363" s="31" t="s">
        <v>1183</v>
      </c>
      <c r="B363" s="32" t="s">
        <v>1185</v>
      </c>
      <c r="C363" s="33">
        <v>38</v>
      </c>
      <c r="D363" s="34" t="s">
        <v>116</v>
      </c>
      <c r="E363" s="36">
        <v>2595</v>
      </c>
      <c r="F363" s="36">
        <f>TRUNC(E363*$C363,0)</f>
        <v>98610</v>
      </c>
      <c r="G363" s="36">
        <v>1756</v>
      </c>
      <c r="H363" s="36">
        <f>TRUNC(G363*$C363,0)</f>
        <v>66728</v>
      </c>
      <c r="I363" s="36">
        <v>165</v>
      </c>
      <c r="J363" s="36">
        <f>TRUNC(I363*$C363,0)</f>
        <v>6270</v>
      </c>
      <c r="K363" s="36">
        <f t="shared" si="38"/>
        <v>4516</v>
      </c>
      <c r="L363" s="36">
        <f t="shared" si="38"/>
        <v>171608</v>
      </c>
      <c r="M363" s="37"/>
      <c r="N363" s="253"/>
      <c r="O363" s="38"/>
    </row>
    <row r="364" spans="1:15" s="29" customFormat="1" ht="24.95" customHeight="1">
      <c r="A364" s="31" t="s">
        <v>1183</v>
      </c>
      <c r="B364" s="32" t="s">
        <v>1186</v>
      </c>
      <c r="C364" s="33">
        <v>73</v>
      </c>
      <c r="D364" s="34" t="s">
        <v>116</v>
      </c>
      <c r="E364" s="36">
        <v>5088</v>
      </c>
      <c r="F364" s="36">
        <f>TRUNC(E364*$C364,0)</f>
        <v>371424</v>
      </c>
      <c r="G364" s="36">
        <v>4107</v>
      </c>
      <c r="H364" s="36">
        <f>TRUNC(G364*$C364,0)</f>
        <v>299811</v>
      </c>
      <c r="I364" s="36">
        <v>1226</v>
      </c>
      <c r="J364" s="36">
        <f>TRUNC(I364*$C364,0)</f>
        <v>89498</v>
      </c>
      <c r="K364" s="36">
        <f t="shared" si="38"/>
        <v>10421</v>
      </c>
      <c r="L364" s="36">
        <f t="shared" si="38"/>
        <v>760733</v>
      </c>
      <c r="M364" s="37"/>
      <c r="N364" s="253"/>
      <c r="O364" s="38"/>
    </row>
    <row r="365" spans="1:15" s="29" customFormat="1" ht="24.95" customHeight="1">
      <c r="A365" s="31" t="s">
        <v>1183</v>
      </c>
      <c r="B365" s="32" t="s">
        <v>1187</v>
      </c>
      <c r="C365" s="33">
        <v>84</v>
      </c>
      <c r="D365" s="34" t="s">
        <v>116</v>
      </c>
      <c r="E365" s="36">
        <v>7197</v>
      </c>
      <c r="F365" s="36">
        <f>TRUNC(E365*$C365,0)</f>
        <v>604548</v>
      </c>
      <c r="G365" s="36">
        <v>5445</v>
      </c>
      <c r="H365" s="36">
        <f>TRUNC(G365*$C365,0)</f>
        <v>457380</v>
      </c>
      <c r="I365" s="36">
        <v>1574</v>
      </c>
      <c r="J365" s="36">
        <f>TRUNC(I365*$C365,0)</f>
        <v>132216</v>
      </c>
      <c r="K365" s="36">
        <f t="shared" si="38"/>
        <v>14216</v>
      </c>
      <c r="L365" s="36">
        <f t="shared" si="38"/>
        <v>1194144</v>
      </c>
      <c r="M365" s="37"/>
      <c r="N365" s="253"/>
      <c r="O365" s="38"/>
    </row>
    <row r="366" spans="1:15" s="29" customFormat="1" ht="24.95" customHeight="1">
      <c r="A366" s="31" t="s">
        <v>1189</v>
      </c>
      <c r="B366" s="32" t="s">
        <v>22</v>
      </c>
      <c r="C366" s="33"/>
      <c r="D366" s="34" t="s">
        <v>22</v>
      </c>
      <c r="E366" s="34"/>
      <c r="F366" s="36">
        <f>TRUNC(F367+F368+F369,0)</f>
        <v>2471140</v>
      </c>
      <c r="G366" s="34"/>
      <c r="H366" s="36">
        <f>TRUNC(H367+H368+H369,0)</f>
        <v>930856</v>
      </c>
      <c r="I366" s="34"/>
      <c r="J366" s="36">
        <f>TRUNC(J367+J368+J369,0)</f>
        <v>0</v>
      </c>
      <c r="K366" s="36">
        <f t="shared" si="38"/>
        <v>0</v>
      </c>
      <c r="L366" s="36">
        <f t="shared" si="38"/>
        <v>3401996</v>
      </c>
      <c r="M366" s="37"/>
      <c r="N366" s="253"/>
    </row>
    <row r="367" spans="1:15" s="29" customFormat="1" ht="24.95" customHeight="1">
      <c r="A367" s="31" t="s">
        <v>1190</v>
      </c>
      <c r="B367" s="32" t="s">
        <v>1191</v>
      </c>
      <c r="C367" s="33">
        <v>29</v>
      </c>
      <c r="D367" s="34" t="s">
        <v>1192</v>
      </c>
      <c r="E367" s="36">
        <v>62089</v>
      </c>
      <c r="F367" s="36">
        <f>TRUNC(E367*$C367,0)</f>
        <v>1800581</v>
      </c>
      <c r="G367" s="36">
        <v>20310</v>
      </c>
      <c r="H367" s="36">
        <f>TRUNC(G367*$C367,0)</f>
        <v>588990</v>
      </c>
      <c r="I367" s="36">
        <v>0</v>
      </c>
      <c r="J367" s="36">
        <f>TRUNC(I367*$C367,0)</f>
        <v>0</v>
      </c>
      <c r="K367" s="36">
        <f t="shared" si="38"/>
        <v>82399</v>
      </c>
      <c r="L367" s="36">
        <f t="shared" si="38"/>
        <v>2389571</v>
      </c>
      <c r="M367" s="37"/>
      <c r="N367" s="253"/>
      <c r="O367" s="38"/>
    </row>
    <row r="368" spans="1:15" s="29" customFormat="1" ht="24.95" customHeight="1">
      <c r="A368" s="31" t="s">
        <v>1190</v>
      </c>
      <c r="B368" s="32" t="s">
        <v>1193</v>
      </c>
      <c r="C368" s="33">
        <v>5</v>
      </c>
      <c r="D368" s="34" t="s">
        <v>1192</v>
      </c>
      <c r="E368" s="36">
        <v>88647</v>
      </c>
      <c r="F368" s="36">
        <f>TRUNC(E368*$C368,0)</f>
        <v>443235</v>
      </c>
      <c r="G368" s="36">
        <v>42628</v>
      </c>
      <c r="H368" s="36">
        <f>TRUNC(G368*$C368,0)</f>
        <v>213140</v>
      </c>
      <c r="I368" s="36">
        <v>0</v>
      </c>
      <c r="J368" s="36">
        <f>TRUNC(I368*$C368,0)</f>
        <v>0</v>
      </c>
      <c r="K368" s="36">
        <f t="shared" si="38"/>
        <v>131275</v>
      </c>
      <c r="L368" s="36">
        <f t="shared" si="38"/>
        <v>656375</v>
      </c>
      <c r="M368" s="37"/>
      <c r="N368" s="253"/>
      <c r="O368" s="38"/>
    </row>
    <row r="369" spans="1:15" s="29" customFormat="1" ht="24.95" customHeight="1">
      <c r="A369" s="31" t="s">
        <v>1190</v>
      </c>
      <c r="B369" s="32" t="s">
        <v>1194</v>
      </c>
      <c r="C369" s="33">
        <v>2</v>
      </c>
      <c r="D369" s="34" t="s">
        <v>1192</v>
      </c>
      <c r="E369" s="36">
        <v>113662</v>
      </c>
      <c r="F369" s="36">
        <f>TRUNC(E369*$C369,0)</f>
        <v>227324</v>
      </c>
      <c r="G369" s="36">
        <v>64363</v>
      </c>
      <c r="H369" s="36">
        <f>TRUNC(G369*$C369,0)</f>
        <v>128726</v>
      </c>
      <c r="I369" s="36">
        <v>0</v>
      </c>
      <c r="J369" s="36">
        <f>TRUNC(I369*$C369,0)</f>
        <v>0</v>
      </c>
      <c r="K369" s="36">
        <f t="shared" si="38"/>
        <v>178025</v>
      </c>
      <c r="L369" s="36">
        <f t="shared" si="38"/>
        <v>356050</v>
      </c>
      <c r="M369" s="37"/>
      <c r="N369" s="253"/>
      <c r="O369" s="38"/>
    </row>
    <row r="370" spans="1:15" s="29" customFormat="1" ht="24.95" customHeight="1">
      <c r="A370" s="31" t="s">
        <v>1195</v>
      </c>
      <c r="B370" s="32" t="s">
        <v>22</v>
      </c>
      <c r="C370" s="33"/>
      <c r="D370" s="34" t="s">
        <v>22</v>
      </c>
      <c r="E370" s="34"/>
      <c r="F370" s="36">
        <f>TRUNC(F371+F372+F373,0)</f>
        <v>494278</v>
      </c>
      <c r="G370" s="34"/>
      <c r="H370" s="36">
        <f>TRUNC(H371+H372+H373,0)</f>
        <v>0</v>
      </c>
      <c r="I370" s="34"/>
      <c r="J370" s="36">
        <f>TRUNC(J371+J372+J373,0)</f>
        <v>49416</v>
      </c>
      <c r="K370" s="36">
        <f t="shared" si="38"/>
        <v>0</v>
      </c>
      <c r="L370" s="36">
        <f t="shared" si="38"/>
        <v>543694</v>
      </c>
      <c r="M370" s="37"/>
      <c r="N370" s="253"/>
    </row>
    <row r="371" spans="1:15" s="29" customFormat="1" ht="24.95" customHeight="1">
      <c r="A371" s="31" t="s">
        <v>1196</v>
      </c>
      <c r="B371" s="32" t="s">
        <v>1197</v>
      </c>
      <c r="C371" s="33">
        <v>10</v>
      </c>
      <c r="D371" s="34" t="s">
        <v>1014</v>
      </c>
      <c r="E371" s="36">
        <v>24309</v>
      </c>
      <c r="F371" s="36">
        <f>TRUNC(E371*$C371,0)</f>
        <v>243090</v>
      </c>
      <c r="G371" s="36">
        <v>0</v>
      </c>
      <c r="H371" s="36">
        <f>TRUNC(G371*$C371,0)</f>
        <v>0</v>
      </c>
      <c r="I371" s="36">
        <v>2430</v>
      </c>
      <c r="J371" s="36">
        <f>TRUNC(I371*$C371,0)</f>
        <v>24300</v>
      </c>
      <c r="K371" s="36">
        <f t="shared" si="38"/>
        <v>26739</v>
      </c>
      <c r="L371" s="36">
        <f t="shared" si="38"/>
        <v>267390</v>
      </c>
      <c r="M371" s="37"/>
      <c r="N371" s="253"/>
      <c r="O371" s="38"/>
    </row>
    <row r="372" spans="1:15" s="29" customFormat="1" ht="24.95" customHeight="1">
      <c r="A372" s="31" t="s">
        <v>1196</v>
      </c>
      <c r="B372" s="32" t="s">
        <v>1198</v>
      </c>
      <c r="C372" s="33">
        <v>4</v>
      </c>
      <c r="D372" s="34" t="s">
        <v>1014</v>
      </c>
      <c r="E372" s="36">
        <v>40514</v>
      </c>
      <c r="F372" s="36">
        <f>TRUNC(E372*$C372,0)</f>
        <v>162056</v>
      </c>
      <c r="G372" s="36">
        <v>0</v>
      </c>
      <c r="H372" s="36">
        <f>TRUNC(G372*$C372,0)</f>
        <v>0</v>
      </c>
      <c r="I372" s="36">
        <v>4051</v>
      </c>
      <c r="J372" s="36">
        <f>TRUNC(I372*$C372,0)</f>
        <v>16204</v>
      </c>
      <c r="K372" s="36">
        <f t="shared" si="38"/>
        <v>44565</v>
      </c>
      <c r="L372" s="36">
        <f t="shared" si="38"/>
        <v>178260</v>
      </c>
      <c r="M372" s="37"/>
      <c r="N372" s="253"/>
      <c r="O372" s="38"/>
    </row>
    <row r="373" spans="1:15" s="29" customFormat="1" ht="24.95" customHeight="1">
      <c r="A373" s="31" t="s">
        <v>1196</v>
      </c>
      <c r="B373" s="32" t="s">
        <v>1199</v>
      </c>
      <c r="C373" s="33">
        <v>2</v>
      </c>
      <c r="D373" s="34" t="s">
        <v>1014</v>
      </c>
      <c r="E373" s="36">
        <v>44566</v>
      </c>
      <c r="F373" s="36">
        <f>TRUNC(E373*$C373,0)</f>
        <v>89132</v>
      </c>
      <c r="G373" s="36">
        <v>0</v>
      </c>
      <c r="H373" s="36">
        <f>TRUNC(G373*$C373,0)</f>
        <v>0</v>
      </c>
      <c r="I373" s="36">
        <v>4456</v>
      </c>
      <c r="J373" s="36">
        <f>TRUNC(I373*$C373,0)</f>
        <v>8912</v>
      </c>
      <c r="K373" s="36">
        <f t="shared" si="38"/>
        <v>49022</v>
      </c>
      <c r="L373" s="36">
        <f t="shared" si="38"/>
        <v>98044</v>
      </c>
      <c r="M373" s="37"/>
      <c r="N373" s="253"/>
      <c r="O373" s="38"/>
    </row>
    <row r="374" spans="1:15" s="63" customFormat="1" ht="24.95" customHeight="1">
      <c r="A374" s="57" t="s">
        <v>1200</v>
      </c>
      <c r="B374" s="58" t="s">
        <v>22</v>
      </c>
      <c r="C374" s="59"/>
      <c r="D374" s="60" t="s">
        <v>22</v>
      </c>
      <c r="E374" s="60"/>
      <c r="F374" s="61">
        <f>TRUNC(F375+F376+F377+F378+F379+F380,0)</f>
        <v>4290347</v>
      </c>
      <c r="G374" s="60"/>
      <c r="H374" s="61">
        <f>TRUNC(H375+H376+H377+H378+H379+H380,0)</f>
        <v>6493861</v>
      </c>
      <c r="I374" s="60"/>
      <c r="J374" s="61">
        <f>TRUNC(J375+J376+J377+J378+J379+J380,0)</f>
        <v>46110</v>
      </c>
      <c r="K374" s="61">
        <f t="shared" si="38"/>
        <v>0</v>
      </c>
      <c r="L374" s="61">
        <f t="shared" si="38"/>
        <v>10830318</v>
      </c>
      <c r="M374" s="62"/>
      <c r="N374" s="253"/>
    </row>
    <row r="375" spans="1:15" s="29" customFormat="1" ht="24.95" customHeight="1">
      <c r="A375" s="31" t="s">
        <v>1158</v>
      </c>
      <c r="B375" s="32" t="s">
        <v>1178</v>
      </c>
      <c r="C375" s="33">
        <v>15</v>
      </c>
      <c r="D375" s="34" t="s">
        <v>815</v>
      </c>
      <c r="E375" s="36">
        <v>19156</v>
      </c>
      <c r="F375" s="36">
        <f t="shared" ref="F375:F380" si="39">TRUNC(E375*$C375,0)</f>
        <v>287340</v>
      </c>
      <c r="G375" s="36">
        <v>2017</v>
      </c>
      <c r="H375" s="36">
        <f t="shared" ref="H375:H380" si="40">TRUNC(G375*$C375,0)</f>
        <v>30255</v>
      </c>
      <c r="I375" s="36">
        <v>3074</v>
      </c>
      <c r="J375" s="36">
        <f t="shared" ref="J375:J380" si="41">TRUNC(I375*$C375,0)</f>
        <v>46110</v>
      </c>
      <c r="K375" s="36">
        <f t="shared" si="38"/>
        <v>24247</v>
      </c>
      <c r="L375" s="36">
        <f t="shared" si="38"/>
        <v>363705</v>
      </c>
      <c r="M375" s="37"/>
      <c r="N375" s="253"/>
      <c r="O375" s="38"/>
    </row>
    <row r="376" spans="1:15" s="29" customFormat="1" ht="24.95" customHeight="1">
      <c r="A376" s="31" t="s">
        <v>1159</v>
      </c>
      <c r="B376" s="32" t="s">
        <v>1095</v>
      </c>
      <c r="C376" s="33">
        <v>90</v>
      </c>
      <c r="D376" s="34" t="s">
        <v>831</v>
      </c>
      <c r="E376" s="36">
        <v>25966</v>
      </c>
      <c r="F376" s="36">
        <f t="shared" si="39"/>
        <v>2336940</v>
      </c>
      <c r="G376" s="36">
        <v>15915</v>
      </c>
      <c r="H376" s="36">
        <f t="shared" si="40"/>
        <v>1432350</v>
      </c>
      <c r="I376" s="36">
        <v>0</v>
      </c>
      <c r="J376" s="36">
        <f t="shared" si="41"/>
        <v>0</v>
      </c>
      <c r="K376" s="36">
        <f t="shared" si="38"/>
        <v>41881</v>
      </c>
      <c r="L376" s="36">
        <f t="shared" si="38"/>
        <v>3769290</v>
      </c>
      <c r="M376" s="37"/>
      <c r="N376" s="253"/>
      <c r="O376" s="38"/>
    </row>
    <row r="377" spans="1:15" s="29" customFormat="1" ht="24.95" customHeight="1">
      <c r="A377" s="31" t="s">
        <v>1164</v>
      </c>
      <c r="B377" s="32" t="s">
        <v>1111</v>
      </c>
      <c r="C377" s="261">
        <v>2.7509999999999999</v>
      </c>
      <c r="D377" s="34" t="s">
        <v>1112</v>
      </c>
      <c r="E377" s="36">
        <v>546209</v>
      </c>
      <c r="F377" s="36">
        <f t="shared" si="39"/>
        <v>1502620</v>
      </c>
      <c r="G377" s="36">
        <v>74483</v>
      </c>
      <c r="H377" s="36">
        <f t="shared" si="40"/>
        <v>204902</v>
      </c>
      <c r="I377" s="36">
        <v>0</v>
      </c>
      <c r="J377" s="36">
        <f t="shared" si="41"/>
        <v>0</v>
      </c>
      <c r="K377" s="36">
        <f t="shared" si="38"/>
        <v>620692</v>
      </c>
      <c r="L377" s="36">
        <f t="shared" si="38"/>
        <v>1707522</v>
      </c>
      <c r="M377" s="37"/>
      <c r="N377" s="253"/>
      <c r="O377" s="38"/>
    </row>
    <row r="378" spans="1:15" s="29" customFormat="1" ht="24.95" customHeight="1">
      <c r="A378" s="31" t="s">
        <v>1201</v>
      </c>
      <c r="B378" s="32" t="s">
        <v>1104</v>
      </c>
      <c r="C378" s="33">
        <v>25</v>
      </c>
      <c r="D378" s="34" t="s">
        <v>847</v>
      </c>
      <c r="E378" s="36">
        <v>199</v>
      </c>
      <c r="F378" s="36">
        <f t="shared" si="39"/>
        <v>4975</v>
      </c>
      <c r="G378" s="36">
        <v>3998</v>
      </c>
      <c r="H378" s="36">
        <f t="shared" si="40"/>
        <v>99950</v>
      </c>
      <c r="I378" s="36">
        <v>0</v>
      </c>
      <c r="J378" s="36">
        <f t="shared" si="41"/>
        <v>0</v>
      </c>
      <c r="K378" s="36">
        <f t="shared" si="38"/>
        <v>4197</v>
      </c>
      <c r="L378" s="36">
        <f t="shared" si="38"/>
        <v>104925</v>
      </c>
      <c r="M378" s="37"/>
      <c r="N378" s="253"/>
      <c r="O378" s="38"/>
    </row>
    <row r="379" spans="1:15" s="29" customFormat="1" ht="24.95" customHeight="1">
      <c r="A379" s="31" t="s">
        <v>1202</v>
      </c>
      <c r="B379" s="32" t="s">
        <v>1203</v>
      </c>
      <c r="C379" s="33">
        <v>33</v>
      </c>
      <c r="D379" s="34" t="s">
        <v>166</v>
      </c>
      <c r="E379" s="36">
        <v>1041</v>
      </c>
      <c r="F379" s="36">
        <f t="shared" si="39"/>
        <v>34353</v>
      </c>
      <c r="G379" s="36">
        <v>20826</v>
      </c>
      <c r="H379" s="36">
        <f t="shared" si="40"/>
        <v>687258</v>
      </c>
      <c r="I379" s="36">
        <v>0</v>
      </c>
      <c r="J379" s="36">
        <f t="shared" si="41"/>
        <v>0</v>
      </c>
      <c r="K379" s="36">
        <f t="shared" si="38"/>
        <v>21867</v>
      </c>
      <c r="L379" s="36">
        <f t="shared" si="38"/>
        <v>721611</v>
      </c>
      <c r="M379" s="37"/>
      <c r="N379" s="253"/>
      <c r="O379" s="38"/>
    </row>
    <row r="380" spans="1:15" s="29" customFormat="1" ht="24.95" customHeight="1">
      <c r="A380" s="31" t="s">
        <v>1204</v>
      </c>
      <c r="B380" s="32" t="s">
        <v>22</v>
      </c>
      <c r="C380" s="33">
        <v>3</v>
      </c>
      <c r="D380" s="34" t="s">
        <v>1205</v>
      </c>
      <c r="E380" s="36">
        <v>41373</v>
      </c>
      <c r="F380" s="36">
        <f t="shared" si="39"/>
        <v>124119</v>
      </c>
      <c r="G380" s="36">
        <v>1346382</v>
      </c>
      <c r="H380" s="36">
        <f t="shared" si="40"/>
        <v>4039146</v>
      </c>
      <c r="I380" s="36">
        <v>0</v>
      </c>
      <c r="J380" s="36">
        <f t="shared" si="41"/>
        <v>0</v>
      </c>
      <c r="K380" s="36">
        <f t="shared" si="38"/>
        <v>1387755</v>
      </c>
      <c r="L380" s="36">
        <f t="shared" si="38"/>
        <v>4163265</v>
      </c>
      <c r="M380" s="37"/>
      <c r="N380" s="253"/>
      <c r="O380" s="38"/>
    </row>
    <row r="381" spans="1:15" s="63" customFormat="1" ht="24.95" customHeight="1">
      <c r="A381" s="57" t="s">
        <v>1206</v>
      </c>
      <c r="B381" s="58" t="s">
        <v>22</v>
      </c>
      <c r="C381" s="59"/>
      <c r="D381" s="60" t="s">
        <v>22</v>
      </c>
      <c r="E381" s="60"/>
      <c r="F381" s="61">
        <f>F382+F389+F391</f>
        <v>0</v>
      </c>
      <c r="G381" s="60"/>
      <c r="H381" s="61">
        <f>H382+H389+H391</f>
        <v>0</v>
      </c>
      <c r="I381" s="60"/>
      <c r="J381" s="61">
        <f>J382+J389+J391</f>
        <v>558048087</v>
      </c>
      <c r="K381" s="61">
        <f t="shared" si="38"/>
        <v>0</v>
      </c>
      <c r="L381" s="61">
        <f t="shared" si="38"/>
        <v>558048087</v>
      </c>
      <c r="M381" s="62"/>
      <c r="N381" s="253"/>
    </row>
    <row r="382" spans="1:15" s="70" customFormat="1" ht="24.95" customHeight="1">
      <c r="A382" s="64" t="s">
        <v>1207</v>
      </c>
      <c r="B382" s="65" t="s">
        <v>22</v>
      </c>
      <c r="C382" s="66"/>
      <c r="D382" s="67" t="s">
        <v>22</v>
      </c>
      <c r="E382" s="67"/>
      <c r="F382" s="68">
        <f>TRUNC(F383+F384+F385+F386+F387+F388,0)</f>
        <v>0</v>
      </c>
      <c r="G382" s="67"/>
      <c r="H382" s="68">
        <f>TRUNC(H383+H384+H385+H386+H387+H388,0)</f>
        <v>0</v>
      </c>
      <c r="I382" s="67"/>
      <c r="J382" s="68">
        <f>TRUNC(J383+J384+J385+J386+J387+J388,0)</f>
        <v>86050461</v>
      </c>
      <c r="K382" s="68">
        <f t="shared" si="38"/>
        <v>0</v>
      </c>
      <c r="L382" s="68">
        <f t="shared" si="38"/>
        <v>86050461</v>
      </c>
      <c r="M382" s="69"/>
      <c r="N382" s="256"/>
    </row>
    <row r="383" spans="1:15" s="29" customFormat="1" ht="24.95" customHeight="1">
      <c r="A383" s="31" t="s">
        <v>1208</v>
      </c>
      <c r="B383" s="32" t="s">
        <v>1075</v>
      </c>
      <c r="C383" s="33">
        <v>722</v>
      </c>
      <c r="D383" s="34" t="s">
        <v>1192</v>
      </c>
      <c r="E383" s="36">
        <v>0</v>
      </c>
      <c r="F383" s="36">
        <f t="shared" ref="F383:F388" si="42">TRUNC(E383*$C383,0)</f>
        <v>0</v>
      </c>
      <c r="G383" s="36">
        <v>0</v>
      </c>
      <c r="H383" s="36">
        <f t="shared" ref="H383:H388" si="43">TRUNC(G383*$C383,0)</f>
        <v>0</v>
      </c>
      <c r="I383" s="36">
        <v>10949</v>
      </c>
      <c r="J383" s="36">
        <f t="shared" ref="J383:J388" si="44">TRUNC(I383*$C383,0)</f>
        <v>7905178</v>
      </c>
      <c r="K383" s="36">
        <f t="shared" si="38"/>
        <v>10949</v>
      </c>
      <c r="L383" s="36">
        <f t="shared" si="38"/>
        <v>7905178</v>
      </c>
      <c r="M383" s="37"/>
      <c r="N383" s="253"/>
      <c r="O383" s="38"/>
    </row>
    <row r="384" spans="1:15" s="29" customFormat="1" ht="24.95" customHeight="1">
      <c r="A384" s="31" t="s">
        <v>1208</v>
      </c>
      <c r="B384" s="32" t="s">
        <v>1077</v>
      </c>
      <c r="C384" s="33">
        <v>428</v>
      </c>
      <c r="D384" s="34" t="s">
        <v>1192</v>
      </c>
      <c r="E384" s="36">
        <v>0</v>
      </c>
      <c r="F384" s="36">
        <f t="shared" si="42"/>
        <v>0</v>
      </c>
      <c r="G384" s="36">
        <v>0</v>
      </c>
      <c r="H384" s="36">
        <f t="shared" si="43"/>
        <v>0</v>
      </c>
      <c r="I384" s="36">
        <v>17175</v>
      </c>
      <c r="J384" s="36">
        <f t="shared" si="44"/>
        <v>7350900</v>
      </c>
      <c r="K384" s="36">
        <f t="shared" si="38"/>
        <v>17175</v>
      </c>
      <c r="L384" s="36">
        <f t="shared" si="38"/>
        <v>7350900</v>
      </c>
      <c r="M384" s="37"/>
      <c r="N384" s="253"/>
      <c r="O384" s="38"/>
    </row>
    <row r="385" spans="1:15" s="29" customFormat="1" ht="24.95" customHeight="1">
      <c r="A385" s="31" t="s">
        <v>1208</v>
      </c>
      <c r="B385" s="32" t="s">
        <v>1079</v>
      </c>
      <c r="C385" s="33">
        <v>854</v>
      </c>
      <c r="D385" s="34" t="s">
        <v>1192</v>
      </c>
      <c r="E385" s="36">
        <v>0</v>
      </c>
      <c r="F385" s="36">
        <f t="shared" si="42"/>
        <v>0</v>
      </c>
      <c r="G385" s="36">
        <v>0</v>
      </c>
      <c r="H385" s="36">
        <f t="shared" si="43"/>
        <v>0</v>
      </c>
      <c r="I385" s="36">
        <v>28601</v>
      </c>
      <c r="J385" s="36">
        <f t="shared" si="44"/>
        <v>24425254</v>
      </c>
      <c r="K385" s="36">
        <f t="shared" ref="K385:L448" si="45">G385+E385+I385</f>
        <v>28601</v>
      </c>
      <c r="L385" s="36">
        <f t="shared" si="45"/>
        <v>24425254</v>
      </c>
      <c r="M385" s="37"/>
      <c r="N385" s="253"/>
      <c r="O385" s="38"/>
    </row>
    <row r="386" spans="1:15" s="29" customFormat="1" ht="24.95" customHeight="1">
      <c r="A386" s="31" t="s">
        <v>1208</v>
      </c>
      <c r="B386" s="32" t="s">
        <v>1081</v>
      </c>
      <c r="C386" s="33">
        <v>464</v>
      </c>
      <c r="D386" s="34" t="s">
        <v>1192</v>
      </c>
      <c r="E386" s="36">
        <v>0</v>
      </c>
      <c r="F386" s="36">
        <f t="shared" si="42"/>
        <v>0</v>
      </c>
      <c r="G386" s="36">
        <v>0</v>
      </c>
      <c r="H386" s="36">
        <f t="shared" si="43"/>
        <v>0</v>
      </c>
      <c r="I386" s="36">
        <v>40499</v>
      </c>
      <c r="J386" s="36">
        <f t="shared" si="44"/>
        <v>18791536</v>
      </c>
      <c r="K386" s="36">
        <f t="shared" si="45"/>
        <v>40499</v>
      </c>
      <c r="L386" s="36">
        <f t="shared" si="45"/>
        <v>18791536</v>
      </c>
      <c r="M386" s="37"/>
      <c r="N386" s="253"/>
      <c r="O386" s="38"/>
    </row>
    <row r="387" spans="1:15" s="29" customFormat="1" ht="24.95" customHeight="1">
      <c r="A387" s="31" t="s">
        <v>1208</v>
      </c>
      <c r="B387" s="32" t="s">
        <v>1083</v>
      </c>
      <c r="C387" s="33">
        <v>261</v>
      </c>
      <c r="D387" s="34" t="s">
        <v>1192</v>
      </c>
      <c r="E387" s="36">
        <v>0</v>
      </c>
      <c r="F387" s="36">
        <f t="shared" si="42"/>
        <v>0</v>
      </c>
      <c r="G387" s="36">
        <v>0</v>
      </c>
      <c r="H387" s="36">
        <f t="shared" si="43"/>
        <v>0</v>
      </c>
      <c r="I387" s="36">
        <v>55465</v>
      </c>
      <c r="J387" s="36">
        <f t="shared" si="44"/>
        <v>14476365</v>
      </c>
      <c r="K387" s="36">
        <f t="shared" si="45"/>
        <v>55465</v>
      </c>
      <c r="L387" s="36">
        <f t="shared" si="45"/>
        <v>14476365</v>
      </c>
      <c r="M387" s="37"/>
      <c r="N387" s="253"/>
      <c r="O387" s="38"/>
    </row>
    <row r="388" spans="1:15" s="29" customFormat="1" ht="24.95" customHeight="1">
      <c r="A388" s="31" t="s">
        <v>1208</v>
      </c>
      <c r="B388" s="32" t="s">
        <v>1085</v>
      </c>
      <c r="C388" s="33">
        <v>196</v>
      </c>
      <c r="D388" s="34" t="s">
        <v>1192</v>
      </c>
      <c r="E388" s="36">
        <v>0</v>
      </c>
      <c r="F388" s="36">
        <f t="shared" si="42"/>
        <v>0</v>
      </c>
      <c r="G388" s="36">
        <v>0</v>
      </c>
      <c r="H388" s="36">
        <f t="shared" si="43"/>
        <v>0</v>
      </c>
      <c r="I388" s="36">
        <v>66843</v>
      </c>
      <c r="J388" s="36">
        <f t="shared" si="44"/>
        <v>13101228</v>
      </c>
      <c r="K388" s="36">
        <f t="shared" si="45"/>
        <v>66843</v>
      </c>
      <c r="L388" s="36">
        <f t="shared" si="45"/>
        <v>13101228</v>
      </c>
      <c r="M388" s="37"/>
      <c r="N388" s="253"/>
      <c r="O388" s="38"/>
    </row>
    <row r="389" spans="1:15" s="70" customFormat="1" ht="24.95" customHeight="1">
      <c r="A389" s="64" t="s">
        <v>1209</v>
      </c>
      <c r="B389" s="65" t="s">
        <v>22</v>
      </c>
      <c r="C389" s="66"/>
      <c r="D389" s="67" t="s">
        <v>22</v>
      </c>
      <c r="E389" s="67"/>
      <c r="F389" s="68">
        <f>TRUNC(F390,0)</f>
        <v>0</v>
      </c>
      <c r="G389" s="67"/>
      <c r="H389" s="68">
        <f>TRUNC(H390,0)</f>
        <v>0</v>
      </c>
      <c r="I389" s="67"/>
      <c r="J389" s="68">
        <f>TRUNC(J390,0)</f>
        <v>1901995</v>
      </c>
      <c r="K389" s="68">
        <f t="shared" si="45"/>
        <v>0</v>
      </c>
      <c r="L389" s="68">
        <f t="shared" si="45"/>
        <v>1901995</v>
      </c>
      <c r="M389" s="69"/>
      <c r="N389" s="256"/>
    </row>
    <row r="390" spans="1:15" s="29" customFormat="1" ht="24.95" customHeight="1">
      <c r="A390" s="31" t="s">
        <v>1210</v>
      </c>
      <c r="B390" s="32" t="s">
        <v>1211</v>
      </c>
      <c r="C390" s="261">
        <v>195.357</v>
      </c>
      <c r="D390" s="34" t="s">
        <v>1112</v>
      </c>
      <c r="E390" s="36">
        <v>0</v>
      </c>
      <c r="F390" s="36">
        <f>TRUNC(E390*$C390,0)</f>
        <v>0</v>
      </c>
      <c r="G390" s="36">
        <v>0</v>
      </c>
      <c r="H390" s="36">
        <f>TRUNC(G390*$C390,0)</f>
        <v>0</v>
      </c>
      <c r="I390" s="36">
        <v>9736</v>
      </c>
      <c r="J390" s="36">
        <f>TRUNC(I390*$C390,0)</f>
        <v>1901995</v>
      </c>
      <c r="K390" s="36">
        <f t="shared" si="45"/>
        <v>9736</v>
      </c>
      <c r="L390" s="36">
        <f t="shared" si="45"/>
        <v>1901995</v>
      </c>
      <c r="M390" s="37"/>
      <c r="N390" s="253"/>
      <c r="O390" s="38"/>
    </row>
    <row r="391" spans="1:15" s="70" customFormat="1" ht="24.95" customHeight="1">
      <c r="A391" s="64" t="s">
        <v>1212</v>
      </c>
      <c r="B391" s="65" t="s">
        <v>22</v>
      </c>
      <c r="C391" s="66">
        <v>0</v>
      </c>
      <c r="D391" s="67" t="s">
        <v>22</v>
      </c>
      <c r="E391" s="67"/>
      <c r="F391" s="68">
        <f>F392+F415</f>
        <v>0</v>
      </c>
      <c r="G391" s="67"/>
      <c r="H391" s="68">
        <f>H392+H415</f>
        <v>0</v>
      </c>
      <c r="I391" s="67"/>
      <c r="J391" s="68">
        <f>J392+J415</f>
        <v>470095631</v>
      </c>
      <c r="K391" s="68">
        <f t="shared" si="45"/>
        <v>0</v>
      </c>
      <c r="L391" s="68">
        <f t="shared" si="45"/>
        <v>470095631</v>
      </c>
      <c r="M391" s="69"/>
      <c r="N391" s="256"/>
    </row>
    <row r="392" spans="1:15" s="70" customFormat="1" ht="24.95" customHeight="1">
      <c r="A392" s="64" t="s">
        <v>1213</v>
      </c>
      <c r="B392" s="65" t="s">
        <v>22</v>
      </c>
      <c r="C392" s="66">
        <v>0</v>
      </c>
      <c r="D392" s="67" t="s">
        <v>22</v>
      </c>
      <c r="E392" s="67"/>
      <c r="F392" s="68">
        <f>TRUNC(F393+F394+F395+F396+F397+F398+F399+F400+F401+F402+F403+F404+F405+F406+F407+F408+F409+F410+F411+F412+F413+F414,0)</f>
        <v>0</v>
      </c>
      <c r="G392" s="67"/>
      <c r="H392" s="68">
        <f>TRUNC(H393+H394+H395+H396+H397+H398+H399+H400+H401+H402+H403+H404+H405+H406+H407+H408+H409+H410+H411+H412+H413+H414,0)</f>
        <v>0</v>
      </c>
      <c r="I392" s="67"/>
      <c r="J392" s="68">
        <f>TRUNC(J393+J394+J395+J396+J397+J398+J399+J400+J401+J402+J403+J404+J405+J406+J407+J408+J409+J410+J411+J412+J413+J414,0)</f>
        <v>422905788</v>
      </c>
      <c r="K392" s="68">
        <f t="shared" si="45"/>
        <v>0</v>
      </c>
      <c r="L392" s="68">
        <f t="shared" si="45"/>
        <v>422905788</v>
      </c>
      <c r="M392" s="69"/>
      <c r="N392" s="256"/>
    </row>
    <row r="393" spans="1:15" s="29" customFormat="1" ht="24.95" customHeight="1">
      <c r="A393" s="31" t="s">
        <v>1214</v>
      </c>
      <c r="B393" s="32" t="s">
        <v>1215</v>
      </c>
      <c r="C393" s="33">
        <v>1218</v>
      </c>
      <c r="D393" s="34" t="s">
        <v>116</v>
      </c>
      <c r="E393" s="36">
        <v>0</v>
      </c>
      <c r="F393" s="36">
        <f t="shared" ref="F393:F414" si="46">TRUNC(E393*$C393,0)</f>
        <v>0</v>
      </c>
      <c r="G393" s="36">
        <v>0</v>
      </c>
      <c r="H393" s="36">
        <f t="shared" ref="H393:H414" si="47">TRUNC(G393*$C393,0)</f>
        <v>0</v>
      </c>
      <c r="I393" s="36">
        <v>39826</v>
      </c>
      <c r="J393" s="36">
        <f t="shared" ref="J393:J414" si="48">TRUNC(I393*$C393,0)</f>
        <v>48508068</v>
      </c>
      <c r="K393" s="36">
        <f t="shared" si="45"/>
        <v>39826</v>
      </c>
      <c r="L393" s="36">
        <f t="shared" si="45"/>
        <v>48508068</v>
      </c>
      <c r="M393" s="37"/>
      <c r="N393" s="253"/>
      <c r="O393" s="38"/>
    </row>
    <row r="394" spans="1:15" s="29" customFormat="1" ht="24.95" customHeight="1">
      <c r="A394" s="31" t="s">
        <v>1214</v>
      </c>
      <c r="B394" s="32" t="s">
        <v>1216</v>
      </c>
      <c r="C394" s="33">
        <v>436</v>
      </c>
      <c r="D394" s="34" t="s">
        <v>116</v>
      </c>
      <c r="E394" s="36">
        <v>0</v>
      </c>
      <c r="F394" s="36">
        <f t="shared" si="46"/>
        <v>0</v>
      </c>
      <c r="G394" s="36">
        <v>0</v>
      </c>
      <c r="H394" s="36">
        <f t="shared" si="47"/>
        <v>0</v>
      </c>
      <c r="I394" s="36">
        <v>39826</v>
      </c>
      <c r="J394" s="36">
        <f t="shared" si="48"/>
        <v>17364136</v>
      </c>
      <c r="K394" s="36">
        <f t="shared" si="45"/>
        <v>39826</v>
      </c>
      <c r="L394" s="36">
        <f t="shared" si="45"/>
        <v>17364136</v>
      </c>
      <c r="M394" s="37"/>
      <c r="N394" s="253"/>
      <c r="O394" s="38"/>
    </row>
    <row r="395" spans="1:15" s="29" customFormat="1" ht="24.95" customHeight="1">
      <c r="A395" s="31" t="s">
        <v>1214</v>
      </c>
      <c r="B395" s="32" t="s">
        <v>1217</v>
      </c>
      <c r="C395" s="33">
        <v>322</v>
      </c>
      <c r="D395" s="34" t="s">
        <v>116</v>
      </c>
      <c r="E395" s="36">
        <v>0</v>
      </c>
      <c r="F395" s="36">
        <f t="shared" si="46"/>
        <v>0</v>
      </c>
      <c r="G395" s="36">
        <v>0</v>
      </c>
      <c r="H395" s="36">
        <f t="shared" si="47"/>
        <v>0</v>
      </c>
      <c r="I395" s="36">
        <v>43279</v>
      </c>
      <c r="J395" s="36">
        <f t="shared" si="48"/>
        <v>13935838</v>
      </c>
      <c r="K395" s="36">
        <f t="shared" si="45"/>
        <v>43279</v>
      </c>
      <c r="L395" s="36">
        <f t="shared" si="45"/>
        <v>13935838</v>
      </c>
      <c r="M395" s="37"/>
      <c r="N395" s="253"/>
      <c r="O395" s="38"/>
    </row>
    <row r="396" spans="1:15" s="29" customFormat="1" ht="24.95" customHeight="1">
      <c r="A396" s="31" t="s">
        <v>1214</v>
      </c>
      <c r="B396" s="32" t="s">
        <v>1218</v>
      </c>
      <c r="C396" s="33">
        <v>38</v>
      </c>
      <c r="D396" s="34" t="s">
        <v>116</v>
      </c>
      <c r="E396" s="36">
        <v>0</v>
      </c>
      <c r="F396" s="36">
        <f t="shared" si="46"/>
        <v>0</v>
      </c>
      <c r="G396" s="36">
        <v>0</v>
      </c>
      <c r="H396" s="36">
        <f t="shared" si="47"/>
        <v>0</v>
      </c>
      <c r="I396" s="36">
        <v>43279</v>
      </c>
      <c r="J396" s="36">
        <f t="shared" si="48"/>
        <v>1644602</v>
      </c>
      <c r="K396" s="36">
        <f t="shared" si="45"/>
        <v>43279</v>
      </c>
      <c r="L396" s="36">
        <f t="shared" si="45"/>
        <v>1644602</v>
      </c>
      <c r="M396" s="37"/>
      <c r="N396" s="253"/>
      <c r="O396" s="38"/>
    </row>
    <row r="397" spans="1:15" s="29" customFormat="1" ht="24.95" customHeight="1">
      <c r="A397" s="31" t="s">
        <v>1214</v>
      </c>
      <c r="B397" s="32" t="s">
        <v>1219</v>
      </c>
      <c r="C397" s="33">
        <v>28</v>
      </c>
      <c r="D397" s="34" t="s">
        <v>116</v>
      </c>
      <c r="E397" s="36">
        <v>0</v>
      </c>
      <c r="F397" s="36">
        <f t="shared" si="46"/>
        <v>0</v>
      </c>
      <c r="G397" s="36">
        <v>0</v>
      </c>
      <c r="H397" s="36">
        <f t="shared" si="47"/>
        <v>0</v>
      </c>
      <c r="I397" s="36">
        <v>45581</v>
      </c>
      <c r="J397" s="36">
        <f t="shared" si="48"/>
        <v>1276268</v>
      </c>
      <c r="K397" s="36">
        <f t="shared" si="45"/>
        <v>45581</v>
      </c>
      <c r="L397" s="36">
        <f t="shared" si="45"/>
        <v>1276268</v>
      </c>
      <c r="M397" s="37"/>
      <c r="N397" s="253"/>
      <c r="O397" s="38"/>
    </row>
    <row r="398" spans="1:15" s="29" customFormat="1" ht="24.95" customHeight="1">
      <c r="A398" s="31" t="s">
        <v>1214</v>
      </c>
      <c r="B398" s="32" t="s">
        <v>1220</v>
      </c>
      <c r="C398" s="33">
        <v>28</v>
      </c>
      <c r="D398" s="34" t="s">
        <v>116</v>
      </c>
      <c r="E398" s="36">
        <v>0</v>
      </c>
      <c r="F398" s="36">
        <f t="shared" si="46"/>
        <v>0</v>
      </c>
      <c r="G398" s="36">
        <v>0</v>
      </c>
      <c r="H398" s="36">
        <f t="shared" si="47"/>
        <v>0</v>
      </c>
      <c r="I398" s="36">
        <v>45581</v>
      </c>
      <c r="J398" s="36">
        <f t="shared" si="48"/>
        <v>1276268</v>
      </c>
      <c r="K398" s="36">
        <f t="shared" si="45"/>
        <v>45581</v>
      </c>
      <c r="L398" s="36">
        <f t="shared" si="45"/>
        <v>1276268</v>
      </c>
      <c r="M398" s="37"/>
      <c r="N398" s="253"/>
      <c r="O398" s="38"/>
    </row>
    <row r="399" spans="1:15" s="29" customFormat="1" ht="24.95" customHeight="1">
      <c r="A399" s="31" t="s">
        <v>1214</v>
      </c>
      <c r="B399" s="32" t="s">
        <v>1221</v>
      </c>
      <c r="C399" s="33">
        <v>210</v>
      </c>
      <c r="D399" s="34" t="s">
        <v>116</v>
      </c>
      <c r="E399" s="36">
        <v>0</v>
      </c>
      <c r="F399" s="36">
        <f t="shared" si="46"/>
        <v>0</v>
      </c>
      <c r="G399" s="36">
        <v>0</v>
      </c>
      <c r="H399" s="36">
        <f t="shared" si="47"/>
        <v>0</v>
      </c>
      <c r="I399" s="36">
        <v>55221</v>
      </c>
      <c r="J399" s="36">
        <f t="shared" si="48"/>
        <v>11596410</v>
      </c>
      <c r="K399" s="36">
        <f t="shared" si="45"/>
        <v>55221</v>
      </c>
      <c r="L399" s="36">
        <f t="shared" si="45"/>
        <v>11596410</v>
      </c>
      <c r="M399" s="37"/>
      <c r="N399" s="253"/>
      <c r="O399" s="38"/>
    </row>
    <row r="400" spans="1:15" s="29" customFormat="1" ht="24.95" customHeight="1">
      <c r="A400" s="31" t="s">
        <v>1214</v>
      </c>
      <c r="B400" s="32" t="s">
        <v>1222</v>
      </c>
      <c r="C400" s="33">
        <v>16</v>
      </c>
      <c r="D400" s="34" t="s">
        <v>116</v>
      </c>
      <c r="E400" s="36">
        <v>0</v>
      </c>
      <c r="F400" s="36">
        <f t="shared" si="46"/>
        <v>0</v>
      </c>
      <c r="G400" s="36">
        <v>0</v>
      </c>
      <c r="H400" s="36">
        <f t="shared" si="47"/>
        <v>0</v>
      </c>
      <c r="I400" s="36">
        <v>55221</v>
      </c>
      <c r="J400" s="36">
        <f t="shared" si="48"/>
        <v>883536</v>
      </c>
      <c r="K400" s="36">
        <f t="shared" si="45"/>
        <v>55221</v>
      </c>
      <c r="L400" s="36">
        <f t="shared" si="45"/>
        <v>883536</v>
      </c>
      <c r="M400" s="37"/>
      <c r="N400" s="253"/>
      <c r="O400" s="38"/>
    </row>
    <row r="401" spans="1:15" s="29" customFormat="1" ht="24.95" customHeight="1">
      <c r="A401" s="31" t="s">
        <v>1214</v>
      </c>
      <c r="B401" s="32" t="s">
        <v>1223</v>
      </c>
      <c r="C401" s="33">
        <v>1264</v>
      </c>
      <c r="D401" s="34" t="s">
        <v>116</v>
      </c>
      <c r="E401" s="36">
        <v>0</v>
      </c>
      <c r="F401" s="36">
        <f t="shared" si="46"/>
        <v>0</v>
      </c>
      <c r="G401" s="36">
        <v>0</v>
      </c>
      <c r="H401" s="36">
        <f t="shared" si="47"/>
        <v>0</v>
      </c>
      <c r="I401" s="36">
        <v>61695</v>
      </c>
      <c r="J401" s="36">
        <f t="shared" si="48"/>
        <v>77982480</v>
      </c>
      <c r="K401" s="36">
        <f t="shared" si="45"/>
        <v>61695</v>
      </c>
      <c r="L401" s="36">
        <f t="shared" si="45"/>
        <v>77982480</v>
      </c>
      <c r="M401" s="37"/>
      <c r="N401" s="253"/>
      <c r="O401" s="38"/>
    </row>
    <row r="402" spans="1:15" s="29" customFormat="1" ht="24.95" customHeight="1">
      <c r="A402" s="31" t="s">
        <v>1214</v>
      </c>
      <c r="B402" s="32" t="s">
        <v>1224</v>
      </c>
      <c r="C402" s="33">
        <v>173</v>
      </c>
      <c r="D402" s="34" t="s">
        <v>116</v>
      </c>
      <c r="E402" s="36">
        <v>0</v>
      </c>
      <c r="F402" s="36">
        <f t="shared" si="46"/>
        <v>0</v>
      </c>
      <c r="G402" s="36">
        <v>0</v>
      </c>
      <c r="H402" s="36">
        <f t="shared" si="47"/>
        <v>0</v>
      </c>
      <c r="I402" s="36">
        <v>61695</v>
      </c>
      <c r="J402" s="36">
        <f t="shared" si="48"/>
        <v>10673235</v>
      </c>
      <c r="K402" s="36">
        <f t="shared" si="45"/>
        <v>61695</v>
      </c>
      <c r="L402" s="36">
        <f t="shared" si="45"/>
        <v>10673235</v>
      </c>
      <c r="M402" s="37"/>
      <c r="N402" s="253"/>
      <c r="O402" s="38"/>
    </row>
    <row r="403" spans="1:15" s="29" customFormat="1" ht="24.95" customHeight="1">
      <c r="A403" s="31" t="s">
        <v>1214</v>
      </c>
      <c r="B403" s="32" t="s">
        <v>1225</v>
      </c>
      <c r="C403" s="33">
        <v>836</v>
      </c>
      <c r="D403" s="34" t="s">
        <v>116</v>
      </c>
      <c r="E403" s="36">
        <v>0</v>
      </c>
      <c r="F403" s="36">
        <f t="shared" si="46"/>
        <v>0</v>
      </c>
      <c r="G403" s="36">
        <v>0</v>
      </c>
      <c r="H403" s="36">
        <f t="shared" si="47"/>
        <v>0</v>
      </c>
      <c r="I403" s="36">
        <v>85896</v>
      </c>
      <c r="J403" s="36">
        <f t="shared" si="48"/>
        <v>71809056</v>
      </c>
      <c r="K403" s="36">
        <f t="shared" si="45"/>
        <v>85896</v>
      </c>
      <c r="L403" s="36">
        <f t="shared" si="45"/>
        <v>71809056</v>
      </c>
      <c r="M403" s="37"/>
      <c r="N403" s="253"/>
      <c r="O403" s="38"/>
    </row>
    <row r="404" spans="1:15" s="29" customFormat="1" ht="24.95" customHeight="1">
      <c r="A404" s="31" t="s">
        <v>1214</v>
      </c>
      <c r="B404" s="32" t="s">
        <v>1226</v>
      </c>
      <c r="C404" s="33">
        <v>2</v>
      </c>
      <c r="D404" s="34" t="s">
        <v>116</v>
      </c>
      <c r="E404" s="36">
        <v>0</v>
      </c>
      <c r="F404" s="36">
        <f t="shared" si="46"/>
        <v>0</v>
      </c>
      <c r="G404" s="36">
        <v>0</v>
      </c>
      <c r="H404" s="36">
        <f t="shared" si="47"/>
        <v>0</v>
      </c>
      <c r="I404" s="36">
        <v>85896</v>
      </c>
      <c r="J404" s="36">
        <f t="shared" si="48"/>
        <v>171792</v>
      </c>
      <c r="K404" s="36">
        <f t="shared" si="45"/>
        <v>85896</v>
      </c>
      <c r="L404" s="36">
        <f t="shared" si="45"/>
        <v>171792</v>
      </c>
      <c r="M404" s="37"/>
      <c r="N404" s="253"/>
      <c r="O404" s="38"/>
    </row>
    <row r="405" spans="1:15" s="29" customFormat="1" ht="24.95" customHeight="1">
      <c r="A405" s="31" t="s">
        <v>1214</v>
      </c>
      <c r="B405" s="32" t="s">
        <v>1227</v>
      </c>
      <c r="C405" s="33">
        <v>472</v>
      </c>
      <c r="D405" s="34" t="s">
        <v>116</v>
      </c>
      <c r="E405" s="36">
        <v>0</v>
      </c>
      <c r="F405" s="36">
        <f t="shared" si="46"/>
        <v>0</v>
      </c>
      <c r="G405" s="36">
        <v>0</v>
      </c>
      <c r="H405" s="36">
        <f t="shared" si="47"/>
        <v>0</v>
      </c>
      <c r="I405" s="36">
        <v>93810</v>
      </c>
      <c r="J405" s="36">
        <f t="shared" si="48"/>
        <v>44278320</v>
      </c>
      <c r="K405" s="36">
        <f t="shared" si="45"/>
        <v>93810</v>
      </c>
      <c r="L405" s="36">
        <f t="shared" si="45"/>
        <v>44278320</v>
      </c>
      <c r="M405" s="37"/>
      <c r="N405" s="253"/>
      <c r="O405" s="38"/>
    </row>
    <row r="406" spans="1:15" s="29" customFormat="1" ht="24.95" customHeight="1">
      <c r="A406" s="31" t="s">
        <v>1214</v>
      </c>
      <c r="B406" s="32" t="s">
        <v>1228</v>
      </c>
      <c r="C406" s="33">
        <v>35</v>
      </c>
      <c r="D406" s="34" t="s">
        <v>116</v>
      </c>
      <c r="E406" s="36">
        <v>0</v>
      </c>
      <c r="F406" s="36">
        <f t="shared" si="46"/>
        <v>0</v>
      </c>
      <c r="G406" s="36">
        <v>0</v>
      </c>
      <c r="H406" s="36">
        <f t="shared" si="47"/>
        <v>0</v>
      </c>
      <c r="I406" s="36">
        <v>93810</v>
      </c>
      <c r="J406" s="36">
        <f t="shared" si="48"/>
        <v>3283350</v>
      </c>
      <c r="K406" s="36">
        <f t="shared" si="45"/>
        <v>93810</v>
      </c>
      <c r="L406" s="36">
        <f t="shared" si="45"/>
        <v>3283350</v>
      </c>
      <c r="M406" s="37"/>
      <c r="N406" s="253"/>
      <c r="O406" s="38"/>
    </row>
    <row r="407" spans="1:15" s="29" customFormat="1" ht="24.95" customHeight="1">
      <c r="A407" s="31" t="s">
        <v>1214</v>
      </c>
      <c r="B407" s="32" t="s">
        <v>1229</v>
      </c>
      <c r="C407" s="33">
        <v>137</v>
      </c>
      <c r="D407" s="34" t="s">
        <v>116</v>
      </c>
      <c r="E407" s="36">
        <v>0</v>
      </c>
      <c r="F407" s="36">
        <f t="shared" si="46"/>
        <v>0</v>
      </c>
      <c r="G407" s="36">
        <v>0</v>
      </c>
      <c r="H407" s="36">
        <f t="shared" si="47"/>
        <v>0</v>
      </c>
      <c r="I407" s="36">
        <v>112773</v>
      </c>
      <c r="J407" s="36">
        <f t="shared" si="48"/>
        <v>15449901</v>
      </c>
      <c r="K407" s="36">
        <f t="shared" si="45"/>
        <v>112773</v>
      </c>
      <c r="L407" s="36">
        <f t="shared" si="45"/>
        <v>15449901</v>
      </c>
      <c r="M407" s="37"/>
      <c r="N407" s="253"/>
      <c r="O407" s="38"/>
    </row>
    <row r="408" spans="1:15" s="29" customFormat="1" ht="24.95" customHeight="1">
      <c r="A408" s="31" t="s">
        <v>1214</v>
      </c>
      <c r="B408" s="32" t="s">
        <v>1230</v>
      </c>
      <c r="C408" s="33">
        <v>4</v>
      </c>
      <c r="D408" s="34" t="s">
        <v>116</v>
      </c>
      <c r="E408" s="36">
        <v>0</v>
      </c>
      <c r="F408" s="36">
        <f t="shared" si="46"/>
        <v>0</v>
      </c>
      <c r="G408" s="36">
        <v>0</v>
      </c>
      <c r="H408" s="36">
        <f t="shared" si="47"/>
        <v>0</v>
      </c>
      <c r="I408" s="36">
        <v>196180</v>
      </c>
      <c r="J408" s="36">
        <f t="shared" si="48"/>
        <v>784720</v>
      </c>
      <c r="K408" s="36">
        <f t="shared" si="45"/>
        <v>196180</v>
      </c>
      <c r="L408" s="36">
        <f t="shared" si="45"/>
        <v>784720</v>
      </c>
      <c r="M408" s="37"/>
      <c r="N408" s="253"/>
      <c r="O408" s="38"/>
    </row>
    <row r="409" spans="1:15" s="29" customFormat="1" ht="24.95" customHeight="1">
      <c r="A409" s="31" t="s">
        <v>1214</v>
      </c>
      <c r="B409" s="32" t="s">
        <v>1231</v>
      </c>
      <c r="C409" s="33">
        <v>12</v>
      </c>
      <c r="D409" s="34" t="s">
        <v>116</v>
      </c>
      <c r="E409" s="36">
        <v>0</v>
      </c>
      <c r="F409" s="36">
        <f t="shared" si="46"/>
        <v>0</v>
      </c>
      <c r="G409" s="36">
        <v>0</v>
      </c>
      <c r="H409" s="36">
        <f t="shared" si="47"/>
        <v>0</v>
      </c>
      <c r="I409" s="36">
        <v>244948</v>
      </c>
      <c r="J409" s="36">
        <f t="shared" si="48"/>
        <v>2939376</v>
      </c>
      <c r="K409" s="36">
        <f t="shared" si="45"/>
        <v>244948</v>
      </c>
      <c r="L409" s="36">
        <f t="shared" si="45"/>
        <v>2939376</v>
      </c>
      <c r="M409" s="37"/>
      <c r="N409" s="253"/>
      <c r="O409" s="38"/>
    </row>
    <row r="410" spans="1:15" s="29" customFormat="1" ht="24.95" customHeight="1">
      <c r="A410" s="31" t="s">
        <v>1214</v>
      </c>
      <c r="B410" s="32" t="s">
        <v>1232</v>
      </c>
      <c r="C410" s="33">
        <v>19</v>
      </c>
      <c r="D410" s="34" t="s">
        <v>116</v>
      </c>
      <c r="E410" s="36">
        <v>0</v>
      </c>
      <c r="F410" s="36">
        <f t="shared" si="46"/>
        <v>0</v>
      </c>
      <c r="G410" s="36">
        <v>0</v>
      </c>
      <c r="H410" s="36">
        <f t="shared" si="47"/>
        <v>0</v>
      </c>
      <c r="I410" s="36">
        <v>244948</v>
      </c>
      <c r="J410" s="36">
        <f t="shared" si="48"/>
        <v>4654012</v>
      </c>
      <c r="K410" s="36">
        <f t="shared" si="45"/>
        <v>244948</v>
      </c>
      <c r="L410" s="36">
        <f t="shared" si="45"/>
        <v>4654012</v>
      </c>
      <c r="M410" s="37"/>
      <c r="N410" s="253"/>
      <c r="O410" s="38"/>
    </row>
    <row r="411" spans="1:15" s="29" customFormat="1" ht="24.95" customHeight="1">
      <c r="A411" s="31" t="s">
        <v>1214</v>
      </c>
      <c r="B411" s="32" t="s">
        <v>1233</v>
      </c>
      <c r="C411" s="33">
        <v>257</v>
      </c>
      <c r="D411" s="34" t="s">
        <v>116</v>
      </c>
      <c r="E411" s="36">
        <v>0</v>
      </c>
      <c r="F411" s="36">
        <f t="shared" si="46"/>
        <v>0</v>
      </c>
      <c r="G411" s="36">
        <v>0</v>
      </c>
      <c r="H411" s="36">
        <f t="shared" si="47"/>
        <v>0</v>
      </c>
      <c r="I411" s="36">
        <v>196180</v>
      </c>
      <c r="J411" s="36">
        <f t="shared" si="48"/>
        <v>50418260</v>
      </c>
      <c r="K411" s="36">
        <f t="shared" si="45"/>
        <v>196180</v>
      </c>
      <c r="L411" s="36">
        <f t="shared" si="45"/>
        <v>50418260</v>
      </c>
      <c r="M411" s="37"/>
      <c r="N411" s="253"/>
      <c r="O411" s="38"/>
    </row>
    <row r="412" spans="1:15" s="29" customFormat="1" ht="24.95" customHeight="1">
      <c r="A412" s="31" t="s">
        <v>1214</v>
      </c>
      <c r="B412" s="32" t="s">
        <v>1234</v>
      </c>
      <c r="C412" s="33">
        <v>27</v>
      </c>
      <c r="D412" s="34" t="s">
        <v>116</v>
      </c>
      <c r="E412" s="36">
        <v>0</v>
      </c>
      <c r="F412" s="36">
        <f t="shared" si="46"/>
        <v>0</v>
      </c>
      <c r="G412" s="36">
        <v>0</v>
      </c>
      <c r="H412" s="36">
        <f t="shared" si="47"/>
        <v>0</v>
      </c>
      <c r="I412" s="36">
        <v>196180</v>
      </c>
      <c r="J412" s="36">
        <f t="shared" si="48"/>
        <v>5296860</v>
      </c>
      <c r="K412" s="36">
        <f t="shared" si="45"/>
        <v>196180</v>
      </c>
      <c r="L412" s="36">
        <f t="shared" si="45"/>
        <v>5296860</v>
      </c>
      <c r="M412" s="37"/>
      <c r="N412" s="253"/>
      <c r="O412" s="38"/>
    </row>
    <row r="413" spans="1:15" s="29" customFormat="1" ht="24.95" customHeight="1">
      <c r="A413" s="31" t="s">
        <v>1214</v>
      </c>
      <c r="B413" s="32" t="s">
        <v>1235</v>
      </c>
      <c r="C413" s="33">
        <v>87</v>
      </c>
      <c r="D413" s="34" t="s">
        <v>116</v>
      </c>
      <c r="E413" s="36">
        <v>0</v>
      </c>
      <c r="F413" s="36">
        <f t="shared" si="46"/>
        <v>0</v>
      </c>
      <c r="G413" s="36">
        <v>0</v>
      </c>
      <c r="H413" s="36">
        <f t="shared" si="47"/>
        <v>0</v>
      </c>
      <c r="I413" s="36">
        <v>214885</v>
      </c>
      <c r="J413" s="36">
        <f t="shared" si="48"/>
        <v>18694995</v>
      </c>
      <c r="K413" s="36">
        <f t="shared" si="45"/>
        <v>214885</v>
      </c>
      <c r="L413" s="36">
        <f t="shared" si="45"/>
        <v>18694995</v>
      </c>
      <c r="M413" s="37"/>
      <c r="N413" s="253"/>
      <c r="O413" s="38"/>
    </row>
    <row r="414" spans="1:15" s="29" customFormat="1" ht="24.95" customHeight="1">
      <c r="A414" s="31" t="s">
        <v>1214</v>
      </c>
      <c r="B414" s="32" t="s">
        <v>1236</v>
      </c>
      <c r="C414" s="33">
        <v>93</v>
      </c>
      <c r="D414" s="34" t="s">
        <v>116</v>
      </c>
      <c r="E414" s="36">
        <v>0</v>
      </c>
      <c r="F414" s="36">
        <f t="shared" si="46"/>
        <v>0</v>
      </c>
      <c r="G414" s="36">
        <v>0</v>
      </c>
      <c r="H414" s="36">
        <f t="shared" si="47"/>
        <v>0</v>
      </c>
      <c r="I414" s="36">
        <v>214885</v>
      </c>
      <c r="J414" s="36">
        <f t="shared" si="48"/>
        <v>19984305</v>
      </c>
      <c r="K414" s="36">
        <f t="shared" si="45"/>
        <v>214885</v>
      </c>
      <c r="L414" s="36">
        <f t="shared" si="45"/>
        <v>19984305</v>
      </c>
      <c r="M414" s="37"/>
      <c r="N414" s="253"/>
      <c r="O414" s="38"/>
    </row>
    <row r="415" spans="1:15" s="70" customFormat="1" ht="24.95" customHeight="1">
      <c r="A415" s="64" t="s">
        <v>1237</v>
      </c>
      <c r="B415" s="65" t="s">
        <v>22</v>
      </c>
      <c r="C415" s="66"/>
      <c r="D415" s="67" t="s">
        <v>22</v>
      </c>
      <c r="E415" s="67"/>
      <c r="F415" s="68">
        <f>TRUNC(F416+F417+F418+F419+F420+F421+F422+F423+F424+F425+F426+F427+F428+F429,0)</f>
        <v>0</v>
      </c>
      <c r="G415" s="67"/>
      <c r="H415" s="68">
        <f>TRUNC(H416+H417+H418+H419+H420+H421+H422+H423+H424+H425+H426+H427+H428+H429,0)</f>
        <v>0</v>
      </c>
      <c r="I415" s="67"/>
      <c r="J415" s="68">
        <f>TRUNC(J416+J417+J418+J419+J420+J421+J422+J423+J424+J425+J426+J427+J428+J429,0)</f>
        <v>47189843</v>
      </c>
      <c r="K415" s="68">
        <f t="shared" si="45"/>
        <v>0</v>
      </c>
      <c r="L415" s="68">
        <f t="shared" si="45"/>
        <v>47189843</v>
      </c>
      <c r="M415" s="69"/>
      <c r="N415" s="256"/>
    </row>
    <row r="416" spans="1:15" s="29" customFormat="1" ht="24.95" customHeight="1">
      <c r="A416" s="31" t="s">
        <v>1214</v>
      </c>
      <c r="B416" s="32" t="s">
        <v>1238</v>
      </c>
      <c r="C416" s="33">
        <v>56</v>
      </c>
      <c r="D416" s="34" t="s">
        <v>116</v>
      </c>
      <c r="E416" s="36">
        <v>0</v>
      </c>
      <c r="F416" s="36">
        <f t="shared" ref="F416:F429" si="49">TRUNC(E416*$C416,0)</f>
        <v>0</v>
      </c>
      <c r="G416" s="36">
        <v>0</v>
      </c>
      <c r="H416" s="36">
        <f t="shared" ref="H416:H429" si="50">TRUNC(G416*$C416,0)</f>
        <v>0</v>
      </c>
      <c r="I416" s="36">
        <v>45581</v>
      </c>
      <c r="J416" s="36">
        <f t="shared" ref="J416:J429" si="51">TRUNC(I416*$C416,0)</f>
        <v>2552536</v>
      </c>
      <c r="K416" s="36">
        <f t="shared" si="45"/>
        <v>45581</v>
      </c>
      <c r="L416" s="36">
        <f t="shared" si="45"/>
        <v>2552536</v>
      </c>
      <c r="M416" s="37"/>
      <c r="N416" s="253"/>
      <c r="O416" s="38"/>
    </row>
    <row r="417" spans="1:15" s="29" customFormat="1" ht="24.95" customHeight="1">
      <c r="A417" s="31" t="s">
        <v>1214</v>
      </c>
      <c r="B417" s="32" t="s">
        <v>1239</v>
      </c>
      <c r="C417" s="33">
        <v>76</v>
      </c>
      <c r="D417" s="34" t="s">
        <v>116</v>
      </c>
      <c r="E417" s="36">
        <v>0</v>
      </c>
      <c r="F417" s="36">
        <f t="shared" si="49"/>
        <v>0</v>
      </c>
      <c r="G417" s="36">
        <v>0</v>
      </c>
      <c r="H417" s="36">
        <f t="shared" si="50"/>
        <v>0</v>
      </c>
      <c r="I417" s="36">
        <v>45581</v>
      </c>
      <c r="J417" s="36">
        <f t="shared" si="51"/>
        <v>3464156</v>
      </c>
      <c r="K417" s="36">
        <f t="shared" si="45"/>
        <v>45581</v>
      </c>
      <c r="L417" s="36">
        <f t="shared" si="45"/>
        <v>3464156</v>
      </c>
      <c r="M417" s="37"/>
      <c r="N417" s="253"/>
      <c r="O417" s="38"/>
    </row>
    <row r="418" spans="1:15" s="29" customFormat="1" ht="24.95" customHeight="1">
      <c r="A418" s="31" t="s">
        <v>1214</v>
      </c>
      <c r="B418" s="32" t="s">
        <v>1240</v>
      </c>
      <c r="C418" s="33">
        <v>44</v>
      </c>
      <c r="D418" s="34" t="s">
        <v>116</v>
      </c>
      <c r="E418" s="36">
        <v>0</v>
      </c>
      <c r="F418" s="36">
        <f t="shared" si="49"/>
        <v>0</v>
      </c>
      <c r="G418" s="36">
        <v>0</v>
      </c>
      <c r="H418" s="36">
        <f t="shared" si="50"/>
        <v>0</v>
      </c>
      <c r="I418" s="36">
        <v>49033</v>
      </c>
      <c r="J418" s="36">
        <f t="shared" si="51"/>
        <v>2157452</v>
      </c>
      <c r="K418" s="36">
        <f t="shared" si="45"/>
        <v>49033</v>
      </c>
      <c r="L418" s="36">
        <f t="shared" si="45"/>
        <v>2157452</v>
      </c>
      <c r="M418" s="37"/>
      <c r="N418" s="253"/>
      <c r="O418" s="38"/>
    </row>
    <row r="419" spans="1:15" s="29" customFormat="1" ht="24.95" customHeight="1">
      <c r="A419" s="31" t="s">
        <v>1214</v>
      </c>
      <c r="B419" s="32" t="s">
        <v>1241</v>
      </c>
      <c r="C419" s="33">
        <v>16</v>
      </c>
      <c r="D419" s="34" t="s">
        <v>116</v>
      </c>
      <c r="E419" s="36">
        <v>0</v>
      </c>
      <c r="F419" s="36">
        <f t="shared" si="49"/>
        <v>0</v>
      </c>
      <c r="G419" s="36">
        <v>0</v>
      </c>
      <c r="H419" s="36">
        <f t="shared" si="50"/>
        <v>0</v>
      </c>
      <c r="I419" s="36">
        <v>49033</v>
      </c>
      <c r="J419" s="36">
        <f t="shared" si="51"/>
        <v>784528</v>
      </c>
      <c r="K419" s="36">
        <f t="shared" si="45"/>
        <v>49033</v>
      </c>
      <c r="L419" s="36">
        <f t="shared" si="45"/>
        <v>784528</v>
      </c>
      <c r="M419" s="37"/>
      <c r="N419" s="253"/>
      <c r="O419" s="38"/>
    </row>
    <row r="420" spans="1:15" s="29" customFormat="1" ht="24.95" customHeight="1">
      <c r="A420" s="31" t="s">
        <v>1214</v>
      </c>
      <c r="B420" s="32" t="s">
        <v>1242</v>
      </c>
      <c r="C420" s="33">
        <v>10</v>
      </c>
      <c r="D420" s="34" t="s">
        <v>116</v>
      </c>
      <c r="E420" s="36">
        <v>0</v>
      </c>
      <c r="F420" s="36">
        <f t="shared" si="49"/>
        <v>0</v>
      </c>
      <c r="G420" s="36">
        <v>0</v>
      </c>
      <c r="H420" s="36">
        <f t="shared" si="50"/>
        <v>0</v>
      </c>
      <c r="I420" s="36">
        <v>61695</v>
      </c>
      <c r="J420" s="36">
        <f t="shared" si="51"/>
        <v>616950</v>
      </c>
      <c r="K420" s="36">
        <f t="shared" si="45"/>
        <v>61695</v>
      </c>
      <c r="L420" s="36">
        <f t="shared" si="45"/>
        <v>616950</v>
      </c>
      <c r="M420" s="37"/>
      <c r="N420" s="253"/>
      <c r="O420" s="38"/>
    </row>
    <row r="421" spans="1:15" s="29" customFormat="1" ht="24.95" customHeight="1">
      <c r="A421" s="31" t="s">
        <v>1214</v>
      </c>
      <c r="B421" s="32" t="s">
        <v>1243</v>
      </c>
      <c r="C421" s="33">
        <v>12</v>
      </c>
      <c r="D421" s="34" t="s">
        <v>116</v>
      </c>
      <c r="E421" s="36">
        <v>0</v>
      </c>
      <c r="F421" s="36">
        <f t="shared" si="49"/>
        <v>0</v>
      </c>
      <c r="G421" s="36">
        <v>0</v>
      </c>
      <c r="H421" s="36">
        <f t="shared" si="50"/>
        <v>0</v>
      </c>
      <c r="I421" s="36">
        <v>61695</v>
      </c>
      <c r="J421" s="36">
        <f t="shared" si="51"/>
        <v>740340</v>
      </c>
      <c r="K421" s="36">
        <f t="shared" si="45"/>
        <v>61695</v>
      </c>
      <c r="L421" s="36">
        <f t="shared" si="45"/>
        <v>740340</v>
      </c>
      <c r="M421" s="37"/>
      <c r="N421" s="253"/>
      <c r="O421" s="38"/>
    </row>
    <row r="422" spans="1:15" s="29" customFormat="1" ht="24.95" customHeight="1">
      <c r="A422" s="31" t="s">
        <v>1214</v>
      </c>
      <c r="B422" s="32" t="s">
        <v>1244</v>
      </c>
      <c r="C422" s="33">
        <v>70</v>
      </c>
      <c r="D422" s="34" t="s">
        <v>116</v>
      </c>
      <c r="E422" s="36">
        <v>0</v>
      </c>
      <c r="F422" s="36">
        <f t="shared" si="49"/>
        <v>0</v>
      </c>
      <c r="G422" s="36">
        <v>0</v>
      </c>
      <c r="H422" s="36">
        <f t="shared" si="50"/>
        <v>0</v>
      </c>
      <c r="I422" s="36">
        <v>68170</v>
      </c>
      <c r="J422" s="36">
        <f t="shared" si="51"/>
        <v>4771900</v>
      </c>
      <c r="K422" s="36">
        <f t="shared" si="45"/>
        <v>68170</v>
      </c>
      <c r="L422" s="36">
        <f t="shared" si="45"/>
        <v>4771900</v>
      </c>
      <c r="M422" s="37"/>
      <c r="N422" s="253"/>
      <c r="O422" s="38"/>
    </row>
    <row r="423" spans="1:15" s="29" customFormat="1" ht="24.95" customHeight="1">
      <c r="A423" s="31" t="s">
        <v>1214</v>
      </c>
      <c r="B423" s="32" t="s">
        <v>1245</v>
      </c>
      <c r="C423" s="33">
        <v>70</v>
      </c>
      <c r="D423" s="34" t="s">
        <v>116</v>
      </c>
      <c r="E423" s="36">
        <v>0</v>
      </c>
      <c r="F423" s="36">
        <f t="shared" si="49"/>
        <v>0</v>
      </c>
      <c r="G423" s="36">
        <v>0</v>
      </c>
      <c r="H423" s="36">
        <f t="shared" si="50"/>
        <v>0</v>
      </c>
      <c r="I423" s="36">
        <v>68170</v>
      </c>
      <c r="J423" s="36">
        <f t="shared" si="51"/>
        <v>4771900</v>
      </c>
      <c r="K423" s="36">
        <f t="shared" si="45"/>
        <v>68170</v>
      </c>
      <c r="L423" s="36">
        <f t="shared" si="45"/>
        <v>4771900</v>
      </c>
      <c r="M423" s="37"/>
      <c r="N423" s="253"/>
      <c r="O423" s="38"/>
    </row>
    <row r="424" spans="1:15" s="29" customFormat="1" ht="24.95" customHeight="1">
      <c r="A424" s="31" t="s">
        <v>1214</v>
      </c>
      <c r="B424" s="32" t="s">
        <v>1246</v>
      </c>
      <c r="C424" s="33">
        <v>54</v>
      </c>
      <c r="D424" s="34" t="s">
        <v>116</v>
      </c>
      <c r="E424" s="36">
        <v>0</v>
      </c>
      <c r="F424" s="36">
        <f t="shared" si="49"/>
        <v>0</v>
      </c>
      <c r="G424" s="36">
        <v>0</v>
      </c>
      <c r="H424" s="36">
        <f t="shared" si="50"/>
        <v>0</v>
      </c>
      <c r="I424" s="36">
        <v>68170</v>
      </c>
      <c r="J424" s="36">
        <f t="shared" si="51"/>
        <v>3681180</v>
      </c>
      <c r="K424" s="36">
        <f t="shared" si="45"/>
        <v>68170</v>
      </c>
      <c r="L424" s="36">
        <f t="shared" si="45"/>
        <v>3681180</v>
      </c>
      <c r="M424" s="37"/>
      <c r="N424" s="253"/>
      <c r="O424" s="38"/>
    </row>
    <row r="425" spans="1:15" s="29" customFormat="1" ht="24.95" customHeight="1">
      <c r="A425" s="31" t="s">
        <v>1214</v>
      </c>
      <c r="B425" s="32" t="s">
        <v>1247</v>
      </c>
      <c r="C425" s="33">
        <v>48</v>
      </c>
      <c r="D425" s="34" t="s">
        <v>116</v>
      </c>
      <c r="E425" s="36">
        <v>0</v>
      </c>
      <c r="F425" s="36">
        <f t="shared" si="49"/>
        <v>0</v>
      </c>
      <c r="G425" s="36">
        <v>0</v>
      </c>
      <c r="H425" s="36">
        <f t="shared" si="50"/>
        <v>0</v>
      </c>
      <c r="I425" s="36">
        <v>176984</v>
      </c>
      <c r="J425" s="36">
        <f t="shared" si="51"/>
        <v>8495232</v>
      </c>
      <c r="K425" s="36">
        <f t="shared" si="45"/>
        <v>176984</v>
      </c>
      <c r="L425" s="36">
        <f t="shared" si="45"/>
        <v>8495232</v>
      </c>
      <c r="M425" s="37"/>
      <c r="N425" s="253"/>
      <c r="O425" s="38"/>
    </row>
    <row r="426" spans="1:15" s="29" customFormat="1" ht="24.95" customHeight="1">
      <c r="A426" s="31" t="s">
        <v>1214</v>
      </c>
      <c r="B426" s="32" t="s">
        <v>1248</v>
      </c>
      <c r="C426" s="33">
        <v>16</v>
      </c>
      <c r="D426" s="34" t="s">
        <v>116</v>
      </c>
      <c r="E426" s="36">
        <v>0</v>
      </c>
      <c r="F426" s="36">
        <f t="shared" si="49"/>
        <v>0</v>
      </c>
      <c r="G426" s="36">
        <v>0</v>
      </c>
      <c r="H426" s="36">
        <f t="shared" si="50"/>
        <v>0</v>
      </c>
      <c r="I426" s="36">
        <v>176984</v>
      </c>
      <c r="J426" s="36">
        <f t="shared" si="51"/>
        <v>2831744</v>
      </c>
      <c r="K426" s="36">
        <f t="shared" si="45"/>
        <v>176984</v>
      </c>
      <c r="L426" s="36">
        <f t="shared" si="45"/>
        <v>2831744</v>
      </c>
      <c r="M426" s="37"/>
      <c r="N426" s="253"/>
      <c r="O426" s="38"/>
    </row>
    <row r="427" spans="1:15" s="29" customFormat="1" ht="24.95" customHeight="1">
      <c r="A427" s="31" t="s">
        <v>1214</v>
      </c>
      <c r="B427" s="32" t="s">
        <v>1249</v>
      </c>
      <c r="C427" s="33">
        <v>20</v>
      </c>
      <c r="D427" s="34" t="s">
        <v>116</v>
      </c>
      <c r="E427" s="36">
        <v>0</v>
      </c>
      <c r="F427" s="36">
        <f t="shared" si="49"/>
        <v>0</v>
      </c>
      <c r="G427" s="36">
        <v>0</v>
      </c>
      <c r="H427" s="36">
        <f t="shared" si="50"/>
        <v>0</v>
      </c>
      <c r="I427" s="36">
        <v>121406</v>
      </c>
      <c r="J427" s="36">
        <f t="shared" si="51"/>
        <v>2428120</v>
      </c>
      <c r="K427" s="36">
        <f t="shared" si="45"/>
        <v>121406</v>
      </c>
      <c r="L427" s="36">
        <f t="shared" si="45"/>
        <v>2428120</v>
      </c>
      <c r="M427" s="37"/>
      <c r="N427" s="253"/>
      <c r="O427" s="38"/>
    </row>
    <row r="428" spans="1:15" s="29" customFormat="1" ht="24.95" customHeight="1">
      <c r="A428" s="31" t="s">
        <v>1214</v>
      </c>
      <c r="B428" s="32" t="s">
        <v>1250</v>
      </c>
      <c r="C428" s="33">
        <v>7</v>
      </c>
      <c r="D428" s="34" t="s">
        <v>116</v>
      </c>
      <c r="E428" s="36">
        <v>0</v>
      </c>
      <c r="F428" s="36">
        <f t="shared" si="49"/>
        <v>0</v>
      </c>
      <c r="G428" s="36">
        <v>0</v>
      </c>
      <c r="H428" s="36">
        <f t="shared" si="50"/>
        <v>0</v>
      </c>
      <c r="I428" s="36">
        <v>209130</v>
      </c>
      <c r="J428" s="36">
        <f t="shared" si="51"/>
        <v>1463910</v>
      </c>
      <c r="K428" s="36">
        <f t="shared" si="45"/>
        <v>209130</v>
      </c>
      <c r="L428" s="36">
        <f t="shared" si="45"/>
        <v>1463910</v>
      </c>
      <c r="M428" s="37"/>
      <c r="N428" s="253"/>
      <c r="O428" s="38"/>
    </row>
    <row r="429" spans="1:15" s="29" customFormat="1" ht="24.95" customHeight="1">
      <c r="A429" s="31" t="s">
        <v>1214</v>
      </c>
      <c r="B429" s="32" t="s">
        <v>1251</v>
      </c>
      <c r="C429" s="33">
        <v>37</v>
      </c>
      <c r="D429" s="34" t="s">
        <v>116</v>
      </c>
      <c r="E429" s="36">
        <v>0</v>
      </c>
      <c r="F429" s="36">
        <f t="shared" si="49"/>
        <v>0</v>
      </c>
      <c r="G429" s="36">
        <v>0</v>
      </c>
      <c r="H429" s="36">
        <f t="shared" si="50"/>
        <v>0</v>
      </c>
      <c r="I429" s="36">
        <v>227835</v>
      </c>
      <c r="J429" s="36">
        <f t="shared" si="51"/>
        <v>8429895</v>
      </c>
      <c r="K429" s="36">
        <f t="shared" si="45"/>
        <v>227835</v>
      </c>
      <c r="L429" s="36">
        <f t="shared" si="45"/>
        <v>8429895</v>
      </c>
      <c r="M429" s="37"/>
      <c r="N429" s="253"/>
      <c r="O429" s="38"/>
    </row>
    <row r="430" spans="1:15" s="63" customFormat="1" ht="24.95" customHeight="1">
      <c r="A430" s="57" t="s">
        <v>1252</v>
      </c>
      <c r="B430" s="58" t="s">
        <v>22</v>
      </c>
      <c r="C430" s="59"/>
      <c r="D430" s="60" t="s">
        <v>22</v>
      </c>
      <c r="E430" s="60"/>
      <c r="F430" s="61">
        <f>F431+F437+F439+F441+F443+F457+F466+F505+F512+F514+F519+F524</f>
        <v>0</v>
      </c>
      <c r="G430" s="60"/>
      <c r="H430" s="61">
        <f>H431+H437+H439+H441+H443+H457+H466+H505+H512+H514+H519+H524</f>
        <v>15685276467</v>
      </c>
      <c r="I430" s="60"/>
      <c r="J430" s="61">
        <f>J431+J437+J439+J441+J443+J457+J466+J505+J512+J514+J519+J524</f>
        <v>0</v>
      </c>
      <c r="K430" s="61">
        <f t="shared" si="45"/>
        <v>0</v>
      </c>
      <c r="L430" s="61">
        <f t="shared" si="45"/>
        <v>15685276467</v>
      </c>
      <c r="M430" s="62"/>
      <c r="N430" s="253"/>
    </row>
    <row r="431" spans="1:15" s="70" customFormat="1" ht="24.95" customHeight="1">
      <c r="A431" s="64" t="s">
        <v>1253</v>
      </c>
      <c r="B431" s="65" t="s">
        <v>22</v>
      </c>
      <c r="C431" s="66"/>
      <c r="D431" s="67" t="s">
        <v>22</v>
      </c>
      <c r="E431" s="67"/>
      <c r="F431" s="68">
        <f>TRUNC(F432+F433+F434+F435+F436,0)</f>
        <v>0</v>
      </c>
      <c r="G431" s="67"/>
      <c r="H431" s="68">
        <f>TRUNC(H432+H433+H434+H435+H436,0)</f>
        <v>775228904</v>
      </c>
      <c r="I431" s="67"/>
      <c r="J431" s="68">
        <f>TRUNC(J432+J433+J434+J435+J436,0)</f>
        <v>0</v>
      </c>
      <c r="K431" s="68">
        <f t="shared" si="45"/>
        <v>0</v>
      </c>
      <c r="L431" s="68">
        <f t="shared" si="45"/>
        <v>775228904</v>
      </c>
      <c r="M431" s="69"/>
      <c r="N431" s="256"/>
    </row>
    <row r="432" spans="1:15" s="29" customFormat="1" ht="24.95" customHeight="1">
      <c r="A432" s="31" t="s">
        <v>1254</v>
      </c>
      <c r="B432" s="32" t="s">
        <v>1255</v>
      </c>
      <c r="C432" s="33">
        <v>148</v>
      </c>
      <c r="D432" s="34" t="s">
        <v>815</v>
      </c>
      <c r="E432" s="36">
        <v>0</v>
      </c>
      <c r="F432" s="36">
        <f>TRUNC(E432*$C432,0)</f>
        <v>0</v>
      </c>
      <c r="G432" s="36">
        <v>90721</v>
      </c>
      <c r="H432" s="36">
        <f>TRUNC(G432*$C432,0)</f>
        <v>13426708</v>
      </c>
      <c r="I432" s="36">
        <v>0</v>
      </c>
      <c r="J432" s="36">
        <f>TRUNC(I432*$C432,0)</f>
        <v>0</v>
      </c>
      <c r="K432" s="36">
        <f t="shared" si="45"/>
        <v>90721</v>
      </c>
      <c r="L432" s="36">
        <f t="shared" si="45"/>
        <v>13426708</v>
      </c>
      <c r="M432" s="37"/>
      <c r="N432" s="253"/>
      <c r="O432" s="38"/>
    </row>
    <row r="433" spans="1:15" s="29" customFormat="1" ht="24.95" customHeight="1">
      <c r="A433" s="31" t="s">
        <v>1254</v>
      </c>
      <c r="B433" s="32" t="s">
        <v>1256</v>
      </c>
      <c r="C433" s="33">
        <v>106</v>
      </c>
      <c r="D433" s="34" t="s">
        <v>815</v>
      </c>
      <c r="E433" s="36">
        <v>0</v>
      </c>
      <c r="F433" s="36">
        <f>TRUNC(E433*$C433,0)</f>
        <v>0</v>
      </c>
      <c r="G433" s="36">
        <v>88822</v>
      </c>
      <c r="H433" s="36">
        <f>TRUNC(G433*$C433,0)</f>
        <v>9415132</v>
      </c>
      <c r="I433" s="36">
        <v>0</v>
      </c>
      <c r="J433" s="36">
        <f>TRUNC(I433*$C433,0)</f>
        <v>0</v>
      </c>
      <c r="K433" s="36">
        <f t="shared" si="45"/>
        <v>88822</v>
      </c>
      <c r="L433" s="36">
        <f t="shared" si="45"/>
        <v>9415132</v>
      </c>
      <c r="M433" s="37"/>
      <c r="N433" s="253"/>
      <c r="O433" s="38"/>
    </row>
    <row r="434" spans="1:15" s="29" customFormat="1" ht="24.95" customHeight="1">
      <c r="A434" s="31" t="s">
        <v>1254</v>
      </c>
      <c r="B434" s="32" t="s">
        <v>1257</v>
      </c>
      <c r="C434" s="33">
        <v>541</v>
      </c>
      <c r="D434" s="34" t="s">
        <v>815</v>
      </c>
      <c r="E434" s="36">
        <v>0</v>
      </c>
      <c r="F434" s="36">
        <f>TRUNC(E434*$C434,0)</f>
        <v>0</v>
      </c>
      <c r="G434" s="36">
        <v>89763</v>
      </c>
      <c r="H434" s="36">
        <f>TRUNC(G434*$C434,0)</f>
        <v>48561783</v>
      </c>
      <c r="I434" s="36">
        <v>0</v>
      </c>
      <c r="J434" s="36">
        <f>TRUNC(I434*$C434,0)</f>
        <v>0</v>
      </c>
      <c r="K434" s="36">
        <f t="shared" si="45"/>
        <v>89763</v>
      </c>
      <c r="L434" s="36">
        <f t="shared" si="45"/>
        <v>48561783</v>
      </c>
      <c r="M434" s="37"/>
      <c r="N434" s="253"/>
      <c r="O434" s="38"/>
    </row>
    <row r="435" spans="1:15" s="29" customFormat="1" ht="24.95" customHeight="1">
      <c r="A435" s="31" t="s">
        <v>1254</v>
      </c>
      <c r="B435" s="32" t="s">
        <v>1258</v>
      </c>
      <c r="C435" s="33">
        <v>6131</v>
      </c>
      <c r="D435" s="34" t="s">
        <v>815</v>
      </c>
      <c r="E435" s="36">
        <v>0</v>
      </c>
      <c r="F435" s="36">
        <f>TRUNC(E435*$C435,0)</f>
        <v>0</v>
      </c>
      <c r="G435" s="36">
        <v>84807</v>
      </c>
      <c r="H435" s="36">
        <f>TRUNC(G435*$C435,0)</f>
        <v>519951717</v>
      </c>
      <c r="I435" s="36">
        <v>0</v>
      </c>
      <c r="J435" s="36">
        <f>TRUNC(I435*$C435,0)</f>
        <v>0</v>
      </c>
      <c r="K435" s="36">
        <f t="shared" si="45"/>
        <v>84807</v>
      </c>
      <c r="L435" s="36">
        <f t="shared" si="45"/>
        <v>519951717</v>
      </c>
      <c r="M435" s="37"/>
      <c r="N435" s="253"/>
      <c r="O435" s="38"/>
    </row>
    <row r="436" spans="1:15" s="29" customFormat="1" ht="24.95" customHeight="1">
      <c r="A436" s="31" t="s">
        <v>1254</v>
      </c>
      <c r="B436" s="32" t="s">
        <v>1259</v>
      </c>
      <c r="C436" s="33">
        <v>2261</v>
      </c>
      <c r="D436" s="34" t="s">
        <v>815</v>
      </c>
      <c r="E436" s="36">
        <v>0</v>
      </c>
      <c r="F436" s="36">
        <f>TRUNC(E436*$C436,0)</f>
        <v>0</v>
      </c>
      <c r="G436" s="36">
        <v>81324</v>
      </c>
      <c r="H436" s="36">
        <f>TRUNC(G436*$C436,0)</f>
        <v>183873564</v>
      </c>
      <c r="I436" s="36">
        <v>0</v>
      </c>
      <c r="J436" s="36">
        <f>TRUNC(I436*$C436,0)</f>
        <v>0</v>
      </c>
      <c r="K436" s="36">
        <f t="shared" si="45"/>
        <v>81324</v>
      </c>
      <c r="L436" s="36">
        <f t="shared" si="45"/>
        <v>183873564</v>
      </c>
      <c r="M436" s="37"/>
      <c r="N436" s="253"/>
      <c r="O436" s="38"/>
    </row>
    <row r="437" spans="1:15" s="70" customFormat="1" ht="24.95" customHeight="1">
      <c r="A437" s="64" t="s">
        <v>1260</v>
      </c>
      <c r="B437" s="65" t="s">
        <v>22</v>
      </c>
      <c r="C437" s="66"/>
      <c r="D437" s="67" t="s">
        <v>22</v>
      </c>
      <c r="E437" s="67"/>
      <c r="F437" s="68">
        <f>TRUNC(F438,0)</f>
        <v>0</v>
      </c>
      <c r="G437" s="67"/>
      <c r="H437" s="68">
        <f>TRUNC(H438,0)</f>
        <v>7190034</v>
      </c>
      <c r="I437" s="67"/>
      <c r="J437" s="68">
        <f>TRUNC(J438,0)</f>
        <v>0</v>
      </c>
      <c r="K437" s="68">
        <f t="shared" si="45"/>
        <v>0</v>
      </c>
      <c r="L437" s="68">
        <f t="shared" si="45"/>
        <v>7190034</v>
      </c>
      <c r="M437" s="69"/>
      <c r="N437" s="256"/>
    </row>
    <row r="438" spans="1:15" s="29" customFormat="1" ht="24.95" customHeight="1">
      <c r="A438" s="31" t="s">
        <v>1261</v>
      </c>
      <c r="B438" s="32" t="s">
        <v>1262</v>
      </c>
      <c r="C438" s="33">
        <v>411</v>
      </c>
      <c r="D438" s="34" t="s">
        <v>815</v>
      </c>
      <c r="E438" s="36">
        <v>0</v>
      </c>
      <c r="F438" s="36">
        <f>TRUNC(E438*$C438,0)</f>
        <v>0</v>
      </c>
      <c r="G438" s="36">
        <v>17494</v>
      </c>
      <c r="H438" s="36">
        <f>TRUNC(G438*$C438,0)</f>
        <v>7190034</v>
      </c>
      <c r="I438" s="36">
        <v>0</v>
      </c>
      <c r="J438" s="36">
        <f>TRUNC(I438*$C438,0)</f>
        <v>0</v>
      </c>
      <c r="K438" s="36">
        <f t="shared" si="45"/>
        <v>17494</v>
      </c>
      <c r="L438" s="36">
        <f t="shared" si="45"/>
        <v>7190034</v>
      </c>
      <c r="M438" s="37"/>
      <c r="N438" s="253"/>
      <c r="O438" s="38"/>
    </row>
    <row r="439" spans="1:15" s="70" customFormat="1" ht="24.95" customHeight="1">
      <c r="A439" s="64" t="s">
        <v>1263</v>
      </c>
      <c r="B439" s="65" t="s">
        <v>22</v>
      </c>
      <c r="C439" s="66"/>
      <c r="D439" s="67" t="s">
        <v>22</v>
      </c>
      <c r="E439" s="67"/>
      <c r="F439" s="68">
        <f>TRUNC(F440,0)</f>
        <v>0</v>
      </c>
      <c r="G439" s="67"/>
      <c r="H439" s="68">
        <f>TRUNC(H440,0)</f>
        <v>9890975</v>
      </c>
      <c r="I439" s="67"/>
      <c r="J439" s="68">
        <f>TRUNC(J440,0)</f>
        <v>0</v>
      </c>
      <c r="K439" s="68">
        <f t="shared" si="45"/>
        <v>0</v>
      </c>
      <c r="L439" s="68">
        <f t="shared" si="45"/>
        <v>9890975</v>
      </c>
      <c r="M439" s="69"/>
      <c r="N439" s="256"/>
    </row>
    <row r="440" spans="1:15" s="29" customFormat="1" ht="24.95" customHeight="1">
      <c r="A440" s="31" t="s">
        <v>1264</v>
      </c>
      <c r="B440" s="32" t="s">
        <v>1265</v>
      </c>
      <c r="C440" s="33">
        <v>383</v>
      </c>
      <c r="D440" s="34" t="s">
        <v>815</v>
      </c>
      <c r="E440" s="36">
        <v>0</v>
      </c>
      <c r="F440" s="36">
        <f>TRUNC(E440*$C440,0)</f>
        <v>0</v>
      </c>
      <c r="G440" s="36">
        <v>25825</v>
      </c>
      <c r="H440" s="36">
        <f>TRUNC(G440*$C440,0)</f>
        <v>9890975</v>
      </c>
      <c r="I440" s="36">
        <v>0</v>
      </c>
      <c r="J440" s="36">
        <f>TRUNC(I440*$C440,0)</f>
        <v>0</v>
      </c>
      <c r="K440" s="36">
        <f t="shared" si="45"/>
        <v>25825</v>
      </c>
      <c r="L440" s="36">
        <f t="shared" si="45"/>
        <v>9890975</v>
      </c>
      <c r="M440" s="37"/>
      <c r="N440" s="253"/>
      <c r="O440" s="38"/>
    </row>
    <row r="441" spans="1:15" s="70" customFormat="1" ht="24.95" customHeight="1">
      <c r="A441" s="64" t="s">
        <v>1266</v>
      </c>
      <c r="B441" s="65" t="s">
        <v>22</v>
      </c>
      <c r="C441" s="66"/>
      <c r="D441" s="67" t="s">
        <v>22</v>
      </c>
      <c r="E441" s="67"/>
      <c r="F441" s="68">
        <f>TRUNC(F442,0)</f>
        <v>0</v>
      </c>
      <c r="G441" s="67"/>
      <c r="H441" s="68">
        <f>TRUNC(H442,0)</f>
        <v>110560044</v>
      </c>
      <c r="I441" s="67"/>
      <c r="J441" s="68">
        <f>TRUNC(J442,0)</f>
        <v>0</v>
      </c>
      <c r="K441" s="68">
        <f t="shared" si="45"/>
        <v>0</v>
      </c>
      <c r="L441" s="68">
        <f t="shared" si="45"/>
        <v>110560044</v>
      </c>
      <c r="M441" s="69"/>
      <c r="N441" s="256"/>
    </row>
    <row r="442" spans="1:15" s="29" customFormat="1" ht="24.95" customHeight="1">
      <c r="A442" s="31" t="s">
        <v>1267</v>
      </c>
      <c r="B442" s="32" t="s">
        <v>1268</v>
      </c>
      <c r="C442" s="33">
        <v>3892</v>
      </c>
      <c r="D442" s="34" t="s">
        <v>116</v>
      </c>
      <c r="E442" s="36">
        <v>0</v>
      </c>
      <c r="F442" s="36">
        <f>TRUNC(E442*$C442,0)</f>
        <v>0</v>
      </c>
      <c r="G442" s="36">
        <v>28407</v>
      </c>
      <c r="H442" s="36">
        <f>TRUNC(G442*$C442,0)</f>
        <v>110560044</v>
      </c>
      <c r="I442" s="36">
        <v>0</v>
      </c>
      <c r="J442" s="36">
        <f>TRUNC(I442*$C442,0)</f>
        <v>0</v>
      </c>
      <c r="K442" s="36">
        <f t="shared" si="45"/>
        <v>28407</v>
      </c>
      <c r="L442" s="36">
        <f t="shared" si="45"/>
        <v>110560044</v>
      </c>
      <c r="M442" s="37"/>
      <c r="N442" s="253"/>
      <c r="O442" s="38"/>
    </row>
    <row r="443" spans="1:15" s="70" customFormat="1" ht="24.95" customHeight="1">
      <c r="A443" s="64" t="s">
        <v>1269</v>
      </c>
      <c r="B443" s="65" t="s">
        <v>22</v>
      </c>
      <c r="C443" s="66"/>
      <c r="D443" s="67" t="s">
        <v>22</v>
      </c>
      <c r="E443" s="67"/>
      <c r="F443" s="68">
        <f>TRUNC(F444+F445+F446+F447+F448+F449+F451+F452+F453+F454+F455+F456,0)</f>
        <v>0</v>
      </c>
      <c r="G443" s="67"/>
      <c r="H443" s="68">
        <f>TRUNC(H444+H445+H446+H447+H448+H449+H451+H452+H453+H454+H455+H456,0)</f>
        <v>677855116</v>
      </c>
      <c r="I443" s="67"/>
      <c r="J443" s="68">
        <f>TRUNC(J444+J445+J446+J447+J448+J449+J451+J452+J453+J454+J455+J456,0)</f>
        <v>0</v>
      </c>
      <c r="K443" s="68">
        <f t="shared" si="45"/>
        <v>0</v>
      </c>
      <c r="L443" s="68">
        <f t="shared" si="45"/>
        <v>677855116</v>
      </c>
      <c r="M443" s="69"/>
      <c r="N443" s="256"/>
    </row>
    <row r="444" spans="1:15" s="29" customFormat="1" ht="24.95" customHeight="1">
      <c r="A444" s="31" t="s">
        <v>1270</v>
      </c>
      <c r="B444" s="32" t="s">
        <v>1271</v>
      </c>
      <c r="C444" s="33">
        <v>722</v>
      </c>
      <c r="D444" s="34" t="s">
        <v>1192</v>
      </c>
      <c r="E444" s="36">
        <v>0</v>
      </c>
      <c r="F444" s="36">
        <f t="shared" ref="F444:F449" si="52">TRUNC(E444*$C444,0)</f>
        <v>0</v>
      </c>
      <c r="G444" s="36">
        <v>71311</v>
      </c>
      <c r="H444" s="36">
        <f t="shared" ref="H444:H449" si="53">TRUNC(G444*$C444,0)</f>
        <v>51486542</v>
      </c>
      <c r="I444" s="36">
        <v>0</v>
      </c>
      <c r="J444" s="36">
        <f t="shared" ref="J444:J449" si="54">TRUNC(I444*$C444,0)</f>
        <v>0</v>
      </c>
      <c r="K444" s="36">
        <f t="shared" si="45"/>
        <v>71311</v>
      </c>
      <c r="L444" s="36">
        <f t="shared" si="45"/>
        <v>51486542</v>
      </c>
      <c r="M444" s="37"/>
      <c r="N444" s="253"/>
      <c r="O444" s="38"/>
    </row>
    <row r="445" spans="1:15" s="29" customFormat="1" ht="24.95" customHeight="1">
      <c r="A445" s="31" t="s">
        <v>1270</v>
      </c>
      <c r="B445" s="32" t="s">
        <v>1272</v>
      </c>
      <c r="C445" s="33">
        <v>428</v>
      </c>
      <c r="D445" s="34" t="s">
        <v>1192</v>
      </c>
      <c r="E445" s="36">
        <v>0</v>
      </c>
      <c r="F445" s="36">
        <f t="shared" si="52"/>
        <v>0</v>
      </c>
      <c r="G445" s="36">
        <v>117880</v>
      </c>
      <c r="H445" s="36">
        <f t="shared" si="53"/>
        <v>50452640</v>
      </c>
      <c r="I445" s="36">
        <v>0</v>
      </c>
      <c r="J445" s="36">
        <f t="shared" si="54"/>
        <v>0</v>
      </c>
      <c r="K445" s="36">
        <f t="shared" si="45"/>
        <v>117880</v>
      </c>
      <c r="L445" s="36">
        <f t="shared" si="45"/>
        <v>50452640</v>
      </c>
      <c r="M445" s="37"/>
      <c r="N445" s="253"/>
      <c r="O445" s="38"/>
    </row>
    <row r="446" spans="1:15" s="29" customFormat="1" ht="24.95" customHeight="1">
      <c r="A446" s="31" t="s">
        <v>1270</v>
      </c>
      <c r="B446" s="32" t="s">
        <v>1273</v>
      </c>
      <c r="C446" s="33">
        <v>854</v>
      </c>
      <c r="D446" s="34" t="s">
        <v>1192</v>
      </c>
      <c r="E446" s="36">
        <v>0</v>
      </c>
      <c r="F446" s="36">
        <f t="shared" si="52"/>
        <v>0</v>
      </c>
      <c r="G446" s="36">
        <v>207852</v>
      </c>
      <c r="H446" s="36">
        <f t="shared" si="53"/>
        <v>177505608</v>
      </c>
      <c r="I446" s="36">
        <v>0</v>
      </c>
      <c r="J446" s="36">
        <f t="shared" si="54"/>
        <v>0</v>
      </c>
      <c r="K446" s="36">
        <f t="shared" si="45"/>
        <v>207852</v>
      </c>
      <c r="L446" s="36">
        <f t="shared" si="45"/>
        <v>177505608</v>
      </c>
      <c r="M446" s="37"/>
      <c r="N446" s="253"/>
      <c r="O446" s="38"/>
    </row>
    <row r="447" spans="1:15" s="29" customFormat="1" ht="24.95" customHeight="1">
      <c r="A447" s="31" t="s">
        <v>1270</v>
      </c>
      <c r="B447" s="32" t="s">
        <v>1274</v>
      </c>
      <c r="C447" s="33">
        <v>464</v>
      </c>
      <c r="D447" s="34" t="s">
        <v>1192</v>
      </c>
      <c r="E447" s="36">
        <v>0</v>
      </c>
      <c r="F447" s="36">
        <f t="shared" si="52"/>
        <v>0</v>
      </c>
      <c r="G447" s="36">
        <v>330314</v>
      </c>
      <c r="H447" s="36">
        <f t="shared" si="53"/>
        <v>153265696</v>
      </c>
      <c r="I447" s="36">
        <v>0</v>
      </c>
      <c r="J447" s="36">
        <f t="shared" si="54"/>
        <v>0</v>
      </c>
      <c r="K447" s="36">
        <f t="shared" si="45"/>
        <v>330314</v>
      </c>
      <c r="L447" s="36">
        <f t="shared" si="45"/>
        <v>153265696</v>
      </c>
      <c r="M447" s="37"/>
      <c r="N447" s="253"/>
      <c r="O447" s="38"/>
    </row>
    <row r="448" spans="1:15" s="29" customFormat="1" ht="24.95" customHeight="1">
      <c r="A448" s="31" t="s">
        <v>1270</v>
      </c>
      <c r="B448" s="32" t="s">
        <v>1275</v>
      </c>
      <c r="C448" s="33">
        <v>261</v>
      </c>
      <c r="D448" s="34" t="s">
        <v>1192</v>
      </c>
      <c r="E448" s="36">
        <v>0</v>
      </c>
      <c r="F448" s="36">
        <f t="shared" si="52"/>
        <v>0</v>
      </c>
      <c r="G448" s="36">
        <v>463606</v>
      </c>
      <c r="H448" s="36">
        <f t="shared" si="53"/>
        <v>121001166</v>
      </c>
      <c r="I448" s="36">
        <v>0</v>
      </c>
      <c r="J448" s="36">
        <f t="shared" si="54"/>
        <v>0</v>
      </c>
      <c r="K448" s="36">
        <f t="shared" si="45"/>
        <v>463606</v>
      </c>
      <c r="L448" s="36">
        <f t="shared" si="45"/>
        <v>121001166</v>
      </c>
      <c r="M448" s="37"/>
      <c r="N448" s="253"/>
      <c r="O448" s="38"/>
    </row>
    <row r="449" spans="1:15" s="29" customFormat="1" ht="24.95" customHeight="1">
      <c r="A449" s="31" t="s">
        <v>1270</v>
      </c>
      <c r="B449" s="32" t="s">
        <v>1276</v>
      </c>
      <c r="C449" s="33">
        <v>196</v>
      </c>
      <c r="D449" s="34" t="s">
        <v>1192</v>
      </c>
      <c r="E449" s="36">
        <v>0</v>
      </c>
      <c r="F449" s="36">
        <f t="shared" si="52"/>
        <v>0</v>
      </c>
      <c r="G449" s="36">
        <v>559826</v>
      </c>
      <c r="H449" s="36">
        <f t="shared" si="53"/>
        <v>109725896</v>
      </c>
      <c r="I449" s="36">
        <v>0</v>
      </c>
      <c r="J449" s="36">
        <f t="shared" si="54"/>
        <v>0</v>
      </c>
      <c r="K449" s="36">
        <f t="shared" ref="K449:L512" si="55">G449+E449+I449</f>
        <v>559826</v>
      </c>
      <c r="L449" s="36">
        <f t="shared" si="55"/>
        <v>109725896</v>
      </c>
      <c r="M449" s="37"/>
      <c r="N449" s="253"/>
      <c r="O449" s="38"/>
    </row>
    <row r="450" spans="1:15" s="29" customFormat="1" ht="24.95" customHeight="1">
      <c r="A450" s="31" t="s">
        <v>1277</v>
      </c>
      <c r="B450" s="32" t="s">
        <v>22</v>
      </c>
      <c r="C450" s="33"/>
      <c r="D450" s="34" t="s">
        <v>22</v>
      </c>
      <c r="E450" s="34"/>
      <c r="F450" s="36">
        <f>TRUNC(F451+F452+F453+F454+F455+F456,0)</f>
        <v>0</v>
      </c>
      <c r="G450" s="34"/>
      <c r="H450" s="36">
        <f>TRUNC(H451+H452+H453+H454+H455+H456,0)</f>
        <v>14417568</v>
      </c>
      <c r="I450" s="34"/>
      <c r="J450" s="36">
        <f>TRUNC(J451+J452+J453+J454+J455+J456,0)</f>
        <v>0</v>
      </c>
      <c r="K450" s="36">
        <f t="shared" si="55"/>
        <v>0</v>
      </c>
      <c r="L450" s="36">
        <f t="shared" si="55"/>
        <v>14417568</v>
      </c>
      <c r="M450" s="37"/>
      <c r="N450" s="253"/>
    </row>
    <row r="451" spans="1:15" s="29" customFormat="1" ht="24.95" customHeight="1">
      <c r="A451" s="31" t="s">
        <v>1278</v>
      </c>
      <c r="B451" s="32" t="s">
        <v>1271</v>
      </c>
      <c r="C451" s="33">
        <v>701</v>
      </c>
      <c r="D451" s="34" t="s">
        <v>960</v>
      </c>
      <c r="E451" s="36">
        <v>0</v>
      </c>
      <c r="F451" s="36">
        <f t="shared" ref="F451:F456" si="56">TRUNC(E451*$C451,0)</f>
        <v>0</v>
      </c>
      <c r="G451" s="36">
        <v>2499</v>
      </c>
      <c r="H451" s="36">
        <f t="shared" ref="H451:H456" si="57">TRUNC(G451*$C451,0)</f>
        <v>1751799</v>
      </c>
      <c r="I451" s="36">
        <v>0</v>
      </c>
      <c r="J451" s="36">
        <f t="shared" ref="J451:J456" si="58">TRUNC(I451*$C451,0)</f>
        <v>0</v>
      </c>
      <c r="K451" s="36">
        <f t="shared" si="55"/>
        <v>2499</v>
      </c>
      <c r="L451" s="36">
        <f t="shared" si="55"/>
        <v>1751799</v>
      </c>
      <c r="M451" s="37"/>
      <c r="N451" s="253"/>
      <c r="O451" s="38"/>
    </row>
    <row r="452" spans="1:15" s="29" customFormat="1" ht="24.95" customHeight="1">
      <c r="A452" s="31" t="s">
        <v>1278</v>
      </c>
      <c r="B452" s="32" t="s">
        <v>1272</v>
      </c>
      <c r="C452" s="33">
        <v>416</v>
      </c>
      <c r="D452" s="34" t="s">
        <v>960</v>
      </c>
      <c r="E452" s="36">
        <v>0</v>
      </c>
      <c r="F452" s="36">
        <f t="shared" si="56"/>
        <v>0</v>
      </c>
      <c r="G452" s="36">
        <v>3165</v>
      </c>
      <c r="H452" s="36">
        <f t="shared" si="57"/>
        <v>1316640</v>
      </c>
      <c r="I452" s="36">
        <v>0</v>
      </c>
      <c r="J452" s="36">
        <f t="shared" si="58"/>
        <v>0</v>
      </c>
      <c r="K452" s="36">
        <f t="shared" si="55"/>
        <v>3165</v>
      </c>
      <c r="L452" s="36">
        <f t="shared" si="55"/>
        <v>1316640</v>
      </c>
      <c r="M452" s="37"/>
      <c r="N452" s="253"/>
      <c r="O452" s="38"/>
    </row>
    <row r="453" spans="1:15" s="29" customFormat="1" ht="24.95" customHeight="1">
      <c r="A453" s="31" t="s">
        <v>1278</v>
      </c>
      <c r="B453" s="32" t="s">
        <v>1273</v>
      </c>
      <c r="C453" s="33">
        <v>829</v>
      </c>
      <c r="D453" s="34" t="s">
        <v>960</v>
      </c>
      <c r="E453" s="36">
        <v>0</v>
      </c>
      <c r="F453" s="36">
        <f t="shared" si="56"/>
        <v>0</v>
      </c>
      <c r="G453" s="36">
        <v>5498</v>
      </c>
      <c r="H453" s="36">
        <f t="shared" si="57"/>
        <v>4557842</v>
      </c>
      <c r="I453" s="36">
        <v>0</v>
      </c>
      <c r="J453" s="36">
        <f t="shared" si="58"/>
        <v>0</v>
      </c>
      <c r="K453" s="36">
        <f t="shared" si="55"/>
        <v>5498</v>
      </c>
      <c r="L453" s="36">
        <f t="shared" si="55"/>
        <v>4557842</v>
      </c>
      <c r="M453" s="37"/>
      <c r="N453" s="253"/>
      <c r="O453" s="38"/>
    </row>
    <row r="454" spans="1:15" s="29" customFormat="1" ht="24.95" customHeight="1">
      <c r="A454" s="31" t="s">
        <v>1278</v>
      </c>
      <c r="B454" s="32" t="s">
        <v>1274</v>
      </c>
      <c r="C454" s="33">
        <v>450</v>
      </c>
      <c r="D454" s="34" t="s">
        <v>960</v>
      </c>
      <c r="E454" s="36">
        <v>0</v>
      </c>
      <c r="F454" s="36">
        <f t="shared" si="56"/>
        <v>0</v>
      </c>
      <c r="G454" s="36">
        <v>6647</v>
      </c>
      <c r="H454" s="36">
        <f t="shared" si="57"/>
        <v>2991150</v>
      </c>
      <c r="I454" s="36">
        <v>0</v>
      </c>
      <c r="J454" s="36">
        <f t="shared" si="58"/>
        <v>0</v>
      </c>
      <c r="K454" s="36">
        <f t="shared" si="55"/>
        <v>6647</v>
      </c>
      <c r="L454" s="36">
        <f t="shared" si="55"/>
        <v>2991150</v>
      </c>
      <c r="M454" s="37"/>
      <c r="N454" s="253"/>
      <c r="O454" s="38"/>
    </row>
    <row r="455" spans="1:15" s="29" customFormat="1" ht="24.95" customHeight="1">
      <c r="A455" s="31" t="s">
        <v>1278</v>
      </c>
      <c r="B455" s="32" t="s">
        <v>1275</v>
      </c>
      <c r="C455" s="33">
        <v>253</v>
      </c>
      <c r="D455" s="34" t="s">
        <v>960</v>
      </c>
      <c r="E455" s="36">
        <v>0</v>
      </c>
      <c r="F455" s="36">
        <f t="shared" si="56"/>
        <v>0</v>
      </c>
      <c r="G455" s="36">
        <v>8139</v>
      </c>
      <c r="H455" s="36">
        <f t="shared" si="57"/>
        <v>2059167</v>
      </c>
      <c r="I455" s="36">
        <v>0</v>
      </c>
      <c r="J455" s="36">
        <f t="shared" si="58"/>
        <v>0</v>
      </c>
      <c r="K455" s="36">
        <f t="shared" si="55"/>
        <v>8139</v>
      </c>
      <c r="L455" s="36">
        <f t="shared" si="55"/>
        <v>2059167</v>
      </c>
      <c r="M455" s="37"/>
      <c r="N455" s="253"/>
      <c r="O455" s="38"/>
    </row>
    <row r="456" spans="1:15" s="29" customFormat="1" ht="24.95" customHeight="1">
      <c r="A456" s="31" t="s">
        <v>1278</v>
      </c>
      <c r="B456" s="32" t="s">
        <v>1276</v>
      </c>
      <c r="C456" s="33">
        <v>190</v>
      </c>
      <c r="D456" s="34" t="s">
        <v>960</v>
      </c>
      <c r="E456" s="36">
        <v>0</v>
      </c>
      <c r="F456" s="36">
        <f t="shared" si="56"/>
        <v>0</v>
      </c>
      <c r="G456" s="36">
        <v>9163</v>
      </c>
      <c r="H456" s="36">
        <f t="shared" si="57"/>
        <v>1740970</v>
      </c>
      <c r="I456" s="36">
        <v>0</v>
      </c>
      <c r="J456" s="36">
        <f t="shared" si="58"/>
        <v>0</v>
      </c>
      <c r="K456" s="36">
        <f t="shared" si="55"/>
        <v>9163</v>
      </c>
      <c r="L456" s="36">
        <f t="shared" si="55"/>
        <v>1740970</v>
      </c>
      <c r="M456" s="37"/>
      <c r="N456" s="253"/>
      <c r="O456" s="38"/>
    </row>
    <row r="457" spans="1:15" s="70" customFormat="1" ht="24.95" customHeight="1">
      <c r="A457" s="64" t="s">
        <v>1279</v>
      </c>
      <c r="B457" s="65" t="s">
        <v>22</v>
      </c>
      <c r="C457" s="66"/>
      <c r="D457" s="67" t="s">
        <v>22</v>
      </c>
      <c r="E457" s="67"/>
      <c r="F457" s="68">
        <f>TRUNC(F459+F461+F462+F463+F464+F465,0)</f>
        <v>0</v>
      </c>
      <c r="G457" s="67"/>
      <c r="H457" s="68">
        <f>TRUNC(H459+H461+H462+H463+H464+H465,0)</f>
        <v>155391397</v>
      </c>
      <c r="I457" s="67"/>
      <c r="J457" s="68">
        <f>TRUNC(J459+J461+J462+J463+J464+J465,0)</f>
        <v>0</v>
      </c>
      <c r="K457" s="68">
        <f t="shared" si="55"/>
        <v>0</v>
      </c>
      <c r="L457" s="68">
        <f t="shared" si="55"/>
        <v>155391397</v>
      </c>
      <c r="M457" s="69"/>
      <c r="N457" s="256"/>
    </row>
    <row r="458" spans="1:15" s="29" customFormat="1" ht="24.95" customHeight="1">
      <c r="A458" s="31" t="s">
        <v>1280</v>
      </c>
      <c r="B458" s="32" t="s">
        <v>22</v>
      </c>
      <c r="C458" s="33"/>
      <c r="D458" s="34" t="s">
        <v>22</v>
      </c>
      <c r="E458" s="34"/>
      <c r="F458" s="36">
        <f>TRUNC(F459,0)</f>
        <v>0</v>
      </c>
      <c r="G458" s="34"/>
      <c r="H458" s="36">
        <f>TRUNC(H459,0)</f>
        <v>747780</v>
      </c>
      <c r="I458" s="34"/>
      <c r="J458" s="36">
        <f>TRUNC(J459,0)</f>
        <v>0</v>
      </c>
      <c r="K458" s="36">
        <f t="shared" si="55"/>
        <v>0</v>
      </c>
      <c r="L458" s="36">
        <f t="shared" si="55"/>
        <v>747780</v>
      </c>
      <c r="M458" s="37"/>
      <c r="N458" s="253"/>
    </row>
    <row r="459" spans="1:15" s="29" customFormat="1" ht="24.95" customHeight="1">
      <c r="A459" s="31" t="s">
        <v>1281</v>
      </c>
      <c r="B459" s="32" t="s">
        <v>1282</v>
      </c>
      <c r="C459" s="261">
        <v>0.98099999999999998</v>
      </c>
      <c r="D459" s="34" t="s">
        <v>1112</v>
      </c>
      <c r="E459" s="36">
        <v>0</v>
      </c>
      <c r="F459" s="36">
        <f>TRUNC(E459*$C459,0)</f>
        <v>0</v>
      </c>
      <c r="G459" s="36">
        <v>762263</v>
      </c>
      <c r="H459" s="36">
        <f>TRUNC(G459*$C459,0)</f>
        <v>747780</v>
      </c>
      <c r="I459" s="36">
        <v>0</v>
      </c>
      <c r="J459" s="36">
        <f>TRUNC(I459*$C459,0)</f>
        <v>0</v>
      </c>
      <c r="K459" s="36">
        <f t="shared" si="55"/>
        <v>762263</v>
      </c>
      <c r="L459" s="36">
        <f t="shared" si="55"/>
        <v>747780</v>
      </c>
      <c r="M459" s="37"/>
      <c r="N459" s="253"/>
      <c r="O459" s="38"/>
    </row>
    <row r="460" spans="1:15" s="29" customFormat="1" ht="24.95" customHeight="1">
      <c r="A460" s="31" t="s">
        <v>1283</v>
      </c>
      <c r="B460" s="32" t="s">
        <v>22</v>
      </c>
      <c r="C460" s="33"/>
      <c r="D460" s="34" t="s">
        <v>22</v>
      </c>
      <c r="E460" s="34"/>
      <c r="F460" s="36">
        <f>TRUNC(F461+F462+F463+F464+F465,0)</f>
        <v>0</v>
      </c>
      <c r="G460" s="34"/>
      <c r="H460" s="36">
        <f>TRUNC(H461+H462+H463+H464+H465,0)</f>
        <v>154643617</v>
      </c>
      <c r="I460" s="34"/>
      <c r="J460" s="36">
        <f>TRUNC(J461+J462+J463+J464+J465,0)</f>
        <v>0</v>
      </c>
      <c r="K460" s="36">
        <f t="shared" si="55"/>
        <v>0</v>
      </c>
      <c r="L460" s="36">
        <f t="shared" si="55"/>
        <v>154643617</v>
      </c>
      <c r="M460" s="37"/>
      <c r="N460" s="253"/>
    </row>
    <row r="461" spans="1:15" s="29" customFormat="1" ht="24.95" customHeight="1">
      <c r="A461" s="31" t="s">
        <v>1284</v>
      </c>
      <c r="B461" s="32" t="s">
        <v>1285</v>
      </c>
      <c r="C461" s="261">
        <v>160.803</v>
      </c>
      <c r="D461" s="34" t="s">
        <v>1112</v>
      </c>
      <c r="E461" s="36">
        <v>0</v>
      </c>
      <c r="F461" s="36">
        <f>TRUNC(E461*$C461,0)</f>
        <v>0</v>
      </c>
      <c r="G461" s="36">
        <v>795586</v>
      </c>
      <c r="H461" s="36">
        <f>TRUNC(G461*$C461,0)</f>
        <v>127932615</v>
      </c>
      <c r="I461" s="36">
        <v>0</v>
      </c>
      <c r="J461" s="36">
        <f>TRUNC(I461*$C461,0)</f>
        <v>0</v>
      </c>
      <c r="K461" s="36">
        <f t="shared" si="55"/>
        <v>795586</v>
      </c>
      <c r="L461" s="36">
        <f t="shared" si="55"/>
        <v>127932615</v>
      </c>
      <c r="M461" s="37"/>
      <c r="N461" s="253"/>
      <c r="O461" s="38"/>
    </row>
    <row r="462" spans="1:15" s="29" customFormat="1" ht="24.95" customHeight="1">
      <c r="A462" s="31" t="s">
        <v>1284</v>
      </c>
      <c r="B462" s="32" t="s">
        <v>1286</v>
      </c>
      <c r="C462" s="261">
        <v>25.95</v>
      </c>
      <c r="D462" s="34" t="s">
        <v>1112</v>
      </c>
      <c r="E462" s="36">
        <v>0</v>
      </c>
      <c r="F462" s="36">
        <f>TRUNC(E462*$C462,0)</f>
        <v>0</v>
      </c>
      <c r="G462" s="36">
        <v>795586</v>
      </c>
      <c r="H462" s="36">
        <f>TRUNC(G462*$C462,0)</f>
        <v>20645456</v>
      </c>
      <c r="I462" s="36">
        <v>0</v>
      </c>
      <c r="J462" s="36">
        <f>TRUNC(I462*$C462,0)</f>
        <v>0</v>
      </c>
      <c r="K462" s="36">
        <f t="shared" si="55"/>
        <v>795586</v>
      </c>
      <c r="L462" s="36">
        <f t="shared" si="55"/>
        <v>20645456</v>
      </c>
      <c r="M462" s="37"/>
      <c r="N462" s="253"/>
      <c r="O462" s="38"/>
    </row>
    <row r="463" spans="1:15" s="29" customFormat="1" ht="24.95" customHeight="1">
      <c r="A463" s="31" t="s">
        <v>1284</v>
      </c>
      <c r="B463" s="32" t="s">
        <v>1287</v>
      </c>
      <c r="C463" s="261">
        <v>3.4239999999999999</v>
      </c>
      <c r="D463" s="34" t="s">
        <v>1112</v>
      </c>
      <c r="E463" s="36">
        <v>0</v>
      </c>
      <c r="F463" s="36">
        <f>TRUNC(E463*$C463,0)</f>
        <v>0</v>
      </c>
      <c r="G463" s="36">
        <v>795586</v>
      </c>
      <c r="H463" s="36">
        <f>TRUNC(G463*$C463,0)</f>
        <v>2724086</v>
      </c>
      <c r="I463" s="36">
        <v>0</v>
      </c>
      <c r="J463" s="36">
        <f>TRUNC(I463*$C463,0)</f>
        <v>0</v>
      </c>
      <c r="K463" s="36">
        <f t="shared" si="55"/>
        <v>795586</v>
      </c>
      <c r="L463" s="36">
        <f t="shared" si="55"/>
        <v>2724086</v>
      </c>
      <c r="M463" s="37"/>
      <c r="N463" s="253"/>
      <c r="O463" s="38"/>
    </row>
    <row r="464" spans="1:15" s="29" customFormat="1" ht="24.95" customHeight="1">
      <c r="A464" s="31" t="s">
        <v>1284</v>
      </c>
      <c r="B464" s="32" t="s">
        <v>1288</v>
      </c>
      <c r="C464" s="261">
        <v>2.351</v>
      </c>
      <c r="D464" s="34" t="s">
        <v>1112</v>
      </c>
      <c r="E464" s="36">
        <v>0</v>
      </c>
      <c r="F464" s="36">
        <f>TRUNC(E464*$C464,0)</f>
        <v>0</v>
      </c>
      <c r="G464" s="36">
        <v>795586</v>
      </c>
      <c r="H464" s="36">
        <f>TRUNC(G464*$C464,0)</f>
        <v>1870422</v>
      </c>
      <c r="I464" s="36">
        <v>0</v>
      </c>
      <c r="J464" s="36">
        <f>TRUNC(I464*$C464,0)</f>
        <v>0</v>
      </c>
      <c r="K464" s="36">
        <f t="shared" si="55"/>
        <v>795586</v>
      </c>
      <c r="L464" s="36">
        <f t="shared" si="55"/>
        <v>1870422</v>
      </c>
      <c r="M464" s="37"/>
      <c r="N464" s="253"/>
      <c r="O464" s="38"/>
    </row>
    <row r="465" spans="1:15" s="29" customFormat="1" ht="24.95" customHeight="1">
      <c r="A465" s="31" t="s">
        <v>1284</v>
      </c>
      <c r="B465" s="32" t="s">
        <v>1289</v>
      </c>
      <c r="C465" s="261">
        <v>1.849</v>
      </c>
      <c r="D465" s="34" t="s">
        <v>1112</v>
      </c>
      <c r="E465" s="36">
        <v>0</v>
      </c>
      <c r="F465" s="36">
        <f>TRUNC(E465*$C465,0)</f>
        <v>0</v>
      </c>
      <c r="G465" s="36">
        <v>795586</v>
      </c>
      <c r="H465" s="36">
        <f>TRUNC(G465*$C465,0)</f>
        <v>1471038</v>
      </c>
      <c r="I465" s="36">
        <v>0</v>
      </c>
      <c r="J465" s="36">
        <f>TRUNC(I465*$C465,0)</f>
        <v>0</v>
      </c>
      <c r="K465" s="36">
        <f t="shared" si="55"/>
        <v>795586</v>
      </c>
      <c r="L465" s="36">
        <f t="shared" si="55"/>
        <v>1471038</v>
      </c>
      <c r="M465" s="37"/>
      <c r="N465" s="253"/>
      <c r="O465" s="38"/>
    </row>
    <row r="466" spans="1:15" s="70" customFormat="1" ht="24.95" customHeight="1">
      <c r="A466" s="64" t="s">
        <v>1290</v>
      </c>
      <c r="B466" s="65" t="s">
        <v>22</v>
      </c>
      <c r="C466" s="66"/>
      <c r="D466" s="67" t="s">
        <v>22</v>
      </c>
      <c r="E466" s="67"/>
      <c r="F466" s="68">
        <f>F467+F490</f>
        <v>0</v>
      </c>
      <c r="G466" s="67"/>
      <c r="H466" s="68">
        <f>H467+H490</f>
        <v>8108215661</v>
      </c>
      <c r="I466" s="67"/>
      <c r="J466" s="68">
        <f>J467+J490</f>
        <v>0</v>
      </c>
      <c r="K466" s="68">
        <f t="shared" si="55"/>
        <v>0</v>
      </c>
      <c r="L466" s="68">
        <f t="shared" si="55"/>
        <v>8108215661</v>
      </c>
      <c r="M466" s="69"/>
      <c r="N466" s="256"/>
    </row>
    <row r="467" spans="1:15" s="29" customFormat="1" ht="24.95" customHeight="1">
      <c r="A467" s="31" t="s">
        <v>1291</v>
      </c>
      <c r="B467" s="32" t="s">
        <v>22</v>
      </c>
      <c r="C467" s="33"/>
      <c r="D467" s="34" t="s">
        <v>22</v>
      </c>
      <c r="E467" s="34"/>
      <c r="F467" s="36">
        <f>TRUNC(F468+F469+F470+F471+F472+F473+F474+F475+F476+F477+F478+F479+F480+F481+F482+F483+F484+F485+F486+F487+F488+F489,0)</f>
        <v>0</v>
      </c>
      <c r="G467" s="34"/>
      <c r="H467" s="36">
        <f>TRUNC(H468+H469+H470+H471+H472+H473+H474+H475+H476+H477+H478+H479+H480+H481+H482+H483+H484+H485+H486+H487+H488+H489,0)</f>
        <v>7223777770</v>
      </c>
      <c r="I467" s="34"/>
      <c r="J467" s="36">
        <f>TRUNC(J468+J469+J470+J471+J472+J473+J474+J475+J476+J477+J478+J479+J480+J481+J482+J483+J484+J485+J486+J487+J488+J489,0)</f>
        <v>0</v>
      </c>
      <c r="K467" s="36">
        <f t="shared" si="55"/>
        <v>0</v>
      </c>
      <c r="L467" s="36">
        <f t="shared" si="55"/>
        <v>7223777770</v>
      </c>
      <c r="M467" s="37"/>
      <c r="N467" s="253"/>
    </row>
    <row r="468" spans="1:15" s="29" customFormat="1" ht="24.95" customHeight="1">
      <c r="A468" s="31" t="s">
        <v>1292</v>
      </c>
      <c r="B468" s="32" t="s">
        <v>1215</v>
      </c>
      <c r="C468" s="33">
        <v>1218</v>
      </c>
      <c r="D468" s="34" t="s">
        <v>116</v>
      </c>
      <c r="E468" s="36">
        <v>0</v>
      </c>
      <c r="F468" s="36">
        <f t="shared" ref="F468:F489" si="59">TRUNC(E468*$C468,0)</f>
        <v>0</v>
      </c>
      <c r="G468" s="36">
        <v>633137</v>
      </c>
      <c r="H468" s="36">
        <f t="shared" ref="H468:H489" si="60">TRUNC(G468*$C468,0)</f>
        <v>771160866</v>
      </c>
      <c r="I468" s="36">
        <v>0</v>
      </c>
      <c r="J468" s="36">
        <f t="shared" ref="J468:J489" si="61">TRUNC(I468*$C468,0)</f>
        <v>0</v>
      </c>
      <c r="K468" s="36">
        <f t="shared" si="55"/>
        <v>633137</v>
      </c>
      <c r="L468" s="36">
        <f t="shared" si="55"/>
        <v>771160866</v>
      </c>
      <c r="M468" s="37"/>
      <c r="N468" s="253"/>
      <c r="O468" s="38"/>
    </row>
    <row r="469" spans="1:15" s="29" customFormat="1" ht="24.95" customHeight="1">
      <c r="A469" s="31" t="s">
        <v>1292</v>
      </c>
      <c r="B469" s="32" t="s">
        <v>1216</v>
      </c>
      <c r="C469" s="33">
        <v>436</v>
      </c>
      <c r="D469" s="34" t="s">
        <v>116</v>
      </c>
      <c r="E469" s="36">
        <v>0</v>
      </c>
      <c r="F469" s="36">
        <f t="shared" si="59"/>
        <v>0</v>
      </c>
      <c r="G469" s="36">
        <v>841405</v>
      </c>
      <c r="H469" s="36">
        <f t="shared" si="60"/>
        <v>366852580</v>
      </c>
      <c r="I469" s="36">
        <v>0</v>
      </c>
      <c r="J469" s="36">
        <f t="shared" si="61"/>
        <v>0</v>
      </c>
      <c r="K469" s="36">
        <f t="shared" si="55"/>
        <v>841405</v>
      </c>
      <c r="L469" s="36">
        <f t="shared" si="55"/>
        <v>366852580</v>
      </c>
      <c r="M469" s="37"/>
      <c r="N469" s="253"/>
      <c r="O469" s="38"/>
    </row>
    <row r="470" spans="1:15" s="29" customFormat="1" ht="24.95" customHeight="1">
      <c r="A470" s="31" t="s">
        <v>1292</v>
      </c>
      <c r="B470" s="32" t="s">
        <v>1217</v>
      </c>
      <c r="C470" s="33">
        <v>322</v>
      </c>
      <c r="D470" s="34" t="s">
        <v>116</v>
      </c>
      <c r="E470" s="36">
        <v>0</v>
      </c>
      <c r="F470" s="36">
        <f t="shared" si="59"/>
        <v>0</v>
      </c>
      <c r="G470" s="36">
        <v>724775</v>
      </c>
      <c r="H470" s="36">
        <f t="shared" si="60"/>
        <v>233377550</v>
      </c>
      <c r="I470" s="36">
        <v>0</v>
      </c>
      <c r="J470" s="36">
        <f t="shared" si="61"/>
        <v>0</v>
      </c>
      <c r="K470" s="36">
        <f t="shared" si="55"/>
        <v>724775</v>
      </c>
      <c r="L470" s="36">
        <f t="shared" si="55"/>
        <v>233377550</v>
      </c>
      <c r="M470" s="37"/>
      <c r="N470" s="253"/>
      <c r="O470" s="38"/>
    </row>
    <row r="471" spans="1:15" s="29" customFormat="1" ht="24.95" customHeight="1">
      <c r="A471" s="31" t="s">
        <v>1292</v>
      </c>
      <c r="B471" s="32" t="s">
        <v>1218</v>
      </c>
      <c r="C471" s="33">
        <v>38</v>
      </c>
      <c r="D471" s="34" t="s">
        <v>116</v>
      </c>
      <c r="E471" s="36">
        <v>0</v>
      </c>
      <c r="F471" s="36">
        <f t="shared" si="59"/>
        <v>0</v>
      </c>
      <c r="G471" s="36">
        <v>928045</v>
      </c>
      <c r="H471" s="36">
        <f t="shared" si="60"/>
        <v>35265710</v>
      </c>
      <c r="I471" s="36">
        <v>0</v>
      </c>
      <c r="J471" s="36">
        <f t="shared" si="61"/>
        <v>0</v>
      </c>
      <c r="K471" s="36">
        <f t="shared" si="55"/>
        <v>928045</v>
      </c>
      <c r="L471" s="36">
        <f t="shared" si="55"/>
        <v>35265710</v>
      </c>
      <c r="M471" s="37"/>
      <c r="N471" s="253"/>
      <c r="O471" s="38"/>
    </row>
    <row r="472" spans="1:15" s="29" customFormat="1" ht="24.95" customHeight="1">
      <c r="A472" s="31" t="s">
        <v>1292</v>
      </c>
      <c r="B472" s="32" t="s">
        <v>1219</v>
      </c>
      <c r="C472" s="33">
        <v>28</v>
      </c>
      <c r="D472" s="34" t="s">
        <v>116</v>
      </c>
      <c r="E472" s="36">
        <v>0</v>
      </c>
      <c r="F472" s="36">
        <f t="shared" si="59"/>
        <v>0</v>
      </c>
      <c r="G472" s="36">
        <v>850569</v>
      </c>
      <c r="H472" s="36">
        <f t="shared" si="60"/>
        <v>23815932</v>
      </c>
      <c r="I472" s="36">
        <v>0</v>
      </c>
      <c r="J472" s="36">
        <f t="shared" si="61"/>
        <v>0</v>
      </c>
      <c r="K472" s="36">
        <f t="shared" si="55"/>
        <v>850569</v>
      </c>
      <c r="L472" s="36">
        <f t="shared" si="55"/>
        <v>23815932</v>
      </c>
      <c r="M472" s="37"/>
      <c r="N472" s="253"/>
      <c r="O472" s="38"/>
    </row>
    <row r="473" spans="1:15" s="29" customFormat="1" ht="24.95" customHeight="1">
      <c r="A473" s="31" t="s">
        <v>1292</v>
      </c>
      <c r="B473" s="32" t="s">
        <v>1220</v>
      </c>
      <c r="C473" s="33">
        <v>28</v>
      </c>
      <c r="D473" s="34" t="s">
        <v>116</v>
      </c>
      <c r="E473" s="36">
        <v>0</v>
      </c>
      <c r="F473" s="36">
        <f t="shared" si="59"/>
        <v>0</v>
      </c>
      <c r="G473" s="36">
        <v>1009686</v>
      </c>
      <c r="H473" s="36">
        <f t="shared" si="60"/>
        <v>28271208</v>
      </c>
      <c r="I473" s="36">
        <v>0</v>
      </c>
      <c r="J473" s="36">
        <f t="shared" si="61"/>
        <v>0</v>
      </c>
      <c r="K473" s="36">
        <f t="shared" si="55"/>
        <v>1009686</v>
      </c>
      <c r="L473" s="36">
        <f t="shared" si="55"/>
        <v>28271208</v>
      </c>
      <c r="M473" s="37"/>
      <c r="N473" s="253"/>
      <c r="O473" s="38"/>
    </row>
    <row r="474" spans="1:15" s="29" customFormat="1" ht="24.95" customHeight="1">
      <c r="A474" s="31" t="s">
        <v>1292</v>
      </c>
      <c r="B474" s="32" t="s">
        <v>1221</v>
      </c>
      <c r="C474" s="33">
        <v>210</v>
      </c>
      <c r="D474" s="34" t="s">
        <v>116</v>
      </c>
      <c r="E474" s="36">
        <v>0</v>
      </c>
      <c r="F474" s="36">
        <f t="shared" si="59"/>
        <v>0</v>
      </c>
      <c r="G474" s="36">
        <v>895555</v>
      </c>
      <c r="H474" s="36">
        <f t="shared" si="60"/>
        <v>188066550</v>
      </c>
      <c r="I474" s="36">
        <v>0</v>
      </c>
      <c r="J474" s="36">
        <f t="shared" si="61"/>
        <v>0</v>
      </c>
      <c r="K474" s="36">
        <f t="shared" si="55"/>
        <v>895555</v>
      </c>
      <c r="L474" s="36">
        <f t="shared" si="55"/>
        <v>188066550</v>
      </c>
      <c r="M474" s="37"/>
      <c r="N474" s="253"/>
      <c r="O474" s="38"/>
    </row>
    <row r="475" spans="1:15" s="29" customFormat="1" ht="24.95" customHeight="1">
      <c r="A475" s="31" t="s">
        <v>1292</v>
      </c>
      <c r="B475" s="32" t="s">
        <v>1222</v>
      </c>
      <c r="C475" s="33">
        <v>16</v>
      </c>
      <c r="D475" s="34" t="s">
        <v>116</v>
      </c>
      <c r="E475" s="36">
        <v>0</v>
      </c>
      <c r="F475" s="36">
        <f t="shared" si="59"/>
        <v>0</v>
      </c>
      <c r="G475" s="36">
        <v>1099659</v>
      </c>
      <c r="H475" s="36">
        <f t="shared" si="60"/>
        <v>17594544</v>
      </c>
      <c r="I475" s="36">
        <v>0</v>
      </c>
      <c r="J475" s="36">
        <f t="shared" si="61"/>
        <v>0</v>
      </c>
      <c r="K475" s="36">
        <f t="shared" si="55"/>
        <v>1099659</v>
      </c>
      <c r="L475" s="36">
        <f t="shared" si="55"/>
        <v>17594544</v>
      </c>
      <c r="M475" s="37"/>
      <c r="N475" s="253"/>
      <c r="O475" s="38"/>
    </row>
    <row r="476" spans="1:15" s="29" customFormat="1" ht="24.95" customHeight="1">
      <c r="A476" s="31" t="s">
        <v>1292</v>
      </c>
      <c r="B476" s="32" t="s">
        <v>1223</v>
      </c>
      <c r="C476" s="33">
        <v>1264</v>
      </c>
      <c r="D476" s="34" t="s">
        <v>116</v>
      </c>
      <c r="E476" s="36">
        <v>0</v>
      </c>
      <c r="F476" s="36">
        <f t="shared" si="59"/>
        <v>0</v>
      </c>
      <c r="G476" s="36">
        <v>1050507</v>
      </c>
      <c r="H476" s="36">
        <f t="shared" si="60"/>
        <v>1327840848</v>
      </c>
      <c r="I476" s="36">
        <v>0</v>
      </c>
      <c r="J476" s="36">
        <f t="shared" si="61"/>
        <v>0</v>
      </c>
      <c r="K476" s="36">
        <f t="shared" si="55"/>
        <v>1050507</v>
      </c>
      <c r="L476" s="36">
        <f t="shared" si="55"/>
        <v>1327840848</v>
      </c>
      <c r="M476" s="37"/>
      <c r="N476" s="253"/>
      <c r="O476" s="38"/>
    </row>
    <row r="477" spans="1:15" s="29" customFormat="1" ht="24.95" customHeight="1">
      <c r="A477" s="31" t="s">
        <v>1292</v>
      </c>
      <c r="B477" s="32" t="s">
        <v>1224</v>
      </c>
      <c r="C477" s="33">
        <v>173</v>
      </c>
      <c r="D477" s="34" t="s">
        <v>116</v>
      </c>
      <c r="E477" s="36">
        <v>0</v>
      </c>
      <c r="F477" s="36">
        <f t="shared" si="59"/>
        <v>0</v>
      </c>
      <c r="G477" s="36">
        <v>1322090</v>
      </c>
      <c r="H477" s="36">
        <f t="shared" si="60"/>
        <v>228721570</v>
      </c>
      <c r="I477" s="36">
        <v>0</v>
      </c>
      <c r="J477" s="36">
        <f t="shared" si="61"/>
        <v>0</v>
      </c>
      <c r="K477" s="36">
        <f t="shared" si="55"/>
        <v>1322090</v>
      </c>
      <c r="L477" s="36">
        <f t="shared" si="55"/>
        <v>228721570</v>
      </c>
      <c r="M477" s="37"/>
      <c r="N477" s="253"/>
      <c r="O477" s="38"/>
    </row>
    <row r="478" spans="1:15" s="29" customFormat="1" ht="24.95" customHeight="1">
      <c r="A478" s="31" t="s">
        <v>1292</v>
      </c>
      <c r="B478" s="32" t="s">
        <v>1225</v>
      </c>
      <c r="C478" s="33">
        <v>836</v>
      </c>
      <c r="D478" s="34" t="s">
        <v>116</v>
      </c>
      <c r="E478" s="36">
        <v>0</v>
      </c>
      <c r="F478" s="36">
        <f t="shared" si="59"/>
        <v>0</v>
      </c>
      <c r="G478" s="36">
        <v>1350414</v>
      </c>
      <c r="H478" s="36">
        <f t="shared" si="60"/>
        <v>1128946104</v>
      </c>
      <c r="I478" s="36">
        <v>0</v>
      </c>
      <c r="J478" s="36">
        <f t="shared" si="61"/>
        <v>0</v>
      </c>
      <c r="K478" s="36">
        <f t="shared" si="55"/>
        <v>1350414</v>
      </c>
      <c r="L478" s="36">
        <f t="shared" si="55"/>
        <v>1128946104</v>
      </c>
      <c r="M478" s="37"/>
      <c r="N478" s="253"/>
      <c r="O478" s="38"/>
    </row>
    <row r="479" spans="1:15" s="29" customFormat="1" ht="24.95" customHeight="1">
      <c r="A479" s="31" t="s">
        <v>1292</v>
      </c>
      <c r="B479" s="32" t="s">
        <v>1226</v>
      </c>
      <c r="C479" s="33">
        <v>2</v>
      </c>
      <c r="D479" s="34" t="s">
        <v>116</v>
      </c>
      <c r="E479" s="36">
        <v>0</v>
      </c>
      <c r="F479" s="36">
        <f t="shared" si="59"/>
        <v>0</v>
      </c>
      <c r="G479" s="36">
        <v>1715301</v>
      </c>
      <c r="H479" s="36">
        <f t="shared" si="60"/>
        <v>3430602</v>
      </c>
      <c r="I479" s="36">
        <v>0</v>
      </c>
      <c r="J479" s="36">
        <f t="shared" si="61"/>
        <v>0</v>
      </c>
      <c r="K479" s="36">
        <f t="shared" si="55"/>
        <v>1715301</v>
      </c>
      <c r="L479" s="36">
        <f t="shared" si="55"/>
        <v>3430602</v>
      </c>
      <c r="M479" s="37"/>
      <c r="N479" s="253"/>
      <c r="O479" s="38"/>
    </row>
    <row r="480" spans="1:15" s="29" customFormat="1" ht="24.95" customHeight="1">
      <c r="A480" s="31" t="s">
        <v>1292</v>
      </c>
      <c r="B480" s="32" t="s">
        <v>1227</v>
      </c>
      <c r="C480" s="33">
        <v>472</v>
      </c>
      <c r="D480" s="34" t="s">
        <v>116</v>
      </c>
      <c r="E480" s="36">
        <v>0</v>
      </c>
      <c r="F480" s="36">
        <f t="shared" si="59"/>
        <v>0</v>
      </c>
      <c r="G480" s="36">
        <v>1544521</v>
      </c>
      <c r="H480" s="36">
        <f t="shared" si="60"/>
        <v>729013912</v>
      </c>
      <c r="I480" s="36">
        <v>0</v>
      </c>
      <c r="J480" s="36">
        <f t="shared" si="61"/>
        <v>0</v>
      </c>
      <c r="K480" s="36">
        <f t="shared" si="55"/>
        <v>1544521</v>
      </c>
      <c r="L480" s="36">
        <f t="shared" si="55"/>
        <v>729013912</v>
      </c>
      <c r="M480" s="37"/>
      <c r="N480" s="253"/>
      <c r="O480" s="38"/>
    </row>
    <row r="481" spans="1:15" s="29" customFormat="1" ht="24.95" customHeight="1">
      <c r="A481" s="31" t="s">
        <v>1292</v>
      </c>
      <c r="B481" s="32" t="s">
        <v>1228</v>
      </c>
      <c r="C481" s="33">
        <v>35</v>
      </c>
      <c r="D481" s="34" t="s">
        <v>116</v>
      </c>
      <c r="E481" s="36">
        <v>0</v>
      </c>
      <c r="F481" s="36">
        <f t="shared" si="59"/>
        <v>0</v>
      </c>
      <c r="G481" s="36">
        <v>1971888</v>
      </c>
      <c r="H481" s="36">
        <f t="shared" si="60"/>
        <v>69016080</v>
      </c>
      <c r="I481" s="36">
        <v>0</v>
      </c>
      <c r="J481" s="36">
        <f t="shared" si="61"/>
        <v>0</v>
      </c>
      <c r="K481" s="36">
        <f t="shared" si="55"/>
        <v>1971888</v>
      </c>
      <c r="L481" s="36">
        <f t="shared" si="55"/>
        <v>69016080</v>
      </c>
      <c r="M481" s="37"/>
      <c r="N481" s="253"/>
      <c r="O481" s="38"/>
    </row>
    <row r="482" spans="1:15" s="29" customFormat="1" ht="24.95" customHeight="1">
      <c r="A482" s="31" t="s">
        <v>1292</v>
      </c>
      <c r="B482" s="32" t="s">
        <v>1229</v>
      </c>
      <c r="C482" s="33">
        <v>137</v>
      </c>
      <c r="D482" s="34" t="s">
        <v>116</v>
      </c>
      <c r="E482" s="36">
        <v>0</v>
      </c>
      <c r="F482" s="36">
        <f t="shared" si="59"/>
        <v>0</v>
      </c>
      <c r="G482" s="36">
        <v>1941064</v>
      </c>
      <c r="H482" s="36">
        <f t="shared" si="60"/>
        <v>265925768</v>
      </c>
      <c r="I482" s="36">
        <v>0</v>
      </c>
      <c r="J482" s="36">
        <f t="shared" si="61"/>
        <v>0</v>
      </c>
      <c r="K482" s="36">
        <f t="shared" si="55"/>
        <v>1941064</v>
      </c>
      <c r="L482" s="36">
        <f t="shared" si="55"/>
        <v>265925768</v>
      </c>
      <c r="M482" s="37"/>
      <c r="N482" s="253"/>
      <c r="O482" s="38"/>
    </row>
    <row r="483" spans="1:15" s="29" customFormat="1" ht="24.95" customHeight="1">
      <c r="A483" s="31" t="s">
        <v>1292</v>
      </c>
      <c r="B483" s="32" t="s">
        <v>1293</v>
      </c>
      <c r="C483" s="33">
        <v>4</v>
      </c>
      <c r="D483" s="34" t="s">
        <v>116</v>
      </c>
      <c r="E483" s="36">
        <v>0</v>
      </c>
      <c r="F483" s="36">
        <f t="shared" si="59"/>
        <v>0</v>
      </c>
      <c r="G483" s="36">
        <v>2414251</v>
      </c>
      <c r="H483" s="36">
        <f t="shared" si="60"/>
        <v>9657004</v>
      </c>
      <c r="I483" s="36">
        <v>0</v>
      </c>
      <c r="J483" s="36">
        <f t="shared" si="61"/>
        <v>0</v>
      </c>
      <c r="K483" s="36">
        <f t="shared" si="55"/>
        <v>2414251</v>
      </c>
      <c r="L483" s="36">
        <f t="shared" si="55"/>
        <v>9657004</v>
      </c>
      <c r="M483" s="37"/>
      <c r="N483" s="253"/>
      <c r="O483" s="38"/>
    </row>
    <row r="484" spans="1:15" s="29" customFormat="1" ht="24.95" customHeight="1">
      <c r="A484" s="31" t="s">
        <v>1292</v>
      </c>
      <c r="B484" s="32" t="s">
        <v>1231</v>
      </c>
      <c r="C484" s="33">
        <v>12</v>
      </c>
      <c r="D484" s="34" t="s">
        <v>116</v>
      </c>
      <c r="E484" s="36">
        <v>0</v>
      </c>
      <c r="F484" s="36">
        <f t="shared" si="59"/>
        <v>0</v>
      </c>
      <c r="G484" s="36">
        <v>4790181</v>
      </c>
      <c r="H484" s="36">
        <f t="shared" si="60"/>
        <v>57482172</v>
      </c>
      <c r="I484" s="36">
        <v>0</v>
      </c>
      <c r="J484" s="36">
        <f t="shared" si="61"/>
        <v>0</v>
      </c>
      <c r="K484" s="36">
        <f t="shared" si="55"/>
        <v>4790181</v>
      </c>
      <c r="L484" s="36">
        <f t="shared" si="55"/>
        <v>57482172</v>
      </c>
      <c r="M484" s="37"/>
      <c r="N484" s="253"/>
      <c r="O484" s="38"/>
    </row>
    <row r="485" spans="1:15" s="29" customFormat="1" ht="24.95" customHeight="1">
      <c r="A485" s="31" t="s">
        <v>1292</v>
      </c>
      <c r="B485" s="32" t="s">
        <v>1232</v>
      </c>
      <c r="C485" s="33">
        <v>19</v>
      </c>
      <c r="D485" s="34" t="s">
        <v>116</v>
      </c>
      <c r="E485" s="36">
        <v>0</v>
      </c>
      <c r="F485" s="36">
        <f t="shared" si="59"/>
        <v>0</v>
      </c>
      <c r="G485" s="36">
        <v>5065096</v>
      </c>
      <c r="H485" s="36">
        <f t="shared" si="60"/>
        <v>96236824</v>
      </c>
      <c r="I485" s="36">
        <v>0</v>
      </c>
      <c r="J485" s="36">
        <f t="shared" si="61"/>
        <v>0</v>
      </c>
      <c r="K485" s="36">
        <f t="shared" si="55"/>
        <v>5065096</v>
      </c>
      <c r="L485" s="36">
        <f t="shared" si="55"/>
        <v>96236824</v>
      </c>
      <c r="M485" s="37"/>
      <c r="N485" s="253"/>
      <c r="O485" s="38"/>
    </row>
    <row r="486" spans="1:15" s="29" customFormat="1" ht="24.95" customHeight="1">
      <c r="A486" s="31" t="s">
        <v>1292</v>
      </c>
      <c r="B486" s="32" t="s">
        <v>1233</v>
      </c>
      <c r="C486" s="33">
        <v>257</v>
      </c>
      <c r="D486" s="34" t="s">
        <v>116</v>
      </c>
      <c r="E486" s="36">
        <v>0</v>
      </c>
      <c r="F486" s="36">
        <f t="shared" si="59"/>
        <v>0</v>
      </c>
      <c r="G486" s="36">
        <v>3157354</v>
      </c>
      <c r="H486" s="36">
        <f t="shared" si="60"/>
        <v>811439978</v>
      </c>
      <c r="I486" s="36">
        <v>0</v>
      </c>
      <c r="J486" s="36">
        <f t="shared" si="61"/>
        <v>0</v>
      </c>
      <c r="K486" s="36">
        <f t="shared" si="55"/>
        <v>3157354</v>
      </c>
      <c r="L486" s="36">
        <f t="shared" si="55"/>
        <v>811439978</v>
      </c>
      <c r="M486" s="37"/>
      <c r="N486" s="253"/>
      <c r="O486" s="38"/>
    </row>
    <row r="487" spans="1:15" s="29" customFormat="1" ht="24.95" customHeight="1">
      <c r="A487" s="31" t="s">
        <v>1292</v>
      </c>
      <c r="B487" s="32" t="s">
        <v>1234</v>
      </c>
      <c r="C487" s="33">
        <v>27</v>
      </c>
      <c r="D487" s="34" t="s">
        <v>116</v>
      </c>
      <c r="E487" s="36">
        <v>0</v>
      </c>
      <c r="F487" s="36">
        <f t="shared" si="59"/>
        <v>0</v>
      </c>
      <c r="G487" s="36">
        <v>3679692</v>
      </c>
      <c r="H487" s="36">
        <f t="shared" si="60"/>
        <v>99351684</v>
      </c>
      <c r="I487" s="36">
        <v>0</v>
      </c>
      <c r="J487" s="36">
        <f t="shared" si="61"/>
        <v>0</v>
      </c>
      <c r="K487" s="36">
        <f t="shared" si="55"/>
        <v>3679692</v>
      </c>
      <c r="L487" s="36">
        <f t="shared" si="55"/>
        <v>99351684</v>
      </c>
      <c r="M487" s="37"/>
      <c r="N487" s="253"/>
      <c r="O487" s="38"/>
    </row>
    <row r="488" spans="1:15" s="29" customFormat="1" ht="24.95" customHeight="1">
      <c r="A488" s="31" t="s">
        <v>1292</v>
      </c>
      <c r="B488" s="32" t="s">
        <v>1235</v>
      </c>
      <c r="C488" s="33">
        <v>87</v>
      </c>
      <c r="D488" s="34" t="s">
        <v>116</v>
      </c>
      <c r="E488" s="36">
        <v>0</v>
      </c>
      <c r="F488" s="36">
        <f t="shared" si="59"/>
        <v>0</v>
      </c>
      <c r="G488" s="36">
        <v>3704684</v>
      </c>
      <c r="H488" s="36">
        <f t="shared" si="60"/>
        <v>322307508</v>
      </c>
      <c r="I488" s="36">
        <v>0</v>
      </c>
      <c r="J488" s="36">
        <f t="shared" si="61"/>
        <v>0</v>
      </c>
      <c r="K488" s="36">
        <f t="shared" si="55"/>
        <v>3704684</v>
      </c>
      <c r="L488" s="36">
        <f t="shared" si="55"/>
        <v>322307508</v>
      </c>
      <c r="M488" s="37"/>
      <c r="N488" s="253"/>
      <c r="O488" s="38"/>
    </row>
    <row r="489" spans="1:15" s="29" customFormat="1" ht="24.95" customHeight="1">
      <c r="A489" s="31" t="s">
        <v>1292</v>
      </c>
      <c r="B489" s="32" t="s">
        <v>1236</v>
      </c>
      <c r="C489" s="33">
        <v>93</v>
      </c>
      <c r="D489" s="34" t="s">
        <v>116</v>
      </c>
      <c r="E489" s="36">
        <v>0</v>
      </c>
      <c r="F489" s="36">
        <f t="shared" si="59"/>
        <v>0</v>
      </c>
      <c r="G489" s="36">
        <v>4408632</v>
      </c>
      <c r="H489" s="36">
        <f t="shared" si="60"/>
        <v>410002776</v>
      </c>
      <c r="I489" s="36">
        <v>0</v>
      </c>
      <c r="J489" s="36">
        <f t="shared" si="61"/>
        <v>0</v>
      </c>
      <c r="K489" s="36">
        <f t="shared" si="55"/>
        <v>4408632</v>
      </c>
      <c r="L489" s="36">
        <f t="shared" si="55"/>
        <v>410002776</v>
      </c>
      <c r="M489" s="37"/>
      <c r="N489" s="253"/>
      <c r="O489" s="38"/>
    </row>
    <row r="490" spans="1:15" s="29" customFormat="1" ht="24.95" customHeight="1">
      <c r="A490" s="31" t="s">
        <v>1294</v>
      </c>
      <c r="B490" s="32" t="s">
        <v>22</v>
      </c>
      <c r="C490" s="33"/>
      <c r="D490" s="34" t="s">
        <v>22</v>
      </c>
      <c r="E490" s="34"/>
      <c r="F490" s="36">
        <f>TRUNC(F491+F492+F493+F494+F495+F496+F497+F498+F499+F500+F501+F502+F503+F504,0)</f>
        <v>0</v>
      </c>
      <c r="G490" s="34"/>
      <c r="H490" s="36">
        <f>TRUNC(H491+H492+H493+H494+H495+H496+H497+H498+H499+H500+H501+H502+H503+H504,0)</f>
        <v>884437891</v>
      </c>
      <c r="I490" s="34"/>
      <c r="J490" s="36">
        <f>TRUNC(J491+J492+J493+J494+J495+J496+J497+J498+J499+J500+J501+J502+J503+J504,0)</f>
        <v>0</v>
      </c>
      <c r="K490" s="36">
        <f t="shared" si="55"/>
        <v>0</v>
      </c>
      <c r="L490" s="36">
        <f t="shared" si="55"/>
        <v>884437891</v>
      </c>
      <c r="M490" s="37"/>
      <c r="N490" s="253"/>
    </row>
    <row r="491" spans="1:15" s="29" customFormat="1" ht="24.95" customHeight="1">
      <c r="A491" s="31" t="s">
        <v>1292</v>
      </c>
      <c r="B491" s="32" t="s">
        <v>1238</v>
      </c>
      <c r="C491" s="33">
        <v>56</v>
      </c>
      <c r="D491" s="34" t="s">
        <v>116</v>
      </c>
      <c r="E491" s="36">
        <v>0</v>
      </c>
      <c r="F491" s="36">
        <f t="shared" ref="F491:F504" si="62">TRUNC(E491*$C491,0)</f>
        <v>0</v>
      </c>
      <c r="G491" s="36">
        <v>850569</v>
      </c>
      <c r="H491" s="36">
        <f t="shared" ref="H491:H504" si="63">TRUNC(G491*$C491,0)</f>
        <v>47631864</v>
      </c>
      <c r="I491" s="36">
        <v>0</v>
      </c>
      <c r="J491" s="36">
        <f t="shared" ref="J491:J504" si="64">TRUNC(I491*$C491,0)</f>
        <v>0</v>
      </c>
      <c r="K491" s="36">
        <f t="shared" si="55"/>
        <v>850569</v>
      </c>
      <c r="L491" s="36">
        <f t="shared" si="55"/>
        <v>47631864</v>
      </c>
      <c r="M491" s="37"/>
      <c r="N491" s="253"/>
      <c r="O491" s="38"/>
    </row>
    <row r="492" spans="1:15" s="29" customFormat="1" ht="24.95" customHeight="1">
      <c r="A492" s="31" t="s">
        <v>1292</v>
      </c>
      <c r="B492" s="32" t="s">
        <v>1239</v>
      </c>
      <c r="C492" s="33">
        <v>76</v>
      </c>
      <c r="D492" s="34" t="s">
        <v>116</v>
      </c>
      <c r="E492" s="36">
        <v>0</v>
      </c>
      <c r="F492" s="36">
        <f t="shared" si="62"/>
        <v>0</v>
      </c>
      <c r="G492" s="36">
        <v>1009686</v>
      </c>
      <c r="H492" s="36">
        <f t="shared" si="63"/>
        <v>76736136</v>
      </c>
      <c r="I492" s="36">
        <v>0</v>
      </c>
      <c r="J492" s="36">
        <f t="shared" si="64"/>
        <v>0</v>
      </c>
      <c r="K492" s="36">
        <f t="shared" si="55"/>
        <v>1009686</v>
      </c>
      <c r="L492" s="36">
        <f t="shared" si="55"/>
        <v>76736136</v>
      </c>
      <c r="M492" s="37"/>
      <c r="N492" s="253"/>
      <c r="O492" s="38"/>
    </row>
    <row r="493" spans="1:15" s="29" customFormat="1" ht="24.95" customHeight="1">
      <c r="A493" s="31" t="s">
        <v>1292</v>
      </c>
      <c r="B493" s="32" t="s">
        <v>1240</v>
      </c>
      <c r="C493" s="33">
        <v>44</v>
      </c>
      <c r="D493" s="34" t="s">
        <v>116</v>
      </c>
      <c r="E493" s="36">
        <v>0</v>
      </c>
      <c r="F493" s="36">
        <f t="shared" si="62"/>
        <v>0</v>
      </c>
      <c r="G493" s="36">
        <v>1018017</v>
      </c>
      <c r="H493" s="36">
        <f t="shared" si="63"/>
        <v>44792748</v>
      </c>
      <c r="I493" s="36">
        <v>0</v>
      </c>
      <c r="J493" s="36">
        <f t="shared" si="64"/>
        <v>0</v>
      </c>
      <c r="K493" s="36">
        <f t="shared" si="55"/>
        <v>1018017</v>
      </c>
      <c r="L493" s="36">
        <f t="shared" si="55"/>
        <v>44792748</v>
      </c>
      <c r="M493" s="37"/>
      <c r="N493" s="253"/>
      <c r="O493" s="38"/>
    </row>
    <row r="494" spans="1:15" s="29" customFormat="1" ht="24.95" customHeight="1">
      <c r="A494" s="31" t="s">
        <v>1292</v>
      </c>
      <c r="B494" s="32" t="s">
        <v>1241</v>
      </c>
      <c r="C494" s="33">
        <v>16</v>
      </c>
      <c r="D494" s="34" t="s">
        <v>116</v>
      </c>
      <c r="E494" s="36">
        <v>0</v>
      </c>
      <c r="F494" s="36">
        <f t="shared" si="62"/>
        <v>0</v>
      </c>
      <c r="G494" s="36">
        <v>1397899</v>
      </c>
      <c r="H494" s="36">
        <f t="shared" si="63"/>
        <v>22366384</v>
      </c>
      <c r="I494" s="36">
        <v>0</v>
      </c>
      <c r="J494" s="36">
        <f t="shared" si="64"/>
        <v>0</v>
      </c>
      <c r="K494" s="36">
        <f t="shared" si="55"/>
        <v>1397899</v>
      </c>
      <c r="L494" s="36">
        <f t="shared" si="55"/>
        <v>22366384</v>
      </c>
      <c r="M494" s="37"/>
      <c r="N494" s="253"/>
      <c r="O494" s="38"/>
    </row>
    <row r="495" spans="1:15" s="29" customFormat="1" ht="24.95" customHeight="1">
      <c r="A495" s="31" t="s">
        <v>1292</v>
      </c>
      <c r="B495" s="32" t="s">
        <v>1242</v>
      </c>
      <c r="C495" s="33">
        <v>10</v>
      </c>
      <c r="D495" s="34" t="s">
        <v>116</v>
      </c>
      <c r="E495" s="36">
        <v>0</v>
      </c>
      <c r="F495" s="36">
        <f t="shared" si="62"/>
        <v>0</v>
      </c>
      <c r="G495" s="36">
        <v>1050507</v>
      </c>
      <c r="H495" s="36">
        <f t="shared" si="63"/>
        <v>10505070</v>
      </c>
      <c r="I495" s="36">
        <v>0</v>
      </c>
      <c r="J495" s="36">
        <f t="shared" si="64"/>
        <v>0</v>
      </c>
      <c r="K495" s="36">
        <f t="shared" si="55"/>
        <v>1050507</v>
      </c>
      <c r="L495" s="36">
        <f t="shared" si="55"/>
        <v>10505070</v>
      </c>
      <c r="M495" s="37"/>
      <c r="N495" s="253"/>
      <c r="O495" s="38"/>
    </row>
    <row r="496" spans="1:15" s="29" customFormat="1" ht="24.95" customHeight="1">
      <c r="A496" s="31" t="s">
        <v>1292</v>
      </c>
      <c r="B496" s="32" t="s">
        <v>1243</v>
      </c>
      <c r="C496" s="33">
        <v>12</v>
      </c>
      <c r="D496" s="34" t="s">
        <v>116</v>
      </c>
      <c r="E496" s="36">
        <v>0</v>
      </c>
      <c r="F496" s="36">
        <f t="shared" si="62"/>
        <v>0</v>
      </c>
      <c r="G496" s="36">
        <v>1322090</v>
      </c>
      <c r="H496" s="36">
        <f t="shared" si="63"/>
        <v>15865080</v>
      </c>
      <c r="I496" s="36">
        <v>0</v>
      </c>
      <c r="J496" s="36">
        <f t="shared" si="64"/>
        <v>0</v>
      </c>
      <c r="K496" s="36">
        <f t="shared" si="55"/>
        <v>1322090</v>
      </c>
      <c r="L496" s="36">
        <f t="shared" si="55"/>
        <v>15865080</v>
      </c>
      <c r="M496" s="37"/>
      <c r="N496" s="253"/>
      <c r="O496" s="38"/>
    </row>
    <row r="497" spans="1:15" s="29" customFormat="1" ht="24.95" customHeight="1">
      <c r="A497" s="31" t="s">
        <v>1292</v>
      </c>
      <c r="B497" s="32" t="s">
        <v>1244</v>
      </c>
      <c r="C497" s="33">
        <v>70</v>
      </c>
      <c r="D497" s="34" t="s">
        <v>116</v>
      </c>
      <c r="E497" s="36">
        <v>0</v>
      </c>
      <c r="F497" s="36">
        <f t="shared" si="62"/>
        <v>0</v>
      </c>
      <c r="G497" s="36">
        <v>1330420</v>
      </c>
      <c r="H497" s="36">
        <f t="shared" si="63"/>
        <v>93129400</v>
      </c>
      <c r="I497" s="36">
        <v>0</v>
      </c>
      <c r="J497" s="36">
        <f t="shared" si="64"/>
        <v>0</v>
      </c>
      <c r="K497" s="36">
        <f t="shared" si="55"/>
        <v>1330420</v>
      </c>
      <c r="L497" s="36">
        <f t="shared" si="55"/>
        <v>93129400</v>
      </c>
      <c r="M497" s="37"/>
      <c r="N497" s="253"/>
      <c r="O497" s="38"/>
    </row>
    <row r="498" spans="1:15" s="29" customFormat="1" ht="24.95" customHeight="1">
      <c r="A498" s="31" t="s">
        <v>1292</v>
      </c>
      <c r="B498" s="32" t="s">
        <v>1245</v>
      </c>
      <c r="C498" s="33">
        <v>70</v>
      </c>
      <c r="D498" s="34" t="s">
        <v>116</v>
      </c>
      <c r="E498" s="36">
        <v>0</v>
      </c>
      <c r="F498" s="36">
        <f t="shared" si="62"/>
        <v>0</v>
      </c>
      <c r="G498" s="36">
        <v>1686976</v>
      </c>
      <c r="H498" s="36">
        <f t="shared" si="63"/>
        <v>118088320</v>
      </c>
      <c r="I498" s="36">
        <v>0</v>
      </c>
      <c r="J498" s="36">
        <f t="shared" si="64"/>
        <v>0</v>
      </c>
      <c r="K498" s="36">
        <f t="shared" si="55"/>
        <v>1686976</v>
      </c>
      <c r="L498" s="36">
        <f t="shared" si="55"/>
        <v>118088320</v>
      </c>
      <c r="M498" s="37"/>
      <c r="N498" s="253"/>
      <c r="O498" s="38"/>
    </row>
    <row r="499" spans="1:15" s="29" customFormat="1" ht="24.95" customHeight="1">
      <c r="A499" s="31" t="s">
        <v>1292</v>
      </c>
      <c r="B499" s="32" t="s">
        <v>1246</v>
      </c>
      <c r="C499" s="33">
        <v>54</v>
      </c>
      <c r="D499" s="34" t="s">
        <v>116</v>
      </c>
      <c r="E499" s="36">
        <v>0</v>
      </c>
      <c r="F499" s="36">
        <f t="shared" si="62"/>
        <v>0</v>
      </c>
      <c r="G499" s="36">
        <v>1544521</v>
      </c>
      <c r="H499" s="36">
        <f t="shared" si="63"/>
        <v>83404134</v>
      </c>
      <c r="I499" s="36">
        <v>0</v>
      </c>
      <c r="J499" s="36">
        <f t="shared" si="64"/>
        <v>0</v>
      </c>
      <c r="K499" s="36">
        <f t="shared" si="55"/>
        <v>1544521</v>
      </c>
      <c r="L499" s="36">
        <f t="shared" si="55"/>
        <v>83404134</v>
      </c>
      <c r="M499" s="37"/>
      <c r="N499" s="253"/>
      <c r="O499" s="38"/>
    </row>
    <row r="500" spans="1:15" s="29" customFormat="1" ht="24.95" customHeight="1">
      <c r="A500" s="31" t="s">
        <v>1292</v>
      </c>
      <c r="B500" s="32" t="s">
        <v>1247</v>
      </c>
      <c r="C500" s="33">
        <v>48</v>
      </c>
      <c r="D500" s="34" t="s">
        <v>116</v>
      </c>
      <c r="E500" s="36">
        <v>0</v>
      </c>
      <c r="F500" s="36">
        <f t="shared" si="62"/>
        <v>0</v>
      </c>
      <c r="G500" s="36">
        <v>1886914</v>
      </c>
      <c r="H500" s="36">
        <f t="shared" si="63"/>
        <v>90571872</v>
      </c>
      <c r="I500" s="36">
        <v>0</v>
      </c>
      <c r="J500" s="36">
        <f t="shared" si="64"/>
        <v>0</v>
      </c>
      <c r="K500" s="36">
        <f t="shared" si="55"/>
        <v>1886914</v>
      </c>
      <c r="L500" s="36">
        <f t="shared" si="55"/>
        <v>90571872</v>
      </c>
      <c r="M500" s="37"/>
      <c r="N500" s="253"/>
      <c r="O500" s="38"/>
    </row>
    <row r="501" spans="1:15" s="29" customFormat="1" ht="24.95" customHeight="1">
      <c r="A501" s="31" t="s">
        <v>1292</v>
      </c>
      <c r="B501" s="32" t="s">
        <v>1248</v>
      </c>
      <c r="C501" s="33">
        <v>16</v>
      </c>
      <c r="D501" s="34" t="s">
        <v>116</v>
      </c>
      <c r="E501" s="36">
        <v>0</v>
      </c>
      <c r="F501" s="36">
        <f t="shared" si="62"/>
        <v>0</v>
      </c>
      <c r="G501" s="36">
        <v>2270962</v>
      </c>
      <c r="H501" s="36">
        <f t="shared" si="63"/>
        <v>36335392</v>
      </c>
      <c r="I501" s="36">
        <v>0</v>
      </c>
      <c r="J501" s="36">
        <f t="shared" si="64"/>
        <v>0</v>
      </c>
      <c r="K501" s="36">
        <f t="shared" si="55"/>
        <v>2270962</v>
      </c>
      <c r="L501" s="36">
        <f t="shared" si="55"/>
        <v>36335392</v>
      </c>
      <c r="M501" s="37"/>
      <c r="N501" s="253"/>
      <c r="O501" s="38"/>
    </row>
    <row r="502" spans="1:15" s="29" customFormat="1" ht="24.95" customHeight="1">
      <c r="A502" s="31" t="s">
        <v>1292</v>
      </c>
      <c r="B502" s="32" t="s">
        <v>1249</v>
      </c>
      <c r="C502" s="33">
        <v>20</v>
      </c>
      <c r="D502" s="34" t="s">
        <v>116</v>
      </c>
      <c r="E502" s="36">
        <v>0</v>
      </c>
      <c r="F502" s="36">
        <f t="shared" si="62"/>
        <v>0</v>
      </c>
      <c r="G502" s="36">
        <v>2002712</v>
      </c>
      <c r="H502" s="36">
        <f t="shared" si="63"/>
        <v>40054240</v>
      </c>
      <c r="I502" s="36">
        <v>0</v>
      </c>
      <c r="J502" s="36">
        <f t="shared" si="64"/>
        <v>0</v>
      </c>
      <c r="K502" s="36">
        <f t="shared" si="55"/>
        <v>2002712</v>
      </c>
      <c r="L502" s="36">
        <f t="shared" si="55"/>
        <v>40054240</v>
      </c>
      <c r="M502" s="37"/>
      <c r="N502" s="253"/>
      <c r="O502" s="38"/>
    </row>
    <row r="503" spans="1:15" s="29" customFormat="1" ht="24.95" customHeight="1">
      <c r="A503" s="31" t="s">
        <v>1292</v>
      </c>
      <c r="B503" s="32" t="s">
        <v>1250</v>
      </c>
      <c r="C503" s="33">
        <v>7</v>
      </c>
      <c r="D503" s="34" t="s">
        <v>116</v>
      </c>
      <c r="E503" s="36">
        <v>0</v>
      </c>
      <c r="F503" s="36">
        <f t="shared" si="62"/>
        <v>0</v>
      </c>
      <c r="G503" s="36">
        <v>3704684</v>
      </c>
      <c r="H503" s="36">
        <f t="shared" si="63"/>
        <v>25932788</v>
      </c>
      <c r="I503" s="36">
        <v>0</v>
      </c>
      <c r="J503" s="36">
        <f t="shared" si="64"/>
        <v>0</v>
      </c>
      <c r="K503" s="36">
        <f t="shared" si="55"/>
        <v>3704684</v>
      </c>
      <c r="L503" s="36">
        <f t="shared" si="55"/>
        <v>25932788</v>
      </c>
      <c r="M503" s="37"/>
      <c r="N503" s="253"/>
      <c r="O503" s="38"/>
    </row>
    <row r="504" spans="1:15" s="29" customFormat="1" ht="24.95" customHeight="1">
      <c r="A504" s="31" t="s">
        <v>1292</v>
      </c>
      <c r="B504" s="32" t="s">
        <v>1251</v>
      </c>
      <c r="C504" s="33">
        <v>37</v>
      </c>
      <c r="D504" s="34" t="s">
        <v>116</v>
      </c>
      <c r="E504" s="36">
        <v>0</v>
      </c>
      <c r="F504" s="36">
        <f t="shared" si="62"/>
        <v>0</v>
      </c>
      <c r="G504" s="36">
        <v>4838499</v>
      </c>
      <c r="H504" s="36">
        <f t="shared" si="63"/>
        <v>179024463</v>
      </c>
      <c r="I504" s="36">
        <v>0</v>
      </c>
      <c r="J504" s="36">
        <f t="shared" si="64"/>
        <v>0</v>
      </c>
      <c r="K504" s="36">
        <f t="shared" si="55"/>
        <v>4838499</v>
      </c>
      <c r="L504" s="36">
        <f t="shared" si="55"/>
        <v>179024463</v>
      </c>
      <c r="M504" s="37"/>
      <c r="N504" s="253"/>
      <c r="O504" s="38"/>
    </row>
    <row r="505" spans="1:15" s="70" customFormat="1" ht="24.95" customHeight="1">
      <c r="A505" s="64" t="s">
        <v>1295</v>
      </c>
      <c r="B505" s="65" t="s">
        <v>22</v>
      </c>
      <c r="C505" s="66"/>
      <c r="D505" s="67" t="s">
        <v>22</v>
      </c>
      <c r="E505" s="67"/>
      <c r="F505" s="68">
        <f>TRUNC(F506+F507+F508+F509+F510+F511,0)</f>
        <v>0</v>
      </c>
      <c r="G505" s="67"/>
      <c r="H505" s="68">
        <f>TRUNC(H506+H507+H508+H509+H510+H511,0)</f>
        <v>5817362725</v>
      </c>
      <c r="I505" s="67"/>
      <c r="J505" s="68">
        <f>TRUNC(J506+J507+J508+J509+J510+J511,0)</f>
        <v>0</v>
      </c>
      <c r="K505" s="68">
        <f t="shared" si="55"/>
        <v>0</v>
      </c>
      <c r="L505" s="68">
        <f t="shared" si="55"/>
        <v>5817362725</v>
      </c>
      <c r="M505" s="69"/>
      <c r="N505" s="256"/>
    </row>
    <row r="506" spans="1:15" s="29" customFormat="1" ht="24.95" customHeight="1">
      <c r="A506" s="31" t="s">
        <v>1296</v>
      </c>
      <c r="B506" s="32" t="s">
        <v>1297</v>
      </c>
      <c r="C506" s="33">
        <v>1</v>
      </c>
      <c r="D506" s="34" t="s">
        <v>754</v>
      </c>
      <c r="E506" s="36">
        <v>0</v>
      </c>
      <c r="F506" s="36">
        <f t="shared" ref="F506:F511" si="65">TRUNC(E506*$C506,0)</f>
        <v>0</v>
      </c>
      <c r="G506" s="36">
        <v>913050200</v>
      </c>
      <c r="H506" s="36">
        <f t="shared" ref="H506:H511" si="66">TRUNC(G506*$C506,0)</f>
        <v>913050200</v>
      </c>
      <c r="I506" s="36">
        <v>0</v>
      </c>
      <c r="J506" s="36">
        <f t="shared" ref="J506:J511" si="67">TRUNC(I506*$C506,0)</f>
        <v>0</v>
      </c>
      <c r="K506" s="36">
        <f t="shared" si="55"/>
        <v>913050200</v>
      </c>
      <c r="L506" s="36">
        <f t="shared" si="55"/>
        <v>913050200</v>
      </c>
      <c r="M506" s="37"/>
      <c r="N506" s="253"/>
      <c r="O506" s="38"/>
    </row>
    <row r="507" spans="1:15" s="29" customFormat="1" ht="24.95" customHeight="1">
      <c r="A507" s="31" t="s">
        <v>1298</v>
      </c>
      <c r="B507" s="32" t="s">
        <v>1299</v>
      </c>
      <c r="C507" s="33">
        <v>1</v>
      </c>
      <c r="D507" s="34" t="s">
        <v>754</v>
      </c>
      <c r="E507" s="36">
        <v>0</v>
      </c>
      <c r="F507" s="36">
        <f t="shared" si="65"/>
        <v>0</v>
      </c>
      <c r="G507" s="36">
        <v>857234175</v>
      </c>
      <c r="H507" s="36">
        <f t="shared" si="66"/>
        <v>857234175</v>
      </c>
      <c r="I507" s="36">
        <v>0</v>
      </c>
      <c r="J507" s="36">
        <f t="shared" si="67"/>
        <v>0</v>
      </c>
      <c r="K507" s="36">
        <f t="shared" si="55"/>
        <v>857234175</v>
      </c>
      <c r="L507" s="36">
        <f t="shared" si="55"/>
        <v>857234175</v>
      </c>
      <c r="M507" s="37"/>
      <c r="N507" s="253"/>
      <c r="O507" s="38"/>
    </row>
    <row r="508" spans="1:15" s="29" customFormat="1" ht="24.95" customHeight="1">
      <c r="A508" s="31" t="s">
        <v>1300</v>
      </c>
      <c r="B508" s="32" t="s">
        <v>1301</v>
      </c>
      <c r="C508" s="33">
        <v>1</v>
      </c>
      <c r="D508" s="34" t="s">
        <v>754</v>
      </c>
      <c r="E508" s="36">
        <v>0</v>
      </c>
      <c r="F508" s="36">
        <f t="shared" si="65"/>
        <v>0</v>
      </c>
      <c r="G508" s="36">
        <v>129959700</v>
      </c>
      <c r="H508" s="36">
        <f t="shared" si="66"/>
        <v>129959700</v>
      </c>
      <c r="I508" s="36">
        <v>0</v>
      </c>
      <c r="J508" s="36">
        <f t="shared" si="67"/>
        <v>0</v>
      </c>
      <c r="K508" s="36">
        <f t="shared" si="55"/>
        <v>129959700</v>
      </c>
      <c r="L508" s="36">
        <f t="shared" si="55"/>
        <v>129959700</v>
      </c>
      <c r="M508" s="37"/>
      <c r="N508" s="253"/>
      <c r="O508" s="38"/>
    </row>
    <row r="509" spans="1:15" s="29" customFormat="1" ht="24.95" customHeight="1">
      <c r="A509" s="31" t="s">
        <v>1302</v>
      </c>
      <c r="B509" s="32" t="s">
        <v>1303</v>
      </c>
      <c r="C509" s="33">
        <v>1</v>
      </c>
      <c r="D509" s="34" t="s">
        <v>754</v>
      </c>
      <c r="E509" s="36">
        <v>0</v>
      </c>
      <c r="F509" s="36">
        <f t="shared" si="65"/>
        <v>0</v>
      </c>
      <c r="G509" s="36">
        <v>210767975</v>
      </c>
      <c r="H509" s="36">
        <f t="shared" si="66"/>
        <v>210767975</v>
      </c>
      <c r="I509" s="36">
        <v>0</v>
      </c>
      <c r="J509" s="36">
        <f t="shared" si="67"/>
        <v>0</v>
      </c>
      <c r="K509" s="36">
        <f t="shared" si="55"/>
        <v>210767975</v>
      </c>
      <c r="L509" s="36">
        <f t="shared" si="55"/>
        <v>210767975</v>
      </c>
      <c r="M509" s="37"/>
      <c r="N509" s="253"/>
      <c r="O509" s="38"/>
    </row>
    <row r="510" spans="1:15" s="29" customFormat="1" ht="24.95" customHeight="1">
      <c r="A510" s="31" t="s">
        <v>1304</v>
      </c>
      <c r="B510" s="32" t="s">
        <v>1305</v>
      </c>
      <c r="C510" s="33">
        <v>1</v>
      </c>
      <c r="D510" s="34" t="s">
        <v>754</v>
      </c>
      <c r="E510" s="36">
        <v>0</v>
      </c>
      <c r="F510" s="36">
        <f t="shared" si="65"/>
        <v>0</v>
      </c>
      <c r="G510" s="36">
        <v>3443932050</v>
      </c>
      <c r="H510" s="36">
        <f t="shared" si="66"/>
        <v>3443932050</v>
      </c>
      <c r="I510" s="36">
        <v>0</v>
      </c>
      <c r="J510" s="36">
        <f t="shared" si="67"/>
        <v>0</v>
      </c>
      <c r="K510" s="36">
        <f t="shared" si="55"/>
        <v>3443932050</v>
      </c>
      <c r="L510" s="36">
        <f t="shared" si="55"/>
        <v>3443932050</v>
      </c>
      <c r="M510" s="37"/>
      <c r="N510" s="253"/>
      <c r="O510" s="38"/>
    </row>
    <row r="511" spans="1:15" s="29" customFormat="1" ht="24.95" customHeight="1">
      <c r="A511" s="31" t="s">
        <v>1306</v>
      </c>
      <c r="B511" s="32" t="s">
        <v>1307</v>
      </c>
      <c r="C511" s="33">
        <v>1</v>
      </c>
      <c r="D511" s="34" t="s">
        <v>754</v>
      </c>
      <c r="E511" s="36">
        <v>0</v>
      </c>
      <c r="F511" s="36">
        <f t="shared" si="65"/>
        <v>0</v>
      </c>
      <c r="G511" s="36">
        <v>262418625</v>
      </c>
      <c r="H511" s="36">
        <f t="shared" si="66"/>
        <v>262418625</v>
      </c>
      <c r="I511" s="36">
        <v>0</v>
      </c>
      <c r="J511" s="36">
        <f t="shared" si="67"/>
        <v>0</v>
      </c>
      <c r="K511" s="36">
        <f t="shared" si="55"/>
        <v>262418625</v>
      </c>
      <c r="L511" s="36">
        <f t="shared" si="55"/>
        <v>262418625</v>
      </c>
      <c r="M511" s="37"/>
      <c r="N511" s="253"/>
      <c r="O511" s="38"/>
    </row>
    <row r="512" spans="1:15" s="70" customFormat="1" ht="24.95" customHeight="1">
      <c r="A512" s="64" t="s">
        <v>1308</v>
      </c>
      <c r="B512" s="65" t="s">
        <v>22</v>
      </c>
      <c r="C512" s="66"/>
      <c r="D512" s="67" t="s">
        <v>22</v>
      </c>
      <c r="E512" s="67"/>
      <c r="F512" s="68">
        <f>TRUNC(F513,0)</f>
        <v>0</v>
      </c>
      <c r="G512" s="67"/>
      <c r="H512" s="68">
        <f>TRUNC(H513,0)</f>
        <v>53560</v>
      </c>
      <c r="I512" s="67"/>
      <c r="J512" s="68">
        <f>TRUNC(J513,0)</f>
        <v>0</v>
      </c>
      <c r="K512" s="68">
        <f t="shared" si="55"/>
        <v>0</v>
      </c>
      <c r="L512" s="68">
        <f t="shared" si="55"/>
        <v>53560</v>
      </c>
      <c r="M512" s="69"/>
      <c r="N512" s="256"/>
    </row>
    <row r="513" spans="1:15" s="29" customFormat="1" ht="24.95" customHeight="1">
      <c r="A513" s="31" t="s">
        <v>1309</v>
      </c>
      <c r="B513" s="32" t="s">
        <v>1310</v>
      </c>
      <c r="C513" s="33">
        <v>65</v>
      </c>
      <c r="D513" s="34" t="s">
        <v>1116</v>
      </c>
      <c r="E513" s="36">
        <v>0</v>
      </c>
      <c r="F513" s="36">
        <f>TRUNC(E513*$C513,0)</f>
        <v>0</v>
      </c>
      <c r="G513" s="36">
        <v>824</v>
      </c>
      <c r="H513" s="36">
        <f>TRUNC(G513*$C513,0)</f>
        <v>53560</v>
      </c>
      <c r="I513" s="36">
        <v>0</v>
      </c>
      <c r="J513" s="36">
        <f>TRUNC(I513*$C513,0)</f>
        <v>0</v>
      </c>
      <c r="K513" s="36">
        <f t="shared" ref="K513:L528" si="68">G513+E513+I513</f>
        <v>824</v>
      </c>
      <c r="L513" s="36">
        <f t="shared" si="68"/>
        <v>53560</v>
      </c>
      <c r="M513" s="37"/>
      <c r="N513" s="253"/>
      <c r="O513" s="38"/>
    </row>
    <row r="514" spans="1:15" s="70" customFormat="1" ht="24.95" customHeight="1">
      <c r="A514" s="64" t="s">
        <v>1311</v>
      </c>
      <c r="B514" s="65" t="s">
        <v>22</v>
      </c>
      <c r="C514" s="66"/>
      <c r="D514" s="67" t="s">
        <v>22</v>
      </c>
      <c r="E514" s="67"/>
      <c r="F514" s="68">
        <f>TRUNC(F515+F516+F517+F518,0)</f>
        <v>0</v>
      </c>
      <c r="G514" s="67"/>
      <c r="H514" s="68">
        <f>TRUNC(H515+H516+H517+H518,0)</f>
        <v>15941151</v>
      </c>
      <c r="I514" s="67"/>
      <c r="J514" s="68">
        <f>TRUNC(J515+J516+J517+J518,0)</f>
        <v>0</v>
      </c>
      <c r="K514" s="68">
        <f t="shared" si="68"/>
        <v>0</v>
      </c>
      <c r="L514" s="68">
        <f t="shared" si="68"/>
        <v>15941151</v>
      </c>
      <c r="M514" s="69"/>
      <c r="N514" s="256"/>
    </row>
    <row r="515" spans="1:15" s="29" customFormat="1" ht="24.95" customHeight="1">
      <c r="A515" s="31" t="s">
        <v>1312</v>
      </c>
      <c r="B515" s="32" t="s">
        <v>1313</v>
      </c>
      <c r="C515" s="33">
        <v>47</v>
      </c>
      <c r="D515" s="34" t="s">
        <v>116</v>
      </c>
      <c r="E515" s="36">
        <v>0</v>
      </c>
      <c r="F515" s="36">
        <f>TRUNC(E515*$C515,0)</f>
        <v>0</v>
      </c>
      <c r="G515" s="36">
        <v>24325</v>
      </c>
      <c r="H515" s="36">
        <f>TRUNC(G515*$C515,0)</f>
        <v>1143275</v>
      </c>
      <c r="I515" s="36">
        <v>0</v>
      </c>
      <c r="J515" s="36">
        <f>TRUNC(I515*$C515,0)</f>
        <v>0</v>
      </c>
      <c r="K515" s="36">
        <f t="shared" si="68"/>
        <v>24325</v>
      </c>
      <c r="L515" s="36">
        <f t="shared" si="68"/>
        <v>1143275</v>
      </c>
      <c r="M515" s="37"/>
      <c r="N515" s="253"/>
      <c r="O515" s="38"/>
    </row>
    <row r="516" spans="1:15" s="29" customFormat="1" ht="24.95" customHeight="1">
      <c r="A516" s="31" t="s">
        <v>1312</v>
      </c>
      <c r="B516" s="32" t="s">
        <v>1314</v>
      </c>
      <c r="C516" s="33">
        <v>46</v>
      </c>
      <c r="D516" s="34" t="s">
        <v>116</v>
      </c>
      <c r="E516" s="36">
        <v>0</v>
      </c>
      <c r="F516" s="36">
        <f>TRUNC(E516*$C516,0)</f>
        <v>0</v>
      </c>
      <c r="G516" s="36">
        <v>29907</v>
      </c>
      <c r="H516" s="36">
        <f>TRUNC(G516*$C516,0)</f>
        <v>1375722</v>
      </c>
      <c r="I516" s="36">
        <v>0</v>
      </c>
      <c r="J516" s="36">
        <f>TRUNC(I516*$C516,0)</f>
        <v>0</v>
      </c>
      <c r="K516" s="36">
        <f t="shared" si="68"/>
        <v>29907</v>
      </c>
      <c r="L516" s="36">
        <f t="shared" si="68"/>
        <v>1375722</v>
      </c>
      <c r="M516" s="37"/>
      <c r="N516" s="253"/>
      <c r="O516" s="38"/>
    </row>
    <row r="517" spans="1:15" s="29" customFormat="1" ht="24.95" customHeight="1">
      <c r="A517" s="31" t="s">
        <v>1312</v>
      </c>
      <c r="B517" s="32" t="s">
        <v>1315</v>
      </c>
      <c r="C517" s="33">
        <v>87</v>
      </c>
      <c r="D517" s="34" t="s">
        <v>116</v>
      </c>
      <c r="E517" s="36">
        <v>0</v>
      </c>
      <c r="F517" s="36">
        <f>TRUNC(E517*$C517,0)</f>
        <v>0</v>
      </c>
      <c r="G517" s="36">
        <v>61564</v>
      </c>
      <c r="H517" s="36">
        <f>TRUNC(G517*$C517,0)</f>
        <v>5356068</v>
      </c>
      <c r="I517" s="36">
        <v>0</v>
      </c>
      <c r="J517" s="36">
        <f>TRUNC(I517*$C517,0)</f>
        <v>0</v>
      </c>
      <c r="K517" s="36">
        <f t="shared" si="68"/>
        <v>61564</v>
      </c>
      <c r="L517" s="36">
        <f t="shared" si="68"/>
        <v>5356068</v>
      </c>
      <c r="M517" s="37"/>
      <c r="N517" s="253"/>
      <c r="O517" s="38"/>
    </row>
    <row r="518" spans="1:15" s="29" customFormat="1" ht="24.95" customHeight="1">
      <c r="A518" s="31" t="s">
        <v>1312</v>
      </c>
      <c r="B518" s="32" t="s">
        <v>1316</v>
      </c>
      <c r="C518" s="33">
        <v>98</v>
      </c>
      <c r="D518" s="34" t="s">
        <v>116</v>
      </c>
      <c r="E518" s="36">
        <v>0</v>
      </c>
      <c r="F518" s="36">
        <f>TRUNC(E518*$C518,0)</f>
        <v>0</v>
      </c>
      <c r="G518" s="36">
        <v>82307</v>
      </c>
      <c r="H518" s="36">
        <f>TRUNC(G518*$C518,0)</f>
        <v>8066086</v>
      </c>
      <c r="I518" s="36">
        <v>0</v>
      </c>
      <c r="J518" s="36">
        <f>TRUNC(I518*$C518,0)</f>
        <v>0</v>
      </c>
      <c r="K518" s="36">
        <f t="shared" si="68"/>
        <v>82307</v>
      </c>
      <c r="L518" s="36">
        <f t="shared" si="68"/>
        <v>8066086</v>
      </c>
      <c r="M518" s="37"/>
      <c r="N518" s="253"/>
      <c r="O518" s="38"/>
    </row>
    <row r="519" spans="1:15" s="70" customFormat="1" ht="24.95" customHeight="1">
      <c r="A519" s="64" t="s">
        <v>1317</v>
      </c>
      <c r="B519" s="65" t="s">
        <v>22</v>
      </c>
      <c r="C519" s="66"/>
      <c r="D519" s="67" t="s">
        <v>22</v>
      </c>
      <c r="E519" s="67"/>
      <c r="F519" s="68">
        <f>TRUNC(F520+F521+F522+F523,0)</f>
        <v>0</v>
      </c>
      <c r="G519" s="67"/>
      <c r="H519" s="68">
        <f>TRUNC(H520+H521+H522+H523,0)</f>
        <v>2399580</v>
      </c>
      <c r="I519" s="67"/>
      <c r="J519" s="68">
        <f>TRUNC(J520+J521+J522+J523,0)</f>
        <v>0</v>
      </c>
      <c r="K519" s="68">
        <f t="shared" si="68"/>
        <v>0</v>
      </c>
      <c r="L519" s="68">
        <f t="shared" si="68"/>
        <v>2399580</v>
      </c>
      <c r="M519" s="69"/>
      <c r="N519" s="256"/>
    </row>
    <row r="520" spans="1:15" s="29" customFormat="1" ht="24.95" customHeight="1">
      <c r="A520" s="31" t="s">
        <v>1318</v>
      </c>
      <c r="B520" s="32" t="s">
        <v>1319</v>
      </c>
      <c r="C520" s="33">
        <v>5</v>
      </c>
      <c r="D520" s="34" t="s">
        <v>1014</v>
      </c>
      <c r="E520" s="36">
        <v>0</v>
      </c>
      <c r="F520" s="36">
        <f>TRUNC(E520*$C520,0)</f>
        <v>0</v>
      </c>
      <c r="G520" s="36">
        <v>49817</v>
      </c>
      <c r="H520" s="36">
        <f>TRUNC(G520*$C520,0)</f>
        <v>249085</v>
      </c>
      <c r="I520" s="36">
        <v>0</v>
      </c>
      <c r="J520" s="36">
        <f>TRUNC(I520*$C520,0)</f>
        <v>0</v>
      </c>
      <c r="K520" s="36">
        <f t="shared" si="68"/>
        <v>49817</v>
      </c>
      <c r="L520" s="36">
        <f t="shared" si="68"/>
        <v>249085</v>
      </c>
      <c r="M520" s="37"/>
      <c r="N520" s="253"/>
      <c r="O520" s="38"/>
    </row>
    <row r="521" spans="1:15" s="29" customFormat="1" ht="24.95" customHeight="1">
      <c r="A521" s="31" t="s">
        <v>1318</v>
      </c>
      <c r="B521" s="32" t="s">
        <v>1320</v>
      </c>
      <c r="C521" s="33">
        <v>3</v>
      </c>
      <c r="D521" s="34" t="s">
        <v>1014</v>
      </c>
      <c r="E521" s="36">
        <v>0</v>
      </c>
      <c r="F521" s="36">
        <f>TRUNC(E521*$C521,0)</f>
        <v>0</v>
      </c>
      <c r="G521" s="36">
        <v>61647</v>
      </c>
      <c r="H521" s="36">
        <f>TRUNC(G521*$C521,0)</f>
        <v>184941</v>
      </c>
      <c r="I521" s="36">
        <v>0</v>
      </c>
      <c r="J521" s="36">
        <f>TRUNC(I521*$C521,0)</f>
        <v>0</v>
      </c>
      <c r="K521" s="36">
        <f t="shared" si="68"/>
        <v>61647</v>
      </c>
      <c r="L521" s="36">
        <f t="shared" si="68"/>
        <v>184941</v>
      </c>
      <c r="M521" s="37"/>
      <c r="N521" s="253"/>
      <c r="O521" s="38"/>
    </row>
    <row r="522" spans="1:15" s="29" customFormat="1" ht="24.95" customHeight="1">
      <c r="A522" s="31" t="s">
        <v>1318</v>
      </c>
      <c r="B522" s="32" t="s">
        <v>1321</v>
      </c>
      <c r="C522" s="33">
        <v>4</v>
      </c>
      <c r="D522" s="34" t="s">
        <v>1014</v>
      </c>
      <c r="E522" s="36">
        <v>0</v>
      </c>
      <c r="F522" s="36">
        <f>TRUNC(E522*$C522,0)</f>
        <v>0</v>
      </c>
      <c r="G522" s="36">
        <v>154868</v>
      </c>
      <c r="H522" s="36">
        <f>TRUNC(G522*$C522,0)</f>
        <v>619472</v>
      </c>
      <c r="I522" s="36">
        <v>0</v>
      </c>
      <c r="J522" s="36">
        <f>TRUNC(I522*$C522,0)</f>
        <v>0</v>
      </c>
      <c r="K522" s="36">
        <f t="shared" si="68"/>
        <v>154868</v>
      </c>
      <c r="L522" s="36">
        <f t="shared" si="68"/>
        <v>619472</v>
      </c>
      <c r="M522" s="37"/>
      <c r="N522" s="253"/>
      <c r="O522" s="38"/>
    </row>
    <row r="523" spans="1:15" s="29" customFormat="1" ht="24.95" customHeight="1">
      <c r="A523" s="31" t="s">
        <v>1318</v>
      </c>
      <c r="B523" s="32" t="s">
        <v>1322</v>
      </c>
      <c r="C523" s="33">
        <v>6</v>
      </c>
      <c r="D523" s="34" t="s">
        <v>1014</v>
      </c>
      <c r="E523" s="36">
        <v>0</v>
      </c>
      <c r="F523" s="36">
        <f>TRUNC(E523*$C523,0)</f>
        <v>0</v>
      </c>
      <c r="G523" s="36">
        <v>224347</v>
      </c>
      <c r="H523" s="36">
        <f>TRUNC(G523*$C523,0)</f>
        <v>1346082</v>
      </c>
      <c r="I523" s="36">
        <v>0</v>
      </c>
      <c r="J523" s="36">
        <f>TRUNC(I523*$C523,0)</f>
        <v>0</v>
      </c>
      <c r="K523" s="36">
        <f t="shared" si="68"/>
        <v>224347</v>
      </c>
      <c r="L523" s="36">
        <f t="shared" si="68"/>
        <v>1346082</v>
      </c>
      <c r="M523" s="37"/>
      <c r="N523" s="253"/>
      <c r="O523" s="38"/>
    </row>
    <row r="524" spans="1:15" s="70" customFormat="1" ht="24.95" customHeight="1">
      <c r="A524" s="64" t="s">
        <v>1323</v>
      </c>
      <c r="B524" s="65" t="s">
        <v>22</v>
      </c>
      <c r="C524" s="66"/>
      <c r="D524" s="67" t="s">
        <v>22</v>
      </c>
      <c r="E524" s="67"/>
      <c r="F524" s="68">
        <f>TRUNC(F525+F526+F527,0)</f>
        <v>0</v>
      </c>
      <c r="G524" s="67"/>
      <c r="H524" s="68">
        <f>TRUNC(H525+H526+H527,0)</f>
        <v>5187320</v>
      </c>
      <c r="I524" s="67"/>
      <c r="J524" s="68">
        <f>TRUNC(J525+J526+J527,0)</f>
        <v>0</v>
      </c>
      <c r="K524" s="68">
        <f t="shared" si="68"/>
        <v>0</v>
      </c>
      <c r="L524" s="68">
        <f t="shared" si="68"/>
        <v>5187320</v>
      </c>
      <c r="M524" s="69"/>
      <c r="N524" s="256"/>
    </row>
    <row r="525" spans="1:15" s="29" customFormat="1" ht="24.95" customHeight="1">
      <c r="A525" s="31" t="s">
        <v>1324</v>
      </c>
      <c r="B525" s="32" t="s">
        <v>1325</v>
      </c>
      <c r="C525" s="33">
        <v>173</v>
      </c>
      <c r="D525" s="34" t="s">
        <v>116</v>
      </c>
      <c r="E525" s="36">
        <v>0</v>
      </c>
      <c r="F525" s="36">
        <f>TRUNC(E525*$C525,0)</f>
        <v>0</v>
      </c>
      <c r="G525" s="36">
        <v>20935</v>
      </c>
      <c r="H525" s="36">
        <f>TRUNC(G525*$C525,0)</f>
        <v>3621755</v>
      </c>
      <c r="I525" s="36">
        <v>0</v>
      </c>
      <c r="J525" s="36">
        <f>TRUNC(I525*$C525,0)</f>
        <v>0</v>
      </c>
      <c r="K525" s="36">
        <f t="shared" si="68"/>
        <v>20935</v>
      </c>
      <c r="L525" s="36">
        <f t="shared" si="68"/>
        <v>3621755</v>
      </c>
      <c r="M525" s="37"/>
      <c r="N525" s="253"/>
      <c r="O525" s="38"/>
    </row>
    <row r="526" spans="1:15" s="29" customFormat="1" ht="24.95" customHeight="1">
      <c r="A526" s="31" t="s">
        <v>1324</v>
      </c>
      <c r="B526" s="32" t="s">
        <v>1326</v>
      </c>
      <c r="C526" s="33">
        <v>29</v>
      </c>
      <c r="D526" s="34" t="s">
        <v>116</v>
      </c>
      <c r="E526" s="36">
        <v>0</v>
      </c>
      <c r="F526" s="36">
        <f>TRUNC(E526*$C526,0)</f>
        <v>0</v>
      </c>
      <c r="G526" s="36">
        <v>34605</v>
      </c>
      <c r="H526" s="36">
        <f>TRUNC(G526*$C526,0)</f>
        <v>1003545</v>
      </c>
      <c r="I526" s="36">
        <v>0</v>
      </c>
      <c r="J526" s="36">
        <f>TRUNC(I526*$C526,0)</f>
        <v>0</v>
      </c>
      <c r="K526" s="36">
        <f t="shared" si="68"/>
        <v>34605</v>
      </c>
      <c r="L526" s="36">
        <f t="shared" si="68"/>
        <v>1003545</v>
      </c>
      <c r="M526" s="37"/>
      <c r="N526" s="253"/>
      <c r="O526" s="38"/>
    </row>
    <row r="527" spans="1:15" s="29" customFormat="1" ht="24.95" customHeight="1">
      <c r="A527" s="31" t="s">
        <v>1324</v>
      </c>
      <c r="B527" s="32" t="s">
        <v>1327</v>
      </c>
      <c r="C527" s="33">
        <v>12</v>
      </c>
      <c r="D527" s="34" t="s">
        <v>116</v>
      </c>
      <c r="E527" s="36">
        <v>0</v>
      </c>
      <c r="F527" s="36">
        <f>TRUNC(E527*$C527,0)</f>
        <v>0</v>
      </c>
      <c r="G527" s="36">
        <v>46835</v>
      </c>
      <c r="H527" s="36">
        <f>TRUNC(G527*$C527,0)</f>
        <v>562020</v>
      </c>
      <c r="I527" s="36">
        <v>0</v>
      </c>
      <c r="J527" s="36">
        <f>TRUNC(I527*$C527,0)</f>
        <v>0</v>
      </c>
      <c r="K527" s="36">
        <f t="shared" si="68"/>
        <v>46835</v>
      </c>
      <c r="L527" s="36">
        <f t="shared" si="68"/>
        <v>562020</v>
      </c>
      <c r="M527" s="37"/>
      <c r="N527" s="253"/>
      <c r="O527" s="38"/>
    </row>
    <row r="528" spans="1:15" s="29" customFormat="1" ht="24.95" customHeight="1">
      <c r="A528" s="31" t="s">
        <v>766</v>
      </c>
      <c r="B528" s="32" t="s">
        <v>22</v>
      </c>
      <c r="C528" s="33"/>
      <c r="D528" s="34" t="s">
        <v>22</v>
      </c>
      <c r="E528" s="34"/>
      <c r="F528" s="36">
        <v>0</v>
      </c>
      <c r="G528" s="34"/>
      <c r="H528" s="36">
        <v>0</v>
      </c>
      <c r="I528" s="34"/>
      <c r="J528" s="36">
        <v>0</v>
      </c>
      <c r="K528" s="36">
        <f t="shared" si="68"/>
        <v>0</v>
      </c>
      <c r="L528" s="36">
        <f t="shared" si="68"/>
        <v>0</v>
      </c>
      <c r="M528" s="37"/>
      <c r="N528" s="253"/>
    </row>
    <row r="529" spans="1:15" s="45" customFormat="1" ht="24.95" customHeight="1">
      <c r="A529" s="39" t="s">
        <v>1328</v>
      </c>
      <c r="B529" s="40" t="s">
        <v>22</v>
      </c>
      <c r="C529" s="41">
        <v>1</v>
      </c>
      <c r="D529" s="42" t="s">
        <v>754</v>
      </c>
      <c r="E529" s="42"/>
      <c r="F529" s="43">
        <f>F530+F538+F550+F583+F607+F611+F616</f>
        <v>485844891</v>
      </c>
      <c r="G529" s="42"/>
      <c r="H529" s="43">
        <f>H530+H538+H550+H583+H607+H611+H616</f>
        <v>1149654085</v>
      </c>
      <c r="I529" s="42"/>
      <c r="J529" s="43">
        <f>J530+J538+J550+J583+J607+J611+J616</f>
        <v>141779721</v>
      </c>
      <c r="K529" s="42"/>
      <c r="L529" s="43">
        <f t="shared" ref="L529:L592" si="69">H529+F529+J529</f>
        <v>1777278697</v>
      </c>
      <c r="M529" s="44"/>
      <c r="N529" s="253"/>
    </row>
    <row r="530" spans="1:15" s="63" customFormat="1" ht="24.95" customHeight="1">
      <c r="A530" s="57" t="s">
        <v>1329</v>
      </c>
      <c r="B530" s="58" t="s">
        <v>22</v>
      </c>
      <c r="C530" s="59"/>
      <c r="D530" s="60" t="s">
        <v>22</v>
      </c>
      <c r="E530" s="60"/>
      <c r="F530" s="61">
        <f>TRUNC(F532+F533+F534+F536+F537,0)</f>
        <v>235069467</v>
      </c>
      <c r="G530" s="60"/>
      <c r="H530" s="61">
        <f>TRUNC(H532+H533+H534+H536+H537,0)</f>
        <v>80090404</v>
      </c>
      <c r="I530" s="60"/>
      <c r="J530" s="61">
        <f>TRUNC(J532+J533+J534+J536+J537,0)</f>
        <v>114968767</v>
      </c>
      <c r="K530" s="61">
        <f t="shared" ref="K530:L593" si="70">G530+E530+I530</f>
        <v>0</v>
      </c>
      <c r="L530" s="61">
        <f t="shared" si="69"/>
        <v>430128638</v>
      </c>
      <c r="M530" s="62"/>
      <c r="N530" s="253"/>
    </row>
    <row r="531" spans="1:15" s="70" customFormat="1" ht="24.95" customHeight="1">
      <c r="A531" s="64" t="s">
        <v>979</v>
      </c>
      <c r="B531" s="65" t="s">
        <v>22</v>
      </c>
      <c r="C531" s="66"/>
      <c r="D531" s="67" t="s">
        <v>22</v>
      </c>
      <c r="E531" s="67"/>
      <c r="F531" s="68">
        <f>TRUNC(F532+F533+F534,0)</f>
        <v>121587995</v>
      </c>
      <c r="G531" s="67"/>
      <c r="H531" s="68">
        <f>TRUNC(H532+H533+H534,0)</f>
        <v>68598924</v>
      </c>
      <c r="I531" s="67"/>
      <c r="J531" s="68">
        <f>TRUNC(J532+J533+J534,0)</f>
        <v>104909843</v>
      </c>
      <c r="K531" s="68">
        <f t="shared" si="70"/>
        <v>0</v>
      </c>
      <c r="L531" s="68">
        <f t="shared" si="69"/>
        <v>295096762</v>
      </c>
      <c r="M531" s="69"/>
      <c r="N531" s="256"/>
    </row>
    <row r="532" spans="1:15" s="29" customFormat="1" ht="24.95" customHeight="1">
      <c r="A532" s="31" t="s">
        <v>980</v>
      </c>
      <c r="B532" s="32" t="s">
        <v>819</v>
      </c>
      <c r="C532" s="33">
        <v>22439</v>
      </c>
      <c r="D532" s="34" t="s">
        <v>820</v>
      </c>
      <c r="E532" s="36">
        <v>687</v>
      </c>
      <c r="F532" s="36">
        <f>TRUNC(E532*$C532,0)</f>
        <v>15415593</v>
      </c>
      <c r="G532" s="36">
        <v>278</v>
      </c>
      <c r="H532" s="36">
        <f>TRUNC(G532*$C532,0)</f>
        <v>6238042</v>
      </c>
      <c r="I532" s="36">
        <v>357</v>
      </c>
      <c r="J532" s="36">
        <f>TRUNC(I532*$C532,0)</f>
        <v>8010723</v>
      </c>
      <c r="K532" s="36">
        <f t="shared" si="70"/>
        <v>1322</v>
      </c>
      <c r="L532" s="36">
        <f t="shared" si="69"/>
        <v>29664358</v>
      </c>
      <c r="M532" s="37"/>
      <c r="N532" s="253"/>
      <c r="O532" s="38"/>
    </row>
    <row r="533" spans="1:15" s="29" customFormat="1" ht="24.95" customHeight="1">
      <c r="A533" s="31" t="s">
        <v>981</v>
      </c>
      <c r="B533" s="32" t="s">
        <v>819</v>
      </c>
      <c r="C533" s="33">
        <v>2798</v>
      </c>
      <c r="D533" s="34" t="s">
        <v>820</v>
      </c>
      <c r="E533" s="36">
        <v>8923</v>
      </c>
      <c r="F533" s="36">
        <f>TRUNC(E533*$C533,0)</f>
        <v>24966554</v>
      </c>
      <c r="G533" s="36">
        <v>4909</v>
      </c>
      <c r="H533" s="36">
        <f>TRUNC(G533*$C533,0)</f>
        <v>13735382</v>
      </c>
      <c r="I533" s="36">
        <v>8476</v>
      </c>
      <c r="J533" s="36">
        <f>TRUNC(I533*$C533,0)</f>
        <v>23715848</v>
      </c>
      <c r="K533" s="36">
        <f t="shared" si="70"/>
        <v>22308</v>
      </c>
      <c r="L533" s="36">
        <f t="shared" si="69"/>
        <v>62417784</v>
      </c>
      <c r="M533" s="37"/>
      <c r="N533" s="253"/>
      <c r="O533" s="38"/>
    </row>
    <row r="534" spans="1:15" s="29" customFormat="1" ht="24.95" customHeight="1">
      <c r="A534" s="31" t="s">
        <v>982</v>
      </c>
      <c r="B534" s="32" t="s">
        <v>819</v>
      </c>
      <c r="C534" s="33">
        <v>5052</v>
      </c>
      <c r="D534" s="34" t="s">
        <v>820</v>
      </c>
      <c r="E534" s="36">
        <v>16074</v>
      </c>
      <c r="F534" s="36">
        <f>TRUNC(E534*$C534,0)</f>
        <v>81205848</v>
      </c>
      <c r="G534" s="36">
        <v>9625</v>
      </c>
      <c r="H534" s="36">
        <f>TRUNC(G534*$C534,0)</f>
        <v>48625500</v>
      </c>
      <c r="I534" s="36">
        <v>14486</v>
      </c>
      <c r="J534" s="36">
        <f>TRUNC(I534*$C534,0)</f>
        <v>73183272</v>
      </c>
      <c r="K534" s="36">
        <f t="shared" si="70"/>
        <v>40185</v>
      </c>
      <c r="L534" s="36">
        <f t="shared" si="69"/>
        <v>203014620</v>
      </c>
      <c r="M534" s="37"/>
      <c r="N534" s="253"/>
      <c r="O534" s="38"/>
    </row>
    <row r="535" spans="1:15" s="70" customFormat="1" ht="24.95" customHeight="1">
      <c r="A535" s="64" t="s">
        <v>1330</v>
      </c>
      <c r="B535" s="65" t="s">
        <v>22</v>
      </c>
      <c r="C535" s="66"/>
      <c r="D535" s="67" t="s">
        <v>22</v>
      </c>
      <c r="E535" s="67"/>
      <c r="F535" s="68">
        <f>TRUNC(F536+F537,0)</f>
        <v>113481472</v>
      </c>
      <c r="G535" s="67"/>
      <c r="H535" s="68">
        <f>TRUNC(H536+H537,0)</f>
        <v>11491480</v>
      </c>
      <c r="I535" s="67"/>
      <c r="J535" s="68">
        <f>TRUNC(J536+J537,0)</f>
        <v>10058924</v>
      </c>
      <c r="K535" s="68">
        <f t="shared" si="70"/>
        <v>0</v>
      </c>
      <c r="L535" s="68">
        <f t="shared" si="69"/>
        <v>135031876</v>
      </c>
      <c r="M535" s="69"/>
      <c r="N535" s="256"/>
    </row>
    <row r="536" spans="1:15" s="29" customFormat="1" ht="24.95" customHeight="1">
      <c r="A536" s="31" t="s">
        <v>1331</v>
      </c>
      <c r="B536" s="32" t="s">
        <v>986</v>
      </c>
      <c r="C536" s="33">
        <v>24152</v>
      </c>
      <c r="D536" s="34" t="s">
        <v>815</v>
      </c>
      <c r="E536" s="36">
        <v>3869</v>
      </c>
      <c r="F536" s="36">
        <f>TRUNC(E536*$C536,0)</f>
        <v>93444088</v>
      </c>
      <c r="G536" s="36">
        <v>421</v>
      </c>
      <c r="H536" s="36">
        <f>TRUNC(G536*$C536,0)</f>
        <v>10167992</v>
      </c>
      <c r="I536" s="36">
        <v>369</v>
      </c>
      <c r="J536" s="36">
        <f>TRUNC(I536*$C536,0)</f>
        <v>8912088</v>
      </c>
      <c r="K536" s="36">
        <f t="shared" si="70"/>
        <v>4659</v>
      </c>
      <c r="L536" s="36">
        <f t="shared" si="69"/>
        <v>112524168</v>
      </c>
      <c r="M536" s="37"/>
      <c r="N536" s="253"/>
      <c r="O536" s="38"/>
    </row>
    <row r="537" spans="1:15" s="29" customFormat="1" ht="24.95" customHeight="1">
      <c r="A537" s="31" t="s">
        <v>1331</v>
      </c>
      <c r="B537" s="32" t="s">
        <v>988</v>
      </c>
      <c r="C537" s="33">
        <v>2804</v>
      </c>
      <c r="D537" s="34" t="s">
        <v>815</v>
      </c>
      <c r="E537" s="36">
        <v>7146</v>
      </c>
      <c r="F537" s="36">
        <f>TRUNC(E537*$C537,0)</f>
        <v>20037384</v>
      </c>
      <c r="G537" s="36">
        <v>472</v>
      </c>
      <c r="H537" s="36">
        <f>TRUNC(G537*$C537,0)</f>
        <v>1323488</v>
      </c>
      <c r="I537" s="36">
        <v>409</v>
      </c>
      <c r="J537" s="36">
        <f>TRUNC(I537*$C537,0)</f>
        <v>1146836</v>
      </c>
      <c r="K537" s="36">
        <f t="shared" si="70"/>
        <v>8027</v>
      </c>
      <c r="L537" s="36">
        <f t="shared" si="69"/>
        <v>22507708</v>
      </c>
      <c r="M537" s="37"/>
      <c r="N537" s="253"/>
      <c r="O537" s="38"/>
    </row>
    <row r="538" spans="1:15" s="63" customFormat="1" ht="24.95" customHeight="1">
      <c r="A538" s="57" t="s">
        <v>1332</v>
      </c>
      <c r="B538" s="58" t="s">
        <v>22</v>
      </c>
      <c r="C538" s="59"/>
      <c r="D538" s="60" t="s">
        <v>22</v>
      </c>
      <c r="E538" s="60"/>
      <c r="F538" s="61">
        <f>TRUNC(F541+F542+F543+F544+F545+F547+F548+F549,0)</f>
        <v>69481644</v>
      </c>
      <c r="G538" s="60"/>
      <c r="H538" s="61">
        <f>TRUNC(H541+H542+H543+H544+H545+H547+H548+H549,0)</f>
        <v>10208585</v>
      </c>
      <c r="I538" s="60"/>
      <c r="J538" s="61">
        <f>TRUNC(J541+J542+J543+J544+J545+J547+J548+J549,0)</f>
        <v>542483</v>
      </c>
      <c r="K538" s="61">
        <f t="shared" si="70"/>
        <v>0</v>
      </c>
      <c r="L538" s="61">
        <f t="shared" si="69"/>
        <v>80232712</v>
      </c>
      <c r="M538" s="62"/>
      <c r="N538" s="253"/>
    </row>
    <row r="539" spans="1:15" s="70" customFormat="1" ht="24.95" customHeight="1">
      <c r="A539" s="64" t="s">
        <v>1333</v>
      </c>
      <c r="B539" s="65" t="s">
        <v>22</v>
      </c>
      <c r="C539" s="66"/>
      <c r="D539" s="67" t="s">
        <v>22</v>
      </c>
      <c r="E539" s="67"/>
      <c r="F539" s="68">
        <f>TRUNC(F541+F542+F543+F544+F545+F547+F548+F549,0)</f>
        <v>69481644</v>
      </c>
      <c r="G539" s="67"/>
      <c r="H539" s="68">
        <f>TRUNC(H541+H542+H543+H544+H545+H547+H548+H549,0)</f>
        <v>10208585</v>
      </c>
      <c r="I539" s="67"/>
      <c r="J539" s="68">
        <f>TRUNC(J541+J542+J543+J544+J545+J547+J548+J549,0)</f>
        <v>542483</v>
      </c>
      <c r="K539" s="68">
        <f t="shared" si="70"/>
        <v>0</v>
      </c>
      <c r="L539" s="68">
        <f t="shared" si="69"/>
        <v>80232712</v>
      </c>
      <c r="M539" s="69"/>
      <c r="N539" s="256"/>
    </row>
    <row r="540" spans="1:15" s="77" customFormat="1" ht="24.95" customHeight="1">
      <c r="A540" s="71" t="s">
        <v>1334</v>
      </c>
      <c r="B540" s="72" t="s">
        <v>22</v>
      </c>
      <c r="C540" s="73"/>
      <c r="D540" s="74" t="s">
        <v>22</v>
      </c>
      <c r="E540" s="74"/>
      <c r="F540" s="75">
        <f>TRUNC(F541+F542+F543+F544+F545,0)</f>
        <v>2157393</v>
      </c>
      <c r="G540" s="74"/>
      <c r="H540" s="75">
        <f>TRUNC(H541+H542+H543+H544+H545,0)</f>
        <v>581960</v>
      </c>
      <c r="I540" s="74"/>
      <c r="J540" s="75">
        <f>TRUNC(J541+J542+J543+J544+J545,0)</f>
        <v>71500</v>
      </c>
      <c r="K540" s="75">
        <f t="shared" si="70"/>
        <v>0</v>
      </c>
      <c r="L540" s="75">
        <f t="shared" si="69"/>
        <v>2810853</v>
      </c>
      <c r="M540" s="76"/>
      <c r="N540" s="257"/>
    </row>
    <row r="541" spans="1:15" s="29" customFormat="1" ht="24.95" customHeight="1">
      <c r="A541" s="31" t="s">
        <v>1335</v>
      </c>
      <c r="B541" s="32" t="s">
        <v>1336</v>
      </c>
      <c r="C541" s="33">
        <v>335</v>
      </c>
      <c r="D541" s="34" t="s">
        <v>116</v>
      </c>
      <c r="E541" s="36">
        <v>2837</v>
      </c>
      <c r="F541" s="36">
        <f>TRUNC(E541*$C541,0)</f>
        <v>950395</v>
      </c>
      <c r="G541" s="36">
        <v>424</v>
      </c>
      <c r="H541" s="36">
        <f>TRUNC(G541*$C541,0)</f>
        <v>142040</v>
      </c>
      <c r="I541" s="36">
        <v>0</v>
      </c>
      <c r="J541" s="36">
        <f>TRUNC(I541*$C541,0)</f>
        <v>0</v>
      </c>
      <c r="K541" s="36">
        <f t="shared" si="70"/>
        <v>3261</v>
      </c>
      <c r="L541" s="36">
        <f t="shared" si="69"/>
        <v>1092435</v>
      </c>
      <c r="M541" s="37"/>
      <c r="N541" s="253"/>
      <c r="O541" s="38"/>
    </row>
    <row r="542" spans="1:15" s="29" customFormat="1" ht="24.95" customHeight="1">
      <c r="A542" s="31" t="s">
        <v>1337</v>
      </c>
      <c r="B542" s="32" t="s">
        <v>1338</v>
      </c>
      <c r="C542" s="33">
        <v>26</v>
      </c>
      <c r="D542" s="34" t="s">
        <v>1014</v>
      </c>
      <c r="E542" s="36">
        <v>34608</v>
      </c>
      <c r="F542" s="36">
        <f>TRUNC(E542*$C542,0)</f>
        <v>899808</v>
      </c>
      <c r="G542" s="36">
        <v>0</v>
      </c>
      <c r="H542" s="36">
        <f>TRUNC(G542*$C542,0)</f>
        <v>0</v>
      </c>
      <c r="I542" s="36">
        <v>1730</v>
      </c>
      <c r="J542" s="36">
        <f>TRUNC(I542*$C542,0)</f>
        <v>44980</v>
      </c>
      <c r="K542" s="36">
        <f t="shared" si="70"/>
        <v>36338</v>
      </c>
      <c r="L542" s="36">
        <f t="shared" si="69"/>
        <v>944788</v>
      </c>
      <c r="M542" s="37"/>
      <c r="N542" s="253"/>
      <c r="O542" s="38"/>
    </row>
    <row r="543" spans="1:15" s="29" customFormat="1" ht="24.95" customHeight="1">
      <c r="A543" s="31" t="s">
        <v>1339</v>
      </c>
      <c r="B543" s="32" t="s">
        <v>1340</v>
      </c>
      <c r="C543" s="33">
        <v>26</v>
      </c>
      <c r="D543" s="34" t="s">
        <v>1014</v>
      </c>
      <c r="E543" s="36">
        <v>0</v>
      </c>
      <c r="F543" s="36">
        <f>TRUNC(E543*$C543,0)</f>
        <v>0</v>
      </c>
      <c r="G543" s="36">
        <v>2049</v>
      </c>
      <c r="H543" s="36">
        <f>TRUNC(G543*$C543,0)</f>
        <v>53274</v>
      </c>
      <c r="I543" s="36">
        <v>102</v>
      </c>
      <c r="J543" s="36">
        <f>TRUNC(I543*$C543,0)</f>
        <v>2652</v>
      </c>
      <c r="K543" s="36">
        <f t="shared" si="70"/>
        <v>2151</v>
      </c>
      <c r="L543" s="36">
        <f t="shared" si="69"/>
        <v>55926</v>
      </c>
      <c r="M543" s="37"/>
      <c r="N543" s="253"/>
      <c r="O543" s="38"/>
    </row>
    <row r="544" spans="1:15" s="29" customFormat="1" ht="24.95" customHeight="1">
      <c r="A544" s="31" t="s">
        <v>1341</v>
      </c>
      <c r="B544" s="32" t="s">
        <v>22</v>
      </c>
      <c r="C544" s="33">
        <v>26</v>
      </c>
      <c r="D544" s="34" t="s">
        <v>1014</v>
      </c>
      <c r="E544" s="36">
        <v>9842</v>
      </c>
      <c r="F544" s="36">
        <f>TRUNC(E544*$C544,0)</f>
        <v>255892</v>
      </c>
      <c r="G544" s="36">
        <v>8374</v>
      </c>
      <c r="H544" s="36">
        <f>TRUNC(G544*$C544,0)</f>
        <v>217724</v>
      </c>
      <c r="I544" s="36">
        <v>684</v>
      </c>
      <c r="J544" s="36">
        <f>TRUNC(I544*$C544,0)</f>
        <v>17784</v>
      </c>
      <c r="K544" s="36">
        <f t="shared" si="70"/>
        <v>18900</v>
      </c>
      <c r="L544" s="36">
        <f t="shared" si="69"/>
        <v>491400</v>
      </c>
      <c r="M544" s="37"/>
      <c r="N544" s="253"/>
      <c r="O544" s="38"/>
    </row>
    <row r="545" spans="1:15" s="29" customFormat="1" ht="24.95" customHeight="1">
      <c r="A545" s="31" t="s">
        <v>1342</v>
      </c>
      <c r="B545" s="32" t="s">
        <v>1343</v>
      </c>
      <c r="C545" s="33">
        <v>26</v>
      </c>
      <c r="D545" s="34" t="s">
        <v>1014</v>
      </c>
      <c r="E545" s="36">
        <v>1973</v>
      </c>
      <c r="F545" s="36">
        <f>TRUNC(E545*$C545,0)</f>
        <v>51298</v>
      </c>
      <c r="G545" s="36">
        <v>6497</v>
      </c>
      <c r="H545" s="36">
        <f>TRUNC(G545*$C545,0)</f>
        <v>168922</v>
      </c>
      <c r="I545" s="36">
        <v>234</v>
      </c>
      <c r="J545" s="36">
        <f>TRUNC(I545*$C545,0)</f>
        <v>6084</v>
      </c>
      <c r="K545" s="36">
        <f t="shared" si="70"/>
        <v>8704</v>
      </c>
      <c r="L545" s="36">
        <f t="shared" si="69"/>
        <v>226304</v>
      </c>
      <c r="M545" s="37"/>
      <c r="N545" s="253"/>
      <c r="O545" s="38"/>
    </row>
    <row r="546" spans="1:15" s="77" customFormat="1" ht="24.95" customHeight="1">
      <c r="A546" s="71" t="s">
        <v>1344</v>
      </c>
      <c r="B546" s="72" t="s">
        <v>22</v>
      </c>
      <c r="C546" s="73"/>
      <c r="D546" s="74" t="s">
        <v>22</v>
      </c>
      <c r="E546" s="74"/>
      <c r="F546" s="75">
        <f>TRUNC(F547+F548+F549,0)</f>
        <v>67324251</v>
      </c>
      <c r="G546" s="74"/>
      <c r="H546" s="75">
        <f>TRUNC(H547+H548+H549,0)</f>
        <v>9626625</v>
      </c>
      <c r="I546" s="74"/>
      <c r="J546" s="75">
        <f>TRUNC(J547+J548+J549,0)</f>
        <v>470983</v>
      </c>
      <c r="K546" s="75">
        <f t="shared" si="70"/>
        <v>0</v>
      </c>
      <c r="L546" s="75">
        <f t="shared" si="69"/>
        <v>77421859</v>
      </c>
      <c r="M546" s="76"/>
      <c r="N546" s="257"/>
    </row>
    <row r="547" spans="1:15" s="29" customFormat="1" ht="24.95" customHeight="1">
      <c r="A547" s="31" t="s">
        <v>1335</v>
      </c>
      <c r="B547" s="32" t="s">
        <v>1345</v>
      </c>
      <c r="C547" s="33">
        <v>9293</v>
      </c>
      <c r="D547" s="34" t="s">
        <v>116</v>
      </c>
      <c r="E547" s="36">
        <v>6517</v>
      </c>
      <c r="F547" s="36">
        <f>TRUNC(E547*$C547,0)</f>
        <v>60562481</v>
      </c>
      <c r="G547" s="36">
        <v>973</v>
      </c>
      <c r="H547" s="36">
        <f>TRUNC(G547*$C547,0)</f>
        <v>9042089</v>
      </c>
      <c r="I547" s="36">
        <v>0</v>
      </c>
      <c r="J547" s="36">
        <f>TRUNC(I547*$C547,0)</f>
        <v>0</v>
      </c>
      <c r="K547" s="36">
        <f t="shared" si="70"/>
        <v>7490</v>
      </c>
      <c r="L547" s="36">
        <f t="shared" si="69"/>
        <v>69604570</v>
      </c>
      <c r="M547" s="37"/>
      <c r="N547" s="253"/>
      <c r="O547" s="38"/>
    </row>
    <row r="548" spans="1:15" s="29" customFormat="1" ht="24.95" customHeight="1">
      <c r="A548" s="31" t="s">
        <v>1346</v>
      </c>
      <c r="B548" s="32" t="s">
        <v>1347</v>
      </c>
      <c r="C548" s="33">
        <v>232</v>
      </c>
      <c r="D548" s="34" t="s">
        <v>166</v>
      </c>
      <c r="E548" s="36">
        <v>1654</v>
      </c>
      <c r="F548" s="36">
        <f>TRUNC(E548*$C548,0)</f>
        <v>383728</v>
      </c>
      <c r="G548" s="36">
        <v>0</v>
      </c>
      <c r="H548" s="36">
        <f>TRUNC(G548*$C548,0)</f>
        <v>0</v>
      </c>
      <c r="I548" s="36">
        <v>49</v>
      </c>
      <c r="J548" s="36">
        <f>TRUNC(I548*$C548,0)</f>
        <v>11368</v>
      </c>
      <c r="K548" s="36">
        <f t="shared" si="70"/>
        <v>1703</v>
      </c>
      <c r="L548" s="36">
        <f t="shared" si="69"/>
        <v>395096</v>
      </c>
      <c r="M548" s="37"/>
      <c r="N548" s="253"/>
      <c r="O548" s="38"/>
    </row>
    <row r="549" spans="1:15" s="29" customFormat="1" ht="24.95" customHeight="1">
      <c r="A549" s="31" t="s">
        <v>1348</v>
      </c>
      <c r="B549" s="32" t="s">
        <v>1349</v>
      </c>
      <c r="C549" s="33">
        <v>2357</v>
      </c>
      <c r="D549" s="34" t="s">
        <v>815</v>
      </c>
      <c r="E549" s="36">
        <v>2706</v>
      </c>
      <c r="F549" s="36">
        <f>TRUNC(E549*$C549,0)</f>
        <v>6378042</v>
      </c>
      <c r="G549" s="36">
        <v>248</v>
      </c>
      <c r="H549" s="36">
        <f>TRUNC(G549*$C549,0)</f>
        <v>584536</v>
      </c>
      <c r="I549" s="36">
        <v>195</v>
      </c>
      <c r="J549" s="36">
        <f>TRUNC(I549*$C549,0)</f>
        <v>459615</v>
      </c>
      <c r="K549" s="36">
        <f t="shared" si="70"/>
        <v>3149</v>
      </c>
      <c r="L549" s="36">
        <f t="shared" si="69"/>
        <v>7422193</v>
      </c>
      <c r="M549" s="37"/>
      <c r="N549" s="253"/>
      <c r="O549" s="38"/>
    </row>
    <row r="550" spans="1:15" s="63" customFormat="1" ht="24.95" customHeight="1">
      <c r="A550" s="57" t="s">
        <v>1350</v>
      </c>
      <c r="B550" s="58" t="s">
        <v>22</v>
      </c>
      <c r="C550" s="59"/>
      <c r="D550" s="60" t="s">
        <v>22</v>
      </c>
      <c r="E550" s="60"/>
      <c r="F550" s="61">
        <f>TRUNC(F552+F553+F554+F555+F556+F557+F558+F560+F561+F562+F563+F564+F565+F566+F568+F569+F570+F571+F572+F573+F574+F576+F577+F579+F580+F582,0)</f>
        <v>110764937</v>
      </c>
      <c r="G550" s="60"/>
      <c r="H550" s="61">
        <f>TRUNC(H552+H553+H554+H555+H556+H557+H558+H560+H561+H562+H563+H564+H565+H566+H568+H569+H570+H571+H572+H573+H574+H576+H577+H579+H580+H582,0)</f>
        <v>48725200</v>
      </c>
      <c r="I550" s="60"/>
      <c r="J550" s="61">
        <f>TRUNC(J552+J553+J554+J555+J556+J557+J558+J560+J561+J562+J563+J564+J565+J566+J568+J569+J570+J571+J572+J573+J574+J576+J577+J579+J580+J582,0)</f>
        <v>12973699</v>
      </c>
      <c r="K550" s="61">
        <f t="shared" si="70"/>
        <v>0</v>
      </c>
      <c r="L550" s="61">
        <f t="shared" si="69"/>
        <v>172463836</v>
      </c>
      <c r="M550" s="62"/>
      <c r="N550" s="253"/>
    </row>
    <row r="551" spans="1:15" s="70" customFormat="1" ht="24.95" customHeight="1">
      <c r="A551" s="64" t="s">
        <v>1351</v>
      </c>
      <c r="B551" s="65" t="s">
        <v>22</v>
      </c>
      <c r="C551" s="66"/>
      <c r="D551" s="67" t="s">
        <v>22</v>
      </c>
      <c r="E551" s="67"/>
      <c r="F551" s="68">
        <f>TRUNC(F552+F553+F554+F555+F556+F557+F558,0)</f>
        <v>49414782</v>
      </c>
      <c r="G551" s="67"/>
      <c r="H551" s="68">
        <f>TRUNC(H552+H553+H554+H555+H556+H557+H558,0)</f>
        <v>15139670</v>
      </c>
      <c r="I551" s="67"/>
      <c r="J551" s="68">
        <f>TRUNC(J552+J553+J554+J555+J556+J557+J558,0)</f>
        <v>6881274</v>
      </c>
      <c r="K551" s="68">
        <f t="shared" si="70"/>
        <v>0</v>
      </c>
      <c r="L551" s="68">
        <f t="shared" si="69"/>
        <v>71435726</v>
      </c>
      <c r="M551" s="69"/>
      <c r="N551" s="256"/>
    </row>
    <row r="552" spans="1:15" s="29" customFormat="1" ht="24.95" customHeight="1">
      <c r="A552" s="31" t="s">
        <v>1352</v>
      </c>
      <c r="B552" s="32" t="s">
        <v>1353</v>
      </c>
      <c r="C552" s="33">
        <v>124</v>
      </c>
      <c r="D552" s="34" t="s">
        <v>1014</v>
      </c>
      <c r="E552" s="36">
        <v>162855</v>
      </c>
      <c r="F552" s="36">
        <f t="shared" ref="F552:F558" si="71">TRUNC(E552*$C552,0)</f>
        <v>20194020</v>
      </c>
      <c r="G552" s="36">
        <v>5847</v>
      </c>
      <c r="H552" s="36">
        <f t="shared" ref="H552:H558" si="72">TRUNC(G552*$C552,0)</f>
        <v>725028</v>
      </c>
      <c r="I552" s="36">
        <v>24575</v>
      </c>
      <c r="J552" s="36">
        <f t="shared" ref="J552:J558" si="73">TRUNC(I552*$C552,0)</f>
        <v>3047300</v>
      </c>
      <c r="K552" s="36">
        <f t="shared" si="70"/>
        <v>193277</v>
      </c>
      <c r="L552" s="36">
        <f t="shared" si="69"/>
        <v>23966348</v>
      </c>
      <c r="M552" s="37"/>
      <c r="N552" s="253"/>
      <c r="O552" s="38"/>
    </row>
    <row r="553" spans="1:15" s="29" customFormat="1" ht="24.95" customHeight="1">
      <c r="A553" s="31" t="s">
        <v>1352</v>
      </c>
      <c r="B553" s="32" t="s">
        <v>1354</v>
      </c>
      <c r="C553" s="33">
        <v>248</v>
      </c>
      <c r="D553" s="34" t="s">
        <v>1014</v>
      </c>
      <c r="E553" s="36">
        <v>84365</v>
      </c>
      <c r="F553" s="36">
        <f t="shared" si="71"/>
        <v>20922520</v>
      </c>
      <c r="G553" s="36">
        <v>2983</v>
      </c>
      <c r="H553" s="36">
        <f t="shared" si="72"/>
        <v>739784</v>
      </c>
      <c r="I553" s="36">
        <v>12538</v>
      </c>
      <c r="J553" s="36">
        <f t="shared" si="73"/>
        <v>3109424</v>
      </c>
      <c r="K553" s="36">
        <f t="shared" si="70"/>
        <v>99886</v>
      </c>
      <c r="L553" s="36">
        <f t="shared" si="69"/>
        <v>24771728</v>
      </c>
      <c r="M553" s="37"/>
      <c r="N553" s="253"/>
      <c r="O553" s="38"/>
    </row>
    <row r="554" spans="1:15" s="29" customFormat="1" ht="24.95" customHeight="1">
      <c r="A554" s="31" t="s">
        <v>1355</v>
      </c>
      <c r="B554" s="32" t="s">
        <v>22</v>
      </c>
      <c r="C554" s="33">
        <v>124</v>
      </c>
      <c r="D554" s="34" t="s">
        <v>1014</v>
      </c>
      <c r="E554" s="36">
        <v>41373</v>
      </c>
      <c r="F554" s="36">
        <f t="shared" si="71"/>
        <v>5130252</v>
      </c>
      <c r="G554" s="36">
        <v>0</v>
      </c>
      <c r="H554" s="36">
        <f t="shared" si="72"/>
        <v>0</v>
      </c>
      <c r="I554" s="36">
        <v>0</v>
      </c>
      <c r="J554" s="36">
        <f t="shared" si="73"/>
        <v>0</v>
      </c>
      <c r="K554" s="36">
        <f t="shared" si="70"/>
        <v>41373</v>
      </c>
      <c r="L554" s="36">
        <f t="shared" si="69"/>
        <v>5130252</v>
      </c>
      <c r="M554" s="37"/>
      <c r="N554" s="253"/>
      <c r="O554" s="38"/>
    </row>
    <row r="555" spans="1:15" s="29" customFormat="1" ht="24.95" customHeight="1">
      <c r="A555" s="31" t="s">
        <v>1356</v>
      </c>
      <c r="B555" s="32" t="s">
        <v>1357</v>
      </c>
      <c r="C555" s="33">
        <v>1116</v>
      </c>
      <c r="D555" s="34" t="s">
        <v>166</v>
      </c>
      <c r="E555" s="36">
        <v>533</v>
      </c>
      <c r="F555" s="36">
        <f t="shared" si="71"/>
        <v>594828</v>
      </c>
      <c r="G555" s="36">
        <v>10663</v>
      </c>
      <c r="H555" s="36">
        <f t="shared" si="72"/>
        <v>11899908</v>
      </c>
      <c r="I555" s="36">
        <v>0</v>
      </c>
      <c r="J555" s="36">
        <f t="shared" si="73"/>
        <v>0</v>
      </c>
      <c r="K555" s="36">
        <f t="shared" si="70"/>
        <v>11196</v>
      </c>
      <c r="L555" s="36">
        <f t="shared" si="69"/>
        <v>12494736</v>
      </c>
      <c r="M555" s="37"/>
      <c r="N555" s="253"/>
      <c r="O555" s="38"/>
    </row>
    <row r="556" spans="1:15" s="29" customFormat="1" ht="24.95" customHeight="1">
      <c r="A556" s="31" t="s">
        <v>1177</v>
      </c>
      <c r="B556" s="32" t="s">
        <v>1358</v>
      </c>
      <c r="C556" s="33">
        <v>10</v>
      </c>
      <c r="D556" s="34" t="s">
        <v>815</v>
      </c>
      <c r="E556" s="36">
        <v>30923</v>
      </c>
      <c r="F556" s="36">
        <f t="shared" si="71"/>
        <v>309230</v>
      </c>
      <c r="G556" s="36">
        <v>3453</v>
      </c>
      <c r="H556" s="36">
        <f t="shared" si="72"/>
        <v>34530</v>
      </c>
      <c r="I556" s="36">
        <v>4766</v>
      </c>
      <c r="J556" s="36">
        <f t="shared" si="73"/>
        <v>47660</v>
      </c>
      <c r="K556" s="36">
        <f t="shared" si="70"/>
        <v>39142</v>
      </c>
      <c r="L556" s="36">
        <f t="shared" si="69"/>
        <v>391420</v>
      </c>
      <c r="M556" s="37"/>
      <c r="N556" s="253"/>
      <c r="O556" s="38"/>
    </row>
    <row r="557" spans="1:15" s="29" customFormat="1" ht="24.95" customHeight="1">
      <c r="A557" s="31" t="s">
        <v>1359</v>
      </c>
      <c r="B557" s="32" t="s">
        <v>1360</v>
      </c>
      <c r="C557" s="33">
        <v>90</v>
      </c>
      <c r="D557" s="34" t="s">
        <v>847</v>
      </c>
      <c r="E557" s="36">
        <v>24904</v>
      </c>
      <c r="F557" s="36">
        <f t="shared" si="71"/>
        <v>2241360</v>
      </c>
      <c r="G557" s="36">
        <v>19338</v>
      </c>
      <c r="H557" s="36">
        <f t="shared" si="72"/>
        <v>1740420</v>
      </c>
      <c r="I557" s="36">
        <v>7521</v>
      </c>
      <c r="J557" s="36">
        <f t="shared" si="73"/>
        <v>676890</v>
      </c>
      <c r="K557" s="36">
        <f t="shared" si="70"/>
        <v>51763</v>
      </c>
      <c r="L557" s="36">
        <f t="shared" si="69"/>
        <v>4658670</v>
      </c>
      <c r="M557" s="37"/>
      <c r="N557" s="253"/>
      <c r="O557" s="38"/>
    </row>
    <row r="558" spans="1:15" s="29" customFormat="1" ht="24.95" customHeight="1">
      <c r="A558" s="31" t="s">
        <v>1361</v>
      </c>
      <c r="B558" s="32" t="s">
        <v>1362</v>
      </c>
      <c r="C558" s="261">
        <v>0.248</v>
      </c>
      <c r="D558" s="34" t="s">
        <v>815</v>
      </c>
      <c r="E558" s="36">
        <v>91020</v>
      </c>
      <c r="F558" s="36">
        <f t="shared" si="71"/>
        <v>22572</v>
      </c>
      <c r="G558" s="36">
        <v>0</v>
      </c>
      <c r="H558" s="36">
        <f t="shared" si="72"/>
        <v>0</v>
      </c>
      <c r="I558" s="36">
        <v>0</v>
      </c>
      <c r="J558" s="36">
        <f t="shared" si="73"/>
        <v>0</v>
      </c>
      <c r="K558" s="36">
        <f t="shared" si="70"/>
        <v>91020</v>
      </c>
      <c r="L558" s="36">
        <f t="shared" si="69"/>
        <v>22572</v>
      </c>
      <c r="M558" s="37"/>
      <c r="N558" s="253"/>
      <c r="O558" s="38"/>
    </row>
    <row r="559" spans="1:15" s="70" customFormat="1" ht="24.95" customHeight="1">
      <c r="A559" s="64" t="s">
        <v>1363</v>
      </c>
      <c r="B559" s="65" t="s">
        <v>22</v>
      </c>
      <c r="C559" s="66"/>
      <c r="D559" s="67" t="s">
        <v>22</v>
      </c>
      <c r="E559" s="67"/>
      <c r="F559" s="68">
        <f>TRUNC(F560+F561+F562+F563+F564+F565+F566,0)</f>
        <v>20082676</v>
      </c>
      <c r="G559" s="67"/>
      <c r="H559" s="68">
        <f>TRUNC(H560+H561+H562+H563+H564+H565+H566,0)</f>
        <v>5764670</v>
      </c>
      <c r="I559" s="67"/>
      <c r="J559" s="68">
        <f>TRUNC(J560+J561+J562+J563+J564+J565+J566,0)</f>
        <v>2620924</v>
      </c>
      <c r="K559" s="68">
        <f t="shared" si="70"/>
        <v>0</v>
      </c>
      <c r="L559" s="68">
        <f t="shared" si="69"/>
        <v>28468270</v>
      </c>
      <c r="M559" s="69"/>
      <c r="N559" s="256"/>
    </row>
    <row r="560" spans="1:15" s="29" customFormat="1" ht="24.95" customHeight="1">
      <c r="A560" s="31" t="s">
        <v>1364</v>
      </c>
      <c r="B560" s="32" t="s">
        <v>1353</v>
      </c>
      <c r="C560" s="33">
        <v>49</v>
      </c>
      <c r="D560" s="34" t="s">
        <v>1014</v>
      </c>
      <c r="E560" s="36">
        <v>162855</v>
      </c>
      <c r="F560" s="36">
        <f t="shared" ref="F560:F566" si="74">TRUNC(E560*$C560,0)</f>
        <v>7979895</v>
      </c>
      <c r="G560" s="36">
        <v>5847</v>
      </c>
      <c r="H560" s="36">
        <f t="shared" ref="H560:H566" si="75">TRUNC(G560*$C560,0)</f>
        <v>286503</v>
      </c>
      <c r="I560" s="36">
        <v>24575</v>
      </c>
      <c r="J560" s="36">
        <f t="shared" ref="J560:J566" si="76">TRUNC(I560*$C560,0)</f>
        <v>1204175</v>
      </c>
      <c r="K560" s="36">
        <f t="shared" si="70"/>
        <v>193277</v>
      </c>
      <c r="L560" s="36">
        <f t="shared" si="69"/>
        <v>9470573</v>
      </c>
      <c r="M560" s="37"/>
      <c r="N560" s="253"/>
      <c r="O560" s="38"/>
    </row>
    <row r="561" spans="1:15" s="29" customFormat="1" ht="24.95" customHeight="1">
      <c r="A561" s="31" t="s">
        <v>1364</v>
      </c>
      <c r="B561" s="32" t="s">
        <v>1354</v>
      </c>
      <c r="C561" s="33">
        <v>98</v>
      </c>
      <c r="D561" s="34" t="s">
        <v>1014</v>
      </c>
      <c r="E561" s="36">
        <v>84365</v>
      </c>
      <c r="F561" s="36">
        <f t="shared" si="74"/>
        <v>8267770</v>
      </c>
      <c r="G561" s="36">
        <v>2983</v>
      </c>
      <c r="H561" s="36">
        <f t="shared" si="75"/>
        <v>292334</v>
      </c>
      <c r="I561" s="36">
        <v>12538</v>
      </c>
      <c r="J561" s="36">
        <f t="shared" si="76"/>
        <v>1228724</v>
      </c>
      <c r="K561" s="36">
        <f t="shared" si="70"/>
        <v>99886</v>
      </c>
      <c r="L561" s="36">
        <f t="shared" si="69"/>
        <v>9788828</v>
      </c>
      <c r="M561" s="37"/>
      <c r="N561" s="253"/>
      <c r="O561" s="38"/>
    </row>
    <row r="562" spans="1:15" s="29" customFormat="1" ht="24.95" customHeight="1">
      <c r="A562" s="31" t="s">
        <v>1355</v>
      </c>
      <c r="B562" s="32" t="s">
        <v>22</v>
      </c>
      <c r="C562" s="33">
        <v>49</v>
      </c>
      <c r="D562" s="34" t="s">
        <v>1014</v>
      </c>
      <c r="E562" s="36">
        <v>41373</v>
      </c>
      <c r="F562" s="36">
        <f t="shared" si="74"/>
        <v>2027277</v>
      </c>
      <c r="G562" s="36">
        <v>0</v>
      </c>
      <c r="H562" s="36">
        <f t="shared" si="75"/>
        <v>0</v>
      </c>
      <c r="I562" s="36">
        <v>0</v>
      </c>
      <c r="J562" s="36">
        <f t="shared" si="76"/>
        <v>0</v>
      </c>
      <c r="K562" s="36">
        <f t="shared" si="70"/>
        <v>41373</v>
      </c>
      <c r="L562" s="36">
        <f t="shared" si="69"/>
        <v>2027277</v>
      </c>
      <c r="M562" s="37"/>
      <c r="N562" s="253"/>
      <c r="O562" s="38"/>
    </row>
    <row r="563" spans="1:15" s="29" customFormat="1" ht="24.95" customHeight="1">
      <c r="A563" s="31" t="s">
        <v>1356</v>
      </c>
      <c r="B563" s="32" t="s">
        <v>1357</v>
      </c>
      <c r="C563" s="33">
        <v>441</v>
      </c>
      <c r="D563" s="34" t="s">
        <v>166</v>
      </c>
      <c r="E563" s="36">
        <v>533</v>
      </c>
      <c r="F563" s="36">
        <f t="shared" si="74"/>
        <v>235053</v>
      </c>
      <c r="G563" s="36">
        <v>10663</v>
      </c>
      <c r="H563" s="36">
        <f t="shared" si="75"/>
        <v>4702383</v>
      </c>
      <c r="I563" s="36">
        <v>0</v>
      </c>
      <c r="J563" s="36">
        <f t="shared" si="76"/>
        <v>0</v>
      </c>
      <c r="K563" s="36">
        <f t="shared" si="70"/>
        <v>11196</v>
      </c>
      <c r="L563" s="36">
        <f t="shared" si="69"/>
        <v>4937436</v>
      </c>
      <c r="M563" s="37"/>
      <c r="N563" s="253"/>
      <c r="O563" s="38"/>
    </row>
    <row r="564" spans="1:15" s="29" customFormat="1" ht="24.95" customHeight="1">
      <c r="A564" s="31" t="s">
        <v>1365</v>
      </c>
      <c r="B564" s="32" t="s">
        <v>1366</v>
      </c>
      <c r="C564" s="33">
        <v>2</v>
      </c>
      <c r="D564" s="34" t="s">
        <v>815</v>
      </c>
      <c r="E564" s="36">
        <v>468351</v>
      </c>
      <c r="F564" s="36">
        <f t="shared" si="74"/>
        <v>936702</v>
      </c>
      <c r="G564" s="36">
        <v>0</v>
      </c>
      <c r="H564" s="36">
        <f t="shared" si="75"/>
        <v>0</v>
      </c>
      <c r="I564" s="36">
        <v>0</v>
      </c>
      <c r="J564" s="36">
        <f t="shared" si="76"/>
        <v>0</v>
      </c>
      <c r="K564" s="36">
        <f t="shared" si="70"/>
        <v>468351</v>
      </c>
      <c r="L564" s="36">
        <f t="shared" si="69"/>
        <v>936702</v>
      </c>
      <c r="M564" s="37"/>
      <c r="N564" s="253"/>
      <c r="O564" s="38"/>
    </row>
    <row r="565" spans="1:15" s="29" customFormat="1" ht="24.95" customHeight="1">
      <c r="A565" s="31" t="s">
        <v>1359</v>
      </c>
      <c r="B565" s="32" t="s">
        <v>1360</v>
      </c>
      <c r="C565" s="33">
        <v>25</v>
      </c>
      <c r="D565" s="34" t="s">
        <v>847</v>
      </c>
      <c r="E565" s="36">
        <v>24904</v>
      </c>
      <c r="F565" s="36">
        <f t="shared" si="74"/>
        <v>622600</v>
      </c>
      <c r="G565" s="36">
        <v>19338</v>
      </c>
      <c r="H565" s="36">
        <f t="shared" si="75"/>
        <v>483450</v>
      </c>
      <c r="I565" s="36">
        <v>7521</v>
      </c>
      <c r="J565" s="36">
        <f t="shared" si="76"/>
        <v>188025</v>
      </c>
      <c r="K565" s="36">
        <f t="shared" si="70"/>
        <v>51763</v>
      </c>
      <c r="L565" s="36">
        <f t="shared" si="69"/>
        <v>1294075</v>
      </c>
      <c r="M565" s="37"/>
      <c r="N565" s="253"/>
      <c r="O565" s="38"/>
    </row>
    <row r="566" spans="1:15" s="29" customFormat="1" ht="24.95" customHeight="1">
      <c r="A566" s="31" t="s">
        <v>1361</v>
      </c>
      <c r="B566" s="32" t="s">
        <v>1362</v>
      </c>
      <c r="C566" s="261">
        <v>0.14699999999999999</v>
      </c>
      <c r="D566" s="34" t="s">
        <v>815</v>
      </c>
      <c r="E566" s="36">
        <v>91020</v>
      </c>
      <c r="F566" s="36">
        <f t="shared" si="74"/>
        <v>13379</v>
      </c>
      <c r="G566" s="36">
        <v>0</v>
      </c>
      <c r="H566" s="36">
        <f t="shared" si="75"/>
        <v>0</v>
      </c>
      <c r="I566" s="36">
        <v>0</v>
      </c>
      <c r="J566" s="36">
        <f t="shared" si="76"/>
        <v>0</v>
      </c>
      <c r="K566" s="36">
        <f t="shared" si="70"/>
        <v>91020</v>
      </c>
      <c r="L566" s="36">
        <f t="shared" si="69"/>
        <v>13379</v>
      </c>
      <c r="M566" s="37"/>
      <c r="N566" s="253"/>
      <c r="O566" s="38"/>
    </row>
    <row r="567" spans="1:15" s="70" customFormat="1" ht="24.95" customHeight="1">
      <c r="A567" s="64" t="s">
        <v>1367</v>
      </c>
      <c r="B567" s="65" t="s">
        <v>22</v>
      </c>
      <c r="C567" s="66"/>
      <c r="D567" s="67" t="s">
        <v>22</v>
      </c>
      <c r="E567" s="67"/>
      <c r="F567" s="68">
        <f>TRUNC(F568+F569+F570+F571+F572+F573+F574,0)</f>
        <v>26120829</v>
      </c>
      <c r="G567" s="67"/>
      <c r="H567" s="68">
        <f>TRUNC(H568+H569+H570+H571+H572+H573+H574,0)</f>
        <v>7938114</v>
      </c>
      <c r="I567" s="67"/>
      <c r="J567" s="68">
        <f>TRUNC(J568+J569+J570+J571+J572+J573+J574,0)</f>
        <v>3302463</v>
      </c>
      <c r="K567" s="68">
        <f t="shared" si="70"/>
        <v>0</v>
      </c>
      <c r="L567" s="68">
        <f t="shared" si="69"/>
        <v>37361406</v>
      </c>
      <c r="M567" s="69"/>
      <c r="N567" s="256"/>
    </row>
    <row r="568" spans="1:15" s="29" customFormat="1" ht="24.95" customHeight="1">
      <c r="A568" s="31" t="s">
        <v>1368</v>
      </c>
      <c r="B568" s="32" t="s">
        <v>1353</v>
      </c>
      <c r="C568" s="33">
        <v>60</v>
      </c>
      <c r="D568" s="34" t="s">
        <v>1014</v>
      </c>
      <c r="E568" s="36">
        <v>162855</v>
      </c>
      <c r="F568" s="36">
        <f t="shared" ref="F568:F574" si="77">TRUNC(E568*$C568,0)</f>
        <v>9771300</v>
      </c>
      <c r="G568" s="36">
        <v>5847</v>
      </c>
      <c r="H568" s="36">
        <f t="shared" ref="H568:H574" si="78">TRUNC(G568*$C568,0)</f>
        <v>350820</v>
      </c>
      <c r="I568" s="36">
        <v>24575</v>
      </c>
      <c r="J568" s="36">
        <f t="shared" ref="J568:J574" si="79">TRUNC(I568*$C568,0)</f>
        <v>1474500</v>
      </c>
      <c r="K568" s="36">
        <f t="shared" si="70"/>
        <v>193277</v>
      </c>
      <c r="L568" s="36">
        <f t="shared" si="69"/>
        <v>11596620</v>
      </c>
      <c r="M568" s="37"/>
      <c r="N568" s="253"/>
      <c r="O568" s="38"/>
    </row>
    <row r="569" spans="1:15" s="29" customFormat="1" ht="24.95" customHeight="1">
      <c r="A569" s="31" t="s">
        <v>1368</v>
      </c>
      <c r="B569" s="32" t="s">
        <v>1354</v>
      </c>
      <c r="C569" s="33">
        <v>120</v>
      </c>
      <c r="D569" s="34" t="s">
        <v>1014</v>
      </c>
      <c r="E569" s="36">
        <v>84365</v>
      </c>
      <c r="F569" s="36">
        <f t="shared" si="77"/>
        <v>10123800</v>
      </c>
      <c r="G569" s="36">
        <v>2983</v>
      </c>
      <c r="H569" s="36">
        <f t="shared" si="78"/>
        <v>357960</v>
      </c>
      <c r="I569" s="36">
        <v>12538</v>
      </c>
      <c r="J569" s="36">
        <f t="shared" si="79"/>
        <v>1504560</v>
      </c>
      <c r="K569" s="36">
        <f t="shared" si="70"/>
        <v>99886</v>
      </c>
      <c r="L569" s="36">
        <f t="shared" si="69"/>
        <v>11986320</v>
      </c>
      <c r="M569" s="37"/>
      <c r="N569" s="253"/>
      <c r="O569" s="38"/>
    </row>
    <row r="570" spans="1:15" s="29" customFormat="1" ht="24.95" customHeight="1">
      <c r="A570" s="31" t="s">
        <v>1355</v>
      </c>
      <c r="B570" s="32" t="s">
        <v>22</v>
      </c>
      <c r="C570" s="33">
        <v>60</v>
      </c>
      <c r="D570" s="34" t="s">
        <v>1014</v>
      </c>
      <c r="E570" s="36">
        <v>41373</v>
      </c>
      <c r="F570" s="36">
        <f t="shared" si="77"/>
        <v>2482380</v>
      </c>
      <c r="G570" s="36">
        <v>0</v>
      </c>
      <c r="H570" s="36">
        <f t="shared" si="78"/>
        <v>0</v>
      </c>
      <c r="I570" s="36">
        <v>0</v>
      </c>
      <c r="J570" s="36">
        <f t="shared" si="79"/>
        <v>0</v>
      </c>
      <c r="K570" s="36">
        <f t="shared" si="70"/>
        <v>41373</v>
      </c>
      <c r="L570" s="36">
        <f t="shared" si="69"/>
        <v>2482380</v>
      </c>
      <c r="M570" s="37"/>
      <c r="N570" s="253"/>
      <c r="O570" s="38"/>
    </row>
    <row r="571" spans="1:15" s="29" customFormat="1" ht="24.95" customHeight="1">
      <c r="A571" s="31" t="s">
        <v>1356</v>
      </c>
      <c r="B571" s="32" t="s">
        <v>1357</v>
      </c>
      <c r="C571" s="33">
        <v>600</v>
      </c>
      <c r="D571" s="34" t="s">
        <v>166</v>
      </c>
      <c r="E571" s="36">
        <v>533</v>
      </c>
      <c r="F571" s="36">
        <f t="shared" si="77"/>
        <v>319800</v>
      </c>
      <c r="G571" s="36">
        <v>10663</v>
      </c>
      <c r="H571" s="36">
        <f t="shared" si="78"/>
        <v>6397800</v>
      </c>
      <c r="I571" s="36">
        <v>0</v>
      </c>
      <c r="J571" s="36">
        <f t="shared" si="79"/>
        <v>0</v>
      </c>
      <c r="K571" s="36">
        <f t="shared" si="70"/>
        <v>11196</v>
      </c>
      <c r="L571" s="36">
        <f t="shared" si="69"/>
        <v>6717600</v>
      </c>
      <c r="M571" s="37"/>
      <c r="N571" s="253"/>
      <c r="O571" s="38"/>
    </row>
    <row r="572" spans="1:15" s="29" customFormat="1" ht="24.95" customHeight="1">
      <c r="A572" s="31" t="s">
        <v>1365</v>
      </c>
      <c r="B572" s="32" t="s">
        <v>1366</v>
      </c>
      <c r="C572" s="33">
        <v>5</v>
      </c>
      <c r="D572" s="34" t="s">
        <v>815</v>
      </c>
      <c r="E572" s="36">
        <v>468351</v>
      </c>
      <c r="F572" s="36">
        <f t="shared" si="77"/>
        <v>2341755</v>
      </c>
      <c r="G572" s="36">
        <v>0</v>
      </c>
      <c r="H572" s="36">
        <f t="shared" si="78"/>
        <v>0</v>
      </c>
      <c r="I572" s="36">
        <v>0</v>
      </c>
      <c r="J572" s="36">
        <f t="shared" si="79"/>
        <v>0</v>
      </c>
      <c r="K572" s="36">
        <f t="shared" si="70"/>
        <v>468351</v>
      </c>
      <c r="L572" s="36">
        <f t="shared" si="69"/>
        <v>2341755</v>
      </c>
      <c r="M572" s="37"/>
      <c r="N572" s="253"/>
      <c r="O572" s="38"/>
    </row>
    <row r="573" spans="1:15" s="29" customFormat="1" ht="24.95" customHeight="1">
      <c r="A573" s="31" t="s">
        <v>1359</v>
      </c>
      <c r="B573" s="32" t="s">
        <v>1360</v>
      </c>
      <c r="C573" s="33">
        <v>43</v>
      </c>
      <c r="D573" s="34" t="s">
        <v>847</v>
      </c>
      <c r="E573" s="36">
        <v>24904</v>
      </c>
      <c r="F573" s="36">
        <f t="shared" si="77"/>
        <v>1070872</v>
      </c>
      <c r="G573" s="36">
        <v>19338</v>
      </c>
      <c r="H573" s="36">
        <f t="shared" si="78"/>
        <v>831534</v>
      </c>
      <c r="I573" s="36">
        <v>7521</v>
      </c>
      <c r="J573" s="36">
        <f t="shared" si="79"/>
        <v>323403</v>
      </c>
      <c r="K573" s="36">
        <f t="shared" si="70"/>
        <v>51763</v>
      </c>
      <c r="L573" s="36">
        <f t="shared" si="69"/>
        <v>2225809</v>
      </c>
      <c r="M573" s="37"/>
      <c r="N573" s="253"/>
      <c r="O573" s="38"/>
    </row>
    <row r="574" spans="1:15" s="29" customFormat="1" ht="24.95" customHeight="1">
      <c r="A574" s="31" t="s">
        <v>1361</v>
      </c>
      <c r="B574" s="32" t="s">
        <v>1362</v>
      </c>
      <c r="C574" s="261">
        <v>0.12</v>
      </c>
      <c r="D574" s="34" t="s">
        <v>815</v>
      </c>
      <c r="E574" s="36">
        <v>91020</v>
      </c>
      <c r="F574" s="36">
        <f t="shared" si="77"/>
        <v>10922</v>
      </c>
      <c r="G574" s="36">
        <v>0</v>
      </c>
      <c r="H574" s="36">
        <f t="shared" si="78"/>
        <v>0</v>
      </c>
      <c r="I574" s="36">
        <v>0</v>
      </c>
      <c r="J574" s="36">
        <f t="shared" si="79"/>
        <v>0</v>
      </c>
      <c r="K574" s="36">
        <f t="shared" si="70"/>
        <v>91020</v>
      </c>
      <c r="L574" s="36">
        <f t="shared" si="69"/>
        <v>10922</v>
      </c>
      <c r="M574" s="37"/>
      <c r="N574" s="253"/>
      <c r="O574" s="38"/>
    </row>
    <row r="575" spans="1:15" s="70" customFormat="1" ht="24.95" customHeight="1">
      <c r="A575" s="64" t="s">
        <v>1369</v>
      </c>
      <c r="B575" s="65" t="s">
        <v>22</v>
      </c>
      <c r="C575" s="66"/>
      <c r="D575" s="67" t="s">
        <v>22</v>
      </c>
      <c r="E575" s="67"/>
      <c r="F575" s="68">
        <f>TRUNC(F576+F577,0)</f>
        <v>1001974</v>
      </c>
      <c r="G575" s="67"/>
      <c r="H575" s="68">
        <f>TRUNC(H576+H577,0)</f>
        <v>62154</v>
      </c>
      <c r="I575" s="67"/>
      <c r="J575" s="68">
        <f>TRUNC(J576+J577,0)</f>
        <v>85788</v>
      </c>
      <c r="K575" s="68">
        <f t="shared" si="70"/>
        <v>0</v>
      </c>
      <c r="L575" s="68">
        <f t="shared" si="69"/>
        <v>1149916</v>
      </c>
      <c r="M575" s="69"/>
      <c r="N575" s="256"/>
    </row>
    <row r="576" spans="1:15" s="29" customFormat="1" ht="24.95" customHeight="1">
      <c r="A576" s="31" t="s">
        <v>1177</v>
      </c>
      <c r="B576" s="32" t="s">
        <v>1358</v>
      </c>
      <c r="C576" s="33">
        <v>18</v>
      </c>
      <c r="D576" s="34" t="s">
        <v>815</v>
      </c>
      <c r="E576" s="36">
        <v>30923</v>
      </c>
      <c r="F576" s="36">
        <f>TRUNC(E576*$C576,0)</f>
        <v>556614</v>
      </c>
      <c r="G576" s="36">
        <v>3453</v>
      </c>
      <c r="H576" s="36">
        <f>TRUNC(G576*$C576,0)</f>
        <v>62154</v>
      </c>
      <c r="I576" s="36">
        <v>4766</v>
      </c>
      <c r="J576" s="36">
        <f>TRUNC(I576*$C576,0)</f>
        <v>85788</v>
      </c>
      <c r="K576" s="36">
        <f t="shared" si="70"/>
        <v>39142</v>
      </c>
      <c r="L576" s="36">
        <f t="shared" si="69"/>
        <v>704556</v>
      </c>
      <c r="M576" s="37"/>
      <c r="N576" s="253"/>
      <c r="O576" s="38"/>
    </row>
    <row r="577" spans="1:15" s="29" customFormat="1" ht="24.95" customHeight="1">
      <c r="A577" s="31" t="s">
        <v>1361</v>
      </c>
      <c r="B577" s="32" t="s">
        <v>1362</v>
      </c>
      <c r="C577" s="261">
        <v>4.8929999999999998</v>
      </c>
      <c r="D577" s="34" t="s">
        <v>815</v>
      </c>
      <c r="E577" s="36">
        <v>91020</v>
      </c>
      <c r="F577" s="36">
        <f>TRUNC(E577*$C577,0)</f>
        <v>445360</v>
      </c>
      <c r="G577" s="36">
        <v>0</v>
      </c>
      <c r="H577" s="36">
        <f>TRUNC(G577*$C577,0)</f>
        <v>0</v>
      </c>
      <c r="I577" s="36">
        <v>0</v>
      </c>
      <c r="J577" s="36">
        <f>TRUNC(I577*$C577,0)</f>
        <v>0</v>
      </c>
      <c r="K577" s="36">
        <f t="shared" si="70"/>
        <v>91020</v>
      </c>
      <c r="L577" s="36">
        <f t="shared" si="69"/>
        <v>445360</v>
      </c>
      <c r="M577" s="37"/>
      <c r="N577" s="253"/>
      <c r="O577" s="38"/>
    </row>
    <row r="578" spans="1:15" s="70" customFormat="1" ht="24.95" customHeight="1">
      <c r="A578" s="64" t="s">
        <v>1370</v>
      </c>
      <c r="B578" s="65" t="s">
        <v>22</v>
      </c>
      <c r="C578" s="66"/>
      <c r="D578" s="67" t="s">
        <v>22</v>
      </c>
      <c r="E578" s="67"/>
      <c r="F578" s="68">
        <f>TRUNC(F579+F580,0)</f>
        <v>10328256</v>
      </c>
      <c r="G578" s="67"/>
      <c r="H578" s="68">
        <f>TRUNC(H579+H580,0)</f>
        <v>19089072</v>
      </c>
      <c r="I578" s="67"/>
      <c r="J578" s="68">
        <f>TRUNC(J579+J580,0)</f>
        <v>0</v>
      </c>
      <c r="K578" s="68">
        <f t="shared" si="70"/>
        <v>0</v>
      </c>
      <c r="L578" s="68">
        <f t="shared" si="69"/>
        <v>29417328</v>
      </c>
      <c r="M578" s="69"/>
      <c r="N578" s="256"/>
    </row>
    <row r="579" spans="1:15" s="29" customFormat="1" ht="24.95" customHeight="1">
      <c r="A579" s="31" t="s">
        <v>1371</v>
      </c>
      <c r="B579" s="32" t="s">
        <v>1372</v>
      </c>
      <c r="C579" s="33">
        <v>342</v>
      </c>
      <c r="D579" s="34" t="s">
        <v>1014</v>
      </c>
      <c r="E579" s="36">
        <v>29617</v>
      </c>
      <c r="F579" s="36">
        <f>TRUNC(E579*$C579,0)</f>
        <v>10129014</v>
      </c>
      <c r="G579" s="36">
        <v>55816</v>
      </c>
      <c r="H579" s="36">
        <f>TRUNC(G579*$C579,0)</f>
        <v>19089072</v>
      </c>
      <c r="I579" s="36">
        <v>0</v>
      </c>
      <c r="J579" s="36">
        <f>TRUNC(I579*$C579,0)</f>
        <v>0</v>
      </c>
      <c r="K579" s="36">
        <f t="shared" si="70"/>
        <v>85433</v>
      </c>
      <c r="L579" s="36">
        <f t="shared" si="69"/>
        <v>29218086</v>
      </c>
      <c r="M579" s="37"/>
      <c r="N579" s="253"/>
      <c r="O579" s="38"/>
    </row>
    <row r="580" spans="1:15" s="29" customFormat="1" ht="24.95" customHeight="1">
      <c r="A580" s="31" t="s">
        <v>1361</v>
      </c>
      <c r="B580" s="32" t="s">
        <v>1362</v>
      </c>
      <c r="C580" s="261">
        <v>2.1890000000000001</v>
      </c>
      <c r="D580" s="34" t="s">
        <v>815</v>
      </c>
      <c r="E580" s="36">
        <v>91020</v>
      </c>
      <c r="F580" s="36">
        <f>TRUNC(E580*$C580,0)</f>
        <v>199242</v>
      </c>
      <c r="G580" s="36">
        <v>0</v>
      </c>
      <c r="H580" s="36">
        <f>TRUNC(G580*$C580,0)</f>
        <v>0</v>
      </c>
      <c r="I580" s="36">
        <v>0</v>
      </c>
      <c r="J580" s="36">
        <f>TRUNC(I580*$C580,0)</f>
        <v>0</v>
      </c>
      <c r="K580" s="36">
        <f t="shared" si="70"/>
        <v>91020</v>
      </c>
      <c r="L580" s="36">
        <f t="shared" si="69"/>
        <v>199242</v>
      </c>
      <c r="M580" s="37"/>
      <c r="N580" s="253"/>
      <c r="O580" s="38"/>
    </row>
    <row r="581" spans="1:15" s="70" customFormat="1" ht="24.95" customHeight="1">
      <c r="A581" s="64" t="s">
        <v>1373</v>
      </c>
      <c r="B581" s="65" t="s">
        <v>22</v>
      </c>
      <c r="C581" s="66"/>
      <c r="D581" s="67" t="s">
        <v>22</v>
      </c>
      <c r="E581" s="67"/>
      <c r="F581" s="68">
        <f>TRUNC(F582,0)</f>
        <v>3816420</v>
      </c>
      <c r="G581" s="67"/>
      <c r="H581" s="68">
        <f>TRUNC(H582,0)</f>
        <v>731520</v>
      </c>
      <c r="I581" s="67"/>
      <c r="J581" s="68">
        <f>TRUNC(J582,0)</f>
        <v>83250</v>
      </c>
      <c r="K581" s="68">
        <f t="shared" si="70"/>
        <v>0</v>
      </c>
      <c r="L581" s="68">
        <f t="shared" si="69"/>
        <v>4631190</v>
      </c>
      <c r="M581" s="69"/>
      <c r="N581" s="256"/>
    </row>
    <row r="582" spans="1:15" s="29" customFormat="1" ht="24.95" customHeight="1">
      <c r="A582" s="31" t="s">
        <v>1374</v>
      </c>
      <c r="B582" s="32" t="s">
        <v>1375</v>
      </c>
      <c r="C582" s="33">
        <v>30</v>
      </c>
      <c r="D582" s="34" t="s">
        <v>1014</v>
      </c>
      <c r="E582" s="36">
        <v>127214</v>
      </c>
      <c r="F582" s="36">
        <f>TRUNC(E582*$C582,0)</f>
        <v>3816420</v>
      </c>
      <c r="G582" s="36">
        <v>24384</v>
      </c>
      <c r="H582" s="36">
        <f>TRUNC(G582*$C582,0)</f>
        <v>731520</v>
      </c>
      <c r="I582" s="36">
        <v>2775</v>
      </c>
      <c r="J582" s="36">
        <f>TRUNC(I582*$C582,0)</f>
        <v>83250</v>
      </c>
      <c r="K582" s="36">
        <f t="shared" si="70"/>
        <v>154373</v>
      </c>
      <c r="L582" s="36">
        <f t="shared" si="69"/>
        <v>4631190</v>
      </c>
      <c r="M582" s="37"/>
      <c r="N582" s="253"/>
      <c r="O582" s="38"/>
    </row>
    <row r="583" spans="1:15" s="63" customFormat="1" ht="24.95" customHeight="1">
      <c r="A583" s="57" t="s">
        <v>1376</v>
      </c>
      <c r="B583" s="58" t="s">
        <v>22</v>
      </c>
      <c r="C583" s="59"/>
      <c r="D583" s="60" t="s">
        <v>22</v>
      </c>
      <c r="E583" s="60"/>
      <c r="F583" s="61">
        <f>TRUNC(F585+F586+F587+F588+F589+F592+F593+F594+F595+F597+F598+F599+F600+F601+F602+F603+F604+F605+F606,0)</f>
        <v>5711052</v>
      </c>
      <c r="G583" s="60"/>
      <c r="H583" s="61">
        <f>TRUNC(H585+H586+H587+H588+H589+H592+H593+H594+H595+H597+H598+H599+H600+H601+H602+H603+H604+H605+H606,0)</f>
        <v>1505983</v>
      </c>
      <c r="I583" s="60"/>
      <c r="J583" s="61">
        <f>TRUNC(J585+J586+J587+J588+J589+J592+J593+J594+J595+J597+J598+J599+J600+J601+J602+J603+J604+J605+J606,0)</f>
        <v>467609</v>
      </c>
      <c r="K583" s="61">
        <f t="shared" si="70"/>
        <v>0</v>
      </c>
      <c r="L583" s="61">
        <f t="shared" si="69"/>
        <v>7684644</v>
      </c>
      <c r="M583" s="62"/>
      <c r="N583" s="253"/>
    </row>
    <row r="584" spans="1:15" s="70" customFormat="1" ht="24.95" customHeight="1">
      <c r="A584" s="64" t="s">
        <v>1377</v>
      </c>
      <c r="B584" s="65" t="s">
        <v>22</v>
      </c>
      <c r="C584" s="66"/>
      <c r="D584" s="67" t="s">
        <v>22</v>
      </c>
      <c r="E584" s="67"/>
      <c r="F584" s="68">
        <f>TRUNC(F585+F586+F587+F588+F589,0)</f>
        <v>836555</v>
      </c>
      <c r="G584" s="67"/>
      <c r="H584" s="68">
        <f>TRUNC(H585+H586+H587+H588+H589,0)</f>
        <v>122630</v>
      </c>
      <c r="I584" s="67"/>
      <c r="J584" s="68">
        <f>TRUNC(J585+J586+J587+J588+J589,0)</f>
        <v>102317</v>
      </c>
      <c r="K584" s="68">
        <f t="shared" si="70"/>
        <v>0</v>
      </c>
      <c r="L584" s="68">
        <f t="shared" si="69"/>
        <v>1061502</v>
      </c>
      <c r="M584" s="69"/>
      <c r="N584" s="256"/>
    </row>
    <row r="585" spans="1:15" s="29" customFormat="1" ht="24.95" customHeight="1">
      <c r="A585" s="31" t="s">
        <v>1177</v>
      </c>
      <c r="B585" s="32" t="s">
        <v>1358</v>
      </c>
      <c r="C585" s="33">
        <v>1</v>
      </c>
      <c r="D585" s="34" t="s">
        <v>815</v>
      </c>
      <c r="E585" s="36">
        <v>30923</v>
      </c>
      <c r="F585" s="36">
        <f>TRUNC(E585*$C585,0)</f>
        <v>30923</v>
      </c>
      <c r="G585" s="36">
        <v>3453</v>
      </c>
      <c r="H585" s="36">
        <f>TRUNC(G585*$C585,0)</f>
        <v>3453</v>
      </c>
      <c r="I585" s="36">
        <v>4766</v>
      </c>
      <c r="J585" s="36">
        <f>TRUNC(I585*$C585,0)</f>
        <v>4766</v>
      </c>
      <c r="K585" s="36">
        <f t="shared" si="70"/>
        <v>39142</v>
      </c>
      <c r="L585" s="36">
        <f t="shared" si="69"/>
        <v>39142</v>
      </c>
      <c r="M585" s="37"/>
      <c r="N585" s="253"/>
      <c r="O585" s="38"/>
    </row>
    <row r="586" spans="1:15" s="29" customFormat="1" ht="24.95" customHeight="1">
      <c r="A586" s="31" t="s">
        <v>1378</v>
      </c>
      <c r="B586" s="32" t="s">
        <v>1379</v>
      </c>
      <c r="C586" s="33">
        <v>1</v>
      </c>
      <c r="D586" s="34" t="s">
        <v>1014</v>
      </c>
      <c r="E586" s="36">
        <v>302484</v>
      </c>
      <c r="F586" s="36">
        <f>TRUNC(E586*$C586,0)</f>
        <v>302484</v>
      </c>
      <c r="G586" s="36">
        <v>8354</v>
      </c>
      <c r="H586" s="36">
        <f>TRUNC(G586*$C586,0)</f>
        <v>8354</v>
      </c>
      <c r="I586" s="36">
        <v>35109</v>
      </c>
      <c r="J586" s="36">
        <f>TRUNC(I586*$C586,0)</f>
        <v>35109</v>
      </c>
      <c r="K586" s="36">
        <f t="shared" si="70"/>
        <v>345947</v>
      </c>
      <c r="L586" s="36">
        <f t="shared" si="69"/>
        <v>345947</v>
      </c>
      <c r="M586" s="37"/>
      <c r="N586" s="253"/>
      <c r="O586" s="38"/>
    </row>
    <row r="587" spans="1:15" s="29" customFormat="1" ht="24.95" customHeight="1">
      <c r="A587" s="31" t="s">
        <v>1378</v>
      </c>
      <c r="B587" s="32" t="s">
        <v>1380</v>
      </c>
      <c r="C587" s="33">
        <v>3</v>
      </c>
      <c r="D587" s="34" t="s">
        <v>1014</v>
      </c>
      <c r="E587" s="36">
        <v>152326</v>
      </c>
      <c r="F587" s="36">
        <f>TRUNC(E587*$C587,0)</f>
        <v>456978</v>
      </c>
      <c r="G587" s="36">
        <v>4952</v>
      </c>
      <c r="H587" s="36">
        <f>TRUNC(G587*$C587,0)</f>
        <v>14856</v>
      </c>
      <c r="I587" s="36">
        <v>20814</v>
      </c>
      <c r="J587" s="36">
        <f>TRUNC(I587*$C587,0)</f>
        <v>62442</v>
      </c>
      <c r="K587" s="36">
        <f t="shared" si="70"/>
        <v>178092</v>
      </c>
      <c r="L587" s="36">
        <f t="shared" si="69"/>
        <v>534276</v>
      </c>
      <c r="M587" s="37"/>
      <c r="N587" s="253"/>
      <c r="O587" s="38"/>
    </row>
    <row r="588" spans="1:15" s="29" customFormat="1" ht="24.95" customHeight="1">
      <c r="A588" s="31" t="s">
        <v>1355</v>
      </c>
      <c r="B588" s="32" t="s">
        <v>22</v>
      </c>
      <c r="C588" s="33">
        <v>1</v>
      </c>
      <c r="D588" s="34" t="s">
        <v>1014</v>
      </c>
      <c r="E588" s="36">
        <v>41373</v>
      </c>
      <c r="F588" s="36">
        <f>TRUNC(E588*$C588,0)</f>
        <v>41373</v>
      </c>
      <c r="G588" s="36">
        <v>0</v>
      </c>
      <c r="H588" s="36">
        <f>TRUNC(G588*$C588,0)</f>
        <v>0</v>
      </c>
      <c r="I588" s="36">
        <v>0</v>
      </c>
      <c r="J588" s="36">
        <f>TRUNC(I588*$C588,0)</f>
        <v>0</v>
      </c>
      <c r="K588" s="36">
        <f t="shared" si="70"/>
        <v>41373</v>
      </c>
      <c r="L588" s="36">
        <f t="shared" si="69"/>
        <v>41373</v>
      </c>
      <c r="M588" s="37"/>
      <c r="N588" s="253"/>
      <c r="O588" s="38"/>
    </row>
    <row r="589" spans="1:15" s="29" customFormat="1" ht="24.95" customHeight="1">
      <c r="A589" s="31" t="s">
        <v>1356</v>
      </c>
      <c r="B589" s="32" t="s">
        <v>1357</v>
      </c>
      <c r="C589" s="33">
        <v>9</v>
      </c>
      <c r="D589" s="34" t="s">
        <v>166</v>
      </c>
      <c r="E589" s="36">
        <v>533</v>
      </c>
      <c r="F589" s="36">
        <f>TRUNC(E589*$C589,0)</f>
        <v>4797</v>
      </c>
      <c r="G589" s="36">
        <v>10663</v>
      </c>
      <c r="H589" s="36">
        <f>TRUNC(G589*$C589,0)</f>
        <v>95967</v>
      </c>
      <c r="I589" s="36">
        <v>0</v>
      </c>
      <c r="J589" s="36">
        <f>TRUNC(I589*$C589,0)</f>
        <v>0</v>
      </c>
      <c r="K589" s="36">
        <f t="shared" si="70"/>
        <v>11196</v>
      </c>
      <c r="L589" s="36">
        <f t="shared" si="69"/>
        <v>100764</v>
      </c>
      <c r="M589" s="37"/>
      <c r="N589" s="253"/>
      <c r="O589" s="38"/>
    </row>
    <row r="590" spans="1:15" s="70" customFormat="1" ht="24.95" customHeight="1">
      <c r="A590" s="64" t="s">
        <v>1381</v>
      </c>
      <c r="B590" s="65" t="s">
        <v>22</v>
      </c>
      <c r="C590" s="66"/>
      <c r="D590" s="67" t="s">
        <v>22</v>
      </c>
      <c r="E590" s="67"/>
      <c r="F590" s="68">
        <f>TRUNC(F592+F593+F594+F595+F597+F598+F599+F600+F601+F602+F603+F604+F605+F606,0)</f>
        <v>4874497</v>
      </c>
      <c r="G590" s="67"/>
      <c r="H590" s="68">
        <f>TRUNC(H592+H593+H594+H595+H597+H598+H599+H600+H601+H602+H603+H604+H605+H606,0)</f>
        <v>1383353</v>
      </c>
      <c r="I590" s="67"/>
      <c r="J590" s="68">
        <f>TRUNC(J592+J593+J594+J595+J597+J598+J599+J600+J601+J602+J603+J604+J605+J606,0)</f>
        <v>365292</v>
      </c>
      <c r="K590" s="68">
        <f t="shared" si="70"/>
        <v>0</v>
      </c>
      <c r="L590" s="68">
        <f t="shared" si="69"/>
        <v>6623142</v>
      </c>
      <c r="M590" s="69"/>
      <c r="N590" s="256"/>
    </row>
    <row r="591" spans="1:15" s="77" customFormat="1" ht="24.95" customHeight="1">
      <c r="A591" s="71" t="s">
        <v>1382</v>
      </c>
      <c r="B591" s="72" t="s">
        <v>22</v>
      </c>
      <c r="C591" s="73"/>
      <c r="D591" s="74" t="s">
        <v>22</v>
      </c>
      <c r="E591" s="74"/>
      <c r="F591" s="75">
        <f>TRUNC(F592+F593+F594+F595,0)</f>
        <v>924924</v>
      </c>
      <c r="G591" s="74"/>
      <c r="H591" s="75">
        <f>TRUNC(H592+H593+H594+H595,0)</f>
        <v>133879</v>
      </c>
      <c r="I591" s="74"/>
      <c r="J591" s="75">
        <f>TRUNC(J592+J593+J594+J595,0)</f>
        <v>139162</v>
      </c>
      <c r="K591" s="75">
        <f t="shared" si="70"/>
        <v>0</v>
      </c>
      <c r="L591" s="75">
        <f t="shared" si="69"/>
        <v>1197965</v>
      </c>
      <c r="M591" s="76"/>
      <c r="N591" s="257"/>
    </row>
    <row r="592" spans="1:15" s="29" customFormat="1" ht="24.95" customHeight="1">
      <c r="A592" s="31" t="s">
        <v>1383</v>
      </c>
      <c r="B592" s="32" t="s">
        <v>819</v>
      </c>
      <c r="C592" s="33">
        <v>201</v>
      </c>
      <c r="D592" s="34" t="s">
        <v>820</v>
      </c>
      <c r="E592" s="36">
        <v>687</v>
      </c>
      <c r="F592" s="36">
        <f>TRUNC(E592*$C592,0)</f>
        <v>138087</v>
      </c>
      <c r="G592" s="36">
        <v>278</v>
      </c>
      <c r="H592" s="36">
        <f>TRUNC(G592*$C592,0)</f>
        <v>55878</v>
      </c>
      <c r="I592" s="36">
        <v>357</v>
      </c>
      <c r="J592" s="36">
        <f>TRUNC(I592*$C592,0)</f>
        <v>71757</v>
      </c>
      <c r="K592" s="36">
        <f t="shared" si="70"/>
        <v>1322</v>
      </c>
      <c r="L592" s="36">
        <f t="shared" si="69"/>
        <v>265722</v>
      </c>
      <c r="M592" s="37"/>
      <c r="N592" s="253"/>
      <c r="O592" s="38"/>
    </row>
    <row r="593" spans="1:15" s="29" customFormat="1" ht="24.95" customHeight="1">
      <c r="A593" s="31" t="s">
        <v>1384</v>
      </c>
      <c r="B593" s="32" t="s">
        <v>986</v>
      </c>
      <c r="C593" s="33">
        <v>141</v>
      </c>
      <c r="D593" s="34" t="s">
        <v>815</v>
      </c>
      <c r="E593" s="36">
        <v>3869</v>
      </c>
      <c r="F593" s="36">
        <f>TRUNC(E593*$C593,0)</f>
        <v>545529</v>
      </c>
      <c r="G593" s="36">
        <v>421</v>
      </c>
      <c r="H593" s="36">
        <f>TRUNC(G593*$C593,0)</f>
        <v>59361</v>
      </c>
      <c r="I593" s="36">
        <v>369</v>
      </c>
      <c r="J593" s="36">
        <f>TRUNC(I593*$C593,0)</f>
        <v>52029</v>
      </c>
      <c r="K593" s="36">
        <f t="shared" si="70"/>
        <v>4659</v>
      </c>
      <c r="L593" s="36">
        <f t="shared" si="70"/>
        <v>656919</v>
      </c>
      <c r="M593" s="37"/>
      <c r="N593" s="253"/>
      <c r="O593" s="38"/>
    </row>
    <row r="594" spans="1:15" s="29" customFormat="1" ht="24.95" customHeight="1">
      <c r="A594" s="31" t="s">
        <v>1384</v>
      </c>
      <c r="B594" s="32" t="s">
        <v>988</v>
      </c>
      <c r="C594" s="33">
        <v>19</v>
      </c>
      <c r="D594" s="34" t="s">
        <v>815</v>
      </c>
      <c r="E594" s="36">
        <v>7146</v>
      </c>
      <c r="F594" s="36">
        <f>TRUNC(E594*$C594,0)</f>
        <v>135774</v>
      </c>
      <c r="G594" s="36">
        <v>472</v>
      </c>
      <c r="H594" s="36">
        <f>TRUNC(G594*$C594,0)</f>
        <v>8968</v>
      </c>
      <c r="I594" s="36">
        <v>409</v>
      </c>
      <c r="J594" s="36">
        <f>TRUNC(I594*$C594,0)</f>
        <v>7771</v>
      </c>
      <c r="K594" s="36">
        <f t="shared" ref="K594:L657" si="80">G594+E594+I594</f>
        <v>8027</v>
      </c>
      <c r="L594" s="36">
        <f t="shared" si="80"/>
        <v>152513</v>
      </c>
      <c r="M594" s="37"/>
      <c r="N594" s="253"/>
      <c r="O594" s="38"/>
    </row>
    <row r="595" spans="1:15" s="29" customFormat="1" ht="24.95" customHeight="1">
      <c r="A595" s="31" t="s">
        <v>1348</v>
      </c>
      <c r="B595" s="32" t="s">
        <v>1349</v>
      </c>
      <c r="C595" s="33">
        <v>39</v>
      </c>
      <c r="D595" s="34" t="s">
        <v>815</v>
      </c>
      <c r="E595" s="36">
        <v>2706</v>
      </c>
      <c r="F595" s="36">
        <f>TRUNC(E595*$C595,0)</f>
        <v>105534</v>
      </c>
      <c r="G595" s="36">
        <v>248</v>
      </c>
      <c r="H595" s="36">
        <f>TRUNC(G595*$C595,0)</f>
        <v>9672</v>
      </c>
      <c r="I595" s="36">
        <v>195</v>
      </c>
      <c r="J595" s="36">
        <f>TRUNC(I595*$C595,0)</f>
        <v>7605</v>
      </c>
      <c r="K595" s="36">
        <f t="shared" si="80"/>
        <v>3149</v>
      </c>
      <c r="L595" s="36">
        <f t="shared" si="80"/>
        <v>122811</v>
      </c>
      <c r="M595" s="37"/>
      <c r="N595" s="253"/>
      <c r="O595" s="38"/>
    </row>
    <row r="596" spans="1:15" s="77" customFormat="1" ht="24.95" customHeight="1">
      <c r="A596" s="71" t="s">
        <v>1385</v>
      </c>
      <c r="B596" s="72" t="s">
        <v>22</v>
      </c>
      <c r="C596" s="73"/>
      <c r="D596" s="74" t="s">
        <v>22</v>
      </c>
      <c r="E596" s="74"/>
      <c r="F596" s="75">
        <f>TRUNC(F597+F598+F599+F600+F601+F602+F603+F604+F605+F606,0)</f>
        <v>3949573</v>
      </c>
      <c r="G596" s="74"/>
      <c r="H596" s="75">
        <f>TRUNC(H597+H598+H599+H600+H601+H602+H603+H604+H605+H606,0)</f>
        <v>1249474</v>
      </c>
      <c r="I596" s="74"/>
      <c r="J596" s="75">
        <f>TRUNC(J597+J598+J599+J600+J601+J602+J603+J604+J605+J606,0)</f>
        <v>226130</v>
      </c>
      <c r="K596" s="75">
        <f t="shared" si="80"/>
        <v>0</v>
      </c>
      <c r="L596" s="75">
        <f t="shared" si="80"/>
        <v>5425177</v>
      </c>
      <c r="M596" s="76"/>
      <c r="N596" s="257"/>
    </row>
    <row r="597" spans="1:15" s="29" customFormat="1" ht="24.95" customHeight="1">
      <c r="A597" s="31" t="s">
        <v>1386</v>
      </c>
      <c r="B597" s="32" t="s">
        <v>1199</v>
      </c>
      <c r="C597" s="33">
        <v>41</v>
      </c>
      <c r="D597" s="34" t="s">
        <v>1192</v>
      </c>
      <c r="E597" s="36">
        <v>28623</v>
      </c>
      <c r="F597" s="36">
        <f t="shared" ref="F597:F606" si="81">TRUNC(E597*$C597,0)</f>
        <v>1173543</v>
      </c>
      <c r="G597" s="36">
        <v>23004</v>
      </c>
      <c r="H597" s="36">
        <f t="shared" ref="H597:H606" si="82">TRUNC(G597*$C597,0)</f>
        <v>943164</v>
      </c>
      <c r="I597" s="36">
        <v>4756</v>
      </c>
      <c r="J597" s="36">
        <f t="shared" ref="J597:J606" si="83">TRUNC(I597*$C597,0)</f>
        <v>194996</v>
      </c>
      <c r="K597" s="36">
        <f t="shared" si="80"/>
        <v>56383</v>
      </c>
      <c r="L597" s="36">
        <f t="shared" si="80"/>
        <v>2311703</v>
      </c>
      <c r="M597" s="37"/>
      <c r="N597" s="253"/>
      <c r="O597" s="38"/>
    </row>
    <row r="598" spans="1:15" s="29" customFormat="1" ht="24.95" customHeight="1">
      <c r="A598" s="31" t="s">
        <v>1387</v>
      </c>
      <c r="B598" s="32" t="s">
        <v>1262</v>
      </c>
      <c r="C598" s="33">
        <v>5</v>
      </c>
      <c r="D598" s="34" t="s">
        <v>116</v>
      </c>
      <c r="E598" s="36">
        <v>27234</v>
      </c>
      <c r="F598" s="36">
        <f t="shared" si="81"/>
        <v>136170</v>
      </c>
      <c r="G598" s="36">
        <v>0</v>
      </c>
      <c r="H598" s="36">
        <f t="shared" si="82"/>
        <v>0</v>
      </c>
      <c r="I598" s="36">
        <v>543</v>
      </c>
      <c r="J598" s="36">
        <f t="shared" si="83"/>
        <v>2715</v>
      </c>
      <c r="K598" s="36">
        <f t="shared" si="80"/>
        <v>27777</v>
      </c>
      <c r="L598" s="36">
        <f t="shared" si="80"/>
        <v>138885</v>
      </c>
      <c r="M598" s="37"/>
      <c r="N598" s="253"/>
      <c r="O598" s="38"/>
    </row>
    <row r="599" spans="1:15" s="29" customFormat="1" ht="24.95" customHeight="1">
      <c r="A599" s="31" t="s">
        <v>1388</v>
      </c>
      <c r="B599" s="32" t="s">
        <v>1262</v>
      </c>
      <c r="C599" s="33">
        <v>10</v>
      </c>
      <c r="D599" s="34" t="s">
        <v>1116</v>
      </c>
      <c r="E599" s="36">
        <v>12886</v>
      </c>
      <c r="F599" s="36">
        <f t="shared" si="81"/>
        <v>128860</v>
      </c>
      <c r="G599" s="36">
        <v>4214</v>
      </c>
      <c r="H599" s="36">
        <f t="shared" si="82"/>
        <v>42140</v>
      </c>
      <c r="I599" s="36">
        <v>0</v>
      </c>
      <c r="J599" s="36">
        <f t="shared" si="83"/>
        <v>0</v>
      </c>
      <c r="K599" s="36">
        <f t="shared" si="80"/>
        <v>17100</v>
      </c>
      <c r="L599" s="36">
        <f t="shared" si="80"/>
        <v>171000</v>
      </c>
      <c r="M599" s="37"/>
      <c r="N599" s="253"/>
      <c r="O599" s="38"/>
    </row>
    <row r="600" spans="1:15" s="29" customFormat="1" ht="24.95" customHeight="1">
      <c r="A600" s="31" t="s">
        <v>1388</v>
      </c>
      <c r="B600" s="32" t="s">
        <v>1155</v>
      </c>
      <c r="C600" s="33">
        <v>1</v>
      </c>
      <c r="D600" s="34" t="s">
        <v>1116</v>
      </c>
      <c r="E600" s="36">
        <v>19695</v>
      </c>
      <c r="F600" s="36">
        <f t="shared" si="81"/>
        <v>19695</v>
      </c>
      <c r="G600" s="36">
        <v>7815</v>
      </c>
      <c r="H600" s="36">
        <f t="shared" si="82"/>
        <v>7815</v>
      </c>
      <c r="I600" s="36">
        <v>0</v>
      </c>
      <c r="J600" s="36">
        <f t="shared" si="83"/>
        <v>0</v>
      </c>
      <c r="K600" s="36">
        <f t="shared" si="80"/>
        <v>27510</v>
      </c>
      <c r="L600" s="36">
        <f t="shared" si="80"/>
        <v>27510</v>
      </c>
      <c r="M600" s="37"/>
      <c r="N600" s="253"/>
      <c r="O600" s="38"/>
    </row>
    <row r="601" spans="1:15" s="29" customFormat="1" ht="24.95" customHeight="1">
      <c r="A601" s="31" t="s">
        <v>1389</v>
      </c>
      <c r="B601" s="32" t="s">
        <v>1262</v>
      </c>
      <c r="C601" s="33">
        <v>10</v>
      </c>
      <c r="D601" s="34" t="s">
        <v>1014</v>
      </c>
      <c r="E601" s="36">
        <v>30029</v>
      </c>
      <c r="F601" s="36">
        <f t="shared" si="81"/>
        <v>300290</v>
      </c>
      <c r="G601" s="36">
        <v>0</v>
      </c>
      <c r="H601" s="36">
        <f t="shared" si="82"/>
        <v>0</v>
      </c>
      <c r="I601" s="36">
        <v>1200</v>
      </c>
      <c r="J601" s="36">
        <f t="shared" si="83"/>
        <v>12000</v>
      </c>
      <c r="K601" s="36">
        <f t="shared" si="80"/>
        <v>31229</v>
      </c>
      <c r="L601" s="36">
        <f t="shared" si="80"/>
        <v>312290</v>
      </c>
      <c r="M601" s="37"/>
      <c r="N601" s="253"/>
      <c r="O601" s="38"/>
    </row>
    <row r="602" spans="1:15" s="29" customFormat="1" ht="24.95" customHeight="1">
      <c r="A602" s="31" t="s">
        <v>1389</v>
      </c>
      <c r="B602" s="32" t="s">
        <v>1155</v>
      </c>
      <c r="C602" s="33">
        <v>1</v>
      </c>
      <c r="D602" s="34" t="s">
        <v>1014</v>
      </c>
      <c r="E602" s="36">
        <v>37148</v>
      </c>
      <c r="F602" s="36">
        <f t="shared" si="81"/>
        <v>37148</v>
      </c>
      <c r="G602" s="36">
        <v>0</v>
      </c>
      <c r="H602" s="36">
        <f t="shared" si="82"/>
        <v>0</v>
      </c>
      <c r="I602" s="36">
        <v>1485</v>
      </c>
      <c r="J602" s="36">
        <f t="shared" si="83"/>
        <v>1485</v>
      </c>
      <c r="K602" s="36">
        <f t="shared" si="80"/>
        <v>38633</v>
      </c>
      <c r="L602" s="36">
        <f t="shared" si="80"/>
        <v>38633</v>
      </c>
      <c r="M602" s="37"/>
      <c r="N602" s="253"/>
      <c r="O602" s="38"/>
    </row>
    <row r="603" spans="1:15" s="29" customFormat="1" ht="24.95" customHeight="1">
      <c r="A603" s="31" t="s">
        <v>1390</v>
      </c>
      <c r="B603" s="32" t="s">
        <v>1262</v>
      </c>
      <c r="C603" s="33">
        <v>6</v>
      </c>
      <c r="D603" s="34" t="s">
        <v>960</v>
      </c>
      <c r="E603" s="36">
        <v>38401</v>
      </c>
      <c r="F603" s="36">
        <f t="shared" si="81"/>
        <v>230406</v>
      </c>
      <c r="G603" s="36">
        <v>0</v>
      </c>
      <c r="H603" s="36">
        <f t="shared" si="82"/>
        <v>0</v>
      </c>
      <c r="I603" s="36">
        <v>767</v>
      </c>
      <c r="J603" s="36">
        <f t="shared" si="83"/>
        <v>4602</v>
      </c>
      <c r="K603" s="36">
        <f t="shared" si="80"/>
        <v>39168</v>
      </c>
      <c r="L603" s="36">
        <f t="shared" si="80"/>
        <v>235008</v>
      </c>
      <c r="M603" s="37"/>
      <c r="N603" s="253"/>
      <c r="O603" s="38"/>
    </row>
    <row r="604" spans="1:15" s="29" customFormat="1" ht="24.95" customHeight="1">
      <c r="A604" s="31" t="s">
        <v>1391</v>
      </c>
      <c r="B604" s="32" t="s">
        <v>1392</v>
      </c>
      <c r="C604" s="33">
        <v>6</v>
      </c>
      <c r="D604" s="34" t="s">
        <v>960</v>
      </c>
      <c r="E604" s="36">
        <v>92209</v>
      </c>
      <c r="F604" s="36">
        <f t="shared" si="81"/>
        <v>553254</v>
      </c>
      <c r="G604" s="36">
        <v>37306</v>
      </c>
      <c r="H604" s="36">
        <f t="shared" si="82"/>
        <v>223836</v>
      </c>
      <c r="I604" s="36">
        <v>1722</v>
      </c>
      <c r="J604" s="36">
        <f t="shared" si="83"/>
        <v>10332</v>
      </c>
      <c r="K604" s="36">
        <f t="shared" si="80"/>
        <v>131237</v>
      </c>
      <c r="L604" s="36">
        <f t="shared" si="80"/>
        <v>787422</v>
      </c>
      <c r="M604" s="37"/>
      <c r="N604" s="253"/>
      <c r="O604" s="38"/>
    </row>
    <row r="605" spans="1:15" s="29" customFormat="1" ht="24.95" customHeight="1">
      <c r="A605" s="31" t="s">
        <v>1393</v>
      </c>
      <c r="B605" s="32" t="s">
        <v>1394</v>
      </c>
      <c r="C605" s="33">
        <v>1</v>
      </c>
      <c r="D605" s="34" t="s">
        <v>885</v>
      </c>
      <c r="E605" s="36">
        <v>392769</v>
      </c>
      <c r="F605" s="36">
        <f t="shared" si="81"/>
        <v>392769</v>
      </c>
      <c r="G605" s="36">
        <v>32519</v>
      </c>
      <c r="H605" s="36">
        <f t="shared" si="82"/>
        <v>32519</v>
      </c>
      <c r="I605" s="36">
        <v>0</v>
      </c>
      <c r="J605" s="36">
        <f t="shared" si="83"/>
        <v>0</v>
      </c>
      <c r="K605" s="36">
        <f t="shared" si="80"/>
        <v>425288</v>
      </c>
      <c r="L605" s="36">
        <f t="shared" si="80"/>
        <v>425288</v>
      </c>
      <c r="M605" s="37"/>
      <c r="N605" s="253"/>
      <c r="O605" s="38"/>
    </row>
    <row r="606" spans="1:15" s="29" customFormat="1" ht="24.95" customHeight="1">
      <c r="A606" s="31" t="s">
        <v>1395</v>
      </c>
      <c r="B606" s="32" t="s">
        <v>1396</v>
      </c>
      <c r="C606" s="33">
        <v>2</v>
      </c>
      <c r="D606" s="34" t="s">
        <v>1397</v>
      </c>
      <c r="E606" s="36">
        <v>488719</v>
      </c>
      <c r="F606" s="36">
        <f t="shared" si="81"/>
        <v>977438</v>
      </c>
      <c r="G606" s="36">
        <v>0</v>
      </c>
      <c r="H606" s="36">
        <f t="shared" si="82"/>
        <v>0</v>
      </c>
      <c r="I606" s="36">
        <v>0</v>
      </c>
      <c r="J606" s="36">
        <f t="shared" si="83"/>
        <v>0</v>
      </c>
      <c r="K606" s="36">
        <f t="shared" si="80"/>
        <v>488719</v>
      </c>
      <c r="L606" s="36">
        <f t="shared" si="80"/>
        <v>977438</v>
      </c>
      <c r="M606" s="37"/>
      <c r="N606" s="253"/>
      <c r="O606" s="38"/>
    </row>
    <row r="607" spans="1:15" s="63" customFormat="1" ht="24.95" customHeight="1">
      <c r="A607" s="57" t="s">
        <v>1398</v>
      </c>
      <c r="B607" s="58" t="s">
        <v>22</v>
      </c>
      <c r="C607" s="59"/>
      <c r="D607" s="60" t="s">
        <v>22</v>
      </c>
      <c r="E607" s="60"/>
      <c r="F607" s="61">
        <f>TRUNC(F608+F609+F610,0)</f>
        <v>64817791</v>
      </c>
      <c r="G607" s="60"/>
      <c r="H607" s="61">
        <f>TRUNC(H608+H609+H610,0)</f>
        <v>24576970</v>
      </c>
      <c r="I607" s="60"/>
      <c r="J607" s="61">
        <f>TRUNC(J608+J609+J610,0)</f>
        <v>12637498</v>
      </c>
      <c r="K607" s="61">
        <f t="shared" si="80"/>
        <v>0</v>
      </c>
      <c r="L607" s="61">
        <f t="shared" si="80"/>
        <v>102032259</v>
      </c>
      <c r="M607" s="62"/>
      <c r="N607" s="253"/>
    </row>
    <row r="608" spans="1:15" s="29" customFormat="1" ht="24.95" customHeight="1">
      <c r="A608" s="31" t="s">
        <v>1399</v>
      </c>
      <c r="B608" s="32" t="s">
        <v>1372</v>
      </c>
      <c r="C608" s="33">
        <v>186</v>
      </c>
      <c r="D608" s="34" t="s">
        <v>1014</v>
      </c>
      <c r="E608" s="36">
        <v>274988</v>
      </c>
      <c r="F608" s="36">
        <f>TRUNC(E608*$C608,0)</f>
        <v>51147768</v>
      </c>
      <c r="G608" s="36">
        <v>68480</v>
      </c>
      <c r="H608" s="36">
        <f>TRUNC(G608*$C608,0)</f>
        <v>12737280</v>
      </c>
      <c r="I608" s="36">
        <v>16882</v>
      </c>
      <c r="J608" s="36">
        <f>TRUNC(I608*$C608,0)</f>
        <v>3140052</v>
      </c>
      <c r="K608" s="36">
        <f t="shared" si="80"/>
        <v>360350</v>
      </c>
      <c r="L608" s="36">
        <f t="shared" si="80"/>
        <v>67025100</v>
      </c>
      <c r="M608" s="37"/>
      <c r="N608" s="253"/>
      <c r="O608" s="38"/>
    </row>
    <row r="609" spans="1:15" s="29" customFormat="1" ht="24.95" customHeight="1">
      <c r="A609" s="31" t="s">
        <v>1141</v>
      </c>
      <c r="B609" s="32" t="s">
        <v>1142</v>
      </c>
      <c r="C609" s="33">
        <v>9293</v>
      </c>
      <c r="D609" s="34" t="s">
        <v>116</v>
      </c>
      <c r="E609" s="36">
        <v>1411</v>
      </c>
      <c r="F609" s="36">
        <f>TRUNC(E609*$C609,0)</f>
        <v>13112423</v>
      </c>
      <c r="G609" s="36">
        <v>50</v>
      </c>
      <c r="H609" s="36">
        <f>TRUNC(G609*$C609,0)</f>
        <v>464650</v>
      </c>
      <c r="I609" s="36">
        <v>1022</v>
      </c>
      <c r="J609" s="36">
        <f>TRUNC(I609*$C609,0)</f>
        <v>9497446</v>
      </c>
      <c r="K609" s="36">
        <f t="shared" si="80"/>
        <v>2483</v>
      </c>
      <c r="L609" s="36">
        <f t="shared" si="80"/>
        <v>23074519</v>
      </c>
      <c r="M609" s="37"/>
      <c r="N609" s="253"/>
      <c r="O609" s="38"/>
    </row>
    <row r="610" spans="1:15" s="29" customFormat="1" ht="24.95" customHeight="1">
      <c r="A610" s="31" t="s">
        <v>1400</v>
      </c>
      <c r="B610" s="32" t="s">
        <v>1140</v>
      </c>
      <c r="C610" s="33">
        <v>13940</v>
      </c>
      <c r="D610" s="34" t="s">
        <v>116</v>
      </c>
      <c r="E610" s="36">
        <v>40</v>
      </c>
      <c r="F610" s="36">
        <f>TRUNC(E610*$C610,0)</f>
        <v>557600</v>
      </c>
      <c r="G610" s="36">
        <v>816</v>
      </c>
      <c r="H610" s="36">
        <f>TRUNC(G610*$C610,0)</f>
        <v>11375040</v>
      </c>
      <c r="I610" s="36">
        <v>0</v>
      </c>
      <c r="J610" s="36">
        <f>TRUNC(I610*$C610,0)</f>
        <v>0</v>
      </c>
      <c r="K610" s="36">
        <f t="shared" si="80"/>
        <v>856</v>
      </c>
      <c r="L610" s="36">
        <f t="shared" si="80"/>
        <v>11932640</v>
      </c>
      <c r="M610" s="37"/>
      <c r="N610" s="253"/>
      <c r="O610" s="38"/>
    </row>
    <row r="611" spans="1:15" s="63" customFormat="1" ht="24.95" customHeight="1">
      <c r="A611" s="57" t="s">
        <v>1401</v>
      </c>
      <c r="B611" s="58" t="s">
        <v>22</v>
      </c>
      <c r="C611" s="59"/>
      <c r="D611" s="60" t="s">
        <v>22</v>
      </c>
      <c r="E611" s="60"/>
      <c r="F611" s="61">
        <f>TRUNC(F613+F615,0)</f>
        <v>0</v>
      </c>
      <c r="G611" s="60"/>
      <c r="H611" s="61">
        <f>TRUNC(H613+H615,0)</f>
        <v>0</v>
      </c>
      <c r="I611" s="60"/>
      <c r="J611" s="61">
        <f>TRUNC(J613+J615,0)</f>
        <v>189665</v>
      </c>
      <c r="K611" s="61">
        <f t="shared" si="80"/>
        <v>0</v>
      </c>
      <c r="L611" s="61">
        <f t="shared" si="80"/>
        <v>189665</v>
      </c>
      <c r="M611" s="62"/>
      <c r="N611" s="253"/>
    </row>
    <row r="612" spans="1:15" s="29" customFormat="1" ht="24.95" customHeight="1">
      <c r="A612" s="31" t="s">
        <v>1402</v>
      </c>
      <c r="B612" s="32" t="s">
        <v>22</v>
      </c>
      <c r="C612" s="33"/>
      <c r="D612" s="34" t="s">
        <v>22</v>
      </c>
      <c r="E612" s="34"/>
      <c r="F612" s="36">
        <f>TRUNC(F613,0)</f>
        <v>0</v>
      </c>
      <c r="G612" s="34"/>
      <c r="H612" s="36">
        <f>TRUNC(H613,0)</f>
        <v>0</v>
      </c>
      <c r="I612" s="34"/>
      <c r="J612" s="36">
        <f>TRUNC(J613,0)</f>
        <v>135729</v>
      </c>
      <c r="K612" s="36">
        <f t="shared" si="80"/>
        <v>0</v>
      </c>
      <c r="L612" s="36">
        <f t="shared" si="80"/>
        <v>135729</v>
      </c>
      <c r="M612" s="37"/>
      <c r="N612" s="253"/>
    </row>
    <row r="613" spans="1:15" s="29" customFormat="1" ht="24.95" customHeight="1">
      <c r="A613" s="31" t="s">
        <v>1403</v>
      </c>
      <c r="B613" s="32" t="s">
        <v>1404</v>
      </c>
      <c r="C613" s="33">
        <v>297</v>
      </c>
      <c r="D613" s="34" t="s">
        <v>1405</v>
      </c>
      <c r="E613" s="36">
        <v>0</v>
      </c>
      <c r="F613" s="36">
        <f>TRUNC(E613*$C613,0)</f>
        <v>0</v>
      </c>
      <c r="G613" s="36">
        <v>0</v>
      </c>
      <c r="H613" s="36">
        <f>TRUNC(G613*$C613,0)</f>
        <v>0</v>
      </c>
      <c r="I613" s="36">
        <v>457</v>
      </c>
      <c r="J613" s="36">
        <f>TRUNC(I613*$C613,0)</f>
        <v>135729</v>
      </c>
      <c r="K613" s="36">
        <f t="shared" si="80"/>
        <v>457</v>
      </c>
      <c r="L613" s="36">
        <f t="shared" si="80"/>
        <v>135729</v>
      </c>
      <c r="M613" s="37"/>
      <c r="N613" s="253"/>
      <c r="O613" s="38"/>
    </row>
    <row r="614" spans="1:15" s="29" customFormat="1" ht="24.95" customHeight="1">
      <c r="A614" s="31" t="s">
        <v>1406</v>
      </c>
      <c r="B614" s="32" t="s">
        <v>22</v>
      </c>
      <c r="C614" s="33"/>
      <c r="D614" s="34" t="s">
        <v>22</v>
      </c>
      <c r="E614" s="34"/>
      <c r="F614" s="36">
        <f>TRUNC(F615,0)</f>
        <v>0</v>
      </c>
      <c r="G614" s="34"/>
      <c r="H614" s="36">
        <f>TRUNC(H615,0)</f>
        <v>0</v>
      </c>
      <c r="I614" s="34"/>
      <c r="J614" s="36">
        <f>TRUNC(J615,0)</f>
        <v>53936</v>
      </c>
      <c r="K614" s="36">
        <f t="shared" si="80"/>
        <v>0</v>
      </c>
      <c r="L614" s="36">
        <f t="shared" si="80"/>
        <v>53936</v>
      </c>
      <c r="M614" s="37"/>
      <c r="N614" s="253"/>
    </row>
    <row r="615" spans="1:15" s="29" customFormat="1" ht="24.95" customHeight="1">
      <c r="A615" s="31" t="s">
        <v>1407</v>
      </c>
      <c r="B615" s="32" t="s">
        <v>1408</v>
      </c>
      <c r="C615" s="261">
        <v>3.97</v>
      </c>
      <c r="D615" s="34" t="s">
        <v>1112</v>
      </c>
      <c r="E615" s="36">
        <v>0</v>
      </c>
      <c r="F615" s="36">
        <f>TRUNC(E615*$C615,0)</f>
        <v>0</v>
      </c>
      <c r="G615" s="36">
        <v>0</v>
      </c>
      <c r="H615" s="36">
        <f>TRUNC(G615*$C615,0)</f>
        <v>0</v>
      </c>
      <c r="I615" s="36">
        <v>13586</v>
      </c>
      <c r="J615" s="36">
        <f>TRUNC(I615*$C615,0)</f>
        <v>53936</v>
      </c>
      <c r="K615" s="36">
        <f t="shared" si="80"/>
        <v>13586</v>
      </c>
      <c r="L615" s="36">
        <f t="shared" si="80"/>
        <v>53936</v>
      </c>
      <c r="M615" s="37"/>
      <c r="N615" s="253"/>
      <c r="O615" s="38"/>
    </row>
    <row r="616" spans="1:15" s="63" customFormat="1" ht="24.95" customHeight="1">
      <c r="A616" s="57" t="s">
        <v>1409</v>
      </c>
      <c r="B616" s="58" t="s">
        <v>22</v>
      </c>
      <c r="C616" s="59"/>
      <c r="D616" s="60" t="s">
        <v>22</v>
      </c>
      <c r="E616" s="60"/>
      <c r="F616" s="61">
        <f>F617+F618+F619+F620+F621+F626+F628</f>
        <v>0</v>
      </c>
      <c r="G616" s="60"/>
      <c r="H616" s="61">
        <f>H617+H618+H619+H620+H621+H626+H628</f>
        <v>984546943</v>
      </c>
      <c r="I616" s="60"/>
      <c r="J616" s="61">
        <f>J617+J618+J619+J620+J621+J626+J628</f>
        <v>0</v>
      </c>
      <c r="K616" s="61">
        <f t="shared" si="80"/>
        <v>0</v>
      </c>
      <c r="L616" s="61">
        <f t="shared" si="80"/>
        <v>984546943</v>
      </c>
      <c r="M616" s="62"/>
      <c r="N616" s="253"/>
    </row>
    <row r="617" spans="1:15" s="70" customFormat="1" ht="24.95" customHeight="1">
      <c r="A617" s="64" t="s">
        <v>1253</v>
      </c>
      <c r="B617" s="65" t="s">
        <v>1259</v>
      </c>
      <c r="C617" s="66">
        <v>36</v>
      </c>
      <c r="D617" s="67" t="s">
        <v>815</v>
      </c>
      <c r="E617" s="68">
        <v>0</v>
      </c>
      <c r="F617" s="68">
        <f>TRUNC(E617*$C617,0)</f>
        <v>0</v>
      </c>
      <c r="G617" s="68">
        <v>81324</v>
      </c>
      <c r="H617" s="68">
        <f>TRUNC(G617*$C617,0)</f>
        <v>2927664</v>
      </c>
      <c r="I617" s="68">
        <v>0</v>
      </c>
      <c r="J617" s="68">
        <f>TRUNC(I617*$C617,0)</f>
        <v>0</v>
      </c>
      <c r="K617" s="68">
        <f t="shared" si="80"/>
        <v>81324</v>
      </c>
      <c r="L617" s="68">
        <f t="shared" si="80"/>
        <v>2927664</v>
      </c>
      <c r="M617" s="69"/>
      <c r="N617" s="256"/>
      <c r="O617" s="78"/>
    </row>
    <row r="618" spans="1:15" s="70" customFormat="1" ht="24.95" customHeight="1">
      <c r="A618" s="64" t="s">
        <v>1410</v>
      </c>
      <c r="B618" s="65" t="s">
        <v>1265</v>
      </c>
      <c r="C618" s="66">
        <v>2461</v>
      </c>
      <c r="D618" s="67" t="s">
        <v>815</v>
      </c>
      <c r="E618" s="68">
        <v>0</v>
      </c>
      <c r="F618" s="68">
        <f>TRUNC(E618*$C618,0)</f>
        <v>0</v>
      </c>
      <c r="G618" s="68">
        <v>25825</v>
      </c>
      <c r="H618" s="68">
        <f>TRUNC(G618*$C618,0)</f>
        <v>63555325</v>
      </c>
      <c r="I618" s="68">
        <v>0</v>
      </c>
      <c r="J618" s="68">
        <f>TRUNC(I618*$C618,0)</f>
        <v>0</v>
      </c>
      <c r="K618" s="68">
        <f t="shared" si="80"/>
        <v>25825</v>
      </c>
      <c r="L618" s="68">
        <f t="shared" si="80"/>
        <v>63555325</v>
      </c>
      <c r="M618" s="69"/>
      <c r="N618" s="256"/>
      <c r="O618" s="78"/>
    </row>
    <row r="619" spans="1:15" s="70" customFormat="1" ht="24.95" customHeight="1">
      <c r="A619" s="64" t="s">
        <v>1411</v>
      </c>
      <c r="B619" s="65" t="s">
        <v>22</v>
      </c>
      <c r="C619" s="66">
        <v>297</v>
      </c>
      <c r="D619" s="67" t="s">
        <v>1405</v>
      </c>
      <c r="E619" s="68">
        <v>0</v>
      </c>
      <c r="F619" s="68">
        <f>TRUNC(E619*$C619,0)</f>
        <v>0</v>
      </c>
      <c r="G619" s="68">
        <v>5581</v>
      </c>
      <c r="H619" s="68">
        <f>TRUNC(G619*$C619,0)</f>
        <v>1657557</v>
      </c>
      <c r="I619" s="68">
        <v>0</v>
      </c>
      <c r="J619" s="68">
        <f>TRUNC(I619*$C619,0)</f>
        <v>0</v>
      </c>
      <c r="K619" s="68">
        <f t="shared" si="80"/>
        <v>5581</v>
      </c>
      <c r="L619" s="68">
        <f t="shared" si="80"/>
        <v>1657557</v>
      </c>
      <c r="M619" s="69"/>
      <c r="N619" s="256"/>
      <c r="O619" s="78"/>
    </row>
    <row r="620" spans="1:15" s="70" customFormat="1" ht="24.95" customHeight="1">
      <c r="A620" s="64" t="s">
        <v>1412</v>
      </c>
      <c r="B620" s="65" t="s">
        <v>1413</v>
      </c>
      <c r="C620" s="66">
        <v>13</v>
      </c>
      <c r="D620" s="67" t="s">
        <v>815</v>
      </c>
      <c r="E620" s="68">
        <v>0</v>
      </c>
      <c r="F620" s="68">
        <f>TRUNC(E620*$C620,0)</f>
        <v>0</v>
      </c>
      <c r="G620" s="68">
        <v>19993</v>
      </c>
      <c r="H620" s="68">
        <f>TRUNC(G620*$C620,0)</f>
        <v>259909</v>
      </c>
      <c r="I620" s="68">
        <v>0</v>
      </c>
      <c r="J620" s="68">
        <f>TRUNC(I620*$C620,0)</f>
        <v>0</v>
      </c>
      <c r="K620" s="68">
        <f t="shared" si="80"/>
        <v>19993</v>
      </c>
      <c r="L620" s="68">
        <f t="shared" si="80"/>
        <v>259909</v>
      </c>
      <c r="M620" s="69"/>
      <c r="N620" s="256"/>
      <c r="O620" s="78"/>
    </row>
    <row r="621" spans="1:15" s="70" customFormat="1" ht="24.95" customHeight="1">
      <c r="A621" s="64" t="s">
        <v>1414</v>
      </c>
      <c r="B621" s="65" t="s">
        <v>22</v>
      </c>
      <c r="C621" s="66"/>
      <c r="D621" s="67" t="s">
        <v>22</v>
      </c>
      <c r="E621" s="67"/>
      <c r="F621" s="68">
        <f>TRUNC(F622+F623+F624+F625,0)</f>
        <v>0</v>
      </c>
      <c r="G621" s="67"/>
      <c r="H621" s="68">
        <f>TRUNC(H622+H623+H624+H625,0)</f>
        <v>362200955</v>
      </c>
      <c r="I621" s="67"/>
      <c r="J621" s="68">
        <f>TRUNC(J622+J623+J624+J625,0)</f>
        <v>0</v>
      </c>
      <c r="K621" s="68">
        <f t="shared" si="80"/>
        <v>0</v>
      </c>
      <c r="L621" s="68">
        <f t="shared" si="80"/>
        <v>362200955</v>
      </c>
      <c r="M621" s="69"/>
      <c r="N621" s="256"/>
    </row>
    <row r="622" spans="1:15" s="29" customFormat="1" ht="24.95" customHeight="1">
      <c r="A622" s="31" t="s">
        <v>1267</v>
      </c>
      <c r="B622" s="32" t="s">
        <v>1415</v>
      </c>
      <c r="C622" s="33">
        <v>335</v>
      </c>
      <c r="D622" s="34" t="s">
        <v>116</v>
      </c>
      <c r="E622" s="36">
        <v>0</v>
      </c>
      <c r="F622" s="36">
        <f>TRUNC(E622*$C622,0)</f>
        <v>0</v>
      </c>
      <c r="G622" s="36">
        <v>13504</v>
      </c>
      <c r="H622" s="36">
        <f>TRUNC(G622*$C622,0)</f>
        <v>4523840</v>
      </c>
      <c r="I622" s="36">
        <v>0</v>
      </c>
      <c r="J622" s="36">
        <f>TRUNC(I622*$C622,0)</f>
        <v>0</v>
      </c>
      <c r="K622" s="36">
        <f t="shared" si="80"/>
        <v>13504</v>
      </c>
      <c r="L622" s="36">
        <f t="shared" si="80"/>
        <v>4523840</v>
      </c>
      <c r="M622" s="37"/>
      <c r="N622" s="253"/>
      <c r="O622" s="38"/>
    </row>
    <row r="623" spans="1:15" s="29" customFormat="1" ht="24.95" customHeight="1">
      <c r="A623" s="31" t="s">
        <v>1267</v>
      </c>
      <c r="B623" s="32" t="s">
        <v>1416</v>
      </c>
      <c r="C623" s="33">
        <v>9341</v>
      </c>
      <c r="D623" s="34" t="s">
        <v>116</v>
      </c>
      <c r="E623" s="36">
        <v>0</v>
      </c>
      <c r="F623" s="36">
        <f>TRUNC(E623*$C623,0)</f>
        <v>0</v>
      </c>
      <c r="G623" s="36">
        <v>37849</v>
      </c>
      <c r="H623" s="36">
        <f>TRUNC(G623*$C623,0)</f>
        <v>353547509</v>
      </c>
      <c r="I623" s="36">
        <v>0</v>
      </c>
      <c r="J623" s="36">
        <f>TRUNC(I623*$C623,0)</f>
        <v>0</v>
      </c>
      <c r="K623" s="36">
        <f t="shared" si="80"/>
        <v>37849</v>
      </c>
      <c r="L623" s="36">
        <f t="shared" si="80"/>
        <v>353547509</v>
      </c>
      <c r="M623" s="37"/>
      <c r="N623" s="253"/>
      <c r="O623" s="38"/>
    </row>
    <row r="624" spans="1:15" s="29" customFormat="1" ht="24.95" customHeight="1">
      <c r="A624" s="31" t="s">
        <v>1267</v>
      </c>
      <c r="B624" s="32" t="s">
        <v>1417</v>
      </c>
      <c r="C624" s="33">
        <v>26</v>
      </c>
      <c r="D624" s="34" t="s">
        <v>116</v>
      </c>
      <c r="E624" s="36">
        <v>0</v>
      </c>
      <c r="F624" s="36">
        <f>TRUNC(E624*$C624,0)</f>
        <v>0</v>
      </c>
      <c r="G624" s="36">
        <v>62928</v>
      </c>
      <c r="H624" s="36">
        <f>TRUNC(G624*$C624,0)</f>
        <v>1636128</v>
      </c>
      <c r="I624" s="36">
        <v>0</v>
      </c>
      <c r="J624" s="36">
        <f>TRUNC(I624*$C624,0)</f>
        <v>0</v>
      </c>
      <c r="K624" s="36">
        <f t="shared" si="80"/>
        <v>62928</v>
      </c>
      <c r="L624" s="36">
        <f t="shared" si="80"/>
        <v>1636128</v>
      </c>
      <c r="M624" s="37"/>
      <c r="N624" s="253"/>
      <c r="O624" s="38"/>
    </row>
    <row r="625" spans="1:15" s="29" customFormat="1" ht="24.95" customHeight="1">
      <c r="A625" s="31" t="s">
        <v>1267</v>
      </c>
      <c r="B625" s="32" t="s">
        <v>1418</v>
      </c>
      <c r="C625" s="33">
        <v>26</v>
      </c>
      <c r="D625" s="34" t="s">
        <v>1116</v>
      </c>
      <c r="E625" s="36">
        <v>0</v>
      </c>
      <c r="F625" s="36">
        <f>TRUNC(E625*$C625,0)</f>
        <v>0</v>
      </c>
      <c r="G625" s="36">
        <v>95903</v>
      </c>
      <c r="H625" s="36">
        <f>TRUNC(G625*$C625,0)</f>
        <v>2493478</v>
      </c>
      <c r="I625" s="36">
        <v>0</v>
      </c>
      <c r="J625" s="36">
        <f>TRUNC(I625*$C625,0)</f>
        <v>0</v>
      </c>
      <c r="K625" s="36">
        <f t="shared" si="80"/>
        <v>95903</v>
      </c>
      <c r="L625" s="36">
        <f t="shared" si="80"/>
        <v>2493478</v>
      </c>
      <c r="M625" s="37"/>
      <c r="N625" s="253"/>
      <c r="O625" s="38"/>
    </row>
    <row r="626" spans="1:15" s="70" customFormat="1" ht="24.95" customHeight="1">
      <c r="A626" s="64" t="s">
        <v>1419</v>
      </c>
      <c r="B626" s="65" t="s">
        <v>22</v>
      </c>
      <c r="C626" s="66"/>
      <c r="D626" s="67" t="s">
        <v>22</v>
      </c>
      <c r="E626" s="67"/>
      <c r="F626" s="68">
        <f>TRUNC(F627,0)</f>
        <v>0</v>
      </c>
      <c r="G626" s="67"/>
      <c r="H626" s="68">
        <f>TRUNC(H627,0)</f>
        <v>9207452</v>
      </c>
      <c r="I626" s="67"/>
      <c r="J626" s="68">
        <f>TRUNC(J627,0)</f>
        <v>0</v>
      </c>
      <c r="K626" s="68">
        <f t="shared" si="80"/>
        <v>0</v>
      </c>
      <c r="L626" s="68">
        <f t="shared" si="80"/>
        <v>9207452</v>
      </c>
      <c r="M626" s="69"/>
      <c r="N626" s="256"/>
    </row>
    <row r="627" spans="1:15" s="29" customFormat="1" ht="24.95" customHeight="1">
      <c r="A627" s="31" t="s">
        <v>1420</v>
      </c>
      <c r="B627" s="32" t="s">
        <v>1421</v>
      </c>
      <c r="C627" s="33">
        <v>41</v>
      </c>
      <c r="D627" s="34" t="s">
        <v>1192</v>
      </c>
      <c r="E627" s="36">
        <v>0</v>
      </c>
      <c r="F627" s="36">
        <f>TRUNC(E627*$C627,0)</f>
        <v>0</v>
      </c>
      <c r="G627" s="36">
        <v>224572</v>
      </c>
      <c r="H627" s="36">
        <f>TRUNC(G627*$C627,0)</f>
        <v>9207452</v>
      </c>
      <c r="I627" s="36">
        <v>0</v>
      </c>
      <c r="J627" s="36">
        <f>TRUNC(I627*$C627,0)</f>
        <v>0</v>
      </c>
      <c r="K627" s="36">
        <f t="shared" si="80"/>
        <v>224572</v>
      </c>
      <c r="L627" s="36">
        <f t="shared" si="80"/>
        <v>9207452</v>
      </c>
      <c r="M627" s="37"/>
      <c r="N627" s="253"/>
      <c r="O627" s="38"/>
    </row>
    <row r="628" spans="1:15" s="70" customFormat="1" ht="24.95" customHeight="1">
      <c r="A628" s="64" t="s">
        <v>1422</v>
      </c>
      <c r="B628" s="65" t="s">
        <v>22</v>
      </c>
      <c r="C628" s="66"/>
      <c r="D628" s="67" t="s">
        <v>22</v>
      </c>
      <c r="E628" s="67"/>
      <c r="F628" s="68">
        <f>TRUNC(F630+F631+F632+F633+F634+F635+F636+F638+F639+F640+F641+F642+F644+F645+F646+F648+F649+F650+F651+F652+F653+F654+F655+F656+F657,0)</f>
        <v>0</v>
      </c>
      <c r="G628" s="67"/>
      <c r="H628" s="68">
        <f>TRUNC(H630+H631+H632+H633+H634+H635+H636+H638+H639+H640+H641+H642+H644+H645+H646+H648+H649+H650+H651+H652+H653+H654+H655+H656+H657,0)</f>
        <v>544738081</v>
      </c>
      <c r="I628" s="67"/>
      <c r="J628" s="68">
        <f>TRUNC(J630+J631+J632+J633+J634+J635+J636+J638+J639+J640+J641+J642+J644+J645+J646+J648+J649+J650+J651+J652+J653+J654+J655+J656+J657,0)</f>
        <v>0</v>
      </c>
      <c r="K628" s="68">
        <f t="shared" si="80"/>
        <v>0</v>
      </c>
      <c r="L628" s="68">
        <f t="shared" si="80"/>
        <v>544738081</v>
      </c>
      <c r="M628" s="69"/>
      <c r="N628" s="256"/>
    </row>
    <row r="629" spans="1:15" s="77" customFormat="1" ht="24.95" customHeight="1">
      <c r="A629" s="71" t="s">
        <v>1423</v>
      </c>
      <c r="B629" s="72" t="s">
        <v>22</v>
      </c>
      <c r="C629" s="73"/>
      <c r="D629" s="74" t="s">
        <v>22</v>
      </c>
      <c r="E629" s="74"/>
      <c r="F629" s="75">
        <f>TRUNC(F630+F631+F632+F633+F634+F635+F636,0)</f>
        <v>0</v>
      </c>
      <c r="G629" s="74"/>
      <c r="H629" s="75">
        <f>TRUNC(H630+H631+H632+H633+H634+H635+H636,0)</f>
        <v>468387634</v>
      </c>
      <c r="I629" s="74"/>
      <c r="J629" s="75">
        <f>TRUNC(J630+J631+J632+J633+J634+J635+J636,0)</f>
        <v>0</v>
      </c>
      <c r="K629" s="75">
        <f t="shared" si="80"/>
        <v>0</v>
      </c>
      <c r="L629" s="75">
        <f t="shared" si="80"/>
        <v>468387634</v>
      </c>
      <c r="M629" s="76"/>
      <c r="N629" s="257"/>
    </row>
    <row r="630" spans="1:15" s="29" customFormat="1" ht="24.95" customHeight="1">
      <c r="A630" s="31" t="s">
        <v>1424</v>
      </c>
      <c r="B630" s="32" t="s">
        <v>1425</v>
      </c>
      <c r="C630" s="33">
        <v>233</v>
      </c>
      <c r="D630" s="34" t="s">
        <v>1116</v>
      </c>
      <c r="E630" s="36">
        <v>0</v>
      </c>
      <c r="F630" s="36">
        <f t="shared" ref="F630:F636" si="84">TRUNC(E630*$C630,0)</f>
        <v>0</v>
      </c>
      <c r="G630" s="36">
        <v>816496</v>
      </c>
      <c r="H630" s="36">
        <f t="shared" ref="H630:H636" si="85">TRUNC(G630*$C630,0)</f>
        <v>190243568</v>
      </c>
      <c r="I630" s="36">
        <v>0</v>
      </c>
      <c r="J630" s="36">
        <f t="shared" ref="J630:J636" si="86">TRUNC(I630*$C630,0)</f>
        <v>0</v>
      </c>
      <c r="K630" s="36">
        <f t="shared" si="80"/>
        <v>816496</v>
      </c>
      <c r="L630" s="36">
        <f t="shared" si="80"/>
        <v>190243568</v>
      </c>
      <c r="M630" s="37"/>
      <c r="N630" s="253"/>
      <c r="O630" s="38"/>
    </row>
    <row r="631" spans="1:15" s="29" customFormat="1" ht="24.95" customHeight="1">
      <c r="A631" s="31" t="s">
        <v>1426</v>
      </c>
      <c r="B631" s="32" t="s">
        <v>1427</v>
      </c>
      <c r="C631" s="33">
        <v>49</v>
      </c>
      <c r="D631" s="34" t="s">
        <v>1116</v>
      </c>
      <c r="E631" s="36">
        <v>0</v>
      </c>
      <c r="F631" s="36">
        <f t="shared" si="84"/>
        <v>0</v>
      </c>
      <c r="G631" s="36">
        <v>240841</v>
      </c>
      <c r="H631" s="36">
        <f t="shared" si="85"/>
        <v>11801209</v>
      </c>
      <c r="I631" s="36">
        <v>0</v>
      </c>
      <c r="J631" s="36">
        <f t="shared" si="86"/>
        <v>0</v>
      </c>
      <c r="K631" s="36">
        <f t="shared" si="80"/>
        <v>240841</v>
      </c>
      <c r="L631" s="36">
        <f t="shared" si="80"/>
        <v>11801209</v>
      </c>
      <c r="M631" s="37"/>
      <c r="N631" s="253"/>
      <c r="O631" s="38"/>
    </row>
    <row r="632" spans="1:15" s="29" customFormat="1" ht="24.95" customHeight="1">
      <c r="A632" s="31" t="s">
        <v>1426</v>
      </c>
      <c r="B632" s="32" t="s">
        <v>1428</v>
      </c>
      <c r="C632" s="33">
        <v>417</v>
      </c>
      <c r="D632" s="34" t="s">
        <v>1116</v>
      </c>
      <c r="E632" s="36">
        <v>0</v>
      </c>
      <c r="F632" s="36">
        <f t="shared" si="84"/>
        <v>0</v>
      </c>
      <c r="G632" s="36">
        <v>484349</v>
      </c>
      <c r="H632" s="36">
        <f t="shared" si="85"/>
        <v>201973533</v>
      </c>
      <c r="I632" s="36">
        <v>0</v>
      </c>
      <c r="J632" s="36">
        <f t="shared" si="86"/>
        <v>0</v>
      </c>
      <c r="K632" s="36">
        <f t="shared" si="80"/>
        <v>484349</v>
      </c>
      <c r="L632" s="36">
        <f t="shared" si="80"/>
        <v>201973533</v>
      </c>
      <c r="M632" s="37"/>
      <c r="N632" s="253"/>
      <c r="O632" s="38"/>
    </row>
    <row r="633" spans="1:15" s="29" customFormat="1" ht="24.95" customHeight="1">
      <c r="A633" s="31" t="s">
        <v>1429</v>
      </c>
      <c r="B633" s="32" t="s">
        <v>1430</v>
      </c>
      <c r="C633" s="33">
        <v>124</v>
      </c>
      <c r="D633" s="34" t="s">
        <v>1116</v>
      </c>
      <c r="E633" s="36">
        <v>0</v>
      </c>
      <c r="F633" s="36">
        <f t="shared" si="84"/>
        <v>0</v>
      </c>
      <c r="G633" s="36">
        <v>178694</v>
      </c>
      <c r="H633" s="36">
        <f t="shared" si="85"/>
        <v>22158056</v>
      </c>
      <c r="I633" s="36">
        <v>0</v>
      </c>
      <c r="J633" s="36">
        <f t="shared" si="86"/>
        <v>0</v>
      </c>
      <c r="K633" s="36">
        <f t="shared" si="80"/>
        <v>178694</v>
      </c>
      <c r="L633" s="36">
        <f t="shared" si="80"/>
        <v>22158056</v>
      </c>
      <c r="M633" s="37"/>
      <c r="N633" s="253"/>
      <c r="O633" s="38"/>
    </row>
    <row r="634" spans="1:15" s="29" customFormat="1" ht="24.95" customHeight="1">
      <c r="A634" s="31" t="s">
        <v>1429</v>
      </c>
      <c r="B634" s="32" t="s">
        <v>1431</v>
      </c>
      <c r="C634" s="33">
        <v>60</v>
      </c>
      <c r="D634" s="34" t="s">
        <v>1116</v>
      </c>
      <c r="E634" s="36">
        <v>0</v>
      </c>
      <c r="F634" s="36">
        <f t="shared" si="84"/>
        <v>0</v>
      </c>
      <c r="G634" s="36">
        <v>210851</v>
      </c>
      <c r="H634" s="36">
        <f t="shared" si="85"/>
        <v>12651060</v>
      </c>
      <c r="I634" s="36">
        <v>0</v>
      </c>
      <c r="J634" s="36">
        <f t="shared" si="86"/>
        <v>0</v>
      </c>
      <c r="K634" s="36">
        <f t="shared" si="80"/>
        <v>210851</v>
      </c>
      <c r="L634" s="36">
        <f t="shared" si="80"/>
        <v>12651060</v>
      </c>
      <c r="M634" s="37"/>
      <c r="N634" s="253"/>
      <c r="O634" s="38"/>
    </row>
    <row r="635" spans="1:15" s="29" customFormat="1" ht="24.95" customHeight="1">
      <c r="A635" s="31" t="s">
        <v>1429</v>
      </c>
      <c r="B635" s="32" t="s">
        <v>1432</v>
      </c>
      <c r="C635" s="33">
        <v>49</v>
      </c>
      <c r="D635" s="34" t="s">
        <v>1116</v>
      </c>
      <c r="E635" s="36">
        <v>0</v>
      </c>
      <c r="F635" s="36">
        <f t="shared" si="84"/>
        <v>0</v>
      </c>
      <c r="G635" s="36">
        <v>269333</v>
      </c>
      <c r="H635" s="36">
        <f t="shared" si="85"/>
        <v>13197317</v>
      </c>
      <c r="I635" s="36">
        <v>0</v>
      </c>
      <c r="J635" s="36">
        <f t="shared" si="86"/>
        <v>0</v>
      </c>
      <c r="K635" s="36">
        <f t="shared" si="80"/>
        <v>269333</v>
      </c>
      <c r="L635" s="36">
        <f t="shared" si="80"/>
        <v>13197317</v>
      </c>
      <c r="M635" s="37"/>
      <c r="N635" s="253"/>
      <c r="O635" s="38"/>
    </row>
    <row r="636" spans="1:15" s="29" customFormat="1" ht="24.95" customHeight="1">
      <c r="A636" s="31" t="s">
        <v>1433</v>
      </c>
      <c r="B636" s="32" t="s">
        <v>1434</v>
      </c>
      <c r="C636" s="33">
        <v>699</v>
      </c>
      <c r="D636" s="34" t="s">
        <v>1116</v>
      </c>
      <c r="E636" s="36">
        <v>0</v>
      </c>
      <c r="F636" s="36">
        <f t="shared" si="84"/>
        <v>0</v>
      </c>
      <c r="G636" s="36">
        <v>23409</v>
      </c>
      <c r="H636" s="36">
        <f t="shared" si="85"/>
        <v>16362891</v>
      </c>
      <c r="I636" s="36">
        <v>0</v>
      </c>
      <c r="J636" s="36">
        <f t="shared" si="86"/>
        <v>0</v>
      </c>
      <c r="K636" s="36">
        <f t="shared" si="80"/>
        <v>23409</v>
      </c>
      <c r="L636" s="36">
        <f t="shared" si="80"/>
        <v>16362891</v>
      </c>
      <c r="M636" s="37"/>
      <c r="N636" s="253"/>
      <c r="O636" s="38"/>
    </row>
    <row r="637" spans="1:15" s="77" customFormat="1" ht="24.95" customHeight="1">
      <c r="A637" s="71" t="s">
        <v>1435</v>
      </c>
      <c r="B637" s="72" t="s">
        <v>22</v>
      </c>
      <c r="C637" s="73"/>
      <c r="D637" s="74" t="s">
        <v>22</v>
      </c>
      <c r="E637" s="74"/>
      <c r="F637" s="75">
        <f>TRUNC(F638+F639+F640+F641+F642,0)</f>
        <v>0</v>
      </c>
      <c r="G637" s="74"/>
      <c r="H637" s="75">
        <f>TRUNC(H638+H639+H640+H641+H642,0)</f>
        <v>6917519</v>
      </c>
      <c r="I637" s="74"/>
      <c r="J637" s="75">
        <f>TRUNC(J638+J639+J640+J641+J642,0)</f>
        <v>0</v>
      </c>
      <c r="K637" s="75">
        <f t="shared" si="80"/>
        <v>0</v>
      </c>
      <c r="L637" s="75">
        <f t="shared" si="80"/>
        <v>6917519</v>
      </c>
      <c r="M637" s="76"/>
      <c r="N637" s="257"/>
    </row>
    <row r="638" spans="1:15" s="29" customFormat="1" ht="24.95" customHeight="1">
      <c r="A638" s="31" t="s">
        <v>1436</v>
      </c>
      <c r="B638" s="32" t="s">
        <v>1437</v>
      </c>
      <c r="C638" s="33">
        <v>1</v>
      </c>
      <c r="D638" s="34" t="s">
        <v>1116</v>
      </c>
      <c r="E638" s="36">
        <v>0</v>
      </c>
      <c r="F638" s="36">
        <f>TRUNC(E638*$C638,0)</f>
        <v>0</v>
      </c>
      <c r="G638" s="36">
        <v>3052386</v>
      </c>
      <c r="H638" s="36">
        <f>TRUNC(G638*$C638,0)</f>
        <v>3052386</v>
      </c>
      <c r="I638" s="36">
        <v>0</v>
      </c>
      <c r="J638" s="36">
        <f>TRUNC(I638*$C638,0)</f>
        <v>0</v>
      </c>
      <c r="K638" s="36">
        <f t="shared" si="80"/>
        <v>3052386</v>
      </c>
      <c r="L638" s="36">
        <f t="shared" si="80"/>
        <v>3052386</v>
      </c>
      <c r="M638" s="37"/>
      <c r="N638" s="253"/>
      <c r="O638" s="38"/>
    </row>
    <row r="639" spans="1:15" s="29" customFormat="1" ht="24.95" customHeight="1">
      <c r="A639" s="31" t="s">
        <v>1438</v>
      </c>
      <c r="B639" s="32" t="s">
        <v>1439</v>
      </c>
      <c r="C639" s="33">
        <v>1</v>
      </c>
      <c r="D639" s="34" t="s">
        <v>1116</v>
      </c>
      <c r="E639" s="36">
        <v>0</v>
      </c>
      <c r="F639" s="36">
        <f>TRUNC(E639*$C639,0)</f>
        <v>0</v>
      </c>
      <c r="G639" s="36">
        <v>2604692</v>
      </c>
      <c r="H639" s="36">
        <f>TRUNC(G639*$C639,0)</f>
        <v>2604692</v>
      </c>
      <c r="I639" s="36">
        <v>0</v>
      </c>
      <c r="J639" s="36">
        <f>TRUNC(I639*$C639,0)</f>
        <v>0</v>
      </c>
      <c r="K639" s="36">
        <f t="shared" si="80"/>
        <v>2604692</v>
      </c>
      <c r="L639" s="36">
        <f t="shared" si="80"/>
        <v>2604692</v>
      </c>
      <c r="M639" s="37"/>
      <c r="N639" s="253"/>
      <c r="O639" s="38"/>
    </row>
    <row r="640" spans="1:15" s="29" customFormat="1" ht="24.95" customHeight="1">
      <c r="A640" s="31" t="s">
        <v>1438</v>
      </c>
      <c r="B640" s="32" t="s">
        <v>1440</v>
      </c>
      <c r="C640" s="33">
        <v>1</v>
      </c>
      <c r="D640" s="34" t="s">
        <v>1116</v>
      </c>
      <c r="E640" s="36">
        <v>0</v>
      </c>
      <c r="F640" s="36">
        <f>TRUNC(E640*$C640,0)</f>
        <v>0</v>
      </c>
      <c r="G640" s="36">
        <v>390712</v>
      </c>
      <c r="H640" s="36">
        <f>TRUNC(G640*$C640,0)</f>
        <v>390712</v>
      </c>
      <c r="I640" s="36">
        <v>0</v>
      </c>
      <c r="J640" s="36">
        <f>TRUNC(I640*$C640,0)</f>
        <v>0</v>
      </c>
      <c r="K640" s="36">
        <f t="shared" si="80"/>
        <v>390712</v>
      </c>
      <c r="L640" s="36">
        <f t="shared" si="80"/>
        <v>390712</v>
      </c>
      <c r="M640" s="37"/>
      <c r="N640" s="253"/>
      <c r="O640" s="38"/>
    </row>
    <row r="641" spans="1:15" s="29" customFormat="1" ht="24.95" customHeight="1">
      <c r="A641" s="31" t="s">
        <v>1441</v>
      </c>
      <c r="B641" s="32" t="s">
        <v>1442</v>
      </c>
      <c r="C641" s="33">
        <v>1</v>
      </c>
      <c r="D641" s="34" t="s">
        <v>1116</v>
      </c>
      <c r="E641" s="36">
        <v>0</v>
      </c>
      <c r="F641" s="36">
        <f>TRUNC(E641*$C641,0)</f>
        <v>0</v>
      </c>
      <c r="G641" s="36">
        <v>732272</v>
      </c>
      <c r="H641" s="36">
        <f>TRUNC(G641*$C641,0)</f>
        <v>732272</v>
      </c>
      <c r="I641" s="36">
        <v>0</v>
      </c>
      <c r="J641" s="36">
        <f>TRUNC(I641*$C641,0)</f>
        <v>0</v>
      </c>
      <c r="K641" s="36">
        <f t="shared" si="80"/>
        <v>732272</v>
      </c>
      <c r="L641" s="36">
        <f t="shared" si="80"/>
        <v>732272</v>
      </c>
      <c r="M641" s="37"/>
      <c r="N641" s="253"/>
      <c r="O641" s="38"/>
    </row>
    <row r="642" spans="1:15" s="29" customFormat="1" ht="24.95" customHeight="1">
      <c r="A642" s="31" t="s">
        <v>1443</v>
      </c>
      <c r="B642" s="32" t="s">
        <v>1444</v>
      </c>
      <c r="C642" s="33">
        <v>3</v>
      </c>
      <c r="D642" s="34" t="s">
        <v>1116</v>
      </c>
      <c r="E642" s="36">
        <v>0</v>
      </c>
      <c r="F642" s="36">
        <f>TRUNC(E642*$C642,0)</f>
        <v>0</v>
      </c>
      <c r="G642" s="36">
        <v>45819</v>
      </c>
      <c r="H642" s="36">
        <f>TRUNC(G642*$C642,0)</f>
        <v>137457</v>
      </c>
      <c r="I642" s="36">
        <v>0</v>
      </c>
      <c r="J642" s="36">
        <f>TRUNC(I642*$C642,0)</f>
        <v>0</v>
      </c>
      <c r="K642" s="36">
        <f t="shared" si="80"/>
        <v>45819</v>
      </c>
      <c r="L642" s="36">
        <f t="shared" si="80"/>
        <v>137457</v>
      </c>
      <c r="M642" s="37"/>
      <c r="N642" s="253"/>
      <c r="O642" s="38"/>
    </row>
    <row r="643" spans="1:15" s="77" customFormat="1" ht="24.95" customHeight="1">
      <c r="A643" s="71" t="s">
        <v>1445</v>
      </c>
      <c r="B643" s="72" t="s">
        <v>22</v>
      </c>
      <c r="C643" s="73"/>
      <c r="D643" s="74" t="s">
        <v>22</v>
      </c>
      <c r="E643" s="74"/>
      <c r="F643" s="75">
        <f>TRUNC(F644+F645+F646,0)</f>
        <v>0</v>
      </c>
      <c r="G643" s="74"/>
      <c r="H643" s="75">
        <f>TRUNC(H644+H645+H646,0)</f>
        <v>60147944</v>
      </c>
      <c r="I643" s="74"/>
      <c r="J643" s="75">
        <f>TRUNC(J644+J645+J646,0)</f>
        <v>0</v>
      </c>
      <c r="K643" s="75">
        <f t="shared" si="80"/>
        <v>0</v>
      </c>
      <c r="L643" s="75">
        <f t="shared" si="80"/>
        <v>60147944</v>
      </c>
      <c r="M643" s="76"/>
      <c r="N643" s="257"/>
    </row>
    <row r="644" spans="1:15" s="29" customFormat="1" ht="24.95" customHeight="1">
      <c r="A644" s="31" t="s">
        <v>1446</v>
      </c>
      <c r="B644" s="32" t="s">
        <v>1447</v>
      </c>
      <c r="C644" s="33">
        <v>184</v>
      </c>
      <c r="D644" s="34" t="s">
        <v>1116</v>
      </c>
      <c r="E644" s="36">
        <v>0</v>
      </c>
      <c r="F644" s="36">
        <f>TRUNC(E644*$C644,0)</f>
        <v>0</v>
      </c>
      <c r="G644" s="36">
        <v>291576</v>
      </c>
      <c r="H644" s="36">
        <f>TRUNC(G644*$C644,0)</f>
        <v>53649984</v>
      </c>
      <c r="I644" s="36">
        <v>0</v>
      </c>
      <c r="J644" s="36">
        <f>TRUNC(I644*$C644,0)</f>
        <v>0</v>
      </c>
      <c r="K644" s="36">
        <f t="shared" si="80"/>
        <v>291576</v>
      </c>
      <c r="L644" s="36">
        <f t="shared" si="80"/>
        <v>53649984</v>
      </c>
      <c r="M644" s="37"/>
      <c r="N644" s="253"/>
      <c r="O644" s="38"/>
    </row>
    <row r="645" spans="1:15" s="29" customFormat="1" ht="24.95" customHeight="1">
      <c r="A645" s="31" t="s">
        <v>1448</v>
      </c>
      <c r="B645" s="32" t="s">
        <v>1449</v>
      </c>
      <c r="C645" s="33">
        <v>49</v>
      </c>
      <c r="D645" s="34" t="s">
        <v>1205</v>
      </c>
      <c r="E645" s="36">
        <v>0</v>
      </c>
      <c r="F645" s="36">
        <f>TRUNC(E645*$C645,0)</f>
        <v>0</v>
      </c>
      <c r="G645" s="36">
        <v>116630</v>
      </c>
      <c r="H645" s="36">
        <f>TRUNC(G645*$C645,0)</f>
        <v>5714870</v>
      </c>
      <c r="I645" s="36">
        <v>0</v>
      </c>
      <c r="J645" s="36">
        <f>TRUNC(I645*$C645,0)</f>
        <v>0</v>
      </c>
      <c r="K645" s="36">
        <f t="shared" si="80"/>
        <v>116630</v>
      </c>
      <c r="L645" s="36">
        <f t="shared" si="80"/>
        <v>5714870</v>
      </c>
      <c r="M645" s="37"/>
      <c r="N645" s="253"/>
      <c r="O645" s="38"/>
    </row>
    <row r="646" spans="1:15" s="29" customFormat="1" ht="24.95" customHeight="1">
      <c r="A646" s="31" t="s">
        <v>1446</v>
      </c>
      <c r="B646" s="32" t="s">
        <v>1450</v>
      </c>
      <c r="C646" s="33">
        <v>1</v>
      </c>
      <c r="D646" s="34" t="s">
        <v>1116</v>
      </c>
      <c r="E646" s="36">
        <v>0</v>
      </c>
      <c r="F646" s="36">
        <f>TRUNC(E646*$C646,0)</f>
        <v>0</v>
      </c>
      <c r="G646" s="36">
        <v>783090</v>
      </c>
      <c r="H646" s="36">
        <f>TRUNC(G646*$C646,0)</f>
        <v>783090</v>
      </c>
      <c r="I646" s="36">
        <v>0</v>
      </c>
      <c r="J646" s="36">
        <f>TRUNC(I646*$C646,0)</f>
        <v>0</v>
      </c>
      <c r="K646" s="36">
        <f t="shared" si="80"/>
        <v>783090</v>
      </c>
      <c r="L646" s="36">
        <f t="shared" si="80"/>
        <v>783090</v>
      </c>
      <c r="M646" s="37"/>
      <c r="N646" s="253"/>
      <c r="O646" s="38"/>
    </row>
    <row r="647" spans="1:15" s="77" customFormat="1" ht="24.95" customHeight="1">
      <c r="A647" s="71" t="s">
        <v>1451</v>
      </c>
      <c r="B647" s="72" t="s">
        <v>22</v>
      </c>
      <c r="C647" s="73"/>
      <c r="D647" s="74" t="s">
        <v>22</v>
      </c>
      <c r="E647" s="74"/>
      <c r="F647" s="75">
        <f>TRUNC(F648+F649+F650+F651+F652+F653+F654+F655+F656+F657,0)</f>
        <v>0</v>
      </c>
      <c r="G647" s="74"/>
      <c r="H647" s="75">
        <f>TRUNC(H648+H649+H650+H651+H652+H653+H654+H655+H656+H657,0)</f>
        <v>9284984</v>
      </c>
      <c r="I647" s="74"/>
      <c r="J647" s="75">
        <f>TRUNC(J648+J649+J650+J651+J652+J653+J654+J655+J656+J657,0)</f>
        <v>0</v>
      </c>
      <c r="K647" s="75">
        <f t="shared" si="80"/>
        <v>0</v>
      </c>
      <c r="L647" s="75">
        <f t="shared" si="80"/>
        <v>9284984</v>
      </c>
      <c r="M647" s="76"/>
      <c r="N647" s="257"/>
    </row>
    <row r="648" spans="1:15" s="29" customFormat="1" ht="24.95" customHeight="1">
      <c r="A648" s="31" t="s">
        <v>1452</v>
      </c>
      <c r="B648" s="32" t="s">
        <v>1453</v>
      </c>
      <c r="C648" s="33">
        <v>5</v>
      </c>
      <c r="D648" s="34" t="s">
        <v>116</v>
      </c>
      <c r="E648" s="36">
        <v>0</v>
      </c>
      <c r="F648" s="36">
        <f t="shared" ref="F648:F657" si="87">TRUNC(E648*$C648,0)</f>
        <v>0</v>
      </c>
      <c r="G648" s="36">
        <v>30965</v>
      </c>
      <c r="H648" s="36">
        <f t="shared" ref="H648:H657" si="88">TRUNC(G648*$C648,0)</f>
        <v>154825</v>
      </c>
      <c r="I648" s="36">
        <v>0</v>
      </c>
      <c r="J648" s="36">
        <f t="shared" ref="J648:J657" si="89">TRUNC(I648*$C648,0)</f>
        <v>0</v>
      </c>
      <c r="K648" s="36">
        <f t="shared" si="80"/>
        <v>30965</v>
      </c>
      <c r="L648" s="36">
        <f t="shared" si="80"/>
        <v>154825</v>
      </c>
      <c r="M648" s="37"/>
      <c r="N648" s="253"/>
      <c r="O648" s="38"/>
    </row>
    <row r="649" spans="1:15" s="29" customFormat="1" ht="24.95" customHeight="1">
      <c r="A649" s="31" t="s">
        <v>1454</v>
      </c>
      <c r="B649" s="32" t="s">
        <v>1455</v>
      </c>
      <c r="C649" s="33">
        <v>2</v>
      </c>
      <c r="D649" s="34" t="s">
        <v>1116</v>
      </c>
      <c r="E649" s="36">
        <v>0</v>
      </c>
      <c r="F649" s="36">
        <f t="shared" si="87"/>
        <v>0</v>
      </c>
      <c r="G649" s="36">
        <v>21576</v>
      </c>
      <c r="H649" s="36">
        <f t="shared" si="88"/>
        <v>43152</v>
      </c>
      <c r="I649" s="36">
        <v>0</v>
      </c>
      <c r="J649" s="36">
        <f t="shared" si="89"/>
        <v>0</v>
      </c>
      <c r="K649" s="36">
        <f t="shared" si="80"/>
        <v>21576</v>
      </c>
      <c r="L649" s="36">
        <f t="shared" si="80"/>
        <v>43152</v>
      </c>
      <c r="M649" s="37"/>
      <c r="N649" s="253"/>
      <c r="O649" s="38"/>
    </row>
    <row r="650" spans="1:15" s="29" customFormat="1" ht="24.95" customHeight="1">
      <c r="A650" s="31" t="s">
        <v>1456</v>
      </c>
      <c r="B650" s="32" t="s">
        <v>1455</v>
      </c>
      <c r="C650" s="33">
        <v>1</v>
      </c>
      <c r="D650" s="34" t="s">
        <v>1116</v>
      </c>
      <c r="E650" s="36">
        <v>0</v>
      </c>
      <c r="F650" s="36">
        <f t="shared" si="87"/>
        <v>0</v>
      </c>
      <c r="G650" s="36">
        <v>35988</v>
      </c>
      <c r="H650" s="36">
        <f t="shared" si="88"/>
        <v>35988</v>
      </c>
      <c r="I650" s="36">
        <v>0</v>
      </c>
      <c r="J650" s="36">
        <f t="shared" si="89"/>
        <v>0</v>
      </c>
      <c r="K650" s="36">
        <f t="shared" si="80"/>
        <v>35988</v>
      </c>
      <c r="L650" s="36">
        <f t="shared" si="80"/>
        <v>35988</v>
      </c>
      <c r="M650" s="37"/>
      <c r="N650" s="253"/>
      <c r="O650" s="38"/>
    </row>
    <row r="651" spans="1:15" s="29" customFormat="1" ht="24.95" customHeight="1">
      <c r="A651" s="31" t="s">
        <v>1457</v>
      </c>
      <c r="B651" s="32" t="s">
        <v>1458</v>
      </c>
      <c r="C651" s="33">
        <v>1</v>
      </c>
      <c r="D651" s="34" t="s">
        <v>1116</v>
      </c>
      <c r="E651" s="36">
        <v>0</v>
      </c>
      <c r="F651" s="36">
        <f t="shared" si="87"/>
        <v>0</v>
      </c>
      <c r="G651" s="36">
        <v>14912</v>
      </c>
      <c r="H651" s="36">
        <f t="shared" si="88"/>
        <v>14912</v>
      </c>
      <c r="I651" s="36">
        <v>0</v>
      </c>
      <c r="J651" s="36">
        <f t="shared" si="89"/>
        <v>0</v>
      </c>
      <c r="K651" s="36">
        <f t="shared" si="80"/>
        <v>14912</v>
      </c>
      <c r="L651" s="36">
        <f t="shared" si="80"/>
        <v>14912</v>
      </c>
      <c r="M651" s="37"/>
      <c r="N651" s="253"/>
      <c r="O651" s="38"/>
    </row>
    <row r="652" spans="1:15" s="29" customFormat="1" ht="24.95" customHeight="1">
      <c r="A652" s="31" t="s">
        <v>1459</v>
      </c>
      <c r="B652" s="32" t="s">
        <v>1460</v>
      </c>
      <c r="C652" s="33">
        <v>10</v>
      </c>
      <c r="D652" s="34" t="s">
        <v>960</v>
      </c>
      <c r="E652" s="36">
        <v>0</v>
      </c>
      <c r="F652" s="36">
        <f t="shared" si="87"/>
        <v>0</v>
      </c>
      <c r="G652" s="36">
        <v>26491</v>
      </c>
      <c r="H652" s="36">
        <f t="shared" si="88"/>
        <v>264910</v>
      </c>
      <c r="I652" s="36">
        <v>0</v>
      </c>
      <c r="J652" s="36">
        <f t="shared" si="89"/>
        <v>0</v>
      </c>
      <c r="K652" s="36">
        <f t="shared" si="80"/>
        <v>26491</v>
      </c>
      <c r="L652" s="36">
        <f t="shared" si="80"/>
        <v>264910</v>
      </c>
      <c r="M652" s="37"/>
      <c r="N652" s="253"/>
      <c r="O652" s="38"/>
    </row>
    <row r="653" spans="1:15" s="29" customFormat="1" ht="24.95" customHeight="1">
      <c r="A653" s="31" t="s">
        <v>1459</v>
      </c>
      <c r="B653" s="32" t="s">
        <v>1461</v>
      </c>
      <c r="C653" s="33">
        <v>1</v>
      </c>
      <c r="D653" s="34" t="s">
        <v>960</v>
      </c>
      <c r="E653" s="36">
        <v>0</v>
      </c>
      <c r="F653" s="36">
        <f t="shared" si="87"/>
        <v>0</v>
      </c>
      <c r="G653" s="36">
        <v>30927</v>
      </c>
      <c r="H653" s="36">
        <f t="shared" si="88"/>
        <v>30927</v>
      </c>
      <c r="I653" s="36">
        <v>0</v>
      </c>
      <c r="J653" s="36">
        <f t="shared" si="89"/>
        <v>0</v>
      </c>
      <c r="K653" s="36">
        <f t="shared" si="80"/>
        <v>30927</v>
      </c>
      <c r="L653" s="36">
        <f t="shared" si="80"/>
        <v>30927</v>
      </c>
      <c r="M653" s="37"/>
      <c r="N653" s="253"/>
      <c r="O653" s="38"/>
    </row>
    <row r="654" spans="1:15" s="29" customFormat="1" ht="24.95" customHeight="1">
      <c r="A654" s="31" t="s">
        <v>1462</v>
      </c>
      <c r="B654" s="32" t="s">
        <v>1463</v>
      </c>
      <c r="C654" s="33">
        <v>2</v>
      </c>
      <c r="D654" s="34" t="s">
        <v>960</v>
      </c>
      <c r="E654" s="36">
        <v>0</v>
      </c>
      <c r="F654" s="36">
        <f t="shared" si="87"/>
        <v>0</v>
      </c>
      <c r="G654" s="36">
        <v>107425</v>
      </c>
      <c r="H654" s="36">
        <f t="shared" si="88"/>
        <v>214850</v>
      </c>
      <c r="I654" s="36">
        <v>0</v>
      </c>
      <c r="J654" s="36">
        <f t="shared" si="89"/>
        <v>0</v>
      </c>
      <c r="K654" s="36">
        <f t="shared" si="80"/>
        <v>107425</v>
      </c>
      <c r="L654" s="36">
        <f t="shared" si="80"/>
        <v>214850</v>
      </c>
      <c r="M654" s="37"/>
      <c r="N654" s="253"/>
      <c r="O654" s="38"/>
    </row>
    <row r="655" spans="1:15" s="29" customFormat="1" ht="24.95" customHeight="1">
      <c r="A655" s="31" t="s">
        <v>1464</v>
      </c>
      <c r="B655" s="32" t="s">
        <v>1463</v>
      </c>
      <c r="C655" s="33">
        <v>2</v>
      </c>
      <c r="D655" s="34" t="s">
        <v>960</v>
      </c>
      <c r="E655" s="36">
        <v>0</v>
      </c>
      <c r="F655" s="36">
        <f t="shared" si="87"/>
        <v>0</v>
      </c>
      <c r="G655" s="36">
        <v>311936</v>
      </c>
      <c r="H655" s="36">
        <f t="shared" si="88"/>
        <v>623872</v>
      </c>
      <c r="I655" s="36">
        <v>0</v>
      </c>
      <c r="J655" s="36">
        <f t="shared" si="89"/>
        <v>0</v>
      </c>
      <c r="K655" s="36">
        <f t="shared" si="80"/>
        <v>311936</v>
      </c>
      <c r="L655" s="36">
        <f t="shared" si="80"/>
        <v>623872</v>
      </c>
      <c r="M655" s="37"/>
      <c r="N655" s="253"/>
      <c r="O655" s="38"/>
    </row>
    <row r="656" spans="1:15" s="29" customFormat="1" ht="24.95" customHeight="1">
      <c r="A656" s="31" t="s">
        <v>1465</v>
      </c>
      <c r="B656" s="32" t="s">
        <v>1466</v>
      </c>
      <c r="C656" s="33">
        <v>2</v>
      </c>
      <c r="D656" s="34" t="s">
        <v>960</v>
      </c>
      <c r="E656" s="36">
        <v>0</v>
      </c>
      <c r="F656" s="36">
        <f t="shared" si="87"/>
        <v>0</v>
      </c>
      <c r="G656" s="36">
        <v>116963</v>
      </c>
      <c r="H656" s="36">
        <f t="shared" si="88"/>
        <v>233926</v>
      </c>
      <c r="I656" s="36">
        <v>0</v>
      </c>
      <c r="J656" s="36">
        <f t="shared" si="89"/>
        <v>0</v>
      </c>
      <c r="K656" s="36">
        <f t="shared" si="80"/>
        <v>116963</v>
      </c>
      <c r="L656" s="36">
        <f t="shared" si="80"/>
        <v>233926</v>
      </c>
      <c r="M656" s="37"/>
      <c r="N656" s="253"/>
      <c r="O656" s="38"/>
    </row>
    <row r="657" spans="1:15" s="29" customFormat="1" ht="24.95" customHeight="1">
      <c r="A657" s="31" t="s">
        <v>1467</v>
      </c>
      <c r="B657" s="32" t="s">
        <v>1468</v>
      </c>
      <c r="C657" s="33">
        <v>2</v>
      </c>
      <c r="D657" s="34" t="s">
        <v>1397</v>
      </c>
      <c r="E657" s="36">
        <v>0</v>
      </c>
      <c r="F657" s="36">
        <f t="shared" si="87"/>
        <v>0</v>
      </c>
      <c r="G657" s="36">
        <v>3833811</v>
      </c>
      <c r="H657" s="36">
        <f t="shared" si="88"/>
        <v>7667622</v>
      </c>
      <c r="I657" s="36">
        <v>0</v>
      </c>
      <c r="J657" s="36">
        <f t="shared" si="89"/>
        <v>0</v>
      </c>
      <c r="K657" s="36">
        <f t="shared" si="80"/>
        <v>3833811</v>
      </c>
      <c r="L657" s="36">
        <f t="shared" si="80"/>
        <v>7667622</v>
      </c>
      <c r="M657" s="37"/>
      <c r="N657" s="253"/>
      <c r="O657" s="38"/>
    </row>
    <row r="658" spans="1:15" s="29" customFormat="1" ht="24.95" customHeight="1">
      <c r="A658" s="31" t="s">
        <v>766</v>
      </c>
      <c r="B658" s="32" t="s">
        <v>22</v>
      </c>
      <c r="C658" s="33"/>
      <c r="D658" s="34" t="s">
        <v>22</v>
      </c>
      <c r="E658" s="34"/>
      <c r="F658" s="36">
        <v>0</v>
      </c>
      <c r="G658" s="34"/>
      <c r="H658" s="36">
        <v>0</v>
      </c>
      <c r="I658" s="34"/>
      <c r="J658" s="36">
        <v>0</v>
      </c>
      <c r="K658" s="36">
        <f>G658+E658+I658</f>
        <v>0</v>
      </c>
      <c r="L658" s="36">
        <f t="shared" ref="L658:L721" si="90">H658+F658+J658</f>
        <v>0</v>
      </c>
      <c r="M658" s="37"/>
      <c r="N658" s="253"/>
    </row>
    <row r="659" spans="1:15" s="45" customFormat="1" ht="24.95" customHeight="1">
      <c r="A659" s="39" t="s">
        <v>1469</v>
      </c>
      <c r="B659" s="40" t="s">
        <v>22</v>
      </c>
      <c r="C659" s="41">
        <v>1</v>
      </c>
      <c r="D659" s="42" t="s">
        <v>754</v>
      </c>
      <c r="E659" s="42"/>
      <c r="F659" s="43">
        <f>F660+F928</f>
        <v>892938847</v>
      </c>
      <c r="G659" s="42"/>
      <c r="H659" s="43">
        <f>H660+H928</f>
        <v>2061404807</v>
      </c>
      <c r="I659" s="42"/>
      <c r="J659" s="43">
        <f>J660+J928</f>
        <v>51455768</v>
      </c>
      <c r="K659" s="42"/>
      <c r="L659" s="43">
        <f t="shared" si="90"/>
        <v>3005799422</v>
      </c>
      <c r="M659" s="44"/>
      <c r="N659" s="253"/>
    </row>
    <row r="660" spans="1:15" s="85" customFormat="1" ht="24.95" customHeight="1">
      <c r="A660" s="79" t="s">
        <v>1470</v>
      </c>
      <c r="B660" s="80" t="s">
        <v>22</v>
      </c>
      <c r="C660" s="81"/>
      <c r="D660" s="82" t="s">
        <v>22</v>
      </c>
      <c r="E660" s="82"/>
      <c r="F660" s="83">
        <f>F661+F669+F744+F776+F794+F798+F805</f>
        <v>702666989</v>
      </c>
      <c r="G660" s="82"/>
      <c r="H660" s="83">
        <f>H661+H669+H744+H776+H794+H798+H805</f>
        <v>1597634108</v>
      </c>
      <c r="I660" s="82"/>
      <c r="J660" s="83">
        <f>J661+J669+J744+J776+J794+J798+J805</f>
        <v>41732012</v>
      </c>
      <c r="K660" s="83">
        <f t="shared" ref="K660:L723" si="91">G660+E660+I660</f>
        <v>0</v>
      </c>
      <c r="L660" s="83">
        <f t="shared" si="90"/>
        <v>2342033109</v>
      </c>
      <c r="M660" s="84"/>
      <c r="N660" s="258"/>
    </row>
    <row r="661" spans="1:15" s="63" customFormat="1" ht="24.95" customHeight="1">
      <c r="A661" s="57" t="s">
        <v>1471</v>
      </c>
      <c r="B661" s="58" t="s">
        <v>22</v>
      </c>
      <c r="C661" s="59"/>
      <c r="D661" s="60" t="s">
        <v>22</v>
      </c>
      <c r="E661" s="60"/>
      <c r="F661" s="61">
        <f>TRUNC(F663+F664+F666+F667+F668,0)</f>
        <v>96401899</v>
      </c>
      <c r="G661" s="60"/>
      <c r="H661" s="61">
        <f>TRUNC(H663+H664+H666+H667+H668,0)</f>
        <v>14373542</v>
      </c>
      <c r="I661" s="60"/>
      <c r="J661" s="61">
        <f>TRUNC(J663+J664+J666+J667+J668,0)</f>
        <v>15175059</v>
      </c>
      <c r="K661" s="61">
        <f t="shared" si="91"/>
        <v>0</v>
      </c>
      <c r="L661" s="61">
        <f t="shared" si="90"/>
        <v>125950500</v>
      </c>
      <c r="M661" s="62"/>
      <c r="N661" s="253"/>
    </row>
    <row r="662" spans="1:15" s="70" customFormat="1" ht="24.95" customHeight="1">
      <c r="A662" s="64" t="s">
        <v>1472</v>
      </c>
      <c r="B662" s="65" t="s">
        <v>22</v>
      </c>
      <c r="C662" s="66"/>
      <c r="D662" s="67" t="s">
        <v>22</v>
      </c>
      <c r="E662" s="67"/>
      <c r="F662" s="68">
        <f>TRUNC(F663+F664,0)</f>
        <v>17401650</v>
      </c>
      <c r="G662" s="67"/>
      <c r="H662" s="68">
        <f>TRUNC(H663+H664,0)</f>
        <v>6356244</v>
      </c>
      <c r="I662" s="67"/>
      <c r="J662" s="68">
        <f>TRUNC(J663+J664,0)</f>
        <v>8159718</v>
      </c>
      <c r="K662" s="68">
        <f t="shared" si="91"/>
        <v>0</v>
      </c>
      <c r="L662" s="68">
        <f t="shared" si="90"/>
        <v>31917612</v>
      </c>
      <c r="M662" s="69"/>
      <c r="N662" s="256"/>
    </row>
    <row r="663" spans="1:15" s="29" customFormat="1" ht="24.95" customHeight="1">
      <c r="A663" s="31" t="s">
        <v>1383</v>
      </c>
      <c r="B663" s="32" t="s">
        <v>819</v>
      </c>
      <c r="C663" s="33">
        <v>22734</v>
      </c>
      <c r="D663" s="34" t="s">
        <v>820</v>
      </c>
      <c r="E663" s="36">
        <v>687</v>
      </c>
      <c r="F663" s="36">
        <f>TRUNC(E663*$C663,0)</f>
        <v>15618258</v>
      </c>
      <c r="G663" s="36">
        <v>278</v>
      </c>
      <c r="H663" s="36">
        <f>TRUNC(G663*$C663,0)</f>
        <v>6320052</v>
      </c>
      <c r="I663" s="36">
        <v>357</v>
      </c>
      <c r="J663" s="36">
        <f>TRUNC(I663*$C663,0)</f>
        <v>8116038</v>
      </c>
      <c r="K663" s="36">
        <f t="shared" si="91"/>
        <v>1322</v>
      </c>
      <c r="L663" s="36">
        <f t="shared" si="90"/>
        <v>30054348</v>
      </c>
      <c r="M663" s="37"/>
      <c r="N663" s="253"/>
      <c r="O663" s="38"/>
    </row>
    <row r="664" spans="1:15" s="29" customFormat="1" ht="24.95" customHeight="1">
      <c r="A664" s="31" t="s">
        <v>1473</v>
      </c>
      <c r="B664" s="32" t="s">
        <v>1474</v>
      </c>
      <c r="C664" s="33">
        <v>156</v>
      </c>
      <c r="D664" s="34" t="s">
        <v>815</v>
      </c>
      <c r="E664" s="36">
        <v>11432</v>
      </c>
      <c r="F664" s="36">
        <f>TRUNC(E664*$C664,0)</f>
        <v>1783392</v>
      </c>
      <c r="G664" s="36">
        <v>232</v>
      </c>
      <c r="H664" s="36">
        <f>TRUNC(G664*$C664,0)</f>
        <v>36192</v>
      </c>
      <c r="I664" s="36">
        <v>280</v>
      </c>
      <c r="J664" s="36">
        <f>TRUNC(I664*$C664,0)</f>
        <v>43680</v>
      </c>
      <c r="K664" s="36">
        <f t="shared" si="91"/>
        <v>11944</v>
      </c>
      <c r="L664" s="36">
        <f t="shared" si="90"/>
        <v>1863264</v>
      </c>
      <c r="M664" s="37"/>
      <c r="N664" s="253"/>
      <c r="O664" s="38"/>
    </row>
    <row r="665" spans="1:15" s="70" customFormat="1" ht="24.95" customHeight="1">
      <c r="A665" s="64" t="s">
        <v>1475</v>
      </c>
      <c r="B665" s="65" t="s">
        <v>22</v>
      </c>
      <c r="C665" s="66"/>
      <c r="D665" s="67" t="s">
        <v>22</v>
      </c>
      <c r="E665" s="67"/>
      <c r="F665" s="68">
        <f>TRUNC(F666+F667+F668,0)</f>
        <v>79000249</v>
      </c>
      <c r="G665" s="67"/>
      <c r="H665" s="68">
        <f>TRUNC(H666+H667+H668,0)</f>
        <v>8017298</v>
      </c>
      <c r="I665" s="67"/>
      <c r="J665" s="68">
        <f>TRUNC(J666+J667+J668,0)</f>
        <v>7015341</v>
      </c>
      <c r="K665" s="68">
        <f t="shared" si="91"/>
        <v>0</v>
      </c>
      <c r="L665" s="68">
        <f t="shared" si="90"/>
        <v>94032888</v>
      </c>
      <c r="M665" s="69"/>
      <c r="N665" s="256"/>
    </row>
    <row r="666" spans="1:15" s="29" customFormat="1" ht="24.95" customHeight="1">
      <c r="A666" s="31" t="s">
        <v>1476</v>
      </c>
      <c r="B666" s="32" t="s">
        <v>986</v>
      </c>
      <c r="C666" s="33">
        <v>17235</v>
      </c>
      <c r="D666" s="34" t="s">
        <v>815</v>
      </c>
      <c r="E666" s="36">
        <v>3869</v>
      </c>
      <c r="F666" s="36">
        <f>TRUNC(E666*$C666,0)</f>
        <v>66682215</v>
      </c>
      <c r="G666" s="36">
        <v>421</v>
      </c>
      <c r="H666" s="36">
        <f>TRUNC(G666*$C666,0)</f>
        <v>7255935</v>
      </c>
      <c r="I666" s="36">
        <v>369</v>
      </c>
      <c r="J666" s="36">
        <f>TRUNC(I666*$C666,0)</f>
        <v>6359715</v>
      </c>
      <c r="K666" s="36">
        <f t="shared" si="91"/>
        <v>4659</v>
      </c>
      <c r="L666" s="36">
        <f t="shared" si="90"/>
        <v>80297865</v>
      </c>
      <c r="M666" s="37"/>
      <c r="N666" s="253"/>
      <c r="O666" s="38"/>
    </row>
    <row r="667" spans="1:15" s="29" customFormat="1" ht="24.95" customHeight="1">
      <c r="A667" s="31" t="s">
        <v>1477</v>
      </c>
      <c r="B667" s="32" t="s">
        <v>988</v>
      </c>
      <c r="C667" s="33">
        <v>1484</v>
      </c>
      <c r="D667" s="34" t="s">
        <v>815</v>
      </c>
      <c r="E667" s="36">
        <v>7146</v>
      </c>
      <c r="F667" s="36">
        <f>TRUNC(E667*$C667,0)</f>
        <v>10604664</v>
      </c>
      <c r="G667" s="36">
        <v>472</v>
      </c>
      <c r="H667" s="36">
        <f>TRUNC(G667*$C667,0)</f>
        <v>700448</v>
      </c>
      <c r="I667" s="36">
        <v>409</v>
      </c>
      <c r="J667" s="36">
        <f>TRUNC(I667*$C667,0)</f>
        <v>606956</v>
      </c>
      <c r="K667" s="36">
        <f t="shared" si="91"/>
        <v>8027</v>
      </c>
      <c r="L667" s="36">
        <f t="shared" si="90"/>
        <v>11912068</v>
      </c>
      <c r="M667" s="37"/>
      <c r="N667" s="253"/>
      <c r="O667" s="38"/>
    </row>
    <row r="668" spans="1:15" s="29" customFormat="1" ht="24.95" customHeight="1">
      <c r="A668" s="31" t="s">
        <v>1478</v>
      </c>
      <c r="B668" s="32" t="s">
        <v>988</v>
      </c>
      <c r="C668" s="33">
        <v>155</v>
      </c>
      <c r="D668" s="34" t="s">
        <v>815</v>
      </c>
      <c r="E668" s="36">
        <v>11054</v>
      </c>
      <c r="F668" s="36">
        <f>TRUNC(E668*$C668,0)</f>
        <v>1713370</v>
      </c>
      <c r="G668" s="36">
        <v>393</v>
      </c>
      <c r="H668" s="36">
        <f>TRUNC(G668*$C668,0)</f>
        <v>60915</v>
      </c>
      <c r="I668" s="36">
        <v>314</v>
      </c>
      <c r="J668" s="36">
        <f>TRUNC(I668*$C668,0)</f>
        <v>48670</v>
      </c>
      <c r="K668" s="36">
        <f t="shared" si="91"/>
        <v>11761</v>
      </c>
      <c r="L668" s="36">
        <f t="shared" si="90"/>
        <v>1822955</v>
      </c>
      <c r="M668" s="37"/>
      <c r="N668" s="253"/>
      <c r="O668" s="38"/>
    </row>
    <row r="669" spans="1:15" s="63" customFormat="1" ht="24.95" customHeight="1">
      <c r="A669" s="57" t="s">
        <v>1479</v>
      </c>
      <c r="B669" s="58" t="s">
        <v>22</v>
      </c>
      <c r="C669" s="59"/>
      <c r="D669" s="60" t="s">
        <v>22</v>
      </c>
      <c r="E669" s="60"/>
      <c r="F669" s="61">
        <f>F670+F696</f>
        <v>365134693</v>
      </c>
      <c r="G669" s="60"/>
      <c r="H669" s="61">
        <f>H670+H696</f>
        <v>165464714</v>
      </c>
      <c r="I669" s="60"/>
      <c r="J669" s="61">
        <f>J670+J696</f>
        <v>18448456</v>
      </c>
      <c r="K669" s="61">
        <f t="shared" si="91"/>
        <v>0</v>
      </c>
      <c r="L669" s="61">
        <f t="shared" si="90"/>
        <v>549047863</v>
      </c>
      <c r="M669" s="62"/>
      <c r="N669" s="253"/>
    </row>
    <row r="670" spans="1:15" s="70" customFormat="1" ht="24.95" customHeight="1">
      <c r="A670" s="64" t="s">
        <v>1480</v>
      </c>
      <c r="B670" s="65" t="s">
        <v>22</v>
      </c>
      <c r="C670" s="66"/>
      <c r="D670" s="67" t="s">
        <v>22</v>
      </c>
      <c r="E670" s="67"/>
      <c r="F670" s="68">
        <f>TRUNC(F672+F673+F674+F676+F677+F678+F679+F681+F682+F683+F684+F685+F686+F687+F689+F690+F691+F692+F693+F694+F695,0)</f>
        <v>171762274</v>
      </c>
      <c r="G670" s="67"/>
      <c r="H670" s="68">
        <f>TRUNC(H672+H673+H674+H676+H677+H678+H679+H681+H682+H683+H684+H685+H686+H687+H689+H690+H691+H692+H693+H694+H695,0)</f>
        <v>43792321</v>
      </c>
      <c r="I670" s="67"/>
      <c r="J670" s="68">
        <f>TRUNC(J672+J673+J674+J676+J677+J678+J679+J681+J682+J683+J684+J685+J686+J687+J689+J690+J691+J692+J693+J694+J695,0)</f>
        <v>1205070</v>
      </c>
      <c r="K670" s="68">
        <f t="shared" si="91"/>
        <v>0</v>
      </c>
      <c r="L670" s="68">
        <f t="shared" si="90"/>
        <v>216759665</v>
      </c>
      <c r="M670" s="69"/>
      <c r="N670" s="256"/>
    </row>
    <row r="671" spans="1:15" s="77" customFormat="1" ht="24.95" customHeight="1">
      <c r="A671" s="71" t="s">
        <v>1481</v>
      </c>
      <c r="B671" s="72" t="s">
        <v>22</v>
      </c>
      <c r="C671" s="73"/>
      <c r="D671" s="74" t="s">
        <v>22</v>
      </c>
      <c r="E671" s="74"/>
      <c r="F671" s="75">
        <f>TRUNC(F672+F673+F674,0)</f>
        <v>7986770</v>
      </c>
      <c r="G671" s="74"/>
      <c r="H671" s="75">
        <f>TRUNC(H672+H673+H674,0)</f>
        <v>407296</v>
      </c>
      <c r="I671" s="74"/>
      <c r="J671" s="75">
        <f>TRUNC(J672+J673+J674,0)</f>
        <v>66338</v>
      </c>
      <c r="K671" s="75">
        <f t="shared" si="91"/>
        <v>0</v>
      </c>
      <c r="L671" s="75">
        <f t="shared" si="90"/>
        <v>8460404</v>
      </c>
      <c r="M671" s="76"/>
      <c r="N671" s="257"/>
    </row>
    <row r="672" spans="1:15" s="29" customFormat="1" ht="24.95" customHeight="1">
      <c r="A672" s="31" t="s">
        <v>1482</v>
      </c>
      <c r="B672" s="32" t="s">
        <v>1483</v>
      </c>
      <c r="C672" s="33">
        <v>43</v>
      </c>
      <c r="D672" s="34" t="s">
        <v>1192</v>
      </c>
      <c r="E672" s="36">
        <v>39263</v>
      </c>
      <c r="F672" s="36">
        <f>TRUNC(E672*$C672,0)</f>
        <v>1688309</v>
      </c>
      <c r="G672" s="36">
        <v>9472</v>
      </c>
      <c r="H672" s="36">
        <f>TRUNC(G672*$C672,0)</f>
        <v>407296</v>
      </c>
      <c r="I672" s="36">
        <v>0</v>
      </c>
      <c r="J672" s="36">
        <f>TRUNC(I672*$C672,0)</f>
        <v>0</v>
      </c>
      <c r="K672" s="36">
        <f t="shared" si="91"/>
        <v>48735</v>
      </c>
      <c r="L672" s="36">
        <f t="shared" si="90"/>
        <v>2095605</v>
      </c>
      <c r="M672" s="37"/>
      <c r="N672" s="253"/>
      <c r="O672" s="38"/>
    </row>
    <row r="673" spans="1:15" s="29" customFormat="1" ht="24.95" customHeight="1">
      <c r="A673" s="31" t="s">
        <v>1484</v>
      </c>
      <c r="B673" s="32" t="s">
        <v>1485</v>
      </c>
      <c r="C673" s="33">
        <v>287</v>
      </c>
      <c r="D673" s="34" t="s">
        <v>1014</v>
      </c>
      <c r="E673" s="36">
        <v>19631</v>
      </c>
      <c r="F673" s="36">
        <f>TRUNC(E673*$C673,0)</f>
        <v>5634097</v>
      </c>
      <c r="G673" s="36">
        <v>0</v>
      </c>
      <c r="H673" s="36">
        <f>TRUNC(G673*$C673,0)</f>
        <v>0</v>
      </c>
      <c r="I673" s="36">
        <v>0</v>
      </c>
      <c r="J673" s="36">
        <f>TRUNC(I673*$C673,0)</f>
        <v>0</v>
      </c>
      <c r="K673" s="36">
        <f t="shared" si="91"/>
        <v>19631</v>
      </c>
      <c r="L673" s="36">
        <f t="shared" si="90"/>
        <v>5634097</v>
      </c>
      <c r="M673" s="37"/>
      <c r="N673" s="253"/>
      <c r="O673" s="38"/>
    </row>
    <row r="674" spans="1:15" s="29" customFormat="1" ht="24.95" customHeight="1">
      <c r="A674" s="31" t="s">
        <v>1486</v>
      </c>
      <c r="B674" s="32" t="s">
        <v>1485</v>
      </c>
      <c r="C674" s="33">
        <v>82</v>
      </c>
      <c r="D674" s="34" t="s">
        <v>1014</v>
      </c>
      <c r="E674" s="36">
        <v>8102</v>
      </c>
      <c r="F674" s="36">
        <f>TRUNC(E674*$C674,0)</f>
        <v>664364</v>
      </c>
      <c r="G674" s="36">
        <v>0</v>
      </c>
      <c r="H674" s="36">
        <f>TRUNC(G674*$C674,0)</f>
        <v>0</v>
      </c>
      <c r="I674" s="36">
        <v>809</v>
      </c>
      <c r="J674" s="36">
        <f>TRUNC(I674*$C674,0)</f>
        <v>66338</v>
      </c>
      <c r="K674" s="36">
        <f t="shared" si="91"/>
        <v>8911</v>
      </c>
      <c r="L674" s="36">
        <f t="shared" si="90"/>
        <v>730702</v>
      </c>
      <c r="M674" s="37"/>
      <c r="N674" s="253"/>
      <c r="O674" s="38"/>
    </row>
    <row r="675" spans="1:15" s="77" customFormat="1" ht="24.95" customHeight="1">
      <c r="A675" s="71" t="s">
        <v>1487</v>
      </c>
      <c r="B675" s="72" t="s">
        <v>22</v>
      </c>
      <c r="C675" s="73"/>
      <c r="D675" s="74" t="s">
        <v>22</v>
      </c>
      <c r="E675" s="74"/>
      <c r="F675" s="75">
        <f>TRUNC(F676+F677+F678+F679,0)</f>
        <v>23259043</v>
      </c>
      <c r="G675" s="74"/>
      <c r="H675" s="75">
        <f>TRUNC(H676+H677+H678+H679,0)</f>
        <v>4102620</v>
      </c>
      <c r="I675" s="74"/>
      <c r="J675" s="75">
        <f>TRUNC(J676+J677+J678+J679,0)</f>
        <v>313470</v>
      </c>
      <c r="K675" s="75">
        <f t="shared" si="91"/>
        <v>0</v>
      </c>
      <c r="L675" s="75">
        <f t="shared" si="90"/>
        <v>27675133</v>
      </c>
      <c r="M675" s="76"/>
      <c r="N675" s="257"/>
    </row>
    <row r="676" spans="1:15" s="29" customFormat="1" ht="24.95" customHeight="1">
      <c r="A676" s="31" t="s">
        <v>1482</v>
      </c>
      <c r="B676" s="32" t="s">
        <v>1191</v>
      </c>
      <c r="C676" s="33">
        <v>202</v>
      </c>
      <c r="D676" s="34" t="s">
        <v>1192</v>
      </c>
      <c r="E676" s="36">
        <v>62089</v>
      </c>
      <c r="F676" s="36">
        <f>TRUNC(E676*$C676,0)</f>
        <v>12541978</v>
      </c>
      <c r="G676" s="36">
        <v>20310</v>
      </c>
      <c r="H676" s="36">
        <f>TRUNC(G676*$C676,0)</f>
        <v>4102620</v>
      </c>
      <c r="I676" s="36">
        <v>0</v>
      </c>
      <c r="J676" s="36">
        <f>TRUNC(I676*$C676,0)</f>
        <v>0</v>
      </c>
      <c r="K676" s="36">
        <f t="shared" si="91"/>
        <v>82399</v>
      </c>
      <c r="L676" s="36">
        <f t="shared" si="90"/>
        <v>16644598</v>
      </c>
      <c r="M676" s="37"/>
      <c r="N676" s="253"/>
      <c r="O676" s="38"/>
    </row>
    <row r="677" spans="1:15" s="29" customFormat="1" ht="24.95" customHeight="1">
      <c r="A677" s="31" t="s">
        <v>1484</v>
      </c>
      <c r="B677" s="32" t="s">
        <v>1197</v>
      </c>
      <c r="C677" s="33">
        <v>214</v>
      </c>
      <c r="D677" s="34" t="s">
        <v>1014</v>
      </c>
      <c r="E677" s="36">
        <v>31044</v>
      </c>
      <c r="F677" s="36">
        <f>TRUNC(E677*$C677,0)</f>
        <v>6643416</v>
      </c>
      <c r="G677" s="36">
        <v>0</v>
      </c>
      <c r="H677" s="36">
        <f>TRUNC(G677*$C677,0)</f>
        <v>0</v>
      </c>
      <c r="I677" s="36">
        <v>0</v>
      </c>
      <c r="J677" s="36">
        <f>TRUNC(I677*$C677,0)</f>
        <v>0</v>
      </c>
      <c r="K677" s="36">
        <f t="shared" si="91"/>
        <v>31044</v>
      </c>
      <c r="L677" s="36">
        <f t="shared" si="90"/>
        <v>6643416</v>
      </c>
      <c r="M677" s="37"/>
      <c r="N677" s="253"/>
      <c r="O677" s="38"/>
    </row>
    <row r="678" spans="1:15" s="29" customFormat="1" ht="24.95" customHeight="1">
      <c r="A678" s="31" t="s">
        <v>1486</v>
      </c>
      <c r="B678" s="32" t="s">
        <v>1197</v>
      </c>
      <c r="C678" s="33">
        <v>129</v>
      </c>
      <c r="D678" s="34" t="s">
        <v>1014</v>
      </c>
      <c r="E678" s="36">
        <v>24309</v>
      </c>
      <c r="F678" s="36">
        <f>TRUNC(E678*$C678,0)</f>
        <v>3135861</v>
      </c>
      <c r="G678" s="36">
        <v>0</v>
      </c>
      <c r="H678" s="36">
        <f>TRUNC(G678*$C678,0)</f>
        <v>0</v>
      </c>
      <c r="I678" s="36">
        <v>2430</v>
      </c>
      <c r="J678" s="36">
        <f>TRUNC(I678*$C678,0)</f>
        <v>313470</v>
      </c>
      <c r="K678" s="36">
        <f t="shared" si="91"/>
        <v>26739</v>
      </c>
      <c r="L678" s="36">
        <f t="shared" si="90"/>
        <v>3449331</v>
      </c>
      <c r="M678" s="37"/>
      <c r="N678" s="253"/>
      <c r="O678" s="38"/>
    </row>
    <row r="679" spans="1:15" s="29" customFormat="1" ht="24.95" customHeight="1">
      <c r="A679" s="31" t="s">
        <v>1488</v>
      </c>
      <c r="B679" s="32" t="s">
        <v>1072</v>
      </c>
      <c r="C679" s="33">
        <v>34</v>
      </c>
      <c r="D679" s="34" t="s">
        <v>815</v>
      </c>
      <c r="E679" s="36">
        <v>27582</v>
      </c>
      <c r="F679" s="36">
        <f>TRUNC(E679*$C679,0)</f>
        <v>937788</v>
      </c>
      <c r="G679" s="36">
        <v>0</v>
      </c>
      <c r="H679" s="36">
        <f>TRUNC(G679*$C679,0)</f>
        <v>0</v>
      </c>
      <c r="I679" s="36">
        <v>0</v>
      </c>
      <c r="J679" s="36">
        <f>TRUNC(I679*$C679,0)</f>
        <v>0</v>
      </c>
      <c r="K679" s="36">
        <f t="shared" si="91"/>
        <v>27582</v>
      </c>
      <c r="L679" s="36">
        <f t="shared" si="90"/>
        <v>937788</v>
      </c>
      <c r="M679" s="37"/>
      <c r="N679" s="253"/>
      <c r="O679" s="38"/>
    </row>
    <row r="680" spans="1:15" s="77" customFormat="1" ht="24.95" customHeight="1">
      <c r="A680" s="71" t="s">
        <v>1489</v>
      </c>
      <c r="B680" s="72" t="s">
        <v>22</v>
      </c>
      <c r="C680" s="73"/>
      <c r="D680" s="74" t="s">
        <v>22</v>
      </c>
      <c r="E680" s="74"/>
      <c r="F680" s="75">
        <f>TRUNC(F681+F682+F683+F684+F685+F686+F687,0)</f>
        <v>18550350</v>
      </c>
      <c r="G680" s="74"/>
      <c r="H680" s="75">
        <f>TRUNC(H681+H682+H683+H684+H685+H686+H687,0)</f>
        <v>2941120</v>
      </c>
      <c r="I680" s="74"/>
      <c r="J680" s="75">
        <f>TRUNC(J681+J682+J683+J684+J685+J686+J687,0)</f>
        <v>301806</v>
      </c>
      <c r="K680" s="75">
        <f t="shared" si="91"/>
        <v>0</v>
      </c>
      <c r="L680" s="75">
        <f t="shared" si="90"/>
        <v>21793276</v>
      </c>
      <c r="M680" s="76"/>
      <c r="N680" s="257"/>
    </row>
    <row r="681" spans="1:15" s="29" customFormat="1" ht="24.95" customHeight="1">
      <c r="A681" s="31" t="s">
        <v>1482</v>
      </c>
      <c r="B681" s="32" t="s">
        <v>1193</v>
      </c>
      <c r="C681" s="33">
        <v>58</v>
      </c>
      <c r="D681" s="34" t="s">
        <v>1192</v>
      </c>
      <c r="E681" s="36">
        <v>88647</v>
      </c>
      <c r="F681" s="36">
        <f t="shared" ref="F681:F687" si="92">TRUNC(E681*$C681,0)</f>
        <v>5141526</v>
      </c>
      <c r="G681" s="36">
        <v>42628</v>
      </c>
      <c r="H681" s="36">
        <f t="shared" ref="H681:H687" si="93">TRUNC(G681*$C681,0)</f>
        <v>2472424</v>
      </c>
      <c r="I681" s="36">
        <v>0</v>
      </c>
      <c r="J681" s="36">
        <f t="shared" ref="J681:J687" si="94">TRUNC(I681*$C681,0)</f>
        <v>0</v>
      </c>
      <c r="K681" s="36">
        <f t="shared" si="91"/>
        <v>131275</v>
      </c>
      <c r="L681" s="36">
        <f t="shared" si="90"/>
        <v>7613950</v>
      </c>
      <c r="M681" s="37"/>
      <c r="N681" s="253"/>
      <c r="O681" s="38"/>
    </row>
    <row r="682" spans="1:15" s="29" customFormat="1" ht="24.95" customHeight="1">
      <c r="A682" s="31" t="s">
        <v>1484</v>
      </c>
      <c r="B682" s="32" t="s">
        <v>1198</v>
      </c>
      <c r="C682" s="33">
        <v>186</v>
      </c>
      <c r="D682" s="34" t="s">
        <v>1014</v>
      </c>
      <c r="E682" s="36">
        <v>44322</v>
      </c>
      <c r="F682" s="36">
        <f t="shared" si="92"/>
        <v>8243892</v>
      </c>
      <c r="G682" s="36">
        <v>0</v>
      </c>
      <c r="H682" s="36">
        <f t="shared" si="93"/>
        <v>0</v>
      </c>
      <c r="I682" s="36">
        <v>0</v>
      </c>
      <c r="J682" s="36">
        <f t="shared" si="94"/>
        <v>0</v>
      </c>
      <c r="K682" s="36">
        <f t="shared" si="91"/>
        <v>44322</v>
      </c>
      <c r="L682" s="36">
        <f t="shared" si="90"/>
        <v>8243892</v>
      </c>
      <c r="M682" s="37"/>
      <c r="N682" s="253"/>
      <c r="O682" s="38"/>
    </row>
    <row r="683" spans="1:15" s="29" customFormat="1" ht="24.95" customHeight="1">
      <c r="A683" s="31" t="s">
        <v>1486</v>
      </c>
      <c r="B683" s="32" t="s">
        <v>1198</v>
      </c>
      <c r="C683" s="33">
        <v>74</v>
      </c>
      <c r="D683" s="34" t="s">
        <v>1014</v>
      </c>
      <c r="E683" s="36">
        <v>40514</v>
      </c>
      <c r="F683" s="36">
        <f t="shared" si="92"/>
        <v>2998036</v>
      </c>
      <c r="G683" s="36">
        <v>0</v>
      </c>
      <c r="H683" s="36">
        <f t="shared" si="93"/>
        <v>0</v>
      </c>
      <c r="I683" s="36">
        <v>4051</v>
      </c>
      <c r="J683" s="36">
        <f t="shared" si="94"/>
        <v>299774</v>
      </c>
      <c r="K683" s="36">
        <f t="shared" si="91"/>
        <v>44565</v>
      </c>
      <c r="L683" s="36">
        <f t="shared" si="90"/>
        <v>3297810</v>
      </c>
      <c r="M683" s="37"/>
      <c r="N683" s="253"/>
      <c r="O683" s="38"/>
    </row>
    <row r="684" spans="1:15" s="29" customFormat="1" ht="24.95" customHeight="1">
      <c r="A684" s="31" t="s">
        <v>1488</v>
      </c>
      <c r="B684" s="32" t="s">
        <v>1072</v>
      </c>
      <c r="C684" s="33">
        <v>54</v>
      </c>
      <c r="D684" s="34" t="s">
        <v>815</v>
      </c>
      <c r="E684" s="36">
        <v>27582</v>
      </c>
      <c r="F684" s="36">
        <f t="shared" si="92"/>
        <v>1489428</v>
      </c>
      <c r="G684" s="36">
        <v>0</v>
      </c>
      <c r="H684" s="36">
        <f t="shared" si="93"/>
        <v>0</v>
      </c>
      <c r="I684" s="36">
        <v>0</v>
      </c>
      <c r="J684" s="36">
        <f t="shared" si="94"/>
        <v>0</v>
      </c>
      <c r="K684" s="36">
        <f t="shared" si="91"/>
        <v>27582</v>
      </c>
      <c r="L684" s="36">
        <f t="shared" si="90"/>
        <v>1489428</v>
      </c>
      <c r="M684" s="37"/>
      <c r="N684" s="253"/>
      <c r="O684" s="38"/>
    </row>
    <row r="685" spans="1:15" s="29" customFormat="1" ht="24.95" customHeight="1">
      <c r="A685" s="31" t="s">
        <v>1490</v>
      </c>
      <c r="B685" s="32" t="s">
        <v>1491</v>
      </c>
      <c r="C685" s="33">
        <v>2</v>
      </c>
      <c r="D685" s="34" t="s">
        <v>885</v>
      </c>
      <c r="E685" s="36">
        <v>328294</v>
      </c>
      <c r="F685" s="36">
        <f t="shared" si="92"/>
        <v>656588</v>
      </c>
      <c r="G685" s="36">
        <v>21372</v>
      </c>
      <c r="H685" s="36">
        <f t="shared" si="93"/>
        <v>42744</v>
      </c>
      <c r="I685" s="36">
        <v>0</v>
      </c>
      <c r="J685" s="36">
        <f t="shared" si="94"/>
        <v>0</v>
      </c>
      <c r="K685" s="36">
        <f t="shared" si="91"/>
        <v>349666</v>
      </c>
      <c r="L685" s="36">
        <f t="shared" si="90"/>
        <v>699332</v>
      </c>
      <c r="M685" s="37"/>
      <c r="N685" s="253"/>
      <c r="O685" s="38"/>
    </row>
    <row r="686" spans="1:15" s="29" customFormat="1" ht="24.95" customHeight="1">
      <c r="A686" s="31" t="s">
        <v>1492</v>
      </c>
      <c r="B686" s="32" t="s">
        <v>22</v>
      </c>
      <c r="C686" s="33">
        <v>2</v>
      </c>
      <c r="D686" s="34" t="s">
        <v>815</v>
      </c>
      <c r="E686" s="36">
        <v>0</v>
      </c>
      <c r="F686" s="36">
        <f t="shared" si="92"/>
        <v>0</v>
      </c>
      <c r="G686" s="36">
        <v>0</v>
      </c>
      <c r="H686" s="36">
        <f t="shared" si="93"/>
        <v>0</v>
      </c>
      <c r="I686" s="36">
        <v>1016</v>
      </c>
      <c r="J686" s="36">
        <f t="shared" si="94"/>
        <v>2032</v>
      </c>
      <c r="K686" s="36">
        <f t="shared" si="91"/>
        <v>1016</v>
      </c>
      <c r="L686" s="36">
        <f t="shared" si="90"/>
        <v>2032</v>
      </c>
      <c r="M686" s="37"/>
      <c r="N686" s="253"/>
      <c r="O686" s="38"/>
    </row>
    <row r="687" spans="1:15" s="29" customFormat="1" ht="24.95" customHeight="1">
      <c r="A687" s="31" t="s">
        <v>1493</v>
      </c>
      <c r="B687" s="32" t="s">
        <v>1494</v>
      </c>
      <c r="C687" s="33">
        <v>522</v>
      </c>
      <c r="D687" s="34" t="s">
        <v>116</v>
      </c>
      <c r="E687" s="36">
        <v>40</v>
      </c>
      <c r="F687" s="36">
        <f t="shared" si="92"/>
        <v>20880</v>
      </c>
      <c r="G687" s="36">
        <v>816</v>
      </c>
      <c r="H687" s="36">
        <f t="shared" si="93"/>
        <v>425952</v>
      </c>
      <c r="I687" s="36">
        <v>0</v>
      </c>
      <c r="J687" s="36">
        <f t="shared" si="94"/>
        <v>0</v>
      </c>
      <c r="K687" s="36">
        <f t="shared" si="91"/>
        <v>856</v>
      </c>
      <c r="L687" s="36">
        <f t="shared" si="90"/>
        <v>446832</v>
      </c>
      <c r="M687" s="37"/>
      <c r="N687" s="253"/>
      <c r="O687" s="38"/>
    </row>
    <row r="688" spans="1:15" s="77" customFormat="1" ht="24.95" customHeight="1">
      <c r="A688" s="71" t="s">
        <v>1495</v>
      </c>
      <c r="B688" s="72" t="s">
        <v>22</v>
      </c>
      <c r="C688" s="73"/>
      <c r="D688" s="74" t="s">
        <v>22</v>
      </c>
      <c r="E688" s="74"/>
      <c r="F688" s="75">
        <f>TRUNC(F689+F690+F691+F692+F693+F694+F695,0)</f>
        <v>121966111</v>
      </c>
      <c r="G688" s="74"/>
      <c r="H688" s="75">
        <f>TRUNC(H689+H690+H691+H692+H693+H694+H695,0)</f>
        <v>36341285</v>
      </c>
      <c r="I688" s="74"/>
      <c r="J688" s="75">
        <f>TRUNC(J689+J690+J691+J692+J693+J694+J695,0)</f>
        <v>523456</v>
      </c>
      <c r="K688" s="75">
        <f t="shared" si="91"/>
        <v>0</v>
      </c>
      <c r="L688" s="75">
        <f t="shared" si="90"/>
        <v>158830852</v>
      </c>
      <c r="M688" s="76"/>
      <c r="N688" s="257"/>
    </row>
    <row r="689" spans="1:15" s="29" customFormat="1" ht="24.95" customHeight="1">
      <c r="A689" s="31" t="s">
        <v>1482</v>
      </c>
      <c r="B689" s="32" t="s">
        <v>1194</v>
      </c>
      <c r="C689" s="33">
        <v>500</v>
      </c>
      <c r="D689" s="34" t="s">
        <v>1192</v>
      </c>
      <c r="E689" s="36">
        <v>113662</v>
      </c>
      <c r="F689" s="36">
        <f t="shared" ref="F689:F695" si="95">TRUNC(E689*$C689,0)</f>
        <v>56831000</v>
      </c>
      <c r="G689" s="36">
        <v>64363</v>
      </c>
      <c r="H689" s="36">
        <f t="shared" ref="H689:H695" si="96">TRUNC(G689*$C689,0)</f>
        <v>32181500</v>
      </c>
      <c r="I689" s="36">
        <v>0</v>
      </c>
      <c r="J689" s="36">
        <f t="shared" ref="J689:J695" si="97">TRUNC(I689*$C689,0)</f>
        <v>0</v>
      </c>
      <c r="K689" s="36">
        <f t="shared" si="91"/>
        <v>178025</v>
      </c>
      <c r="L689" s="36">
        <f t="shared" si="90"/>
        <v>89012500</v>
      </c>
      <c r="M689" s="37"/>
      <c r="N689" s="253"/>
      <c r="O689" s="38"/>
    </row>
    <row r="690" spans="1:15" s="29" customFormat="1" ht="24.95" customHeight="1">
      <c r="A690" s="31" t="s">
        <v>1484</v>
      </c>
      <c r="B690" s="32" t="s">
        <v>1199</v>
      </c>
      <c r="C690" s="33">
        <v>487</v>
      </c>
      <c r="D690" s="34" t="s">
        <v>1014</v>
      </c>
      <c r="E690" s="36">
        <v>56830</v>
      </c>
      <c r="F690" s="36">
        <f t="shared" si="95"/>
        <v>27676210</v>
      </c>
      <c r="G690" s="36">
        <v>0</v>
      </c>
      <c r="H690" s="36">
        <f t="shared" si="96"/>
        <v>0</v>
      </c>
      <c r="I690" s="36">
        <v>0</v>
      </c>
      <c r="J690" s="36">
        <f t="shared" si="97"/>
        <v>0</v>
      </c>
      <c r="K690" s="36">
        <f t="shared" si="91"/>
        <v>56830</v>
      </c>
      <c r="L690" s="36">
        <f t="shared" si="90"/>
        <v>27676210</v>
      </c>
      <c r="M690" s="37"/>
      <c r="N690" s="253"/>
      <c r="O690" s="38"/>
    </row>
    <row r="691" spans="1:15" s="29" customFormat="1" ht="24.95" customHeight="1">
      <c r="A691" s="31" t="s">
        <v>1486</v>
      </c>
      <c r="B691" s="32" t="s">
        <v>1199</v>
      </c>
      <c r="C691" s="33">
        <v>112</v>
      </c>
      <c r="D691" s="34" t="s">
        <v>1014</v>
      </c>
      <c r="E691" s="36">
        <v>44566</v>
      </c>
      <c r="F691" s="36">
        <f t="shared" si="95"/>
        <v>4991392</v>
      </c>
      <c r="G691" s="36">
        <v>0</v>
      </c>
      <c r="H691" s="36">
        <f t="shared" si="96"/>
        <v>0</v>
      </c>
      <c r="I691" s="36">
        <v>4456</v>
      </c>
      <c r="J691" s="36">
        <f t="shared" si="97"/>
        <v>499072</v>
      </c>
      <c r="K691" s="36">
        <f t="shared" si="91"/>
        <v>49022</v>
      </c>
      <c r="L691" s="36">
        <f t="shared" si="90"/>
        <v>5490464</v>
      </c>
      <c r="M691" s="37"/>
      <c r="N691" s="253"/>
      <c r="O691" s="38"/>
    </row>
    <row r="692" spans="1:15" s="29" customFormat="1" ht="24.95" customHeight="1">
      <c r="A692" s="31" t="s">
        <v>1488</v>
      </c>
      <c r="B692" s="32" t="s">
        <v>1072</v>
      </c>
      <c r="C692" s="33">
        <v>957</v>
      </c>
      <c r="D692" s="34" t="s">
        <v>815</v>
      </c>
      <c r="E692" s="36">
        <v>27582</v>
      </c>
      <c r="F692" s="36">
        <f t="shared" si="95"/>
        <v>26395974</v>
      </c>
      <c r="G692" s="36">
        <v>0</v>
      </c>
      <c r="H692" s="36">
        <f t="shared" si="96"/>
        <v>0</v>
      </c>
      <c r="I692" s="36">
        <v>0</v>
      </c>
      <c r="J692" s="36">
        <f t="shared" si="97"/>
        <v>0</v>
      </c>
      <c r="K692" s="36">
        <f t="shared" si="91"/>
        <v>27582</v>
      </c>
      <c r="L692" s="36">
        <f t="shared" si="90"/>
        <v>26395974</v>
      </c>
      <c r="M692" s="37"/>
      <c r="N692" s="253"/>
      <c r="O692" s="38"/>
    </row>
    <row r="693" spans="1:15" s="29" customFormat="1" ht="24.95" customHeight="1">
      <c r="A693" s="31" t="s">
        <v>1490</v>
      </c>
      <c r="B693" s="32" t="s">
        <v>1394</v>
      </c>
      <c r="C693" s="33">
        <v>15</v>
      </c>
      <c r="D693" s="34" t="s">
        <v>885</v>
      </c>
      <c r="E693" s="36">
        <v>392769</v>
      </c>
      <c r="F693" s="36">
        <f t="shared" si="95"/>
        <v>5891535</v>
      </c>
      <c r="G693" s="36">
        <v>32519</v>
      </c>
      <c r="H693" s="36">
        <f t="shared" si="96"/>
        <v>487785</v>
      </c>
      <c r="I693" s="36">
        <v>0</v>
      </c>
      <c r="J693" s="36">
        <f t="shared" si="97"/>
        <v>0</v>
      </c>
      <c r="K693" s="36">
        <f t="shared" si="91"/>
        <v>425288</v>
      </c>
      <c r="L693" s="36">
        <f t="shared" si="90"/>
        <v>6379320</v>
      </c>
      <c r="M693" s="37"/>
      <c r="N693" s="253"/>
      <c r="O693" s="38"/>
    </row>
    <row r="694" spans="1:15" s="29" customFormat="1" ht="24.95" customHeight="1">
      <c r="A694" s="31" t="s">
        <v>1492</v>
      </c>
      <c r="B694" s="32" t="s">
        <v>22</v>
      </c>
      <c r="C694" s="33">
        <v>24</v>
      </c>
      <c r="D694" s="34" t="s">
        <v>815</v>
      </c>
      <c r="E694" s="36">
        <v>0</v>
      </c>
      <c r="F694" s="36">
        <f t="shared" si="95"/>
        <v>0</v>
      </c>
      <c r="G694" s="36">
        <v>0</v>
      </c>
      <c r="H694" s="36">
        <f t="shared" si="96"/>
        <v>0</v>
      </c>
      <c r="I694" s="36">
        <v>1016</v>
      </c>
      <c r="J694" s="36">
        <f t="shared" si="97"/>
        <v>24384</v>
      </c>
      <c r="K694" s="36">
        <f t="shared" si="91"/>
        <v>1016</v>
      </c>
      <c r="L694" s="36">
        <f t="shared" si="90"/>
        <v>24384</v>
      </c>
      <c r="M694" s="37"/>
      <c r="N694" s="253"/>
      <c r="O694" s="38"/>
    </row>
    <row r="695" spans="1:15" s="29" customFormat="1" ht="24.95" customHeight="1">
      <c r="A695" s="31" t="s">
        <v>1493</v>
      </c>
      <c r="B695" s="32" t="s">
        <v>1494</v>
      </c>
      <c r="C695" s="33">
        <v>4500</v>
      </c>
      <c r="D695" s="34" t="s">
        <v>116</v>
      </c>
      <c r="E695" s="36">
        <v>40</v>
      </c>
      <c r="F695" s="36">
        <f t="shared" si="95"/>
        <v>180000</v>
      </c>
      <c r="G695" s="36">
        <v>816</v>
      </c>
      <c r="H695" s="36">
        <f t="shared" si="96"/>
        <v>3672000</v>
      </c>
      <c r="I695" s="36">
        <v>0</v>
      </c>
      <c r="J695" s="36">
        <f t="shared" si="97"/>
        <v>0</v>
      </c>
      <c r="K695" s="36">
        <f t="shared" si="91"/>
        <v>856</v>
      </c>
      <c r="L695" s="36">
        <f t="shared" si="90"/>
        <v>3852000</v>
      </c>
      <c r="M695" s="37"/>
      <c r="N695" s="253"/>
      <c r="O695" s="38"/>
    </row>
    <row r="696" spans="1:15" s="70" customFormat="1" ht="24.95" customHeight="1">
      <c r="A696" s="64" t="s">
        <v>1496</v>
      </c>
      <c r="B696" s="65" t="s">
        <v>22</v>
      </c>
      <c r="C696" s="66"/>
      <c r="D696" s="67" t="s">
        <v>22</v>
      </c>
      <c r="E696" s="67"/>
      <c r="F696" s="68">
        <f>F697+F706+F715+F724+F733+F741</f>
        <v>193372419</v>
      </c>
      <c r="G696" s="67"/>
      <c r="H696" s="68">
        <f>H697+H706+H715+H724+H733+H741</f>
        <v>121672393</v>
      </c>
      <c r="I696" s="67"/>
      <c r="J696" s="68">
        <f>J697+J706+J715+J724+J733+J741</f>
        <v>17243386</v>
      </c>
      <c r="K696" s="68">
        <f t="shared" si="91"/>
        <v>0</v>
      </c>
      <c r="L696" s="68">
        <f t="shared" si="90"/>
        <v>332288198</v>
      </c>
      <c r="M696" s="69"/>
      <c r="N696" s="256"/>
    </row>
    <row r="697" spans="1:15" s="77" customFormat="1" ht="24.95" customHeight="1">
      <c r="A697" s="71" t="s">
        <v>1497</v>
      </c>
      <c r="B697" s="72" t="s">
        <v>22</v>
      </c>
      <c r="C697" s="73"/>
      <c r="D697" s="74" t="s">
        <v>22</v>
      </c>
      <c r="E697" s="74"/>
      <c r="F697" s="75">
        <f>TRUNC(F698+F699+F700+F701+F702+F703+F704+F705,0)</f>
        <v>93794048</v>
      </c>
      <c r="G697" s="74"/>
      <c r="H697" s="75">
        <f>TRUNC(H698+H699+H700+H701+H702+H703+H704+H705,0)</f>
        <v>53053733</v>
      </c>
      <c r="I697" s="74"/>
      <c r="J697" s="75">
        <f>TRUNC(J698+J699+J700+J701+J702+J703+J704+J705,0)</f>
        <v>9318622</v>
      </c>
      <c r="K697" s="75">
        <f t="shared" si="91"/>
        <v>0</v>
      </c>
      <c r="L697" s="75">
        <f t="shared" si="90"/>
        <v>156166403</v>
      </c>
      <c r="M697" s="76"/>
      <c r="N697" s="257"/>
    </row>
    <row r="698" spans="1:15" s="29" customFormat="1" ht="24.95" customHeight="1">
      <c r="A698" s="31" t="s">
        <v>1498</v>
      </c>
      <c r="B698" s="32" t="s">
        <v>1499</v>
      </c>
      <c r="C698" s="33">
        <v>779</v>
      </c>
      <c r="D698" s="34" t="s">
        <v>1192</v>
      </c>
      <c r="E698" s="36">
        <v>42852</v>
      </c>
      <c r="F698" s="36">
        <f t="shared" ref="F698:F705" si="98">TRUNC(E698*$C698,0)</f>
        <v>33381708</v>
      </c>
      <c r="G698" s="36">
        <v>31809</v>
      </c>
      <c r="H698" s="36">
        <f t="shared" ref="H698:H705" si="99">TRUNC(G698*$C698,0)</f>
        <v>24779211</v>
      </c>
      <c r="I698" s="36">
        <v>6654</v>
      </c>
      <c r="J698" s="36">
        <f t="shared" ref="J698:J705" si="100">TRUNC(I698*$C698,0)</f>
        <v>5183466</v>
      </c>
      <c r="K698" s="36">
        <f t="shared" si="91"/>
        <v>81315</v>
      </c>
      <c r="L698" s="36">
        <f t="shared" si="90"/>
        <v>63344385</v>
      </c>
      <c r="M698" s="37"/>
      <c r="N698" s="253"/>
      <c r="O698" s="38"/>
    </row>
    <row r="699" spans="1:15" s="29" customFormat="1" ht="24.95" customHeight="1">
      <c r="A699" s="31" t="s">
        <v>1500</v>
      </c>
      <c r="B699" s="32" t="s">
        <v>1499</v>
      </c>
      <c r="C699" s="33">
        <v>421</v>
      </c>
      <c r="D699" s="34" t="s">
        <v>1192</v>
      </c>
      <c r="E699" s="36">
        <v>42852</v>
      </c>
      <c r="F699" s="36">
        <f t="shared" si="98"/>
        <v>18040692</v>
      </c>
      <c r="G699" s="36">
        <v>31809</v>
      </c>
      <c r="H699" s="36">
        <f t="shared" si="99"/>
        <v>13391589</v>
      </c>
      <c r="I699" s="36">
        <v>6654</v>
      </c>
      <c r="J699" s="36">
        <f t="shared" si="100"/>
        <v>2801334</v>
      </c>
      <c r="K699" s="36">
        <f t="shared" si="91"/>
        <v>81315</v>
      </c>
      <c r="L699" s="36">
        <f t="shared" si="90"/>
        <v>34233615</v>
      </c>
      <c r="M699" s="37"/>
      <c r="N699" s="253"/>
      <c r="O699" s="38"/>
    </row>
    <row r="700" spans="1:15" s="29" customFormat="1" ht="24.95" customHeight="1">
      <c r="A700" s="31" t="s">
        <v>1501</v>
      </c>
      <c r="B700" s="32" t="s">
        <v>1499</v>
      </c>
      <c r="C700" s="33">
        <v>168</v>
      </c>
      <c r="D700" s="34" t="s">
        <v>1192</v>
      </c>
      <c r="E700" s="36">
        <v>46988</v>
      </c>
      <c r="F700" s="36">
        <f t="shared" si="98"/>
        <v>7893984</v>
      </c>
      <c r="G700" s="36">
        <v>47863</v>
      </c>
      <c r="H700" s="36">
        <f t="shared" si="99"/>
        <v>8040984</v>
      </c>
      <c r="I700" s="36">
        <v>6654</v>
      </c>
      <c r="J700" s="36">
        <f t="shared" si="100"/>
        <v>1117872</v>
      </c>
      <c r="K700" s="36">
        <f t="shared" si="91"/>
        <v>101505</v>
      </c>
      <c r="L700" s="36">
        <f t="shared" si="90"/>
        <v>17052840</v>
      </c>
      <c r="M700" s="37"/>
      <c r="N700" s="253"/>
      <c r="O700" s="38"/>
    </row>
    <row r="701" spans="1:15" s="29" customFormat="1" ht="24.95" customHeight="1">
      <c r="A701" s="31" t="s">
        <v>1502</v>
      </c>
      <c r="B701" s="32" t="s">
        <v>1336</v>
      </c>
      <c r="C701" s="33">
        <v>133</v>
      </c>
      <c r="D701" s="34" t="s">
        <v>1503</v>
      </c>
      <c r="E701" s="36">
        <v>29862</v>
      </c>
      <c r="F701" s="36">
        <f t="shared" si="98"/>
        <v>3971646</v>
      </c>
      <c r="G701" s="36">
        <v>589</v>
      </c>
      <c r="H701" s="36">
        <f t="shared" si="99"/>
        <v>78337</v>
      </c>
      <c r="I701" s="36">
        <v>982</v>
      </c>
      <c r="J701" s="36">
        <f t="shared" si="100"/>
        <v>130606</v>
      </c>
      <c r="K701" s="36">
        <f t="shared" si="91"/>
        <v>31433</v>
      </c>
      <c r="L701" s="36">
        <f t="shared" si="90"/>
        <v>4180589</v>
      </c>
      <c r="M701" s="37"/>
      <c r="N701" s="253"/>
      <c r="O701" s="38"/>
    </row>
    <row r="702" spans="1:15" s="29" customFormat="1" ht="24.95" customHeight="1">
      <c r="A702" s="31" t="s">
        <v>1488</v>
      </c>
      <c r="B702" s="32" t="s">
        <v>1072</v>
      </c>
      <c r="C702" s="33">
        <v>757</v>
      </c>
      <c r="D702" s="34" t="s">
        <v>815</v>
      </c>
      <c r="E702" s="36">
        <v>27582</v>
      </c>
      <c r="F702" s="36">
        <f t="shared" si="98"/>
        <v>20879574</v>
      </c>
      <c r="G702" s="36">
        <v>0</v>
      </c>
      <c r="H702" s="36">
        <f t="shared" si="99"/>
        <v>0</v>
      </c>
      <c r="I702" s="36">
        <v>0</v>
      </c>
      <c r="J702" s="36">
        <f t="shared" si="100"/>
        <v>0</v>
      </c>
      <c r="K702" s="36">
        <f t="shared" si="91"/>
        <v>27582</v>
      </c>
      <c r="L702" s="36">
        <f t="shared" si="90"/>
        <v>20879574</v>
      </c>
      <c r="M702" s="37"/>
      <c r="N702" s="253"/>
      <c r="O702" s="38"/>
    </row>
    <row r="703" spans="1:15" s="29" customFormat="1" ht="24.95" customHeight="1">
      <c r="A703" s="31" t="s">
        <v>1490</v>
      </c>
      <c r="B703" s="32" t="s">
        <v>1504</v>
      </c>
      <c r="C703" s="33">
        <v>23</v>
      </c>
      <c r="D703" s="34" t="s">
        <v>885</v>
      </c>
      <c r="E703" s="36">
        <v>406348</v>
      </c>
      <c r="F703" s="36">
        <f t="shared" si="98"/>
        <v>9346004</v>
      </c>
      <c r="G703" s="36">
        <v>45332</v>
      </c>
      <c r="H703" s="36">
        <f t="shared" si="99"/>
        <v>1042636</v>
      </c>
      <c r="I703" s="36">
        <v>0</v>
      </c>
      <c r="J703" s="36">
        <f t="shared" si="100"/>
        <v>0</v>
      </c>
      <c r="K703" s="36">
        <f t="shared" si="91"/>
        <v>451680</v>
      </c>
      <c r="L703" s="36">
        <f t="shared" si="90"/>
        <v>10388640</v>
      </c>
      <c r="M703" s="37"/>
      <c r="N703" s="253"/>
      <c r="O703" s="38"/>
    </row>
    <row r="704" spans="1:15" s="29" customFormat="1" ht="24.95" customHeight="1">
      <c r="A704" s="31" t="s">
        <v>1492</v>
      </c>
      <c r="B704" s="32" t="s">
        <v>22</v>
      </c>
      <c r="C704" s="33">
        <v>84</v>
      </c>
      <c r="D704" s="34" t="s">
        <v>815</v>
      </c>
      <c r="E704" s="36">
        <v>0</v>
      </c>
      <c r="F704" s="36">
        <f t="shared" si="98"/>
        <v>0</v>
      </c>
      <c r="G704" s="36">
        <v>0</v>
      </c>
      <c r="H704" s="36">
        <f t="shared" si="99"/>
        <v>0</v>
      </c>
      <c r="I704" s="36">
        <v>1016</v>
      </c>
      <c r="J704" s="36">
        <f t="shared" si="100"/>
        <v>85344</v>
      </c>
      <c r="K704" s="36">
        <f t="shared" si="91"/>
        <v>1016</v>
      </c>
      <c r="L704" s="36">
        <f t="shared" si="90"/>
        <v>85344</v>
      </c>
      <c r="M704" s="37"/>
      <c r="N704" s="253"/>
      <c r="O704" s="38"/>
    </row>
    <row r="705" spans="1:15" s="29" customFormat="1" ht="24.95" customHeight="1">
      <c r="A705" s="31" t="s">
        <v>1493</v>
      </c>
      <c r="B705" s="32" t="s">
        <v>1494</v>
      </c>
      <c r="C705" s="33">
        <v>7011</v>
      </c>
      <c r="D705" s="34" t="s">
        <v>116</v>
      </c>
      <c r="E705" s="36">
        <v>40</v>
      </c>
      <c r="F705" s="36">
        <f t="shared" si="98"/>
        <v>280440</v>
      </c>
      <c r="G705" s="36">
        <v>816</v>
      </c>
      <c r="H705" s="36">
        <f t="shared" si="99"/>
        <v>5720976</v>
      </c>
      <c r="I705" s="36">
        <v>0</v>
      </c>
      <c r="J705" s="36">
        <f t="shared" si="100"/>
        <v>0</v>
      </c>
      <c r="K705" s="36">
        <f t="shared" si="91"/>
        <v>856</v>
      </c>
      <c r="L705" s="36">
        <f t="shared" si="90"/>
        <v>6001416</v>
      </c>
      <c r="M705" s="37"/>
      <c r="N705" s="253"/>
      <c r="O705" s="38"/>
    </row>
    <row r="706" spans="1:15" s="77" customFormat="1" ht="24.95" customHeight="1">
      <c r="A706" s="71" t="s">
        <v>1505</v>
      </c>
      <c r="B706" s="72" t="s">
        <v>22</v>
      </c>
      <c r="C706" s="73"/>
      <c r="D706" s="74" t="s">
        <v>22</v>
      </c>
      <c r="E706" s="74"/>
      <c r="F706" s="75">
        <f>TRUNC(F707+F708+F709+F710+F711+F712+F713+F714,0)</f>
        <v>33812252</v>
      </c>
      <c r="G706" s="74"/>
      <c r="H706" s="75">
        <f>TRUNC(H707+H708+H709+H710+H711+H712+H713+H714,0)</f>
        <v>24440912</v>
      </c>
      <c r="I706" s="74"/>
      <c r="J706" s="75">
        <f>TRUNC(J707+J708+J709+J710+J711+J712+J713+J714,0)</f>
        <v>3502411</v>
      </c>
      <c r="K706" s="75">
        <f t="shared" si="91"/>
        <v>0</v>
      </c>
      <c r="L706" s="75">
        <f t="shared" si="90"/>
        <v>61755575</v>
      </c>
      <c r="M706" s="76"/>
      <c r="N706" s="257"/>
    </row>
    <row r="707" spans="1:15" s="29" customFormat="1" ht="24.95" customHeight="1">
      <c r="A707" s="31" t="s">
        <v>1498</v>
      </c>
      <c r="B707" s="32" t="s">
        <v>1506</v>
      </c>
      <c r="C707" s="33">
        <v>235</v>
      </c>
      <c r="D707" s="34" t="s">
        <v>1192</v>
      </c>
      <c r="E707" s="36">
        <v>48312</v>
      </c>
      <c r="F707" s="36">
        <f t="shared" ref="F707:F714" si="101">TRUNC(E707*$C707,0)</f>
        <v>11353320</v>
      </c>
      <c r="G707" s="36">
        <v>39059</v>
      </c>
      <c r="H707" s="36">
        <f t="shared" ref="H707:H714" si="102">TRUNC(G707*$C707,0)</f>
        <v>9178865</v>
      </c>
      <c r="I707" s="36">
        <v>7288</v>
      </c>
      <c r="J707" s="36">
        <f t="shared" ref="J707:J714" si="103">TRUNC(I707*$C707,0)</f>
        <v>1712680</v>
      </c>
      <c r="K707" s="36">
        <f t="shared" si="91"/>
        <v>94659</v>
      </c>
      <c r="L707" s="36">
        <f t="shared" si="90"/>
        <v>22244865</v>
      </c>
      <c r="M707" s="37"/>
      <c r="N707" s="253"/>
      <c r="O707" s="38"/>
    </row>
    <row r="708" spans="1:15" s="29" customFormat="1" ht="24.95" customHeight="1">
      <c r="A708" s="31" t="s">
        <v>1500</v>
      </c>
      <c r="B708" s="32" t="s">
        <v>1506</v>
      </c>
      <c r="C708" s="33">
        <v>156</v>
      </c>
      <c r="D708" s="34" t="s">
        <v>1192</v>
      </c>
      <c r="E708" s="36">
        <v>48312</v>
      </c>
      <c r="F708" s="36">
        <f t="shared" si="101"/>
        <v>7536672</v>
      </c>
      <c r="G708" s="36">
        <v>61127</v>
      </c>
      <c r="H708" s="36">
        <f t="shared" si="102"/>
        <v>9535812</v>
      </c>
      <c r="I708" s="36">
        <v>7288</v>
      </c>
      <c r="J708" s="36">
        <f t="shared" si="103"/>
        <v>1136928</v>
      </c>
      <c r="K708" s="36">
        <f t="shared" si="91"/>
        <v>116727</v>
      </c>
      <c r="L708" s="36">
        <f t="shared" si="90"/>
        <v>18209412</v>
      </c>
      <c r="M708" s="37"/>
      <c r="N708" s="253"/>
      <c r="O708" s="38"/>
    </row>
    <row r="709" spans="1:15" s="29" customFormat="1" ht="24.95" customHeight="1">
      <c r="A709" s="31" t="s">
        <v>1501</v>
      </c>
      <c r="B709" s="32" t="s">
        <v>1506</v>
      </c>
      <c r="C709" s="33">
        <v>57</v>
      </c>
      <c r="D709" s="34" t="s">
        <v>1192</v>
      </c>
      <c r="E709" s="36">
        <v>53320</v>
      </c>
      <c r="F709" s="36">
        <f t="shared" si="101"/>
        <v>3039240</v>
      </c>
      <c r="G709" s="36">
        <v>61229</v>
      </c>
      <c r="H709" s="36">
        <f t="shared" si="102"/>
        <v>3490053</v>
      </c>
      <c r="I709" s="36">
        <v>7288</v>
      </c>
      <c r="J709" s="36">
        <f t="shared" si="103"/>
        <v>415416</v>
      </c>
      <c r="K709" s="36">
        <f t="shared" si="91"/>
        <v>121837</v>
      </c>
      <c r="L709" s="36">
        <f t="shared" si="90"/>
        <v>6944709</v>
      </c>
      <c r="M709" s="37"/>
      <c r="N709" s="253"/>
      <c r="O709" s="38"/>
    </row>
    <row r="710" spans="1:15" s="29" customFormat="1" ht="24.95" customHeight="1">
      <c r="A710" s="31" t="s">
        <v>1502</v>
      </c>
      <c r="B710" s="32" t="s">
        <v>1507</v>
      </c>
      <c r="C710" s="33">
        <v>43</v>
      </c>
      <c r="D710" s="34" t="s">
        <v>1503</v>
      </c>
      <c r="E710" s="36">
        <v>26916</v>
      </c>
      <c r="F710" s="36">
        <f t="shared" si="101"/>
        <v>1157388</v>
      </c>
      <c r="G710" s="36">
        <v>2674</v>
      </c>
      <c r="H710" s="36">
        <f t="shared" si="102"/>
        <v>114982</v>
      </c>
      <c r="I710" s="36">
        <v>4481</v>
      </c>
      <c r="J710" s="36">
        <f t="shared" si="103"/>
        <v>192683</v>
      </c>
      <c r="K710" s="36">
        <f t="shared" si="91"/>
        <v>34071</v>
      </c>
      <c r="L710" s="36">
        <f t="shared" si="90"/>
        <v>1465053</v>
      </c>
      <c r="M710" s="37"/>
      <c r="N710" s="253"/>
      <c r="O710" s="38"/>
    </row>
    <row r="711" spans="1:15" s="29" customFormat="1" ht="24.95" customHeight="1">
      <c r="A711" s="31" t="s">
        <v>1488</v>
      </c>
      <c r="B711" s="32" t="s">
        <v>1072</v>
      </c>
      <c r="C711" s="33">
        <v>264</v>
      </c>
      <c r="D711" s="34" t="s">
        <v>815</v>
      </c>
      <c r="E711" s="36">
        <v>27582</v>
      </c>
      <c r="F711" s="36">
        <f t="shared" si="101"/>
        <v>7281648</v>
      </c>
      <c r="G711" s="36">
        <v>0</v>
      </c>
      <c r="H711" s="36">
        <f t="shared" si="102"/>
        <v>0</v>
      </c>
      <c r="I711" s="36">
        <v>0</v>
      </c>
      <c r="J711" s="36">
        <f t="shared" si="103"/>
        <v>0</v>
      </c>
      <c r="K711" s="36">
        <f t="shared" si="91"/>
        <v>27582</v>
      </c>
      <c r="L711" s="36">
        <f t="shared" si="90"/>
        <v>7281648</v>
      </c>
      <c r="M711" s="37"/>
      <c r="N711" s="253"/>
      <c r="O711" s="38"/>
    </row>
    <row r="712" spans="1:15" s="29" customFormat="1" ht="24.95" customHeight="1">
      <c r="A712" s="31" t="s">
        <v>1490</v>
      </c>
      <c r="B712" s="32" t="s">
        <v>1508</v>
      </c>
      <c r="C712" s="33">
        <v>8</v>
      </c>
      <c r="D712" s="34" t="s">
        <v>885</v>
      </c>
      <c r="E712" s="36">
        <v>419923</v>
      </c>
      <c r="F712" s="36">
        <f t="shared" si="101"/>
        <v>3359384</v>
      </c>
      <c r="G712" s="36">
        <v>49420</v>
      </c>
      <c r="H712" s="36">
        <f t="shared" si="102"/>
        <v>395360</v>
      </c>
      <c r="I712" s="36">
        <v>0</v>
      </c>
      <c r="J712" s="36">
        <f t="shared" si="103"/>
        <v>0</v>
      </c>
      <c r="K712" s="36">
        <f t="shared" si="91"/>
        <v>469343</v>
      </c>
      <c r="L712" s="36">
        <f t="shared" si="90"/>
        <v>3754744</v>
      </c>
      <c r="M712" s="37"/>
      <c r="N712" s="253"/>
      <c r="O712" s="38"/>
    </row>
    <row r="713" spans="1:15" s="29" customFormat="1" ht="24.95" customHeight="1">
      <c r="A713" s="31" t="s">
        <v>1492</v>
      </c>
      <c r="B713" s="32" t="s">
        <v>22</v>
      </c>
      <c r="C713" s="33">
        <v>44</v>
      </c>
      <c r="D713" s="34" t="s">
        <v>815</v>
      </c>
      <c r="E713" s="36">
        <v>0</v>
      </c>
      <c r="F713" s="36">
        <f t="shared" si="101"/>
        <v>0</v>
      </c>
      <c r="G713" s="36">
        <v>0</v>
      </c>
      <c r="H713" s="36">
        <f t="shared" si="102"/>
        <v>0</v>
      </c>
      <c r="I713" s="36">
        <v>1016</v>
      </c>
      <c r="J713" s="36">
        <f t="shared" si="103"/>
        <v>44704</v>
      </c>
      <c r="K713" s="36">
        <f t="shared" si="91"/>
        <v>1016</v>
      </c>
      <c r="L713" s="36">
        <f t="shared" si="90"/>
        <v>44704</v>
      </c>
      <c r="M713" s="37"/>
      <c r="N713" s="253"/>
      <c r="O713" s="38"/>
    </row>
    <row r="714" spans="1:15" s="29" customFormat="1" ht="24.95" customHeight="1">
      <c r="A714" s="31" t="s">
        <v>1493</v>
      </c>
      <c r="B714" s="32" t="s">
        <v>1494</v>
      </c>
      <c r="C714" s="33">
        <v>2115</v>
      </c>
      <c r="D714" s="34" t="s">
        <v>116</v>
      </c>
      <c r="E714" s="36">
        <v>40</v>
      </c>
      <c r="F714" s="36">
        <f t="shared" si="101"/>
        <v>84600</v>
      </c>
      <c r="G714" s="36">
        <v>816</v>
      </c>
      <c r="H714" s="36">
        <f t="shared" si="102"/>
        <v>1725840</v>
      </c>
      <c r="I714" s="36">
        <v>0</v>
      </c>
      <c r="J714" s="36">
        <f t="shared" si="103"/>
        <v>0</v>
      </c>
      <c r="K714" s="36">
        <f t="shared" si="91"/>
        <v>856</v>
      </c>
      <c r="L714" s="36">
        <f t="shared" si="90"/>
        <v>1810440</v>
      </c>
      <c r="M714" s="37"/>
      <c r="N714" s="253"/>
      <c r="O714" s="38"/>
    </row>
    <row r="715" spans="1:15" s="77" customFormat="1" ht="24.95" customHeight="1">
      <c r="A715" s="71" t="s">
        <v>1509</v>
      </c>
      <c r="B715" s="72" t="s">
        <v>22</v>
      </c>
      <c r="C715" s="73"/>
      <c r="D715" s="74" t="s">
        <v>22</v>
      </c>
      <c r="E715" s="74"/>
      <c r="F715" s="75">
        <f>TRUNC(F716+F717+F718+F719+F720+F721+F722+F723,0)</f>
        <v>13506284</v>
      </c>
      <c r="G715" s="74"/>
      <c r="H715" s="75">
        <f>TRUNC(H716+H717+H718+H719+H720+H721+H722+H723,0)</f>
        <v>9353373</v>
      </c>
      <c r="I715" s="74"/>
      <c r="J715" s="75">
        <f>TRUNC(J716+J717+J718+J719+J720+J721+J722+J723,0)</f>
        <v>1322547</v>
      </c>
      <c r="K715" s="75">
        <f t="shared" si="91"/>
        <v>0</v>
      </c>
      <c r="L715" s="75">
        <f t="shared" si="90"/>
        <v>24182204</v>
      </c>
      <c r="M715" s="76"/>
      <c r="N715" s="257"/>
    </row>
    <row r="716" spans="1:15" s="29" customFormat="1" ht="24.95" customHeight="1">
      <c r="A716" s="31" t="s">
        <v>1498</v>
      </c>
      <c r="B716" s="32" t="s">
        <v>1510</v>
      </c>
      <c r="C716" s="33">
        <v>93</v>
      </c>
      <c r="D716" s="34" t="s">
        <v>1192</v>
      </c>
      <c r="E716" s="36">
        <v>62590</v>
      </c>
      <c r="F716" s="36">
        <f t="shared" ref="F716:F723" si="104">TRUNC(E716*$C716,0)</f>
        <v>5820870</v>
      </c>
      <c r="G716" s="36">
        <v>50621</v>
      </c>
      <c r="H716" s="36">
        <f t="shared" ref="H716:H723" si="105">TRUNC(G716*$C716,0)</f>
        <v>4707753</v>
      </c>
      <c r="I716" s="36">
        <v>7700</v>
      </c>
      <c r="J716" s="36">
        <f t="shared" ref="J716:J723" si="106">TRUNC(I716*$C716,0)</f>
        <v>716100</v>
      </c>
      <c r="K716" s="36">
        <f t="shared" si="91"/>
        <v>120911</v>
      </c>
      <c r="L716" s="36">
        <f t="shared" si="90"/>
        <v>11244723</v>
      </c>
      <c r="M716" s="37"/>
      <c r="N716" s="253"/>
      <c r="O716" s="38"/>
    </row>
    <row r="717" spans="1:15" s="29" customFormat="1" ht="24.95" customHeight="1">
      <c r="A717" s="31" t="s">
        <v>1500</v>
      </c>
      <c r="B717" s="32" t="s">
        <v>1510</v>
      </c>
      <c r="C717" s="33">
        <v>53</v>
      </c>
      <c r="D717" s="34" t="s">
        <v>1192</v>
      </c>
      <c r="E717" s="36">
        <v>62590</v>
      </c>
      <c r="F717" s="36">
        <f t="shared" si="104"/>
        <v>3317270</v>
      </c>
      <c r="G717" s="36">
        <v>50621</v>
      </c>
      <c r="H717" s="36">
        <f t="shared" si="105"/>
        <v>2682913</v>
      </c>
      <c r="I717" s="36">
        <v>7700</v>
      </c>
      <c r="J717" s="36">
        <f t="shared" si="106"/>
        <v>408100</v>
      </c>
      <c r="K717" s="36">
        <f t="shared" si="91"/>
        <v>120911</v>
      </c>
      <c r="L717" s="36">
        <f t="shared" si="90"/>
        <v>6408283</v>
      </c>
      <c r="M717" s="37"/>
      <c r="N717" s="253"/>
      <c r="O717" s="38"/>
    </row>
    <row r="718" spans="1:15" s="29" customFormat="1" ht="24.95" customHeight="1">
      <c r="A718" s="31" t="s">
        <v>1501</v>
      </c>
      <c r="B718" s="32" t="s">
        <v>1510</v>
      </c>
      <c r="C718" s="33">
        <v>14</v>
      </c>
      <c r="D718" s="34" t="s">
        <v>1192</v>
      </c>
      <c r="E718" s="36">
        <v>70357</v>
      </c>
      <c r="F718" s="36">
        <f t="shared" si="104"/>
        <v>984998</v>
      </c>
      <c r="G718" s="36">
        <v>73697</v>
      </c>
      <c r="H718" s="36">
        <f t="shared" si="105"/>
        <v>1031758</v>
      </c>
      <c r="I718" s="36">
        <v>7700</v>
      </c>
      <c r="J718" s="36">
        <f t="shared" si="106"/>
        <v>107800</v>
      </c>
      <c r="K718" s="36">
        <f t="shared" si="91"/>
        <v>151754</v>
      </c>
      <c r="L718" s="36">
        <f t="shared" si="90"/>
        <v>2124556</v>
      </c>
      <c r="M718" s="37"/>
      <c r="N718" s="253"/>
      <c r="O718" s="38"/>
    </row>
    <row r="719" spans="1:15" s="29" customFormat="1" ht="24.95" customHeight="1">
      <c r="A719" s="31" t="s">
        <v>1502</v>
      </c>
      <c r="B719" s="32" t="s">
        <v>992</v>
      </c>
      <c r="C719" s="33">
        <v>13</v>
      </c>
      <c r="D719" s="34" t="s">
        <v>1503</v>
      </c>
      <c r="E719" s="36">
        <v>29158</v>
      </c>
      <c r="F719" s="36">
        <f t="shared" si="104"/>
        <v>379054</v>
      </c>
      <c r="G719" s="36">
        <v>2896</v>
      </c>
      <c r="H719" s="36">
        <f t="shared" si="105"/>
        <v>37648</v>
      </c>
      <c r="I719" s="36">
        <v>4855</v>
      </c>
      <c r="J719" s="36">
        <f t="shared" si="106"/>
        <v>63115</v>
      </c>
      <c r="K719" s="36">
        <f t="shared" si="91"/>
        <v>36909</v>
      </c>
      <c r="L719" s="36">
        <f t="shared" si="90"/>
        <v>479817</v>
      </c>
      <c r="M719" s="37"/>
      <c r="N719" s="253"/>
      <c r="O719" s="38"/>
    </row>
    <row r="720" spans="1:15" s="29" customFormat="1" ht="24.95" customHeight="1">
      <c r="A720" s="31" t="s">
        <v>1488</v>
      </c>
      <c r="B720" s="32" t="s">
        <v>1072</v>
      </c>
      <c r="C720" s="33">
        <v>60</v>
      </c>
      <c r="D720" s="34" t="s">
        <v>815</v>
      </c>
      <c r="E720" s="36">
        <v>27582</v>
      </c>
      <c r="F720" s="36">
        <f t="shared" si="104"/>
        <v>1654920</v>
      </c>
      <c r="G720" s="36">
        <v>0</v>
      </c>
      <c r="H720" s="36">
        <f t="shared" si="105"/>
        <v>0</v>
      </c>
      <c r="I720" s="36">
        <v>0</v>
      </c>
      <c r="J720" s="36">
        <f t="shared" si="106"/>
        <v>0</v>
      </c>
      <c r="K720" s="36">
        <f t="shared" si="91"/>
        <v>27582</v>
      </c>
      <c r="L720" s="36">
        <f t="shared" si="90"/>
        <v>1654920</v>
      </c>
      <c r="M720" s="37"/>
      <c r="N720" s="253"/>
      <c r="O720" s="38"/>
    </row>
    <row r="721" spans="1:15" s="29" customFormat="1" ht="24.95" customHeight="1">
      <c r="A721" s="31" t="s">
        <v>1490</v>
      </c>
      <c r="B721" s="32" t="s">
        <v>1511</v>
      </c>
      <c r="C721" s="33">
        <v>3</v>
      </c>
      <c r="D721" s="34" t="s">
        <v>885</v>
      </c>
      <c r="E721" s="36">
        <v>438564</v>
      </c>
      <c r="F721" s="36">
        <f t="shared" si="104"/>
        <v>1315692</v>
      </c>
      <c r="G721" s="36">
        <v>70103</v>
      </c>
      <c r="H721" s="36">
        <f t="shared" si="105"/>
        <v>210309</v>
      </c>
      <c r="I721" s="36">
        <v>0</v>
      </c>
      <c r="J721" s="36">
        <f t="shared" si="106"/>
        <v>0</v>
      </c>
      <c r="K721" s="36">
        <f t="shared" si="91"/>
        <v>508667</v>
      </c>
      <c r="L721" s="36">
        <f t="shared" si="90"/>
        <v>1526001</v>
      </c>
      <c r="M721" s="37"/>
      <c r="N721" s="253"/>
      <c r="O721" s="38"/>
    </row>
    <row r="722" spans="1:15" s="29" customFormat="1" ht="24.95" customHeight="1">
      <c r="A722" s="31" t="s">
        <v>1492</v>
      </c>
      <c r="B722" s="32" t="s">
        <v>22</v>
      </c>
      <c r="C722" s="33">
        <v>27</v>
      </c>
      <c r="D722" s="34" t="s">
        <v>815</v>
      </c>
      <c r="E722" s="36">
        <v>0</v>
      </c>
      <c r="F722" s="36">
        <f t="shared" si="104"/>
        <v>0</v>
      </c>
      <c r="G722" s="36">
        <v>0</v>
      </c>
      <c r="H722" s="36">
        <f t="shared" si="105"/>
        <v>0</v>
      </c>
      <c r="I722" s="36">
        <v>1016</v>
      </c>
      <c r="J722" s="36">
        <f t="shared" si="106"/>
        <v>27432</v>
      </c>
      <c r="K722" s="36">
        <f t="shared" si="91"/>
        <v>1016</v>
      </c>
      <c r="L722" s="36">
        <f t="shared" si="91"/>
        <v>27432</v>
      </c>
      <c r="M722" s="37"/>
      <c r="N722" s="253"/>
      <c r="O722" s="38"/>
    </row>
    <row r="723" spans="1:15" s="29" customFormat="1" ht="24.95" customHeight="1">
      <c r="A723" s="31" t="s">
        <v>1493</v>
      </c>
      <c r="B723" s="32" t="s">
        <v>1494</v>
      </c>
      <c r="C723" s="33">
        <v>837</v>
      </c>
      <c r="D723" s="34" t="s">
        <v>116</v>
      </c>
      <c r="E723" s="36">
        <v>40</v>
      </c>
      <c r="F723" s="36">
        <f t="shared" si="104"/>
        <v>33480</v>
      </c>
      <c r="G723" s="36">
        <v>816</v>
      </c>
      <c r="H723" s="36">
        <f t="shared" si="105"/>
        <v>682992</v>
      </c>
      <c r="I723" s="36">
        <v>0</v>
      </c>
      <c r="J723" s="36">
        <f t="shared" si="106"/>
        <v>0</v>
      </c>
      <c r="K723" s="36">
        <f t="shared" si="91"/>
        <v>856</v>
      </c>
      <c r="L723" s="36">
        <f t="shared" si="91"/>
        <v>716472</v>
      </c>
      <c r="M723" s="37"/>
      <c r="N723" s="253"/>
      <c r="O723" s="38"/>
    </row>
    <row r="724" spans="1:15" s="77" customFormat="1" ht="24.95" customHeight="1">
      <c r="A724" s="71" t="s">
        <v>1512</v>
      </c>
      <c r="B724" s="72" t="s">
        <v>22</v>
      </c>
      <c r="C724" s="73"/>
      <c r="D724" s="74" t="s">
        <v>22</v>
      </c>
      <c r="E724" s="74"/>
      <c r="F724" s="75">
        <f>TRUNC(F725+F726+F727+F728+F729+F730+F731+F732,0)</f>
        <v>33933872</v>
      </c>
      <c r="G724" s="74"/>
      <c r="H724" s="75">
        <f>TRUNC(H725+H726+H727+H728+H729+H730+H731+H732,0)</f>
        <v>28854364</v>
      </c>
      <c r="I724" s="74"/>
      <c r="J724" s="75">
        <f>TRUNC(J725+J726+J727+J728+J729+J730+J731+J732,0)</f>
        <v>2779265</v>
      </c>
      <c r="K724" s="75">
        <f t="shared" ref="K724:L787" si="107">G724+E724+I724</f>
        <v>0</v>
      </c>
      <c r="L724" s="75">
        <f t="shared" si="107"/>
        <v>65567501</v>
      </c>
      <c r="M724" s="76"/>
      <c r="N724" s="257"/>
    </row>
    <row r="725" spans="1:15" s="29" customFormat="1" ht="24.95" customHeight="1">
      <c r="A725" s="31" t="s">
        <v>1498</v>
      </c>
      <c r="B725" s="32" t="s">
        <v>1513</v>
      </c>
      <c r="C725" s="33">
        <v>66</v>
      </c>
      <c r="D725" s="34" t="s">
        <v>1192</v>
      </c>
      <c r="E725" s="36">
        <v>119290</v>
      </c>
      <c r="F725" s="36">
        <f t="shared" ref="F725:F732" si="108">TRUNC(E725*$C725,0)</f>
        <v>7873140</v>
      </c>
      <c r="G725" s="36">
        <v>74465</v>
      </c>
      <c r="H725" s="36">
        <f t="shared" ref="H725:H732" si="109">TRUNC(G725*$C725,0)</f>
        <v>4914690</v>
      </c>
      <c r="I725" s="36">
        <v>10819</v>
      </c>
      <c r="J725" s="36">
        <f t="shared" ref="J725:J732" si="110">TRUNC(I725*$C725,0)</f>
        <v>714054</v>
      </c>
      <c r="K725" s="36">
        <f t="shared" si="107"/>
        <v>204574</v>
      </c>
      <c r="L725" s="36">
        <f t="shared" si="107"/>
        <v>13501884</v>
      </c>
      <c r="M725" s="37"/>
      <c r="N725" s="253"/>
      <c r="O725" s="38"/>
    </row>
    <row r="726" spans="1:15" s="29" customFormat="1" ht="24.95" customHeight="1">
      <c r="A726" s="31" t="s">
        <v>1500</v>
      </c>
      <c r="B726" s="32" t="s">
        <v>1513</v>
      </c>
      <c r="C726" s="33">
        <v>91</v>
      </c>
      <c r="D726" s="34" t="s">
        <v>1192</v>
      </c>
      <c r="E726" s="36">
        <v>119290</v>
      </c>
      <c r="F726" s="36">
        <f t="shared" si="108"/>
        <v>10855390</v>
      </c>
      <c r="G726" s="36">
        <v>74465</v>
      </c>
      <c r="H726" s="36">
        <f t="shared" si="109"/>
        <v>6776315</v>
      </c>
      <c r="I726" s="36">
        <v>10819</v>
      </c>
      <c r="J726" s="36">
        <f t="shared" si="110"/>
        <v>984529</v>
      </c>
      <c r="K726" s="36">
        <f t="shared" si="107"/>
        <v>204574</v>
      </c>
      <c r="L726" s="36">
        <f t="shared" si="107"/>
        <v>18616234</v>
      </c>
      <c r="M726" s="37"/>
      <c r="N726" s="253"/>
      <c r="O726" s="38"/>
    </row>
    <row r="727" spans="1:15" s="29" customFormat="1" ht="24.95" customHeight="1">
      <c r="A727" s="31" t="s">
        <v>1501</v>
      </c>
      <c r="B727" s="32" t="s">
        <v>1513</v>
      </c>
      <c r="C727" s="33">
        <v>77</v>
      </c>
      <c r="D727" s="34" t="s">
        <v>1192</v>
      </c>
      <c r="E727" s="36">
        <v>135329</v>
      </c>
      <c r="F727" s="36">
        <f t="shared" si="108"/>
        <v>10420333</v>
      </c>
      <c r="G727" s="36">
        <v>211866</v>
      </c>
      <c r="H727" s="36">
        <f t="shared" si="109"/>
        <v>16313682</v>
      </c>
      <c r="I727" s="36">
        <v>10819</v>
      </c>
      <c r="J727" s="36">
        <f t="shared" si="110"/>
        <v>833063</v>
      </c>
      <c r="K727" s="36">
        <f t="shared" si="107"/>
        <v>358014</v>
      </c>
      <c r="L727" s="36">
        <f t="shared" si="107"/>
        <v>27567078</v>
      </c>
      <c r="M727" s="37"/>
      <c r="N727" s="253"/>
      <c r="O727" s="38"/>
    </row>
    <row r="728" spans="1:15" s="29" customFormat="1" ht="24.95" customHeight="1">
      <c r="A728" s="31" t="s">
        <v>1502</v>
      </c>
      <c r="B728" s="32" t="s">
        <v>1514</v>
      </c>
      <c r="C728" s="33">
        <v>31</v>
      </c>
      <c r="D728" s="34" t="s">
        <v>1503</v>
      </c>
      <c r="E728" s="36">
        <v>38131</v>
      </c>
      <c r="F728" s="36">
        <f t="shared" si="108"/>
        <v>1182061</v>
      </c>
      <c r="G728" s="36">
        <v>3787</v>
      </c>
      <c r="H728" s="36">
        <f t="shared" si="109"/>
        <v>117397</v>
      </c>
      <c r="I728" s="36">
        <v>6349</v>
      </c>
      <c r="J728" s="36">
        <f t="shared" si="110"/>
        <v>196819</v>
      </c>
      <c r="K728" s="36">
        <f t="shared" si="107"/>
        <v>48267</v>
      </c>
      <c r="L728" s="36">
        <f t="shared" si="107"/>
        <v>1496277</v>
      </c>
      <c r="M728" s="37"/>
      <c r="N728" s="253"/>
      <c r="O728" s="38"/>
    </row>
    <row r="729" spans="1:15" s="29" customFormat="1" ht="24.95" customHeight="1">
      <c r="A729" s="31" t="s">
        <v>1488</v>
      </c>
      <c r="B729" s="32" t="s">
        <v>1072</v>
      </c>
      <c r="C729" s="33">
        <v>96</v>
      </c>
      <c r="D729" s="34" t="s">
        <v>815</v>
      </c>
      <c r="E729" s="36">
        <v>27582</v>
      </c>
      <c r="F729" s="36">
        <f t="shared" si="108"/>
        <v>2647872</v>
      </c>
      <c r="G729" s="36">
        <v>0</v>
      </c>
      <c r="H729" s="36">
        <f t="shared" si="109"/>
        <v>0</v>
      </c>
      <c r="I729" s="36">
        <v>0</v>
      </c>
      <c r="J729" s="36">
        <f t="shared" si="110"/>
        <v>0</v>
      </c>
      <c r="K729" s="36">
        <f t="shared" si="107"/>
        <v>27582</v>
      </c>
      <c r="L729" s="36">
        <f t="shared" si="107"/>
        <v>2647872</v>
      </c>
      <c r="M729" s="37"/>
      <c r="N729" s="253"/>
      <c r="O729" s="38"/>
    </row>
    <row r="730" spans="1:15" s="29" customFormat="1" ht="24.95" customHeight="1">
      <c r="A730" s="31" t="s">
        <v>1490</v>
      </c>
      <c r="B730" s="32" t="s">
        <v>1515</v>
      </c>
      <c r="C730" s="33">
        <v>2</v>
      </c>
      <c r="D730" s="34" t="s">
        <v>885</v>
      </c>
      <c r="E730" s="36">
        <v>465718</v>
      </c>
      <c r="F730" s="36">
        <f t="shared" si="108"/>
        <v>931436</v>
      </c>
      <c r="G730" s="36">
        <v>125012</v>
      </c>
      <c r="H730" s="36">
        <f t="shared" si="109"/>
        <v>250024</v>
      </c>
      <c r="I730" s="36">
        <v>0</v>
      </c>
      <c r="J730" s="36">
        <f t="shared" si="110"/>
        <v>0</v>
      </c>
      <c r="K730" s="36">
        <f t="shared" si="107"/>
        <v>590730</v>
      </c>
      <c r="L730" s="36">
        <f t="shared" si="107"/>
        <v>1181460</v>
      </c>
      <c r="M730" s="37"/>
      <c r="N730" s="253"/>
      <c r="O730" s="38"/>
    </row>
    <row r="731" spans="1:15" s="29" customFormat="1" ht="24.95" customHeight="1">
      <c r="A731" s="31" t="s">
        <v>1492</v>
      </c>
      <c r="B731" s="32" t="s">
        <v>22</v>
      </c>
      <c r="C731" s="33">
        <v>50</v>
      </c>
      <c r="D731" s="34" t="s">
        <v>815</v>
      </c>
      <c r="E731" s="36">
        <v>0</v>
      </c>
      <c r="F731" s="36">
        <f t="shared" si="108"/>
        <v>0</v>
      </c>
      <c r="G731" s="36">
        <v>0</v>
      </c>
      <c r="H731" s="36">
        <f t="shared" si="109"/>
        <v>0</v>
      </c>
      <c r="I731" s="36">
        <v>1016</v>
      </c>
      <c r="J731" s="36">
        <f t="shared" si="110"/>
        <v>50800</v>
      </c>
      <c r="K731" s="36">
        <f t="shared" si="107"/>
        <v>1016</v>
      </c>
      <c r="L731" s="36">
        <f t="shared" si="107"/>
        <v>50800</v>
      </c>
      <c r="M731" s="37"/>
      <c r="N731" s="253"/>
      <c r="O731" s="38"/>
    </row>
    <row r="732" spans="1:15" s="29" customFormat="1" ht="24.95" customHeight="1">
      <c r="A732" s="31" t="s">
        <v>1493</v>
      </c>
      <c r="B732" s="32" t="s">
        <v>1494</v>
      </c>
      <c r="C732" s="33">
        <v>591</v>
      </c>
      <c r="D732" s="34" t="s">
        <v>116</v>
      </c>
      <c r="E732" s="36">
        <v>40</v>
      </c>
      <c r="F732" s="36">
        <f t="shared" si="108"/>
        <v>23640</v>
      </c>
      <c r="G732" s="36">
        <v>816</v>
      </c>
      <c r="H732" s="36">
        <f t="shared" si="109"/>
        <v>482256</v>
      </c>
      <c r="I732" s="36">
        <v>0</v>
      </c>
      <c r="J732" s="36">
        <f t="shared" si="110"/>
        <v>0</v>
      </c>
      <c r="K732" s="36">
        <f t="shared" si="107"/>
        <v>856</v>
      </c>
      <c r="L732" s="36">
        <f t="shared" si="107"/>
        <v>505896</v>
      </c>
      <c r="M732" s="37"/>
      <c r="N732" s="253"/>
      <c r="O732" s="38"/>
    </row>
    <row r="733" spans="1:15" s="77" customFormat="1" ht="24.95" customHeight="1">
      <c r="A733" s="71" t="s">
        <v>1516</v>
      </c>
      <c r="B733" s="72" t="s">
        <v>22</v>
      </c>
      <c r="C733" s="73"/>
      <c r="D733" s="74" t="s">
        <v>22</v>
      </c>
      <c r="E733" s="74"/>
      <c r="F733" s="75">
        <f>TRUNC(F734+F735+F736+F737+F738+F739+F740,0)</f>
        <v>11894055</v>
      </c>
      <c r="G733" s="74"/>
      <c r="H733" s="75">
        <f>TRUNC(H734+H735+H736+H737+H738+H739+H740,0)</f>
        <v>2756174</v>
      </c>
      <c r="I733" s="74"/>
      <c r="J733" s="75">
        <f>TRUNC(J734+J735+J736+J737+J738+J739+J740,0)</f>
        <v>96539</v>
      </c>
      <c r="K733" s="75">
        <f t="shared" si="107"/>
        <v>0</v>
      </c>
      <c r="L733" s="75">
        <f t="shared" si="107"/>
        <v>14746768</v>
      </c>
      <c r="M733" s="76"/>
      <c r="N733" s="257"/>
    </row>
    <row r="734" spans="1:15" s="29" customFormat="1" ht="24.95" customHeight="1">
      <c r="A734" s="31" t="s">
        <v>1517</v>
      </c>
      <c r="B734" s="32" t="s">
        <v>1262</v>
      </c>
      <c r="C734" s="33">
        <v>61</v>
      </c>
      <c r="D734" s="34" t="s">
        <v>1116</v>
      </c>
      <c r="E734" s="36">
        <v>12886</v>
      </c>
      <c r="F734" s="36">
        <f t="shared" ref="F734:F740" si="111">TRUNC(E734*$C734,0)</f>
        <v>786046</v>
      </c>
      <c r="G734" s="36">
        <v>4214</v>
      </c>
      <c r="H734" s="36">
        <f t="shared" ref="H734:H740" si="112">TRUNC(G734*$C734,0)</f>
        <v>257054</v>
      </c>
      <c r="I734" s="36">
        <v>0</v>
      </c>
      <c r="J734" s="36">
        <f t="shared" ref="J734:J740" si="113">TRUNC(I734*$C734,0)</f>
        <v>0</v>
      </c>
      <c r="K734" s="36">
        <f t="shared" si="107"/>
        <v>17100</v>
      </c>
      <c r="L734" s="36">
        <f t="shared" si="107"/>
        <v>1043100</v>
      </c>
      <c r="M734" s="37"/>
      <c r="N734" s="253"/>
      <c r="O734" s="38"/>
    </row>
    <row r="735" spans="1:15" s="29" customFormat="1" ht="24.95" customHeight="1">
      <c r="A735" s="31" t="s">
        <v>1517</v>
      </c>
      <c r="B735" s="32" t="s">
        <v>1155</v>
      </c>
      <c r="C735" s="33">
        <v>315</v>
      </c>
      <c r="D735" s="34" t="s">
        <v>1116</v>
      </c>
      <c r="E735" s="36">
        <v>19695</v>
      </c>
      <c r="F735" s="36">
        <f t="shared" si="111"/>
        <v>6203925</v>
      </c>
      <c r="G735" s="36">
        <v>7815</v>
      </c>
      <c r="H735" s="36">
        <f t="shared" si="112"/>
        <v>2461725</v>
      </c>
      <c r="I735" s="36">
        <v>0</v>
      </c>
      <c r="J735" s="36">
        <f t="shared" si="113"/>
        <v>0</v>
      </c>
      <c r="K735" s="36">
        <f t="shared" si="107"/>
        <v>27510</v>
      </c>
      <c r="L735" s="36">
        <f t="shared" si="107"/>
        <v>8665650</v>
      </c>
      <c r="M735" s="37"/>
      <c r="N735" s="253"/>
      <c r="O735" s="38"/>
    </row>
    <row r="736" spans="1:15" s="29" customFormat="1" ht="24.95" customHeight="1">
      <c r="A736" s="31" t="s">
        <v>1517</v>
      </c>
      <c r="B736" s="32" t="s">
        <v>1518</v>
      </c>
      <c r="C736" s="33">
        <v>3</v>
      </c>
      <c r="D736" s="34" t="s">
        <v>1116</v>
      </c>
      <c r="E736" s="36">
        <v>25127</v>
      </c>
      <c r="F736" s="36">
        <f t="shared" si="111"/>
        <v>75381</v>
      </c>
      <c r="G736" s="36">
        <v>12465</v>
      </c>
      <c r="H736" s="36">
        <f t="shared" si="112"/>
        <v>37395</v>
      </c>
      <c r="I736" s="36">
        <v>0</v>
      </c>
      <c r="J736" s="36">
        <f t="shared" si="113"/>
        <v>0</v>
      </c>
      <c r="K736" s="36">
        <f t="shared" si="107"/>
        <v>37592</v>
      </c>
      <c r="L736" s="36">
        <f t="shared" si="107"/>
        <v>112776</v>
      </c>
      <c r="M736" s="37"/>
      <c r="N736" s="253"/>
      <c r="O736" s="38"/>
    </row>
    <row r="737" spans="1:15" s="29" customFormat="1" ht="24.95" customHeight="1">
      <c r="A737" s="31" t="s">
        <v>1484</v>
      </c>
      <c r="B737" s="32" t="s">
        <v>1485</v>
      </c>
      <c r="C737" s="33">
        <v>123</v>
      </c>
      <c r="D737" s="34" t="s">
        <v>1014</v>
      </c>
      <c r="E737" s="36">
        <v>19631</v>
      </c>
      <c r="F737" s="36">
        <f t="shared" si="111"/>
        <v>2414613</v>
      </c>
      <c r="G737" s="36">
        <v>0</v>
      </c>
      <c r="H737" s="36">
        <f t="shared" si="112"/>
        <v>0</v>
      </c>
      <c r="I737" s="36">
        <v>0</v>
      </c>
      <c r="J737" s="36">
        <f t="shared" si="113"/>
        <v>0</v>
      </c>
      <c r="K737" s="36">
        <f t="shared" si="107"/>
        <v>19631</v>
      </c>
      <c r="L737" s="36">
        <f t="shared" si="107"/>
        <v>2414613</v>
      </c>
      <c r="M737" s="37"/>
      <c r="N737" s="253"/>
      <c r="O737" s="38"/>
    </row>
    <row r="738" spans="1:15" s="29" customFormat="1" ht="24.95" customHeight="1">
      <c r="A738" s="31" t="s">
        <v>1519</v>
      </c>
      <c r="B738" s="32" t="s">
        <v>1520</v>
      </c>
      <c r="C738" s="33">
        <v>18</v>
      </c>
      <c r="D738" s="34" t="s">
        <v>1014</v>
      </c>
      <c r="E738" s="36">
        <v>52133</v>
      </c>
      <c r="F738" s="36">
        <f t="shared" si="111"/>
        <v>938394</v>
      </c>
      <c r="G738" s="36">
        <v>0</v>
      </c>
      <c r="H738" s="36">
        <f t="shared" si="112"/>
        <v>0</v>
      </c>
      <c r="I738" s="36">
        <v>2085</v>
      </c>
      <c r="J738" s="36">
        <f t="shared" si="113"/>
        <v>37530</v>
      </c>
      <c r="K738" s="36">
        <f t="shared" si="107"/>
        <v>54218</v>
      </c>
      <c r="L738" s="36">
        <f t="shared" si="107"/>
        <v>975924</v>
      </c>
      <c r="M738" s="37"/>
      <c r="N738" s="253"/>
      <c r="O738" s="38"/>
    </row>
    <row r="739" spans="1:15" s="29" customFormat="1" ht="24.95" customHeight="1">
      <c r="A739" s="31" t="s">
        <v>1519</v>
      </c>
      <c r="B739" s="32" t="s">
        <v>1521</v>
      </c>
      <c r="C739" s="33">
        <v>21</v>
      </c>
      <c r="D739" s="34" t="s">
        <v>1014</v>
      </c>
      <c r="E739" s="36">
        <v>63546</v>
      </c>
      <c r="F739" s="36">
        <f t="shared" si="111"/>
        <v>1334466</v>
      </c>
      <c r="G739" s="36">
        <v>0</v>
      </c>
      <c r="H739" s="36">
        <f t="shared" si="112"/>
        <v>0</v>
      </c>
      <c r="I739" s="36">
        <v>2541</v>
      </c>
      <c r="J739" s="36">
        <f t="shared" si="113"/>
        <v>53361</v>
      </c>
      <c r="K739" s="36">
        <f t="shared" si="107"/>
        <v>66087</v>
      </c>
      <c r="L739" s="36">
        <f t="shared" si="107"/>
        <v>1387827</v>
      </c>
      <c r="M739" s="37"/>
      <c r="N739" s="253"/>
      <c r="O739" s="38"/>
    </row>
    <row r="740" spans="1:15" s="29" customFormat="1" ht="24.95" customHeight="1">
      <c r="A740" s="31" t="s">
        <v>1519</v>
      </c>
      <c r="B740" s="32" t="s">
        <v>1522</v>
      </c>
      <c r="C740" s="33">
        <v>2</v>
      </c>
      <c r="D740" s="34" t="s">
        <v>1014</v>
      </c>
      <c r="E740" s="36">
        <v>70615</v>
      </c>
      <c r="F740" s="36">
        <f t="shared" si="111"/>
        <v>141230</v>
      </c>
      <c r="G740" s="36">
        <v>0</v>
      </c>
      <c r="H740" s="36">
        <f t="shared" si="112"/>
        <v>0</v>
      </c>
      <c r="I740" s="36">
        <v>2824</v>
      </c>
      <c r="J740" s="36">
        <f t="shared" si="113"/>
        <v>5648</v>
      </c>
      <c r="K740" s="36">
        <f t="shared" si="107"/>
        <v>73439</v>
      </c>
      <c r="L740" s="36">
        <f t="shared" si="107"/>
        <v>146878</v>
      </c>
      <c r="M740" s="37"/>
      <c r="N740" s="253"/>
      <c r="O740" s="38"/>
    </row>
    <row r="741" spans="1:15" s="77" customFormat="1" ht="24.95" customHeight="1">
      <c r="A741" s="71" t="s">
        <v>1523</v>
      </c>
      <c r="B741" s="72" t="s">
        <v>22</v>
      </c>
      <c r="C741" s="73"/>
      <c r="D741" s="74" t="s">
        <v>22</v>
      </c>
      <c r="E741" s="74"/>
      <c r="F741" s="75">
        <f>TRUNC(F742+F743,0)</f>
        <v>6431908</v>
      </c>
      <c r="G741" s="74"/>
      <c r="H741" s="75">
        <f>TRUNC(H742+H743,0)</f>
        <v>3213837</v>
      </c>
      <c r="I741" s="74"/>
      <c r="J741" s="75">
        <f>TRUNC(J742+J743,0)</f>
        <v>224002</v>
      </c>
      <c r="K741" s="75">
        <f t="shared" si="107"/>
        <v>0</v>
      </c>
      <c r="L741" s="75">
        <f t="shared" si="107"/>
        <v>9869747</v>
      </c>
      <c r="M741" s="76"/>
      <c r="N741" s="257"/>
    </row>
    <row r="742" spans="1:15" s="29" customFormat="1" ht="24.95" customHeight="1">
      <c r="A742" s="31" t="s">
        <v>1524</v>
      </c>
      <c r="B742" s="32" t="s">
        <v>1358</v>
      </c>
      <c r="C742" s="33">
        <v>47</v>
      </c>
      <c r="D742" s="34" t="s">
        <v>815</v>
      </c>
      <c r="E742" s="36">
        <v>30923</v>
      </c>
      <c r="F742" s="36">
        <f>TRUNC(E742*$C742,0)</f>
        <v>1453381</v>
      </c>
      <c r="G742" s="36">
        <v>3453</v>
      </c>
      <c r="H742" s="36">
        <f>TRUNC(G742*$C742,0)</f>
        <v>162291</v>
      </c>
      <c r="I742" s="36">
        <v>4766</v>
      </c>
      <c r="J742" s="36">
        <f>TRUNC(I742*$C742,0)</f>
        <v>224002</v>
      </c>
      <c r="K742" s="36">
        <f t="shared" si="107"/>
        <v>39142</v>
      </c>
      <c r="L742" s="36">
        <f t="shared" si="107"/>
        <v>1839674</v>
      </c>
      <c r="M742" s="37"/>
      <c r="N742" s="253"/>
      <c r="O742" s="38"/>
    </row>
    <row r="743" spans="1:15" s="29" customFormat="1" ht="24.95" customHeight="1">
      <c r="A743" s="31" t="s">
        <v>1525</v>
      </c>
      <c r="B743" s="32" t="s">
        <v>1010</v>
      </c>
      <c r="C743" s="33">
        <v>219</v>
      </c>
      <c r="D743" s="34" t="s">
        <v>831</v>
      </c>
      <c r="E743" s="36">
        <v>22733</v>
      </c>
      <c r="F743" s="36">
        <f>TRUNC(E743*$C743,0)</f>
        <v>4978527</v>
      </c>
      <c r="G743" s="36">
        <v>13934</v>
      </c>
      <c r="H743" s="36">
        <f>TRUNC(G743*$C743,0)</f>
        <v>3051546</v>
      </c>
      <c r="I743" s="36">
        <v>0</v>
      </c>
      <c r="J743" s="36">
        <f>TRUNC(I743*$C743,0)</f>
        <v>0</v>
      </c>
      <c r="K743" s="36">
        <f t="shared" si="107"/>
        <v>36667</v>
      </c>
      <c r="L743" s="36">
        <f t="shared" si="107"/>
        <v>8030073</v>
      </c>
      <c r="M743" s="37"/>
      <c r="N743" s="253"/>
      <c r="O743" s="38"/>
    </row>
    <row r="744" spans="1:15" s="63" customFormat="1" ht="24.95" customHeight="1">
      <c r="A744" s="57" t="s">
        <v>1526</v>
      </c>
      <c r="B744" s="58" t="s">
        <v>22</v>
      </c>
      <c r="C744" s="59"/>
      <c r="D744" s="60" t="s">
        <v>22</v>
      </c>
      <c r="E744" s="60"/>
      <c r="F744" s="61">
        <f>TRUNC(F746+F747+F748+F749+F750+F751+F752+F754+F755+F756+F758+F759+F760+F761+F763+F764+F765+F767+F768+F769+F770+F771+F772+F773+F774+F775,0)</f>
        <v>29589787</v>
      </c>
      <c r="G744" s="60"/>
      <c r="H744" s="61">
        <f>TRUNC(H746+H747+H748+H749+H750+H751+H752+H754+H755+H756+H758+H759+H760+H761+H763+H764+H765+H767+H768+H769+H770+H771+H772+H773+H774+H775,0)</f>
        <v>277181548</v>
      </c>
      <c r="I744" s="60"/>
      <c r="J744" s="61">
        <f>TRUNC(J746+J747+J748+J749+J750+J751+J752+J754+J755+J756+J758+J759+J760+J761+J763+J764+J765+J767+J768+J769+J770+J771+J772+J773+J774+J775,0)</f>
        <v>233726</v>
      </c>
      <c r="K744" s="61">
        <f t="shared" si="107"/>
        <v>0</v>
      </c>
      <c r="L744" s="61">
        <f t="shared" si="107"/>
        <v>307005061</v>
      </c>
      <c r="M744" s="62"/>
      <c r="N744" s="253"/>
    </row>
    <row r="745" spans="1:15" s="70" customFormat="1" ht="24.95" customHeight="1">
      <c r="A745" s="64" t="s">
        <v>1527</v>
      </c>
      <c r="B745" s="65" t="s">
        <v>22</v>
      </c>
      <c r="C745" s="66"/>
      <c r="D745" s="67" t="s">
        <v>22</v>
      </c>
      <c r="E745" s="67"/>
      <c r="F745" s="68">
        <f>TRUNC(F746+F747+F748+F749+F750+F751+F752,0)</f>
        <v>10972350</v>
      </c>
      <c r="G745" s="67"/>
      <c r="H745" s="68">
        <f>TRUNC(H746+H747+H748+H749+H750+H751+H752,0)</f>
        <v>73288821</v>
      </c>
      <c r="I745" s="67"/>
      <c r="J745" s="68">
        <f>TRUNC(J746+J747+J748+J749+J750+J751+J752,0)</f>
        <v>131694</v>
      </c>
      <c r="K745" s="68">
        <f t="shared" si="107"/>
        <v>0</v>
      </c>
      <c r="L745" s="68">
        <f t="shared" si="107"/>
        <v>84392865</v>
      </c>
      <c r="M745" s="69"/>
      <c r="N745" s="256"/>
    </row>
    <row r="746" spans="1:15" s="29" customFormat="1" ht="24.95" customHeight="1">
      <c r="A746" s="31" t="s">
        <v>1528</v>
      </c>
      <c r="B746" s="32" t="s">
        <v>1529</v>
      </c>
      <c r="C746" s="33">
        <v>95</v>
      </c>
      <c r="D746" s="34" t="s">
        <v>1530</v>
      </c>
      <c r="E746" s="36">
        <v>23919</v>
      </c>
      <c r="F746" s="36">
        <f t="shared" ref="F746:F752" si="114">TRUNC(E746*$C746,0)</f>
        <v>2272305</v>
      </c>
      <c r="G746" s="36">
        <v>83785</v>
      </c>
      <c r="H746" s="36">
        <f t="shared" ref="H746:H752" si="115">TRUNC(G746*$C746,0)</f>
        <v>7959575</v>
      </c>
      <c r="I746" s="36">
        <v>0</v>
      </c>
      <c r="J746" s="36">
        <f t="shared" ref="J746:J752" si="116">TRUNC(I746*$C746,0)</f>
        <v>0</v>
      </c>
      <c r="K746" s="36">
        <f t="shared" si="107"/>
        <v>107704</v>
      </c>
      <c r="L746" s="36">
        <f t="shared" si="107"/>
        <v>10231880</v>
      </c>
      <c r="M746" s="37"/>
      <c r="N746" s="253"/>
      <c r="O746" s="38"/>
    </row>
    <row r="747" spans="1:15" s="29" customFormat="1" ht="24.95" customHeight="1">
      <c r="A747" s="31" t="s">
        <v>1528</v>
      </c>
      <c r="B747" s="32" t="s">
        <v>1262</v>
      </c>
      <c r="C747" s="33">
        <v>17</v>
      </c>
      <c r="D747" s="34" t="s">
        <v>1530</v>
      </c>
      <c r="E747" s="36">
        <v>40943</v>
      </c>
      <c r="F747" s="36">
        <f t="shared" si="114"/>
        <v>696031</v>
      </c>
      <c r="G747" s="36">
        <v>217084</v>
      </c>
      <c r="H747" s="36">
        <f t="shared" si="115"/>
        <v>3690428</v>
      </c>
      <c r="I747" s="36">
        <v>0</v>
      </c>
      <c r="J747" s="36">
        <f t="shared" si="116"/>
        <v>0</v>
      </c>
      <c r="K747" s="36">
        <f t="shared" si="107"/>
        <v>258027</v>
      </c>
      <c r="L747" s="36">
        <f t="shared" si="107"/>
        <v>4386459</v>
      </c>
      <c r="M747" s="37"/>
      <c r="N747" s="253"/>
      <c r="O747" s="38"/>
    </row>
    <row r="748" spans="1:15" s="29" customFormat="1" ht="24.95" customHeight="1">
      <c r="A748" s="31" t="s">
        <v>1528</v>
      </c>
      <c r="B748" s="32" t="s">
        <v>1155</v>
      </c>
      <c r="C748" s="33">
        <v>75</v>
      </c>
      <c r="D748" s="34" t="s">
        <v>1530</v>
      </c>
      <c r="E748" s="36">
        <v>49133</v>
      </c>
      <c r="F748" s="36">
        <f t="shared" si="114"/>
        <v>3684975</v>
      </c>
      <c r="G748" s="36">
        <v>266149</v>
      </c>
      <c r="H748" s="36">
        <f t="shared" si="115"/>
        <v>19961175</v>
      </c>
      <c r="I748" s="36">
        <v>0</v>
      </c>
      <c r="J748" s="36">
        <f t="shared" si="116"/>
        <v>0</v>
      </c>
      <c r="K748" s="36">
        <f t="shared" si="107"/>
        <v>315282</v>
      </c>
      <c r="L748" s="36">
        <f t="shared" si="107"/>
        <v>23646150</v>
      </c>
      <c r="M748" s="37"/>
      <c r="N748" s="253"/>
      <c r="O748" s="38"/>
    </row>
    <row r="749" spans="1:15" s="29" customFormat="1" ht="24.95" customHeight="1">
      <c r="A749" s="31" t="s">
        <v>1528</v>
      </c>
      <c r="B749" s="32" t="s">
        <v>1518</v>
      </c>
      <c r="C749" s="33">
        <v>35</v>
      </c>
      <c r="D749" s="34" t="s">
        <v>1530</v>
      </c>
      <c r="E749" s="36">
        <v>62751</v>
      </c>
      <c r="F749" s="36">
        <f t="shared" si="114"/>
        <v>2196285</v>
      </c>
      <c r="G749" s="36">
        <v>511179</v>
      </c>
      <c r="H749" s="36">
        <f t="shared" si="115"/>
        <v>17891265</v>
      </c>
      <c r="I749" s="36">
        <v>0</v>
      </c>
      <c r="J749" s="36">
        <f t="shared" si="116"/>
        <v>0</v>
      </c>
      <c r="K749" s="36">
        <f t="shared" si="107"/>
        <v>573930</v>
      </c>
      <c r="L749" s="36">
        <f t="shared" si="107"/>
        <v>20087550</v>
      </c>
      <c r="M749" s="37"/>
      <c r="N749" s="253"/>
      <c r="O749" s="38"/>
    </row>
    <row r="750" spans="1:15" s="29" customFormat="1" ht="24.95" customHeight="1">
      <c r="A750" s="31" t="s">
        <v>1528</v>
      </c>
      <c r="B750" s="32" t="s">
        <v>1531</v>
      </c>
      <c r="C750" s="33">
        <v>14</v>
      </c>
      <c r="D750" s="34" t="s">
        <v>1530</v>
      </c>
      <c r="E750" s="36">
        <v>79487</v>
      </c>
      <c r="F750" s="36">
        <f t="shared" si="114"/>
        <v>1112818</v>
      </c>
      <c r="G750" s="36">
        <v>728953</v>
      </c>
      <c r="H750" s="36">
        <f t="shared" si="115"/>
        <v>10205342</v>
      </c>
      <c r="I750" s="36">
        <v>5328</v>
      </c>
      <c r="J750" s="36">
        <f t="shared" si="116"/>
        <v>74592</v>
      </c>
      <c r="K750" s="36">
        <f t="shared" si="107"/>
        <v>813768</v>
      </c>
      <c r="L750" s="36">
        <f t="shared" si="107"/>
        <v>11392752</v>
      </c>
      <c r="M750" s="37"/>
      <c r="N750" s="253"/>
      <c r="O750" s="38"/>
    </row>
    <row r="751" spans="1:15" s="29" customFormat="1" ht="24.95" customHeight="1">
      <c r="A751" s="31" t="s">
        <v>1528</v>
      </c>
      <c r="B751" s="32" t="s">
        <v>1532</v>
      </c>
      <c r="C751" s="33">
        <v>8</v>
      </c>
      <c r="D751" s="34" t="s">
        <v>1116</v>
      </c>
      <c r="E751" s="36">
        <v>84072</v>
      </c>
      <c r="F751" s="36">
        <f t="shared" si="114"/>
        <v>672576</v>
      </c>
      <c r="G751" s="36">
        <v>1073622</v>
      </c>
      <c r="H751" s="36">
        <f t="shared" si="115"/>
        <v>8588976</v>
      </c>
      <c r="I751" s="36">
        <v>5577</v>
      </c>
      <c r="J751" s="36">
        <f t="shared" si="116"/>
        <v>44616</v>
      </c>
      <c r="K751" s="36">
        <f t="shared" si="107"/>
        <v>1163271</v>
      </c>
      <c r="L751" s="36">
        <f t="shared" si="107"/>
        <v>9306168</v>
      </c>
      <c r="M751" s="37"/>
      <c r="N751" s="253"/>
      <c r="O751" s="38"/>
    </row>
    <row r="752" spans="1:15" s="29" customFormat="1" ht="24.95" customHeight="1">
      <c r="A752" s="31" t="s">
        <v>1528</v>
      </c>
      <c r="B752" s="32" t="s">
        <v>1533</v>
      </c>
      <c r="C752" s="33">
        <v>2</v>
      </c>
      <c r="D752" s="34" t="s">
        <v>1116</v>
      </c>
      <c r="E752" s="36">
        <v>168680</v>
      </c>
      <c r="F752" s="36">
        <f t="shared" si="114"/>
        <v>337360</v>
      </c>
      <c r="G752" s="36">
        <v>2496030</v>
      </c>
      <c r="H752" s="36">
        <f t="shared" si="115"/>
        <v>4992060</v>
      </c>
      <c r="I752" s="36">
        <v>6243</v>
      </c>
      <c r="J752" s="36">
        <f t="shared" si="116"/>
        <v>12486</v>
      </c>
      <c r="K752" s="36">
        <f t="shared" si="107"/>
        <v>2670953</v>
      </c>
      <c r="L752" s="36">
        <f t="shared" si="107"/>
        <v>5341906</v>
      </c>
      <c r="M752" s="37"/>
      <c r="N752" s="253"/>
      <c r="O752" s="38"/>
    </row>
    <row r="753" spans="1:15" s="70" customFormat="1" ht="24.95" customHeight="1">
      <c r="A753" s="64" t="s">
        <v>1534</v>
      </c>
      <c r="B753" s="65" t="s">
        <v>22</v>
      </c>
      <c r="C753" s="66"/>
      <c r="D753" s="67" t="s">
        <v>22</v>
      </c>
      <c r="E753" s="67"/>
      <c r="F753" s="68">
        <f>TRUNC(F754+F755+F756,0)</f>
        <v>910259</v>
      </c>
      <c r="G753" s="67"/>
      <c r="H753" s="68">
        <f>TRUNC(H754+H755+H756,0)</f>
        <v>73996626</v>
      </c>
      <c r="I753" s="67"/>
      <c r="J753" s="68">
        <f>TRUNC(J754+J755+J756,0)</f>
        <v>21312</v>
      </c>
      <c r="K753" s="68">
        <f t="shared" si="107"/>
        <v>0</v>
      </c>
      <c r="L753" s="68">
        <f t="shared" si="107"/>
        <v>74928197</v>
      </c>
      <c r="M753" s="69"/>
      <c r="N753" s="256"/>
    </row>
    <row r="754" spans="1:15" s="29" customFormat="1" ht="24.95" customHeight="1">
      <c r="A754" s="31" t="s">
        <v>1535</v>
      </c>
      <c r="B754" s="32" t="s">
        <v>1262</v>
      </c>
      <c r="C754" s="33">
        <v>1</v>
      </c>
      <c r="D754" s="34" t="s">
        <v>1530</v>
      </c>
      <c r="E754" s="36">
        <v>38401</v>
      </c>
      <c r="F754" s="36">
        <f>TRUNC(E754*$C754,0)</f>
        <v>38401</v>
      </c>
      <c r="G754" s="36">
        <v>204370</v>
      </c>
      <c r="H754" s="36">
        <f>TRUNC(G754*$C754,0)</f>
        <v>204370</v>
      </c>
      <c r="I754" s="36">
        <v>0</v>
      </c>
      <c r="J754" s="36">
        <f>TRUNC(I754*$C754,0)</f>
        <v>0</v>
      </c>
      <c r="K754" s="36">
        <f t="shared" si="107"/>
        <v>242771</v>
      </c>
      <c r="L754" s="36">
        <f t="shared" si="107"/>
        <v>242771</v>
      </c>
      <c r="M754" s="37"/>
      <c r="N754" s="253"/>
      <c r="O754" s="38"/>
    </row>
    <row r="755" spans="1:15" s="29" customFormat="1" ht="24.95" customHeight="1">
      <c r="A755" s="31" t="s">
        <v>1535</v>
      </c>
      <c r="B755" s="32" t="s">
        <v>1155</v>
      </c>
      <c r="C755" s="33">
        <v>10</v>
      </c>
      <c r="D755" s="34" t="s">
        <v>1530</v>
      </c>
      <c r="E755" s="36">
        <v>55391</v>
      </c>
      <c r="F755" s="36">
        <f>TRUNC(E755*$C755,0)</f>
        <v>553910</v>
      </c>
      <c r="G755" s="36">
        <v>256028</v>
      </c>
      <c r="H755" s="36">
        <f>TRUNC(G755*$C755,0)</f>
        <v>2560280</v>
      </c>
      <c r="I755" s="36">
        <v>0</v>
      </c>
      <c r="J755" s="36">
        <f>TRUNC(I755*$C755,0)</f>
        <v>0</v>
      </c>
      <c r="K755" s="36">
        <f t="shared" si="107"/>
        <v>311419</v>
      </c>
      <c r="L755" s="36">
        <f t="shared" si="107"/>
        <v>3114190</v>
      </c>
      <c r="M755" s="37"/>
      <c r="N755" s="253"/>
      <c r="O755" s="38"/>
    </row>
    <row r="756" spans="1:15" s="29" customFormat="1" ht="24.95" customHeight="1">
      <c r="A756" s="31" t="s">
        <v>1536</v>
      </c>
      <c r="B756" s="32" t="s">
        <v>1531</v>
      </c>
      <c r="C756" s="33">
        <v>4</v>
      </c>
      <c r="D756" s="34" t="s">
        <v>1530</v>
      </c>
      <c r="E756" s="36">
        <v>79487</v>
      </c>
      <c r="F756" s="36">
        <f>TRUNC(E756*$C756,0)</f>
        <v>317948</v>
      </c>
      <c r="G756" s="36">
        <v>17807994</v>
      </c>
      <c r="H756" s="36">
        <f>TRUNC(G756*$C756,0)</f>
        <v>71231976</v>
      </c>
      <c r="I756" s="36">
        <v>5328</v>
      </c>
      <c r="J756" s="36">
        <f>TRUNC(I756*$C756,0)</f>
        <v>21312</v>
      </c>
      <c r="K756" s="36">
        <f t="shared" si="107"/>
        <v>17892809</v>
      </c>
      <c r="L756" s="36">
        <f t="shared" si="107"/>
        <v>71571236</v>
      </c>
      <c r="M756" s="37"/>
      <c r="N756" s="253"/>
      <c r="O756" s="38"/>
    </row>
    <row r="757" spans="1:15" s="70" customFormat="1" ht="24.95" customHeight="1">
      <c r="A757" s="64" t="s">
        <v>1537</v>
      </c>
      <c r="B757" s="65" t="s">
        <v>22</v>
      </c>
      <c r="C757" s="66"/>
      <c r="D757" s="67" t="s">
        <v>22</v>
      </c>
      <c r="E757" s="67"/>
      <c r="F757" s="68">
        <f>TRUNC(F758+F759+F760+F761,0)</f>
        <v>1536992</v>
      </c>
      <c r="G757" s="67"/>
      <c r="H757" s="68">
        <f>TRUNC(H758+H759+H760+H761,0)</f>
        <v>44963553</v>
      </c>
      <c r="I757" s="67"/>
      <c r="J757" s="68">
        <f>TRUNC(J758+J759+J760+J761,0)</f>
        <v>21452</v>
      </c>
      <c r="K757" s="68">
        <f t="shared" si="107"/>
        <v>0</v>
      </c>
      <c r="L757" s="68">
        <f t="shared" si="107"/>
        <v>46521997</v>
      </c>
      <c r="M757" s="69"/>
      <c r="N757" s="256"/>
    </row>
    <row r="758" spans="1:15" s="29" customFormat="1" ht="24.95" customHeight="1">
      <c r="A758" s="31" t="s">
        <v>1538</v>
      </c>
      <c r="B758" s="32" t="s">
        <v>1531</v>
      </c>
      <c r="C758" s="33">
        <v>1</v>
      </c>
      <c r="D758" s="34" t="s">
        <v>960</v>
      </c>
      <c r="E758" s="36">
        <v>275773</v>
      </c>
      <c r="F758" s="36">
        <f>TRUNC(E758*$C758,0)</f>
        <v>275773</v>
      </c>
      <c r="G758" s="36">
        <v>12912662</v>
      </c>
      <c r="H758" s="36">
        <f>TRUNC(G758*$C758,0)</f>
        <v>12912662</v>
      </c>
      <c r="I758" s="36">
        <v>2757</v>
      </c>
      <c r="J758" s="36">
        <f>TRUNC(I758*$C758,0)</f>
        <v>2757</v>
      </c>
      <c r="K758" s="36">
        <f t="shared" si="107"/>
        <v>13191192</v>
      </c>
      <c r="L758" s="36">
        <f t="shared" si="107"/>
        <v>13191192</v>
      </c>
      <c r="M758" s="37"/>
      <c r="N758" s="253"/>
      <c r="O758" s="38"/>
    </row>
    <row r="759" spans="1:15" s="29" customFormat="1" ht="24.95" customHeight="1">
      <c r="A759" s="31" t="s">
        <v>1538</v>
      </c>
      <c r="B759" s="32" t="s">
        <v>1532</v>
      </c>
      <c r="C759" s="33">
        <v>1</v>
      </c>
      <c r="D759" s="34" t="s">
        <v>960</v>
      </c>
      <c r="E759" s="36">
        <v>275773</v>
      </c>
      <c r="F759" s="36">
        <f>TRUNC(E759*$C759,0)</f>
        <v>275773</v>
      </c>
      <c r="G759" s="36">
        <v>14245582</v>
      </c>
      <c r="H759" s="36">
        <f>TRUNC(G759*$C759,0)</f>
        <v>14245582</v>
      </c>
      <c r="I759" s="36">
        <v>2757</v>
      </c>
      <c r="J759" s="36">
        <f>TRUNC(I759*$C759,0)</f>
        <v>2757</v>
      </c>
      <c r="K759" s="36">
        <f t="shared" si="107"/>
        <v>14524112</v>
      </c>
      <c r="L759" s="36">
        <f t="shared" si="107"/>
        <v>14524112</v>
      </c>
      <c r="M759" s="37"/>
      <c r="N759" s="253"/>
      <c r="O759" s="38"/>
    </row>
    <row r="760" spans="1:15" s="29" customFormat="1" ht="24.95" customHeight="1">
      <c r="A760" s="31" t="s">
        <v>1538</v>
      </c>
      <c r="B760" s="32" t="s">
        <v>1533</v>
      </c>
      <c r="C760" s="33">
        <v>1</v>
      </c>
      <c r="D760" s="34" t="s">
        <v>960</v>
      </c>
      <c r="E760" s="36">
        <v>376145</v>
      </c>
      <c r="F760" s="36">
        <f>TRUNC(E760*$C760,0)</f>
        <v>376145</v>
      </c>
      <c r="G760" s="36">
        <v>17411267</v>
      </c>
      <c r="H760" s="36">
        <f>TRUNC(G760*$C760,0)</f>
        <v>17411267</v>
      </c>
      <c r="I760" s="36">
        <v>3761</v>
      </c>
      <c r="J760" s="36">
        <f>TRUNC(I760*$C760,0)</f>
        <v>3761</v>
      </c>
      <c r="K760" s="36">
        <f t="shared" si="107"/>
        <v>17791173</v>
      </c>
      <c r="L760" s="36">
        <f t="shared" si="107"/>
        <v>17791173</v>
      </c>
      <c r="M760" s="37"/>
      <c r="N760" s="253"/>
      <c r="O760" s="38"/>
    </row>
    <row r="761" spans="1:15" s="29" customFormat="1" ht="24.95" customHeight="1">
      <c r="A761" s="31" t="s">
        <v>1539</v>
      </c>
      <c r="B761" s="32" t="s">
        <v>1155</v>
      </c>
      <c r="C761" s="33">
        <v>11</v>
      </c>
      <c r="D761" s="34" t="s">
        <v>960</v>
      </c>
      <c r="E761" s="36">
        <v>55391</v>
      </c>
      <c r="F761" s="36">
        <f>TRUNC(E761*$C761,0)</f>
        <v>609301</v>
      </c>
      <c r="G761" s="36">
        <v>35822</v>
      </c>
      <c r="H761" s="36">
        <f>TRUNC(G761*$C761,0)</f>
        <v>394042</v>
      </c>
      <c r="I761" s="36">
        <v>1107</v>
      </c>
      <c r="J761" s="36">
        <f>TRUNC(I761*$C761,0)</f>
        <v>12177</v>
      </c>
      <c r="K761" s="36">
        <f t="shared" si="107"/>
        <v>92320</v>
      </c>
      <c r="L761" s="36">
        <f t="shared" si="107"/>
        <v>1015520</v>
      </c>
      <c r="M761" s="37"/>
      <c r="N761" s="253"/>
      <c r="O761" s="38"/>
    </row>
    <row r="762" spans="1:15" s="70" customFormat="1" ht="24.95" customHeight="1">
      <c r="A762" s="64" t="s">
        <v>1540</v>
      </c>
      <c r="B762" s="65" t="s">
        <v>22</v>
      </c>
      <c r="C762" s="66"/>
      <c r="D762" s="67" t="s">
        <v>22</v>
      </c>
      <c r="E762" s="67"/>
      <c r="F762" s="68">
        <f>TRUNC(F763+F764+F765,0)</f>
        <v>14038772</v>
      </c>
      <c r="G762" s="67"/>
      <c r="H762" s="68">
        <f>TRUNC(H763+H764+H765,0)</f>
        <v>42304108</v>
      </c>
      <c r="I762" s="67"/>
      <c r="J762" s="68">
        <f>TRUNC(J763+J764+J765,0)</f>
        <v>59268</v>
      </c>
      <c r="K762" s="68">
        <f t="shared" si="107"/>
        <v>0</v>
      </c>
      <c r="L762" s="68">
        <f t="shared" si="107"/>
        <v>56402148</v>
      </c>
      <c r="M762" s="69"/>
      <c r="N762" s="256"/>
    </row>
    <row r="763" spans="1:15" s="29" customFormat="1" ht="24.95" customHeight="1">
      <c r="A763" s="31" t="s">
        <v>1541</v>
      </c>
      <c r="B763" s="32" t="s">
        <v>1542</v>
      </c>
      <c r="C763" s="33">
        <v>44</v>
      </c>
      <c r="D763" s="34" t="s">
        <v>1116</v>
      </c>
      <c r="E763" s="36">
        <v>136585</v>
      </c>
      <c r="F763" s="36">
        <f>TRUNC(E763*$C763,0)</f>
        <v>6009740</v>
      </c>
      <c r="G763" s="36">
        <v>511441</v>
      </c>
      <c r="H763" s="36">
        <f>TRUNC(G763*$C763,0)</f>
        <v>22503404</v>
      </c>
      <c r="I763" s="36">
        <v>424</v>
      </c>
      <c r="J763" s="36">
        <f>TRUNC(I763*$C763,0)</f>
        <v>18656</v>
      </c>
      <c r="K763" s="36">
        <f t="shared" si="107"/>
        <v>648450</v>
      </c>
      <c r="L763" s="36">
        <f t="shared" si="107"/>
        <v>28531800</v>
      </c>
      <c r="M763" s="37"/>
      <c r="N763" s="253"/>
      <c r="O763" s="38"/>
    </row>
    <row r="764" spans="1:15" s="29" customFormat="1" ht="24.95" customHeight="1">
      <c r="A764" s="31" t="s">
        <v>1543</v>
      </c>
      <c r="B764" s="32" t="s">
        <v>22</v>
      </c>
      <c r="C764" s="33">
        <v>44</v>
      </c>
      <c r="D764" s="34" t="s">
        <v>1116</v>
      </c>
      <c r="E764" s="36">
        <v>68888</v>
      </c>
      <c r="F764" s="36">
        <f>TRUNC(E764*$C764,0)</f>
        <v>3031072</v>
      </c>
      <c r="G764" s="36">
        <v>316705</v>
      </c>
      <c r="H764" s="36">
        <f>TRUNC(G764*$C764,0)</f>
        <v>13935020</v>
      </c>
      <c r="I764" s="36">
        <v>189</v>
      </c>
      <c r="J764" s="36">
        <f>TRUNC(I764*$C764,0)</f>
        <v>8316</v>
      </c>
      <c r="K764" s="36">
        <f t="shared" si="107"/>
        <v>385782</v>
      </c>
      <c r="L764" s="36">
        <f t="shared" si="107"/>
        <v>16974408</v>
      </c>
      <c r="M764" s="37"/>
      <c r="N764" s="253"/>
      <c r="O764" s="38"/>
    </row>
    <row r="765" spans="1:15" s="29" customFormat="1" ht="24.95" customHeight="1">
      <c r="A765" s="31" t="s">
        <v>1544</v>
      </c>
      <c r="B765" s="32" t="s">
        <v>22</v>
      </c>
      <c r="C765" s="33">
        <v>44</v>
      </c>
      <c r="D765" s="34" t="s">
        <v>1116</v>
      </c>
      <c r="E765" s="36">
        <v>113590</v>
      </c>
      <c r="F765" s="36">
        <f>TRUNC(E765*$C765,0)</f>
        <v>4997960</v>
      </c>
      <c r="G765" s="36">
        <v>133311</v>
      </c>
      <c r="H765" s="36">
        <f>TRUNC(G765*$C765,0)</f>
        <v>5865684</v>
      </c>
      <c r="I765" s="36">
        <v>734</v>
      </c>
      <c r="J765" s="36">
        <f>TRUNC(I765*$C765,0)</f>
        <v>32296</v>
      </c>
      <c r="K765" s="36">
        <f t="shared" si="107"/>
        <v>247635</v>
      </c>
      <c r="L765" s="36">
        <f t="shared" si="107"/>
        <v>10895940</v>
      </c>
      <c r="M765" s="37"/>
      <c r="N765" s="253"/>
      <c r="O765" s="38"/>
    </row>
    <row r="766" spans="1:15" s="70" customFormat="1" ht="24.95" customHeight="1">
      <c r="A766" s="64" t="s">
        <v>1545</v>
      </c>
      <c r="B766" s="65" t="s">
        <v>22</v>
      </c>
      <c r="C766" s="66"/>
      <c r="D766" s="67" t="s">
        <v>22</v>
      </c>
      <c r="E766" s="67"/>
      <c r="F766" s="68">
        <f>TRUNC(F767+F768+F769+F770+F771+F772+F773+F774+F775,0)</f>
        <v>2131414</v>
      </c>
      <c r="G766" s="67"/>
      <c r="H766" s="68">
        <f>TRUNC(H767+H768+H769+H770+H771+H772+H773+H774+H775,0)</f>
        <v>42628440</v>
      </c>
      <c r="I766" s="67"/>
      <c r="J766" s="68">
        <f>TRUNC(J767+J768+J769+J770+J771+J772+J773+J774+J775,0)</f>
        <v>0</v>
      </c>
      <c r="K766" s="68">
        <f t="shared" si="107"/>
        <v>0</v>
      </c>
      <c r="L766" s="68">
        <f t="shared" si="107"/>
        <v>44759854</v>
      </c>
      <c r="M766" s="69"/>
      <c r="N766" s="256"/>
    </row>
    <row r="767" spans="1:15" s="29" customFormat="1" ht="24.95" customHeight="1">
      <c r="A767" s="31" t="s">
        <v>1546</v>
      </c>
      <c r="B767" s="32" t="s">
        <v>1547</v>
      </c>
      <c r="C767" s="33">
        <v>1</v>
      </c>
      <c r="D767" s="34" t="s">
        <v>1014</v>
      </c>
      <c r="E767" s="36">
        <v>29574</v>
      </c>
      <c r="F767" s="36">
        <f t="shared" ref="F767:F775" si="117">TRUNC(E767*$C767,0)</f>
        <v>29574</v>
      </c>
      <c r="G767" s="36">
        <v>591483</v>
      </c>
      <c r="H767" s="36">
        <f t="shared" ref="H767:H775" si="118">TRUNC(G767*$C767,0)</f>
        <v>591483</v>
      </c>
      <c r="I767" s="36">
        <v>0</v>
      </c>
      <c r="J767" s="36">
        <f t="shared" ref="J767:J775" si="119">TRUNC(I767*$C767,0)</f>
        <v>0</v>
      </c>
      <c r="K767" s="36">
        <f t="shared" si="107"/>
        <v>621057</v>
      </c>
      <c r="L767" s="36">
        <f t="shared" si="107"/>
        <v>621057</v>
      </c>
      <c r="M767" s="37"/>
      <c r="N767" s="253"/>
      <c r="O767" s="38"/>
    </row>
    <row r="768" spans="1:15" s="29" customFormat="1" ht="24.95" customHeight="1">
      <c r="A768" s="31" t="s">
        <v>1546</v>
      </c>
      <c r="B768" s="32" t="s">
        <v>1548</v>
      </c>
      <c r="C768" s="33">
        <v>9</v>
      </c>
      <c r="D768" s="34" t="s">
        <v>1014</v>
      </c>
      <c r="E768" s="36">
        <v>39571</v>
      </c>
      <c r="F768" s="36">
        <f t="shared" si="117"/>
        <v>356139</v>
      </c>
      <c r="G768" s="36">
        <v>791421</v>
      </c>
      <c r="H768" s="36">
        <f t="shared" si="118"/>
        <v>7122789</v>
      </c>
      <c r="I768" s="36">
        <v>0</v>
      </c>
      <c r="J768" s="36">
        <f t="shared" si="119"/>
        <v>0</v>
      </c>
      <c r="K768" s="36">
        <f t="shared" si="107"/>
        <v>830992</v>
      </c>
      <c r="L768" s="36">
        <f t="shared" si="107"/>
        <v>7478928</v>
      </c>
      <c r="M768" s="37"/>
      <c r="N768" s="253"/>
      <c r="O768" s="38"/>
    </row>
    <row r="769" spans="1:15" s="29" customFormat="1" ht="24.95" customHeight="1">
      <c r="A769" s="31" t="s">
        <v>1546</v>
      </c>
      <c r="B769" s="32" t="s">
        <v>1549</v>
      </c>
      <c r="C769" s="33">
        <v>4</v>
      </c>
      <c r="D769" s="34" t="s">
        <v>1014</v>
      </c>
      <c r="E769" s="36">
        <v>74143</v>
      </c>
      <c r="F769" s="36">
        <f t="shared" si="117"/>
        <v>296572</v>
      </c>
      <c r="G769" s="36">
        <v>1482873</v>
      </c>
      <c r="H769" s="36">
        <f t="shared" si="118"/>
        <v>5931492</v>
      </c>
      <c r="I769" s="36">
        <v>0</v>
      </c>
      <c r="J769" s="36">
        <f t="shared" si="119"/>
        <v>0</v>
      </c>
      <c r="K769" s="36">
        <f t="shared" si="107"/>
        <v>1557016</v>
      </c>
      <c r="L769" s="36">
        <f t="shared" si="107"/>
        <v>6228064</v>
      </c>
      <c r="M769" s="37"/>
      <c r="N769" s="253"/>
      <c r="O769" s="38"/>
    </row>
    <row r="770" spans="1:15" s="29" customFormat="1" ht="24.95" customHeight="1">
      <c r="A770" s="31" t="s">
        <v>1546</v>
      </c>
      <c r="B770" s="32" t="s">
        <v>1550</v>
      </c>
      <c r="C770" s="33">
        <v>1</v>
      </c>
      <c r="D770" s="34" t="s">
        <v>1014</v>
      </c>
      <c r="E770" s="36">
        <v>117880</v>
      </c>
      <c r="F770" s="36">
        <f t="shared" si="117"/>
        <v>117880</v>
      </c>
      <c r="G770" s="36">
        <v>2357602</v>
      </c>
      <c r="H770" s="36">
        <f t="shared" si="118"/>
        <v>2357602</v>
      </c>
      <c r="I770" s="36">
        <v>0</v>
      </c>
      <c r="J770" s="36">
        <f t="shared" si="119"/>
        <v>0</v>
      </c>
      <c r="K770" s="36">
        <f t="shared" si="107"/>
        <v>2475482</v>
      </c>
      <c r="L770" s="36">
        <f t="shared" si="107"/>
        <v>2475482</v>
      </c>
      <c r="M770" s="37"/>
      <c r="N770" s="253"/>
      <c r="O770" s="38"/>
    </row>
    <row r="771" spans="1:15" s="29" customFormat="1" ht="24.95" customHeight="1">
      <c r="A771" s="31" t="s">
        <v>1551</v>
      </c>
      <c r="B771" s="32" t="s">
        <v>1552</v>
      </c>
      <c r="C771" s="33">
        <v>1</v>
      </c>
      <c r="D771" s="34" t="s">
        <v>1014</v>
      </c>
      <c r="E771" s="36">
        <v>34156</v>
      </c>
      <c r="F771" s="36">
        <f t="shared" si="117"/>
        <v>34156</v>
      </c>
      <c r="G771" s="36">
        <v>683121</v>
      </c>
      <c r="H771" s="36">
        <f t="shared" si="118"/>
        <v>683121</v>
      </c>
      <c r="I771" s="36">
        <v>0</v>
      </c>
      <c r="J771" s="36">
        <f t="shared" si="119"/>
        <v>0</v>
      </c>
      <c r="K771" s="36">
        <f t="shared" si="107"/>
        <v>717277</v>
      </c>
      <c r="L771" s="36">
        <f t="shared" si="107"/>
        <v>717277</v>
      </c>
      <c r="M771" s="37"/>
      <c r="N771" s="253"/>
      <c r="O771" s="38"/>
    </row>
    <row r="772" spans="1:15" s="29" customFormat="1" ht="24.95" customHeight="1">
      <c r="A772" s="31" t="s">
        <v>1551</v>
      </c>
      <c r="B772" s="32" t="s">
        <v>1553</v>
      </c>
      <c r="C772" s="33">
        <v>1</v>
      </c>
      <c r="D772" s="34" t="s">
        <v>1014</v>
      </c>
      <c r="E772" s="36">
        <v>44986</v>
      </c>
      <c r="F772" s="36">
        <f t="shared" si="117"/>
        <v>44986</v>
      </c>
      <c r="G772" s="36">
        <v>899721</v>
      </c>
      <c r="H772" s="36">
        <f t="shared" si="118"/>
        <v>899721</v>
      </c>
      <c r="I772" s="36">
        <v>0</v>
      </c>
      <c r="J772" s="36">
        <f t="shared" si="119"/>
        <v>0</v>
      </c>
      <c r="K772" s="36">
        <f t="shared" si="107"/>
        <v>944707</v>
      </c>
      <c r="L772" s="36">
        <f t="shared" si="107"/>
        <v>944707</v>
      </c>
      <c r="M772" s="37"/>
      <c r="N772" s="253"/>
      <c r="O772" s="38"/>
    </row>
    <row r="773" spans="1:15" s="29" customFormat="1" ht="24.95" customHeight="1">
      <c r="A773" s="31" t="s">
        <v>1551</v>
      </c>
      <c r="B773" s="32" t="s">
        <v>1554</v>
      </c>
      <c r="C773" s="33">
        <v>8</v>
      </c>
      <c r="D773" s="34" t="s">
        <v>1014</v>
      </c>
      <c r="E773" s="36">
        <v>84557</v>
      </c>
      <c r="F773" s="36">
        <f t="shared" si="117"/>
        <v>676456</v>
      </c>
      <c r="G773" s="36">
        <v>1691142</v>
      </c>
      <c r="H773" s="36">
        <f t="shared" si="118"/>
        <v>13529136</v>
      </c>
      <c r="I773" s="36">
        <v>0</v>
      </c>
      <c r="J773" s="36">
        <f t="shared" si="119"/>
        <v>0</v>
      </c>
      <c r="K773" s="36">
        <f t="shared" si="107"/>
        <v>1775699</v>
      </c>
      <c r="L773" s="36">
        <f t="shared" si="107"/>
        <v>14205592</v>
      </c>
      <c r="M773" s="37"/>
      <c r="N773" s="253"/>
      <c r="O773" s="38"/>
    </row>
    <row r="774" spans="1:15" s="29" customFormat="1" ht="24.95" customHeight="1">
      <c r="A774" s="31" t="s">
        <v>1551</v>
      </c>
      <c r="B774" s="32" t="s">
        <v>1555</v>
      </c>
      <c r="C774" s="33">
        <v>4</v>
      </c>
      <c r="D774" s="34" t="s">
        <v>1014</v>
      </c>
      <c r="E774" s="36">
        <v>109965</v>
      </c>
      <c r="F774" s="36">
        <f t="shared" si="117"/>
        <v>439860</v>
      </c>
      <c r="G774" s="36">
        <v>2199318</v>
      </c>
      <c r="H774" s="36">
        <f t="shared" si="118"/>
        <v>8797272</v>
      </c>
      <c r="I774" s="36">
        <v>0</v>
      </c>
      <c r="J774" s="36">
        <f t="shared" si="119"/>
        <v>0</v>
      </c>
      <c r="K774" s="36">
        <f t="shared" si="107"/>
        <v>2309283</v>
      </c>
      <c r="L774" s="36">
        <f t="shared" si="107"/>
        <v>9237132</v>
      </c>
      <c r="M774" s="37"/>
      <c r="N774" s="253"/>
      <c r="O774" s="38"/>
    </row>
    <row r="775" spans="1:15" s="29" customFormat="1" ht="24.95" customHeight="1">
      <c r="A775" s="31" t="s">
        <v>1556</v>
      </c>
      <c r="B775" s="32" t="s">
        <v>1557</v>
      </c>
      <c r="C775" s="33">
        <v>1</v>
      </c>
      <c r="D775" s="34" t="s">
        <v>1014</v>
      </c>
      <c r="E775" s="36">
        <v>135791</v>
      </c>
      <c r="F775" s="36">
        <f t="shared" si="117"/>
        <v>135791</v>
      </c>
      <c r="G775" s="36">
        <v>2715824</v>
      </c>
      <c r="H775" s="36">
        <f t="shared" si="118"/>
        <v>2715824</v>
      </c>
      <c r="I775" s="36">
        <v>0</v>
      </c>
      <c r="J775" s="36">
        <f t="shared" si="119"/>
        <v>0</v>
      </c>
      <c r="K775" s="36">
        <f t="shared" si="107"/>
        <v>2851615</v>
      </c>
      <c r="L775" s="36">
        <f t="shared" si="107"/>
        <v>2851615</v>
      </c>
      <c r="M775" s="37"/>
      <c r="N775" s="253"/>
      <c r="O775" s="38"/>
    </row>
    <row r="776" spans="1:15" s="63" customFormat="1" ht="24.95" customHeight="1">
      <c r="A776" s="57" t="s">
        <v>1558</v>
      </c>
      <c r="B776" s="58" t="s">
        <v>22</v>
      </c>
      <c r="C776" s="59"/>
      <c r="D776" s="60" t="s">
        <v>22</v>
      </c>
      <c r="E776" s="60"/>
      <c r="F776" s="61">
        <f>TRUNC(F778+F779+F780+F781+F783+F784+F786+F787+F789+F790+F792+F793,0)</f>
        <v>210221782</v>
      </c>
      <c r="G776" s="60"/>
      <c r="H776" s="61">
        <f>TRUNC(H778+H779+H780+H781+H783+H784+H786+H787+H789+H790+H792+H793,0)</f>
        <v>164124656</v>
      </c>
      <c r="I776" s="60"/>
      <c r="J776" s="61">
        <f>TRUNC(J778+J779+J780+J781+J783+J784+J786+J787+J789+J790+J792+J793,0)</f>
        <v>2738039</v>
      </c>
      <c r="K776" s="61">
        <f t="shared" si="107"/>
        <v>0</v>
      </c>
      <c r="L776" s="61">
        <f t="shared" si="107"/>
        <v>377084477</v>
      </c>
      <c r="M776" s="62"/>
      <c r="N776" s="253"/>
    </row>
    <row r="777" spans="1:15" s="70" customFormat="1" ht="24.95" customHeight="1">
      <c r="A777" s="64" t="s">
        <v>1559</v>
      </c>
      <c r="B777" s="65" t="s">
        <v>22</v>
      </c>
      <c r="C777" s="66"/>
      <c r="D777" s="67" t="s">
        <v>22</v>
      </c>
      <c r="E777" s="67"/>
      <c r="F777" s="68">
        <f>TRUNC(F778+F779+F780+F781,0)</f>
        <v>166086932</v>
      </c>
      <c r="G777" s="67"/>
      <c r="H777" s="68">
        <f>TRUNC(H778+H779+H780+H781,0)</f>
        <v>90644887</v>
      </c>
      <c r="I777" s="67"/>
      <c r="J777" s="68">
        <f>TRUNC(J778+J779+J780+J781,0)</f>
        <v>2316931</v>
      </c>
      <c r="K777" s="68">
        <f t="shared" si="107"/>
        <v>0</v>
      </c>
      <c r="L777" s="68">
        <f t="shared" si="107"/>
        <v>259048750</v>
      </c>
      <c r="M777" s="69"/>
      <c r="N777" s="256"/>
    </row>
    <row r="778" spans="1:15" s="29" customFormat="1" ht="24.95" customHeight="1">
      <c r="A778" s="31" t="s">
        <v>1560</v>
      </c>
      <c r="B778" s="32" t="s">
        <v>1561</v>
      </c>
      <c r="C778" s="33">
        <v>10</v>
      </c>
      <c r="D778" s="34" t="s">
        <v>1014</v>
      </c>
      <c r="E778" s="36">
        <v>2506178</v>
      </c>
      <c r="F778" s="36">
        <f>TRUNC(E778*$C778,0)</f>
        <v>25061780</v>
      </c>
      <c r="G778" s="36">
        <v>1647874</v>
      </c>
      <c r="H778" s="36">
        <f>TRUNC(G778*$C778,0)</f>
        <v>16478740</v>
      </c>
      <c r="I778" s="36">
        <v>26845</v>
      </c>
      <c r="J778" s="36">
        <f>TRUNC(I778*$C778,0)</f>
        <v>268450</v>
      </c>
      <c r="K778" s="36">
        <f t="shared" si="107"/>
        <v>4180897</v>
      </c>
      <c r="L778" s="36">
        <f t="shared" si="107"/>
        <v>41808970</v>
      </c>
      <c r="M778" s="37"/>
      <c r="N778" s="253"/>
      <c r="O778" s="38"/>
    </row>
    <row r="779" spans="1:15" s="29" customFormat="1" ht="24.95" customHeight="1">
      <c r="A779" s="31" t="s">
        <v>1560</v>
      </c>
      <c r="B779" s="32" t="s">
        <v>1562</v>
      </c>
      <c r="C779" s="33">
        <v>17</v>
      </c>
      <c r="D779" s="34" t="s">
        <v>1014</v>
      </c>
      <c r="E779" s="36">
        <v>4468697</v>
      </c>
      <c r="F779" s="36">
        <f>TRUNC(E779*$C779,0)</f>
        <v>75967849</v>
      </c>
      <c r="G779" s="36">
        <v>2589387</v>
      </c>
      <c r="H779" s="36">
        <f>TRUNC(G779*$C779,0)</f>
        <v>44019579</v>
      </c>
      <c r="I779" s="36">
        <v>63721</v>
      </c>
      <c r="J779" s="36">
        <f>TRUNC(I779*$C779,0)</f>
        <v>1083257</v>
      </c>
      <c r="K779" s="36">
        <f t="shared" si="107"/>
        <v>7121805</v>
      </c>
      <c r="L779" s="36">
        <f t="shared" si="107"/>
        <v>121070685</v>
      </c>
      <c r="M779" s="37"/>
      <c r="N779" s="253"/>
      <c r="O779" s="38"/>
    </row>
    <row r="780" spans="1:15" s="29" customFormat="1" ht="24.95" customHeight="1">
      <c r="A780" s="31" t="s">
        <v>1560</v>
      </c>
      <c r="B780" s="32" t="s">
        <v>1563</v>
      </c>
      <c r="C780" s="33">
        <v>8</v>
      </c>
      <c r="D780" s="34" t="s">
        <v>1014</v>
      </c>
      <c r="E780" s="36">
        <v>7951156</v>
      </c>
      <c r="F780" s="36">
        <f>TRUNC(E780*$C780,0)</f>
        <v>63609248</v>
      </c>
      <c r="G780" s="36">
        <v>3768321</v>
      </c>
      <c r="H780" s="36">
        <f>TRUNC(G780*$C780,0)</f>
        <v>30146568</v>
      </c>
      <c r="I780" s="36">
        <v>120653</v>
      </c>
      <c r="J780" s="36">
        <f>TRUNC(I780*$C780,0)</f>
        <v>965224</v>
      </c>
      <c r="K780" s="36">
        <f t="shared" si="107"/>
        <v>11840130</v>
      </c>
      <c r="L780" s="36">
        <f t="shared" si="107"/>
        <v>94721040</v>
      </c>
      <c r="M780" s="37"/>
      <c r="N780" s="253"/>
      <c r="O780" s="38"/>
    </row>
    <row r="781" spans="1:15" s="29" customFormat="1" ht="24.95" customHeight="1">
      <c r="A781" s="31" t="s">
        <v>1564</v>
      </c>
      <c r="B781" s="32" t="s">
        <v>22</v>
      </c>
      <c r="C781" s="33">
        <v>35</v>
      </c>
      <c r="D781" s="34" t="s">
        <v>1014</v>
      </c>
      <c r="E781" s="36">
        <v>41373</v>
      </c>
      <c r="F781" s="36">
        <f>TRUNC(E781*$C781,0)</f>
        <v>1448055</v>
      </c>
      <c r="G781" s="36">
        <v>0</v>
      </c>
      <c r="H781" s="36">
        <f>TRUNC(G781*$C781,0)</f>
        <v>0</v>
      </c>
      <c r="I781" s="36">
        <v>0</v>
      </c>
      <c r="J781" s="36">
        <f>TRUNC(I781*$C781,0)</f>
        <v>0</v>
      </c>
      <c r="K781" s="36">
        <f t="shared" si="107"/>
        <v>41373</v>
      </c>
      <c r="L781" s="36">
        <f t="shared" si="107"/>
        <v>1448055</v>
      </c>
      <c r="M781" s="37"/>
      <c r="N781" s="253"/>
      <c r="O781" s="38"/>
    </row>
    <row r="782" spans="1:15" s="70" customFormat="1" ht="24.95" customHeight="1">
      <c r="A782" s="64" t="s">
        <v>1565</v>
      </c>
      <c r="B782" s="65" t="s">
        <v>22</v>
      </c>
      <c r="C782" s="66"/>
      <c r="D782" s="67" t="s">
        <v>22</v>
      </c>
      <c r="E782" s="67"/>
      <c r="F782" s="68">
        <f>TRUNC(F783+F784,0)</f>
        <v>16563470</v>
      </c>
      <c r="G782" s="67"/>
      <c r="H782" s="68">
        <f>TRUNC(H783+H784,0)</f>
        <v>10367522</v>
      </c>
      <c r="I782" s="67"/>
      <c r="J782" s="68">
        <f>TRUNC(J783+J784,0)</f>
        <v>171886</v>
      </c>
      <c r="K782" s="68">
        <f t="shared" si="107"/>
        <v>0</v>
      </c>
      <c r="L782" s="68">
        <f t="shared" si="107"/>
        <v>27102878</v>
      </c>
      <c r="M782" s="69"/>
      <c r="N782" s="256"/>
    </row>
    <row r="783" spans="1:15" s="29" customFormat="1" ht="24.95" customHeight="1">
      <c r="A783" s="31" t="s">
        <v>1566</v>
      </c>
      <c r="B783" s="32" t="s">
        <v>1567</v>
      </c>
      <c r="C783" s="33">
        <v>11</v>
      </c>
      <c r="D783" s="34" t="s">
        <v>1014</v>
      </c>
      <c r="E783" s="36">
        <v>1464397</v>
      </c>
      <c r="F783" s="36">
        <f>TRUNC(E783*$C783,0)</f>
        <v>16108367</v>
      </c>
      <c r="G783" s="36">
        <v>942502</v>
      </c>
      <c r="H783" s="36">
        <f>TRUNC(G783*$C783,0)</f>
        <v>10367522</v>
      </c>
      <c r="I783" s="36">
        <v>15626</v>
      </c>
      <c r="J783" s="36">
        <f>TRUNC(I783*$C783,0)</f>
        <v>171886</v>
      </c>
      <c r="K783" s="36">
        <f t="shared" si="107"/>
        <v>2422525</v>
      </c>
      <c r="L783" s="36">
        <f t="shared" si="107"/>
        <v>26647775</v>
      </c>
      <c r="M783" s="37"/>
      <c r="N783" s="253"/>
      <c r="O783" s="38"/>
    </row>
    <row r="784" spans="1:15" s="29" customFormat="1" ht="24.95" customHeight="1">
      <c r="A784" s="31" t="s">
        <v>1564</v>
      </c>
      <c r="B784" s="32" t="s">
        <v>22</v>
      </c>
      <c r="C784" s="33">
        <v>11</v>
      </c>
      <c r="D784" s="34" t="s">
        <v>1014</v>
      </c>
      <c r="E784" s="36">
        <v>41373</v>
      </c>
      <c r="F784" s="36">
        <f>TRUNC(E784*$C784,0)</f>
        <v>455103</v>
      </c>
      <c r="G784" s="36">
        <v>0</v>
      </c>
      <c r="H784" s="36">
        <f>TRUNC(G784*$C784,0)</f>
        <v>0</v>
      </c>
      <c r="I784" s="36">
        <v>0</v>
      </c>
      <c r="J784" s="36">
        <f>TRUNC(I784*$C784,0)</f>
        <v>0</v>
      </c>
      <c r="K784" s="36">
        <f t="shared" si="107"/>
        <v>41373</v>
      </c>
      <c r="L784" s="36">
        <f t="shared" si="107"/>
        <v>455103</v>
      </c>
      <c r="M784" s="37"/>
      <c r="N784" s="253"/>
      <c r="O784" s="38"/>
    </row>
    <row r="785" spans="1:15" s="70" customFormat="1" ht="24.95" customHeight="1">
      <c r="A785" s="64" t="s">
        <v>1568</v>
      </c>
      <c r="B785" s="65" t="s">
        <v>22</v>
      </c>
      <c r="C785" s="66"/>
      <c r="D785" s="67" t="s">
        <v>22</v>
      </c>
      <c r="E785" s="67"/>
      <c r="F785" s="68">
        <f>TRUNC(F786+F787,0)</f>
        <v>18469488</v>
      </c>
      <c r="G785" s="67"/>
      <c r="H785" s="68">
        <f>TRUNC(H786+H787,0)</f>
        <v>11310624</v>
      </c>
      <c r="I785" s="67"/>
      <c r="J785" s="68">
        <f>TRUNC(J786+J787,0)</f>
        <v>188352</v>
      </c>
      <c r="K785" s="68">
        <f t="shared" si="107"/>
        <v>0</v>
      </c>
      <c r="L785" s="68">
        <f t="shared" si="107"/>
        <v>29968464</v>
      </c>
      <c r="M785" s="69"/>
      <c r="N785" s="256"/>
    </row>
    <row r="786" spans="1:15" s="29" customFormat="1" ht="24.95" customHeight="1">
      <c r="A786" s="31" t="s">
        <v>1569</v>
      </c>
      <c r="B786" s="32" t="s">
        <v>1567</v>
      </c>
      <c r="C786" s="33">
        <v>12</v>
      </c>
      <c r="D786" s="34" t="s">
        <v>1014</v>
      </c>
      <c r="E786" s="36">
        <v>1497751</v>
      </c>
      <c r="F786" s="36">
        <f>TRUNC(E786*$C786,0)</f>
        <v>17973012</v>
      </c>
      <c r="G786" s="36">
        <v>942552</v>
      </c>
      <c r="H786" s="36">
        <f>TRUNC(G786*$C786,0)</f>
        <v>11310624</v>
      </c>
      <c r="I786" s="36">
        <v>15696</v>
      </c>
      <c r="J786" s="36">
        <f>TRUNC(I786*$C786,0)</f>
        <v>188352</v>
      </c>
      <c r="K786" s="36">
        <f t="shared" si="107"/>
        <v>2455999</v>
      </c>
      <c r="L786" s="36">
        <f t="shared" si="107"/>
        <v>29471988</v>
      </c>
      <c r="M786" s="37"/>
      <c r="N786" s="253"/>
      <c r="O786" s="38"/>
    </row>
    <row r="787" spans="1:15" s="29" customFormat="1" ht="24.95" customHeight="1">
      <c r="A787" s="31" t="s">
        <v>1564</v>
      </c>
      <c r="B787" s="32" t="s">
        <v>22</v>
      </c>
      <c r="C787" s="33">
        <v>12</v>
      </c>
      <c r="D787" s="34" t="s">
        <v>1014</v>
      </c>
      <c r="E787" s="36">
        <v>41373</v>
      </c>
      <c r="F787" s="36">
        <f>TRUNC(E787*$C787,0)</f>
        <v>496476</v>
      </c>
      <c r="G787" s="36">
        <v>0</v>
      </c>
      <c r="H787" s="36">
        <f>TRUNC(G787*$C787,0)</f>
        <v>0</v>
      </c>
      <c r="I787" s="36">
        <v>0</v>
      </c>
      <c r="J787" s="36">
        <f>TRUNC(I787*$C787,0)</f>
        <v>0</v>
      </c>
      <c r="K787" s="36">
        <f t="shared" si="107"/>
        <v>41373</v>
      </c>
      <c r="L787" s="36">
        <f t="shared" si="107"/>
        <v>496476</v>
      </c>
      <c r="M787" s="37"/>
      <c r="N787" s="253"/>
      <c r="O787" s="38"/>
    </row>
    <row r="788" spans="1:15" s="70" customFormat="1" ht="24.95" customHeight="1">
      <c r="A788" s="64" t="s">
        <v>1570</v>
      </c>
      <c r="B788" s="65" t="s">
        <v>22</v>
      </c>
      <c r="C788" s="66"/>
      <c r="D788" s="67" t="s">
        <v>22</v>
      </c>
      <c r="E788" s="67"/>
      <c r="F788" s="68">
        <f>TRUNC(F789+F790,0)</f>
        <v>5767158</v>
      </c>
      <c r="G788" s="67"/>
      <c r="H788" s="68">
        <f>TRUNC(H789+H790,0)</f>
        <v>3680961</v>
      </c>
      <c r="I788" s="67"/>
      <c r="J788" s="68">
        <f>TRUNC(J789+J790,0)</f>
        <v>60870</v>
      </c>
      <c r="K788" s="68">
        <f t="shared" ref="K788:L851" si="120">G788+E788+I788</f>
        <v>0</v>
      </c>
      <c r="L788" s="68">
        <f t="shared" si="120"/>
        <v>9508989</v>
      </c>
      <c r="M788" s="69"/>
      <c r="N788" s="256"/>
    </row>
    <row r="789" spans="1:15" s="29" customFormat="1" ht="24.95" customHeight="1">
      <c r="A789" s="31" t="s">
        <v>1571</v>
      </c>
      <c r="B789" s="32" t="s">
        <v>1572</v>
      </c>
      <c r="C789" s="33">
        <v>3</v>
      </c>
      <c r="D789" s="34" t="s">
        <v>1014</v>
      </c>
      <c r="E789" s="36">
        <v>1881013</v>
      </c>
      <c r="F789" s="36">
        <f>TRUNC(E789*$C789,0)</f>
        <v>5643039</v>
      </c>
      <c r="G789" s="36">
        <v>1226987</v>
      </c>
      <c r="H789" s="36">
        <f>TRUNC(G789*$C789,0)</f>
        <v>3680961</v>
      </c>
      <c r="I789" s="36">
        <v>20290</v>
      </c>
      <c r="J789" s="36">
        <f>TRUNC(I789*$C789,0)</f>
        <v>60870</v>
      </c>
      <c r="K789" s="36">
        <f t="shared" si="120"/>
        <v>3128290</v>
      </c>
      <c r="L789" s="36">
        <f t="shared" si="120"/>
        <v>9384870</v>
      </c>
      <c r="M789" s="37"/>
      <c r="N789" s="253"/>
      <c r="O789" s="38"/>
    </row>
    <row r="790" spans="1:15" s="29" customFormat="1" ht="24.95" customHeight="1">
      <c r="A790" s="31" t="s">
        <v>1564</v>
      </c>
      <c r="B790" s="32" t="s">
        <v>22</v>
      </c>
      <c r="C790" s="33">
        <v>3</v>
      </c>
      <c r="D790" s="34" t="s">
        <v>1014</v>
      </c>
      <c r="E790" s="36">
        <v>41373</v>
      </c>
      <c r="F790" s="36">
        <f>TRUNC(E790*$C790,0)</f>
        <v>124119</v>
      </c>
      <c r="G790" s="36">
        <v>0</v>
      </c>
      <c r="H790" s="36">
        <f>TRUNC(G790*$C790,0)</f>
        <v>0</v>
      </c>
      <c r="I790" s="36">
        <v>0</v>
      </c>
      <c r="J790" s="36">
        <f>TRUNC(I790*$C790,0)</f>
        <v>0</v>
      </c>
      <c r="K790" s="36">
        <f t="shared" si="120"/>
        <v>41373</v>
      </c>
      <c r="L790" s="36">
        <f t="shared" si="120"/>
        <v>124119</v>
      </c>
      <c r="M790" s="37"/>
      <c r="N790" s="253"/>
      <c r="O790" s="38"/>
    </row>
    <row r="791" spans="1:15" s="70" customFormat="1" ht="24.95" customHeight="1">
      <c r="A791" s="64" t="s">
        <v>1573</v>
      </c>
      <c r="B791" s="65" t="s">
        <v>22</v>
      </c>
      <c r="C791" s="66"/>
      <c r="D791" s="67" t="s">
        <v>22</v>
      </c>
      <c r="E791" s="67"/>
      <c r="F791" s="68">
        <f>TRUNC(F792+F793,0)</f>
        <v>3334734</v>
      </c>
      <c r="G791" s="67"/>
      <c r="H791" s="68">
        <f>TRUNC(H792+H793,0)</f>
        <v>48120662</v>
      </c>
      <c r="I791" s="67"/>
      <c r="J791" s="68">
        <f>TRUNC(J792+J793,0)</f>
        <v>0</v>
      </c>
      <c r="K791" s="68">
        <f t="shared" si="120"/>
        <v>0</v>
      </c>
      <c r="L791" s="68">
        <f t="shared" si="120"/>
        <v>51455396</v>
      </c>
      <c r="M791" s="69"/>
      <c r="N791" s="256"/>
    </row>
    <row r="792" spans="1:15" s="29" customFormat="1" ht="24.95" customHeight="1">
      <c r="A792" s="31" t="s">
        <v>1574</v>
      </c>
      <c r="B792" s="32" t="s">
        <v>1575</v>
      </c>
      <c r="C792" s="33">
        <v>134</v>
      </c>
      <c r="D792" s="34" t="s">
        <v>1014</v>
      </c>
      <c r="E792" s="36">
        <v>18643</v>
      </c>
      <c r="F792" s="36">
        <f>TRUNC(E792*$C792,0)</f>
        <v>2498162</v>
      </c>
      <c r="G792" s="36">
        <v>223969</v>
      </c>
      <c r="H792" s="36">
        <f>TRUNC(G792*$C792,0)</f>
        <v>30011846</v>
      </c>
      <c r="I792" s="36">
        <v>0</v>
      </c>
      <c r="J792" s="36">
        <f>TRUNC(I792*$C792,0)</f>
        <v>0</v>
      </c>
      <c r="K792" s="36">
        <f t="shared" si="120"/>
        <v>242612</v>
      </c>
      <c r="L792" s="36">
        <f t="shared" si="120"/>
        <v>32510008</v>
      </c>
      <c r="M792" s="37"/>
      <c r="N792" s="253"/>
      <c r="O792" s="38"/>
    </row>
    <row r="793" spans="1:15" s="29" customFormat="1" ht="24.95" customHeight="1">
      <c r="A793" s="31" t="s">
        <v>1574</v>
      </c>
      <c r="B793" s="32" t="s">
        <v>1576</v>
      </c>
      <c r="C793" s="33">
        <v>44</v>
      </c>
      <c r="D793" s="34" t="s">
        <v>1014</v>
      </c>
      <c r="E793" s="36">
        <v>19013</v>
      </c>
      <c r="F793" s="36">
        <f>TRUNC(E793*$C793,0)</f>
        <v>836572</v>
      </c>
      <c r="G793" s="36">
        <v>411564</v>
      </c>
      <c r="H793" s="36">
        <f>TRUNC(G793*$C793,0)</f>
        <v>18108816</v>
      </c>
      <c r="I793" s="36">
        <v>0</v>
      </c>
      <c r="J793" s="36">
        <f>TRUNC(I793*$C793,0)</f>
        <v>0</v>
      </c>
      <c r="K793" s="36">
        <f t="shared" si="120"/>
        <v>430577</v>
      </c>
      <c r="L793" s="36">
        <f t="shared" si="120"/>
        <v>18945388</v>
      </c>
      <c r="M793" s="37"/>
      <c r="N793" s="253"/>
      <c r="O793" s="38"/>
    </row>
    <row r="794" spans="1:15" s="63" customFormat="1" ht="24.95" customHeight="1">
      <c r="A794" s="57" t="s">
        <v>1577</v>
      </c>
      <c r="B794" s="58" t="s">
        <v>22</v>
      </c>
      <c r="C794" s="59"/>
      <c r="D794" s="60" t="s">
        <v>22</v>
      </c>
      <c r="E794" s="60"/>
      <c r="F794" s="61">
        <f>TRUNC(F796+F797,0)</f>
        <v>1318828</v>
      </c>
      <c r="G794" s="60"/>
      <c r="H794" s="61">
        <f>TRUNC(H796+H797,0)</f>
        <v>1822874</v>
      </c>
      <c r="I794" s="60"/>
      <c r="J794" s="61">
        <f>TRUNC(J796+J797,0)</f>
        <v>126540</v>
      </c>
      <c r="K794" s="61">
        <f t="shared" si="120"/>
        <v>0</v>
      </c>
      <c r="L794" s="61">
        <f t="shared" si="120"/>
        <v>3268242</v>
      </c>
      <c r="M794" s="62"/>
      <c r="N794" s="253"/>
    </row>
    <row r="795" spans="1:15" s="29" customFormat="1" ht="24.95" customHeight="1">
      <c r="A795" s="31" t="s">
        <v>1578</v>
      </c>
      <c r="B795" s="32" t="s">
        <v>22</v>
      </c>
      <c r="C795" s="33"/>
      <c r="D795" s="34" t="s">
        <v>22</v>
      </c>
      <c r="E795" s="34"/>
      <c r="F795" s="36">
        <f>TRUNC(F796+F797,0)</f>
        <v>1318828</v>
      </c>
      <c r="G795" s="34"/>
      <c r="H795" s="36">
        <f>TRUNC(H796+H797,0)</f>
        <v>1822874</v>
      </c>
      <c r="I795" s="34"/>
      <c r="J795" s="36">
        <f>TRUNC(J796+J797,0)</f>
        <v>126540</v>
      </c>
      <c r="K795" s="36">
        <f t="shared" si="120"/>
        <v>0</v>
      </c>
      <c r="L795" s="36">
        <f t="shared" si="120"/>
        <v>3268242</v>
      </c>
      <c r="M795" s="37"/>
      <c r="N795" s="253"/>
    </row>
    <row r="796" spans="1:15" s="29" customFormat="1" ht="24.95" customHeight="1">
      <c r="A796" s="31" t="s">
        <v>1339</v>
      </c>
      <c r="B796" s="32" t="s">
        <v>1340</v>
      </c>
      <c r="C796" s="33">
        <v>342</v>
      </c>
      <c r="D796" s="34" t="s">
        <v>1014</v>
      </c>
      <c r="E796" s="36">
        <v>0</v>
      </c>
      <c r="F796" s="36">
        <f>TRUNC(E796*$C796,0)</f>
        <v>0</v>
      </c>
      <c r="G796" s="36">
        <v>2049</v>
      </c>
      <c r="H796" s="36">
        <f>TRUNC(G796*$C796,0)</f>
        <v>700758</v>
      </c>
      <c r="I796" s="36">
        <v>102</v>
      </c>
      <c r="J796" s="36">
        <f>TRUNC(I796*$C796,0)</f>
        <v>34884</v>
      </c>
      <c r="K796" s="36">
        <f t="shared" si="120"/>
        <v>2151</v>
      </c>
      <c r="L796" s="36">
        <f t="shared" si="120"/>
        <v>735642</v>
      </c>
      <c r="M796" s="37"/>
      <c r="N796" s="253"/>
      <c r="O796" s="38"/>
    </row>
    <row r="797" spans="1:15" s="29" customFormat="1" ht="24.95" customHeight="1">
      <c r="A797" s="31" t="s">
        <v>1341</v>
      </c>
      <c r="B797" s="32" t="s">
        <v>22</v>
      </c>
      <c r="C797" s="33">
        <v>134</v>
      </c>
      <c r="D797" s="34" t="s">
        <v>1014</v>
      </c>
      <c r="E797" s="36">
        <v>9842</v>
      </c>
      <c r="F797" s="36">
        <f>TRUNC(E797*$C797,0)</f>
        <v>1318828</v>
      </c>
      <c r="G797" s="36">
        <v>8374</v>
      </c>
      <c r="H797" s="36">
        <f>TRUNC(G797*$C797,0)</f>
        <v>1122116</v>
      </c>
      <c r="I797" s="36">
        <v>684</v>
      </c>
      <c r="J797" s="36">
        <f>TRUNC(I797*$C797,0)</f>
        <v>91656</v>
      </c>
      <c r="K797" s="36">
        <f t="shared" si="120"/>
        <v>18900</v>
      </c>
      <c r="L797" s="36">
        <f t="shared" si="120"/>
        <v>2532600</v>
      </c>
      <c r="M797" s="37"/>
      <c r="N797" s="253"/>
      <c r="O797" s="38"/>
    </row>
    <row r="798" spans="1:15" s="63" customFormat="1" ht="24.95" customHeight="1">
      <c r="A798" s="57" t="s">
        <v>1579</v>
      </c>
      <c r="B798" s="58" t="s">
        <v>22</v>
      </c>
      <c r="C798" s="59"/>
      <c r="D798" s="60" t="s">
        <v>22</v>
      </c>
      <c r="E798" s="60"/>
      <c r="F798" s="61">
        <f>TRUNC(F800+F802+F804,0)</f>
        <v>0</v>
      </c>
      <c r="G798" s="60"/>
      <c r="H798" s="61">
        <f>TRUNC(H800+H802+H804,0)</f>
        <v>0</v>
      </c>
      <c r="I798" s="60"/>
      <c r="J798" s="61">
        <f>TRUNC(J800+J802+J804,0)</f>
        <v>5010192</v>
      </c>
      <c r="K798" s="61">
        <f t="shared" si="120"/>
        <v>0</v>
      </c>
      <c r="L798" s="61">
        <f t="shared" si="120"/>
        <v>5010192</v>
      </c>
      <c r="M798" s="62"/>
      <c r="N798" s="253"/>
    </row>
    <row r="799" spans="1:15" s="29" customFormat="1" ht="24.95" customHeight="1">
      <c r="A799" s="31" t="s">
        <v>1580</v>
      </c>
      <c r="B799" s="32" t="s">
        <v>22</v>
      </c>
      <c r="C799" s="33"/>
      <c r="D799" s="34" t="s">
        <v>22</v>
      </c>
      <c r="E799" s="34"/>
      <c r="F799" s="36">
        <f>TRUNC(F800,0)</f>
        <v>0</v>
      </c>
      <c r="G799" s="34"/>
      <c r="H799" s="36">
        <f>TRUNC(H800,0)</f>
        <v>0</v>
      </c>
      <c r="I799" s="34"/>
      <c r="J799" s="36">
        <f>TRUNC(J800,0)</f>
        <v>266888</v>
      </c>
      <c r="K799" s="36">
        <f t="shared" si="120"/>
        <v>0</v>
      </c>
      <c r="L799" s="36">
        <f t="shared" si="120"/>
        <v>266888</v>
      </c>
      <c r="M799" s="37"/>
      <c r="N799" s="253"/>
    </row>
    <row r="800" spans="1:15" s="29" customFormat="1" ht="24.95" customHeight="1">
      <c r="A800" s="31" t="s">
        <v>1581</v>
      </c>
      <c r="B800" s="32" t="s">
        <v>1404</v>
      </c>
      <c r="C800" s="33">
        <v>584</v>
      </c>
      <c r="D800" s="34" t="s">
        <v>1405</v>
      </c>
      <c r="E800" s="36">
        <v>0</v>
      </c>
      <c r="F800" s="36">
        <f>TRUNC(E800*$C800,0)</f>
        <v>0</v>
      </c>
      <c r="G800" s="36">
        <v>0</v>
      </c>
      <c r="H800" s="36">
        <f>TRUNC(G800*$C800,0)</f>
        <v>0</v>
      </c>
      <c r="I800" s="36">
        <v>457</v>
      </c>
      <c r="J800" s="36">
        <f>TRUNC(I800*$C800,0)</f>
        <v>266888</v>
      </c>
      <c r="K800" s="36">
        <f t="shared" si="120"/>
        <v>457</v>
      </c>
      <c r="L800" s="36">
        <f t="shared" si="120"/>
        <v>266888</v>
      </c>
      <c r="M800" s="37"/>
      <c r="N800" s="253"/>
      <c r="O800" s="38"/>
    </row>
    <row r="801" spans="1:15" s="29" customFormat="1" ht="24.95" customHeight="1">
      <c r="A801" s="31" t="s">
        <v>1582</v>
      </c>
      <c r="B801" s="32" t="s">
        <v>22</v>
      </c>
      <c r="C801" s="33"/>
      <c r="D801" s="34" t="s">
        <v>22</v>
      </c>
      <c r="E801" s="34"/>
      <c r="F801" s="36">
        <f>TRUNC(F802,0)</f>
        <v>0</v>
      </c>
      <c r="G801" s="34"/>
      <c r="H801" s="36">
        <f>TRUNC(H802,0)</f>
        <v>0</v>
      </c>
      <c r="I801" s="34"/>
      <c r="J801" s="36">
        <f>TRUNC(J802,0)</f>
        <v>870398</v>
      </c>
      <c r="K801" s="36">
        <f t="shared" si="120"/>
        <v>0</v>
      </c>
      <c r="L801" s="36">
        <f t="shared" si="120"/>
        <v>870398</v>
      </c>
      <c r="M801" s="37"/>
      <c r="N801" s="253"/>
    </row>
    <row r="802" spans="1:15" s="29" customFormat="1" ht="24.95" customHeight="1">
      <c r="A802" s="31" t="s">
        <v>1583</v>
      </c>
      <c r="B802" s="32" t="s">
        <v>1211</v>
      </c>
      <c r="C802" s="261">
        <v>89.4</v>
      </c>
      <c r="D802" s="34" t="s">
        <v>1112</v>
      </c>
      <c r="E802" s="36">
        <v>0</v>
      </c>
      <c r="F802" s="36">
        <f>TRUNC(E802*$C802,0)</f>
        <v>0</v>
      </c>
      <c r="G802" s="36">
        <v>0</v>
      </c>
      <c r="H802" s="36">
        <f>TRUNC(G802*$C802,0)</f>
        <v>0</v>
      </c>
      <c r="I802" s="36">
        <v>9736</v>
      </c>
      <c r="J802" s="36">
        <f>TRUNC(I802*$C802,0)</f>
        <v>870398</v>
      </c>
      <c r="K802" s="36">
        <f t="shared" si="120"/>
        <v>9736</v>
      </c>
      <c r="L802" s="36">
        <f t="shared" si="120"/>
        <v>870398</v>
      </c>
      <c r="M802" s="37"/>
      <c r="N802" s="253"/>
      <c r="O802" s="38"/>
    </row>
    <row r="803" spans="1:15" s="29" customFormat="1" ht="24.95" customHeight="1">
      <c r="A803" s="31" t="s">
        <v>1584</v>
      </c>
      <c r="B803" s="32" t="s">
        <v>22</v>
      </c>
      <c r="C803" s="33"/>
      <c r="D803" s="34" t="s">
        <v>22</v>
      </c>
      <c r="E803" s="34"/>
      <c r="F803" s="36">
        <f>TRUNC(F804,0)</f>
        <v>0</v>
      </c>
      <c r="G803" s="34"/>
      <c r="H803" s="36">
        <f>TRUNC(H804,0)</f>
        <v>0</v>
      </c>
      <c r="I803" s="34"/>
      <c r="J803" s="36">
        <f>TRUNC(J804,0)</f>
        <v>3872906</v>
      </c>
      <c r="K803" s="36">
        <f t="shared" si="120"/>
        <v>0</v>
      </c>
      <c r="L803" s="36">
        <f t="shared" si="120"/>
        <v>3872906</v>
      </c>
      <c r="M803" s="37"/>
      <c r="N803" s="253"/>
    </row>
    <row r="804" spans="1:15" s="29" customFormat="1" ht="24.95" customHeight="1">
      <c r="A804" s="31" t="s">
        <v>1585</v>
      </c>
      <c r="B804" s="32" t="s">
        <v>1408</v>
      </c>
      <c r="C804" s="33">
        <v>285.06599999999997</v>
      </c>
      <c r="D804" s="34" t="s">
        <v>1112</v>
      </c>
      <c r="E804" s="36">
        <v>0</v>
      </c>
      <c r="F804" s="36">
        <f>TRUNC(E804*$C804,0)</f>
        <v>0</v>
      </c>
      <c r="G804" s="36">
        <v>0</v>
      </c>
      <c r="H804" s="36">
        <f>TRUNC(G804*$C804,0)</f>
        <v>0</v>
      </c>
      <c r="I804" s="36">
        <v>13586</v>
      </c>
      <c r="J804" s="36">
        <f>TRUNC(I804*$C804,0)</f>
        <v>3872906</v>
      </c>
      <c r="K804" s="36">
        <f t="shared" si="120"/>
        <v>13586</v>
      </c>
      <c r="L804" s="36">
        <f t="shared" si="120"/>
        <v>3872906</v>
      </c>
      <c r="M804" s="37"/>
      <c r="N804" s="253"/>
      <c r="O804" s="38"/>
    </row>
    <row r="805" spans="1:15" s="63" customFormat="1" ht="24.95" customHeight="1">
      <c r="A805" s="57" t="s">
        <v>1586</v>
      </c>
      <c r="B805" s="58" t="s">
        <v>22</v>
      </c>
      <c r="C805" s="59"/>
      <c r="D805" s="60" t="s">
        <v>22</v>
      </c>
      <c r="E805" s="60"/>
      <c r="F805" s="61">
        <f>F806+F809+F814+F819+F823</f>
        <v>0</v>
      </c>
      <c r="G805" s="60"/>
      <c r="H805" s="61">
        <f>H806+H809+H814+H819+H823</f>
        <v>974666774</v>
      </c>
      <c r="I805" s="60"/>
      <c r="J805" s="61">
        <f>J806+J809+J814+J819+J823</f>
        <v>0</v>
      </c>
      <c r="K805" s="61">
        <f t="shared" si="120"/>
        <v>0</v>
      </c>
      <c r="L805" s="61">
        <f t="shared" si="120"/>
        <v>974666774</v>
      </c>
      <c r="M805" s="62"/>
      <c r="N805" s="253"/>
    </row>
    <row r="806" spans="1:15" s="70" customFormat="1" ht="24.95" customHeight="1">
      <c r="A806" s="64" t="s">
        <v>1587</v>
      </c>
      <c r="B806" s="65" t="s">
        <v>22</v>
      </c>
      <c r="C806" s="66"/>
      <c r="D806" s="67" t="s">
        <v>22</v>
      </c>
      <c r="E806" s="67"/>
      <c r="F806" s="68">
        <f>TRUNC(F807+F808,0)</f>
        <v>0</v>
      </c>
      <c r="G806" s="67"/>
      <c r="H806" s="68">
        <f>TRUNC(H807+H808,0)</f>
        <v>69457095</v>
      </c>
      <c r="I806" s="67"/>
      <c r="J806" s="68">
        <f>TRUNC(J807+J808,0)</f>
        <v>0</v>
      </c>
      <c r="K806" s="68">
        <f t="shared" si="120"/>
        <v>0</v>
      </c>
      <c r="L806" s="68">
        <f t="shared" si="120"/>
        <v>69457095</v>
      </c>
      <c r="M806" s="69"/>
      <c r="N806" s="256"/>
    </row>
    <row r="807" spans="1:15" s="29" customFormat="1" ht="24.95" customHeight="1">
      <c r="A807" s="31" t="s">
        <v>1588</v>
      </c>
      <c r="B807" s="32" t="s">
        <v>1258</v>
      </c>
      <c r="C807" s="33">
        <v>749</v>
      </c>
      <c r="D807" s="34" t="s">
        <v>815</v>
      </c>
      <c r="E807" s="36">
        <v>0</v>
      </c>
      <c r="F807" s="36">
        <f>TRUNC(E807*$C807,0)</f>
        <v>0</v>
      </c>
      <c r="G807" s="36">
        <v>84807</v>
      </c>
      <c r="H807" s="36">
        <f>TRUNC(G807*$C807,0)</f>
        <v>63520443</v>
      </c>
      <c r="I807" s="36">
        <v>0</v>
      </c>
      <c r="J807" s="36">
        <f>TRUNC(I807*$C807,0)</f>
        <v>0</v>
      </c>
      <c r="K807" s="36">
        <f t="shared" si="120"/>
        <v>84807</v>
      </c>
      <c r="L807" s="36">
        <f t="shared" si="120"/>
        <v>63520443</v>
      </c>
      <c r="M807" s="37"/>
      <c r="N807" s="253"/>
      <c r="O807" s="38"/>
    </row>
    <row r="808" spans="1:15" s="29" customFormat="1" ht="24.95" customHeight="1">
      <c r="A808" s="31" t="s">
        <v>1588</v>
      </c>
      <c r="B808" s="32" t="s">
        <v>1259</v>
      </c>
      <c r="C808" s="33">
        <v>73</v>
      </c>
      <c r="D808" s="34" t="s">
        <v>815</v>
      </c>
      <c r="E808" s="36">
        <v>0</v>
      </c>
      <c r="F808" s="36">
        <f>TRUNC(E808*$C808,0)</f>
        <v>0</v>
      </c>
      <c r="G808" s="36">
        <v>81324</v>
      </c>
      <c r="H808" s="36">
        <f>TRUNC(G808*$C808,0)</f>
        <v>5936652</v>
      </c>
      <c r="I808" s="36">
        <v>0</v>
      </c>
      <c r="J808" s="36">
        <f>TRUNC(I808*$C808,0)</f>
        <v>0</v>
      </c>
      <c r="K808" s="36">
        <f t="shared" si="120"/>
        <v>81324</v>
      </c>
      <c r="L808" s="36">
        <f t="shared" si="120"/>
        <v>5936652</v>
      </c>
      <c r="M808" s="37"/>
      <c r="N808" s="253"/>
      <c r="O808" s="38"/>
    </row>
    <row r="809" spans="1:15" s="70" customFormat="1" ht="24.95" customHeight="1">
      <c r="A809" s="64" t="s">
        <v>1589</v>
      </c>
      <c r="B809" s="65" t="s">
        <v>22</v>
      </c>
      <c r="C809" s="66"/>
      <c r="D809" s="67" t="s">
        <v>22</v>
      </c>
      <c r="E809" s="67"/>
      <c r="F809" s="68">
        <f>TRUNC(F810+F811+F812+F813,0)</f>
        <v>0</v>
      </c>
      <c r="G809" s="67"/>
      <c r="H809" s="68">
        <f>TRUNC(H810+H811+H812+H813,0)</f>
        <v>9266428</v>
      </c>
      <c r="I809" s="67"/>
      <c r="J809" s="68">
        <f>TRUNC(J810+J811+J812+J813,0)</f>
        <v>0</v>
      </c>
      <c r="K809" s="68">
        <f t="shared" si="120"/>
        <v>0</v>
      </c>
      <c r="L809" s="68">
        <f t="shared" si="120"/>
        <v>9266428</v>
      </c>
      <c r="M809" s="69"/>
      <c r="N809" s="256"/>
    </row>
    <row r="810" spans="1:15" s="29" customFormat="1" ht="24.95" customHeight="1">
      <c r="A810" s="31" t="s">
        <v>1590</v>
      </c>
      <c r="B810" s="32" t="s">
        <v>22</v>
      </c>
      <c r="C810" s="33">
        <v>584</v>
      </c>
      <c r="D810" s="34" t="s">
        <v>1405</v>
      </c>
      <c r="E810" s="36">
        <v>0</v>
      </c>
      <c r="F810" s="36">
        <f>TRUNC(E810*$C810,0)</f>
        <v>0</v>
      </c>
      <c r="G810" s="36">
        <v>5581</v>
      </c>
      <c r="H810" s="36">
        <f>TRUNC(G810*$C810,0)</f>
        <v>3259304</v>
      </c>
      <c r="I810" s="36">
        <v>0</v>
      </c>
      <c r="J810" s="36">
        <f>TRUNC(I810*$C810,0)</f>
        <v>0</v>
      </c>
      <c r="K810" s="36">
        <f t="shared" si="120"/>
        <v>5581</v>
      </c>
      <c r="L810" s="36">
        <f t="shared" si="120"/>
        <v>3259304</v>
      </c>
      <c r="M810" s="37"/>
      <c r="N810" s="253"/>
      <c r="O810" s="38"/>
    </row>
    <row r="811" spans="1:15" s="29" customFormat="1" ht="24.95" customHeight="1">
      <c r="A811" s="31" t="s">
        <v>1591</v>
      </c>
      <c r="B811" s="32" t="s">
        <v>1413</v>
      </c>
      <c r="C811" s="33">
        <v>5</v>
      </c>
      <c r="D811" s="34" t="s">
        <v>815</v>
      </c>
      <c r="E811" s="36">
        <v>0</v>
      </c>
      <c r="F811" s="36">
        <f>TRUNC(E811*$C811,0)</f>
        <v>0</v>
      </c>
      <c r="G811" s="36">
        <v>19993</v>
      </c>
      <c r="H811" s="36">
        <f>TRUNC(G811*$C811,0)</f>
        <v>99965</v>
      </c>
      <c r="I811" s="36">
        <v>0</v>
      </c>
      <c r="J811" s="36">
        <f>TRUNC(I811*$C811,0)</f>
        <v>0</v>
      </c>
      <c r="K811" s="36">
        <f t="shared" si="120"/>
        <v>19993</v>
      </c>
      <c r="L811" s="36">
        <f t="shared" si="120"/>
        <v>99965</v>
      </c>
      <c r="M811" s="37"/>
      <c r="N811" s="253"/>
      <c r="O811" s="38"/>
    </row>
    <row r="812" spans="1:15" s="29" customFormat="1" ht="24.95" customHeight="1">
      <c r="A812" s="31" t="s">
        <v>1592</v>
      </c>
      <c r="B812" s="32" t="s">
        <v>1593</v>
      </c>
      <c r="C812" s="33">
        <v>286</v>
      </c>
      <c r="D812" s="34" t="s">
        <v>815</v>
      </c>
      <c r="E812" s="36">
        <v>0</v>
      </c>
      <c r="F812" s="36">
        <f>TRUNC(E812*$C812,0)</f>
        <v>0</v>
      </c>
      <c r="G812" s="36">
        <v>17494</v>
      </c>
      <c r="H812" s="36">
        <f>TRUNC(G812*$C812,0)</f>
        <v>5003284</v>
      </c>
      <c r="I812" s="36">
        <v>0</v>
      </c>
      <c r="J812" s="36">
        <f>TRUNC(I812*$C812,0)</f>
        <v>0</v>
      </c>
      <c r="K812" s="36">
        <f t="shared" si="120"/>
        <v>17494</v>
      </c>
      <c r="L812" s="36">
        <f t="shared" si="120"/>
        <v>5003284</v>
      </c>
      <c r="M812" s="37"/>
      <c r="N812" s="253"/>
      <c r="O812" s="38"/>
    </row>
    <row r="813" spans="1:15" s="29" customFormat="1" ht="24.95" customHeight="1">
      <c r="A813" s="31" t="s">
        <v>1594</v>
      </c>
      <c r="B813" s="32" t="s">
        <v>1265</v>
      </c>
      <c r="C813" s="33">
        <v>35</v>
      </c>
      <c r="D813" s="34" t="s">
        <v>815</v>
      </c>
      <c r="E813" s="36">
        <v>0</v>
      </c>
      <c r="F813" s="36">
        <f>TRUNC(E813*$C813,0)</f>
        <v>0</v>
      </c>
      <c r="G813" s="36">
        <v>25825</v>
      </c>
      <c r="H813" s="36">
        <f>TRUNC(G813*$C813,0)</f>
        <v>903875</v>
      </c>
      <c r="I813" s="36">
        <v>0</v>
      </c>
      <c r="J813" s="36">
        <f>TRUNC(I813*$C813,0)</f>
        <v>0</v>
      </c>
      <c r="K813" s="36">
        <f t="shared" si="120"/>
        <v>25825</v>
      </c>
      <c r="L813" s="36">
        <f t="shared" si="120"/>
        <v>903875</v>
      </c>
      <c r="M813" s="37"/>
      <c r="N813" s="253"/>
      <c r="O813" s="38"/>
    </row>
    <row r="814" spans="1:15" s="70" customFormat="1" ht="24.95" customHeight="1">
      <c r="A814" s="64" t="s">
        <v>1595</v>
      </c>
      <c r="B814" s="65" t="s">
        <v>22</v>
      </c>
      <c r="C814" s="66"/>
      <c r="D814" s="67" t="s">
        <v>22</v>
      </c>
      <c r="E814" s="67"/>
      <c r="F814" s="68">
        <f>TRUNC(F815+F816+F817+F818,0)</f>
        <v>0</v>
      </c>
      <c r="G814" s="67"/>
      <c r="H814" s="68">
        <f>TRUNC(H815+H816+H817+H818,0)</f>
        <v>68167653</v>
      </c>
      <c r="I814" s="67"/>
      <c r="J814" s="68">
        <f>TRUNC(J815+J816+J817+J818,0)</f>
        <v>0</v>
      </c>
      <c r="K814" s="68">
        <f t="shared" si="120"/>
        <v>0</v>
      </c>
      <c r="L814" s="68">
        <f t="shared" si="120"/>
        <v>68167653</v>
      </c>
      <c r="M814" s="69"/>
      <c r="N814" s="256"/>
    </row>
    <row r="815" spans="1:15" s="29" customFormat="1" ht="24.95" customHeight="1">
      <c r="A815" s="31" t="s">
        <v>1281</v>
      </c>
      <c r="B815" s="32" t="s">
        <v>1596</v>
      </c>
      <c r="C815" s="261">
        <v>16.667000000000002</v>
      </c>
      <c r="D815" s="34" t="s">
        <v>1597</v>
      </c>
      <c r="E815" s="36">
        <v>0</v>
      </c>
      <c r="F815" s="36">
        <f>TRUNC(E815*$C815,0)</f>
        <v>0</v>
      </c>
      <c r="G815" s="36">
        <v>762263</v>
      </c>
      <c r="H815" s="36">
        <f>TRUNC(G815*$C815,0)</f>
        <v>12704637</v>
      </c>
      <c r="I815" s="36">
        <v>0</v>
      </c>
      <c r="J815" s="36">
        <f>TRUNC(I815*$C815,0)</f>
        <v>0</v>
      </c>
      <c r="K815" s="36">
        <f t="shared" si="120"/>
        <v>762263</v>
      </c>
      <c r="L815" s="36">
        <f t="shared" si="120"/>
        <v>12704637</v>
      </c>
      <c r="M815" s="37"/>
      <c r="N815" s="253"/>
      <c r="O815" s="38"/>
    </row>
    <row r="816" spans="1:15" s="29" customFormat="1" ht="24.95" customHeight="1">
      <c r="A816" s="31" t="s">
        <v>1281</v>
      </c>
      <c r="B816" s="32" t="s">
        <v>1598</v>
      </c>
      <c r="C816" s="261">
        <v>33.713000000000001</v>
      </c>
      <c r="D816" s="34" t="s">
        <v>1597</v>
      </c>
      <c r="E816" s="36">
        <v>0</v>
      </c>
      <c r="F816" s="36">
        <f>TRUNC(E816*$C816,0)</f>
        <v>0</v>
      </c>
      <c r="G816" s="36">
        <v>762263</v>
      </c>
      <c r="H816" s="36">
        <f>TRUNC(G816*$C816,0)</f>
        <v>25698172</v>
      </c>
      <c r="I816" s="36">
        <v>0</v>
      </c>
      <c r="J816" s="36">
        <f>TRUNC(I816*$C816,0)</f>
        <v>0</v>
      </c>
      <c r="K816" s="36">
        <f t="shared" si="120"/>
        <v>762263</v>
      </c>
      <c r="L816" s="36">
        <f t="shared" si="120"/>
        <v>25698172</v>
      </c>
      <c r="M816" s="37"/>
      <c r="N816" s="253"/>
      <c r="O816" s="38"/>
    </row>
    <row r="817" spans="1:15" s="29" customFormat="1" ht="24.95" customHeight="1">
      <c r="A817" s="31" t="s">
        <v>1281</v>
      </c>
      <c r="B817" s="32" t="s">
        <v>1599</v>
      </c>
      <c r="C817" s="261">
        <v>13.44</v>
      </c>
      <c r="D817" s="34" t="s">
        <v>1597</v>
      </c>
      <c r="E817" s="36">
        <v>0</v>
      </c>
      <c r="F817" s="36">
        <f>TRUNC(E817*$C817,0)</f>
        <v>0</v>
      </c>
      <c r="G817" s="36">
        <v>762263</v>
      </c>
      <c r="H817" s="36">
        <f>TRUNC(G817*$C817,0)</f>
        <v>10244814</v>
      </c>
      <c r="I817" s="36">
        <v>0</v>
      </c>
      <c r="J817" s="36">
        <f>TRUNC(I817*$C817,0)</f>
        <v>0</v>
      </c>
      <c r="K817" s="36">
        <f t="shared" si="120"/>
        <v>762263</v>
      </c>
      <c r="L817" s="36">
        <f t="shared" si="120"/>
        <v>10244814</v>
      </c>
      <c r="M817" s="37"/>
      <c r="N817" s="253"/>
      <c r="O817" s="38"/>
    </row>
    <row r="818" spans="1:15" s="29" customFormat="1" ht="24.95" customHeight="1">
      <c r="A818" s="31" t="s">
        <v>1281</v>
      </c>
      <c r="B818" s="32" t="s">
        <v>1600</v>
      </c>
      <c r="C818" s="261">
        <v>25.608000000000001</v>
      </c>
      <c r="D818" s="34" t="s">
        <v>1597</v>
      </c>
      <c r="E818" s="36">
        <v>0</v>
      </c>
      <c r="F818" s="36">
        <f>TRUNC(E818*$C818,0)</f>
        <v>0</v>
      </c>
      <c r="G818" s="36">
        <v>762263</v>
      </c>
      <c r="H818" s="36">
        <f>TRUNC(G818*$C818,0)</f>
        <v>19520030</v>
      </c>
      <c r="I818" s="36">
        <v>0</v>
      </c>
      <c r="J818" s="36">
        <f>TRUNC(I818*$C818,0)</f>
        <v>0</v>
      </c>
      <c r="K818" s="36">
        <f t="shared" si="120"/>
        <v>762263</v>
      </c>
      <c r="L818" s="36">
        <f t="shared" si="120"/>
        <v>19520030</v>
      </c>
      <c r="M818" s="37"/>
      <c r="N818" s="253"/>
      <c r="O818" s="38"/>
    </row>
    <row r="819" spans="1:15" s="70" customFormat="1" ht="24.95" customHeight="1">
      <c r="A819" s="64" t="s">
        <v>1601</v>
      </c>
      <c r="B819" s="65" t="s">
        <v>22</v>
      </c>
      <c r="C819" s="66"/>
      <c r="D819" s="67" t="s">
        <v>22</v>
      </c>
      <c r="E819" s="67"/>
      <c r="F819" s="68">
        <f>TRUNC(F820+F821+F822,0)</f>
        <v>0</v>
      </c>
      <c r="G819" s="67"/>
      <c r="H819" s="68">
        <f>TRUNC(H820+H821+H822,0)</f>
        <v>16686464</v>
      </c>
      <c r="I819" s="67"/>
      <c r="J819" s="68">
        <f>TRUNC(J820+J821+J822,0)</f>
        <v>0</v>
      </c>
      <c r="K819" s="68">
        <f t="shared" si="120"/>
        <v>0</v>
      </c>
      <c r="L819" s="68">
        <f t="shared" si="120"/>
        <v>16686464</v>
      </c>
      <c r="M819" s="69"/>
      <c r="N819" s="256"/>
    </row>
    <row r="820" spans="1:15" s="29" customFormat="1" ht="24.95" customHeight="1">
      <c r="A820" s="31" t="s">
        <v>1446</v>
      </c>
      <c r="B820" s="32" t="s">
        <v>1450</v>
      </c>
      <c r="C820" s="33">
        <v>12</v>
      </c>
      <c r="D820" s="34" t="s">
        <v>1116</v>
      </c>
      <c r="E820" s="36">
        <v>0</v>
      </c>
      <c r="F820" s="36">
        <f>TRUNC(E820*$C820,0)</f>
        <v>0</v>
      </c>
      <c r="G820" s="36">
        <v>783090</v>
      </c>
      <c r="H820" s="36">
        <f>TRUNC(G820*$C820,0)</f>
        <v>9397080</v>
      </c>
      <c r="I820" s="36">
        <v>0</v>
      </c>
      <c r="J820" s="36">
        <f>TRUNC(I820*$C820,0)</f>
        <v>0</v>
      </c>
      <c r="K820" s="36">
        <f t="shared" si="120"/>
        <v>783090</v>
      </c>
      <c r="L820" s="36">
        <f t="shared" si="120"/>
        <v>9397080</v>
      </c>
      <c r="M820" s="37"/>
      <c r="N820" s="253"/>
      <c r="O820" s="38"/>
    </row>
    <row r="821" spans="1:15" s="29" customFormat="1" ht="24.95" customHeight="1">
      <c r="A821" s="31" t="s">
        <v>1446</v>
      </c>
      <c r="B821" s="32" t="s">
        <v>1447</v>
      </c>
      <c r="C821" s="33">
        <v>9</v>
      </c>
      <c r="D821" s="34" t="s">
        <v>1116</v>
      </c>
      <c r="E821" s="36">
        <v>0</v>
      </c>
      <c r="F821" s="36">
        <f>TRUNC(E821*$C821,0)</f>
        <v>0</v>
      </c>
      <c r="G821" s="36">
        <v>291576</v>
      </c>
      <c r="H821" s="36">
        <f>TRUNC(G821*$C821,0)</f>
        <v>2624184</v>
      </c>
      <c r="I821" s="36">
        <v>0</v>
      </c>
      <c r="J821" s="36">
        <f>TRUNC(I821*$C821,0)</f>
        <v>0</v>
      </c>
      <c r="K821" s="36">
        <f t="shared" si="120"/>
        <v>291576</v>
      </c>
      <c r="L821" s="36">
        <f t="shared" si="120"/>
        <v>2624184</v>
      </c>
      <c r="M821" s="37"/>
      <c r="N821" s="253"/>
      <c r="O821" s="38"/>
    </row>
    <row r="822" spans="1:15" s="29" customFormat="1" ht="24.95" customHeight="1">
      <c r="A822" s="31" t="s">
        <v>1448</v>
      </c>
      <c r="B822" s="32" t="s">
        <v>1449</v>
      </c>
      <c r="C822" s="33">
        <v>40</v>
      </c>
      <c r="D822" s="34" t="s">
        <v>1205</v>
      </c>
      <c r="E822" s="36">
        <v>0</v>
      </c>
      <c r="F822" s="36">
        <f>TRUNC(E822*$C822,0)</f>
        <v>0</v>
      </c>
      <c r="G822" s="36">
        <v>116630</v>
      </c>
      <c r="H822" s="36">
        <f>TRUNC(G822*$C822,0)</f>
        <v>4665200</v>
      </c>
      <c r="I822" s="36">
        <v>0</v>
      </c>
      <c r="J822" s="36">
        <f>TRUNC(I822*$C822,0)</f>
        <v>0</v>
      </c>
      <c r="K822" s="36">
        <f t="shared" si="120"/>
        <v>116630</v>
      </c>
      <c r="L822" s="36">
        <f t="shared" si="120"/>
        <v>4665200</v>
      </c>
      <c r="M822" s="37"/>
      <c r="N822" s="253"/>
      <c r="O822" s="38"/>
    </row>
    <row r="823" spans="1:15" s="70" customFormat="1" ht="24.95" customHeight="1">
      <c r="A823" s="64" t="s">
        <v>1602</v>
      </c>
      <c r="B823" s="65" t="s">
        <v>22</v>
      </c>
      <c r="C823" s="66"/>
      <c r="D823" s="67" t="s">
        <v>22</v>
      </c>
      <c r="E823" s="67"/>
      <c r="F823" s="68">
        <f>F824+F829+F834+F881+F917</f>
        <v>0</v>
      </c>
      <c r="G823" s="67"/>
      <c r="H823" s="68">
        <f>H824+H829+H834+H881+H917</f>
        <v>811089134</v>
      </c>
      <c r="I823" s="67"/>
      <c r="J823" s="68">
        <f>J824+J829+J834+J881+J917</f>
        <v>0</v>
      </c>
      <c r="K823" s="68">
        <f t="shared" si="120"/>
        <v>0</v>
      </c>
      <c r="L823" s="68">
        <f t="shared" si="120"/>
        <v>811089134</v>
      </c>
      <c r="M823" s="69"/>
      <c r="N823" s="256"/>
    </row>
    <row r="824" spans="1:15" s="77" customFormat="1" ht="24.95" customHeight="1">
      <c r="A824" s="71" t="s">
        <v>1603</v>
      </c>
      <c r="B824" s="72" t="s">
        <v>22</v>
      </c>
      <c r="C824" s="73"/>
      <c r="D824" s="74" t="s">
        <v>22</v>
      </c>
      <c r="E824" s="74"/>
      <c r="F824" s="75">
        <f>TRUNC(F825+F826+F827+F828,0)</f>
        <v>0</v>
      </c>
      <c r="G824" s="74"/>
      <c r="H824" s="75">
        <f>TRUNC(H825+H826+H827+H828,0)</f>
        <v>180610115</v>
      </c>
      <c r="I824" s="74"/>
      <c r="J824" s="75">
        <f>TRUNC(J825+J826+J827+J828,0)</f>
        <v>0</v>
      </c>
      <c r="K824" s="75">
        <f t="shared" si="120"/>
        <v>0</v>
      </c>
      <c r="L824" s="75">
        <f t="shared" si="120"/>
        <v>180610115</v>
      </c>
      <c r="M824" s="76"/>
      <c r="N824" s="257"/>
    </row>
    <row r="825" spans="1:15" s="29" customFormat="1" ht="24.95" customHeight="1">
      <c r="A825" s="31" t="s">
        <v>1604</v>
      </c>
      <c r="B825" s="32" t="s">
        <v>1605</v>
      </c>
      <c r="C825" s="33">
        <v>258</v>
      </c>
      <c r="D825" s="34" t="s">
        <v>116</v>
      </c>
      <c r="E825" s="36">
        <v>0</v>
      </c>
      <c r="F825" s="36">
        <f>TRUNC(E825*$C825,0)</f>
        <v>0</v>
      </c>
      <c r="G825" s="36">
        <v>10505</v>
      </c>
      <c r="H825" s="36">
        <f>TRUNC(G825*$C825,0)</f>
        <v>2710290</v>
      </c>
      <c r="I825" s="36">
        <v>0</v>
      </c>
      <c r="J825" s="36">
        <f>TRUNC(I825*$C825,0)</f>
        <v>0</v>
      </c>
      <c r="K825" s="36">
        <f t="shared" si="120"/>
        <v>10505</v>
      </c>
      <c r="L825" s="36">
        <f t="shared" si="120"/>
        <v>2710290</v>
      </c>
      <c r="M825" s="37"/>
      <c r="N825" s="253"/>
      <c r="O825" s="38"/>
    </row>
    <row r="826" spans="1:15" s="29" customFormat="1" ht="24.95" customHeight="1">
      <c r="A826" s="31" t="s">
        <v>1604</v>
      </c>
      <c r="B826" s="32" t="s">
        <v>1325</v>
      </c>
      <c r="C826" s="33">
        <v>1211</v>
      </c>
      <c r="D826" s="34" t="s">
        <v>116</v>
      </c>
      <c r="E826" s="36">
        <v>0</v>
      </c>
      <c r="F826" s="36">
        <f>TRUNC(E826*$C826,0)</f>
        <v>0</v>
      </c>
      <c r="G826" s="36">
        <v>20935</v>
      </c>
      <c r="H826" s="36">
        <f>TRUNC(G826*$C826,0)</f>
        <v>25352285</v>
      </c>
      <c r="I826" s="36">
        <v>0</v>
      </c>
      <c r="J826" s="36">
        <f>TRUNC(I826*$C826,0)</f>
        <v>0</v>
      </c>
      <c r="K826" s="36">
        <f t="shared" si="120"/>
        <v>20935</v>
      </c>
      <c r="L826" s="36">
        <f t="shared" si="120"/>
        <v>25352285</v>
      </c>
      <c r="M826" s="37"/>
      <c r="N826" s="253"/>
      <c r="O826" s="38"/>
    </row>
    <row r="827" spans="1:15" s="29" customFormat="1" ht="24.95" customHeight="1">
      <c r="A827" s="31" t="s">
        <v>1604</v>
      </c>
      <c r="B827" s="32" t="s">
        <v>1326</v>
      </c>
      <c r="C827" s="33">
        <v>348</v>
      </c>
      <c r="D827" s="34" t="s">
        <v>116</v>
      </c>
      <c r="E827" s="36">
        <v>0</v>
      </c>
      <c r="F827" s="36">
        <f>TRUNC(E827*$C827,0)</f>
        <v>0</v>
      </c>
      <c r="G827" s="36">
        <v>34605</v>
      </c>
      <c r="H827" s="36">
        <f>TRUNC(G827*$C827,0)</f>
        <v>12042540</v>
      </c>
      <c r="I827" s="36">
        <v>0</v>
      </c>
      <c r="J827" s="36">
        <f>TRUNC(I827*$C827,0)</f>
        <v>0</v>
      </c>
      <c r="K827" s="36">
        <f t="shared" si="120"/>
        <v>34605</v>
      </c>
      <c r="L827" s="36">
        <f t="shared" si="120"/>
        <v>12042540</v>
      </c>
      <c r="M827" s="37"/>
      <c r="N827" s="253"/>
      <c r="O827" s="38"/>
    </row>
    <row r="828" spans="1:15" s="29" customFormat="1" ht="24.95" customHeight="1">
      <c r="A828" s="31" t="s">
        <v>1604</v>
      </c>
      <c r="B828" s="32" t="s">
        <v>1327</v>
      </c>
      <c r="C828" s="33">
        <v>3000</v>
      </c>
      <c r="D828" s="34" t="s">
        <v>116</v>
      </c>
      <c r="E828" s="36">
        <v>0</v>
      </c>
      <c r="F828" s="36">
        <f>TRUNC(E828*$C828,0)</f>
        <v>0</v>
      </c>
      <c r="G828" s="36">
        <v>46835</v>
      </c>
      <c r="H828" s="36">
        <f>TRUNC(G828*$C828,0)</f>
        <v>140505000</v>
      </c>
      <c r="I828" s="36">
        <v>0</v>
      </c>
      <c r="J828" s="36">
        <f>TRUNC(I828*$C828,0)</f>
        <v>0</v>
      </c>
      <c r="K828" s="36">
        <f t="shared" si="120"/>
        <v>46835</v>
      </c>
      <c r="L828" s="36">
        <f t="shared" si="120"/>
        <v>140505000</v>
      </c>
      <c r="M828" s="37"/>
      <c r="N828" s="253"/>
      <c r="O828" s="38"/>
    </row>
    <row r="829" spans="1:15" s="77" customFormat="1" ht="24.95" customHeight="1">
      <c r="A829" s="71" t="s">
        <v>1606</v>
      </c>
      <c r="B829" s="72" t="s">
        <v>22</v>
      </c>
      <c r="C829" s="73"/>
      <c r="D829" s="74" t="s">
        <v>22</v>
      </c>
      <c r="E829" s="74"/>
      <c r="F829" s="75">
        <f>TRUNC(F830+F831+F832+F833,0)</f>
        <v>0</v>
      </c>
      <c r="G829" s="74"/>
      <c r="H829" s="75">
        <f>TRUNC(H830+H831+H832+H833,0)</f>
        <v>507996878</v>
      </c>
      <c r="I829" s="74"/>
      <c r="J829" s="75">
        <f>TRUNC(J830+J831+J832+J833,0)</f>
        <v>0</v>
      </c>
      <c r="K829" s="75">
        <f t="shared" si="120"/>
        <v>0</v>
      </c>
      <c r="L829" s="75">
        <f t="shared" si="120"/>
        <v>507996878</v>
      </c>
      <c r="M829" s="76"/>
      <c r="N829" s="257"/>
    </row>
    <row r="830" spans="1:15" s="29" customFormat="1" ht="24.95" customHeight="1">
      <c r="A830" s="31" t="s">
        <v>1607</v>
      </c>
      <c r="B830" s="32" t="s">
        <v>1608</v>
      </c>
      <c r="C830" s="33">
        <v>780</v>
      </c>
      <c r="D830" s="34" t="s">
        <v>1192</v>
      </c>
      <c r="E830" s="36">
        <v>0</v>
      </c>
      <c r="F830" s="36">
        <f>TRUNC(E830*$C830,0)</f>
        <v>0</v>
      </c>
      <c r="G830" s="36">
        <v>345301</v>
      </c>
      <c r="H830" s="36">
        <f>TRUNC(G830*$C830,0)</f>
        <v>269334780</v>
      </c>
      <c r="I830" s="36">
        <v>0</v>
      </c>
      <c r="J830" s="36">
        <f>TRUNC(I830*$C830,0)</f>
        <v>0</v>
      </c>
      <c r="K830" s="36">
        <f t="shared" si="120"/>
        <v>345301</v>
      </c>
      <c r="L830" s="36">
        <f t="shared" si="120"/>
        <v>269334780</v>
      </c>
      <c r="M830" s="37"/>
      <c r="N830" s="253"/>
      <c r="O830" s="38"/>
    </row>
    <row r="831" spans="1:15" s="29" customFormat="1" ht="24.95" customHeight="1">
      <c r="A831" s="31" t="s">
        <v>1607</v>
      </c>
      <c r="B831" s="32" t="s">
        <v>1609</v>
      </c>
      <c r="C831" s="33">
        <v>235</v>
      </c>
      <c r="D831" s="34" t="s">
        <v>1192</v>
      </c>
      <c r="E831" s="36">
        <v>0</v>
      </c>
      <c r="F831" s="36">
        <f>TRUNC(E831*$C831,0)</f>
        <v>0</v>
      </c>
      <c r="G831" s="36">
        <v>460990</v>
      </c>
      <c r="H831" s="36">
        <f>TRUNC(G831*$C831,0)</f>
        <v>108332650</v>
      </c>
      <c r="I831" s="36">
        <v>0</v>
      </c>
      <c r="J831" s="36">
        <f>TRUNC(I831*$C831,0)</f>
        <v>0</v>
      </c>
      <c r="K831" s="36">
        <f t="shared" si="120"/>
        <v>460990</v>
      </c>
      <c r="L831" s="36">
        <f t="shared" si="120"/>
        <v>108332650</v>
      </c>
      <c r="M831" s="37"/>
      <c r="N831" s="253"/>
      <c r="O831" s="38"/>
    </row>
    <row r="832" spans="1:15" s="29" customFormat="1" ht="24.95" customHeight="1">
      <c r="A832" s="31" t="s">
        <v>1607</v>
      </c>
      <c r="B832" s="32" t="s">
        <v>1610</v>
      </c>
      <c r="C832" s="33">
        <v>94</v>
      </c>
      <c r="D832" s="34" t="s">
        <v>1192</v>
      </c>
      <c r="E832" s="36">
        <v>0</v>
      </c>
      <c r="F832" s="36">
        <f>TRUNC(E832*$C832,0)</f>
        <v>0</v>
      </c>
      <c r="G832" s="36">
        <v>601813</v>
      </c>
      <c r="H832" s="36">
        <f>TRUNC(G832*$C832,0)</f>
        <v>56570422</v>
      </c>
      <c r="I832" s="36">
        <v>0</v>
      </c>
      <c r="J832" s="36">
        <f>TRUNC(I832*$C832,0)</f>
        <v>0</v>
      </c>
      <c r="K832" s="36">
        <f t="shared" si="120"/>
        <v>601813</v>
      </c>
      <c r="L832" s="36">
        <f t="shared" si="120"/>
        <v>56570422</v>
      </c>
      <c r="M832" s="37"/>
      <c r="N832" s="253"/>
      <c r="O832" s="38"/>
    </row>
    <row r="833" spans="1:15" s="29" customFormat="1" ht="24.95" customHeight="1">
      <c r="A833" s="31" t="s">
        <v>1607</v>
      </c>
      <c r="B833" s="32" t="s">
        <v>1611</v>
      </c>
      <c r="C833" s="33">
        <v>66</v>
      </c>
      <c r="D833" s="34" t="s">
        <v>1192</v>
      </c>
      <c r="E833" s="36">
        <v>0</v>
      </c>
      <c r="F833" s="36">
        <f>TRUNC(E833*$C833,0)</f>
        <v>0</v>
      </c>
      <c r="G833" s="36">
        <v>1117561</v>
      </c>
      <c r="H833" s="36">
        <f>TRUNC(G833*$C833,0)</f>
        <v>73759026</v>
      </c>
      <c r="I833" s="36">
        <v>0</v>
      </c>
      <c r="J833" s="36">
        <f>TRUNC(I833*$C833,0)</f>
        <v>0</v>
      </c>
      <c r="K833" s="36">
        <f t="shared" si="120"/>
        <v>1117561</v>
      </c>
      <c r="L833" s="36">
        <f t="shared" si="120"/>
        <v>73759026</v>
      </c>
      <c r="M833" s="37"/>
      <c r="N833" s="253"/>
      <c r="O833" s="38"/>
    </row>
    <row r="834" spans="1:15" s="77" customFormat="1" ht="24.95" customHeight="1">
      <c r="A834" s="71" t="s">
        <v>1612</v>
      </c>
      <c r="B834" s="72" t="s">
        <v>22</v>
      </c>
      <c r="C834" s="73"/>
      <c r="D834" s="74" t="s">
        <v>22</v>
      </c>
      <c r="E834" s="74"/>
      <c r="F834" s="75">
        <f>F835+F846+F856+F867</f>
        <v>0</v>
      </c>
      <c r="G834" s="74"/>
      <c r="H834" s="75">
        <f>H835+H846+H856+H867</f>
        <v>55433621</v>
      </c>
      <c r="I834" s="74"/>
      <c r="J834" s="75">
        <f>J835+J846+J856+J867</f>
        <v>0</v>
      </c>
      <c r="K834" s="75">
        <f t="shared" si="120"/>
        <v>0</v>
      </c>
      <c r="L834" s="75">
        <f t="shared" si="120"/>
        <v>55433621</v>
      </c>
      <c r="M834" s="76"/>
      <c r="N834" s="257"/>
    </row>
    <row r="835" spans="1:15" s="92" customFormat="1" ht="24.95" customHeight="1">
      <c r="A835" s="86" t="s">
        <v>1613</v>
      </c>
      <c r="B835" s="87" t="s">
        <v>22</v>
      </c>
      <c r="C835" s="88"/>
      <c r="D835" s="89" t="s">
        <v>22</v>
      </c>
      <c r="E835" s="89"/>
      <c r="F835" s="90">
        <f>TRUNC(F836+F837+F838+F839+F840+F841+F842+F843+F844+F845,0)</f>
        <v>0</v>
      </c>
      <c r="G835" s="89"/>
      <c r="H835" s="90">
        <f>TRUNC(H836+H837+H838+H839+H840+H841+H842+H843+H844+H845,0)</f>
        <v>15593279</v>
      </c>
      <c r="I835" s="89"/>
      <c r="J835" s="90">
        <f>TRUNC(J836+J837+J838+J839+J840+J841+J842+J843+J844+J845,0)</f>
        <v>0</v>
      </c>
      <c r="K835" s="90">
        <f t="shared" si="120"/>
        <v>0</v>
      </c>
      <c r="L835" s="90">
        <f t="shared" si="120"/>
        <v>15593279</v>
      </c>
      <c r="M835" s="91"/>
      <c r="N835" s="259"/>
    </row>
    <row r="836" spans="1:15" s="29" customFormat="1" ht="24.95" customHeight="1">
      <c r="A836" s="31" t="s">
        <v>1614</v>
      </c>
      <c r="B836" s="32" t="s">
        <v>1615</v>
      </c>
      <c r="C836" s="33">
        <v>2</v>
      </c>
      <c r="D836" s="34" t="s">
        <v>960</v>
      </c>
      <c r="E836" s="36">
        <v>0</v>
      </c>
      <c r="F836" s="36">
        <f t="shared" ref="F836:F845" si="121">TRUNC(E836*$C836,0)</f>
        <v>0</v>
      </c>
      <c r="G836" s="36">
        <v>335754</v>
      </c>
      <c r="H836" s="36">
        <f t="shared" ref="H836:H845" si="122">TRUNC(G836*$C836,0)</f>
        <v>671508</v>
      </c>
      <c r="I836" s="36">
        <v>0</v>
      </c>
      <c r="J836" s="36">
        <f t="shared" ref="J836:J845" si="123">TRUNC(I836*$C836,0)</f>
        <v>0</v>
      </c>
      <c r="K836" s="36">
        <f t="shared" si="120"/>
        <v>335754</v>
      </c>
      <c r="L836" s="36">
        <f t="shared" si="120"/>
        <v>671508</v>
      </c>
      <c r="M836" s="37"/>
      <c r="N836" s="253"/>
      <c r="O836" s="38"/>
    </row>
    <row r="837" spans="1:15" s="29" customFormat="1" ht="24.95" customHeight="1">
      <c r="A837" s="31" t="s">
        <v>1616</v>
      </c>
      <c r="B837" s="32" t="s">
        <v>1617</v>
      </c>
      <c r="C837" s="33">
        <v>30</v>
      </c>
      <c r="D837" s="34" t="s">
        <v>960</v>
      </c>
      <c r="E837" s="36">
        <v>0</v>
      </c>
      <c r="F837" s="36">
        <f t="shared" si="121"/>
        <v>0</v>
      </c>
      <c r="G837" s="36">
        <v>227504</v>
      </c>
      <c r="H837" s="36">
        <f t="shared" si="122"/>
        <v>6825120</v>
      </c>
      <c r="I837" s="36">
        <v>0</v>
      </c>
      <c r="J837" s="36">
        <f t="shared" si="123"/>
        <v>0</v>
      </c>
      <c r="K837" s="36">
        <f t="shared" si="120"/>
        <v>227504</v>
      </c>
      <c r="L837" s="36">
        <f t="shared" si="120"/>
        <v>6825120</v>
      </c>
      <c r="M837" s="37"/>
      <c r="N837" s="253"/>
      <c r="O837" s="38"/>
    </row>
    <row r="838" spans="1:15" s="29" customFormat="1" ht="24.95" customHeight="1">
      <c r="A838" s="31" t="s">
        <v>1618</v>
      </c>
      <c r="B838" s="32" t="s">
        <v>1617</v>
      </c>
      <c r="C838" s="33">
        <v>1</v>
      </c>
      <c r="D838" s="34" t="s">
        <v>960</v>
      </c>
      <c r="E838" s="36">
        <v>0</v>
      </c>
      <c r="F838" s="36">
        <f t="shared" si="121"/>
        <v>0</v>
      </c>
      <c r="G838" s="36">
        <v>214641</v>
      </c>
      <c r="H838" s="36">
        <f t="shared" si="122"/>
        <v>214641</v>
      </c>
      <c r="I838" s="36">
        <v>0</v>
      </c>
      <c r="J838" s="36">
        <f t="shared" si="123"/>
        <v>0</v>
      </c>
      <c r="K838" s="36">
        <f t="shared" si="120"/>
        <v>214641</v>
      </c>
      <c r="L838" s="36">
        <f t="shared" si="120"/>
        <v>214641</v>
      </c>
      <c r="M838" s="37"/>
      <c r="N838" s="253"/>
      <c r="O838" s="38"/>
    </row>
    <row r="839" spans="1:15" s="29" customFormat="1" ht="24.95" customHeight="1">
      <c r="A839" s="31" t="s">
        <v>1619</v>
      </c>
      <c r="B839" s="32" t="s">
        <v>1617</v>
      </c>
      <c r="C839" s="33">
        <v>2</v>
      </c>
      <c r="D839" s="34" t="s">
        <v>960</v>
      </c>
      <c r="E839" s="36">
        <v>0</v>
      </c>
      <c r="F839" s="36">
        <f t="shared" si="121"/>
        <v>0</v>
      </c>
      <c r="G839" s="36">
        <v>234852</v>
      </c>
      <c r="H839" s="36">
        <f t="shared" si="122"/>
        <v>469704</v>
      </c>
      <c r="I839" s="36">
        <v>0</v>
      </c>
      <c r="J839" s="36">
        <f t="shared" si="123"/>
        <v>0</v>
      </c>
      <c r="K839" s="36">
        <f t="shared" si="120"/>
        <v>234852</v>
      </c>
      <c r="L839" s="36">
        <f t="shared" si="120"/>
        <v>469704</v>
      </c>
      <c r="M839" s="37"/>
      <c r="N839" s="253"/>
      <c r="O839" s="38"/>
    </row>
    <row r="840" spans="1:15" s="29" customFormat="1" ht="24.95" customHeight="1">
      <c r="A840" s="31" t="s">
        <v>1620</v>
      </c>
      <c r="B840" s="32" t="s">
        <v>1621</v>
      </c>
      <c r="C840" s="33">
        <v>1</v>
      </c>
      <c r="D840" s="34" t="s">
        <v>960</v>
      </c>
      <c r="E840" s="36">
        <v>0</v>
      </c>
      <c r="F840" s="36">
        <f t="shared" si="121"/>
        <v>0</v>
      </c>
      <c r="G840" s="36">
        <v>273373</v>
      </c>
      <c r="H840" s="36">
        <f t="shared" si="122"/>
        <v>273373</v>
      </c>
      <c r="I840" s="36">
        <v>0</v>
      </c>
      <c r="J840" s="36">
        <f t="shared" si="123"/>
        <v>0</v>
      </c>
      <c r="K840" s="36">
        <f t="shared" si="120"/>
        <v>273373</v>
      </c>
      <c r="L840" s="36">
        <f t="shared" si="120"/>
        <v>273373</v>
      </c>
      <c r="M840" s="37"/>
      <c r="N840" s="253"/>
      <c r="O840" s="38"/>
    </row>
    <row r="841" spans="1:15" s="29" customFormat="1" ht="24.95" customHeight="1">
      <c r="A841" s="31" t="s">
        <v>1622</v>
      </c>
      <c r="B841" s="32" t="s">
        <v>1623</v>
      </c>
      <c r="C841" s="33">
        <v>14</v>
      </c>
      <c r="D841" s="34" t="s">
        <v>960</v>
      </c>
      <c r="E841" s="36">
        <v>0</v>
      </c>
      <c r="F841" s="36">
        <f t="shared" si="121"/>
        <v>0</v>
      </c>
      <c r="G841" s="36">
        <v>234852</v>
      </c>
      <c r="H841" s="36">
        <f t="shared" si="122"/>
        <v>3287928</v>
      </c>
      <c r="I841" s="36">
        <v>0</v>
      </c>
      <c r="J841" s="36">
        <f t="shared" si="123"/>
        <v>0</v>
      </c>
      <c r="K841" s="36">
        <f t="shared" si="120"/>
        <v>234852</v>
      </c>
      <c r="L841" s="36">
        <f t="shared" si="120"/>
        <v>3287928</v>
      </c>
      <c r="M841" s="37"/>
      <c r="N841" s="253"/>
      <c r="O841" s="38"/>
    </row>
    <row r="842" spans="1:15" s="29" customFormat="1" ht="24.95" customHeight="1">
      <c r="A842" s="31" t="s">
        <v>1624</v>
      </c>
      <c r="B842" s="32" t="s">
        <v>1623</v>
      </c>
      <c r="C842" s="33">
        <v>10</v>
      </c>
      <c r="D842" s="34" t="s">
        <v>960</v>
      </c>
      <c r="E842" s="36">
        <v>0</v>
      </c>
      <c r="F842" s="36">
        <f t="shared" si="121"/>
        <v>0</v>
      </c>
      <c r="G842" s="36">
        <v>267858</v>
      </c>
      <c r="H842" s="36">
        <f t="shared" si="122"/>
        <v>2678580</v>
      </c>
      <c r="I842" s="36">
        <v>0</v>
      </c>
      <c r="J842" s="36">
        <f t="shared" si="123"/>
        <v>0</v>
      </c>
      <c r="K842" s="36">
        <f t="shared" si="120"/>
        <v>267858</v>
      </c>
      <c r="L842" s="36">
        <f t="shared" si="120"/>
        <v>2678580</v>
      </c>
      <c r="M842" s="37"/>
      <c r="N842" s="253"/>
      <c r="O842" s="38"/>
    </row>
    <row r="843" spans="1:15" s="29" customFormat="1" ht="24.95" customHeight="1">
      <c r="A843" s="31" t="s">
        <v>1625</v>
      </c>
      <c r="B843" s="32" t="s">
        <v>1623</v>
      </c>
      <c r="C843" s="33">
        <v>2</v>
      </c>
      <c r="D843" s="34" t="s">
        <v>960</v>
      </c>
      <c r="E843" s="36">
        <v>0</v>
      </c>
      <c r="F843" s="36">
        <f t="shared" si="121"/>
        <v>0</v>
      </c>
      <c r="G843" s="36">
        <v>324732</v>
      </c>
      <c r="H843" s="36">
        <f t="shared" si="122"/>
        <v>649464</v>
      </c>
      <c r="I843" s="36">
        <v>0</v>
      </c>
      <c r="J843" s="36">
        <f t="shared" si="123"/>
        <v>0</v>
      </c>
      <c r="K843" s="36">
        <f t="shared" si="120"/>
        <v>324732</v>
      </c>
      <c r="L843" s="36">
        <f t="shared" si="120"/>
        <v>649464</v>
      </c>
      <c r="M843" s="37"/>
      <c r="N843" s="253"/>
      <c r="O843" s="38"/>
    </row>
    <row r="844" spans="1:15" s="29" customFormat="1" ht="24.95" customHeight="1">
      <c r="A844" s="31" t="s">
        <v>1626</v>
      </c>
      <c r="B844" s="32" t="s">
        <v>1617</v>
      </c>
      <c r="C844" s="33">
        <v>2</v>
      </c>
      <c r="D844" s="34" t="s">
        <v>960</v>
      </c>
      <c r="E844" s="36">
        <v>0</v>
      </c>
      <c r="F844" s="36">
        <f t="shared" si="121"/>
        <v>0</v>
      </c>
      <c r="G844" s="36">
        <v>186258</v>
      </c>
      <c r="H844" s="36">
        <f t="shared" si="122"/>
        <v>372516</v>
      </c>
      <c r="I844" s="36">
        <v>0</v>
      </c>
      <c r="J844" s="36">
        <f t="shared" si="123"/>
        <v>0</v>
      </c>
      <c r="K844" s="36">
        <f t="shared" si="120"/>
        <v>186258</v>
      </c>
      <c r="L844" s="36">
        <f t="shared" si="120"/>
        <v>372516</v>
      </c>
      <c r="M844" s="37"/>
      <c r="N844" s="253"/>
      <c r="O844" s="38"/>
    </row>
    <row r="845" spans="1:15" s="29" customFormat="1" ht="24.95" customHeight="1">
      <c r="A845" s="31" t="s">
        <v>1627</v>
      </c>
      <c r="B845" s="32" t="s">
        <v>1617</v>
      </c>
      <c r="C845" s="33">
        <v>1</v>
      </c>
      <c r="D845" s="34" t="s">
        <v>960</v>
      </c>
      <c r="E845" s="36">
        <v>0</v>
      </c>
      <c r="F845" s="36">
        <f t="shared" si="121"/>
        <v>0</v>
      </c>
      <c r="G845" s="36">
        <v>150445</v>
      </c>
      <c r="H845" s="36">
        <f t="shared" si="122"/>
        <v>150445</v>
      </c>
      <c r="I845" s="36">
        <v>0</v>
      </c>
      <c r="J845" s="36">
        <f t="shared" si="123"/>
        <v>0</v>
      </c>
      <c r="K845" s="36">
        <f t="shared" si="120"/>
        <v>150445</v>
      </c>
      <c r="L845" s="36">
        <f t="shared" si="120"/>
        <v>150445</v>
      </c>
      <c r="M845" s="37"/>
      <c r="N845" s="253"/>
      <c r="O845" s="38"/>
    </row>
    <row r="846" spans="1:15" s="92" customFormat="1" ht="24.95" customHeight="1">
      <c r="A846" s="86" t="s">
        <v>1628</v>
      </c>
      <c r="B846" s="87" t="s">
        <v>22</v>
      </c>
      <c r="C846" s="88"/>
      <c r="D846" s="89" t="s">
        <v>22</v>
      </c>
      <c r="E846" s="89"/>
      <c r="F846" s="90">
        <f>TRUNC(F847+F848+F849+F850+F851+F852+F853+F854+F855,0)</f>
        <v>0</v>
      </c>
      <c r="G846" s="89"/>
      <c r="H846" s="90">
        <f>TRUNC(H847+H848+H849+H850+H851+H852+H853+H854+H855,0)</f>
        <v>5705715</v>
      </c>
      <c r="I846" s="89"/>
      <c r="J846" s="90">
        <f>TRUNC(J847+J848+J849+J850+J851+J852+J853+J854+J855,0)</f>
        <v>0</v>
      </c>
      <c r="K846" s="90">
        <f t="shared" si="120"/>
        <v>0</v>
      </c>
      <c r="L846" s="90">
        <f t="shared" si="120"/>
        <v>5705715</v>
      </c>
      <c r="M846" s="91"/>
      <c r="N846" s="259"/>
    </row>
    <row r="847" spans="1:15" s="29" customFormat="1" ht="24.95" customHeight="1">
      <c r="A847" s="31" t="s">
        <v>1629</v>
      </c>
      <c r="B847" s="32" t="s">
        <v>1630</v>
      </c>
      <c r="C847" s="33">
        <v>2</v>
      </c>
      <c r="D847" s="34" t="s">
        <v>960</v>
      </c>
      <c r="E847" s="36">
        <v>0</v>
      </c>
      <c r="F847" s="36">
        <f t="shared" ref="F847:F855" si="124">TRUNC(E847*$C847,0)</f>
        <v>0</v>
      </c>
      <c r="G847" s="36">
        <v>181635</v>
      </c>
      <c r="H847" s="36">
        <f t="shared" ref="H847:H855" si="125">TRUNC(G847*$C847,0)</f>
        <v>363270</v>
      </c>
      <c r="I847" s="36">
        <v>0</v>
      </c>
      <c r="J847" s="36">
        <f t="shared" ref="J847:J855" si="126">TRUNC(I847*$C847,0)</f>
        <v>0</v>
      </c>
      <c r="K847" s="36">
        <f t="shared" si="120"/>
        <v>181635</v>
      </c>
      <c r="L847" s="36">
        <f t="shared" si="120"/>
        <v>363270</v>
      </c>
      <c r="M847" s="37"/>
      <c r="N847" s="253"/>
      <c r="O847" s="38"/>
    </row>
    <row r="848" spans="1:15" s="29" customFormat="1" ht="24.95" customHeight="1">
      <c r="A848" s="31" t="s">
        <v>1614</v>
      </c>
      <c r="B848" s="32" t="s">
        <v>1631</v>
      </c>
      <c r="C848" s="33">
        <v>1</v>
      </c>
      <c r="D848" s="34" t="s">
        <v>960</v>
      </c>
      <c r="E848" s="36">
        <v>0</v>
      </c>
      <c r="F848" s="36">
        <f t="shared" si="124"/>
        <v>0</v>
      </c>
      <c r="G848" s="36">
        <v>258686</v>
      </c>
      <c r="H848" s="36">
        <f t="shared" si="125"/>
        <v>258686</v>
      </c>
      <c r="I848" s="36">
        <v>0</v>
      </c>
      <c r="J848" s="36">
        <f t="shared" si="126"/>
        <v>0</v>
      </c>
      <c r="K848" s="36">
        <f t="shared" si="120"/>
        <v>258686</v>
      </c>
      <c r="L848" s="36">
        <f t="shared" si="120"/>
        <v>258686</v>
      </c>
      <c r="M848" s="37"/>
      <c r="N848" s="253"/>
      <c r="O848" s="38"/>
    </row>
    <row r="849" spans="1:15" s="29" customFormat="1" ht="24.95" customHeight="1">
      <c r="A849" s="31" t="s">
        <v>1632</v>
      </c>
      <c r="B849" s="32" t="s">
        <v>1630</v>
      </c>
      <c r="C849" s="33">
        <v>7</v>
      </c>
      <c r="D849" s="34" t="s">
        <v>960</v>
      </c>
      <c r="E849" s="36">
        <v>0</v>
      </c>
      <c r="F849" s="36">
        <f t="shared" si="124"/>
        <v>0</v>
      </c>
      <c r="G849" s="36">
        <v>181635</v>
      </c>
      <c r="H849" s="36">
        <f t="shared" si="125"/>
        <v>1271445</v>
      </c>
      <c r="I849" s="36">
        <v>0</v>
      </c>
      <c r="J849" s="36">
        <f t="shared" si="126"/>
        <v>0</v>
      </c>
      <c r="K849" s="36">
        <f t="shared" si="120"/>
        <v>181635</v>
      </c>
      <c r="L849" s="36">
        <f t="shared" si="120"/>
        <v>1271445</v>
      </c>
      <c r="M849" s="37"/>
      <c r="N849" s="253"/>
      <c r="O849" s="38"/>
    </row>
    <row r="850" spans="1:15" s="29" customFormat="1" ht="24.95" customHeight="1">
      <c r="A850" s="31" t="s">
        <v>1616</v>
      </c>
      <c r="B850" s="32" t="s">
        <v>1320</v>
      </c>
      <c r="C850" s="33">
        <v>17</v>
      </c>
      <c r="D850" s="34" t="s">
        <v>960</v>
      </c>
      <c r="E850" s="36">
        <v>0</v>
      </c>
      <c r="F850" s="36">
        <f t="shared" si="124"/>
        <v>0</v>
      </c>
      <c r="G850" s="36">
        <v>117413</v>
      </c>
      <c r="H850" s="36">
        <f t="shared" si="125"/>
        <v>1996021</v>
      </c>
      <c r="I850" s="36">
        <v>0</v>
      </c>
      <c r="J850" s="36">
        <f t="shared" si="126"/>
        <v>0</v>
      </c>
      <c r="K850" s="36">
        <f t="shared" si="120"/>
        <v>117413</v>
      </c>
      <c r="L850" s="36">
        <f t="shared" si="120"/>
        <v>1996021</v>
      </c>
      <c r="M850" s="37"/>
      <c r="N850" s="253"/>
      <c r="O850" s="38"/>
    </row>
    <row r="851" spans="1:15" s="29" customFormat="1" ht="24.95" customHeight="1">
      <c r="A851" s="31" t="s">
        <v>1618</v>
      </c>
      <c r="B851" s="32" t="s">
        <v>1320</v>
      </c>
      <c r="C851" s="33">
        <v>1</v>
      </c>
      <c r="D851" s="34" t="s">
        <v>960</v>
      </c>
      <c r="E851" s="36">
        <v>0</v>
      </c>
      <c r="F851" s="36">
        <f t="shared" si="124"/>
        <v>0</v>
      </c>
      <c r="G851" s="36">
        <v>111915</v>
      </c>
      <c r="H851" s="36">
        <f t="shared" si="125"/>
        <v>111915</v>
      </c>
      <c r="I851" s="36">
        <v>0</v>
      </c>
      <c r="J851" s="36">
        <f t="shared" si="126"/>
        <v>0</v>
      </c>
      <c r="K851" s="36">
        <f t="shared" si="120"/>
        <v>111915</v>
      </c>
      <c r="L851" s="36">
        <f t="shared" si="120"/>
        <v>111915</v>
      </c>
      <c r="M851" s="37"/>
      <c r="N851" s="253"/>
      <c r="O851" s="38"/>
    </row>
    <row r="852" spans="1:15" s="29" customFormat="1" ht="24.95" customHeight="1">
      <c r="A852" s="31" t="s">
        <v>1619</v>
      </c>
      <c r="B852" s="32" t="s">
        <v>1320</v>
      </c>
      <c r="C852" s="33">
        <v>7</v>
      </c>
      <c r="D852" s="34" t="s">
        <v>960</v>
      </c>
      <c r="E852" s="36">
        <v>0</v>
      </c>
      <c r="F852" s="36">
        <f t="shared" si="124"/>
        <v>0</v>
      </c>
      <c r="G852" s="36">
        <v>115580</v>
      </c>
      <c r="H852" s="36">
        <f t="shared" si="125"/>
        <v>809060</v>
      </c>
      <c r="I852" s="36">
        <v>0</v>
      </c>
      <c r="J852" s="36">
        <f t="shared" si="126"/>
        <v>0</v>
      </c>
      <c r="K852" s="36">
        <f t="shared" ref="K852:L915" si="127">G852+E852+I852</f>
        <v>115580</v>
      </c>
      <c r="L852" s="36">
        <f t="shared" si="127"/>
        <v>809060</v>
      </c>
      <c r="M852" s="37"/>
      <c r="N852" s="253"/>
      <c r="O852" s="38"/>
    </row>
    <row r="853" spans="1:15" s="29" customFormat="1" ht="24.95" customHeight="1">
      <c r="A853" s="31" t="s">
        <v>1620</v>
      </c>
      <c r="B853" s="32" t="s">
        <v>1633</v>
      </c>
      <c r="C853" s="33">
        <v>2</v>
      </c>
      <c r="D853" s="34" t="s">
        <v>960</v>
      </c>
      <c r="E853" s="36">
        <v>0</v>
      </c>
      <c r="F853" s="36">
        <f t="shared" si="124"/>
        <v>0</v>
      </c>
      <c r="G853" s="36">
        <v>102734</v>
      </c>
      <c r="H853" s="36">
        <f t="shared" si="125"/>
        <v>205468</v>
      </c>
      <c r="I853" s="36">
        <v>0</v>
      </c>
      <c r="J853" s="36">
        <f t="shared" si="126"/>
        <v>0</v>
      </c>
      <c r="K853" s="36">
        <f t="shared" si="127"/>
        <v>102734</v>
      </c>
      <c r="L853" s="36">
        <f t="shared" si="127"/>
        <v>205468</v>
      </c>
      <c r="M853" s="37"/>
      <c r="N853" s="253"/>
      <c r="O853" s="38"/>
    </row>
    <row r="854" spans="1:15" s="29" customFormat="1" ht="24.95" customHeight="1">
      <c r="A854" s="31" t="s">
        <v>1620</v>
      </c>
      <c r="B854" s="32" t="s">
        <v>1633</v>
      </c>
      <c r="C854" s="33">
        <v>1</v>
      </c>
      <c r="D854" s="34" t="s">
        <v>960</v>
      </c>
      <c r="E854" s="36">
        <v>0</v>
      </c>
      <c r="F854" s="36">
        <f t="shared" si="124"/>
        <v>0</v>
      </c>
      <c r="G854" s="36">
        <v>102734</v>
      </c>
      <c r="H854" s="36">
        <f t="shared" si="125"/>
        <v>102734</v>
      </c>
      <c r="I854" s="36">
        <v>0</v>
      </c>
      <c r="J854" s="36">
        <f t="shared" si="126"/>
        <v>0</v>
      </c>
      <c r="K854" s="36">
        <f t="shared" si="127"/>
        <v>102734</v>
      </c>
      <c r="L854" s="36">
        <f t="shared" si="127"/>
        <v>102734</v>
      </c>
      <c r="M854" s="37"/>
      <c r="N854" s="253"/>
      <c r="O854" s="38"/>
    </row>
    <row r="855" spans="1:15" s="29" customFormat="1" ht="24.95" customHeight="1">
      <c r="A855" s="31" t="s">
        <v>1625</v>
      </c>
      <c r="B855" s="32" t="s">
        <v>1634</v>
      </c>
      <c r="C855" s="33">
        <v>4</v>
      </c>
      <c r="D855" s="34" t="s">
        <v>960</v>
      </c>
      <c r="E855" s="36">
        <v>0</v>
      </c>
      <c r="F855" s="36">
        <f t="shared" si="124"/>
        <v>0</v>
      </c>
      <c r="G855" s="36">
        <v>146779</v>
      </c>
      <c r="H855" s="36">
        <f t="shared" si="125"/>
        <v>587116</v>
      </c>
      <c r="I855" s="36">
        <v>0</v>
      </c>
      <c r="J855" s="36">
        <f t="shared" si="126"/>
        <v>0</v>
      </c>
      <c r="K855" s="36">
        <f t="shared" si="127"/>
        <v>146779</v>
      </c>
      <c r="L855" s="36">
        <f t="shared" si="127"/>
        <v>587116</v>
      </c>
      <c r="M855" s="37"/>
      <c r="N855" s="253"/>
      <c r="O855" s="38"/>
    </row>
    <row r="856" spans="1:15" s="92" customFormat="1" ht="24.95" customHeight="1">
      <c r="A856" s="86" t="s">
        <v>1635</v>
      </c>
      <c r="B856" s="87" t="s">
        <v>22</v>
      </c>
      <c r="C856" s="88"/>
      <c r="D856" s="89" t="s">
        <v>22</v>
      </c>
      <c r="E856" s="89"/>
      <c r="F856" s="90">
        <f>TRUNC(F857+F858+F859+F860+F861+F862+F863+F864+F865+F866,0)</f>
        <v>0</v>
      </c>
      <c r="G856" s="89"/>
      <c r="H856" s="90">
        <f>TRUNC(H857+H858+H859+H860+H861+H862+H863+H864+H865+H866,0)</f>
        <v>11139943</v>
      </c>
      <c r="I856" s="89"/>
      <c r="J856" s="90">
        <f>TRUNC(J857+J858+J859+J860+J861+J862+J863+J864+J865+J866,0)</f>
        <v>0</v>
      </c>
      <c r="K856" s="90">
        <f t="shared" si="127"/>
        <v>0</v>
      </c>
      <c r="L856" s="90">
        <f t="shared" si="127"/>
        <v>11139943</v>
      </c>
      <c r="M856" s="91"/>
      <c r="N856" s="259"/>
    </row>
    <row r="857" spans="1:15" s="29" customFormat="1" ht="24.95" customHeight="1">
      <c r="A857" s="31" t="s">
        <v>1632</v>
      </c>
      <c r="B857" s="32" t="s">
        <v>1636</v>
      </c>
      <c r="C857" s="33">
        <v>6</v>
      </c>
      <c r="D857" s="34" t="s">
        <v>960</v>
      </c>
      <c r="E857" s="36">
        <v>0</v>
      </c>
      <c r="F857" s="36">
        <f t="shared" ref="F857:F866" si="128">TRUNC(E857*$C857,0)</f>
        <v>0</v>
      </c>
      <c r="G857" s="36">
        <v>141264</v>
      </c>
      <c r="H857" s="36">
        <f t="shared" ref="H857:H866" si="129">TRUNC(G857*$C857,0)</f>
        <v>847584</v>
      </c>
      <c r="I857" s="36">
        <v>0</v>
      </c>
      <c r="J857" s="36">
        <f t="shared" ref="J857:J866" si="130">TRUNC(I857*$C857,0)</f>
        <v>0</v>
      </c>
      <c r="K857" s="36">
        <f t="shared" si="127"/>
        <v>141264</v>
      </c>
      <c r="L857" s="36">
        <f t="shared" si="127"/>
        <v>847584</v>
      </c>
      <c r="M857" s="37"/>
      <c r="N857" s="253"/>
      <c r="O857" s="38"/>
    </row>
    <row r="858" spans="1:15" s="29" customFormat="1" ht="24.95" customHeight="1">
      <c r="A858" s="31" t="s">
        <v>1614</v>
      </c>
      <c r="B858" s="32" t="s">
        <v>1636</v>
      </c>
      <c r="C858" s="33">
        <v>2</v>
      </c>
      <c r="D858" s="34" t="s">
        <v>960</v>
      </c>
      <c r="E858" s="36">
        <v>0</v>
      </c>
      <c r="F858" s="36">
        <f t="shared" si="128"/>
        <v>0</v>
      </c>
      <c r="G858" s="36">
        <v>141264</v>
      </c>
      <c r="H858" s="36">
        <f t="shared" si="129"/>
        <v>282528</v>
      </c>
      <c r="I858" s="36">
        <v>0</v>
      </c>
      <c r="J858" s="36">
        <f t="shared" si="130"/>
        <v>0</v>
      </c>
      <c r="K858" s="36">
        <f t="shared" si="127"/>
        <v>141264</v>
      </c>
      <c r="L858" s="36">
        <f t="shared" si="127"/>
        <v>282528</v>
      </c>
      <c r="M858" s="37"/>
      <c r="N858" s="253"/>
      <c r="O858" s="38"/>
    </row>
    <row r="859" spans="1:15" s="29" customFormat="1" ht="24.95" customHeight="1">
      <c r="A859" s="31" t="s">
        <v>1614</v>
      </c>
      <c r="B859" s="32" t="s">
        <v>1637</v>
      </c>
      <c r="C859" s="33">
        <v>13</v>
      </c>
      <c r="D859" s="34" t="s">
        <v>960</v>
      </c>
      <c r="E859" s="36">
        <v>0</v>
      </c>
      <c r="F859" s="36">
        <f t="shared" si="128"/>
        <v>0</v>
      </c>
      <c r="G859" s="36">
        <v>133933</v>
      </c>
      <c r="H859" s="36">
        <f t="shared" si="129"/>
        <v>1741129</v>
      </c>
      <c r="I859" s="36">
        <v>0</v>
      </c>
      <c r="J859" s="36">
        <f t="shared" si="130"/>
        <v>0</v>
      </c>
      <c r="K859" s="36">
        <f t="shared" si="127"/>
        <v>133933</v>
      </c>
      <c r="L859" s="36">
        <f t="shared" si="127"/>
        <v>1741129</v>
      </c>
      <c r="M859" s="37"/>
      <c r="N859" s="253"/>
      <c r="O859" s="38"/>
    </row>
    <row r="860" spans="1:15" s="29" customFormat="1" ht="24.95" customHeight="1">
      <c r="A860" s="31" t="s">
        <v>1616</v>
      </c>
      <c r="B860" s="32" t="s">
        <v>1319</v>
      </c>
      <c r="C860" s="33">
        <v>48</v>
      </c>
      <c r="D860" s="34" t="s">
        <v>960</v>
      </c>
      <c r="E860" s="36">
        <v>0</v>
      </c>
      <c r="F860" s="36">
        <f t="shared" si="128"/>
        <v>0</v>
      </c>
      <c r="G860" s="36">
        <v>86231</v>
      </c>
      <c r="H860" s="36">
        <f t="shared" si="129"/>
        <v>4139088</v>
      </c>
      <c r="I860" s="36">
        <v>0</v>
      </c>
      <c r="J860" s="36">
        <f t="shared" si="130"/>
        <v>0</v>
      </c>
      <c r="K860" s="36">
        <f t="shared" si="127"/>
        <v>86231</v>
      </c>
      <c r="L860" s="36">
        <f t="shared" si="127"/>
        <v>4139088</v>
      </c>
      <c r="M860" s="37"/>
      <c r="N860" s="253"/>
      <c r="O860" s="38"/>
    </row>
    <row r="861" spans="1:15" s="29" customFormat="1" ht="24.95" customHeight="1">
      <c r="A861" s="31" t="s">
        <v>1618</v>
      </c>
      <c r="B861" s="32" t="s">
        <v>1319</v>
      </c>
      <c r="C861" s="33">
        <v>2</v>
      </c>
      <c r="D861" s="34" t="s">
        <v>960</v>
      </c>
      <c r="E861" s="36">
        <v>0</v>
      </c>
      <c r="F861" s="36">
        <f t="shared" si="128"/>
        <v>0</v>
      </c>
      <c r="G861" s="36">
        <v>82557</v>
      </c>
      <c r="H861" s="36">
        <f t="shared" si="129"/>
        <v>165114</v>
      </c>
      <c r="I861" s="36">
        <v>0</v>
      </c>
      <c r="J861" s="36">
        <f t="shared" si="130"/>
        <v>0</v>
      </c>
      <c r="K861" s="36">
        <f t="shared" si="127"/>
        <v>82557</v>
      </c>
      <c r="L861" s="36">
        <f t="shared" si="127"/>
        <v>165114</v>
      </c>
      <c r="M861" s="37"/>
      <c r="N861" s="253"/>
      <c r="O861" s="38"/>
    </row>
    <row r="862" spans="1:15" s="29" customFormat="1" ht="24.95" customHeight="1">
      <c r="A862" s="31" t="s">
        <v>1619</v>
      </c>
      <c r="B862" s="32" t="s">
        <v>1319</v>
      </c>
      <c r="C862" s="33">
        <v>12</v>
      </c>
      <c r="D862" s="34" t="s">
        <v>960</v>
      </c>
      <c r="E862" s="36">
        <v>0</v>
      </c>
      <c r="F862" s="36">
        <f t="shared" si="128"/>
        <v>0</v>
      </c>
      <c r="G862" s="36">
        <v>82557</v>
      </c>
      <c r="H862" s="36">
        <f t="shared" si="129"/>
        <v>990684</v>
      </c>
      <c r="I862" s="36">
        <v>0</v>
      </c>
      <c r="J862" s="36">
        <f t="shared" si="130"/>
        <v>0</v>
      </c>
      <c r="K862" s="36">
        <f t="shared" si="127"/>
        <v>82557</v>
      </c>
      <c r="L862" s="36">
        <f t="shared" si="127"/>
        <v>990684</v>
      </c>
      <c r="M862" s="37"/>
      <c r="N862" s="253"/>
      <c r="O862" s="38"/>
    </row>
    <row r="863" spans="1:15" s="29" customFormat="1" ht="24.95" customHeight="1">
      <c r="A863" s="31" t="s">
        <v>1620</v>
      </c>
      <c r="B863" s="32" t="s">
        <v>1638</v>
      </c>
      <c r="C863" s="33">
        <v>7</v>
      </c>
      <c r="D863" s="34" t="s">
        <v>960</v>
      </c>
      <c r="E863" s="36">
        <v>0</v>
      </c>
      <c r="F863" s="36">
        <f t="shared" si="128"/>
        <v>0</v>
      </c>
      <c r="G863" s="36">
        <v>75218</v>
      </c>
      <c r="H863" s="36">
        <f t="shared" si="129"/>
        <v>526526</v>
      </c>
      <c r="I863" s="36">
        <v>0</v>
      </c>
      <c r="J863" s="36">
        <f t="shared" si="130"/>
        <v>0</v>
      </c>
      <c r="K863" s="36">
        <f t="shared" si="127"/>
        <v>75218</v>
      </c>
      <c r="L863" s="36">
        <f t="shared" si="127"/>
        <v>526526</v>
      </c>
      <c r="M863" s="37"/>
      <c r="N863" s="253"/>
      <c r="O863" s="38"/>
    </row>
    <row r="864" spans="1:15" s="29" customFormat="1" ht="24.95" customHeight="1">
      <c r="A864" s="31" t="s">
        <v>1620</v>
      </c>
      <c r="B864" s="32" t="s">
        <v>1636</v>
      </c>
      <c r="C864" s="33">
        <v>4</v>
      </c>
      <c r="D864" s="34" t="s">
        <v>960</v>
      </c>
      <c r="E864" s="36">
        <v>0</v>
      </c>
      <c r="F864" s="36">
        <f t="shared" si="128"/>
        <v>0</v>
      </c>
      <c r="G864" s="36">
        <v>75218</v>
      </c>
      <c r="H864" s="36">
        <f t="shared" si="129"/>
        <v>300872</v>
      </c>
      <c r="I864" s="36">
        <v>0</v>
      </c>
      <c r="J864" s="36">
        <f t="shared" si="130"/>
        <v>0</v>
      </c>
      <c r="K864" s="36">
        <f t="shared" si="127"/>
        <v>75218</v>
      </c>
      <c r="L864" s="36">
        <f t="shared" si="127"/>
        <v>300872</v>
      </c>
      <c r="M864" s="37"/>
      <c r="N864" s="253"/>
      <c r="O864" s="38"/>
    </row>
    <row r="865" spans="1:15" s="29" customFormat="1" ht="24.95" customHeight="1">
      <c r="A865" s="31" t="s">
        <v>1624</v>
      </c>
      <c r="B865" s="32" t="s">
        <v>1639</v>
      </c>
      <c r="C865" s="33">
        <v>1</v>
      </c>
      <c r="D865" s="34" t="s">
        <v>960</v>
      </c>
      <c r="E865" s="36">
        <v>0</v>
      </c>
      <c r="F865" s="36">
        <f t="shared" si="128"/>
        <v>0</v>
      </c>
      <c r="G865" s="36">
        <v>91738</v>
      </c>
      <c r="H865" s="36">
        <f t="shared" si="129"/>
        <v>91738</v>
      </c>
      <c r="I865" s="36">
        <v>0</v>
      </c>
      <c r="J865" s="36">
        <f t="shared" si="130"/>
        <v>0</v>
      </c>
      <c r="K865" s="36">
        <f t="shared" si="127"/>
        <v>91738</v>
      </c>
      <c r="L865" s="36">
        <f t="shared" si="127"/>
        <v>91738</v>
      </c>
      <c r="M865" s="37"/>
      <c r="N865" s="253"/>
      <c r="O865" s="38"/>
    </row>
    <row r="866" spans="1:15" s="29" customFormat="1" ht="24.95" customHeight="1">
      <c r="A866" s="31" t="s">
        <v>1625</v>
      </c>
      <c r="B866" s="32" t="s">
        <v>1639</v>
      </c>
      <c r="C866" s="33">
        <v>20</v>
      </c>
      <c r="D866" s="34" t="s">
        <v>960</v>
      </c>
      <c r="E866" s="36">
        <v>0</v>
      </c>
      <c r="F866" s="36">
        <f t="shared" si="128"/>
        <v>0</v>
      </c>
      <c r="G866" s="36">
        <v>102734</v>
      </c>
      <c r="H866" s="36">
        <f t="shared" si="129"/>
        <v>2054680</v>
      </c>
      <c r="I866" s="36">
        <v>0</v>
      </c>
      <c r="J866" s="36">
        <f t="shared" si="130"/>
        <v>0</v>
      </c>
      <c r="K866" s="36">
        <f t="shared" si="127"/>
        <v>102734</v>
      </c>
      <c r="L866" s="36">
        <f t="shared" si="127"/>
        <v>2054680</v>
      </c>
      <c r="M866" s="37"/>
      <c r="N866" s="253"/>
      <c r="O866" s="38"/>
    </row>
    <row r="867" spans="1:15" s="92" customFormat="1" ht="24.95" customHeight="1">
      <c r="A867" s="86" t="s">
        <v>1640</v>
      </c>
      <c r="B867" s="87" t="s">
        <v>22</v>
      </c>
      <c r="C867" s="88"/>
      <c r="D867" s="89" t="s">
        <v>22</v>
      </c>
      <c r="E867" s="89"/>
      <c r="F867" s="90">
        <f>TRUNC(F868+F869+F870+F871+F872+F873+F874+F875+F876+F877+F878+F879+F880,0)</f>
        <v>0</v>
      </c>
      <c r="G867" s="89"/>
      <c r="H867" s="90">
        <f>TRUNC(H868+H869+H870+H871+H872+H873+H874+H875+H876+H877+H878+H879+H880,0)</f>
        <v>22994684</v>
      </c>
      <c r="I867" s="89"/>
      <c r="J867" s="90">
        <f>TRUNC(J868+J869+J870+J871+J872+J873+J874+J875+J876+J877+J878+J879+J880,0)</f>
        <v>0</v>
      </c>
      <c r="K867" s="90">
        <f t="shared" si="127"/>
        <v>0</v>
      </c>
      <c r="L867" s="90">
        <f t="shared" si="127"/>
        <v>22994684</v>
      </c>
      <c r="M867" s="91"/>
      <c r="N867" s="259"/>
    </row>
    <row r="868" spans="1:15" s="29" customFormat="1" ht="24.95" customHeight="1">
      <c r="A868" s="31" t="s">
        <v>1629</v>
      </c>
      <c r="B868" s="32" t="s">
        <v>1641</v>
      </c>
      <c r="C868" s="33">
        <v>19</v>
      </c>
      <c r="D868" s="34" t="s">
        <v>960</v>
      </c>
      <c r="E868" s="36">
        <v>0</v>
      </c>
      <c r="F868" s="36">
        <f t="shared" ref="F868:F880" si="131">TRUNC(E868*$C868,0)</f>
        <v>0</v>
      </c>
      <c r="G868" s="36">
        <v>106417</v>
      </c>
      <c r="H868" s="36">
        <f t="shared" ref="H868:H880" si="132">TRUNC(G868*$C868,0)</f>
        <v>2021923</v>
      </c>
      <c r="I868" s="36">
        <v>0</v>
      </c>
      <c r="J868" s="36">
        <f t="shared" ref="J868:J879" si="133">TRUNC(I868*$C868,0)</f>
        <v>0</v>
      </c>
      <c r="K868" s="36">
        <f t="shared" si="127"/>
        <v>106417</v>
      </c>
      <c r="L868" s="36">
        <f t="shared" si="127"/>
        <v>2021923</v>
      </c>
      <c r="M868" s="37"/>
      <c r="N868" s="253"/>
      <c r="O868" s="38"/>
    </row>
    <row r="869" spans="1:15" s="29" customFormat="1" ht="24.95" customHeight="1">
      <c r="A869" s="31" t="s">
        <v>1614</v>
      </c>
      <c r="B869" s="32" t="s">
        <v>1642</v>
      </c>
      <c r="C869" s="33">
        <v>5</v>
      </c>
      <c r="D869" s="34" t="s">
        <v>960</v>
      </c>
      <c r="E869" s="36">
        <v>0</v>
      </c>
      <c r="F869" s="36">
        <f t="shared" si="131"/>
        <v>0</v>
      </c>
      <c r="G869" s="36">
        <v>122920</v>
      </c>
      <c r="H869" s="36">
        <f t="shared" si="132"/>
        <v>614600</v>
      </c>
      <c r="I869" s="36">
        <v>0</v>
      </c>
      <c r="J869" s="36">
        <f t="shared" si="133"/>
        <v>0</v>
      </c>
      <c r="K869" s="36">
        <f t="shared" si="127"/>
        <v>122920</v>
      </c>
      <c r="L869" s="36">
        <f t="shared" si="127"/>
        <v>614600</v>
      </c>
      <c r="M869" s="37"/>
      <c r="N869" s="253"/>
      <c r="O869" s="38"/>
    </row>
    <row r="870" spans="1:15" s="29" customFormat="1" ht="24.95" customHeight="1">
      <c r="A870" s="31" t="s">
        <v>1614</v>
      </c>
      <c r="B870" s="32" t="s">
        <v>1641</v>
      </c>
      <c r="C870" s="33">
        <v>3</v>
      </c>
      <c r="D870" s="34" t="s">
        <v>960</v>
      </c>
      <c r="E870" s="36">
        <v>0</v>
      </c>
      <c r="F870" s="36">
        <f t="shared" si="131"/>
        <v>0</v>
      </c>
      <c r="G870" s="36">
        <v>106417</v>
      </c>
      <c r="H870" s="36">
        <f t="shared" si="132"/>
        <v>319251</v>
      </c>
      <c r="I870" s="36">
        <v>0</v>
      </c>
      <c r="J870" s="36">
        <f t="shared" si="133"/>
        <v>0</v>
      </c>
      <c r="K870" s="36">
        <f t="shared" si="127"/>
        <v>106417</v>
      </c>
      <c r="L870" s="36">
        <f t="shared" si="127"/>
        <v>319251</v>
      </c>
      <c r="M870" s="37"/>
      <c r="N870" s="253"/>
      <c r="O870" s="38"/>
    </row>
    <row r="871" spans="1:15" s="29" customFormat="1" ht="24.95" customHeight="1">
      <c r="A871" s="31" t="s">
        <v>1614</v>
      </c>
      <c r="B871" s="32" t="s">
        <v>1643</v>
      </c>
      <c r="C871" s="33">
        <v>52</v>
      </c>
      <c r="D871" s="34" t="s">
        <v>960</v>
      </c>
      <c r="E871" s="36">
        <v>0</v>
      </c>
      <c r="F871" s="36">
        <f t="shared" si="131"/>
        <v>0</v>
      </c>
      <c r="G871" s="36">
        <v>99069</v>
      </c>
      <c r="H871" s="36">
        <f t="shared" si="132"/>
        <v>5151588</v>
      </c>
      <c r="I871" s="36">
        <v>0</v>
      </c>
      <c r="J871" s="36">
        <f t="shared" si="133"/>
        <v>0</v>
      </c>
      <c r="K871" s="36">
        <f t="shared" si="127"/>
        <v>99069</v>
      </c>
      <c r="L871" s="36">
        <f t="shared" si="127"/>
        <v>5151588</v>
      </c>
      <c r="M871" s="37"/>
      <c r="N871" s="253"/>
      <c r="O871" s="38"/>
    </row>
    <row r="872" spans="1:15" s="29" customFormat="1" ht="24.95" customHeight="1">
      <c r="A872" s="31" t="s">
        <v>1616</v>
      </c>
      <c r="B872" s="32" t="s">
        <v>1644</v>
      </c>
      <c r="C872" s="33">
        <v>136</v>
      </c>
      <c r="D872" s="34" t="s">
        <v>960</v>
      </c>
      <c r="E872" s="36">
        <v>0</v>
      </c>
      <c r="F872" s="36">
        <f t="shared" si="131"/>
        <v>0</v>
      </c>
      <c r="G872" s="36">
        <v>63846</v>
      </c>
      <c r="H872" s="36">
        <f t="shared" si="132"/>
        <v>8683056</v>
      </c>
      <c r="I872" s="36">
        <v>0</v>
      </c>
      <c r="J872" s="36">
        <f t="shared" si="133"/>
        <v>0</v>
      </c>
      <c r="K872" s="36">
        <f t="shared" si="127"/>
        <v>63846</v>
      </c>
      <c r="L872" s="36">
        <f t="shared" si="127"/>
        <v>8683056</v>
      </c>
      <c r="M872" s="37"/>
      <c r="N872" s="253"/>
      <c r="O872" s="38"/>
    </row>
    <row r="873" spans="1:15" s="29" customFormat="1" ht="24.95" customHeight="1">
      <c r="A873" s="31" t="s">
        <v>1618</v>
      </c>
      <c r="B873" s="32" t="s">
        <v>1644</v>
      </c>
      <c r="C873" s="33">
        <v>6</v>
      </c>
      <c r="D873" s="34" t="s">
        <v>960</v>
      </c>
      <c r="E873" s="36">
        <v>0</v>
      </c>
      <c r="F873" s="36">
        <f t="shared" si="131"/>
        <v>0</v>
      </c>
      <c r="G873" s="36">
        <v>59081</v>
      </c>
      <c r="H873" s="36">
        <f t="shared" si="132"/>
        <v>354486</v>
      </c>
      <c r="I873" s="36">
        <v>0</v>
      </c>
      <c r="J873" s="36">
        <f t="shared" si="133"/>
        <v>0</v>
      </c>
      <c r="K873" s="36">
        <f t="shared" si="127"/>
        <v>59081</v>
      </c>
      <c r="L873" s="36">
        <f t="shared" si="127"/>
        <v>354486</v>
      </c>
      <c r="M873" s="37"/>
      <c r="N873" s="253"/>
      <c r="O873" s="38"/>
    </row>
    <row r="874" spans="1:15" s="29" customFormat="1" ht="24.95" customHeight="1">
      <c r="A874" s="31" t="s">
        <v>1619</v>
      </c>
      <c r="B874" s="32" t="s">
        <v>1644</v>
      </c>
      <c r="C874" s="33">
        <v>34</v>
      </c>
      <c r="D874" s="34" t="s">
        <v>960</v>
      </c>
      <c r="E874" s="36">
        <v>0</v>
      </c>
      <c r="F874" s="36">
        <f t="shared" si="131"/>
        <v>0</v>
      </c>
      <c r="G874" s="36">
        <v>57248</v>
      </c>
      <c r="H874" s="36">
        <f t="shared" si="132"/>
        <v>1946432</v>
      </c>
      <c r="I874" s="36">
        <v>0</v>
      </c>
      <c r="J874" s="36">
        <f t="shared" si="133"/>
        <v>0</v>
      </c>
      <c r="K874" s="36">
        <f t="shared" si="127"/>
        <v>57248</v>
      </c>
      <c r="L874" s="36">
        <f t="shared" si="127"/>
        <v>1946432</v>
      </c>
      <c r="M874" s="37"/>
      <c r="N874" s="253"/>
      <c r="O874" s="38"/>
    </row>
    <row r="875" spans="1:15" s="29" customFormat="1" ht="24.95" customHeight="1">
      <c r="A875" s="31" t="s">
        <v>1620</v>
      </c>
      <c r="B875" s="32" t="s">
        <v>1641</v>
      </c>
      <c r="C875" s="33">
        <v>7</v>
      </c>
      <c r="D875" s="34" t="s">
        <v>960</v>
      </c>
      <c r="E875" s="36">
        <v>0</v>
      </c>
      <c r="F875" s="36">
        <f t="shared" si="131"/>
        <v>0</v>
      </c>
      <c r="G875" s="36">
        <v>52483</v>
      </c>
      <c r="H875" s="36">
        <f t="shared" si="132"/>
        <v>367381</v>
      </c>
      <c r="I875" s="36">
        <v>0</v>
      </c>
      <c r="J875" s="36">
        <f t="shared" si="133"/>
        <v>0</v>
      </c>
      <c r="K875" s="36">
        <f t="shared" si="127"/>
        <v>52483</v>
      </c>
      <c r="L875" s="36">
        <f t="shared" si="127"/>
        <v>367381</v>
      </c>
      <c r="M875" s="37"/>
      <c r="N875" s="253"/>
      <c r="O875" s="38"/>
    </row>
    <row r="876" spans="1:15" s="29" customFormat="1" ht="24.95" customHeight="1">
      <c r="A876" s="31" t="s">
        <v>1620</v>
      </c>
      <c r="B876" s="32" t="s">
        <v>1643</v>
      </c>
      <c r="C876" s="33">
        <v>1</v>
      </c>
      <c r="D876" s="34" t="s">
        <v>960</v>
      </c>
      <c r="E876" s="36">
        <v>0</v>
      </c>
      <c r="F876" s="36">
        <f t="shared" si="131"/>
        <v>0</v>
      </c>
      <c r="G876" s="36">
        <v>52067</v>
      </c>
      <c r="H876" s="36">
        <f t="shared" si="132"/>
        <v>52067</v>
      </c>
      <c r="I876" s="36">
        <v>0</v>
      </c>
      <c r="J876" s="36">
        <f t="shared" si="133"/>
        <v>0</v>
      </c>
      <c r="K876" s="36">
        <f t="shared" si="127"/>
        <v>52067</v>
      </c>
      <c r="L876" s="36">
        <f t="shared" si="127"/>
        <v>52067</v>
      </c>
      <c r="M876" s="37"/>
      <c r="N876" s="253"/>
      <c r="O876" s="38"/>
    </row>
    <row r="877" spans="1:15" s="29" customFormat="1" ht="24.95" customHeight="1">
      <c r="A877" s="31" t="s">
        <v>1622</v>
      </c>
      <c r="B877" s="32" t="s">
        <v>1645</v>
      </c>
      <c r="C877" s="33">
        <v>11</v>
      </c>
      <c r="D877" s="34" t="s">
        <v>960</v>
      </c>
      <c r="E877" s="36">
        <v>0</v>
      </c>
      <c r="F877" s="36">
        <f t="shared" si="131"/>
        <v>0</v>
      </c>
      <c r="G877" s="36">
        <v>60181</v>
      </c>
      <c r="H877" s="36">
        <f t="shared" si="132"/>
        <v>661991</v>
      </c>
      <c r="I877" s="36">
        <v>0</v>
      </c>
      <c r="J877" s="36">
        <f t="shared" si="133"/>
        <v>0</v>
      </c>
      <c r="K877" s="36">
        <f t="shared" si="127"/>
        <v>60181</v>
      </c>
      <c r="L877" s="36">
        <f t="shared" si="127"/>
        <v>661991</v>
      </c>
      <c r="M877" s="37"/>
      <c r="N877" s="253"/>
      <c r="O877" s="38"/>
    </row>
    <row r="878" spans="1:15" s="29" customFormat="1" ht="24.95" customHeight="1">
      <c r="A878" s="31" t="s">
        <v>1624</v>
      </c>
      <c r="B878" s="32" t="s">
        <v>1645</v>
      </c>
      <c r="C878" s="33">
        <v>17</v>
      </c>
      <c r="D878" s="34" t="s">
        <v>960</v>
      </c>
      <c r="E878" s="36">
        <v>0</v>
      </c>
      <c r="F878" s="36">
        <f t="shared" si="131"/>
        <v>0</v>
      </c>
      <c r="G878" s="36">
        <v>64213</v>
      </c>
      <c r="H878" s="36">
        <f t="shared" si="132"/>
        <v>1091621</v>
      </c>
      <c r="I878" s="36">
        <v>0</v>
      </c>
      <c r="J878" s="36">
        <f t="shared" si="133"/>
        <v>0</v>
      </c>
      <c r="K878" s="36">
        <f t="shared" si="127"/>
        <v>64213</v>
      </c>
      <c r="L878" s="36">
        <f t="shared" si="127"/>
        <v>1091621</v>
      </c>
      <c r="M878" s="37"/>
      <c r="N878" s="253"/>
      <c r="O878" s="38"/>
    </row>
    <row r="879" spans="1:15" s="29" customFormat="1" ht="24.95" customHeight="1">
      <c r="A879" s="31" t="s">
        <v>1625</v>
      </c>
      <c r="B879" s="32" t="s">
        <v>1645</v>
      </c>
      <c r="C879" s="33">
        <v>22</v>
      </c>
      <c r="D879" s="34" t="s">
        <v>960</v>
      </c>
      <c r="E879" s="36">
        <v>0</v>
      </c>
      <c r="F879" s="36">
        <f t="shared" si="131"/>
        <v>0</v>
      </c>
      <c r="G879" s="36">
        <v>69728</v>
      </c>
      <c r="H879" s="36">
        <f t="shared" si="132"/>
        <v>1534016</v>
      </c>
      <c r="I879" s="36">
        <v>0</v>
      </c>
      <c r="J879" s="36">
        <f t="shared" si="133"/>
        <v>0</v>
      </c>
      <c r="K879" s="36">
        <f t="shared" si="127"/>
        <v>69728</v>
      </c>
      <c r="L879" s="36">
        <f t="shared" si="127"/>
        <v>1534016</v>
      </c>
      <c r="M879" s="37"/>
      <c r="N879" s="253"/>
      <c r="O879" s="38"/>
    </row>
    <row r="880" spans="1:15" s="29" customFormat="1" ht="24.95" customHeight="1">
      <c r="A880" s="31" t="s">
        <v>1646</v>
      </c>
      <c r="B880" s="32" t="s">
        <v>1647</v>
      </c>
      <c r="C880" s="33">
        <v>4</v>
      </c>
      <c r="D880" s="34" t="s">
        <v>960</v>
      </c>
      <c r="E880" s="36">
        <v>0</v>
      </c>
      <c r="F880" s="36">
        <f t="shared" si="131"/>
        <v>0</v>
      </c>
      <c r="G880" s="36">
        <v>49068</v>
      </c>
      <c r="H880" s="36">
        <f t="shared" si="132"/>
        <v>196272</v>
      </c>
      <c r="I880" s="36">
        <v>0</v>
      </c>
      <c r="J880" s="36">
        <f>TRUNC(I880*E880,0)</f>
        <v>0</v>
      </c>
      <c r="K880" s="36">
        <f t="shared" si="127"/>
        <v>49068</v>
      </c>
      <c r="L880" s="36">
        <f t="shared" si="127"/>
        <v>196272</v>
      </c>
      <c r="M880" s="37"/>
      <c r="N880" s="253"/>
      <c r="O880" s="38"/>
    </row>
    <row r="881" spans="1:15" s="77" customFormat="1" ht="24.95" customHeight="1">
      <c r="A881" s="71" t="s">
        <v>1648</v>
      </c>
      <c r="B881" s="72" t="s">
        <v>22</v>
      </c>
      <c r="C881" s="73"/>
      <c r="D881" s="74" t="s">
        <v>22</v>
      </c>
      <c r="E881" s="74"/>
      <c r="F881" s="75">
        <f>F882+F895+F906+F914</f>
        <v>0</v>
      </c>
      <c r="G881" s="74"/>
      <c r="H881" s="75">
        <f>H882+H895+H906+H914</f>
        <v>44251469</v>
      </c>
      <c r="I881" s="74"/>
      <c r="J881" s="75">
        <f>J882+J895+J906+J914</f>
        <v>0</v>
      </c>
      <c r="K881" s="75">
        <f t="shared" si="127"/>
        <v>0</v>
      </c>
      <c r="L881" s="75">
        <f t="shared" si="127"/>
        <v>44251469</v>
      </c>
      <c r="M881" s="76"/>
      <c r="N881" s="257"/>
    </row>
    <row r="882" spans="1:15" s="92" customFormat="1" ht="24.95" customHeight="1">
      <c r="A882" s="86" t="s">
        <v>1649</v>
      </c>
      <c r="B882" s="87" t="s">
        <v>22</v>
      </c>
      <c r="C882" s="88"/>
      <c r="D882" s="89" t="s">
        <v>22</v>
      </c>
      <c r="E882" s="89"/>
      <c r="F882" s="90">
        <f>TRUNC(F883+F884+F885+F886+F887+F888+F889+F890+F891+F892+F893+F894,0)</f>
        <v>0</v>
      </c>
      <c r="G882" s="89"/>
      <c r="H882" s="90">
        <f>TRUNC(H883+H884+H885+H886+H887+H888+H889+H890+H891+H892+H893+H894,0)</f>
        <v>24438245</v>
      </c>
      <c r="I882" s="89"/>
      <c r="J882" s="90">
        <f>TRUNC(J883+J884+J885+J886+J887+J888+J889+J890+J891+J892+J893+J894,0)</f>
        <v>0</v>
      </c>
      <c r="K882" s="90">
        <f t="shared" si="127"/>
        <v>0</v>
      </c>
      <c r="L882" s="90">
        <f t="shared" si="127"/>
        <v>24438245</v>
      </c>
      <c r="M882" s="91"/>
      <c r="N882" s="259"/>
    </row>
    <row r="883" spans="1:15" s="29" customFormat="1" ht="24.95" customHeight="1">
      <c r="A883" s="31" t="s">
        <v>1650</v>
      </c>
      <c r="B883" s="32" t="s">
        <v>1327</v>
      </c>
      <c r="C883" s="33">
        <v>18</v>
      </c>
      <c r="D883" s="34" t="s">
        <v>960</v>
      </c>
      <c r="E883" s="36">
        <v>0</v>
      </c>
      <c r="F883" s="36">
        <f t="shared" ref="F883:F894" si="134">TRUNC(E883*$C883,0)</f>
        <v>0</v>
      </c>
      <c r="G883" s="36">
        <v>133350</v>
      </c>
      <c r="H883" s="36">
        <f t="shared" ref="H883:H894" si="135">TRUNC(G883*$C883,0)</f>
        <v>2400300</v>
      </c>
      <c r="I883" s="36">
        <v>0</v>
      </c>
      <c r="J883" s="36">
        <f t="shared" ref="J883:J894" si="136">TRUNC(I883*$C883,0)</f>
        <v>0</v>
      </c>
      <c r="K883" s="36">
        <f t="shared" si="127"/>
        <v>133350</v>
      </c>
      <c r="L883" s="36">
        <f t="shared" si="127"/>
        <v>2400300</v>
      </c>
      <c r="M883" s="37"/>
      <c r="N883" s="253"/>
      <c r="O883" s="38"/>
    </row>
    <row r="884" spans="1:15" s="29" customFormat="1" ht="24.95" customHeight="1">
      <c r="A884" s="31" t="s">
        <v>1651</v>
      </c>
      <c r="B884" s="32" t="s">
        <v>1652</v>
      </c>
      <c r="C884" s="33">
        <v>5</v>
      </c>
      <c r="D884" s="34" t="s">
        <v>960</v>
      </c>
      <c r="E884" s="36">
        <v>0</v>
      </c>
      <c r="F884" s="36">
        <f t="shared" si="134"/>
        <v>0</v>
      </c>
      <c r="G884" s="36">
        <v>119437</v>
      </c>
      <c r="H884" s="36">
        <f t="shared" si="135"/>
        <v>597185</v>
      </c>
      <c r="I884" s="36">
        <v>0</v>
      </c>
      <c r="J884" s="36">
        <f t="shared" si="136"/>
        <v>0</v>
      </c>
      <c r="K884" s="36">
        <f t="shared" si="127"/>
        <v>119437</v>
      </c>
      <c r="L884" s="36">
        <f t="shared" si="127"/>
        <v>597185</v>
      </c>
      <c r="M884" s="37"/>
      <c r="N884" s="253"/>
      <c r="O884" s="38"/>
    </row>
    <row r="885" spans="1:15" s="29" customFormat="1" ht="24.95" customHeight="1">
      <c r="A885" s="31" t="s">
        <v>1653</v>
      </c>
      <c r="B885" s="32" t="s">
        <v>1327</v>
      </c>
      <c r="C885" s="33">
        <v>8</v>
      </c>
      <c r="D885" s="34" t="s">
        <v>960</v>
      </c>
      <c r="E885" s="36">
        <v>0</v>
      </c>
      <c r="F885" s="36">
        <f t="shared" si="134"/>
        <v>0</v>
      </c>
      <c r="G885" s="36">
        <v>69453</v>
      </c>
      <c r="H885" s="36">
        <f t="shared" si="135"/>
        <v>555624</v>
      </c>
      <c r="I885" s="36">
        <v>0</v>
      </c>
      <c r="J885" s="36">
        <f t="shared" si="136"/>
        <v>0</v>
      </c>
      <c r="K885" s="36">
        <f t="shared" si="127"/>
        <v>69453</v>
      </c>
      <c r="L885" s="36">
        <f t="shared" si="127"/>
        <v>555624</v>
      </c>
      <c r="M885" s="37"/>
      <c r="N885" s="253"/>
      <c r="O885" s="38"/>
    </row>
    <row r="886" spans="1:15" s="29" customFormat="1" ht="24.95" customHeight="1">
      <c r="A886" s="31" t="s">
        <v>1654</v>
      </c>
      <c r="B886" s="32" t="s">
        <v>1655</v>
      </c>
      <c r="C886" s="33">
        <v>27</v>
      </c>
      <c r="D886" s="34" t="s">
        <v>960</v>
      </c>
      <c r="E886" s="36">
        <v>0</v>
      </c>
      <c r="F886" s="36">
        <f t="shared" si="134"/>
        <v>0</v>
      </c>
      <c r="G886" s="36">
        <v>114547</v>
      </c>
      <c r="H886" s="36">
        <f t="shared" si="135"/>
        <v>3092769</v>
      </c>
      <c r="I886" s="36">
        <v>0</v>
      </c>
      <c r="J886" s="36">
        <f t="shared" si="136"/>
        <v>0</v>
      </c>
      <c r="K886" s="36">
        <f t="shared" si="127"/>
        <v>114547</v>
      </c>
      <c r="L886" s="36">
        <f t="shared" si="127"/>
        <v>3092769</v>
      </c>
      <c r="M886" s="37"/>
      <c r="N886" s="253"/>
      <c r="O886" s="38"/>
    </row>
    <row r="887" spans="1:15" s="29" customFormat="1" ht="24.95" customHeight="1">
      <c r="A887" s="31" t="s">
        <v>1656</v>
      </c>
      <c r="B887" s="32" t="s">
        <v>1327</v>
      </c>
      <c r="C887" s="33">
        <v>67</v>
      </c>
      <c r="D887" s="34" t="s">
        <v>960</v>
      </c>
      <c r="E887" s="36">
        <v>0</v>
      </c>
      <c r="F887" s="36">
        <f t="shared" si="134"/>
        <v>0</v>
      </c>
      <c r="G887" s="36">
        <v>64363</v>
      </c>
      <c r="H887" s="36">
        <f t="shared" si="135"/>
        <v>4312321</v>
      </c>
      <c r="I887" s="36">
        <v>0</v>
      </c>
      <c r="J887" s="36">
        <f t="shared" si="136"/>
        <v>0</v>
      </c>
      <c r="K887" s="36">
        <f t="shared" si="127"/>
        <v>64363</v>
      </c>
      <c r="L887" s="36">
        <f t="shared" si="127"/>
        <v>4312321</v>
      </c>
      <c r="M887" s="37"/>
      <c r="N887" s="253"/>
      <c r="O887" s="38"/>
    </row>
    <row r="888" spans="1:15" s="29" customFormat="1" ht="24.95" customHeight="1">
      <c r="A888" s="31" t="s">
        <v>1657</v>
      </c>
      <c r="B888" s="32" t="s">
        <v>1327</v>
      </c>
      <c r="C888" s="33">
        <v>78</v>
      </c>
      <c r="D888" s="34" t="s">
        <v>960</v>
      </c>
      <c r="E888" s="36">
        <v>0</v>
      </c>
      <c r="F888" s="36">
        <f t="shared" si="134"/>
        <v>0</v>
      </c>
      <c r="G888" s="36">
        <v>60356</v>
      </c>
      <c r="H888" s="36">
        <f t="shared" si="135"/>
        <v>4707768</v>
      </c>
      <c r="I888" s="36">
        <v>0</v>
      </c>
      <c r="J888" s="36">
        <f t="shared" si="136"/>
        <v>0</v>
      </c>
      <c r="K888" s="36">
        <f t="shared" si="127"/>
        <v>60356</v>
      </c>
      <c r="L888" s="36">
        <f t="shared" si="127"/>
        <v>4707768</v>
      </c>
      <c r="M888" s="37"/>
      <c r="N888" s="253"/>
      <c r="O888" s="38"/>
    </row>
    <row r="889" spans="1:15" s="29" customFormat="1" ht="24.95" customHeight="1">
      <c r="A889" s="31" t="s">
        <v>1653</v>
      </c>
      <c r="B889" s="32" t="s">
        <v>1327</v>
      </c>
      <c r="C889" s="33">
        <v>1</v>
      </c>
      <c r="D889" s="34" t="s">
        <v>960</v>
      </c>
      <c r="E889" s="36">
        <v>0</v>
      </c>
      <c r="F889" s="36">
        <f t="shared" si="134"/>
        <v>0</v>
      </c>
      <c r="G889" s="36">
        <v>69453</v>
      </c>
      <c r="H889" s="36">
        <f t="shared" si="135"/>
        <v>69453</v>
      </c>
      <c r="I889" s="36">
        <v>0</v>
      </c>
      <c r="J889" s="36">
        <f t="shared" si="136"/>
        <v>0</v>
      </c>
      <c r="K889" s="36">
        <f t="shared" si="127"/>
        <v>69453</v>
      </c>
      <c r="L889" s="36">
        <f t="shared" si="127"/>
        <v>69453</v>
      </c>
      <c r="M889" s="37"/>
      <c r="N889" s="253"/>
      <c r="O889" s="38"/>
    </row>
    <row r="890" spans="1:15" s="29" customFormat="1" ht="24.95" customHeight="1">
      <c r="A890" s="31" t="s">
        <v>1658</v>
      </c>
      <c r="B890" s="32" t="s">
        <v>1327</v>
      </c>
      <c r="C890" s="33">
        <v>21</v>
      </c>
      <c r="D890" s="34" t="s">
        <v>960</v>
      </c>
      <c r="E890" s="36">
        <v>0</v>
      </c>
      <c r="F890" s="36">
        <f t="shared" si="134"/>
        <v>0</v>
      </c>
      <c r="G890" s="36">
        <v>78325</v>
      </c>
      <c r="H890" s="36">
        <f t="shared" si="135"/>
        <v>1644825</v>
      </c>
      <c r="I890" s="36">
        <v>0</v>
      </c>
      <c r="J890" s="36">
        <f t="shared" si="136"/>
        <v>0</v>
      </c>
      <c r="K890" s="36">
        <f t="shared" si="127"/>
        <v>78325</v>
      </c>
      <c r="L890" s="36">
        <f t="shared" si="127"/>
        <v>1644825</v>
      </c>
      <c r="M890" s="37"/>
      <c r="N890" s="253"/>
      <c r="O890" s="38"/>
    </row>
    <row r="891" spans="1:15" s="29" customFormat="1" ht="24.95" customHeight="1">
      <c r="A891" s="31" t="s">
        <v>1659</v>
      </c>
      <c r="B891" s="32" t="s">
        <v>1327</v>
      </c>
      <c r="C891" s="33">
        <v>19</v>
      </c>
      <c r="D891" s="34" t="s">
        <v>960</v>
      </c>
      <c r="E891" s="36">
        <v>0</v>
      </c>
      <c r="F891" s="36">
        <f t="shared" si="134"/>
        <v>0</v>
      </c>
      <c r="G891" s="36">
        <v>78325</v>
      </c>
      <c r="H891" s="36">
        <f t="shared" si="135"/>
        <v>1488175</v>
      </c>
      <c r="I891" s="36">
        <v>0</v>
      </c>
      <c r="J891" s="36">
        <f t="shared" si="136"/>
        <v>0</v>
      </c>
      <c r="K891" s="36">
        <f t="shared" si="127"/>
        <v>78325</v>
      </c>
      <c r="L891" s="36">
        <f t="shared" si="127"/>
        <v>1488175</v>
      </c>
      <c r="M891" s="37"/>
      <c r="N891" s="253"/>
      <c r="O891" s="38"/>
    </row>
    <row r="892" spans="1:15" s="29" customFormat="1" ht="24.95" customHeight="1">
      <c r="A892" s="31" t="s">
        <v>1660</v>
      </c>
      <c r="B892" s="32" t="s">
        <v>1327</v>
      </c>
      <c r="C892" s="33">
        <v>12</v>
      </c>
      <c r="D892" s="34" t="s">
        <v>960</v>
      </c>
      <c r="E892" s="36">
        <v>0</v>
      </c>
      <c r="F892" s="36">
        <f t="shared" si="134"/>
        <v>0</v>
      </c>
      <c r="G892" s="36">
        <v>78325</v>
      </c>
      <c r="H892" s="36">
        <f t="shared" si="135"/>
        <v>939900</v>
      </c>
      <c r="I892" s="36">
        <v>0</v>
      </c>
      <c r="J892" s="36">
        <f t="shared" si="136"/>
        <v>0</v>
      </c>
      <c r="K892" s="36">
        <f t="shared" si="127"/>
        <v>78325</v>
      </c>
      <c r="L892" s="36">
        <f t="shared" si="127"/>
        <v>939900</v>
      </c>
      <c r="M892" s="37"/>
      <c r="N892" s="253"/>
      <c r="O892" s="38"/>
    </row>
    <row r="893" spans="1:15" s="29" customFormat="1" ht="24.95" customHeight="1">
      <c r="A893" s="31" t="s">
        <v>1661</v>
      </c>
      <c r="B893" s="32" t="s">
        <v>1327</v>
      </c>
      <c r="C893" s="33">
        <v>98</v>
      </c>
      <c r="D893" s="34" t="s">
        <v>960</v>
      </c>
      <c r="E893" s="36">
        <v>0</v>
      </c>
      <c r="F893" s="36">
        <f t="shared" si="134"/>
        <v>0</v>
      </c>
      <c r="G893" s="36">
        <v>46835</v>
      </c>
      <c r="H893" s="36">
        <f t="shared" si="135"/>
        <v>4589830</v>
      </c>
      <c r="I893" s="36">
        <v>0</v>
      </c>
      <c r="J893" s="36">
        <f t="shared" si="136"/>
        <v>0</v>
      </c>
      <c r="K893" s="36">
        <f t="shared" si="127"/>
        <v>46835</v>
      </c>
      <c r="L893" s="36">
        <f t="shared" si="127"/>
        <v>4589830</v>
      </c>
      <c r="M893" s="37"/>
      <c r="N893" s="253"/>
      <c r="O893" s="38"/>
    </row>
    <row r="894" spans="1:15" s="29" customFormat="1" ht="24.95" customHeight="1">
      <c r="A894" s="31" t="s">
        <v>1662</v>
      </c>
      <c r="B894" s="32" t="s">
        <v>1327</v>
      </c>
      <c r="C894" s="33">
        <v>1</v>
      </c>
      <c r="D894" s="34" t="s">
        <v>960</v>
      </c>
      <c r="E894" s="36">
        <v>0</v>
      </c>
      <c r="F894" s="36">
        <f t="shared" si="134"/>
        <v>0</v>
      </c>
      <c r="G894" s="36">
        <v>40095</v>
      </c>
      <c r="H894" s="36">
        <f t="shared" si="135"/>
        <v>40095</v>
      </c>
      <c r="I894" s="36">
        <v>0</v>
      </c>
      <c r="J894" s="36">
        <f t="shared" si="136"/>
        <v>0</v>
      </c>
      <c r="K894" s="36">
        <f t="shared" si="127"/>
        <v>40095</v>
      </c>
      <c r="L894" s="36">
        <f t="shared" si="127"/>
        <v>40095</v>
      </c>
      <c r="M894" s="37"/>
      <c r="N894" s="253"/>
      <c r="O894" s="38"/>
    </row>
    <row r="895" spans="1:15" s="92" customFormat="1" ht="24.95" customHeight="1">
      <c r="A895" s="86" t="s">
        <v>1663</v>
      </c>
      <c r="B895" s="87" t="s">
        <v>22</v>
      </c>
      <c r="C895" s="88"/>
      <c r="D895" s="89" t="s">
        <v>22</v>
      </c>
      <c r="E895" s="89"/>
      <c r="F895" s="90">
        <f>TRUNC(F896+F897+F898+F899+F900+F901+F902+F903+F904+F905,0)</f>
        <v>0</v>
      </c>
      <c r="G895" s="89"/>
      <c r="H895" s="90">
        <f>TRUNC(H896+H897+H898+H899+H900+H901+H902+H903+H904+H905,0)</f>
        <v>13389509</v>
      </c>
      <c r="I895" s="89"/>
      <c r="J895" s="90">
        <f>TRUNC(J896+J897+J898+J899+J900+J901+J902+J903+J904+J905,0)</f>
        <v>0</v>
      </c>
      <c r="K895" s="90">
        <f t="shared" si="127"/>
        <v>0</v>
      </c>
      <c r="L895" s="90">
        <f t="shared" si="127"/>
        <v>13389509</v>
      </c>
      <c r="M895" s="91"/>
      <c r="N895" s="259"/>
    </row>
    <row r="896" spans="1:15" s="29" customFormat="1" ht="24.95" customHeight="1">
      <c r="A896" s="31" t="s">
        <v>1650</v>
      </c>
      <c r="B896" s="32" t="s">
        <v>1326</v>
      </c>
      <c r="C896" s="33">
        <v>2</v>
      </c>
      <c r="D896" s="34" t="s">
        <v>960</v>
      </c>
      <c r="E896" s="36">
        <v>0</v>
      </c>
      <c r="F896" s="36">
        <f t="shared" ref="F896:F905" si="137">TRUNC(E896*$C896,0)</f>
        <v>0</v>
      </c>
      <c r="G896" s="36">
        <v>90738</v>
      </c>
      <c r="H896" s="36">
        <f t="shared" ref="H896:H905" si="138">TRUNC(G896*$C896,0)</f>
        <v>181476</v>
      </c>
      <c r="I896" s="36">
        <v>0</v>
      </c>
      <c r="J896" s="36">
        <f t="shared" ref="J896:J905" si="139">TRUNC(I896*$C896,0)</f>
        <v>0</v>
      </c>
      <c r="K896" s="36">
        <f t="shared" si="127"/>
        <v>90738</v>
      </c>
      <c r="L896" s="36">
        <f t="shared" si="127"/>
        <v>181476</v>
      </c>
      <c r="M896" s="37"/>
      <c r="N896" s="253"/>
      <c r="O896" s="38"/>
    </row>
    <row r="897" spans="1:15" s="29" customFormat="1" ht="24.95" customHeight="1">
      <c r="A897" s="31" t="s">
        <v>1653</v>
      </c>
      <c r="B897" s="32" t="s">
        <v>1326</v>
      </c>
      <c r="C897" s="33">
        <v>60</v>
      </c>
      <c r="D897" s="34" t="s">
        <v>960</v>
      </c>
      <c r="E897" s="36">
        <v>0</v>
      </c>
      <c r="F897" s="36">
        <f t="shared" si="137"/>
        <v>0</v>
      </c>
      <c r="G897" s="36">
        <v>53816</v>
      </c>
      <c r="H897" s="36">
        <f t="shared" si="138"/>
        <v>3228960</v>
      </c>
      <c r="I897" s="36">
        <v>0</v>
      </c>
      <c r="J897" s="36">
        <f t="shared" si="139"/>
        <v>0</v>
      </c>
      <c r="K897" s="36">
        <f t="shared" si="127"/>
        <v>53816</v>
      </c>
      <c r="L897" s="36">
        <f t="shared" si="127"/>
        <v>3228960</v>
      </c>
      <c r="M897" s="37"/>
      <c r="N897" s="253"/>
      <c r="O897" s="38"/>
    </row>
    <row r="898" spans="1:15" s="29" customFormat="1" ht="24.95" customHeight="1">
      <c r="A898" s="31" t="s">
        <v>1656</v>
      </c>
      <c r="B898" s="32" t="s">
        <v>1326</v>
      </c>
      <c r="C898" s="33">
        <v>13</v>
      </c>
      <c r="D898" s="34" t="s">
        <v>960</v>
      </c>
      <c r="E898" s="36">
        <v>0</v>
      </c>
      <c r="F898" s="36">
        <f t="shared" si="137"/>
        <v>0</v>
      </c>
      <c r="G898" s="36">
        <v>42628</v>
      </c>
      <c r="H898" s="36">
        <f t="shared" si="138"/>
        <v>554164</v>
      </c>
      <c r="I898" s="36">
        <v>0</v>
      </c>
      <c r="J898" s="36">
        <f t="shared" si="139"/>
        <v>0</v>
      </c>
      <c r="K898" s="36">
        <f t="shared" si="127"/>
        <v>42628</v>
      </c>
      <c r="L898" s="36">
        <f t="shared" si="127"/>
        <v>554164</v>
      </c>
      <c r="M898" s="37"/>
      <c r="N898" s="253"/>
      <c r="O898" s="38"/>
    </row>
    <row r="899" spans="1:15" s="29" customFormat="1" ht="24.95" customHeight="1">
      <c r="A899" s="31" t="s">
        <v>1657</v>
      </c>
      <c r="B899" s="32" t="s">
        <v>1326</v>
      </c>
      <c r="C899" s="33">
        <v>138</v>
      </c>
      <c r="D899" s="34" t="s">
        <v>960</v>
      </c>
      <c r="E899" s="36">
        <v>0</v>
      </c>
      <c r="F899" s="36">
        <f t="shared" si="137"/>
        <v>0</v>
      </c>
      <c r="G899" s="36">
        <v>46260</v>
      </c>
      <c r="H899" s="36">
        <f t="shared" si="138"/>
        <v>6383880</v>
      </c>
      <c r="I899" s="36">
        <v>0</v>
      </c>
      <c r="J899" s="36">
        <f t="shared" si="139"/>
        <v>0</v>
      </c>
      <c r="K899" s="36">
        <f t="shared" si="127"/>
        <v>46260</v>
      </c>
      <c r="L899" s="36">
        <f t="shared" si="127"/>
        <v>6383880</v>
      </c>
      <c r="M899" s="37"/>
      <c r="N899" s="253"/>
      <c r="O899" s="38"/>
    </row>
    <row r="900" spans="1:15" s="29" customFormat="1" ht="24.95" customHeight="1">
      <c r="A900" s="31" t="s">
        <v>1653</v>
      </c>
      <c r="B900" s="32" t="s">
        <v>1326</v>
      </c>
      <c r="C900" s="33">
        <v>2</v>
      </c>
      <c r="D900" s="34" t="s">
        <v>960</v>
      </c>
      <c r="E900" s="36">
        <v>0</v>
      </c>
      <c r="F900" s="36">
        <f t="shared" si="137"/>
        <v>0</v>
      </c>
      <c r="G900" s="36">
        <v>53816</v>
      </c>
      <c r="H900" s="36">
        <f t="shared" si="138"/>
        <v>107632</v>
      </c>
      <c r="I900" s="36">
        <v>0</v>
      </c>
      <c r="J900" s="36">
        <f t="shared" si="139"/>
        <v>0</v>
      </c>
      <c r="K900" s="36">
        <f t="shared" si="127"/>
        <v>53816</v>
      </c>
      <c r="L900" s="36">
        <f t="shared" si="127"/>
        <v>107632</v>
      </c>
      <c r="M900" s="37"/>
      <c r="N900" s="253"/>
      <c r="O900" s="38"/>
    </row>
    <row r="901" spans="1:15" s="29" customFormat="1" ht="24.95" customHeight="1">
      <c r="A901" s="31" t="s">
        <v>1664</v>
      </c>
      <c r="B901" s="32" t="s">
        <v>1326</v>
      </c>
      <c r="C901" s="33">
        <v>5</v>
      </c>
      <c r="D901" s="34" t="s">
        <v>960</v>
      </c>
      <c r="E901" s="36">
        <v>0</v>
      </c>
      <c r="F901" s="36">
        <f t="shared" si="137"/>
        <v>0</v>
      </c>
      <c r="G901" s="36">
        <v>50542</v>
      </c>
      <c r="H901" s="36">
        <f t="shared" si="138"/>
        <v>252710</v>
      </c>
      <c r="I901" s="36">
        <v>0</v>
      </c>
      <c r="J901" s="36">
        <f t="shared" si="139"/>
        <v>0</v>
      </c>
      <c r="K901" s="36">
        <f t="shared" si="127"/>
        <v>50542</v>
      </c>
      <c r="L901" s="36">
        <f t="shared" si="127"/>
        <v>252710</v>
      </c>
      <c r="M901" s="37"/>
      <c r="N901" s="253"/>
      <c r="O901" s="38"/>
    </row>
    <row r="902" spans="1:15" s="29" customFormat="1" ht="24.95" customHeight="1">
      <c r="A902" s="31" t="s">
        <v>1665</v>
      </c>
      <c r="B902" s="32" t="s">
        <v>1326</v>
      </c>
      <c r="C902" s="33">
        <v>4</v>
      </c>
      <c r="D902" s="34" t="s">
        <v>960</v>
      </c>
      <c r="E902" s="36">
        <v>0</v>
      </c>
      <c r="F902" s="36">
        <f t="shared" si="137"/>
        <v>0</v>
      </c>
      <c r="G902" s="36">
        <v>50542</v>
      </c>
      <c r="H902" s="36">
        <f t="shared" si="138"/>
        <v>202168</v>
      </c>
      <c r="I902" s="36">
        <v>0</v>
      </c>
      <c r="J902" s="36">
        <f t="shared" si="139"/>
        <v>0</v>
      </c>
      <c r="K902" s="36">
        <f t="shared" si="127"/>
        <v>50542</v>
      </c>
      <c r="L902" s="36">
        <f t="shared" si="127"/>
        <v>202168</v>
      </c>
      <c r="M902" s="37"/>
      <c r="N902" s="253"/>
      <c r="O902" s="38"/>
    </row>
    <row r="903" spans="1:15" s="29" customFormat="1" ht="24.95" customHeight="1">
      <c r="A903" s="31" t="s">
        <v>1666</v>
      </c>
      <c r="B903" s="32" t="s">
        <v>1326</v>
      </c>
      <c r="C903" s="33">
        <v>6</v>
      </c>
      <c r="D903" s="34" t="s">
        <v>960</v>
      </c>
      <c r="E903" s="36">
        <v>0</v>
      </c>
      <c r="F903" s="36">
        <f t="shared" si="137"/>
        <v>0</v>
      </c>
      <c r="G903" s="36">
        <v>50542</v>
      </c>
      <c r="H903" s="36">
        <f t="shared" si="138"/>
        <v>303252</v>
      </c>
      <c r="I903" s="36">
        <v>0</v>
      </c>
      <c r="J903" s="36">
        <f t="shared" si="139"/>
        <v>0</v>
      </c>
      <c r="K903" s="36">
        <f t="shared" si="127"/>
        <v>50542</v>
      </c>
      <c r="L903" s="36">
        <f t="shared" si="127"/>
        <v>303252</v>
      </c>
      <c r="M903" s="37"/>
      <c r="N903" s="253"/>
      <c r="O903" s="38"/>
    </row>
    <row r="904" spans="1:15" s="29" customFormat="1" ht="24.95" customHeight="1">
      <c r="A904" s="31" t="s">
        <v>1667</v>
      </c>
      <c r="B904" s="32" t="s">
        <v>1326</v>
      </c>
      <c r="C904" s="33">
        <v>62</v>
      </c>
      <c r="D904" s="34" t="s">
        <v>1116</v>
      </c>
      <c r="E904" s="36">
        <v>0</v>
      </c>
      <c r="F904" s="36">
        <f t="shared" si="137"/>
        <v>0</v>
      </c>
      <c r="G904" s="36">
        <v>34605</v>
      </c>
      <c r="H904" s="36">
        <f t="shared" si="138"/>
        <v>2145510</v>
      </c>
      <c r="I904" s="36">
        <v>0</v>
      </c>
      <c r="J904" s="36">
        <f t="shared" si="139"/>
        <v>0</v>
      </c>
      <c r="K904" s="36">
        <f t="shared" si="127"/>
        <v>34605</v>
      </c>
      <c r="L904" s="36">
        <f t="shared" si="127"/>
        <v>2145510</v>
      </c>
      <c r="M904" s="37"/>
      <c r="N904" s="253"/>
      <c r="O904" s="38"/>
    </row>
    <row r="905" spans="1:15" s="29" customFormat="1" ht="24.95" customHeight="1">
      <c r="A905" s="31" t="s">
        <v>1668</v>
      </c>
      <c r="B905" s="32" t="s">
        <v>1326</v>
      </c>
      <c r="C905" s="33">
        <v>1</v>
      </c>
      <c r="D905" s="34" t="s">
        <v>960</v>
      </c>
      <c r="E905" s="36">
        <v>0</v>
      </c>
      <c r="F905" s="36">
        <f t="shared" si="137"/>
        <v>0</v>
      </c>
      <c r="G905" s="36">
        <v>29757</v>
      </c>
      <c r="H905" s="36">
        <f t="shared" si="138"/>
        <v>29757</v>
      </c>
      <c r="I905" s="36">
        <v>0</v>
      </c>
      <c r="J905" s="36">
        <f t="shared" si="139"/>
        <v>0</v>
      </c>
      <c r="K905" s="36">
        <f t="shared" si="127"/>
        <v>29757</v>
      </c>
      <c r="L905" s="36">
        <f t="shared" si="127"/>
        <v>29757</v>
      </c>
      <c r="M905" s="37"/>
      <c r="N905" s="253"/>
      <c r="O905" s="38"/>
    </row>
    <row r="906" spans="1:15" s="92" customFormat="1" ht="24.95" customHeight="1">
      <c r="A906" s="86" t="s">
        <v>1669</v>
      </c>
      <c r="B906" s="87" t="s">
        <v>22</v>
      </c>
      <c r="C906" s="88"/>
      <c r="D906" s="89" t="s">
        <v>22</v>
      </c>
      <c r="E906" s="89"/>
      <c r="F906" s="90">
        <f>TRUNC(F907+F908+F909+F910+F911+F912+F913,0)</f>
        <v>0</v>
      </c>
      <c r="G906" s="89"/>
      <c r="H906" s="90">
        <f>TRUNC(H907+H908+H909+H910+H911+H912+H913,0)</f>
        <v>5821917</v>
      </c>
      <c r="I906" s="89"/>
      <c r="J906" s="90">
        <f>TRUNC(J907+J908+J909+J910+J911+J912+J913,0)</f>
        <v>0</v>
      </c>
      <c r="K906" s="90">
        <f t="shared" si="127"/>
        <v>0</v>
      </c>
      <c r="L906" s="90">
        <f t="shared" si="127"/>
        <v>5821917</v>
      </c>
      <c r="M906" s="91"/>
      <c r="N906" s="259"/>
    </row>
    <row r="907" spans="1:15" s="29" customFormat="1" ht="24.95" customHeight="1">
      <c r="A907" s="31" t="s">
        <v>1670</v>
      </c>
      <c r="B907" s="32" t="s">
        <v>1325</v>
      </c>
      <c r="C907" s="33">
        <v>2</v>
      </c>
      <c r="D907" s="34" t="s">
        <v>960</v>
      </c>
      <c r="E907" s="36">
        <v>0</v>
      </c>
      <c r="F907" s="36">
        <f t="shared" ref="F907:F913" si="140">TRUNC(E907*$C907,0)</f>
        <v>0</v>
      </c>
      <c r="G907" s="36">
        <v>35922</v>
      </c>
      <c r="H907" s="36">
        <f t="shared" ref="H907:H913" si="141">TRUNC(G907*$C907,0)</f>
        <v>71844</v>
      </c>
      <c r="I907" s="36">
        <v>0</v>
      </c>
      <c r="J907" s="36">
        <f t="shared" ref="J907:J913" si="142">TRUNC(I907*$C907,0)</f>
        <v>0</v>
      </c>
      <c r="K907" s="36">
        <f t="shared" si="127"/>
        <v>35922</v>
      </c>
      <c r="L907" s="36">
        <f t="shared" si="127"/>
        <v>71844</v>
      </c>
      <c r="M907" s="37"/>
      <c r="N907" s="253"/>
      <c r="O907" s="38"/>
    </row>
    <row r="908" spans="1:15" s="29" customFormat="1" ht="24.95" customHeight="1">
      <c r="A908" s="31" t="s">
        <v>1656</v>
      </c>
      <c r="B908" s="32" t="s">
        <v>1325</v>
      </c>
      <c r="C908" s="33">
        <v>6</v>
      </c>
      <c r="D908" s="34" t="s">
        <v>960</v>
      </c>
      <c r="E908" s="36">
        <v>0</v>
      </c>
      <c r="F908" s="36">
        <f t="shared" si="140"/>
        <v>0</v>
      </c>
      <c r="G908" s="36">
        <v>20310</v>
      </c>
      <c r="H908" s="36">
        <f t="shared" si="141"/>
        <v>121860</v>
      </c>
      <c r="I908" s="36">
        <v>0</v>
      </c>
      <c r="J908" s="36">
        <f t="shared" si="142"/>
        <v>0</v>
      </c>
      <c r="K908" s="36">
        <f t="shared" si="127"/>
        <v>20310</v>
      </c>
      <c r="L908" s="36">
        <f t="shared" si="127"/>
        <v>121860</v>
      </c>
      <c r="M908" s="37"/>
      <c r="N908" s="253"/>
      <c r="O908" s="38"/>
    </row>
    <row r="909" spans="1:15" s="29" customFormat="1" ht="24.95" customHeight="1">
      <c r="A909" s="31" t="s">
        <v>1657</v>
      </c>
      <c r="B909" s="32" t="s">
        <v>1325</v>
      </c>
      <c r="C909" s="33">
        <v>31</v>
      </c>
      <c r="D909" s="34" t="s">
        <v>960</v>
      </c>
      <c r="E909" s="36">
        <v>0</v>
      </c>
      <c r="F909" s="36">
        <f t="shared" si="140"/>
        <v>0</v>
      </c>
      <c r="G909" s="36">
        <v>32881</v>
      </c>
      <c r="H909" s="36">
        <f t="shared" si="141"/>
        <v>1019311</v>
      </c>
      <c r="I909" s="36">
        <v>0</v>
      </c>
      <c r="J909" s="36">
        <f t="shared" si="142"/>
        <v>0</v>
      </c>
      <c r="K909" s="36">
        <f t="shared" si="127"/>
        <v>32881</v>
      </c>
      <c r="L909" s="36">
        <f t="shared" si="127"/>
        <v>1019311</v>
      </c>
      <c r="M909" s="37"/>
      <c r="N909" s="253"/>
      <c r="O909" s="38"/>
    </row>
    <row r="910" spans="1:15" s="29" customFormat="1" ht="24.95" customHeight="1">
      <c r="A910" s="31" t="s">
        <v>1660</v>
      </c>
      <c r="B910" s="32" t="s">
        <v>1325</v>
      </c>
      <c r="C910" s="33">
        <v>4</v>
      </c>
      <c r="D910" s="34" t="s">
        <v>960</v>
      </c>
      <c r="E910" s="36">
        <v>0</v>
      </c>
      <c r="F910" s="36">
        <f t="shared" si="140"/>
        <v>0</v>
      </c>
      <c r="G910" s="36">
        <v>23917</v>
      </c>
      <c r="H910" s="36">
        <f t="shared" si="141"/>
        <v>95668</v>
      </c>
      <c r="I910" s="36">
        <v>0</v>
      </c>
      <c r="J910" s="36">
        <f t="shared" si="142"/>
        <v>0</v>
      </c>
      <c r="K910" s="36">
        <f t="shared" si="127"/>
        <v>23917</v>
      </c>
      <c r="L910" s="36">
        <f t="shared" si="127"/>
        <v>95668</v>
      </c>
      <c r="M910" s="37"/>
      <c r="N910" s="253"/>
      <c r="O910" s="38"/>
    </row>
    <row r="911" spans="1:15" s="29" customFormat="1" ht="24.95" customHeight="1">
      <c r="A911" s="31" t="s">
        <v>1671</v>
      </c>
      <c r="B911" s="32" t="s">
        <v>1325</v>
      </c>
      <c r="C911" s="33">
        <v>97</v>
      </c>
      <c r="D911" s="34" t="s">
        <v>960</v>
      </c>
      <c r="E911" s="36">
        <v>0</v>
      </c>
      <c r="F911" s="36">
        <f t="shared" si="140"/>
        <v>0</v>
      </c>
      <c r="G911" s="36">
        <v>20935</v>
      </c>
      <c r="H911" s="36">
        <f t="shared" si="141"/>
        <v>2030695</v>
      </c>
      <c r="I911" s="36">
        <v>0</v>
      </c>
      <c r="J911" s="36">
        <f t="shared" si="142"/>
        <v>0</v>
      </c>
      <c r="K911" s="36">
        <f t="shared" si="127"/>
        <v>20935</v>
      </c>
      <c r="L911" s="36">
        <f t="shared" si="127"/>
        <v>2030695</v>
      </c>
      <c r="M911" s="37"/>
      <c r="N911" s="253"/>
      <c r="O911" s="38"/>
    </row>
    <row r="912" spans="1:15" s="29" customFormat="1" ht="24.95" customHeight="1">
      <c r="A912" s="31" t="s">
        <v>1662</v>
      </c>
      <c r="B912" s="32" t="s">
        <v>1325</v>
      </c>
      <c r="C912" s="33">
        <v>2</v>
      </c>
      <c r="D912" s="34" t="s">
        <v>960</v>
      </c>
      <c r="E912" s="36">
        <v>0</v>
      </c>
      <c r="F912" s="36">
        <f t="shared" si="140"/>
        <v>0</v>
      </c>
      <c r="G912" s="36">
        <v>9438</v>
      </c>
      <c r="H912" s="36">
        <f t="shared" si="141"/>
        <v>18876</v>
      </c>
      <c r="I912" s="36">
        <v>0</v>
      </c>
      <c r="J912" s="36">
        <f t="shared" si="142"/>
        <v>0</v>
      </c>
      <c r="K912" s="36">
        <f t="shared" si="127"/>
        <v>9438</v>
      </c>
      <c r="L912" s="36">
        <f t="shared" si="127"/>
        <v>18876</v>
      </c>
      <c r="M912" s="37"/>
      <c r="N912" s="253"/>
      <c r="O912" s="38"/>
    </row>
    <row r="913" spans="1:15" s="29" customFormat="1" ht="24.95" customHeight="1">
      <c r="A913" s="31" t="s">
        <v>1672</v>
      </c>
      <c r="B913" s="32" t="s">
        <v>1325</v>
      </c>
      <c r="C913" s="33">
        <v>93</v>
      </c>
      <c r="D913" s="34" t="s">
        <v>960</v>
      </c>
      <c r="E913" s="36">
        <v>0</v>
      </c>
      <c r="F913" s="36">
        <f t="shared" si="140"/>
        <v>0</v>
      </c>
      <c r="G913" s="36">
        <v>26491</v>
      </c>
      <c r="H913" s="36">
        <f t="shared" si="141"/>
        <v>2463663</v>
      </c>
      <c r="I913" s="36">
        <v>0</v>
      </c>
      <c r="J913" s="36">
        <f t="shared" si="142"/>
        <v>0</v>
      </c>
      <c r="K913" s="36">
        <f t="shared" si="127"/>
        <v>26491</v>
      </c>
      <c r="L913" s="36">
        <f t="shared" si="127"/>
        <v>2463663</v>
      </c>
      <c r="M913" s="37"/>
      <c r="N913" s="253"/>
      <c r="O913" s="38"/>
    </row>
    <row r="914" spans="1:15" s="92" customFormat="1" ht="24.95" customHeight="1">
      <c r="A914" s="86" t="s">
        <v>1673</v>
      </c>
      <c r="B914" s="87" t="s">
        <v>22</v>
      </c>
      <c r="C914" s="88"/>
      <c r="D914" s="89" t="s">
        <v>22</v>
      </c>
      <c r="E914" s="89"/>
      <c r="F914" s="90">
        <f>TRUNC(F915+F916,0)</f>
        <v>0</v>
      </c>
      <c r="G914" s="89"/>
      <c r="H914" s="90">
        <f>TRUNC(H915+H916,0)</f>
        <v>601798</v>
      </c>
      <c r="I914" s="89"/>
      <c r="J914" s="90">
        <f>TRUNC(J915+J916,0)</f>
        <v>0</v>
      </c>
      <c r="K914" s="90">
        <f t="shared" si="127"/>
        <v>0</v>
      </c>
      <c r="L914" s="90">
        <f t="shared" si="127"/>
        <v>601798</v>
      </c>
      <c r="M914" s="91"/>
      <c r="N914" s="259"/>
    </row>
    <row r="915" spans="1:15" s="29" customFormat="1" ht="24.95" customHeight="1">
      <c r="A915" s="31" t="s">
        <v>1661</v>
      </c>
      <c r="B915" s="32" t="s">
        <v>1605</v>
      </c>
      <c r="C915" s="33">
        <v>41</v>
      </c>
      <c r="D915" s="34" t="s">
        <v>960</v>
      </c>
      <c r="E915" s="36">
        <v>0</v>
      </c>
      <c r="F915" s="36">
        <f>TRUNC(E915*$C915,0)</f>
        <v>0</v>
      </c>
      <c r="G915" s="36">
        <v>10505</v>
      </c>
      <c r="H915" s="36">
        <f>TRUNC(G915*$C915,0)</f>
        <v>430705</v>
      </c>
      <c r="I915" s="36">
        <v>0</v>
      </c>
      <c r="J915" s="36">
        <f>TRUNC(I915*$C915,0)</f>
        <v>0</v>
      </c>
      <c r="K915" s="36">
        <f t="shared" si="127"/>
        <v>10505</v>
      </c>
      <c r="L915" s="36">
        <f t="shared" si="127"/>
        <v>430705</v>
      </c>
      <c r="M915" s="37"/>
      <c r="N915" s="253"/>
      <c r="O915" s="38"/>
    </row>
    <row r="916" spans="1:15" s="29" customFormat="1" ht="24.95" customHeight="1">
      <c r="A916" s="31" t="s">
        <v>1662</v>
      </c>
      <c r="B916" s="32" t="s">
        <v>1605</v>
      </c>
      <c r="C916" s="33">
        <v>41</v>
      </c>
      <c r="D916" s="34" t="s">
        <v>960</v>
      </c>
      <c r="E916" s="36">
        <v>0</v>
      </c>
      <c r="F916" s="36">
        <f>TRUNC(E916*$C916,0)</f>
        <v>0</v>
      </c>
      <c r="G916" s="36">
        <v>4173</v>
      </c>
      <c r="H916" s="36">
        <f>TRUNC(G916*$C916,0)</f>
        <v>171093</v>
      </c>
      <c r="I916" s="36">
        <v>0</v>
      </c>
      <c r="J916" s="36">
        <f>TRUNC(I916*$C916,0)</f>
        <v>0</v>
      </c>
      <c r="K916" s="36">
        <f t="shared" ref="K916:L979" si="143">G916+E916+I916</f>
        <v>4173</v>
      </c>
      <c r="L916" s="36">
        <f t="shared" si="143"/>
        <v>171093</v>
      </c>
      <c r="M916" s="37"/>
      <c r="N916" s="253"/>
      <c r="O916" s="38"/>
    </row>
    <row r="917" spans="1:15" s="77" customFormat="1" ht="24.95" customHeight="1">
      <c r="A917" s="71" t="s">
        <v>1674</v>
      </c>
      <c r="B917" s="72" t="s">
        <v>22</v>
      </c>
      <c r="C917" s="73"/>
      <c r="D917" s="74" t="s">
        <v>22</v>
      </c>
      <c r="E917" s="74"/>
      <c r="F917" s="75">
        <f>TRUNC(F918+F919+F920+F921+F922+F923+F924+F925+F926,0)</f>
        <v>0</v>
      </c>
      <c r="G917" s="74"/>
      <c r="H917" s="75">
        <f>TRUNC(H918+H919+H920+H921+H922+H923+H924+H925+H926,0)</f>
        <v>22797051</v>
      </c>
      <c r="I917" s="74"/>
      <c r="J917" s="75">
        <f>TRUNC(J918+J919+J920+J921+J922+J923+J924+J925+J926,0)</f>
        <v>0</v>
      </c>
      <c r="K917" s="75">
        <f t="shared" si="143"/>
        <v>0</v>
      </c>
      <c r="L917" s="75">
        <f t="shared" si="143"/>
        <v>22797051</v>
      </c>
      <c r="M917" s="76"/>
      <c r="N917" s="257"/>
    </row>
    <row r="918" spans="1:15" s="29" customFormat="1" ht="24.95" customHeight="1">
      <c r="A918" s="31" t="s">
        <v>1675</v>
      </c>
      <c r="B918" s="32" t="s">
        <v>1605</v>
      </c>
      <c r="C918" s="33">
        <v>82</v>
      </c>
      <c r="D918" s="34" t="s">
        <v>960</v>
      </c>
      <c r="E918" s="36">
        <v>0</v>
      </c>
      <c r="F918" s="36">
        <f t="shared" ref="F918:F926" si="144">TRUNC(E918*$C918,0)</f>
        <v>0</v>
      </c>
      <c r="G918" s="36">
        <v>10463</v>
      </c>
      <c r="H918" s="36">
        <f t="shared" ref="H918:H926" si="145">TRUNC(G918*$C918,0)</f>
        <v>857966</v>
      </c>
      <c r="I918" s="36">
        <v>0</v>
      </c>
      <c r="J918" s="36">
        <f t="shared" ref="J918:J926" si="146">TRUNC(I918*$C918,0)</f>
        <v>0</v>
      </c>
      <c r="K918" s="36">
        <f t="shared" si="143"/>
        <v>10463</v>
      </c>
      <c r="L918" s="36">
        <f t="shared" si="143"/>
        <v>857966</v>
      </c>
      <c r="M918" s="37"/>
      <c r="N918" s="253"/>
      <c r="O918" s="38"/>
    </row>
    <row r="919" spans="1:15" s="29" customFormat="1" ht="24.95" customHeight="1">
      <c r="A919" s="31" t="s">
        <v>1676</v>
      </c>
      <c r="B919" s="32" t="s">
        <v>1605</v>
      </c>
      <c r="C919" s="33">
        <v>41</v>
      </c>
      <c r="D919" s="34" t="s">
        <v>960</v>
      </c>
      <c r="E919" s="36">
        <v>0</v>
      </c>
      <c r="F919" s="36">
        <f t="shared" si="144"/>
        <v>0</v>
      </c>
      <c r="G919" s="36">
        <v>8080</v>
      </c>
      <c r="H919" s="36">
        <f t="shared" si="145"/>
        <v>331280</v>
      </c>
      <c r="I919" s="36">
        <v>0</v>
      </c>
      <c r="J919" s="36">
        <f t="shared" si="146"/>
        <v>0</v>
      </c>
      <c r="K919" s="36">
        <f t="shared" si="143"/>
        <v>8080</v>
      </c>
      <c r="L919" s="36">
        <f t="shared" si="143"/>
        <v>331280</v>
      </c>
      <c r="M919" s="37"/>
      <c r="N919" s="253"/>
      <c r="O919" s="38"/>
    </row>
    <row r="920" spans="1:15" s="29" customFormat="1" ht="24.95" customHeight="1">
      <c r="A920" s="31" t="s">
        <v>1677</v>
      </c>
      <c r="B920" s="32" t="s">
        <v>1605</v>
      </c>
      <c r="C920" s="33">
        <v>82</v>
      </c>
      <c r="D920" s="34" t="s">
        <v>960</v>
      </c>
      <c r="E920" s="36">
        <v>0</v>
      </c>
      <c r="F920" s="36">
        <f t="shared" si="144"/>
        <v>0</v>
      </c>
      <c r="G920" s="36">
        <v>9472</v>
      </c>
      <c r="H920" s="36">
        <f t="shared" si="145"/>
        <v>776704</v>
      </c>
      <c r="I920" s="36">
        <v>0</v>
      </c>
      <c r="J920" s="36">
        <f t="shared" si="146"/>
        <v>0</v>
      </c>
      <c r="K920" s="36">
        <f t="shared" si="143"/>
        <v>9472</v>
      </c>
      <c r="L920" s="36">
        <f t="shared" si="143"/>
        <v>776704</v>
      </c>
      <c r="M920" s="37"/>
      <c r="N920" s="253"/>
      <c r="O920" s="38"/>
    </row>
    <row r="921" spans="1:15" s="29" customFormat="1" ht="24.95" customHeight="1">
      <c r="A921" s="31" t="s">
        <v>1678</v>
      </c>
      <c r="B921" s="32" t="s">
        <v>1679</v>
      </c>
      <c r="C921" s="33">
        <v>41</v>
      </c>
      <c r="D921" s="34" t="s">
        <v>166</v>
      </c>
      <c r="E921" s="36">
        <v>0</v>
      </c>
      <c r="F921" s="36">
        <f t="shared" si="144"/>
        <v>0</v>
      </c>
      <c r="G921" s="36">
        <v>59148</v>
      </c>
      <c r="H921" s="36">
        <f t="shared" si="145"/>
        <v>2425068</v>
      </c>
      <c r="I921" s="36">
        <v>0</v>
      </c>
      <c r="J921" s="36">
        <f t="shared" si="146"/>
        <v>0</v>
      </c>
      <c r="K921" s="36">
        <f t="shared" si="143"/>
        <v>59148</v>
      </c>
      <c r="L921" s="36">
        <f t="shared" si="143"/>
        <v>2425068</v>
      </c>
      <c r="M921" s="37"/>
      <c r="N921" s="253"/>
      <c r="O921" s="38"/>
    </row>
    <row r="922" spans="1:15" s="29" customFormat="1" ht="24.95" customHeight="1">
      <c r="A922" s="31" t="s">
        <v>1680</v>
      </c>
      <c r="B922" s="32" t="s">
        <v>1681</v>
      </c>
      <c r="C922" s="33">
        <v>18</v>
      </c>
      <c r="D922" s="34" t="s">
        <v>1205</v>
      </c>
      <c r="E922" s="36">
        <v>0</v>
      </c>
      <c r="F922" s="36">
        <f t="shared" si="144"/>
        <v>0</v>
      </c>
      <c r="G922" s="36">
        <v>49401</v>
      </c>
      <c r="H922" s="36">
        <f t="shared" si="145"/>
        <v>889218</v>
      </c>
      <c r="I922" s="36">
        <v>0</v>
      </c>
      <c r="J922" s="36">
        <f t="shared" si="146"/>
        <v>0</v>
      </c>
      <c r="K922" s="36">
        <f t="shared" si="143"/>
        <v>49401</v>
      </c>
      <c r="L922" s="36">
        <f t="shared" si="143"/>
        <v>889218</v>
      </c>
      <c r="M922" s="37"/>
      <c r="N922" s="253"/>
      <c r="O922" s="38"/>
    </row>
    <row r="923" spans="1:15" s="29" customFormat="1" ht="24.95" customHeight="1">
      <c r="A923" s="31" t="s">
        <v>1680</v>
      </c>
      <c r="B923" s="32" t="s">
        <v>1682</v>
      </c>
      <c r="C923" s="33">
        <v>21</v>
      </c>
      <c r="D923" s="34" t="s">
        <v>1205</v>
      </c>
      <c r="E923" s="36">
        <v>0</v>
      </c>
      <c r="F923" s="36">
        <f t="shared" si="144"/>
        <v>0</v>
      </c>
      <c r="G923" s="36">
        <v>142455</v>
      </c>
      <c r="H923" s="36">
        <f t="shared" si="145"/>
        <v>2991555</v>
      </c>
      <c r="I923" s="36">
        <v>0</v>
      </c>
      <c r="J923" s="36">
        <f t="shared" si="146"/>
        <v>0</v>
      </c>
      <c r="K923" s="36">
        <f t="shared" si="143"/>
        <v>142455</v>
      </c>
      <c r="L923" s="36">
        <f t="shared" si="143"/>
        <v>2991555</v>
      </c>
      <c r="M923" s="37"/>
      <c r="N923" s="253"/>
      <c r="O923" s="38"/>
    </row>
    <row r="924" spans="1:15" s="29" customFormat="1" ht="24.95" customHeight="1">
      <c r="A924" s="31" t="s">
        <v>1680</v>
      </c>
      <c r="B924" s="32" t="s">
        <v>1683</v>
      </c>
      <c r="C924" s="33">
        <v>2</v>
      </c>
      <c r="D924" s="34" t="s">
        <v>1205</v>
      </c>
      <c r="E924" s="36">
        <v>0</v>
      </c>
      <c r="F924" s="36">
        <f t="shared" si="144"/>
        <v>0</v>
      </c>
      <c r="G924" s="36">
        <v>160700</v>
      </c>
      <c r="H924" s="36">
        <f t="shared" si="145"/>
        <v>321400</v>
      </c>
      <c r="I924" s="36">
        <v>0</v>
      </c>
      <c r="J924" s="36">
        <f t="shared" si="146"/>
        <v>0</v>
      </c>
      <c r="K924" s="36">
        <f t="shared" si="143"/>
        <v>160700</v>
      </c>
      <c r="L924" s="36">
        <f t="shared" si="143"/>
        <v>321400</v>
      </c>
      <c r="M924" s="37"/>
      <c r="N924" s="253"/>
      <c r="O924" s="38"/>
    </row>
    <row r="925" spans="1:15" s="29" customFormat="1" ht="24.95" customHeight="1">
      <c r="A925" s="31" t="s">
        <v>1684</v>
      </c>
      <c r="B925" s="32" t="s">
        <v>1327</v>
      </c>
      <c r="C925" s="33">
        <v>88</v>
      </c>
      <c r="D925" s="34" t="s">
        <v>1116</v>
      </c>
      <c r="E925" s="36">
        <v>0</v>
      </c>
      <c r="F925" s="36">
        <f t="shared" si="144"/>
        <v>0</v>
      </c>
      <c r="G925" s="36">
        <v>86556</v>
      </c>
      <c r="H925" s="36">
        <f t="shared" si="145"/>
        <v>7616928</v>
      </c>
      <c r="I925" s="36">
        <v>0</v>
      </c>
      <c r="J925" s="36">
        <f t="shared" si="146"/>
        <v>0</v>
      </c>
      <c r="K925" s="36">
        <f t="shared" si="143"/>
        <v>86556</v>
      </c>
      <c r="L925" s="36">
        <f t="shared" si="143"/>
        <v>7616928</v>
      </c>
      <c r="M925" s="37"/>
      <c r="N925" s="253"/>
      <c r="O925" s="38"/>
    </row>
    <row r="926" spans="1:15" s="29" customFormat="1" ht="24.95" customHeight="1">
      <c r="A926" s="31" t="s">
        <v>1685</v>
      </c>
      <c r="B926" s="32" t="s">
        <v>1686</v>
      </c>
      <c r="C926" s="33">
        <v>132</v>
      </c>
      <c r="D926" s="34" t="s">
        <v>960</v>
      </c>
      <c r="E926" s="36">
        <v>0</v>
      </c>
      <c r="F926" s="36">
        <f t="shared" si="144"/>
        <v>0</v>
      </c>
      <c r="G926" s="36">
        <v>49901</v>
      </c>
      <c r="H926" s="36">
        <f t="shared" si="145"/>
        <v>6586932</v>
      </c>
      <c r="I926" s="36">
        <v>0</v>
      </c>
      <c r="J926" s="36">
        <f t="shared" si="146"/>
        <v>0</v>
      </c>
      <c r="K926" s="36">
        <f t="shared" si="143"/>
        <v>49901</v>
      </c>
      <c r="L926" s="36">
        <f t="shared" si="143"/>
        <v>6586932</v>
      </c>
      <c r="M926" s="37"/>
      <c r="N926" s="253"/>
      <c r="O926" s="38"/>
    </row>
    <row r="927" spans="1:15" s="29" customFormat="1" ht="24.95" customHeight="1">
      <c r="A927" s="31" t="s">
        <v>766</v>
      </c>
      <c r="B927" s="32" t="s">
        <v>22</v>
      </c>
      <c r="C927" s="33"/>
      <c r="D927" s="34" t="s">
        <v>22</v>
      </c>
      <c r="E927" s="34"/>
      <c r="F927" s="36">
        <v>0</v>
      </c>
      <c r="G927" s="34"/>
      <c r="H927" s="36">
        <v>0</v>
      </c>
      <c r="I927" s="34"/>
      <c r="J927" s="36">
        <v>0</v>
      </c>
      <c r="K927" s="36">
        <f t="shared" si="143"/>
        <v>0</v>
      </c>
      <c r="L927" s="36">
        <f t="shared" si="143"/>
        <v>0</v>
      </c>
      <c r="M927" s="37"/>
      <c r="N927" s="253"/>
    </row>
    <row r="928" spans="1:15" s="85" customFormat="1" ht="24.95" customHeight="1">
      <c r="A928" s="79" t="s">
        <v>1687</v>
      </c>
      <c r="B928" s="80" t="s">
        <v>22</v>
      </c>
      <c r="C928" s="81"/>
      <c r="D928" s="82" t="s">
        <v>22</v>
      </c>
      <c r="E928" s="82"/>
      <c r="F928" s="83">
        <f>F929+F937+F980+F999+F1011+F1015+F1022</f>
        <v>190271858</v>
      </c>
      <c r="G928" s="82"/>
      <c r="H928" s="83">
        <f>H929+H937+H980+H999+H1011+H1015+H1022</f>
        <v>463770699</v>
      </c>
      <c r="I928" s="82"/>
      <c r="J928" s="83">
        <f>J929+J937+J980+J999+J1011+J1015+J1022</f>
        <v>9723756</v>
      </c>
      <c r="K928" s="83">
        <f t="shared" si="143"/>
        <v>0</v>
      </c>
      <c r="L928" s="83">
        <f t="shared" si="143"/>
        <v>663766313</v>
      </c>
      <c r="M928" s="84"/>
      <c r="N928" s="258"/>
    </row>
    <row r="929" spans="1:15" s="63" customFormat="1" ht="24.95" customHeight="1">
      <c r="A929" s="57" t="s">
        <v>1471</v>
      </c>
      <c r="B929" s="58" t="s">
        <v>22</v>
      </c>
      <c r="C929" s="59"/>
      <c r="D929" s="60" t="s">
        <v>22</v>
      </c>
      <c r="E929" s="60"/>
      <c r="F929" s="61">
        <f>TRUNC(F931+F932+F934+F935+F936,0)</f>
        <v>24303387</v>
      </c>
      <c r="G929" s="60"/>
      <c r="H929" s="61">
        <f>TRUNC(H931+H932+H934+H935+H936,0)</f>
        <v>3216047</v>
      </c>
      <c r="I929" s="60"/>
      <c r="J929" s="61">
        <f>TRUNC(J931+J932+J934+J935+J936,0)</f>
        <v>3410961</v>
      </c>
      <c r="K929" s="61">
        <f t="shared" si="143"/>
        <v>0</v>
      </c>
      <c r="L929" s="61">
        <f t="shared" si="143"/>
        <v>30930395</v>
      </c>
      <c r="M929" s="62"/>
      <c r="N929" s="253"/>
    </row>
    <row r="930" spans="1:15" s="70" customFormat="1" ht="24.95" customHeight="1">
      <c r="A930" s="64" t="s">
        <v>1472</v>
      </c>
      <c r="B930" s="65" t="s">
        <v>22</v>
      </c>
      <c r="C930" s="66"/>
      <c r="D930" s="67" t="s">
        <v>22</v>
      </c>
      <c r="E930" s="67"/>
      <c r="F930" s="68">
        <f>TRUNC(F931+F932,0)</f>
        <v>6937808</v>
      </c>
      <c r="G930" s="67"/>
      <c r="H930" s="68">
        <f>TRUNC(H931+H932,0)</f>
        <v>1471648</v>
      </c>
      <c r="I930" s="67"/>
      <c r="J930" s="68">
        <f>TRUNC(J931+J932,0)</f>
        <v>1884400</v>
      </c>
      <c r="K930" s="68">
        <f t="shared" si="143"/>
        <v>0</v>
      </c>
      <c r="L930" s="68">
        <f t="shared" si="143"/>
        <v>10293856</v>
      </c>
      <c r="M930" s="69"/>
      <c r="N930" s="256"/>
    </row>
    <row r="931" spans="1:15" s="29" customFormat="1" ht="24.95" customHeight="1">
      <c r="A931" s="31" t="s">
        <v>1383</v>
      </c>
      <c r="B931" s="32" t="s">
        <v>819</v>
      </c>
      <c r="C931" s="33">
        <v>5040</v>
      </c>
      <c r="D931" s="34" t="s">
        <v>820</v>
      </c>
      <c r="E931" s="36">
        <v>687</v>
      </c>
      <c r="F931" s="36">
        <f>TRUNC(E931*$C931,0)</f>
        <v>3462480</v>
      </c>
      <c r="G931" s="36">
        <v>278</v>
      </c>
      <c r="H931" s="36">
        <f>TRUNC(G931*$C931,0)</f>
        <v>1401120</v>
      </c>
      <c r="I931" s="36">
        <v>357</v>
      </c>
      <c r="J931" s="36">
        <f>TRUNC(I931*$C931,0)</f>
        <v>1799280</v>
      </c>
      <c r="K931" s="36">
        <f t="shared" si="143"/>
        <v>1322</v>
      </c>
      <c r="L931" s="36">
        <f t="shared" si="143"/>
        <v>6662880</v>
      </c>
      <c r="M931" s="37"/>
      <c r="N931" s="253"/>
      <c r="O931" s="38"/>
    </row>
    <row r="932" spans="1:15" s="29" customFormat="1" ht="24.95" customHeight="1">
      <c r="A932" s="31" t="s">
        <v>1473</v>
      </c>
      <c r="B932" s="32" t="s">
        <v>1474</v>
      </c>
      <c r="C932" s="33">
        <v>304</v>
      </c>
      <c r="D932" s="34" t="s">
        <v>815</v>
      </c>
      <c r="E932" s="36">
        <v>11432</v>
      </c>
      <c r="F932" s="36">
        <f>TRUNC(E932*$C932,0)</f>
        <v>3475328</v>
      </c>
      <c r="G932" s="36">
        <v>232</v>
      </c>
      <c r="H932" s="36">
        <f>TRUNC(G932*$C932,0)</f>
        <v>70528</v>
      </c>
      <c r="I932" s="36">
        <v>280</v>
      </c>
      <c r="J932" s="36">
        <f>TRUNC(I932*$C932,0)</f>
        <v>85120</v>
      </c>
      <c r="K932" s="36">
        <f t="shared" si="143"/>
        <v>11944</v>
      </c>
      <c r="L932" s="36">
        <f t="shared" si="143"/>
        <v>3630976</v>
      </c>
      <c r="M932" s="37"/>
      <c r="N932" s="253"/>
      <c r="O932" s="38"/>
    </row>
    <row r="933" spans="1:15" s="70" customFormat="1" ht="24.95" customHeight="1">
      <c r="A933" s="64" t="s">
        <v>1475</v>
      </c>
      <c r="B933" s="65" t="s">
        <v>22</v>
      </c>
      <c r="C933" s="66"/>
      <c r="D933" s="67" t="s">
        <v>22</v>
      </c>
      <c r="E933" s="67"/>
      <c r="F933" s="68">
        <f>TRUNC(F934+F935+F936,0)</f>
        <v>17365579</v>
      </c>
      <c r="G933" s="67"/>
      <c r="H933" s="68">
        <f>TRUNC(H934+H935+H936,0)</f>
        <v>1744399</v>
      </c>
      <c r="I933" s="67"/>
      <c r="J933" s="68">
        <f>TRUNC(J934+J935+J936,0)</f>
        <v>1526561</v>
      </c>
      <c r="K933" s="68">
        <f t="shared" si="143"/>
        <v>0</v>
      </c>
      <c r="L933" s="68">
        <f t="shared" si="143"/>
        <v>20636539</v>
      </c>
      <c r="M933" s="69"/>
      <c r="N933" s="256"/>
    </row>
    <row r="934" spans="1:15" s="29" customFormat="1" ht="24.95" customHeight="1">
      <c r="A934" s="31" t="s">
        <v>1384</v>
      </c>
      <c r="B934" s="32" t="s">
        <v>986</v>
      </c>
      <c r="C934" s="33">
        <v>3627</v>
      </c>
      <c r="D934" s="34" t="s">
        <v>815</v>
      </c>
      <c r="E934" s="36">
        <v>3869</v>
      </c>
      <c r="F934" s="36">
        <f>TRUNC(E934*$C934,0)</f>
        <v>14032863</v>
      </c>
      <c r="G934" s="36">
        <v>421</v>
      </c>
      <c r="H934" s="36">
        <f>TRUNC(G934*$C934,0)</f>
        <v>1526967</v>
      </c>
      <c r="I934" s="36">
        <v>369</v>
      </c>
      <c r="J934" s="36">
        <f>TRUNC(I934*$C934,0)</f>
        <v>1338363</v>
      </c>
      <c r="K934" s="36">
        <f t="shared" si="143"/>
        <v>4659</v>
      </c>
      <c r="L934" s="36">
        <f t="shared" si="143"/>
        <v>16898193</v>
      </c>
      <c r="M934" s="37"/>
      <c r="N934" s="253"/>
      <c r="O934" s="38"/>
    </row>
    <row r="935" spans="1:15" s="29" customFormat="1" ht="24.95" customHeight="1">
      <c r="A935" s="31" t="s">
        <v>1384</v>
      </c>
      <c r="B935" s="32" t="s">
        <v>988</v>
      </c>
      <c r="C935" s="33">
        <v>454</v>
      </c>
      <c r="D935" s="34" t="s">
        <v>815</v>
      </c>
      <c r="E935" s="36">
        <v>7146</v>
      </c>
      <c r="F935" s="36">
        <f>TRUNC(E935*$C935,0)</f>
        <v>3244284</v>
      </c>
      <c r="G935" s="36">
        <v>472</v>
      </c>
      <c r="H935" s="36">
        <f>TRUNC(G935*$C935,0)</f>
        <v>214288</v>
      </c>
      <c r="I935" s="36">
        <v>409</v>
      </c>
      <c r="J935" s="36">
        <f>TRUNC(I935*$C935,0)</f>
        <v>185686</v>
      </c>
      <c r="K935" s="36">
        <f t="shared" si="143"/>
        <v>8027</v>
      </c>
      <c r="L935" s="36">
        <f t="shared" si="143"/>
        <v>3644258</v>
      </c>
      <c r="M935" s="37"/>
      <c r="N935" s="253"/>
      <c r="O935" s="38"/>
    </row>
    <row r="936" spans="1:15" s="29" customFormat="1" ht="24.95" customHeight="1">
      <c r="A936" s="31" t="s">
        <v>1688</v>
      </c>
      <c r="B936" s="32" t="s">
        <v>988</v>
      </c>
      <c r="C936" s="33">
        <v>8</v>
      </c>
      <c r="D936" s="34" t="s">
        <v>815</v>
      </c>
      <c r="E936" s="36">
        <v>11054</v>
      </c>
      <c r="F936" s="36">
        <f>TRUNC(E936*$C936,0)</f>
        <v>88432</v>
      </c>
      <c r="G936" s="36">
        <v>393</v>
      </c>
      <c r="H936" s="36">
        <f>TRUNC(G936*$C936,0)</f>
        <v>3144</v>
      </c>
      <c r="I936" s="36">
        <v>314</v>
      </c>
      <c r="J936" s="36">
        <f>TRUNC(I936*$C936,0)</f>
        <v>2512</v>
      </c>
      <c r="K936" s="36">
        <f t="shared" si="143"/>
        <v>11761</v>
      </c>
      <c r="L936" s="36">
        <f t="shared" si="143"/>
        <v>94088</v>
      </c>
      <c r="M936" s="37"/>
      <c r="N936" s="253"/>
      <c r="O936" s="38"/>
    </row>
    <row r="937" spans="1:15" s="63" customFormat="1" ht="24.95" customHeight="1">
      <c r="A937" s="57" t="s">
        <v>1479</v>
      </c>
      <c r="B937" s="58" t="s">
        <v>22</v>
      </c>
      <c r="C937" s="59"/>
      <c r="D937" s="60" t="s">
        <v>22</v>
      </c>
      <c r="E937" s="60"/>
      <c r="F937" s="61">
        <f>F938+F954</f>
        <v>136325259</v>
      </c>
      <c r="G937" s="60"/>
      <c r="H937" s="61">
        <f>H938+H954</f>
        <v>65476633</v>
      </c>
      <c r="I937" s="60"/>
      <c r="J937" s="61">
        <f>J938+J954</f>
        <v>3948446</v>
      </c>
      <c r="K937" s="61">
        <f t="shared" si="143"/>
        <v>0</v>
      </c>
      <c r="L937" s="61">
        <f t="shared" si="143"/>
        <v>205750338</v>
      </c>
      <c r="M937" s="62"/>
      <c r="N937" s="253"/>
    </row>
    <row r="938" spans="1:15" s="70" customFormat="1" ht="24.95" customHeight="1">
      <c r="A938" s="64" t="s">
        <v>1480</v>
      </c>
      <c r="B938" s="65" t="s">
        <v>22</v>
      </c>
      <c r="C938" s="66"/>
      <c r="D938" s="67" t="s">
        <v>22</v>
      </c>
      <c r="E938" s="67"/>
      <c r="F938" s="68">
        <f>TRUNC(F940+F941+F942+F944+F945+F947+F948+F949+F950+F951+F952+F953,0)</f>
        <v>99096310</v>
      </c>
      <c r="G938" s="67"/>
      <c r="H938" s="68">
        <f>TRUNC(H940+H941+H942+H944+H945+H947+H948+H949+H950+H951+H952+H953,0)</f>
        <v>40568496</v>
      </c>
      <c r="I938" s="67"/>
      <c r="J938" s="68">
        <f>TRUNC(J940+J941+J942+J944+J945+J947+J948+J949+J950+J951+J952+J953,0)</f>
        <v>325556</v>
      </c>
      <c r="K938" s="68">
        <f t="shared" si="143"/>
        <v>0</v>
      </c>
      <c r="L938" s="68">
        <f t="shared" si="143"/>
        <v>139990362</v>
      </c>
      <c r="M938" s="69"/>
      <c r="N938" s="256"/>
    </row>
    <row r="939" spans="1:15" s="77" customFormat="1" ht="24.95" customHeight="1">
      <c r="A939" s="71" t="s">
        <v>1689</v>
      </c>
      <c r="B939" s="72" t="s">
        <v>22</v>
      </c>
      <c r="C939" s="73"/>
      <c r="D939" s="74" t="s">
        <v>22</v>
      </c>
      <c r="E939" s="74"/>
      <c r="F939" s="75">
        <f>TRUNC(F940+F941+F942,0)</f>
        <v>6565606</v>
      </c>
      <c r="G939" s="74"/>
      <c r="H939" s="75">
        <f>TRUNC(H940+H941+H942,0)</f>
        <v>1299840</v>
      </c>
      <c r="I939" s="74"/>
      <c r="J939" s="75">
        <f>TRUNC(J940+J941+J942,0)</f>
        <v>72900</v>
      </c>
      <c r="K939" s="75">
        <f t="shared" si="143"/>
        <v>0</v>
      </c>
      <c r="L939" s="75">
        <f t="shared" si="143"/>
        <v>7938346</v>
      </c>
      <c r="M939" s="76"/>
      <c r="N939" s="257"/>
    </row>
    <row r="940" spans="1:15" s="29" customFormat="1" ht="24.95" customHeight="1">
      <c r="A940" s="31" t="s">
        <v>1482</v>
      </c>
      <c r="B940" s="32" t="s">
        <v>1191</v>
      </c>
      <c r="C940" s="33">
        <v>64</v>
      </c>
      <c r="D940" s="34" t="s">
        <v>1192</v>
      </c>
      <c r="E940" s="36">
        <v>62089</v>
      </c>
      <c r="F940" s="36">
        <f>TRUNC(E940*$C940,0)</f>
        <v>3973696</v>
      </c>
      <c r="G940" s="36">
        <v>20310</v>
      </c>
      <c r="H940" s="36">
        <f>TRUNC(G940*$C940,0)</f>
        <v>1299840</v>
      </c>
      <c r="I940" s="36">
        <v>0</v>
      </c>
      <c r="J940" s="36">
        <f>TRUNC(I940*$C940,0)</f>
        <v>0</v>
      </c>
      <c r="K940" s="36">
        <f t="shared" si="143"/>
        <v>82399</v>
      </c>
      <c r="L940" s="36">
        <f t="shared" si="143"/>
        <v>5273536</v>
      </c>
      <c r="M940" s="37"/>
      <c r="N940" s="253"/>
      <c r="O940" s="38"/>
    </row>
    <row r="941" spans="1:15" s="29" customFormat="1" ht="24.95" customHeight="1">
      <c r="A941" s="31" t="s">
        <v>1484</v>
      </c>
      <c r="B941" s="32" t="s">
        <v>1197</v>
      </c>
      <c r="C941" s="33">
        <v>60</v>
      </c>
      <c r="D941" s="34" t="s">
        <v>1014</v>
      </c>
      <c r="E941" s="36">
        <v>31044</v>
      </c>
      <c r="F941" s="36">
        <f>TRUNC(E941*$C941,0)</f>
        <v>1862640</v>
      </c>
      <c r="G941" s="36">
        <v>0</v>
      </c>
      <c r="H941" s="36">
        <f>TRUNC(G941*$C941,0)</f>
        <v>0</v>
      </c>
      <c r="I941" s="36">
        <v>0</v>
      </c>
      <c r="J941" s="36">
        <f>TRUNC(I941*$C941,0)</f>
        <v>0</v>
      </c>
      <c r="K941" s="36">
        <f t="shared" si="143"/>
        <v>31044</v>
      </c>
      <c r="L941" s="36">
        <f t="shared" si="143"/>
        <v>1862640</v>
      </c>
      <c r="M941" s="37"/>
      <c r="N941" s="253"/>
      <c r="O941" s="38"/>
    </row>
    <row r="942" spans="1:15" s="29" customFormat="1" ht="24.95" customHeight="1">
      <c r="A942" s="31" t="s">
        <v>1486</v>
      </c>
      <c r="B942" s="32" t="s">
        <v>1197</v>
      </c>
      <c r="C942" s="33">
        <v>30</v>
      </c>
      <c r="D942" s="34" t="s">
        <v>1014</v>
      </c>
      <c r="E942" s="36">
        <v>24309</v>
      </c>
      <c r="F942" s="36">
        <f>TRUNC(E942*$C942,0)</f>
        <v>729270</v>
      </c>
      <c r="G942" s="36">
        <v>0</v>
      </c>
      <c r="H942" s="36">
        <f>TRUNC(G942*$C942,0)</f>
        <v>0</v>
      </c>
      <c r="I942" s="36">
        <v>2430</v>
      </c>
      <c r="J942" s="36">
        <f>TRUNC(I942*$C942,0)</f>
        <v>72900</v>
      </c>
      <c r="K942" s="36">
        <f t="shared" si="143"/>
        <v>26739</v>
      </c>
      <c r="L942" s="36">
        <f t="shared" si="143"/>
        <v>802170</v>
      </c>
      <c r="M942" s="37"/>
      <c r="N942" s="253"/>
      <c r="O942" s="38"/>
    </row>
    <row r="943" spans="1:15" s="77" customFormat="1" ht="24.95" customHeight="1">
      <c r="A943" s="71" t="s">
        <v>1690</v>
      </c>
      <c r="B943" s="72" t="s">
        <v>22</v>
      </c>
      <c r="C943" s="73"/>
      <c r="D943" s="74" t="s">
        <v>22</v>
      </c>
      <c r="E943" s="74"/>
      <c r="F943" s="75">
        <f>TRUNC(F944+F945,0)</f>
        <v>1639962</v>
      </c>
      <c r="G943" s="74"/>
      <c r="H943" s="75">
        <f>TRUNC(H944+H945,0)</f>
        <v>682048</v>
      </c>
      <c r="I943" s="74"/>
      <c r="J943" s="75">
        <f>TRUNC(J944+J945,0)</f>
        <v>0</v>
      </c>
      <c r="K943" s="75">
        <f t="shared" si="143"/>
        <v>0</v>
      </c>
      <c r="L943" s="75">
        <f t="shared" si="143"/>
        <v>2322010</v>
      </c>
      <c r="M943" s="76"/>
      <c r="N943" s="257"/>
    </row>
    <row r="944" spans="1:15" s="29" customFormat="1" ht="24.95" customHeight="1">
      <c r="A944" s="31" t="s">
        <v>1482</v>
      </c>
      <c r="B944" s="32" t="s">
        <v>1193</v>
      </c>
      <c r="C944" s="33">
        <v>16</v>
      </c>
      <c r="D944" s="34" t="s">
        <v>1192</v>
      </c>
      <c r="E944" s="36">
        <v>88647</v>
      </c>
      <c r="F944" s="36">
        <f>TRUNC(E944*$C944,0)</f>
        <v>1418352</v>
      </c>
      <c r="G944" s="36">
        <v>42628</v>
      </c>
      <c r="H944" s="36">
        <f>TRUNC(G944*$C944,0)</f>
        <v>682048</v>
      </c>
      <c r="I944" s="36">
        <v>0</v>
      </c>
      <c r="J944" s="36">
        <f>TRUNC(I944*$C944,0)</f>
        <v>0</v>
      </c>
      <c r="K944" s="36">
        <f t="shared" si="143"/>
        <v>131275</v>
      </c>
      <c r="L944" s="36">
        <f t="shared" si="143"/>
        <v>2100400</v>
      </c>
      <c r="M944" s="37"/>
      <c r="N944" s="253"/>
      <c r="O944" s="38"/>
    </row>
    <row r="945" spans="1:15" s="29" customFormat="1" ht="24.95" customHeight="1">
      <c r="A945" s="31" t="s">
        <v>1484</v>
      </c>
      <c r="B945" s="32" t="s">
        <v>1198</v>
      </c>
      <c r="C945" s="33">
        <v>5</v>
      </c>
      <c r="D945" s="34" t="s">
        <v>1014</v>
      </c>
      <c r="E945" s="36">
        <v>44322</v>
      </c>
      <c r="F945" s="36">
        <f>TRUNC(E945*$C945,0)</f>
        <v>221610</v>
      </c>
      <c r="G945" s="36">
        <v>0</v>
      </c>
      <c r="H945" s="36">
        <f>TRUNC(G945*$C945,0)</f>
        <v>0</v>
      </c>
      <c r="I945" s="36">
        <v>0</v>
      </c>
      <c r="J945" s="36">
        <f>TRUNC(I945*$C945,0)</f>
        <v>0</v>
      </c>
      <c r="K945" s="36">
        <f t="shared" si="143"/>
        <v>44322</v>
      </c>
      <c r="L945" s="36">
        <f t="shared" si="143"/>
        <v>221610</v>
      </c>
      <c r="M945" s="37"/>
      <c r="N945" s="253"/>
      <c r="O945" s="38"/>
    </row>
    <row r="946" spans="1:15" s="77" customFormat="1" ht="24.95" customHeight="1">
      <c r="A946" s="71" t="s">
        <v>1691</v>
      </c>
      <c r="B946" s="72" t="s">
        <v>22</v>
      </c>
      <c r="C946" s="73"/>
      <c r="D946" s="74" t="s">
        <v>22</v>
      </c>
      <c r="E946" s="74"/>
      <c r="F946" s="75">
        <f>TRUNC(F947+F948+F949+F950+F951+F952+F953,0)</f>
        <v>90890742</v>
      </c>
      <c r="G946" s="74"/>
      <c r="H946" s="75">
        <f>TRUNC(H947+H948+H949+H950+H951+H952+H953,0)</f>
        <v>38586608</v>
      </c>
      <c r="I946" s="74"/>
      <c r="J946" s="75">
        <f>TRUNC(J947+J948+J949+J950+J951+J952+J953,0)</f>
        <v>252656</v>
      </c>
      <c r="K946" s="75">
        <f t="shared" si="143"/>
        <v>0</v>
      </c>
      <c r="L946" s="75">
        <f t="shared" si="143"/>
        <v>129730006</v>
      </c>
      <c r="M946" s="76"/>
      <c r="N946" s="257"/>
    </row>
    <row r="947" spans="1:15" s="29" customFormat="1" ht="24.95" customHeight="1">
      <c r="A947" s="31" t="s">
        <v>1482</v>
      </c>
      <c r="B947" s="32" t="s">
        <v>1194</v>
      </c>
      <c r="C947" s="33">
        <v>528</v>
      </c>
      <c r="D947" s="34" t="s">
        <v>1192</v>
      </c>
      <c r="E947" s="36">
        <v>113662</v>
      </c>
      <c r="F947" s="36">
        <f t="shared" ref="F947:F953" si="147">TRUNC(E947*$C947,0)</f>
        <v>60013536</v>
      </c>
      <c r="G947" s="36">
        <v>64363</v>
      </c>
      <c r="H947" s="36">
        <f t="shared" ref="H947:H953" si="148">TRUNC(G947*$C947,0)</f>
        <v>33983664</v>
      </c>
      <c r="I947" s="36">
        <v>0</v>
      </c>
      <c r="J947" s="36">
        <f t="shared" ref="J947:J953" si="149">TRUNC(I947*$C947,0)</f>
        <v>0</v>
      </c>
      <c r="K947" s="36">
        <f t="shared" si="143"/>
        <v>178025</v>
      </c>
      <c r="L947" s="36">
        <f t="shared" si="143"/>
        <v>93997200</v>
      </c>
      <c r="M947" s="37"/>
      <c r="N947" s="253"/>
      <c r="O947" s="38"/>
    </row>
    <row r="948" spans="1:15" s="29" customFormat="1" ht="24.95" customHeight="1">
      <c r="A948" s="31" t="s">
        <v>1484</v>
      </c>
      <c r="B948" s="32" t="s">
        <v>1199</v>
      </c>
      <c r="C948" s="33">
        <v>140</v>
      </c>
      <c r="D948" s="34" t="s">
        <v>1014</v>
      </c>
      <c r="E948" s="36">
        <v>56830</v>
      </c>
      <c r="F948" s="36">
        <f t="shared" si="147"/>
        <v>7956200</v>
      </c>
      <c r="G948" s="36">
        <v>0</v>
      </c>
      <c r="H948" s="36">
        <f t="shared" si="148"/>
        <v>0</v>
      </c>
      <c r="I948" s="36">
        <v>0</v>
      </c>
      <c r="J948" s="36">
        <f t="shared" si="149"/>
        <v>0</v>
      </c>
      <c r="K948" s="36">
        <f t="shared" si="143"/>
        <v>56830</v>
      </c>
      <c r="L948" s="36">
        <f t="shared" si="143"/>
        <v>7956200</v>
      </c>
      <c r="M948" s="37"/>
      <c r="N948" s="253"/>
      <c r="O948" s="38"/>
    </row>
    <row r="949" spans="1:15" s="29" customFormat="1" ht="24.95" customHeight="1">
      <c r="A949" s="31" t="s">
        <v>1486</v>
      </c>
      <c r="B949" s="32" t="s">
        <v>1199</v>
      </c>
      <c r="C949" s="33">
        <v>51</v>
      </c>
      <c r="D949" s="34" t="s">
        <v>1014</v>
      </c>
      <c r="E949" s="36">
        <v>44566</v>
      </c>
      <c r="F949" s="36">
        <f t="shared" si="147"/>
        <v>2272866</v>
      </c>
      <c r="G949" s="36">
        <v>0</v>
      </c>
      <c r="H949" s="36">
        <f t="shared" si="148"/>
        <v>0</v>
      </c>
      <c r="I949" s="36">
        <v>4456</v>
      </c>
      <c r="J949" s="36">
        <f t="shared" si="149"/>
        <v>227256</v>
      </c>
      <c r="K949" s="36">
        <f t="shared" si="143"/>
        <v>49022</v>
      </c>
      <c r="L949" s="36">
        <f t="shared" si="143"/>
        <v>2500122</v>
      </c>
      <c r="M949" s="37"/>
      <c r="N949" s="253"/>
      <c r="O949" s="38"/>
    </row>
    <row r="950" spans="1:15" s="29" customFormat="1" ht="24.95" customHeight="1">
      <c r="A950" s="31" t="s">
        <v>1488</v>
      </c>
      <c r="B950" s="32" t="s">
        <v>1072</v>
      </c>
      <c r="C950" s="33">
        <v>506</v>
      </c>
      <c r="D950" s="34" t="s">
        <v>815</v>
      </c>
      <c r="E950" s="36">
        <v>27582</v>
      </c>
      <c r="F950" s="36">
        <f t="shared" si="147"/>
        <v>13956492</v>
      </c>
      <c r="G950" s="36">
        <v>0</v>
      </c>
      <c r="H950" s="36">
        <f t="shared" si="148"/>
        <v>0</v>
      </c>
      <c r="I950" s="36">
        <v>0</v>
      </c>
      <c r="J950" s="36">
        <f t="shared" si="149"/>
        <v>0</v>
      </c>
      <c r="K950" s="36">
        <f t="shared" si="143"/>
        <v>27582</v>
      </c>
      <c r="L950" s="36">
        <f t="shared" si="143"/>
        <v>13956492</v>
      </c>
      <c r="M950" s="37"/>
      <c r="N950" s="253"/>
      <c r="O950" s="38"/>
    </row>
    <row r="951" spans="1:15" s="29" customFormat="1" ht="24.95" customHeight="1">
      <c r="A951" s="31" t="s">
        <v>1490</v>
      </c>
      <c r="B951" s="32" t="s">
        <v>1504</v>
      </c>
      <c r="C951" s="33">
        <v>16</v>
      </c>
      <c r="D951" s="34" t="s">
        <v>885</v>
      </c>
      <c r="E951" s="36">
        <v>406348</v>
      </c>
      <c r="F951" s="36">
        <f t="shared" si="147"/>
        <v>6501568</v>
      </c>
      <c r="G951" s="36">
        <v>45332</v>
      </c>
      <c r="H951" s="36">
        <f t="shared" si="148"/>
        <v>725312</v>
      </c>
      <c r="I951" s="36">
        <v>0</v>
      </c>
      <c r="J951" s="36">
        <f t="shared" si="149"/>
        <v>0</v>
      </c>
      <c r="K951" s="36">
        <f t="shared" si="143"/>
        <v>451680</v>
      </c>
      <c r="L951" s="36">
        <f t="shared" si="143"/>
        <v>7226880</v>
      </c>
      <c r="M951" s="37"/>
      <c r="N951" s="253"/>
      <c r="O951" s="38"/>
    </row>
    <row r="952" spans="1:15" s="29" customFormat="1" ht="24.95" customHeight="1">
      <c r="A952" s="31" t="s">
        <v>1492</v>
      </c>
      <c r="B952" s="32" t="s">
        <v>22</v>
      </c>
      <c r="C952" s="33">
        <v>25</v>
      </c>
      <c r="D952" s="34" t="s">
        <v>815</v>
      </c>
      <c r="E952" s="36">
        <v>0</v>
      </c>
      <c r="F952" s="36">
        <f t="shared" si="147"/>
        <v>0</v>
      </c>
      <c r="G952" s="36">
        <v>0</v>
      </c>
      <c r="H952" s="36">
        <f t="shared" si="148"/>
        <v>0</v>
      </c>
      <c r="I952" s="36">
        <v>1016</v>
      </c>
      <c r="J952" s="36">
        <f t="shared" si="149"/>
        <v>25400</v>
      </c>
      <c r="K952" s="36">
        <f t="shared" si="143"/>
        <v>1016</v>
      </c>
      <c r="L952" s="36">
        <f t="shared" si="143"/>
        <v>25400</v>
      </c>
      <c r="M952" s="37"/>
      <c r="N952" s="253"/>
      <c r="O952" s="38"/>
    </row>
    <row r="953" spans="1:15" s="29" customFormat="1" ht="24.95" customHeight="1">
      <c r="A953" s="31" t="s">
        <v>1493</v>
      </c>
      <c r="B953" s="32" t="s">
        <v>1494</v>
      </c>
      <c r="C953" s="33">
        <v>4752</v>
      </c>
      <c r="D953" s="34" t="s">
        <v>116</v>
      </c>
      <c r="E953" s="36">
        <v>40</v>
      </c>
      <c r="F953" s="36">
        <f t="shared" si="147"/>
        <v>190080</v>
      </c>
      <c r="G953" s="36">
        <v>816</v>
      </c>
      <c r="H953" s="36">
        <f t="shared" si="148"/>
        <v>3877632</v>
      </c>
      <c r="I953" s="36">
        <v>0</v>
      </c>
      <c r="J953" s="36">
        <f t="shared" si="149"/>
        <v>0</v>
      </c>
      <c r="K953" s="36">
        <f t="shared" si="143"/>
        <v>856</v>
      </c>
      <c r="L953" s="36">
        <f t="shared" si="143"/>
        <v>4067712</v>
      </c>
      <c r="M953" s="37"/>
      <c r="N953" s="253"/>
      <c r="O953" s="38"/>
    </row>
    <row r="954" spans="1:15" s="70" customFormat="1" ht="24.95" customHeight="1">
      <c r="A954" s="64" t="s">
        <v>1496</v>
      </c>
      <c r="B954" s="65" t="s">
        <v>22</v>
      </c>
      <c r="C954" s="66"/>
      <c r="D954" s="67" t="s">
        <v>22</v>
      </c>
      <c r="E954" s="67"/>
      <c r="F954" s="68">
        <f>TRUNC(F956+F957+F958+F959+F960+F961+F962+F963+F965+F966+F967+F968+F969+F970+F971+F972+F974+F975+F976+F978+F979,0)</f>
        <v>37228949</v>
      </c>
      <c r="G954" s="67"/>
      <c r="H954" s="68">
        <f>TRUNC(H956+H957+H958+H959+H960+H961+H962+H963+H965+H966+H967+H968+H969+H970+H971+H972+H974+H975+H976+H978+H979,0)</f>
        <v>24908137</v>
      </c>
      <c r="I954" s="67"/>
      <c r="J954" s="68">
        <f>TRUNC(J956+J957+J958+J959+J960+J961+J962+J963+J965+J966+J967+J968+J969+J970+J971+J972+J974+J975+J976+J978+J979,0)</f>
        <v>3622890</v>
      </c>
      <c r="K954" s="68">
        <f t="shared" si="143"/>
        <v>0</v>
      </c>
      <c r="L954" s="68">
        <f t="shared" si="143"/>
        <v>65759976</v>
      </c>
      <c r="M954" s="69"/>
      <c r="N954" s="256"/>
    </row>
    <row r="955" spans="1:15" s="77" customFormat="1" ht="24.95" customHeight="1">
      <c r="A955" s="71" t="s">
        <v>1497</v>
      </c>
      <c r="B955" s="72" t="s">
        <v>22</v>
      </c>
      <c r="C955" s="73"/>
      <c r="D955" s="74" t="s">
        <v>22</v>
      </c>
      <c r="E955" s="74"/>
      <c r="F955" s="75">
        <f>TRUNC(F956+F957+F958+F959+F960+F961+F962+F963,0)</f>
        <v>20180900</v>
      </c>
      <c r="G955" s="74"/>
      <c r="H955" s="75">
        <f>TRUNC(H956+H957+H958+H959+H960+H961+H962+H963,0)</f>
        <v>10687482</v>
      </c>
      <c r="I955" s="74"/>
      <c r="J955" s="75">
        <f>TRUNC(J956+J957+J958+J959+J960+J961+J962+J963,0)</f>
        <v>1853556</v>
      </c>
      <c r="K955" s="75">
        <f t="shared" si="143"/>
        <v>0</v>
      </c>
      <c r="L955" s="75">
        <f t="shared" si="143"/>
        <v>32721938</v>
      </c>
      <c r="M955" s="76"/>
      <c r="N955" s="257"/>
    </row>
    <row r="956" spans="1:15" s="29" customFormat="1" ht="24.95" customHeight="1">
      <c r="A956" s="31" t="s">
        <v>1498</v>
      </c>
      <c r="B956" s="32" t="s">
        <v>1499</v>
      </c>
      <c r="C956" s="33">
        <v>187</v>
      </c>
      <c r="D956" s="34" t="s">
        <v>1192</v>
      </c>
      <c r="E956" s="36">
        <v>42852</v>
      </c>
      <c r="F956" s="36">
        <f t="shared" ref="F956:F963" si="150">TRUNC(E956*$C956,0)</f>
        <v>8013324</v>
      </c>
      <c r="G956" s="36">
        <v>31809</v>
      </c>
      <c r="H956" s="36">
        <f t="shared" ref="H956:H963" si="151">TRUNC(G956*$C956,0)</f>
        <v>5948283</v>
      </c>
      <c r="I956" s="36">
        <v>6654</v>
      </c>
      <c r="J956" s="36">
        <f t="shared" ref="J956:J963" si="152">TRUNC(I956*$C956,0)</f>
        <v>1244298</v>
      </c>
      <c r="K956" s="36">
        <f t="shared" si="143"/>
        <v>81315</v>
      </c>
      <c r="L956" s="36">
        <f t="shared" si="143"/>
        <v>15205905</v>
      </c>
      <c r="M956" s="37"/>
      <c r="N956" s="253"/>
      <c r="O956" s="38"/>
    </row>
    <row r="957" spans="1:15" s="29" customFormat="1" ht="24.95" customHeight="1">
      <c r="A957" s="31" t="s">
        <v>1500</v>
      </c>
      <c r="B957" s="32" t="s">
        <v>1499</v>
      </c>
      <c r="C957" s="33">
        <v>64</v>
      </c>
      <c r="D957" s="34" t="s">
        <v>1192</v>
      </c>
      <c r="E957" s="36">
        <v>42852</v>
      </c>
      <c r="F957" s="36">
        <f t="shared" si="150"/>
        <v>2742528</v>
      </c>
      <c r="G957" s="36">
        <v>31809</v>
      </c>
      <c r="H957" s="36">
        <f t="shared" si="151"/>
        <v>2035776</v>
      </c>
      <c r="I957" s="36">
        <v>6654</v>
      </c>
      <c r="J957" s="36">
        <f t="shared" si="152"/>
        <v>425856</v>
      </c>
      <c r="K957" s="36">
        <f t="shared" si="143"/>
        <v>81315</v>
      </c>
      <c r="L957" s="36">
        <f t="shared" si="143"/>
        <v>5204160</v>
      </c>
      <c r="M957" s="37"/>
      <c r="N957" s="253"/>
      <c r="O957" s="38"/>
    </row>
    <row r="958" spans="1:15" s="29" customFormat="1" ht="24.95" customHeight="1">
      <c r="A958" s="31" t="s">
        <v>1501</v>
      </c>
      <c r="B958" s="32" t="s">
        <v>1499</v>
      </c>
      <c r="C958" s="33">
        <v>22</v>
      </c>
      <c r="D958" s="34" t="s">
        <v>1192</v>
      </c>
      <c r="E958" s="36">
        <v>46988</v>
      </c>
      <c r="F958" s="36">
        <f t="shared" si="150"/>
        <v>1033736</v>
      </c>
      <c r="G958" s="36">
        <v>47863</v>
      </c>
      <c r="H958" s="36">
        <f t="shared" si="151"/>
        <v>1052986</v>
      </c>
      <c r="I958" s="36">
        <v>6654</v>
      </c>
      <c r="J958" s="36">
        <f t="shared" si="152"/>
        <v>146388</v>
      </c>
      <c r="K958" s="36">
        <f t="shared" si="143"/>
        <v>101505</v>
      </c>
      <c r="L958" s="36">
        <f t="shared" si="143"/>
        <v>2233110</v>
      </c>
      <c r="M958" s="37"/>
      <c r="N958" s="253"/>
      <c r="O958" s="38"/>
    </row>
    <row r="959" spans="1:15" s="29" customFormat="1" ht="24.95" customHeight="1">
      <c r="A959" s="31" t="s">
        <v>1502</v>
      </c>
      <c r="B959" s="32" t="s">
        <v>1336</v>
      </c>
      <c r="C959" s="33">
        <v>17</v>
      </c>
      <c r="D959" s="34" t="s">
        <v>1503</v>
      </c>
      <c r="E959" s="36">
        <v>29862</v>
      </c>
      <c r="F959" s="36">
        <f t="shared" si="150"/>
        <v>507654</v>
      </c>
      <c r="G959" s="36">
        <v>589</v>
      </c>
      <c r="H959" s="36">
        <f t="shared" si="151"/>
        <v>10013</v>
      </c>
      <c r="I959" s="36">
        <v>982</v>
      </c>
      <c r="J959" s="36">
        <f t="shared" si="152"/>
        <v>16694</v>
      </c>
      <c r="K959" s="36">
        <f t="shared" si="143"/>
        <v>31433</v>
      </c>
      <c r="L959" s="36">
        <f t="shared" si="143"/>
        <v>534361</v>
      </c>
      <c r="M959" s="37"/>
      <c r="N959" s="253"/>
      <c r="O959" s="38"/>
    </row>
    <row r="960" spans="1:15" s="29" customFormat="1" ht="24.95" customHeight="1">
      <c r="A960" s="31" t="s">
        <v>1488</v>
      </c>
      <c r="B960" s="32" t="s">
        <v>1072</v>
      </c>
      <c r="C960" s="33">
        <v>195</v>
      </c>
      <c r="D960" s="34" t="s">
        <v>815</v>
      </c>
      <c r="E960" s="36">
        <v>27582</v>
      </c>
      <c r="F960" s="36">
        <f t="shared" si="150"/>
        <v>5378490</v>
      </c>
      <c r="G960" s="36">
        <v>0</v>
      </c>
      <c r="H960" s="36">
        <f t="shared" si="151"/>
        <v>0</v>
      </c>
      <c r="I960" s="36">
        <v>0</v>
      </c>
      <c r="J960" s="36">
        <f t="shared" si="152"/>
        <v>0</v>
      </c>
      <c r="K960" s="36">
        <f t="shared" si="143"/>
        <v>27582</v>
      </c>
      <c r="L960" s="36">
        <f t="shared" si="143"/>
        <v>5378490</v>
      </c>
      <c r="M960" s="37"/>
      <c r="N960" s="253"/>
      <c r="O960" s="38"/>
    </row>
    <row r="961" spans="1:15" s="29" customFormat="1" ht="24.95" customHeight="1">
      <c r="A961" s="31" t="s">
        <v>1490</v>
      </c>
      <c r="B961" s="32" t="s">
        <v>1504</v>
      </c>
      <c r="C961" s="33">
        <v>6</v>
      </c>
      <c r="D961" s="34" t="s">
        <v>885</v>
      </c>
      <c r="E961" s="36">
        <v>406348</v>
      </c>
      <c r="F961" s="36">
        <f t="shared" si="150"/>
        <v>2438088</v>
      </c>
      <c r="G961" s="36">
        <v>45332</v>
      </c>
      <c r="H961" s="36">
        <f t="shared" si="151"/>
        <v>271992</v>
      </c>
      <c r="I961" s="36">
        <v>0</v>
      </c>
      <c r="J961" s="36">
        <f t="shared" si="152"/>
        <v>0</v>
      </c>
      <c r="K961" s="36">
        <f t="shared" si="143"/>
        <v>451680</v>
      </c>
      <c r="L961" s="36">
        <f t="shared" si="143"/>
        <v>2710080</v>
      </c>
      <c r="M961" s="37"/>
      <c r="N961" s="253"/>
      <c r="O961" s="38"/>
    </row>
    <row r="962" spans="1:15" s="29" customFormat="1" ht="24.95" customHeight="1">
      <c r="A962" s="31" t="s">
        <v>1492</v>
      </c>
      <c r="B962" s="32" t="s">
        <v>22</v>
      </c>
      <c r="C962" s="33">
        <v>20</v>
      </c>
      <c r="D962" s="34" t="s">
        <v>815</v>
      </c>
      <c r="E962" s="36">
        <v>0</v>
      </c>
      <c r="F962" s="36">
        <f t="shared" si="150"/>
        <v>0</v>
      </c>
      <c r="G962" s="36">
        <v>0</v>
      </c>
      <c r="H962" s="36">
        <f t="shared" si="151"/>
        <v>0</v>
      </c>
      <c r="I962" s="36">
        <v>1016</v>
      </c>
      <c r="J962" s="36">
        <f t="shared" si="152"/>
        <v>20320</v>
      </c>
      <c r="K962" s="36">
        <f t="shared" si="143"/>
        <v>1016</v>
      </c>
      <c r="L962" s="36">
        <f t="shared" si="143"/>
        <v>20320</v>
      </c>
      <c r="M962" s="37"/>
      <c r="N962" s="253"/>
      <c r="O962" s="38"/>
    </row>
    <row r="963" spans="1:15" s="29" customFormat="1" ht="24.95" customHeight="1">
      <c r="A963" s="31" t="s">
        <v>1493</v>
      </c>
      <c r="B963" s="32" t="s">
        <v>1494</v>
      </c>
      <c r="C963" s="33">
        <v>1677</v>
      </c>
      <c r="D963" s="34" t="s">
        <v>116</v>
      </c>
      <c r="E963" s="36">
        <v>40</v>
      </c>
      <c r="F963" s="36">
        <f t="shared" si="150"/>
        <v>67080</v>
      </c>
      <c r="G963" s="36">
        <v>816</v>
      </c>
      <c r="H963" s="36">
        <f t="shared" si="151"/>
        <v>1368432</v>
      </c>
      <c r="I963" s="36">
        <v>0</v>
      </c>
      <c r="J963" s="36">
        <f t="shared" si="152"/>
        <v>0</v>
      </c>
      <c r="K963" s="36">
        <f t="shared" si="143"/>
        <v>856</v>
      </c>
      <c r="L963" s="36">
        <f t="shared" si="143"/>
        <v>1435512</v>
      </c>
      <c r="M963" s="37"/>
      <c r="N963" s="253"/>
      <c r="O963" s="38"/>
    </row>
    <row r="964" spans="1:15" s="77" customFormat="1" ht="24.95" customHeight="1">
      <c r="A964" s="71" t="s">
        <v>1505</v>
      </c>
      <c r="B964" s="72" t="s">
        <v>22</v>
      </c>
      <c r="C964" s="73"/>
      <c r="D964" s="74" t="s">
        <v>22</v>
      </c>
      <c r="E964" s="74"/>
      <c r="F964" s="75">
        <f>TRUNC(F965+F966+F967+F968+F969+F970+F971+F972,0)</f>
        <v>15472668</v>
      </c>
      <c r="G964" s="74"/>
      <c r="H964" s="75">
        <f>TRUNC(H965+H966+H967+H968+H969+H970+H971+H972,0)</f>
        <v>13394944</v>
      </c>
      <c r="I964" s="74"/>
      <c r="J964" s="75">
        <f>TRUNC(J965+J966+J967+J968+J969+J970+J971+J972,0)</f>
        <v>1740738</v>
      </c>
      <c r="K964" s="75">
        <f t="shared" si="143"/>
        <v>0</v>
      </c>
      <c r="L964" s="75">
        <f t="shared" si="143"/>
        <v>30608350</v>
      </c>
      <c r="M964" s="76"/>
      <c r="N964" s="257"/>
    </row>
    <row r="965" spans="1:15" s="29" customFormat="1" ht="24.95" customHeight="1">
      <c r="A965" s="31" t="s">
        <v>1498</v>
      </c>
      <c r="B965" s="32" t="s">
        <v>1506</v>
      </c>
      <c r="C965" s="33">
        <v>66</v>
      </c>
      <c r="D965" s="34" t="s">
        <v>1192</v>
      </c>
      <c r="E965" s="36">
        <v>48312</v>
      </c>
      <c r="F965" s="36">
        <f t="shared" ref="F965:F972" si="153">TRUNC(E965*$C965,0)</f>
        <v>3188592</v>
      </c>
      <c r="G965" s="36">
        <v>39059</v>
      </c>
      <c r="H965" s="36">
        <f t="shared" ref="H965:H972" si="154">TRUNC(G965*$C965,0)</f>
        <v>2577894</v>
      </c>
      <c r="I965" s="36">
        <v>7288</v>
      </c>
      <c r="J965" s="36">
        <f t="shared" ref="J965:J972" si="155">TRUNC(I965*$C965,0)</f>
        <v>481008</v>
      </c>
      <c r="K965" s="36">
        <f t="shared" si="143"/>
        <v>94659</v>
      </c>
      <c r="L965" s="36">
        <f t="shared" si="143"/>
        <v>6247494</v>
      </c>
      <c r="M965" s="37"/>
      <c r="N965" s="253"/>
      <c r="O965" s="38"/>
    </row>
    <row r="966" spans="1:15" s="29" customFormat="1" ht="24.95" customHeight="1">
      <c r="A966" s="31" t="s">
        <v>1500</v>
      </c>
      <c r="B966" s="32" t="s">
        <v>1506</v>
      </c>
      <c r="C966" s="33">
        <v>90</v>
      </c>
      <c r="D966" s="34" t="s">
        <v>1192</v>
      </c>
      <c r="E966" s="36">
        <v>48312</v>
      </c>
      <c r="F966" s="36">
        <f t="shared" si="153"/>
        <v>4348080</v>
      </c>
      <c r="G966" s="36">
        <v>61127</v>
      </c>
      <c r="H966" s="36">
        <f t="shared" si="154"/>
        <v>5501430</v>
      </c>
      <c r="I966" s="36">
        <v>7288</v>
      </c>
      <c r="J966" s="36">
        <f t="shared" si="155"/>
        <v>655920</v>
      </c>
      <c r="K966" s="36">
        <f t="shared" si="143"/>
        <v>116727</v>
      </c>
      <c r="L966" s="36">
        <f t="shared" si="143"/>
        <v>10505430</v>
      </c>
      <c r="M966" s="37"/>
      <c r="N966" s="253"/>
      <c r="O966" s="38"/>
    </row>
    <row r="967" spans="1:15" s="29" customFormat="1" ht="24.95" customHeight="1">
      <c r="A967" s="31" t="s">
        <v>1501</v>
      </c>
      <c r="B967" s="32" t="s">
        <v>1506</v>
      </c>
      <c r="C967" s="33">
        <v>77</v>
      </c>
      <c r="D967" s="34" t="s">
        <v>1192</v>
      </c>
      <c r="E967" s="36">
        <v>53320</v>
      </c>
      <c r="F967" s="36">
        <f t="shared" si="153"/>
        <v>4105640</v>
      </c>
      <c r="G967" s="36">
        <v>61229</v>
      </c>
      <c r="H967" s="36">
        <f t="shared" si="154"/>
        <v>4714633</v>
      </c>
      <c r="I967" s="36">
        <v>7288</v>
      </c>
      <c r="J967" s="36">
        <f t="shared" si="155"/>
        <v>561176</v>
      </c>
      <c r="K967" s="36">
        <f t="shared" si="143"/>
        <v>121837</v>
      </c>
      <c r="L967" s="36">
        <f t="shared" si="143"/>
        <v>9381449</v>
      </c>
      <c r="M967" s="37"/>
      <c r="N967" s="253"/>
      <c r="O967" s="38"/>
    </row>
    <row r="968" spans="1:15" s="29" customFormat="1" ht="24.95" customHeight="1">
      <c r="A968" s="31" t="s">
        <v>1502</v>
      </c>
      <c r="B968" s="32" t="s">
        <v>1336</v>
      </c>
      <c r="C968" s="33">
        <v>31</v>
      </c>
      <c r="D968" s="34" t="s">
        <v>1503</v>
      </c>
      <c r="E968" s="36">
        <v>29862</v>
      </c>
      <c r="F968" s="36">
        <f t="shared" si="153"/>
        <v>925722</v>
      </c>
      <c r="G968" s="36">
        <v>589</v>
      </c>
      <c r="H968" s="36">
        <f t="shared" si="154"/>
        <v>18259</v>
      </c>
      <c r="I968" s="36">
        <v>982</v>
      </c>
      <c r="J968" s="36">
        <f t="shared" si="155"/>
        <v>30442</v>
      </c>
      <c r="K968" s="36">
        <f t="shared" si="143"/>
        <v>31433</v>
      </c>
      <c r="L968" s="36">
        <f t="shared" si="143"/>
        <v>974423</v>
      </c>
      <c r="M968" s="37"/>
      <c r="N968" s="253"/>
      <c r="O968" s="38"/>
    </row>
    <row r="969" spans="1:15" s="29" customFormat="1" ht="24.95" customHeight="1">
      <c r="A969" s="31" t="s">
        <v>1488</v>
      </c>
      <c r="B969" s="32" t="s">
        <v>1072</v>
      </c>
      <c r="C969" s="33">
        <v>74</v>
      </c>
      <c r="D969" s="34" t="s">
        <v>815</v>
      </c>
      <c r="E969" s="36">
        <v>27582</v>
      </c>
      <c r="F969" s="36">
        <f t="shared" si="153"/>
        <v>2041068</v>
      </c>
      <c r="G969" s="36">
        <v>0</v>
      </c>
      <c r="H969" s="36">
        <f t="shared" si="154"/>
        <v>0</v>
      </c>
      <c r="I969" s="36">
        <v>0</v>
      </c>
      <c r="J969" s="36">
        <f t="shared" si="155"/>
        <v>0</v>
      </c>
      <c r="K969" s="36">
        <f t="shared" si="143"/>
        <v>27582</v>
      </c>
      <c r="L969" s="36">
        <f t="shared" si="143"/>
        <v>2041068</v>
      </c>
      <c r="M969" s="37"/>
      <c r="N969" s="253"/>
      <c r="O969" s="38"/>
    </row>
    <row r="970" spans="1:15" s="29" customFormat="1" ht="24.95" customHeight="1">
      <c r="A970" s="31" t="s">
        <v>1490</v>
      </c>
      <c r="B970" s="32" t="s">
        <v>1508</v>
      </c>
      <c r="C970" s="33">
        <v>2</v>
      </c>
      <c r="D970" s="34" t="s">
        <v>885</v>
      </c>
      <c r="E970" s="36">
        <v>419923</v>
      </c>
      <c r="F970" s="36">
        <f t="shared" si="153"/>
        <v>839846</v>
      </c>
      <c r="G970" s="36">
        <v>49420</v>
      </c>
      <c r="H970" s="36">
        <f t="shared" si="154"/>
        <v>98840</v>
      </c>
      <c r="I970" s="36">
        <v>0</v>
      </c>
      <c r="J970" s="36">
        <f t="shared" si="155"/>
        <v>0</v>
      </c>
      <c r="K970" s="36">
        <f t="shared" si="143"/>
        <v>469343</v>
      </c>
      <c r="L970" s="36">
        <f t="shared" si="143"/>
        <v>938686</v>
      </c>
      <c r="M970" s="37"/>
      <c r="N970" s="253"/>
      <c r="O970" s="38"/>
    </row>
    <row r="971" spans="1:15" s="29" customFormat="1" ht="24.95" customHeight="1">
      <c r="A971" s="31" t="s">
        <v>1492</v>
      </c>
      <c r="B971" s="32" t="s">
        <v>22</v>
      </c>
      <c r="C971" s="33">
        <v>12</v>
      </c>
      <c r="D971" s="34" t="s">
        <v>815</v>
      </c>
      <c r="E971" s="36">
        <v>0</v>
      </c>
      <c r="F971" s="36">
        <f t="shared" si="153"/>
        <v>0</v>
      </c>
      <c r="G971" s="36">
        <v>0</v>
      </c>
      <c r="H971" s="36">
        <f t="shared" si="154"/>
        <v>0</v>
      </c>
      <c r="I971" s="36">
        <v>1016</v>
      </c>
      <c r="J971" s="36">
        <f t="shared" si="155"/>
        <v>12192</v>
      </c>
      <c r="K971" s="36">
        <f t="shared" si="143"/>
        <v>1016</v>
      </c>
      <c r="L971" s="36">
        <f t="shared" si="143"/>
        <v>12192</v>
      </c>
      <c r="M971" s="37"/>
      <c r="N971" s="253"/>
      <c r="O971" s="38"/>
    </row>
    <row r="972" spans="1:15" s="29" customFormat="1" ht="24.95" customHeight="1">
      <c r="A972" s="31" t="s">
        <v>1493</v>
      </c>
      <c r="B972" s="32" t="s">
        <v>1494</v>
      </c>
      <c r="C972" s="33">
        <v>593</v>
      </c>
      <c r="D972" s="34" t="s">
        <v>116</v>
      </c>
      <c r="E972" s="36">
        <v>40</v>
      </c>
      <c r="F972" s="36">
        <f t="shared" si="153"/>
        <v>23720</v>
      </c>
      <c r="G972" s="36">
        <v>816</v>
      </c>
      <c r="H972" s="36">
        <f t="shared" si="154"/>
        <v>483888</v>
      </c>
      <c r="I972" s="36">
        <v>0</v>
      </c>
      <c r="J972" s="36">
        <f t="shared" si="155"/>
        <v>0</v>
      </c>
      <c r="K972" s="36">
        <f t="shared" si="143"/>
        <v>856</v>
      </c>
      <c r="L972" s="36">
        <f t="shared" si="143"/>
        <v>507608</v>
      </c>
      <c r="M972" s="37"/>
      <c r="N972" s="253"/>
      <c r="O972" s="38"/>
    </row>
    <row r="973" spans="1:15" s="77" customFormat="1" ht="24.95" customHeight="1">
      <c r="A973" s="71" t="s">
        <v>1692</v>
      </c>
      <c r="B973" s="72" t="s">
        <v>22</v>
      </c>
      <c r="C973" s="73"/>
      <c r="D973" s="74" t="s">
        <v>22</v>
      </c>
      <c r="E973" s="74"/>
      <c r="F973" s="75">
        <f>TRUNC(F974+F975+F976,0)</f>
        <v>207727</v>
      </c>
      <c r="G973" s="74"/>
      <c r="H973" s="75">
        <f>TRUNC(H974+H975+H976,0)</f>
        <v>80425</v>
      </c>
      <c r="I973" s="74"/>
      <c r="J973" s="75">
        <f>TRUNC(J974+J975+J976,0)</f>
        <v>0</v>
      </c>
      <c r="K973" s="75">
        <f t="shared" si="143"/>
        <v>0</v>
      </c>
      <c r="L973" s="75">
        <f t="shared" si="143"/>
        <v>288152</v>
      </c>
      <c r="M973" s="76"/>
      <c r="N973" s="257"/>
    </row>
    <row r="974" spans="1:15" s="29" customFormat="1" ht="24.95" customHeight="1">
      <c r="A974" s="31" t="s">
        <v>1517</v>
      </c>
      <c r="B974" s="32" t="s">
        <v>1262</v>
      </c>
      <c r="C974" s="33">
        <v>5</v>
      </c>
      <c r="D974" s="34" t="s">
        <v>1116</v>
      </c>
      <c r="E974" s="36">
        <v>12886</v>
      </c>
      <c r="F974" s="36">
        <f>TRUNC(E974*$C974,0)</f>
        <v>64430</v>
      </c>
      <c r="G974" s="36">
        <v>4214</v>
      </c>
      <c r="H974" s="36">
        <f>TRUNC(G974*$C974,0)</f>
        <v>21070</v>
      </c>
      <c r="I974" s="36">
        <v>0</v>
      </c>
      <c r="J974" s="36">
        <f>TRUNC(I974*$C974,0)</f>
        <v>0</v>
      </c>
      <c r="K974" s="36">
        <f t="shared" si="143"/>
        <v>17100</v>
      </c>
      <c r="L974" s="36">
        <f t="shared" si="143"/>
        <v>85500</v>
      </c>
      <c r="M974" s="37"/>
      <c r="N974" s="253"/>
      <c r="O974" s="38"/>
    </row>
    <row r="975" spans="1:15" s="29" customFormat="1" ht="24.95" customHeight="1">
      <c r="A975" s="31" t="s">
        <v>1517</v>
      </c>
      <c r="B975" s="32" t="s">
        <v>1155</v>
      </c>
      <c r="C975" s="33">
        <v>6</v>
      </c>
      <c r="D975" s="34" t="s">
        <v>1116</v>
      </c>
      <c r="E975" s="36">
        <v>19695</v>
      </c>
      <c r="F975" s="36">
        <f>TRUNC(E975*$C975,0)</f>
        <v>118170</v>
      </c>
      <c r="G975" s="36">
        <v>7815</v>
      </c>
      <c r="H975" s="36">
        <f>TRUNC(G975*$C975,0)</f>
        <v>46890</v>
      </c>
      <c r="I975" s="36">
        <v>0</v>
      </c>
      <c r="J975" s="36">
        <f>TRUNC(I975*$C975,0)</f>
        <v>0</v>
      </c>
      <c r="K975" s="36">
        <f t="shared" si="143"/>
        <v>27510</v>
      </c>
      <c r="L975" s="36">
        <f t="shared" si="143"/>
        <v>165060</v>
      </c>
      <c r="M975" s="37"/>
      <c r="N975" s="253"/>
      <c r="O975" s="38"/>
    </row>
    <row r="976" spans="1:15" s="29" customFormat="1" ht="24.95" customHeight="1">
      <c r="A976" s="31" t="s">
        <v>1517</v>
      </c>
      <c r="B976" s="32" t="s">
        <v>1518</v>
      </c>
      <c r="C976" s="33">
        <v>1</v>
      </c>
      <c r="D976" s="34" t="s">
        <v>1116</v>
      </c>
      <c r="E976" s="36">
        <v>25127</v>
      </c>
      <c r="F976" s="36">
        <f>TRUNC(E976*$C976,0)</f>
        <v>25127</v>
      </c>
      <c r="G976" s="36">
        <v>12465</v>
      </c>
      <c r="H976" s="36">
        <f>TRUNC(G976*$C976,0)</f>
        <v>12465</v>
      </c>
      <c r="I976" s="36">
        <v>0</v>
      </c>
      <c r="J976" s="36">
        <f>TRUNC(I976*$C976,0)</f>
        <v>0</v>
      </c>
      <c r="K976" s="36">
        <f t="shared" si="143"/>
        <v>37592</v>
      </c>
      <c r="L976" s="36">
        <f t="shared" si="143"/>
        <v>37592</v>
      </c>
      <c r="M976" s="37"/>
      <c r="N976" s="253"/>
      <c r="O976" s="38"/>
    </row>
    <row r="977" spans="1:15" s="77" customFormat="1" ht="24.95" customHeight="1">
      <c r="A977" s="71" t="s">
        <v>1523</v>
      </c>
      <c r="B977" s="72" t="s">
        <v>22</v>
      </c>
      <c r="C977" s="73"/>
      <c r="D977" s="74" t="s">
        <v>22</v>
      </c>
      <c r="E977" s="74"/>
      <c r="F977" s="75">
        <f>TRUNC(F978+F979,0)</f>
        <v>1367654</v>
      </c>
      <c r="G977" s="74"/>
      <c r="H977" s="75">
        <f>TRUNC(H978+H979,0)</f>
        <v>745286</v>
      </c>
      <c r="I977" s="74"/>
      <c r="J977" s="75">
        <f>TRUNC(J978+J979,0)</f>
        <v>28596</v>
      </c>
      <c r="K977" s="75">
        <f t="shared" si="143"/>
        <v>0</v>
      </c>
      <c r="L977" s="75">
        <f t="shared" si="143"/>
        <v>2141536</v>
      </c>
      <c r="M977" s="76"/>
      <c r="N977" s="257"/>
    </row>
    <row r="978" spans="1:15" s="29" customFormat="1" ht="24.95" customHeight="1">
      <c r="A978" s="31" t="s">
        <v>1524</v>
      </c>
      <c r="B978" s="32" t="s">
        <v>1358</v>
      </c>
      <c r="C978" s="33">
        <v>6</v>
      </c>
      <c r="D978" s="34" t="s">
        <v>815</v>
      </c>
      <c r="E978" s="36">
        <v>30923</v>
      </c>
      <c r="F978" s="36">
        <f>TRUNC(E978*$C978,0)</f>
        <v>185538</v>
      </c>
      <c r="G978" s="36">
        <v>3453</v>
      </c>
      <c r="H978" s="36">
        <f>TRUNC(G978*$C978,0)</f>
        <v>20718</v>
      </c>
      <c r="I978" s="36">
        <v>4766</v>
      </c>
      <c r="J978" s="36">
        <f>TRUNC(I978*$C978,0)</f>
        <v>28596</v>
      </c>
      <c r="K978" s="36">
        <f t="shared" si="143"/>
        <v>39142</v>
      </c>
      <c r="L978" s="36">
        <f t="shared" si="143"/>
        <v>234852</v>
      </c>
      <c r="M978" s="37"/>
      <c r="N978" s="253"/>
      <c r="O978" s="38"/>
    </row>
    <row r="979" spans="1:15" s="29" customFormat="1" ht="24.95" customHeight="1">
      <c r="A979" s="31" t="s">
        <v>1525</v>
      </c>
      <c r="B979" s="32" t="s">
        <v>1010</v>
      </c>
      <c r="C979" s="33">
        <v>52</v>
      </c>
      <c r="D979" s="34" t="s">
        <v>831</v>
      </c>
      <c r="E979" s="36">
        <v>22733</v>
      </c>
      <c r="F979" s="36">
        <f>TRUNC(E979*$C979,0)</f>
        <v>1182116</v>
      </c>
      <c r="G979" s="36">
        <v>13934</v>
      </c>
      <c r="H979" s="36">
        <f>TRUNC(G979*$C979,0)</f>
        <v>724568</v>
      </c>
      <c r="I979" s="36">
        <v>0</v>
      </c>
      <c r="J979" s="36">
        <f>TRUNC(I979*$C979,0)</f>
        <v>0</v>
      </c>
      <c r="K979" s="36">
        <f t="shared" si="143"/>
        <v>36667</v>
      </c>
      <c r="L979" s="36">
        <f t="shared" si="143"/>
        <v>1906684</v>
      </c>
      <c r="M979" s="37"/>
      <c r="N979" s="253"/>
      <c r="O979" s="38"/>
    </row>
    <row r="980" spans="1:15" s="63" customFormat="1" ht="24.95" customHeight="1">
      <c r="A980" s="57" t="s">
        <v>1526</v>
      </c>
      <c r="B980" s="58" t="s">
        <v>22</v>
      </c>
      <c r="C980" s="59"/>
      <c r="D980" s="60" t="s">
        <v>22</v>
      </c>
      <c r="E980" s="60"/>
      <c r="F980" s="61">
        <f>TRUNC(F982+F983+F984+F985+F986+F988+F989+F991+F992+F993+F995+F996+F997+F998,0)</f>
        <v>4122252</v>
      </c>
      <c r="G980" s="60"/>
      <c r="H980" s="61">
        <f>TRUNC(H982+H983+H984+H985+H986+H988+H989+H991+H992+H993+H995+H996+H997+H998,0)</f>
        <v>80724095</v>
      </c>
      <c r="I980" s="60"/>
      <c r="J980" s="61">
        <f>TRUNC(J982+J983+J984+J985+J986+J988+J989+J991+J992+J993+J995+J996+J997+J998,0)</f>
        <v>21512</v>
      </c>
      <c r="K980" s="61">
        <f t="shared" ref="K980:L1043" si="156">G980+E980+I980</f>
        <v>0</v>
      </c>
      <c r="L980" s="61">
        <f t="shared" si="156"/>
        <v>84867859</v>
      </c>
      <c r="M980" s="62"/>
      <c r="N980" s="253"/>
    </row>
    <row r="981" spans="1:15" s="29" customFormat="1" ht="24.95" customHeight="1">
      <c r="A981" s="31" t="s">
        <v>1527</v>
      </c>
      <c r="B981" s="32" t="s">
        <v>22</v>
      </c>
      <c r="C981" s="33"/>
      <c r="D981" s="34" t="s">
        <v>22</v>
      </c>
      <c r="E981" s="34"/>
      <c r="F981" s="36">
        <f>TRUNC(F982+F983+F984+F985+F986,0)</f>
        <v>2563172</v>
      </c>
      <c r="G981" s="34"/>
      <c r="H981" s="36">
        <f>TRUNC(H982+H983+H984+H985+H986,0)</f>
        <v>14644429</v>
      </c>
      <c r="I981" s="34"/>
      <c r="J981" s="36">
        <f>TRUNC(J982+J983+J984+J985+J986,0)</f>
        <v>10656</v>
      </c>
      <c r="K981" s="36">
        <f t="shared" si="156"/>
        <v>0</v>
      </c>
      <c r="L981" s="36">
        <f t="shared" si="156"/>
        <v>17218257</v>
      </c>
      <c r="M981" s="37"/>
      <c r="N981" s="253"/>
    </row>
    <row r="982" spans="1:15" s="29" customFormat="1" ht="24.95" customHeight="1">
      <c r="A982" s="31" t="s">
        <v>1528</v>
      </c>
      <c r="B982" s="32" t="s">
        <v>1529</v>
      </c>
      <c r="C982" s="33">
        <v>30</v>
      </c>
      <c r="D982" s="34" t="s">
        <v>1530</v>
      </c>
      <c r="E982" s="36">
        <v>23919</v>
      </c>
      <c r="F982" s="36">
        <f>TRUNC(E982*$C982,0)</f>
        <v>717570</v>
      </c>
      <c r="G982" s="36">
        <v>83785</v>
      </c>
      <c r="H982" s="36">
        <f>TRUNC(G982*$C982,0)</f>
        <v>2513550</v>
      </c>
      <c r="I982" s="36">
        <v>0</v>
      </c>
      <c r="J982" s="36">
        <f>TRUNC(I982*$C982,0)</f>
        <v>0</v>
      </c>
      <c r="K982" s="36">
        <f t="shared" si="156"/>
        <v>107704</v>
      </c>
      <c r="L982" s="36">
        <f t="shared" si="156"/>
        <v>3231120</v>
      </c>
      <c r="M982" s="37"/>
      <c r="N982" s="253"/>
      <c r="O982" s="38"/>
    </row>
    <row r="983" spans="1:15" s="29" customFormat="1" ht="24.95" customHeight="1">
      <c r="A983" s="31" t="s">
        <v>1528</v>
      </c>
      <c r="B983" s="32" t="s">
        <v>1262</v>
      </c>
      <c r="C983" s="33">
        <v>1</v>
      </c>
      <c r="D983" s="34" t="s">
        <v>1530</v>
      </c>
      <c r="E983" s="36">
        <v>40943</v>
      </c>
      <c r="F983" s="36">
        <f>TRUNC(E983*$C983,0)</f>
        <v>40943</v>
      </c>
      <c r="G983" s="36">
        <v>217084</v>
      </c>
      <c r="H983" s="36">
        <f>TRUNC(G983*$C983,0)</f>
        <v>217084</v>
      </c>
      <c r="I983" s="36">
        <v>0</v>
      </c>
      <c r="J983" s="36">
        <f>TRUNC(I983*$C983,0)</f>
        <v>0</v>
      </c>
      <c r="K983" s="36">
        <f t="shared" si="156"/>
        <v>258027</v>
      </c>
      <c r="L983" s="36">
        <f t="shared" si="156"/>
        <v>258027</v>
      </c>
      <c r="M983" s="37"/>
      <c r="N983" s="253"/>
      <c r="O983" s="38"/>
    </row>
    <row r="984" spans="1:15" s="29" customFormat="1" ht="24.95" customHeight="1">
      <c r="A984" s="31" t="s">
        <v>1528</v>
      </c>
      <c r="B984" s="32" t="s">
        <v>1155</v>
      </c>
      <c r="C984" s="33">
        <v>22</v>
      </c>
      <c r="D984" s="34" t="s">
        <v>1530</v>
      </c>
      <c r="E984" s="36">
        <v>49133</v>
      </c>
      <c r="F984" s="36">
        <f>TRUNC(E984*$C984,0)</f>
        <v>1080926</v>
      </c>
      <c r="G984" s="36">
        <v>266149</v>
      </c>
      <c r="H984" s="36">
        <f>TRUNC(G984*$C984,0)</f>
        <v>5855278</v>
      </c>
      <c r="I984" s="36">
        <v>0</v>
      </c>
      <c r="J984" s="36">
        <f>TRUNC(I984*$C984,0)</f>
        <v>0</v>
      </c>
      <c r="K984" s="36">
        <f t="shared" si="156"/>
        <v>315282</v>
      </c>
      <c r="L984" s="36">
        <f t="shared" si="156"/>
        <v>6936204</v>
      </c>
      <c r="M984" s="37"/>
      <c r="N984" s="253"/>
      <c r="O984" s="38"/>
    </row>
    <row r="985" spans="1:15" s="29" customFormat="1" ht="24.95" customHeight="1">
      <c r="A985" s="31" t="s">
        <v>1528</v>
      </c>
      <c r="B985" s="32" t="s">
        <v>1518</v>
      </c>
      <c r="C985" s="33">
        <v>9</v>
      </c>
      <c r="D985" s="34" t="s">
        <v>1530</v>
      </c>
      <c r="E985" s="36">
        <v>62751</v>
      </c>
      <c r="F985" s="36">
        <f>TRUNC(E985*$C985,0)</f>
        <v>564759</v>
      </c>
      <c r="G985" s="36">
        <v>511179</v>
      </c>
      <c r="H985" s="36">
        <f>TRUNC(G985*$C985,0)</f>
        <v>4600611</v>
      </c>
      <c r="I985" s="36">
        <v>0</v>
      </c>
      <c r="J985" s="36">
        <f>TRUNC(I985*$C985,0)</f>
        <v>0</v>
      </c>
      <c r="K985" s="36">
        <f t="shared" si="156"/>
        <v>573930</v>
      </c>
      <c r="L985" s="36">
        <f t="shared" si="156"/>
        <v>5165370</v>
      </c>
      <c r="M985" s="37"/>
      <c r="N985" s="253"/>
      <c r="O985" s="38"/>
    </row>
    <row r="986" spans="1:15" s="29" customFormat="1" ht="24.95" customHeight="1">
      <c r="A986" s="31" t="s">
        <v>1528</v>
      </c>
      <c r="B986" s="32" t="s">
        <v>1531</v>
      </c>
      <c r="C986" s="33">
        <v>2</v>
      </c>
      <c r="D986" s="34" t="s">
        <v>1530</v>
      </c>
      <c r="E986" s="36">
        <v>79487</v>
      </c>
      <c r="F986" s="36">
        <f>TRUNC(E986*$C986,0)</f>
        <v>158974</v>
      </c>
      <c r="G986" s="36">
        <v>728953</v>
      </c>
      <c r="H986" s="36">
        <f>TRUNC(G986*$C986,0)</f>
        <v>1457906</v>
      </c>
      <c r="I986" s="36">
        <v>5328</v>
      </c>
      <c r="J986" s="36">
        <f>TRUNC(I986*$C986,0)</f>
        <v>10656</v>
      </c>
      <c r="K986" s="36">
        <f t="shared" si="156"/>
        <v>813768</v>
      </c>
      <c r="L986" s="36">
        <f t="shared" si="156"/>
        <v>1627536</v>
      </c>
      <c r="M986" s="37"/>
      <c r="N986" s="253"/>
      <c r="O986" s="38"/>
    </row>
    <row r="987" spans="1:15" s="29" customFormat="1" ht="24.95" customHeight="1">
      <c r="A987" s="31" t="s">
        <v>1534</v>
      </c>
      <c r="B987" s="32" t="s">
        <v>22</v>
      </c>
      <c r="C987" s="33"/>
      <c r="D987" s="34" t="s">
        <v>22</v>
      </c>
      <c r="E987" s="34"/>
      <c r="F987" s="36">
        <f>TRUNC(F988+F989,0)</f>
        <v>411833</v>
      </c>
      <c r="G987" s="34"/>
      <c r="H987" s="36">
        <f>TRUNC(H988+H989,0)</f>
        <v>19344162</v>
      </c>
      <c r="I987" s="34"/>
      <c r="J987" s="36">
        <f>TRUNC(J988+J989,0)</f>
        <v>5328</v>
      </c>
      <c r="K987" s="36">
        <f t="shared" si="156"/>
        <v>0</v>
      </c>
      <c r="L987" s="36">
        <f t="shared" si="156"/>
        <v>19761323</v>
      </c>
      <c r="M987" s="37"/>
      <c r="N987" s="253"/>
    </row>
    <row r="988" spans="1:15" s="29" customFormat="1" ht="24.95" customHeight="1">
      <c r="A988" s="31" t="s">
        <v>1535</v>
      </c>
      <c r="B988" s="32" t="s">
        <v>1155</v>
      </c>
      <c r="C988" s="33">
        <v>6</v>
      </c>
      <c r="D988" s="34" t="s">
        <v>1530</v>
      </c>
      <c r="E988" s="36">
        <v>55391</v>
      </c>
      <c r="F988" s="36">
        <f>TRUNC(E988*$C988,0)</f>
        <v>332346</v>
      </c>
      <c r="G988" s="36">
        <v>256028</v>
      </c>
      <c r="H988" s="36">
        <f>TRUNC(G988*$C988,0)</f>
        <v>1536168</v>
      </c>
      <c r="I988" s="36">
        <v>0</v>
      </c>
      <c r="J988" s="36">
        <f>TRUNC(I988*$C988,0)</f>
        <v>0</v>
      </c>
      <c r="K988" s="36">
        <f t="shared" si="156"/>
        <v>311419</v>
      </c>
      <c r="L988" s="36">
        <f t="shared" si="156"/>
        <v>1868514</v>
      </c>
      <c r="M988" s="37"/>
      <c r="N988" s="253"/>
      <c r="O988" s="38"/>
    </row>
    <row r="989" spans="1:15" s="29" customFormat="1" ht="24.95" customHeight="1">
      <c r="A989" s="31" t="s">
        <v>1536</v>
      </c>
      <c r="B989" s="32" t="s">
        <v>1531</v>
      </c>
      <c r="C989" s="33">
        <v>1</v>
      </c>
      <c r="D989" s="34" t="s">
        <v>1530</v>
      </c>
      <c r="E989" s="36">
        <v>79487</v>
      </c>
      <c r="F989" s="36">
        <f>TRUNC(E989*$C989,0)</f>
        <v>79487</v>
      </c>
      <c r="G989" s="36">
        <v>17807994</v>
      </c>
      <c r="H989" s="36">
        <f>TRUNC(G989*$C989,0)</f>
        <v>17807994</v>
      </c>
      <c r="I989" s="36">
        <v>5328</v>
      </c>
      <c r="J989" s="36">
        <f>TRUNC(I989*$C989,0)</f>
        <v>5328</v>
      </c>
      <c r="K989" s="36">
        <f t="shared" si="156"/>
        <v>17892809</v>
      </c>
      <c r="L989" s="36">
        <f t="shared" si="156"/>
        <v>17892809</v>
      </c>
      <c r="M989" s="37"/>
      <c r="N989" s="253"/>
      <c r="O989" s="38"/>
    </row>
    <row r="990" spans="1:15" s="29" customFormat="1" ht="24.95" customHeight="1">
      <c r="A990" s="31" t="s">
        <v>1537</v>
      </c>
      <c r="B990" s="32" t="s">
        <v>22</v>
      </c>
      <c r="C990" s="33"/>
      <c r="D990" s="34" t="s">
        <v>22</v>
      </c>
      <c r="E990" s="34"/>
      <c r="F990" s="36">
        <f>TRUNC(F991+F992+F993,0)</f>
        <v>626577</v>
      </c>
      <c r="G990" s="34"/>
      <c r="H990" s="36">
        <f>TRUNC(H991+H992+H993,0)</f>
        <v>36322069</v>
      </c>
      <c r="I990" s="34"/>
      <c r="J990" s="36">
        <f>TRUNC(J991+J992+J993,0)</f>
        <v>5528</v>
      </c>
      <c r="K990" s="36">
        <f t="shared" si="156"/>
        <v>0</v>
      </c>
      <c r="L990" s="36">
        <f t="shared" si="156"/>
        <v>36954174</v>
      </c>
      <c r="M990" s="37"/>
      <c r="N990" s="253"/>
    </row>
    <row r="991" spans="1:15" s="29" customFormat="1" ht="24.95" customHeight="1">
      <c r="A991" s="31" t="s">
        <v>1538</v>
      </c>
      <c r="B991" s="32" t="s">
        <v>1155</v>
      </c>
      <c r="C991" s="33">
        <v>1</v>
      </c>
      <c r="D991" s="34" t="s">
        <v>960</v>
      </c>
      <c r="E991" s="36">
        <v>175402</v>
      </c>
      <c r="F991" s="36">
        <f>TRUNC(E991*$C991,0)</f>
        <v>175402</v>
      </c>
      <c r="G991" s="36">
        <v>11413127</v>
      </c>
      <c r="H991" s="36">
        <f>TRUNC(G991*$C991,0)</f>
        <v>11413127</v>
      </c>
      <c r="I991" s="36">
        <v>1753</v>
      </c>
      <c r="J991" s="36">
        <f>TRUNC(I991*$C991,0)</f>
        <v>1753</v>
      </c>
      <c r="K991" s="36">
        <f t="shared" si="156"/>
        <v>11590282</v>
      </c>
      <c r="L991" s="36">
        <f t="shared" si="156"/>
        <v>11590282</v>
      </c>
      <c r="M991" s="37"/>
      <c r="N991" s="253"/>
      <c r="O991" s="38"/>
    </row>
    <row r="992" spans="1:15" s="29" customFormat="1" ht="24.95" customHeight="1">
      <c r="A992" s="31" t="s">
        <v>1538</v>
      </c>
      <c r="B992" s="32" t="s">
        <v>1518</v>
      </c>
      <c r="C992" s="33">
        <v>1</v>
      </c>
      <c r="D992" s="34" t="s">
        <v>960</v>
      </c>
      <c r="E992" s="36">
        <v>175402</v>
      </c>
      <c r="F992" s="36">
        <f>TRUNC(E992*$C992,0)</f>
        <v>175402</v>
      </c>
      <c r="G992" s="36">
        <v>11996280</v>
      </c>
      <c r="H992" s="36">
        <f>TRUNC(G992*$C992,0)</f>
        <v>11996280</v>
      </c>
      <c r="I992" s="36">
        <v>1018</v>
      </c>
      <c r="J992" s="36">
        <f>TRUNC(I992*$C992,0)</f>
        <v>1018</v>
      </c>
      <c r="K992" s="36">
        <f t="shared" si="156"/>
        <v>12172700</v>
      </c>
      <c r="L992" s="36">
        <f t="shared" si="156"/>
        <v>12172700</v>
      </c>
      <c r="M992" s="37"/>
      <c r="N992" s="253"/>
      <c r="O992" s="38"/>
    </row>
    <row r="993" spans="1:15" s="29" customFormat="1" ht="24.95" customHeight="1">
      <c r="A993" s="31" t="s">
        <v>1538</v>
      </c>
      <c r="B993" s="32" t="s">
        <v>1531</v>
      </c>
      <c r="C993" s="33">
        <v>1</v>
      </c>
      <c r="D993" s="34" t="s">
        <v>960</v>
      </c>
      <c r="E993" s="36">
        <v>275773</v>
      </c>
      <c r="F993" s="36">
        <f>TRUNC(E993*$C993,0)</f>
        <v>275773</v>
      </c>
      <c r="G993" s="36">
        <v>12912662</v>
      </c>
      <c r="H993" s="36">
        <f>TRUNC(G993*$C993,0)</f>
        <v>12912662</v>
      </c>
      <c r="I993" s="36">
        <v>2757</v>
      </c>
      <c r="J993" s="36">
        <f>TRUNC(I993*$C993,0)</f>
        <v>2757</v>
      </c>
      <c r="K993" s="36">
        <f t="shared" si="156"/>
        <v>13191192</v>
      </c>
      <c r="L993" s="36">
        <f t="shared" si="156"/>
        <v>13191192</v>
      </c>
      <c r="M993" s="37"/>
      <c r="N993" s="253"/>
      <c r="O993" s="38"/>
    </row>
    <row r="994" spans="1:15" s="29" customFormat="1" ht="24.95" customHeight="1">
      <c r="A994" s="31" t="s">
        <v>1545</v>
      </c>
      <c r="B994" s="32" t="s">
        <v>22</v>
      </c>
      <c r="C994" s="33"/>
      <c r="D994" s="34" t="s">
        <v>22</v>
      </c>
      <c r="E994" s="34"/>
      <c r="F994" s="36">
        <f>TRUNC(F995+F996+F997+F998,0)</f>
        <v>520670</v>
      </c>
      <c r="G994" s="34"/>
      <c r="H994" s="36">
        <f>TRUNC(H995+H996+H997+H998,0)</f>
        <v>10413435</v>
      </c>
      <c r="I994" s="34"/>
      <c r="J994" s="36">
        <f>TRUNC(J995+J996+J997+J998,0)</f>
        <v>0</v>
      </c>
      <c r="K994" s="36">
        <f t="shared" si="156"/>
        <v>0</v>
      </c>
      <c r="L994" s="36">
        <f t="shared" si="156"/>
        <v>10934105</v>
      </c>
      <c r="M994" s="37"/>
      <c r="N994" s="253"/>
    </row>
    <row r="995" spans="1:15" s="29" customFormat="1" ht="24.95" customHeight="1">
      <c r="A995" s="31" t="s">
        <v>1546</v>
      </c>
      <c r="B995" s="32" t="s">
        <v>1548</v>
      </c>
      <c r="C995" s="33">
        <v>5</v>
      </c>
      <c r="D995" s="34" t="s">
        <v>1530</v>
      </c>
      <c r="E995" s="36">
        <v>39571</v>
      </c>
      <c r="F995" s="36">
        <f>TRUNC(E995*$C995,0)</f>
        <v>197855</v>
      </c>
      <c r="G995" s="36">
        <v>791421</v>
      </c>
      <c r="H995" s="36">
        <f>TRUNC(G995*$C995,0)</f>
        <v>3957105</v>
      </c>
      <c r="I995" s="36">
        <v>0</v>
      </c>
      <c r="J995" s="36">
        <f>TRUNC(I995*$C995,0)</f>
        <v>0</v>
      </c>
      <c r="K995" s="36">
        <f t="shared" si="156"/>
        <v>830992</v>
      </c>
      <c r="L995" s="36">
        <f t="shared" si="156"/>
        <v>4154960</v>
      </c>
      <c r="M995" s="37"/>
      <c r="N995" s="253"/>
      <c r="O995" s="38"/>
    </row>
    <row r="996" spans="1:15" s="29" customFormat="1" ht="24.95" customHeight="1">
      <c r="A996" s="31" t="s">
        <v>1546</v>
      </c>
      <c r="B996" s="32" t="s">
        <v>1549</v>
      </c>
      <c r="C996" s="33">
        <v>2</v>
      </c>
      <c r="D996" s="34" t="s">
        <v>1530</v>
      </c>
      <c r="E996" s="36">
        <v>74143</v>
      </c>
      <c r="F996" s="36">
        <f>TRUNC(E996*$C996,0)</f>
        <v>148286</v>
      </c>
      <c r="G996" s="36">
        <v>1482873</v>
      </c>
      <c r="H996" s="36">
        <f>TRUNC(G996*$C996,0)</f>
        <v>2965746</v>
      </c>
      <c r="I996" s="36">
        <v>0</v>
      </c>
      <c r="J996" s="36">
        <f>TRUNC(I996*$C996,0)</f>
        <v>0</v>
      </c>
      <c r="K996" s="36">
        <f t="shared" si="156"/>
        <v>1557016</v>
      </c>
      <c r="L996" s="36">
        <f t="shared" si="156"/>
        <v>3114032</v>
      </c>
      <c r="M996" s="37"/>
      <c r="N996" s="253"/>
      <c r="O996" s="38"/>
    </row>
    <row r="997" spans="1:15" s="29" customFormat="1" ht="24.95" customHeight="1">
      <c r="A997" s="31" t="s">
        <v>1551</v>
      </c>
      <c r="B997" s="32" t="s">
        <v>1553</v>
      </c>
      <c r="C997" s="33">
        <v>2</v>
      </c>
      <c r="D997" s="34" t="s">
        <v>1530</v>
      </c>
      <c r="E997" s="36">
        <v>44986</v>
      </c>
      <c r="F997" s="36">
        <f>TRUNC(E997*$C997,0)</f>
        <v>89972</v>
      </c>
      <c r="G997" s="36">
        <v>899721</v>
      </c>
      <c r="H997" s="36">
        <f>TRUNC(G997*$C997,0)</f>
        <v>1799442</v>
      </c>
      <c r="I997" s="36">
        <v>0</v>
      </c>
      <c r="J997" s="36">
        <f>TRUNC(I997*$C997,0)</f>
        <v>0</v>
      </c>
      <c r="K997" s="36">
        <f t="shared" si="156"/>
        <v>944707</v>
      </c>
      <c r="L997" s="36">
        <f t="shared" si="156"/>
        <v>1889414</v>
      </c>
      <c r="M997" s="37"/>
      <c r="N997" s="253"/>
      <c r="O997" s="38"/>
    </row>
    <row r="998" spans="1:15" s="29" customFormat="1" ht="24.95" customHeight="1">
      <c r="A998" s="31" t="s">
        <v>1551</v>
      </c>
      <c r="B998" s="32" t="s">
        <v>1554</v>
      </c>
      <c r="C998" s="33">
        <v>1</v>
      </c>
      <c r="D998" s="34" t="s">
        <v>1530</v>
      </c>
      <c r="E998" s="36">
        <v>84557</v>
      </c>
      <c r="F998" s="36">
        <f>TRUNC(E998*$C998,0)</f>
        <v>84557</v>
      </c>
      <c r="G998" s="36">
        <v>1691142</v>
      </c>
      <c r="H998" s="36">
        <f>TRUNC(G998*$C998,0)</f>
        <v>1691142</v>
      </c>
      <c r="I998" s="36">
        <v>0</v>
      </c>
      <c r="J998" s="36">
        <f>TRUNC(I998*$C998,0)</f>
        <v>0</v>
      </c>
      <c r="K998" s="36">
        <f t="shared" si="156"/>
        <v>1775699</v>
      </c>
      <c r="L998" s="36">
        <f t="shared" si="156"/>
        <v>1775699</v>
      </c>
      <c r="M998" s="37"/>
      <c r="N998" s="253"/>
      <c r="O998" s="38"/>
    </row>
    <row r="999" spans="1:15" s="63" customFormat="1" ht="24.95" customHeight="1">
      <c r="A999" s="57" t="s">
        <v>1558</v>
      </c>
      <c r="B999" s="58" t="s">
        <v>22</v>
      </c>
      <c r="C999" s="59"/>
      <c r="D999" s="60" t="s">
        <v>22</v>
      </c>
      <c r="E999" s="60"/>
      <c r="F999" s="61">
        <f>TRUNC(F1001+F1002+F1004+F1005+F1007+F1008+F1010,0)</f>
        <v>24595812</v>
      </c>
      <c r="G999" s="60"/>
      <c r="H999" s="61">
        <f>TRUNC(H1001+H1002+H1004+H1005+H1007+H1008+H1010,0)</f>
        <v>21710355</v>
      </c>
      <c r="I999" s="60"/>
      <c r="J999" s="61">
        <f>TRUNC(J1001+J1002+J1004+J1005+J1007+J1008+J1010,0)</f>
        <v>248802</v>
      </c>
      <c r="K999" s="61">
        <f t="shared" si="156"/>
        <v>0</v>
      </c>
      <c r="L999" s="61">
        <f t="shared" si="156"/>
        <v>46554969</v>
      </c>
      <c r="M999" s="62"/>
      <c r="N999" s="253"/>
    </row>
    <row r="1000" spans="1:15" s="29" customFormat="1" ht="24.95" customHeight="1">
      <c r="A1000" s="31" t="s">
        <v>1693</v>
      </c>
      <c r="B1000" s="32" t="s">
        <v>22</v>
      </c>
      <c r="C1000" s="33"/>
      <c r="D1000" s="34" t="s">
        <v>22</v>
      </c>
      <c r="E1000" s="34"/>
      <c r="F1000" s="36">
        <f>TRUNC(F1001+F1002,0)</f>
        <v>9234744</v>
      </c>
      <c r="G1000" s="34"/>
      <c r="H1000" s="36">
        <f>TRUNC(H1001+H1002,0)</f>
        <v>5655312</v>
      </c>
      <c r="I1000" s="34"/>
      <c r="J1000" s="36">
        <f>TRUNC(J1001+J1002,0)</f>
        <v>94176</v>
      </c>
      <c r="K1000" s="36">
        <f t="shared" si="156"/>
        <v>0</v>
      </c>
      <c r="L1000" s="36">
        <f t="shared" si="156"/>
        <v>14984232</v>
      </c>
      <c r="M1000" s="37"/>
      <c r="N1000" s="253"/>
    </row>
    <row r="1001" spans="1:15" s="29" customFormat="1" ht="24.95" customHeight="1">
      <c r="A1001" s="31" t="s">
        <v>1569</v>
      </c>
      <c r="B1001" s="32" t="s">
        <v>1567</v>
      </c>
      <c r="C1001" s="33">
        <v>6</v>
      </c>
      <c r="D1001" s="34" t="s">
        <v>1014</v>
      </c>
      <c r="E1001" s="36">
        <v>1497751</v>
      </c>
      <c r="F1001" s="36">
        <f>TRUNC(E1001*$C1001,0)</f>
        <v>8986506</v>
      </c>
      <c r="G1001" s="36">
        <v>942552</v>
      </c>
      <c r="H1001" s="36">
        <f>TRUNC(G1001*$C1001,0)</f>
        <v>5655312</v>
      </c>
      <c r="I1001" s="36">
        <v>15696</v>
      </c>
      <c r="J1001" s="36">
        <f>TRUNC(I1001*$C1001,0)</f>
        <v>94176</v>
      </c>
      <c r="K1001" s="36">
        <f t="shared" si="156"/>
        <v>2455999</v>
      </c>
      <c r="L1001" s="36">
        <f t="shared" si="156"/>
        <v>14735994</v>
      </c>
      <c r="M1001" s="37"/>
      <c r="N1001" s="253"/>
      <c r="O1001" s="38"/>
    </row>
    <row r="1002" spans="1:15" s="29" customFormat="1" ht="24.95" customHeight="1">
      <c r="A1002" s="31" t="s">
        <v>1564</v>
      </c>
      <c r="B1002" s="32" t="s">
        <v>22</v>
      </c>
      <c r="C1002" s="33">
        <v>6</v>
      </c>
      <c r="D1002" s="34" t="s">
        <v>1014</v>
      </c>
      <c r="E1002" s="36">
        <v>41373</v>
      </c>
      <c r="F1002" s="36">
        <f>TRUNC(E1002*$C1002,0)</f>
        <v>248238</v>
      </c>
      <c r="G1002" s="36">
        <v>0</v>
      </c>
      <c r="H1002" s="36">
        <f>TRUNC(G1002*$C1002,0)</f>
        <v>0</v>
      </c>
      <c r="I1002" s="36">
        <v>0</v>
      </c>
      <c r="J1002" s="36">
        <f>TRUNC(I1002*$C1002,0)</f>
        <v>0</v>
      </c>
      <c r="K1002" s="36">
        <f t="shared" si="156"/>
        <v>41373</v>
      </c>
      <c r="L1002" s="36">
        <f t="shared" si="156"/>
        <v>248238</v>
      </c>
      <c r="M1002" s="37"/>
      <c r="N1002" s="253"/>
      <c r="O1002" s="38"/>
    </row>
    <row r="1003" spans="1:15" s="29" customFormat="1" ht="24.95" customHeight="1">
      <c r="A1003" s="31" t="s">
        <v>1565</v>
      </c>
      <c r="B1003" s="32" t="s">
        <v>22</v>
      </c>
      <c r="C1003" s="33"/>
      <c r="D1003" s="34" t="s">
        <v>22</v>
      </c>
      <c r="E1003" s="34"/>
      <c r="F1003" s="36">
        <f>TRUNC(F1004+F1005,0)</f>
        <v>9034620</v>
      </c>
      <c r="G1003" s="34"/>
      <c r="H1003" s="36">
        <f>TRUNC(H1004+H1005,0)</f>
        <v>5655012</v>
      </c>
      <c r="I1003" s="34"/>
      <c r="J1003" s="36">
        <f>TRUNC(J1004+J1005,0)</f>
        <v>93756</v>
      </c>
      <c r="K1003" s="36">
        <f t="shared" si="156"/>
        <v>0</v>
      </c>
      <c r="L1003" s="36">
        <f t="shared" si="156"/>
        <v>14783388</v>
      </c>
      <c r="M1003" s="37"/>
      <c r="N1003" s="253"/>
    </row>
    <row r="1004" spans="1:15" s="29" customFormat="1" ht="24.95" customHeight="1">
      <c r="A1004" s="31" t="s">
        <v>1566</v>
      </c>
      <c r="B1004" s="32" t="s">
        <v>1567</v>
      </c>
      <c r="C1004" s="33">
        <v>6</v>
      </c>
      <c r="D1004" s="34" t="s">
        <v>1014</v>
      </c>
      <c r="E1004" s="36">
        <v>1464397</v>
      </c>
      <c r="F1004" s="36">
        <f>TRUNC(E1004*$C1004,0)</f>
        <v>8786382</v>
      </c>
      <c r="G1004" s="36">
        <v>942502</v>
      </c>
      <c r="H1004" s="36">
        <f>TRUNC(G1004*$C1004,0)</f>
        <v>5655012</v>
      </c>
      <c r="I1004" s="36">
        <v>15626</v>
      </c>
      <c r="J1004" s="36">
        <f>TRUNC(I1004*$C1004,0)</f>
        <v>93756</v>
      </c>
      <c r="K1004" s="36">
        <f t="shared" si="156"/>
        <v>2422525</v>
      </c>
      <c r="L1004" s="36">
        <f t="shared" si="156"/>
        <v>14535150</v>
      </c>
      <c r="M1004" s="37"/>
      <c r="N1004" s="253"/>
      <c r="O1004" s="38"/>
    </row>
    <row r="1005" spans="1:15" s="29" customFormat="1" ht="24.95" customHeight="1">
      <c r="A1005" s="31" t="s">
        <v>1564</v>
      </c>
      <c r="B1005" s="32" t="s">
        <v>22</v>
      </c>
      <c r="C1005" s="33">
        <v>6</v>
      </c>
      <c r="D1005" s="34" t="s">
        <v>1014</v>
      </c>
      <c r="E1005" s="36">
        <v>41373</v>
      </c>
      <c r="F1005" s="36">
        <f>TRUNC(E1005*$C1005,0)</f>
        <v>248238</v>
      </c>
      <c r="G1005" s="36">
        <v>0</v>
      </c>
      <c r="H1005" s="36">
        <f>TRUNC(G1005*$C1005,0)</f>
        <v>0</v>
      </c>
      <c r="I1005" s="36">
        <v>0</v>
      </c>
      <c r="J1005" s="36">
        <f>TRUNC(I1005*$C1005,0)</f>
        <v>0</v>
      </c>
      <c r="K1005" s="36">
        <f t="shared" si="156"/>
        <v>41373</v>
      </c>
      <c r="L1005" s="36">
        <f t="shared" si="156"/>
        <v>248238</v>
      </c>
      <c r="M1005" s="37"/>
      <c r="N1005" s="253"/>
      <c r="O1005" s="38"/>
    </row>
    <row r="1006" spans="1:15" s="29" customFormat="1" ht="24.95" customHeight="1">
      <c r="A1006" s="31" t="s">
        <v>1694</v>
      </c>
      <c r="B1006" s="32" t="s">
        <v>22</v>
      </c>
      <c r="C1006" s="33"/>
      <c r="D1006" s="34" t="s">
        <v>22</v>
      </c>
      <c r="E1006" s="34"/>
      <c r="F1006" s="36">
        <f>TRUNC(F1007+F1008,0)</f>
        <v>5767158</v>
      </c>
      <c r="G1006" s="34"/>
      <c r="H1006" s="36">
        <f>TRUNC(H1007+H1008,0)</f>
        <v>3680961</v>
      </c>
      <c r="I1006" s="34"/>
      <c r="J1006" s="36">
        <f>TRUNC(J1007+J1008,0)</f>
        <v>60870</v>
      </c>
      <c r="K1006" s="36">
        <f t="shared" si="156"/>
        <v>0</v>
      </c>
      <c r="L1006" s="36">
        <f t="shared" si="156"/>
        <v>9508989</v>
      </c>
      <c r="M1006" s="37"/>
      <c r="N1006" s="253"/>
    </row>
    <row r="1007" spans="1:15" s="29" customFormat="1" ht="24.95" customHeight="1">
      <c r="A1007" s="31" t="s">
        <v>1571</v>
      </c>
      <c r="B1007" s="32" t="s">
        <v>1572</v>
      </c>
      <c r="C1007" s="33">
        <v>3</v>
      </c>
      <c r="D1007" s="34" t="s">
        <v>1014</v>
      </c>
      <c r="E1007" s="36">
        <v>1881013</v>
      </c>
      <c r="F1007" s="36">
        <f>TRUNC(E1007*$C1007,0)</f>
        <v>5643039</v>
      </c>
      <c r="G1007" s="36">
        <v>1226987</v>
      </c>
      <c r="H1007" s="36">
        <f>TRUNC(G1007*$C1007,0)</f>
        <v>3680961</v>
      </c>
      <c r="I1007" s="36">
        <v>20290</v>
      </c>
      <c r="J1007" s="36">
        <f>TRUNC(I1007*$C1007,0)</f>
        <v>60870</v>
      </c>
      <c r="K1007" s="36">
        <f t="shared" si="156"/>
        <v>3128290</v>
      </c>
      <c r="L1007" s="36">
        <f t="shared" si="156"/>
        <v>9384870</v>
      </c>
      <c r="M1007" s="37"/>
      <c r="N1007" s="253"/>
      <c r="O1007" s="38"/>
    </row>
    <row r="1008" spans="1:15" s="29" customFormat="1" ht="24.95" customHeight="1">
      <c r="A1008" s="31" t="s">
        <v>1564</v>
      </c>
      <c r="B1008" s="32" t="s">
        <v>22</v>
      </c>
      <c r="C1008" s="33">
        <v>3</v>
      </c>
      <c r="D1008" s="34" t="s">
        <v>1014</v>
      </c>
      <c r="E1008" s="36">
        <v>41373</v>
      </c>
      <c r="F1008" s="36">
        <f>TRUNC(E1008*$C1008,0)</f>
        <v>124119</v>
      </c>
      <c r="G1008" s="36">
        <v>0</v>
      </c>
      <c r="H1008" s="36">
        <f>TRUNC(G1008*$C1008,0)</f>
        <v>0</v>
      </c>
      <c r="I1008" s="36">
        <v>0</v>
      </c>
      <c r="J1008" s="36">
        <f>TRUNC(I1008*$C1008,0)</f>
        <v>0</v>
      </c>
      <c r="K1008" s="36">
        <f t="shared" si="156"/>
        <v>41373</v>
      </c>
      <c r="L1008" s="36">
        <f t="shared" si="156"/>
        <v>124119</v>
      </c>
      <c r="M1008" s="37"/>
      <c r="N1008" s="253"/>
      <c r="O1008" s="38"/>
    </row>
    <row r="1009" spans="1:15" s="29" customFormat="1" ht="24.95" customHeight="1">
      <c r="A1009" s="31" t="s">
        <v>1695</v>
      </c>
      <c r="B1009" s="32" t="s">
        <v>22</v>
      </c>
      <c r="C1009" s="33"/>
      <c r="D1009" s="34" t="s">
        <v>22</v>
      </c>
      <c r="E1009" s="34"/>
      <c r="F1009" s="36">
        <f>TRUNC(F1010,0)</f>
        <v>559290</v>
      </c>
      <c r="G1009" s="34"/>
      <c r="H1009" s="36">
        <f>TRUNC(H1010,0)</f>
        <v>6719070</v>
      </c>
      <c r="I1009" s="34"/>
      <c r="J1009" s="36">
        <f>TRUNC(J1010,0)</f>
        <v>0</v>
      </c>
      <c r="K1009" s="36">
        <f t="shared" si="156"/>
        <v>0</v>
      </c>
      <c r="L1009" s="36">
        <f t="shared" si="156"/>
        <v>7278360</v>
      </c>
      <c r="M1009" s="37"/>
      <c r="N1009" s="253"/>
    </row>
    <row r="1010" spans="1:15" s="29" customFormat="1" ht="24.95" customHeight="1">
      <c r="A1010" s="31" t="s">
        <v>1574</v>
      </c>
      <c r="B1010" s="32" t="s">
        <v>1575</v>
      </c>
      <c r="C1010" s="33">
        <v>30</v>
      </c>
      <c r="D1010" s="34" t="s">
        <v>1014</v>
      </c>
      <c r="E1010" s="36">
        <v>18643</v>
      </c>
      <c r="F1010" s="36">
        <f>TRUNC(E1010*$C1010,0)</f>
        <v>559290</v>
      </c>
      <c r="G1010" s="36">
        <v>223969</v>
      </c>
      <c r="H1010" s="36">
        <f>TRUNC(G1010*$C1010,0)</f>
        <v>6719070</v>
      </c>
      <c r="I1010" s="36">
        <v>0</v>
      </c>
      <c r="J1010" s="36">
        <f>TRUNC(I1010*$C1010,0)</f>
        <v>0</v>
      </c>
      <c r="K1010" s="36">
        <f t="shared" si="156"/>
        <v>242612</v>
      </c>
      <c r="L1010" s="36">
        <f t="shared" si="156"/>
        <v>7278360</v>
      </c>
      <c r="M1010" s="37"/>
      <c r="N1010" s="253"/>
      <c r="O1010" s="38"/>
    </row>
    <row r="1011" spans="1:15" s="63" customFormat="1" ht="24.95" customHeight="1">
      <c r="A1011" s="57" t="s">
        <v>1577</v>
      </c>
      <c r="B1011" s="58" t="s">
        <v>22</v>
      </c>
      <c r="C1011" s="59"/>
      <c r="D1011" s="60" t="s">
        <v>22</v>
      </c>
      <c r="E1011" s="60"/>
      <c r="F1011" s="61">
        <f>TRUNC(F1013+F1014,0)</f>
        <v>925148</v>
      </c>
      <c r="G1011" s="60"/>
      <c r="H1011" s="61">
        <f>TRUNC(H1013+H1014,0)</f>
        <v>1041232</v>
      </c>
      <c r="I1011" s="60"/>
      <c r="J1011" s="61">
        <f>TRUNC(J1013+J1014,0)</f>
        <v>76944</v>
      </c>
      <c r="K1011" s="61">
        <f t="shared" si="156"/>
        <v>0</v>
      </c>
      <c r="L1011" s="61">
        <f t="shared" si="156"/>
        <v>2043324</v>
      </c>
      <c r="M1011" s="62"/>
      <c r="N1011" s="253"/>
    </row>
    <row r="1012" spans="1:15" s="29" customFormat="1" ht="24.95" customHeight="1">
      <c r="A1012" s="31" t="s">
        <v>1578</v>
      </c>
      <c r="B1012" s="32" t="s">
        <v>22</v>
      </c>
      <c r="C1012" s="33"/>
      <c r="D1012" s="34" t="s">
        <v>22</v>
      </c>
      <c r="E1012" s="34"/>
      <c r="F1012" s="36">
        <f>TRUNC(F1013+F1014,0)</f>
        <v>925148</v>
      </c>
      <c r="G1012" s="34"/>
      <c r="H1012" s="36">
        <f>TRUNC(H1013+H1014,0)</f>
        <v>1041232</v>
      </c>
      <c r="I1012" s="34"/>
      <c r="J1012" s="36">
        <f>TRUNC(J1013+J1014,0)</f>
        <v>76944</v>
      </c>
      <c r="K1012" s="36">
        <f t="shared" si="156"/>
        <v>0</v>
      </c>
      <c r="L1012" s="36">
        <f t="shared" si="156"/>
        <v>2043324</v>
      </c>
      <c r="M1012" s="37"/>
      <c r="N1012" s="253"/>
    </row>
    <row r="1013" spans="1:15" s="29" customFormat="1" ht="24.95" customHeight="1">
      <c r="A1013" s="31" t="s">
        <v>1339</v>
      </c>
      <c r="B1013" s="32" t="s">
        <v>1340</v>
      </c>
      <c r="C1013" s="33">
        <v>124</v>
      </c>
      <c r="D1013" s="34" t="s">
        <v>1014</v>
      </c>
      <c r="E1013" s="36">
        <v>0</v>
      </c>
      <c r="F1013" s="36">
        <f>TRUNC(E1013*$C1013,0)</f>
        <v>0</v>
      </c>
      <c r="G1013" s="36">
        <v>2049</v>
      </c>
      <c r="H1013" s="36">
        <f>TRUNC(G1013*$C1013,0)</f>
        <v>254076</v>
      </c>
      <c r="I1013" s="36">
        <v>102</v>
      </c>
      <c r="J1013" s="36">
        <f>TRUNC(I1013*$C1013,0)</f>
        <v>12648</v>
      </c>
      <c r="K1013" s="36">
        <f t="shared" si="156"/>
        <v>2151</v>
      </c>
      <c r="L1013" s="36">
        <f t="shared" si="156"/>
        <v>266724</v>
      </c>
      <c r="M1013" s="37"/>
      <c r="N1013" s="253"/>
      <c r="O1013" s="38"/>
    </row>
    <row r="1014" spans="1:15" s="29" customFormat="1" ht="24.95" customHeight="1">
      <c r="A1014" s="31" t="s">
        <v>1341</v>
      </c>
      <c r="B1014" s="32" t="s">
        <v>22</v>
      </c>
      <c r="C1014" s="33">
        <v>94</v>
      </c>
      <c r="D1014" s="34" t="s">
        <v>1014</v>
      </c>
      <c r="E1014" s="36">
        <v>9842</v>
      </c>
      <c r="F1014" s="36">
        <f>TRUNC(E1014*$C1014,0)</f>
        <v>925148</v>
      </c>
      <c r="G1014" s="36">
        <v>8374</v>
      </c>
      <c r="H1014" s="36">
        <f>TRUNC(G1014*$C1014,0)</f>
        <v>787156</v>
      </c>
      <c r="I1014" s="36">
        <v>684</v>
      </c>
      <c r="J1014" s="36">
        <f>TRUNC(I1014*$C1014,0)</f>
        <v>64296</v>
      </c>
      <c r="K1014" s="36">
        <f t="shared" si="156"/>
        <v>18900</v>
      </c>
      <c r="L1014" s="36">
        <f t="shared" si="156"/>
        <v>1776600</v>
      </c>
      <c r="M1014" s="37"/>
      <c r="N1014" s="253"/>
      <c r="O1014" s="38"/>
    </row>
    <row r="1015" spans="1:15" s="63" customFormat="1" ht="24.95" customHeight="1">
      <c r="A1015" s="57" t="s">
        <v>1579</v>
      </c>
      <c r="B1015" s="58" t="s">
        <v>22</v>
      </c>
      <c r="C1015" s="59"/>
      <c r="D1015" s="60" t="s">
        <v>22</v>
      </c>
      <c r="E1015" s="60"/>
      <c r="F1015" s="61">
        <f>TRUNC(F1017+F1019+F1021,0)</f>
        <v>0</v>
      </c>
      <c r="G1015" s="60"/>
      <c r="H1015" s="61">
        <f>TRUNC(H1017+H1019+H1021,0)</f>
        <v>0</v>
      </c>
      <c r="I1015" s="60"/>
      <c r="J1015" s="61">
        <f>TRUNC(J1017+J1019+J1021,0)</f>
        <v>2017091</v>
      </c>
      <c r="K1015" s="61">
        <f t="shared" si="156"/>
        <v>0</v>
      </c>
      <c r="L1015" s="61">
        <f t="shared" si="156"/>
        <v>2017091</v>
      </c>
      <c r="M1015" s="62"/>
      <c r="N1015" s="253"/>
    </row>
    <row r="1016" spans="1:15" s="29" customFormat="1" ht="24.95" customHeight="1">
      <c r="A1016" s="31" t="s">
        <v>1580</v>
      </c>
      <c r="B1016" s="32" t="s">
        <v>22</v>
      </c>
      <c r="C1016" s="33"/>
      <c r="D1016" s="34" t="s">
        <v>22</v>
      </c>
      <c r="E1016" s="34"/>
      <c r="F1016" s="36">
        <f>TRUNC(F1017,0)</f>
        <v>0</v>
      </c>
      <c r="G1016" s="34"/>
      <c r="H1016" s="36">
        <f>TRUNC(H1017,0)</f>
        <v>0</v>
      </c>
      <c r="I1016" s="34"/>
      <c r="J1016" s="36">
        <f>TRUNC(J1017,0)</f>
        <v>38388</v>
      </c>
      <c r="K1016" s="36">
        <f t="shared" si="156"/>
        <v>0</v>
      </c>
      <c r="L1016" s="36">
        <f t="shared" si="156"/>
        <v>38388</v>
      </c>
      <c r="M1016" s="37"/>
      <c r="N1016" s="253"/>
    </row>
    <row r="1017" spans="1:15" s="29" customFormat="1" ht="24.95" customHeight="1">
      <c r="A1017" s="31" t="s">
        <v>1581</v>
      </c>
      <c r="B1017" s="32" t="s">
        <v>1404</v>
      </c>
      <c r="C1017" s="33">
        <v>84</v>
      </c>
      <c r="D1017" s="34" t="s">
        <v>1405</v>
      </c>
      <c r="E1017" s="36">
        <v>0</v>
      </c>
      <c r="F1017" s="36">
        <f>TRUNC(E1017*$C1017,0)</f>
        <v>0</v>
      </c>
      <c r="G1017" s="36">
        <v>0</v>
      </c>
      <c r="H1017" s="36">
        <f>TRUNC(G1017*$C1017,0)</f>
        <v>0</v>
      </c>
      <c r="I1017" s="36">
        <v>457</v>
      </c>
      <c r="J1017" s="36">
        <f>TRUNC(I1017*$C1017,0)</f>
        <v>38388</v>
      </c>
      <c r="K1017" s="36">
        <f t="shared" si="156"/>
        <v>457</v>
      </c>
      <c r="L1017" s="36">
        <f t="shared" si="156"/>
        <v>38388</v>
      </c>
      <c r="M1017" s="37"/>
      <c r="N1017" s="253"/>
      <c r="O1017" s="38"/>
    </row>
    <row r="1018" spans="1:15" s="29" customFormat="1" ht="24.95" customHeight="1">
      <c r="A1018" s="31" t="s">
        <v>1582</v>
      </c>
      <c r="B1018" s="32" t="s">
        <v>22</v>
      </c>
      <c r="C1018" s="33"/>
      <c r="D1018" s="34" t="s">
        <v>22</v>
      </c>
      <c r="E1018" s="34"/>
      <c r="F1018" s="36">
        <f>TRUNC(F1019,0)</f>
        <v>0</v>
      </c>
      <c r="G1018" s="34"/>
      <c r="H1018" s="36">
        <f>TRUNC(H1019,0)</f>
        <v>0</v>
      </c>
      <c r="I1018" s="34"/>
      <c r="J1018" s="36">
        <f>TRUNC(J1019,0)</f>
        <v>73253</v>
      </c>
      <c r="K1018" s="36">
        <f t="shared" si="156"/>
        <v>0</v>
      </c>
      <c r="L1018" s="36">
        <f t="shared" si="156"/>
        <v>73253</v>
      </c>
      <c r="M1018" s="37"/>
      <c r="N1018" s="253"/>
    </row>
    <row r="1019" spans="1:15" s="29" customFormat="1" ht="24.95" customHeight="1">
      <c r="A1019" s="31" t="s">
        <v>1583</v>
      </c>
      <c r="B1019" s="32" t="s">
        <v>1211</v>
      </c>
      <c r="C1019" s="261">
        <v>7.524</v>
      </c>
      <c r="D1019" s="34" t="s">
        <v>1112</v>
      </c>
      <c r="E1019" s="36">
        <v>0</v>
      </c>
      <c r="F1019" s="36">
        <f>TRUNC(E1019*$C1019,0)</f>
        <v>0</v>
      </c>
      <c r="G1019" s="36">
        <v>0</v>
      </c>
      <c r="H1019" s="36">
        <f>TRUNC(G1019*$C1019,0)</f>
        <v>0</v>
      </c>
      <c r="I1019" s="36">
        <v>9736</v>
      </c>
      <c r="J1019" s="36">
        <f>TRUNC(I1019*$C1019,0)</f>
        <v>73253</v>
      </c>
      <c r="K1019" s="36">
        <f t="shared" si="156"/>
        <v>9736</v>
      </c>
      <c r="L1019" s="36">
        <f t="shared" si="156"/>
        <v>73253</v>
      </c>
      <c r="M1019" s="37"/>
      <c r="N1019" s="253"/>
      <c r="O1019" s="38"/>
    </row>
    <row r="1020" spans="1:15" s="29" customFormat="1" ht="24.95" customHeight="1">
      <c r="A1020" s="31" t="s">
        <v>1584</v>
      </c>
      <c r="B1020" s="32" t="s">
        <v>22</v>
      </c>
      <c r="C1020" s="33"/>
      <c r="D1020" s="34" t="s">
        <v>22</v>
      </c>
      <c r="E1020" s="34"/>
      <c r="F1020" s="36">
        <f>TRUNC(F1021,0)</f>
        <v>0</v>
      </c>
      <c r="G1020" s="34"/>
      <c r="H1020" s="36">
        <f>TRUNC(H1021,0)</f>
        <v>0</v>
      </c>
      <c r="I1020" s="34"/>
      <c r="J1020" s="36">
        <f>TRUNC(J1021,0)</f>
        <v>1905450</v>
      </c>
      <c r="K1020" s="36">
        <f t="shared" si="156"/>
        <v>0</v>
      </c>
      <c r="L1020" s="36">
        <f t="shared" si="156"/>
        <v>1905450</v>
      </c>
      <c r="M1020" s="37"/>
      <c r="N1020" s="253"/>
    </row>
    <row r="1021" spans="1:15" s="29" customFormat="1" ht="24.95" customHeight="1">
      <c r="A1021" s="31" t="s">
        <v>1585</v>
      </c>
      <c r="B1021" s="32" t="s">
        <v>1408</v>
      </c>
      <c r="C1021" s="261">
        <v>140.251</v>
      </c>
      <c r="D1021" s="34" t="s">
        <v>1112</v>
      </c>
      <c r="E1021" s="36">
        <v>0</v>
      </c>
      <c r="F1021" s="36">
        <f>TRUNC(E1021*$C1021,0)</f>
        <v>0</v>
      </c>
      <c r="G1021" s="36">
        <v>0</v>
      </c>
      <c r="H1021" s="36">
        <f>TRUNC(G1021*$C1021,0)</f>
        <v>0</v>
      </c>
      <c r="I1021" s="36">
        <v>13586</v>
      </c>
      <c r="J1021" s="36">
        <f>TRUNC(I1021*$C1021,0)</f>
        <v>1905450</v>
      </c>
      <c r="K1021" s="36">
        <f t="shared" si="156"/>
        <v>13586</v>
      </c>
      <c r="L1021" s="36">
        <f t="shared" si="156"/>
        <v>1905450</v>
      </c>
      <c r="M1021" s="37"/>
      <c r="N1021" s="253"/>
      <c r="O1021" s="38"/>
    </row>
    <row r="1022" spans="1:15" s="63" customFormat="1" ht="24.95" customHeight="1">
      <c r="A1022" s="57" t="s">
        <v>1586</v>
      </c>
      <c r="B1022" s="58" t="s">
        <v>22</v>
      </c>
      <c r="C1022" s="59"/>
      <c r="D1022" s="60" t="s">
        <v>22</v>
      </c>
      <c r="E1022" s="60"/>
      <c r="F1022" s="61">
        <f>F1023+F1026+F1028+F1031+F1033+F1036+F1039</f>
        <v>0</v>
      </c>
      <c r="G1022" s="60"/>
      <c r="H1022" s="61">
        <f>H1023+H1026+H1028+H1031+H1033+H1036+H1039</f>
        <v>291602337</v>
      </c>
      <c r="I1022" s="60"/>
      <c r="J1022" s="61">
        <f>J1023+J1026+J1028+J1031+J1033+J1036+J1039</f>
        <v>0</v>
      </c>
      <c r="K1022" s="61">
        <f t="shared" si="156"/>
        <v>0</v>
      </c>
      <c r="L1022" s="61">
        <f t="shared" si="156"/>
        <v>291602337</v>
      </c>
      <c r="M1022" s="62"/>
      <c r="N1022" s="253"/>
    </row>
    <row r="1023" spans="1:15" s="70" customFormat="1" ht="24.95" customHeight="1">
      <c r="A1023" s="64" t="s">
        <v>1587</v>
      </c>
      <c r="B1023" s="65" t="s">
        <v>22</v>
      </c>
      <c r="C1023" s="66"/>
      <c r="D1023" s="67" t="s">
        <v>22</v>
      </c>
      <c r="E1023" s="67"/>
      <c r="F1023" s="68">
        <f>TRUNC(F1024+F1025,0)</f>
        <v>0</v>
      </c>
      <c r="G1023" s="67"/>
      <c r="H1023" s="68">
        <f>TRUNC(H1024+H1025,0)</f>
        <v>6163047</v>
      </c>
      <c r="I1023" s="67"/>
      <c r="J1023" s="68">
        <f>TRUNC(J1024+J1025,0)</f>
        <v>0</v>
      </c>
      <c r="K1023" s="68">
        <f t="shared" si="156"/>
        <v>0</v>
      </c>
      <c r="L1023" s="68">
        <f t="shared" si="156"/>
        <v>6163047</v>
      </c>
      <c r="M1023" s="69"/>
      <c r="N1023" s="256"/>
    </row>
    <row r="1024" spans="1:15" s="29" customFormat="1" ht="24.95" customHeight="1">
      <c r="A1024" s="31" t="s">
        <v>1588</v>
      </c>
      <c r="B1024" s="32" t="s">
        <v>1258</v>
      </c>
      <c r="C1024" s="33">
        <v>65</v>
      </c>
      <c r="D1024" s="34" t="s">
        <v>815</v>
      </c>
      <c r="E1024" s="36">
        <v>0</v>
      </c>
      <c r="F1024" s="36">
        <f>TRUNC(E1024*$C1024,0)</f>
        <v>0</v>
      </c>
      <c r="G1024" s="36">
        <v>84807</v>
      </c>
      <c r="H1024" s="36">
        <f>TRUNC(G1024*$C1024,0)</f>
        <v>5512455</v>
      </c>
      <c r="I1024" s="36">
        <v>0</v>
      </c>
      <c r="J1024" s="36">
        <f>TRUNC(I1024*$C1024,0)</f>
        <v>0</v>
      </c>
      <c r="K1024" s="36">
        <f t="shared" si="156"/>
        <v>84807</v>
      </c>
      <c r="L1024" s="36">
        <f t="shared" si="156"/>
        <v>5512455</v>
      </c>
      <c r="M1024" s="37"/>
      <c r="N1024" s="253"/>
      <c r="O1024" s="38"/>
    </row>
    <row r="1025" spans="1:15" s="29" customFormat="1" ht="24.95" customHeight="1">
      <c r="A1025" s="31" t="s">
        <v>1588</v>
      </c>
      <c r="B1025" s="32" t="s">
        <v>1259</v>
      </c>
      <c r="C1025" s="33">
        <v>8</v>
      </c>
      <c r="D1025" s="34" t="s">
        <v>815</v>
      </c>
      <c r="E1025" s="36">
        <v>0</v>
      </c>
      <c r="F1025" s="36">
        <f>TRUNC(E1025*$C1025,0)</f>
        <v>0</v>
      </c>
      <c r="G1025" s="36">
        <v>81324</v>
      </c>
      <c r="H1025" s="36">
        <f>TRUNC(G1025*$C1025,0)</f>
        <v>650592</v>
      </c>
      <c r="I1025" s="36">
        <v>0</v>
      </c>
      <c r="J1025" s="36">
        <f>TRUNC(I1025*$C1025,0)</f>
        <v>0</v>
      </c>
      <c r="K1025" s="36">
        <f t="shared" si="156"/>
        <v>81324</v>
      </c>
      <c r="L1025" s="36">
        <f t="shared" si="156"/>
        <v>650592</v>
      </c>
      <c r="M1025" s="37"/>
      <c r="N1025" s="253"/>
      <c r="O1025" s="38"/>
    </row>
    <row r="1026" spans="1:15" s="70" customFormat="1" ht="24.95" customHeight="1">
      <c r="A1026" s="64" t="s">
        <v>1696</v>
      </c>
      <c r="B1026" s="65" t="s">
        <v>22</v>
      </c>
      <c r="C1026" s="66"/>
      <c r="D1026" s="67" t="s">
        <v>22</v>
      </c>
      <c r="E1026" s="67"/>
      <c r="F1026" s="68">
        <f>TRUNC(F1027,0)</f>
        <v>0</v>
      </c>
      <c r="G1026" s="67"/>
      <c r="H1026" s="68">
        <f>TRUNC(H1027,0)</f>
        <v>468804</v>
      </c>
      <c r="I1026" s="67"/>
      <c r="J1026" s="68">
        <f>TRUNC(J1027,0)</f>
        <v>0</v>
      </c>
      <c r="K1026" s="68">
        <f t="shared" si="156"/>
        <v>0</v>
      </c>
      <c r="L1026" s="68">
        <f t="shared" si="156"/>
        <v>468804</v>
      </c>
      <c r="M1026" s="69"/>
      <c r="N1026" s="256"/>
    </row>
    <row r="1027" spans="1:15" s="29" customFormat="1" ht="24.95" customHeight="1">
      <c r="A1027" s="31" t="s">
        <v>1590</v>
      </c>
      <c r="B1027" s="32" t="s">
        <v>22</v>
      </c>
      <c r="C1027" s="33">
        <v>84</v>
      </c>
      <c r="D1027" s="34" t="s">
        <v>1405</v>
      </c>
      <c r="E1027" s="36">
        <v>0</v>
      </c>
      <c r="F1027" s="36">
        <f>TRUNC(E1027*$C1027,0)</f>
        <v>0</v>
      </c>
      <c r="G1027" s="36">
        <v>5581</v>
      </c>
      <c r="H1027" s="36">
        <f>TRUNC(G1027*$C1027,0)</f>
        <v>468804</v>
      </c>
      <c r="I1027" s="36">
        <v>0</v>
      </c>
      <c r="J1027" s="36">
        <f>TRUNC(I1027*$C1027,0)</f>
        <v>0</v>
      </c>
      <c r="K1027" s="36">
        <f t="shared" si="156"/>
        <v>5581</v>
      </c>
      <c r="L1027" s="36">
        <f t="shared" si="156"/>
        <v>468804</v>
      </c>
      <c r="M1027" s="37"/>
      <c r="N1027" s="253"/>
      <c r="O1027" s="38"/>
    </row>
    <row r="1028" spans="1:15" s="70" customFormat="1" ht="24.95" customHeight="1">
      <c r="A1028" s="64" t="s">
        <v>1697</v>
      </c>
      <c r="B1028" s="65" t="s">
        <v>22</v>
      </c>
      <c r="C1028" s="66"/>
      <c r="D1028" s="67" t="s">
        <v>22</v>
      </c>
      <c r="E1028" s="67"/>
      <c r="F1028" s="68">
        <f>TRUNC(F1029+F1030,0)</f>
        <v>0</v>
      </c>
      <c r="G1028" s="67"/>
      <c r="H1028" s="68">
        <f>TRUNC(H1029+H1030,0)</f>
        <v>422355</v>
      </c>
      <c r="I1028" s="67"/>
      <c r="J1028" s="68">
        <f>TRUNC(J1029+J1030,0)</f>
        <v>0</v>
      </c>
      <c r="K1028" s="68">
        <f t="shared" si="156"/>
        <v>0</v>
      </c>
      <c r="L1028" s="68">
        <f t="shared" si="156"/>
        <v>422355</v>
      </c>
      <c r="M1028" s="69"/>
      <c r="N1028" s="256"/>
    </row>
    <row r="1029" spans="1:15" s="29" customFormat="1" ht="24.95" customHeight="1">
      <c r="A1029" s="31" t="s">
        <v>1591</v>
      </c>
      <c r="B1029" s="32" t="s">
        <v>1413</v>
      </c>
      <c r="C1029" s="33">
        <v>1</v>
      </c>
      <c r="D1029" s="34" t="s">
        <v>815</v>
      </c>
      <c r="E1029" s="36">
        <v>0</v>
      </c>
      <c r="F1029" s="36">
        <f>TRUNC(E1029*$C1029,0)</f>
        <v>0</v>
      </c>
      <c r="G1029" s="36">
        <v>19993</v>
      </c>
      <c r="H1029" s="36">
        <f>TRUNC(G1029*$C1029,0)</f>
        <v>19993</v>
      </c>
      <c r="I1029" s="36">
        <v>0</v>
      </c>
      <c r="J1029" s="36">
        <f>TRUNC(I1029*$C1029,0)</f>
        <v>0</v>
      </c>
      <c r="K1029" s="36">
        <f t="shared" si="156"/>
        <v>19993</v>
      </c>
      <c r="L1029" s="36">
        <f t="shared" si="156"/>
        <v>19993</v>
      </c>
      <c r="M1029" s="37"/>
      <c r="N1029" s="253"/>
      <c r="O1029" s="38"/>
    </row>
    <row r="1030" spans="1:15" s="29" customFormat="1" ht="24.95" customHeight="1">
      <c r="A1030" s="31" t="s">
        <v>1592</v>
      </c>
      <c r="B1030" s="32" t="s">
        <v>1593</v>
      </c>
      <c r="C1030" s="33">
        <v>23</v>
      </c>
      <c r="D1030" s="34" t="s">
        <v>815</v>
      </c>
      <c r="E1030" s="36">
        <v>0</v>
      </c>
      <c r="F1030" s="36">
        <f>TRUNC(E1030*$C1030,0)</f>
        <v>0</v>
      </c>
      <c r="G1030" s="36">
        <v>17494</v>
      </c>
      <c r="H1030" s="36">
        <f>TRUNC(G1030*$C1030,0)</f>
        <v>402362</v>
      </c>
      <c r="I1030" s="36">
        <v>0</v>
      </c>
      <c r="J1030" s="36">
        <f>TRUNC(I1030*$C1030,0)</f>
        <v>0</v>
      </c>
      <c r="K1030" s="36">
        <f t="shared" si="156"/>
        <v>17494</v>
      </c>
      <c r="L1030" s="36">
        <f t="shared" si="156"/>
        <v>402362</v>
      </c>
      <c r="M1030" s="37"/>
      <c r="N1030" s="253"/>
      <c r="O1030" s="38"/>
    </row>
    <row r="1031" spans="1:15" s="70" customFormat="1" ht="24.95" customHeight="1">
      <c r="A1031" s="64" t="s">
        <v>1698</v>
      </c>
      <c r="B1031" s="65" t="s">
        <v>22</v>
      </c>
      <c r="C1031" s="66"/>
      <c r="D1031" s="67" t="s">
        <v>22</v>
      </c>
      <c r="E1031" s="67"/>
      <c r="F1031" s="68">
        <f>TRUNC(F1032,0)</f>
        <v>0</v>
      </c>
      <c r="G1031" s="67"/>
      <c r="H1031" s="68">
        <f>TRUNC(H1032,0)</f>
        <v>129125</v>
      </c>
      <c r="I1031" s="67"/>
      <c r="J1031" s="68">
        <f>TRUNC(J1032,0)</f>
        <v>0</v>
      </c>
      <c r="K1031" s="68">
        <f t="shared" si="156"/>
        <v>0</v>
      </c>
      <c r="L1031" s="68">
        <f t="shared" si="156"/>
        <v>129125</v>
      </c>
      <c r="M1031" s="69"/>
      <c r="N1031" s="256"/>
    </row>
    <row r="1032" spans="1:15" s="29" customFormat="1" ht="24.95" customHeight="1">
      <c r="A1032" s="31" t="s">
        <v>1594</v>
      </c>
      <c r="B1032" s="32" t="s">
        <v>1265</v>
      </c>
      <c r="C1032" s="33">
        <v>5</v>
      </c>
      <c r="D1032" s="34" t="s">
        <v>815</v>
      </c>
      <c r="E1032" s="36">
        <v>0</v>
      </c>
      <c r="F1032" s="36">
        <f>TRUNC(E1032*$C1032,0)</f>
        <v>0</v>
      </c>
      <c r="G1032" s="36">
        <v>25825</v>
      </c>
      <c r="H1032" s="36">
        <f>TRUNC(G1032*$C1032,0)</f>
        <v>129125</v>
      </c>
      <c r="I1032" s="36">
        <v>0</v>
      </c>
      <c r="J1032" s="36">
        <f>TRUNC(I1032*$C1032,0)</f>
        <v>0</v>
      </c>
      <c r="K1032" s="36">
        <f t="shared" si="156"/>
        <v>25825</v>
      </c>
      <c r="L1032" s="36">
        <f t="shared" si="156"/>
        <v>129125</v>
      </c>
      <c r="M1032" s="37"/>
      <c r="N1032" s="253"/>
      <c r="O1032" s="38"/>
    </row>
    <row r="1033" spans="1:15" s="70" customFormat="1" ht="24.95" customHeight="1">
      <c r="A1033" s="64" t="s">
        <v>1699</v>
      </c>
      <c r="B1033" s="65" t="s">
        <v>22</v>
      </c>
      <c r="C1033" s="66"/>
      <c r="D1033" s="67" t="s">
        <v>22</v>
      </c>
      <c r="E1033" s="67"/>
      <c r="F1033" s="68">
        <f>TRUNC(F1034+F1035,0)</f>
        <v>0</v>
      </c>
      <c r="G1033" s="67"/>
      <c r="H1033" s="68">
        <f>TRUNC(H1034+H1035,0)</f>
        <v>5735266</v>
      </c>
      <c r="I1033" s="67"/>
      <c r="J1033" s="68">
        <f>TRUNC(J1034+J1035,0)</f>
        <v>0</v>
      </c>
      <c r="K1033" s="68">
        <f t="shared" si="156"/>
        <v>0</v>
      </c>
      <c r="L1033" s="68">
        <f t="shared" si="156"/>
        <v>5735266</v>
      </c>
      <c r="M1033" s="69"/>
      <c r="N1033" s="256"/>
    </row>
    <row r="1034" spans="1:15" s="29" customFormat="1" ht="24.95" customHeight="1">
      <c r="A1034" s="31" t="s">
        <v>1281</v>
      </c>
      <c r="B1034" s="32" t="s">
        <v>1596</v>
      </c>
      <c r="C1034" s="261">
        <v>4.47</v>
      </c>
      <c r="D1034" s="34" t="s">
        <v>1597</v>
      </c>
      <c r="E1034" s="36">
        <v>0</v>
      </c>
      <c r="F1034" s="36">
        <f>TRUNC(E1034*$C1034,0)</f>
        <v>0</v>
      </c>
      <c r="G1034" s="36">
        <v>762263</v>
      </c>
      <c r="H1034" s="36">
        <f>TRUNC(G1034*$C1034,0)</f>
        <v>3407315</v>
      </c>
      <c r="I1034" s="36">
        <v>0</v>
      </c>
      <c r="J1034" s="36">
        <f>TRUNC(I1034*$C1034,0)</f>
        <v>0</v>
      </c>
      <c r="K1034" s="36">
        <f t="shared" si="156"/>
        <v>762263</v>
      </c>
      <c r="L1034" s="36">
        <f t="shared" si="156"/>
        <v>3407315</v>
      </c>
      <c r="M1034" s="37"/>
      <c r="N1034" s="253"/>
      <c r="O1034" s="38"/>
    </row>
    <row r="1035" spans="1:15" s="29" customFormat="1" ht="24.95" customHeight="1">
      <c r="A1035" s="31" t="s">
        <v>1281</v>
      </c>
      <c r="B1035" s="32" t="s">
        <v>1598</v>
      </c>
      <c r="C1035" s="261">
        <v>3.0539999999999998</v>
      </c>
      <c r="D1035" s="34" t="s">
        <v>1597</v>
      </c>
      <c r="E1035" s="36">
        <v>0</v>
      </c>
      <c r="F1035" s="36">
        <f>TRUNC(E1035*$C1035,0)</f>
        <v>0</v>
      </c>
      <c r="G1035" s="36">
        <v>762263</v>
      </c>
      <c r="H1035" s="36">
        <f>TRUNC(G1035*$C1035,0)</f>
        <v>2327951</v>
      </c>
      <c r="I1035" s="36">
        <v>0</v>
      </c>
      <c r="J1035" s="36">
        <f>TRUNC(I1035*$C1035,0)</f>
        <v>0</v>
      </c>
      <c r="K1035" s="36">
        <f t="shared" si="156"/>
        <v>762263</v>
      </c>
      <c r="L1035" s="36">
        <f t="shared" si="156"/>
        <v>2327951</v>
      </c>
      <c r="M1035" s="37"/>
      <c r="N1035" s="253"/>
      <c r="O1035" s="38"/>
    </row>
    <row r="1036" spans="1:15" s="70" customFormat="1" ht="24.95" customHeight="1">
      <c r="A1036" s="64" t="s">
        <v>1700</v>
      </c>
      <c r="B1036" s="65" t="s">
        <v>22</v>
      </c>
      <c r="C1036" s="66"/>
      <c r="D1036" s="67" t="s">
        <v>22</v>
      </c>
      <c r="E1036" s="67"/>
      <c r="F1036" s="68">
        <f>TRUNC(F1037+F1038,0)</f>
        <v>0</v>
      </c>
      <c r="G1036" s="67"/>
      <c r="H1036" s="68">
        <f>TRUNC(H1037+H1038,0)</f>
        <v>2274288</v>
      </c>
      <c r="I1036" s="67"/>
      <c r="J1036" s="68">
        <f>TRUNC(J1037+J1038,0)</f>
        <v>0</v>
      </c>
      <c r="K1036" s="68">
        <f t="shared" si="156"/>
        <v>0</v>
      </c>
      <c r="L1036" s="68">
        <f t="shared" si="156"/>
        <v>2274288</v>
      </c>
      <c r="M1036" s="69"/>
      <c r="N1036" s="256"/>
    </row>
    <row r="1037" spans="1:15" s="29" customFormat="1" ht="24.95" customHeight="1">
      <c r="A1037" s="31" t="s">
        <v>1446</v>
      </c>
      <c r="B1037" s="32" t="s">
        <v>1447</v>
      </c>
      <c r="C1037" s="33">
        <v>3</v>
      </c>
      <c r="D1037" s="34" t="s">
        <v>1116</v>
      </c>
      <c r="E1037" s="36">
        <v>0</v>
      </c>
      <c r="F1037" s="36">
        <f>TRUNC(E1037*$C1037,0)</f>
        <v>0</v>
      </c>
      <c r="G1037" s="36">
        <v>291576</v>
      </c>
      <c r="H1037" s="36">
        <f>TRUNC(G1037*$C1037,0)</f>
        <v>874728</v>
      </c>
      <c r="I1037" s="36">
        <v>0</v>
      </c>
      <c r="J1037" s="36">
        <f>TRUNC(I1037*$C1037,0)</f>
        <v>0</v>
      </c>
      <c r="K1037" s="36">
        <f t="shared" si="156"/>
        <v>291576</v>
      </c>
      <c r="L1037" s="36">
        <f t="shared" si="156"/>
        <v>874728</v>
      </c>
      <c r="M1037" s="37"/>
      <c r="N1037" s="253"/>
      <c r="O1037" s="38"/>
    </row>
    <row r="1038" spans="1:15" s="29" customFormat="1" ht="24.95" customHeight="1">
      <c r="A1038" s="31" t="s">
        <v>1448</v>
      </c>
      <c r="B1038" s="32" t="s">
        <v>1449</v>
      </c>
      <c r="C1038" s="33">
        <v>12</v>
      </c>
      <c r="D1038" s="34" t="s">
        <v>1205</v>
      </c>
      <c r="E1038" s="36">
        <v>0</v>
      </c>
      <c r="F1038" s="36">
        <f>TRUNC(E1038*$C1038,0)</f>
        <v>0</v>
      </c>
      <c r="G1038" s="36">
        <v>116630</v>
      </c>
      <c r="H1038" s="36">
        <f>TRUNC(G1038*$C1038,0)</f>
        <v>1399560</v>
      </c>
      <c r="I1038" s="36">
        <v>0</v>
      </c>
      <c r="J1038" s="36">
        <f>TRUNC(I1038*$C1038,0)</f>
        <v>0</v>
      </c>
      <c r="K1038" s="36">
        <f t="shared" si="156"/>
        <v>116630</v>
      </c>
      <c r="L1038" s="36">
        <f t="shared" si="156"/>
        <v>1399560</v>
      </c>
      <c r="M1038" s="37"/>
      <c r="N1038" s="253"/>
      <c r="O1038" s="38"/>
    </row>
    <row r="1039" spans="1:15" s="70" customFormat="1" ht="24.95" customHeight="1">
      <c r="A1039" s="64" t="s">
        <v>1701</v>
      </c>
      <c r="B1039" s="65" t="s">
        <v>22</v>
      </c>
      <c r="C1039" s="66"/>
      <c r="D1039" s="67" t="s">
        <v>22</v>
      </c>
      <c r="E1039" s="67"/>
      <c r="F1039" s="68">
        <f>F1040+F1043+F1046+F1071</f>
        <v>0</v>
      </c>
      <c r="G1039" s="67"/>
      <c r="H1039" s="68">
        <f>H1040+H1043+H1046+H1071</f>
        <v>276409452</v>
      </c>
      <c r="I1039" s="67"/>
      <c r="J1039" s="68">
        <f>J1040+J1043+J1046+J1071</f>
        <v>0</v>
      </c>
      <c r="K1039" s="68">
        <f t="shared" si="156"/>
        <v>0</v>
      </c>
      <c r="L1039" s="68">
        <f t="shared" si="156"/>
        <v>276409452</v>
      </c>
      <c r="M1039" s="69"/>
      <c r="N1039" s="256"/>
    </row>
    <row r="1040" spans="1:15" s="77" customFormat="1" ht="24.95" customHeight="1">
      <c r="A1040" s="71" t="s">
        <v>1702</v>
      </c>
      <c r="B1040" s="72" t="s">
        <v>22</v>
      </c>
      <c r="C1040" s="73"/>
      <c r="D1040" s="74" t="s">
        <v>22</v>
      </c>
      <c r="E1040" s="74"/>
      <c r="F1040" s="75">
        <f>TRUNC(F1041+F1042,0)</f>
        <v>0</v>
      </c>
      <c r="G1040" s="74"/>
      <c r="H1040" s="75">
        <f>TRUNC(H1041+H1042,0)</f>
        <v>161626995</v>
      </c>
      <c r="I1040" s="74"/>
      <c r="J1040" s="75">
        <f>TRUNC(J1041+J1042,0)</f>
        <v>0</v>
      </c>
      <c r="K1040" s="75">
        <f t="shared" si="156"/>
        <v>0</v>
      </c>
      <c r="L1040" s="75">
        <f t="shared" si="156"/>
        <v>161626995</v>
      </c>
      <c r="M1040" s="76"/>
      <c r="N1040" s="257"/>
    </row>
    <row r="1041" spans="1:15" s="29" customFormat="1" ht="24.95" customHeight="1">
      <c r="A1041" s="31" t="s">
        <v>1604</v>
      </c>
      <c r="B1041" s="32" t="s">
        <v>1326</v>
      </c>
      <c r="C1041" s="33">
        <v>383</v>
      </c>
      <c r="D1041" s="34" t="s">
        <v>116</v>
      </c>
      <c r="E1041" s="36">
        <v>0</v>
      </c>
      <c r="F1041" s="36">
        <f>TRUNC(E1041*$C1041,0)</f>
        <v>0</v>
      </c>
      <c r="G1041" s="36">
        <v>34605</v>
      </c>
      <c r="H1041" s="36">
        <f>TRUNC(G1041*$C1041,0)</f>
        <v>13253715</v>
      </c>
      <c r="I1041" s="36">
        <v>0</v>
      </c>
      <c r="J1041" s="36">
        <f>TRUNC(I1041*$C1041,0)</f>
        <v>0</v>
      </c>
      <c r="K1041" s="36">
        <f t="shared" si="156"/>
        <v>34605</v>
      </c>
      <c r="L1041" s="36">
        <f t="shared" si="156"/>
        <v>13253715</v>
      </c>
      <c r="M1041" s="37"/>
      <c r="N1041" s="253"/>
      <c r="O1041" s="38"/>
    </row>
    <row r="1042" spans="1:15" s="29" customFormat="1" ht="24.95" customHeight="1">
      <c r="A1042" s="31" t="s">
        <v>1604</v>
      </c>
      <c r="B1042" s="32" t="s">
        <v>1327</v>
      </c>
      <c r="C1042" s="33">
        <v>3168</v>
      </c>
      <c r="D1042" s="34" t="s">
        <v>116</v>
      </c>
      <c r="E1042" s="36">
        <v>0</v>
      </c>
      <c r="F1042" s="36">
        <f>TRUNC(E1042*$C1042,0)</f>
        <v>0</v>
      </c>
      <c r="G1042" s="36">
        <v>46835</v>
      </c>
      <c r="H1042" s="36">
        <f>TRUNC(G1042*$C1042,0)</f>
        <v>148373280</v>
      </c>
      <c r="I1042" s="36">
        <v>0</v>
      </c>
      <c r="J1042" s="36">
        <f>TRUNC(I1042*$C1042,0)</f>
        <v>0</v>
      </c>
      <c r="K1042" s="36">
        <f t="shared" si="156"/>
        <v>46835</v>
      </c>
      <c r="L1042" s="36">
        <f t="shared" si="156"/>
        <v>148373280</v>
      </c>
      <c r="M1042" s="37"/>
      <c r="N1042" s="253"/>
      <c r="O1042" s="38"/>
    </row>
    <row r="1043" spans="1:15" s="77" customFormat="1" ht="24.95" customHeight="1">
      <c r="A1043" s="71" t="s">
        <v>1703</v>
      </c>
      <c r="B1043" s="72" t="s">
        <v>22</v>
      </c>
      <c r="C1043" s="73"/>
      <c r="D1043" s="74" t="s">
        <v>22</v>
      </c>
      <c r="E1043" s="74"/>
      <c r="F1043" s="75">
        <f>TRUNC(F1044+F1045,0)</f>
        <v>0</v>
      </c>
      <c r="G1043" s="74"/>
      <c r="H1043" s="75">
        <f>TRUNC(H1044+H1045,0)</f>
        <v>94651326</v>
      </c>
      <c r="I1043" s="74"/>
      <c r="J1043" s="75">
        <f>TRUNC(J1044+J1045,0)</f>
        <v>0</v>
      </c>
      <c r="K1043" s="75">
        <f t="shared" si="156"/>
        <v>0</v>
      </c>
      <c r="L1043" s="75">
        <f t="shared" si="156"/>
        <v>94651326</v>
      </c>
      <c r="M1043" s="76"/>
      <c r="N1043" s="257"/>
    </row>
    <row r="1044" spans="1:15" s="29" customFormat="1" ht="24.95" customHeight="1">
      <c r="A1044" s="31" t="s">
        <v>1607</v>
      </c>
      <c r="B1044" s="32" t="s">
        <v>1608</v>
      </c>
      <c r="C1044" s="33">
        <v>186</v>
      </c>
      <c r="D1044" s="34" t="s">
        <v>1192</v>
      </c>
      <c r="E1044" s="36">
        <v>0</v>
      </c>
      <c r="F1044" s="36">
        <f>TRUNC(E1044*$C1044,0)</f>
        <v>0</v>
      </c>
      <c r="G1044" s="36">
        <v>345301</v>
      </c>
      <c r="H1044" s="36">
        <f>TRUNC(G1044*$C1044,0)</f>
        <v>64225986</v>
      </c>
      <c r="I1044" s="36">
        <v>0</v>
      </c>
      <c r="J1044" s="36">
        <f>TRUNC(I1044*$C1044,0)</f>
        <v>0</v>
      </c>
      <c r="K1044" s="36">
        <f t="shared" ref="K1044:L1090" si="157">G1044+E1044+I1044</f>
        <v>345301</v>
      </c>
      <c r="L1044" s="36">
        <f t="shared" si="157"/>
        <v>64225986</v>
      </c>
      <c r="M1044" s="37"/>
      <c r="N1044" s="253"/>
      <c r="O1044" s="38"/>
    </row>
    <row r="1045" spans="1:15" s="29" customFormat="1" ht="24.95" customHeight="1">
      <c r="A1045" s="31" t="s">
        <v>1607</v>
      </c>
      <c r="B1045" s="32" t="s">
        <v>1609</v>
      </c>
      <c r="C1045" s="33">
        <v>66</v>
      </c>
      <c r="D1045" s="34" t="s">
        <v>1192</v>
      </c>
      <c r="E1045" s="36">
        <v>0</v>
      </c>
      <c r="F1045" s="36">
        <f>TRUNC(E1045*$C1045,0)</f>
        <v>0</v>
      </c>
      <c r="G1045" s="36">
        <v>460990</v>
      </c>
      <c r="H1045" s="36">
        <f>TRUNC(G1045*$C1045,0)</f>
        <v>30425340</v>
      </c>
      <c r="I1045" s="36">
        <v>0</v>
      </c>
      <c r="J1045" s="36">
        <f>TRUNC(I1045*$C1045,0)</f>
        <v>0</v>
      </c>
      <c r="K1045" s="36">
        <f t="shared" si="157"/>
        <v>460990</v>
      </c>
      <c r="L1045" s="36">
        <f t="shared" si="157"/>
        <v>30425340</v>
      </c>
      <c r="M1045" s="37"/>
      <c r="N1045" s="253"/>
      <c r="O1045" s="38"/>
    </row>
    <row r="1046" spans="1:15" s="77" customFormat="1" ht="24.95" customHeight="1">
      <c r="A1046" s="71" t="s">
        <v>1704</v>
      </c>
      <c r="B1046" s="72" t="s">
        <v>22</v>
      </c>
      <c r="C1046" s="73"/>
      <c r="D1046" s="74" t="s">
        <v>22</v>
      </c>
      <c r="E1046" s="74"/>
      <c r="F1046" s="75">
        <f>TRUNC(F1048+F1049+F1050+F1051+F1052+F1053+F1054+F1055+F1056+F1057+F1058+F1060+F1061+F1062+F1063+F1064+F1065+F1066+F1067+F1068+F1069+F1070,0)</f>
        <v>0</v>
      </c>
      <c r="G1046" s="74"/>
      <c r="H1046" s="75">
        <f>TRUNC(H1048+H1049+H1050+H1051+H1052+H1053+H1054+H1055+H1056+H1057+H1058+H1060+H1061+H1062+H1063+H1064+H1065+H1066+H1067+H1068+H1069+H1070,0)</f>
        <v>9007568</v>
      </c>
      <c r="I1046" s="74"/>
      <c r="J1046" s="75">
        <f>TRUNC(J1048+J1049+J1050+J1051+J1052+J1053+J1054+J1055+J1056+J1057+J1058+J1060+J1061+J1062+J1063+J1064+J1065+J1066+J1067+J1068+J1069+J1070,0)</f>
        <v>0</v>
      </c>
      <c r="K1046" s="75">
        <f t="shared" si="157"/>
        <v>0</v>
      </c>
      <c r="L1046" s="75">
        <f t="shared" si="157"/>
        <v>9007568</v>
      </c>
      <c r="M1046" s="76"/>
      <c r="N1046" s="257"/>
    </row>
    <row r="1047" spans="1:15" s="92" customFormat="1" ht="24.95" customHeight="1">
      <c r="A1047" s="86" t="s">
        <v>1635</v>
      </c>
      <c r="B1047" s="87" t="s">
        <v>22</v>
      </c>
      <c r="C1047" s="88"/>
      <c r="D1047" s="89" t="s">
        <v>22</v>
      </c>
      <c r="E1047" s="89"/>
      <c r="F1047" s="90">
        <f>TRUNC(F1048+F1049+F1050+F1051+F1052+F1053+F1054+F1055+F1056+F1057+F1058,0)</f>
        <v>0</v>
      </c>
      <c r="G1047" s="89"/>
      <c r="H1047" s="90">
        <f>TRUNC(H1048+H1049+H1050+H1051+H1052+H1053+H1054+H1055+H1056+H1057+H1058,0)</f>
        <v>5509176</v>
      </c>
      <c r="I1047" s="89"/>
      <c r="J1047" s="90">
        <f>TRUNC(J1048+J1049+J1050+J1051+J1052+J1053+J1054+J1055+J1056+J1057+J1058,0)</f>
        <v>0</v>
      </c>
      <c r="K1047" s="90">
        <f t="shared" si="157"/>
        <v>0</v>
      </c>
      <c r="L1047" s="90">
        <f t="shared" si="157"/>
        <v>5509176</v>
      </c>
      <c r="M1047" s="91"/>
      <c r="N1047" s="259"/>
    </row>
    <row r="1048" spans="1:15" s="29" customFormat="1" ht="24.95" customHeight="1">
      <c r="A1048" s="31" t="s">
        <v>1614</v>
      </c>
      <c r="B1048" s="32" t="s">
        <v>1636</v>
      </c>
      <c r="C1048" s="33">
        <v>1</v>
      </c>
      <c r="D1048" s="34" t="s">
        <v>960</v>
      </c>
      <c r="E1048" s="36">
        <v>0</v>
      </c>
      <c r="F1048" s="36">
        <f t="shared" ref="F1048:F1058" si="158">TRUNC(E1048*$C1048,0)</f>
        <v>0</v>
      </c>
      <c r="G1048" s="36">
        <v>141264</v>
      </c>
      <c r="H1048" s="36">
        <f t="shared" ref="H1048:H1058" si="159">TRUNC(G1048*$C1048,0)</f>
        <v>141264</v>
      </c>
      <c r="I1048" s="36">
        <v>0</v>
      </c>
      <c r="J1048" s="36">
        <f t="shared" ref="J1048:J1058" si="160">TRUNC(I1048*$C1048,0)</f>
        <v>0</v>
      </c>
      <c r="K1048" s="36">
        <f t="shared" si="157"/>
        <v>141264</v>
      </c>
      <c r="L1048" s="36">
        <f t="shared" si="157"/>
        <v>141264</v>
      </c>
      <c r="M1048" s="37"/>
      <c r="N1048" s="253"/>
      <c r="O1048" s="38"/>
    </row>
    <row r="1049" spans="1:15" s="29" customFormat="1" ht="24.95" customHeight="1">
      <c r="A1049" s="31" t="s">
        <v>1614</v>
      </c>
      <c r="B1049" s="32" t="s">
        <v>1637</v>
      </c>
      <c r="C1049" s="33">
        <v>1</v>
      </c>
      <c r="D1049" s="34" t="s">
        <v>960</v>
      </c>
      <c r="E1049" s="36">
        <v>0</v>
      </c>
      <c r="F1049" s="36">
        <f t="shared" si="158"/>
        <v>0</v>
      </c>
      <c r="G1049" s="36">
        <v>133933</v>
      </c>
      <c r="H1049" s="36">
        <f t="shared" si="159"/>
        <v>133933</v>
      </c>
      <c r="I1049" s="36">
        <v>0</v>
      </c>
      <c r="J1049" s="36">
        <f t="shared" si="160"/>
        <v>0</v>
      </c>
      <c r="K1049" s="36">
        <f t="shared" si="157"/>
        <v>133933</v>
      </c>
      <c r="L1049" s="36">
        <f t="shared" si="157"/>
        <v>133933</v>
      </c>
      <c r="M1049" s="37"/>
      <c r="N1049" s="253"/>
      <c r="O1049" s="38"/>
    </row>
    <row r="1050" spans="1:15" s="29" customFormat="1" ht="24.95" customHeight="1">
      <c r="A1050" s="31" t="s">
        <v>1616</v>
      </c>
      <c r="B1050" s="32" t="s">
        <v>1319</v>
      </c>
      <c r="C1050" s="33">
        <v>29</v>
      </c>
      <c r="D1050" s="34" t="s">
        <v>960</v>
      </c>
      <c r="E1050" s="36">
        <v>0</v>
      </c>
      <c r="F1050" s="36">
        <f t="shared" si="158"/>
        <v>0</v>
      </c>
      <c r="G1050" s="36">
        <v>86231</v>
      </c>
      <c r="H1050" s="36">
        <f t="shared" si="159"/>
        <v>2500699</v>
      </c>
      <c r="I1050" s="36">
        <v>0</v>
      </c>
      <c r="J1050" s="36">
        <f t="shared" si="160"/>
        <v>0</v>
      </c>
      <c r="K1050" s="36">
        <f t="shared" si="157"/>
        <v>86231</v>
      </c>
      <c r="L1050" s="36">
        <f t="shared" si="157"/>
        <v>2500699</v>
      </c>
      <c r="M1050" s="37"/>
      <c r="N1050" s="253"/>
      <c r="O1050" s="38"/>
    </row>
    <row r="1051" spans="1:15" s="29" customFormat="1" ht="24.95" customHeight="1">
      <c r="A1051" s="31" t="s">
        <v>1618</v>
      </c>
      <c r="B1051" s="32" t="s">
        <v>1319</v>
      </c>
      <c r="C1051" s="33">
        <v>2</v>
      </c>
      <c r="D1051" s="34" t="s">
        <v>960</v>
      </c>
      <c r="E1051" s="36">
        <v>0</v>
      </c>
      <c r="F1051" s="36">
        <f t="shared" si="158"/>
        <v>0</v>
      </c>
      <c r="G1051" s="36">
        <v>82557</v>
      </c>
      <c r="H1051" s="36">
        <f t="shared" si="159"/>
        <v>165114</v>
      </c>
      <c r="I1051" s="36">
        <v>0</v>
      </c>
      <c r="J1051" s="36">
        <f t="shared" si="160"/>
        <v>0</v>
      </c>
      <c r="K1051" s="36">
        <f t="shared" si="157"/>
        <v>82557</v>
      </c>
      <c r="L1051" s="36">
        <f t="shared" si="157"/>
        <v>165114</v>
      </c>
      <c r="M1051" s="37"/>
      <c r="N1051" s="253"/>
      <c r="O1051" s="38"/>
    </row>
    <row r="1052" spans="1:15" s="29" customFormat="1" ht="24.95" customHeight="1">
      <c r="A1052" s="31" t="s">
        <v>1619</v>
      </c>
      <c r="B1052" s="32" t="s">
        <v>1319</v>
      </c>
      <c r="C1052" s="33">
        <v>1</v>
      </c>
      <c r="D1052" s="34" t="s">
        <v>960</v>
      </c>
      <c r="E1052" s="36">
        <v>0</v>
      </c>
      <c r="F1052" s="36">
        <f t="shared" si="158"/>
        <v>0</v>
      </c>
      <c r="G1052" s="36">
        <v>82557</v>
      </c>
      <c r="H1052" s="36">
        <f t="shared" si="159"/>
        <v>82557</v>
      </c>
      <c r="I1052" s="36">
        <v>0</v>
      </c>
      <c r="J1052" s="36">
        <f t="shared" si="160"/>
        <v>0</v>
      </c>
      <c r="K1052" s="36">
        <f t="shared" si="157"/>
        <v>82557</v>
      </c>
      <c r="L1052" s="36">
        <f t="shared" si="157"/>
        <v>82557</v>
      </c>
      <c r="M1052" s="37"/>
      <c r="N1052" s="253"/>
      <c r="O1052" s="38"/>
    </row>
    <row r="1053" spans="1:15" s="29" customFormat="1" ht="24.95" customHeight="1">
      <c r="A1053" s="31" t="s">
        <v>1620</v>
      </c>
      <c r="B1053" s="32" t="s">
        <v>1638</v>
      </c>
      <c r="C1053" s="33">
        <v>1</v>
      </c>
      <c r="D1053" s="34" t="s">
        <v>960</v>
      </c>
      <c r="E1053" s="36">
        <v>0</v>
      </c>
      <c r="F1053" s="36">
        <f t="shared" si="158"/>
        <v>0</v>
      </c>
      <c r="G1053" s="36">
        <v>75218</v>
      </c>
      <c r="H1053" s="36">
        <f t="shared" si="159"/>
        <v>75218</v>
      </c>
      <c r="I1053" s="36">
        <v>0</v>
      </c>
      <c r="J1053" s="36">
        <f t="shared" si="160"/>
        <v>0</v>
      </c>
      <c r="K1053" s="36">
        <f t="shared" si="157"/>
        <v>75218</v>
      </c>
      <c r="L1053" s="36">
        <f t="shared" si="157"/>
        <v>75218</v>
      </c>
      <c r="M1053" s="37"/>
      <c r="N1053" s="253"/>
      <c r="O1053" s="38"/>
    </row>
    <row r="1054" spans="1:15" s="29" customFormat="1" ht="24.95" customHeight="1">
      <c r="A1054" s="31" t="s">
        <v>1622</v>
      </c>
      <c r="B1054" s="32" t="s">
        <v>1639</v>
      </c>
      <c r="C1054" s="33">
        <v>14</v>
      </c>
      <c r="D1054" s="34" t="s">
        <v>960</v>
      </c>
      <c r="E1054" s="36">
        <v>0</v>
      </c>
      <c r="F1054" s="36">
        <f t="shared" si="158"/>
        <v>0</v>
      </c>
      <c r="G1054" s="36">
        <v>84390</v>
      </c>
      <c r="H1054" s="36">
        <f t="shared" si="159"/>
        <v>1181460</v>
      </c>
      <c r="I1054" s="36">
        <v>0</v>
      </c>
      <c r="J1054" s="36">
        <f t="shared" si="160"/>
        <v>0</v>
      </c>
      <c r="K1054" s="36">
        <f t="shared" si="157"/>
        <v>84390</v>
      </c>
      <c r="L1054" s="36">
        <f t="shared" si="157"/>
        <v>1181460</v>
      </c>
      <c r="M1054" s="37"/>
      <c r="N1054" s="253"/>
      <c r="O1054" s="38"/>
    </row>
    <row r="1055" spans="1:15" s="29" customFormat="1" ht="24.95" customHeight="1">
      <c r="A1055" s="31" t="s">
        <v>1624</v>
      </c>
      <c r="B1055" s="32" t="s">
        <v>1639</v>
      </c>
      <c r="C1055" s="33">
        <v>10</v>
      </c>
      <c r="D1055" s="34" t="s">
        <v>960</v>
      </c>
      <c r="E1055" s="36">
        <v>0</v>
      </c>
      <c r="F1055" s="36">
        <f t="shared" si="158"/>
        <v>0</v>
      </c>
      <c r="G1055" s="36">
        <v>91738</v>
      </c>
      <c r="H1055" s="36">
        <f t="shared" si="159"/>
        <v>917380</v>
      </c>
      <c r="I1055" s="36">
        <v>0</v>
      </c>
      <c r="J1055" s="36">
        <f t="shared" si="160"/>
        <v>0</v>
      </c>
      <c r="K1055" s="36">
        <f t="shared" si="157"/>
        <v>91738</v>
      </c>
      <c r="L1055" s="36">
        <f t="shared" si="157"/>
        <v>917380</v>
      </c>
      <c r="M1055" s="37"/>
      <c r="N1055" s="253"/>
      <c r="O1055" s="38"/>
    </row>
    <row r="1056" spans="1:15" s="29" customFormat="1" ht="24.95" customHeight="1">
      <c r="A1056" s="31" t="s">
        <v>1625</v>
      </c>
      <c r="B1056" s="32" t="s">
        <v>1639</v>
      </c>
      <c r="C1056" s="33">
        <v>2</v>
      </c>
      <c r="D1056" s="34" t="s">
        <v>960</v>
      </c>
      <c r="E1056" s="36">
        <v>0</v>
      </c>
      <c r="F1056" s="36">
        <f t="shared" si="158"/>
        <v>0</v>
      </c>
      <c r="G1056" s="36">
        <v>102734</v>
      </c>
      <c r="H1056" s="36">
        <f t="shared" si="159"/>
        <v>205468</v>
      </c>
      <c r="I1056" s="36">
        <v>0</v>
      </c>
      <c r="J1056" s="36">
        <f t="shared" si="160"/>
        <v>0</v>
      </c>
      <c r="K1056" s="36">
        <f t="shared" si="157"/>
        <v>102734</v>
      </c>
      <c r="L1056" s="36">
        <f t="shared" si="157"/>
        <v>205468</v>
      </c>
      <c r="M1056" s="37"/>
      <c r="N1056" s="253"/>
      <c r="O1056" s="38"/>
    </row>
    <row r="1057" spans="1:15" s="29" customFormat="1" ht="24.95" customHeight="1">
      <c r="A1057" s="31" t="s">
        <v>1646</v>
      </c>
      <c r="B1057" s="32" t="s">
        <v>1705</v>
      </c>
      <c r="C1057" s="33">
        <v>1</v>
      </c>
      <c r="D1057" s="34" t="s">
        <v>960</v>
      </c>
      <c r="E1057" s="36">
        <v>0</v>
      </c>
      <c r="F1057" s="36">
        <f t="shared" si="158"/>
        <v>0</v>
      </c>
      <c r="G1057" s="36">
        <v>65729</v>
      </c>
      <c r="H1057" s="36">
        <f t="shared" si="159"/>
        <v>65729</v>
      </c>
      <c r="I1057" s="36">
        <v>0</v>
      </c>
      <c r="J1057" s="36">
        <f t="shared" si="160"/>
        <v>0</v>
      </c>
      <c r="K1057" s="36">
        <f t="shared" si="157"/>
        <v>65729</v>
      </c>
      <c r="L1057" s="36">
        <f t="shared" si="157"/>
        <v>65729</v>
      </c>
      <c r="M1057" s="37"/>
      <c r="N1057" s="253"/>
      <c r="O1057" s="38"/>
    </row>
    <row r="1058" spans="1:15" s="29" customFormat="1" ht="24.95" customHeight="1">
      <c r="A1058" s="31" t="s">
        <v>1706</v>
      </c>
      <c r="B1058" s="32" t="s">
        <v>1319</v>
      </c>
      <c r="C1058" s="33">
        <v>1</v>
      </c>
      <c r="D1058" s="34" t="s">
        <v>960</v>
      </c>
      <c r="E1058" s="36">
        <v>0</v>
      </c>
      <c r="F1058" s="36">
        <f t="shared" si="158"/>
        <v>0</v>
      </c>
      <c r="G1058" s="36">
        <v>40354</v>
      </c>
      <c r="H1058" s="36">
        <f t="shared" si="159"/>
        <v>40354</v>
      </c>
      <c r="I1058" s="36">
        <v>0</v>
      </c>
      <c r="J1058" s="36">
        <f t="shared" si="160"/>
        <v>0</v>
      </c>
      <c r="K1058" s="36">
        <f t="shared" si="157"/>
        <v>40354</v>
      </c>
      <c r="L1058" s="36">
        <f t="shared" si="157"/>
        <v>40354</v>
      </c>
      <c r="M1058" s="37"/>
      <c r="N1058" s="253"/>
      <c r="O1058" s="38"/>
    </row>
    <row r="1059" spans="1:15" s="92" customFormat="1" ht="24.95" customHeight="1">
      <c r="A1059" s="86" t="s">
        <v>1640</v>
      </c>
      <c r="B1059" s="87" t="s">
        <v>22</v>
      </c>
      <c r="C1059" s="88"/>
      <c r="D1059" s="89" t="s">
        <v>22</v>
      </c>
      <c r="E1059" s="89"/>
      <c r="F1059" s="90">
        <f>TRUNC(F1060+F1061+F1062+F1063+F1064+F1065+F1066+F1067+F1068+F1069+F1070,0)</f>
        <v>0</v>
      </c>
      <c r="G1059" s="89"/>
      <c r="H1059" s="90">
        <f>TRUNC(H1060+H1061+H1062+H1063+H1064+H1065+H1066+H1067+H1068+H1069+H1070,0)</f>
        <v>3498392</v>
      </c>
      <c r="I1059" s="89"/>
      <c r="J1059" s="90">
        <f>TRUNC(J1060+J1061+J1062+J1063+J1064+J1065+J1066+J1067+J1068+J1069+J1070,0)</f>
        <v>0</v>
      </c>
      <c r="K1059" s="90">
        <f t="shared" si="157"/>
        <v>0</v>
      </c>
      <c r="L1059" s="90">
        <f t="shared" si="157"/>
        <v>3498392</v>
      </c>
      <c r="M1059" s="91"/>
      <c r="N1059" s="259"/>
    </row>
    <row r="1060" spans="1:15" s="29" customFormat="1" ht="24.95" customHeight="1">
      <c r="A1060" s="31" t="s">
        <v>1614</v>
      </c>
      <c r="B1060" s="32" t="s">
        <v>1642</v>
      </c>
      <c r="C1060" s="33">
        <v>1</v>
      </c>
      <c r="D1060" s="34" t="s">
        <v>960</v>
      </c>
      <c r="E1060" s="36">
        <v>0</v>
      </c>
      <c r="F1060" s="36">
        <f t="shared" ref="F1060:F1070" si="161">TRUNC(E1060*$C1060,0)</f>
        <v>0</v>
      </c>
      <c r="G1060" s="36">
        <v>122920</v>
      </c>
      <c r="H1060" s="36">
        <f t="shared" ref="H1060:H1070" si="162">TRUNC(G1060*$C1060,0)</f>
        <v>122920</v>
      </c>
      <c r="I1060" s="36">
        <v>0</v>
      </c>
      <c r="J1060" s="36">
        <f t="shared" ref="J1060:J1070" si="163">TRUNC(I1060*$C1060,0)</f>
        <v>0</v>
      </c>
      <c r="K1060" s="36">
        <f t="shared" si="157"/>
        <v>122920</v>
      </c>
      <c r="L1060" s="36">
        <f t="shared" si="157"/>
        <v>122920</v>
      </c>
      <c r="M1060" s="37"/>
      <c r="N1060" s="253"/>
      <c r="O1060" s="38"/>
    </row>
    <row r="1061" spans="1:15" s="29" customFormat="1" ht="24.95" customHeight="1">
      <c r="A1061" s="31" t="s">
        <v>1614</v>
      </c>
      <c r="B1061" s="32" t="s">
        <v>1641</v>
      </c>
      <c r="C1061" s="33">
        <v>2</v>
      </c>
      <c r="D1061" s="34" t="s">
        <v>960</v>
      </c>
      <c r="E1061" s="36">
        <v>0</v>
      </c>
      <c r="F1061" s="36">
        <f t="shared" si="161"/>
        <v>0</v>
      </c>
      <c r="G1061" s="36">
        <v>106417</v>
      </c>
      <c r="H1061" s="36">
        <f t="shared" si="162"/>
        <v>212834</v>
      </c>
      <c r="I1061" s="36">
        <v>0</v>
      </c>
      <c r="J1061" s="36">
        <f t="shared" si="163"/>
        <v>0</v>
      </c>
      <c r="K1061" s="36">
        <f t="shared" si="157"/>
        <v>106417</v>
      </c>
      <c r="L1061" s="36">
        <f t="shared" si="157"/>
        <v>212834</v>
      </c>
      <c r="M1061" s="37"/>
      <c r="N1061" s="253"/>
      <c r="O1061" s="38"/>
    </row>
    <row r="1062" spans="1:15" s="29" customFormat="1" ht="24.95" customHeight="1">
      <c r="A1062" s="31" t="s">
        <v>1614</v>
      </c>
      <c r="B1062" s="32" t="s">
        <v>1643</v>
      </c>
      <c r="C1062" s="33">
        <v>5</v>
      </c>
      <c r="D1062" s="34" t="s">
        <v>960</v>
      </c>
      <c r="E1062" s="36">
        <v>0</v>
      </c>
      <c r="F1062" s="36">
        <f t="shared" si="161"/>
        <v>0</v>
      </c>
      <c r="G1062" s="36">
        <v>99069</v>
      </c>
      <c r="H1062" s="36">
        <f t="shared" si="162"/>
        <v>495345</v>
      </c>
      <c r="I1062" s="36">
        <v>0</v>
      </c>
      <c r="J1062" s="36">
        <f t="shared" si="163"/>
        <v>0</v>
      </c>
      <c r="K1062" s="36">
        <f t="shared" si="157"/>
        <v>99069</v>
      </c>
      <c r="L1062" s="36">
        <f t="shared" si="157"/>
        <v>495345</v>
      </c>
      <c r="M1062" s="37"/>
      <c r="N1062" s="253"/>
      <c r="O1062" s="38"/>
    </row>
    <row r="1063" spans="1:15" s="29" customFormat="1" ht="24.95" customHeight="1">
      <c r="A1063" s="31" t="s">
        <v>1616</v>
      </c>
      <c r="B1063" s="32" t="s">
        <v>1644</v>
      </c>
      <c r="C1063" s="33">
        <v>17</v>
      </c>
      <c r="D1063" s="34" t="s">
        <v>960</v>
      </c>
      <c r="E1063" s="36">
        <v>0</v>
      </c>
      <c r="F1063" s="36">
        <f t="shared" si="161"/>
        <v>0</v>
      </c>
      <c r="G1063" s="36">
        <v>63846</v>
      </c>
      <c r="H1063" s="36">
        <f t="shared" si="162"/>
        <v>1085382</v>
      </c>
      <c r="I1063" s="36">
        <v>0</v>
      </c>
      <c r="J1063" s="36">
        <f t="shared" si="163"/>
        <v>0</v>
      </c>
      <c r="K1063" s="36">
        <f t="shared" si="157"/>
        <v>63846</v>
      </c>
      <c r="L1063" s="36">
        <f t="shared" si="157"/>
        <v>1085382</v>
      </c>
      <c r="M1063" s="37"/>
      <c r="N1063" s="253"/>
      <c r="O1063" s="38"/>
    </row>
    <row r="1064" spans="1:15" s="29" customFormat="1" ht="24.95" customHeight="1">
      <c r="A1064" s="31" t="s">
        <v>1618</v>
      </c>
      <c r="B1064" s="32" t="s">
        <v>1644</v>
      </c>
      <c r="C1064" s="33">
        <v>4</v>
      </c>
      <c r="D1064" s="34" t="s">
        <v>960</v>
      </c>
      <c r="E1064" s="36">
        <v>0</v>
      </c>
      <c r="F1064" s="36">
        <f t="shared" si="161"/>
        <v>0</v>
      </c>
      <c r="G1064" s="36">
        <v>59081</v>
      </c>
      <c r="H1064" s="36">
        <f t="shared" si="162"/>
        <v>236324</v>
      </c>
      <c r="I1064" s="36">
        <v>0</v>
      </c>
      <c r="J1064" s="36">
        <f t="shared" si="163"/>
        <v>0</v>
      </c>
      <c r="K1064" s="36">
        <f t="shared" si="157"/>
        <v>59081</v>
      </c>
      <c r="L1064" s="36">
        <f t="shared" si="157"/>
        <v>236324</v>
      </c>
      <c r="M1064" s="37"/>
      <c r="N1064" s="253"/>
      <c r="O1064" s="38"/>
    </row>
    <row r="1065" spans="1:15" s="29" customFormat="1" ht="24.95" customHeight="1">
      <c r="A1065" s="31" t="s">
        <v>1619</v>
      </c>
      <c r="B1065" s="32" t="s">
        <v>1644</v>
      </c>
      <c r="C1065" s="33">
        <v>6</v>
      </c>
      <c r="D1065" s="34" t="s">
        <v>960</v>
      </c>
      <c r="E1065" s="36">
        <v>0</v>
      </c>
      <c r="F1065" s="36">
        <f t="shared" si="161"/>
        <v>0</v>
      </c>
      <c r="G1065" s="36">
        <v>57248</v>
      </c>
      <c r="H1065" s="36">
        <f t="shared" si="162"/>
        <v>343488</v>
      </c>
      <c r="I1065" s="36">
        <v>0</v>
      </c>
      <c r="J1065" s="36">
        <f t="shared" si="163"/>
        <v>0</v>
      </c>
      <c r="K1065" s="36">
        <f t="shared" si="157"/>
        <v>57248</v>
      </c>
      <c r="L1065" s="36">
        <f t="shared" si="157"/>
        <v>343488</v>
      </c>
      <c r="M1065" s="37"/>
      <c r="N1065" s="253"/>
      <c r="O1065" s="38"/>
    </row>
    <row r="1066" spans="1:15" s="29" customFormat="1" ht="24.95" customHeight="1">
      <c r="A1066" s="31" t="s">
        <v>1620</v>
      </c>
      <c r="B1066" s="32" t="s">
        <v>1641</v>
      </c>
      <c r="C1066" s="33">
        <v>3</v>
      </c>
      <c r="D1066" s="34" t="s">
        <v>960</v>
      </c>
      <c r="E1066" s="36">
        <v>0</v>
      </c>
      <c r="F1066" s="36">
        <f t="shared" si="161"/>
        <v>0</v>
      </c>
      <c r="G1066" s="36">
        <v>52483</v>
      </c>
      <c r="H1066" s="36">
        <f t="shared" si="162"/>
        <v>157449</v>
      </c>
      <c r="I1066" s="36">
        <v>0</v>
      </c>
      <c r="J1066" s="36">
        <f t="shared" si="163"/>
        <v>0</v>
      </c>
      <c r="K1066" s="36">
        <f t="shared" si="157"/>
        <v>52483</v>
      </c>
      <c r="L1066" s="36">
        <f t="shared" si="157"/>
        <v>157449</v>
      </c>
      <c r="M1066" s="37"/>
      <c r="N1066" s="253"/>
      <c r="O1066" s="38"/>
    </row>
    <row r="1067" spans="1:15" s="29" customFormat="1" ht="24.95" customHeight="1">
      <c r="A1067" s="31" t="s">
        <v>1622</v>
      </c>
      <c r="B1067" s="32" t="s">
        <v>1645</v>
      </c>
      <c r="C1067" s="33">
        <v>2</v>
      </c>
      <c r="D1067" s="34" t="s">
        <v>960</v>
      </c>
      <c r="E1067" s="36">
        <v>0</v>
      </c>
      <c r="F1067" s="36">
        <f t="shared" si="161"/>
        <v>0</v>
      </c>
      <c r="G1067" s="36">
        <v>60181</v>
      </c>
      <c r="H1067" s="36">
        <f t="shared" si="162"/>
        <v>120362</v>
      </c>
      <c r="I1067" s="36">
        <v>0</v>
      </c>
      <c r="J1067" s="36">
        <f t="shared" si="163"/>
        <v>0</v>
      </c>
      <c r="K1067" s="36">
        <f t="shared" si="157"/>
        <v>60181</v>
      </c>
      <c r="L1067" s="36">
        <f t="shared" si="157"/>
        <v>120362</v>
      </c>
      <c r="M1067" s="37"/>
      <c r="N1067" s="253"/>
      <c r="O1067" s="38"/>
    </row>
    <row r="1068" spans="1:15" s="29" customFormat="1" ht="24.95" customHeight="1">
      <c r="A1068" s="31" t="s">
        <v>1624</v>
      </c>
      <c r="B1068" s="32" t="s">
        <v>1645</v>
      </c>
      <c r="C1068" s="33">
        <v>4</v>
      </c>
      <c r="D1068" s="34" t="s">
        <v>960</v>
      </c>
      <c r="E1068" s="36">
        <v>0</v>
      </c>
      <c r="F1068" s="36">
        <f t="shared" si="161"/>
        <v>0</v>
      </c>
      <c r="G1068" s="36">
        <v>64213</v>
      </c>
      <c r="H1068" s="36">
        <f t="shared" si="162"/>
        <v>256852</v>
      </c>
      <c r="I1068" s="36">
        <v>0</v>
      </c>
      <c r="J1068" s="36">
        <f t="shared" si="163"/>
        <v>0</v>
      </c>
      <c r="K1068" s="36">
        <f t="shared" si="157"/>
        <v>64213</v>
      </c>
      <c r="L1068" s="36">
        <f t="shared" si="157"/>
        <v>256852</v>
      </c>
      <c r="M1068" s="37"/>
      <c r="N1068" s="253"/>
      <c r="O1068" s="38"/>
    </row>
    <row r="1069" spans="1:15" s="29" customFormat="1" ht="24.95" customHeight="1">
      <c r="A1069" s="31" t="s">
        <v>1625</v>
      </c>
      <c r="B1069" s="32" t="s">
        <v>1645</v>
      </c>
      <c r="C1069" s="33">
        <v>6</v>
      </c>
      <c r="D1069" s="34" t="s">
        <v>960</v>
      </c>
      <c r="E1069" s="36">
        <v>0</v>
      </c>
      <c r="F1069" s="36">
        <f t="shared" si="161"/>
        <v>0</v>
      </c>
      <c r="G1069" s="36">
        <v>69728</v>
      </c>
      <c r="H1069" s="36">
        <f t="shared" si="162"/>
        <v>418368</v>
      </c>
      <c r="I1069" s="36">
        <v>0</v>
      </c>
      <c r="J1069" s="36">
        <f t="shared" si="163"/>
        <v>0</v>
      </c>
      <c r="K1069" s="36">
        <f t="shared" si="157"/>
        <v>69728</v>
      </c>
      <c r="L1069" s="36">
        <f t="shared" si="157"/>
        <v>418368</v>
      </c>
      <c r="M1069" s="37"/>
      <c r="N1069" s="253"/>
      <c r="O1069" s="38"/>
    </row>
    <row r="1070" spans="1:15" s="29" customFormat="1" ht="24.95" customHeight="1">
      <c r="A1070" s="31" t="s">
        <v>1646</v>
      </c>
      <c r="B1070" s="32" t="s">
        <v>1647</v>
      </c>
      <c r="C1070" s="33">
        <v>1</v>
      </c>
      <c r="D1070" s="34" t="s">
        <v>960</v>
      </c>
      <c r="E1070" s="36">
        <v>0</v>
      </c>
      <c r="F1070" s="36">
        <f t="shared" si="161"/>
        <v>0</v>
      </c>
      <c r="G1070" s="36">
        <v>49068</v>
      </c>
      <c r="H1070" s="36">
        <f t="shared" si="162"/>
        <v>49068</v>
      </c>
      <c r="I1070" s="36">
        <v>0</v>
      </c>
      <c r="J1070" s="36">
        <f t="shared" si="163"/>
        <v>0</v>
      </c>
      <c r="K1070" s="36">
        <f t="shared" si="157"/>
        <v>49068</v>
      </c>
      <c r="L1070" s="36">
        <f t="shared" si="157"/>
        <v>49068</v>
      </c>
      <c r="M1070" s="37"/>
      <c r="N1070" s="253"/>
      <c r="O1070" s="38"/>
    </row>
    <row r="1071" spans="1:15" s="77" customFormat="1" ht="24.95" customHeight="1">
      <c r="A1071" s="71" t="s">
        <v>1648</v>
      </c>
      <c r="B1071" s="72" t="s">
        <v>22</v>
      </c>
      <c r="C1071" s="73"/>
      <c r="D1071" s="74" t="s">
        <v>22</v>
      </c>
      <c r="E1071" s="74"/>
      <c r="F1071" s="75">
        <f>TRUNC(F1073+F1074+F1075+F1076+F1077+F1078+F1079+F1080+F1081+F1083+F1084+F1085+F1087+F1088+F1089,0)</f>
        <v>0</v>
      </c>
      <c r="G1071" s="74"/>
      <c r="H1071" s="75">
        <f>TRUNC(H1073+H1074+H1075+H1076+H1077+H1078+H1079+H1080+H1081+H1083+H1084+H1085+H1087+H1088+H1089,0)</f>
        <v>11123563</v>
      </c>
      <c r="I1071" s="74"/>
      <c r="J1071" s="75">
        <f>TRUNC(J1073+J1074+J1075+J1076+J1077+J1078+J1079+J1080+J1081+J1083+J1084+J1085+J1087+J1088+J1089,0)</f>
        <v>0</v>
      </c>
      <c r="K1071" s="75">
        <f t="shared" si="157"/>
        <v>0</v>
      </c>
      <c r="L1071" s="75">
        <f t="shared" si="157"/>
        <v>11123563</v>
      </c>
      <c r="M1071" s="76"/>
      <c r="N1071" s="257"/>
    </row>
    <row r="1072" spans="1:15" s="92" customFormat="1" ht="24.95" customHeight="1">
      <c r="A1072" s="86" t="s">
        <v>1649</v>
      </c>
      <c r="B1072" s="87" t="s">
        <v>22</v>
      </c>
      <c r="C1072" s="88"/>
      <c r="D1072" s="89" t="s">
        <v>22</v>
      </c>
      <c r="E1072" s="89"/>
      <c r="F1072" s="90">
        <f>TRUNC(F1073+F1074+F1075+F1076+F1077+F1078+F1079+F1080+F1081,0)</f>
        <v>0</v>
      </c>
      <c r="G1072" s="89"/>
      <c r="H1072" s="90">
        <f>TRUNC(H1073+H1074+H1075+H1076+H1077+H1078+H1079+H1080+H1081,0)</f>
        <v>8208083</v>
      </c>
      <c r="I1072" s="89"/>
      <c r="J1072" s="90">
        <f>TRUNC(J1073+J1074+J1075+J1076+J1077+J1078+J1079+J1080+J1081,0)</f>
        <v>0</v>
      </c>
      <c r="K1072" s="90">
        <f t="shared" si="157"/>
        <v>0</v>
      </c>
      <c r="L1072" s="90">
        <f t="shared" si="157"/>
        <v>8208083</v>
      </c>
      <c r="M1072" s="91"/>
      <c r="N1072" s="259"/>
    </row>
    <row r="1073" spans="1:15" s="29" customFormat="1" ht="24.95" customHeight="1">
      <c r="A1073" s="31" t="s">
        <v>1650</v>
      </c>
      <c r="B1073" s="32" t="s">
        <v>1327</v>
      </c>
      <c r="C1073" s="33">
        <v>5</v>
      </c>
      <c r="D1073" s="34" t="s">
        <v>960</v>
      </c>
      <c r="E1073" s="36">
        <v>0</v>
      </c>
      <c r="F1073" s="36">
        <f t="shared" ref="F1073:F1081" si="164">TRUNC(E1073*$C1073,0)</f>
        <v>0</v>
      </c>
      <c r="G1073" s="36">
        <v>133350</v>
      </c>
      <c r="H1073" s="36">
        <f t="shared" ref="H1073:H1081" si="165">TRUNC(G1073*$C1073,0)</f>
        <v>666750</v>
      </c>
      <c r="I1073" s="36">
        <v>0</v>
      </c>
      <c r="J1073" s="36">
        <f t="shared" ref="J1073:J1081" si="166">TRUNC(I1073*$C1073,0)</f>
        <v>0</v>
      </c>
      <c r="K1073" s="36">
        <f t="shared" si="157"/>
        <v>133350</v>
      </c>
      <c r="L1073" s="36">
        <f t="shared" si="157"/>
        <v>666750</v>
      </c>
      <c r="M1073" s="37"/>
      <c r="N1073" s="253"/>
      <c r="O1073" s="38"/>
    </row>
    <row r="1074" spans="1:15" s="29" customFormat="1" ht="24.95" customHeight="1">
      <c r="A1074" s="31" t="s">
        <v>1654</v>
      </c>
      <c r="B1074" s="32" t="s">
        <v>1655</v>
      </c>
      <c r="C1074" s="33">
        <v>5</v>
      </c>
      <c r="D1074" s="34" t="s">
        <v>960</v>
      </c>
      <c r="E1074" s="36">
        <v>0</v>
      </c>
      <c r="F1074" s="36">
        <f t="shared" si="164"/>
        <v>0</v>
      </c>
      <c r="G1074" s="36">
        <v>114547</v>
      </c>
      <c r="H1074" s="36">
        <f t="shared" si="165"/>
        <v>572735</v>
      </c>
      <c r="I1074" s="36">
        <v>0</v>
      </c>
      <c r="J1074" s="36">
        <f t="shared" si="166"/>
        <v>0</v>
      </c>
      <c r="K1074" s="36">
        <f t="shared" si="157"/>
        <v>114547</v>
      </c>
      <c r="L1074" s="36">
        <f t="shared" si="157"/>
        <v>572735</v>
      </c>
      <c r="M1074" s="37"/>
      <c r="N1074" s="253"/>
      <c r="O1074" s="38"/>
    </row>
    <row r="1075" spans="1:15" s="29" customFormat="1" ht="24.95" customHeight="1">
      <c r="A1075" s="31" t="s">
        <v>1656</v>
      </c>
      <c r="B1075" s="32" t="s">
        <v>1327</v>
      </c>
      <c r="C1075" s="33">
        <v>18</v>
      </c>
      <c r="D1075" s="34" t="s">
        <v>960</v>
      </c>
      <c r="E1075" s="36">
        <v>0</v>
      </c>
      <c r="F1075" s="36">
        <f t="shared" si="164"/>
        <v>0</v>
      </c>
      <c r="G1075" s="36">
        <v>64363</v>
      </c>
      <c r="H1075" s="36">
        <f t="shared" si="165"/>
        <v>1158534</v>
      </c>
      <c r="I1075" s="36">
        <v>0</v>
      </c>
      <c r="J1075" s="36">
        <f t="shared" si="166"/>
        <v>0</v>
      </c>
      <c r="K1075" s="36">
        <f t="shared" si="157"/>
        <v>64363</v>
      </c>
      <c r="L1075" s="36">
        <f t="shared" si="157"/>
        <v>1158534</v>
      </c>
      <c r="M1075" s="37"/>
      <c r="N1075" s="253"/>
      <c r="O1075" s="38"/>
    </row>
    <row r="1076" spans="1:15" s="29" customFormat="1" ht="24.95" customHeight="1">
      <c r="A1076" s="31" t="s">
        <v>1657</v>
      </c>
      <c r="B1076" s="32" t="s">
        <v>1327</v>
      </c>
      <c r="C1076" s="33">
        <v>24</v>
      </c>
      <c r="D1076" s="34" t="s">
        <v>960</v>
      </c>
      <c r="E1076" s="36">
        <v>0</v>
      </c>
      <c r="F1076" s="36">
        <f t="shared" si="164"/>
        <v>0</v>
      </c>
      <c r="G1076" s="36">
        <v>60356</v>
      </c>
      <c r="H1076" s="36">
        <f t="shared" si="165"/>
        <v>1448544</v>
      </c>
      <c r="I1076" s="36">
        <v>0</v>
      </c>
      <c r="J1076" s="36">
        <f t="shared" si="166"/>
        <v>0</v>
      </c>
      <c r="K1076" s="36">
        <f t="shared" si="157"/>
        <v>60356</v>
      </c>
      <c r="L1076" s="36">
        <f t="shared" si="157"/>
        <v>1448544</v>
      </c>
      <c r="M1076" s="37"/>
      <c r="N1076" s="253"/>
      <c r="O1076" s="38"/>
    </row>
    <row r="1077" spans="1:15" s="29" customFormat="1" ht="24.95" customHeight="1">
      <c r="A1077" s="31" t="s">
        <v>1654</v>
      </c>
      <c r="B1077" s="32" t="s">
        <v>1655</v>
      </c>
      <c r="C1077" s="33">
        <v>25</v>
      </c>
      <c r="D1077" s="34" t="s">
        <v>960</v>
      </c>
      <c r="E1077" s="36">
        <v>0</v>
      </c>
      <c r="F1077" s="36">
        <f t="shared" si="164"/>
        <v>0</v>
      </c>
      <c r="G1077" s="36">
        <v>114547</v>
      </c>
      <c r="H1077" s="36">
        <f t="shared" si="165"/>
        <v>2863675</v>
      </c>
      <c r="I1077" s="36">
        <v>0</v>
      </c>
      <c r="J1077" s="36">
        <f t="shared" si="166"/>
        <v>0</v>
      </c>
      <c r="K1077" s="36">
        <f t="shared" si="157"/>
        <v>114547</v>
      </c>
      <c r="L1077" s="36">
        <f t="shared" si="157"/>
        <v>2863675</v>
      </c>
      <c r="M1077" s="37"/>
      <c r="N1077" s="253"/>
      <c r="O1077" s="38"/>
    </row>
    <row r="1078" spans="1:15" s="29" customFormat="1" ht="24.95" customHeight="1">
      <c r="A1078" s="31" t="s">
        <v>1659</v>
      </c>
      <c r="B1078" s="32" t="s">
        <v>1327</v>
      </c>
      <c r="C1078" s="33">
        <v>4</v>
      </c>
      <c r="D1078" s="34" t="s">
        <v>960</v>
      </c>
      <c r="E1078" s="36">
        <v>0</v>
      </c>
      <c r="F1078" s="36">
        <f t="shared" si="164"/>
        <v>0</v>
      </c>
      <c r="G1078" s="36">
        <v>78325</v>
      </c>
      <c r="H1078" s="36">
        <f t="shared" si="165"/>
        <v>313300</v>
      </c>
      <c r="I1078" s="36">
        <v>0</v>
      </c>
      <c r="J1078" s="36">
        <f t="shared" si="166"/>
        <v>0</v>
      </c>
      <c r="K1078" s="36">
        <f t="shared" si="157"/>
        <v>78325</v>
      </c>
      <c r="L1078" s="36">
        <f t="shared" si="157"/>
        <v>313300</v>
      </c>
      <c r="M1078" s="37"/>
      <c r="N1078" s="253"/>
      <c r="O1078" s="38"/>
    </row>
    <row r="1079" spans="1:15" s="29" customFormat="1" ht="24.95" customHeight="1">
      <c r="A1079" s="31" t="s">
        <v>1660</v>
      </c>
      <c r="B1079" s="32" t="s">
        <v>1327</v>
      </c>
      <c r="C1079" s="33">
        <v>10</v>
      </c>
      <c r="D1079" s="34" t="s">
        <v>960</v>
      </c>
      <c r="E1079" s="36">
        <v>0</v>
      </c>
      <c r="F1079" s="36">
        <f t="shared" si="164"/>
        <v>0</v>
      </c>
      <c r="G1079" s="36">
        <v>78325</v>
      </c>
      <c r="H1079" s="36">
        <f t="shared" si="165"/>
        <v>783250</v>
      </c>
      <c r="I1079" s="36">
        <v>0</v>
      </c>
      <c r="J1079" s="36">
        <f t="shared" si="166"/>
        <v>0</v>
      </c>
      <c r="K1079" s="36">
        <f t="shared" si="157"/>
        <v>78325</v>
      </c>
      <c r="L1079" s="36">
        <f t="shared" si="157"/>
        <v>783250</v>
      </c>
      <c r="M1079" s="37"/>
      <c r="N1079" s="253"/>
      <c r="O1079" s="38"/>
    </row>
    <row r="1080" spans="1:15" s="29" customFormat="1" ht="24.95" customHeight="1">
      <c r="A1080" s="31" t="s">
        <v>1661</v>
      </c>
      <c r="B1080" s="32" t="s">
        <v>1327</v>
      </c>
      <c r="C1080" s="33">
        <v>6</v>
      </c>
      <c r="D1080" s="34" t="s">
        <v>960</v>
      </c>
      <c r="E1080" s="36">
        <v>0</v>
      </c>
      <c r="F1080" s="36">
        <f t="shared" si="164"/>
        <v>0</v>
      </c>
      <c r="G1080" s="36">
        <v>46835</v>
      </c>
      <c r="H1080" s="36">
        <f t="shared" si="165"/>
        <v>281010</v>
      </c>
      <c r="I1080" s="36">
        <v>0</v>
      </c>
      <c r="J1080" s="36">
        <f t="shared" si="166"/>
        <v>0</v>
      </c>
      <c r="K1080" s="36">
        <f t="shared" si="157"/>
        <v>46835</v>
      </c>
      <c r="L1080" s="36">
        <f t="shared" si="157"/>
        <v>281010</v>
      </c>
      <c r="M1080" s="37"/>
      <c r="N1080" s="253"/>
      <c r="O1080" s="38"/>
    </row>
    <row r="1081" spans="1:15" s="29" customFormat="1" ht="24.95" customHeight="1">
      <c r="A1081" s="31" t="s">
        <v>1662</v>
      </c>
      <c r="B1081" s="32" t="s">
        <v>1327</v>
      </c>
      <c r="C1081" s="33">
        <v>3</v>
      </c>
      <c r="D1081" s="34" t="s">
        <v>960</v>
      </c>
      <c r="E1081" s="36">
        <v>0</v>
      </c>
      <c r="F1081" s="36">
        <f t="shared" si="164"/>
        <v>0</v>
      </c>
      <c r="G1081" s="36">
        <v>40095</v>
      </c>
      <c r="H1081" s="36">
        <f t="shared" si="165"/>
        <v>120285</v>
      </c>
      <c r="I1081" s="36">
        <v>0</v>
      </c>
      <c r="J1081" s="36">
        <f t="shared" si="166"/>
        <v>0</v>
      </c>
      <c r="K1081" s="36">
        <f t="shared" si="157"/>
        <v>40095</v>
      </c>
      <c r="L1081" s="36">
        <f t="shared" si="157"/>
        <v>120285</v>
      </c>
      <c r="M1081" s="37"/>
      <c r="N1081" s="253"/>
      <c r="O1081" s="38"/>
    </row>
    <row r="1082" spans="1:15" s="92" customFormat="1" ht="24.95" customHeight="1">
      <c r="A1082" s="86" t="s">
        <v>1663</v>
      </c>
      <c r="B1082" s="87" t="s">
        <v>22</v>
      </c>
      <c r="C1082" s="88"/>
      <c r="D1082" s="89" t="s">
        <v>22</v>
      </c>
      <c r="E1082" s="89"/>
      <c r="F1082" s="90">
        <f>TRUNC(F1083+F1084+F1085,0)</f>
        <v>0</v>
      </c>
      <c r="G1082" s="89"/>
      <c r="H1082" s="90">
        <f>TRUNC(H1083+H1084+H1085,0)</f>
        <v>1182265</v>
      </c>
      <c r="I1082" s="89"/>
      <c r="J1082" s="90">
        <f>TRUNC(J1083+J1084+J1085,0)</f>
        <v>0</v>
      </c>
      <c r="K1082" s="90">
        <f t="shared" si="157"/>
        <v>0</v>
      </c>
      <c r="L1082" s="90">
        <f t="shared" si="157"/>
        <v>1182265</v>
      </c>
      <c r="M1082" s="91"/>
      <c r="N1082" s="259"/>
    </row>
    <row r="1083" spans="1:15" s="29" customFormat="1" ht="24.95" customHeight="1">
      <c r="A1083" s="31" t="s">
        <v>1657</v>
      </c>
      <c r="B1083" s="32" t="s">
        <v>1326</v>
      </c>
      <c r="C1083" s="33">
        <v>16</v>
      </c>
      <c r="D1083" s="34" t="s">
        <v>960</v>
      </c>
      <c r="E1083" s="36">
        <v>0</v>
      </c>
      <c r="F1083" s="36">
        <f>TRUNC(E1083*$C1083,0)</f>
        <v>0</v>
      </c>
      <c r="G1083" s="36">
        <v>46260</v>
      </c>
      <c r="H1083" s="36">
        <f>TRUNC(G1083*$C1083,0)</f>
        <v>740160</v>
      </c>
      <c r="I1083" s="36">
        <v>0</v>
      </c>
      <c r="J1083" s="36">
        <f>TRUNC(I1083*$C1083,0)</f>
        <v>0</v>
      </c>
      <c r="K1083" s="36">
        <f t="shared" si="157"/>
        <v>46260</v>
      </c>
      <c r="L1083" s="36">
        <f t="shared" si="157"/>
        <v>740160</v>
      </c>
      <c r="M1083" s="37"/>
      <c r="N1083" s="253"/>
      <c r="O1083" s="38"/>
    </row>
    <row r="1084" spans="1:15" s="29" customFormat="1" ht="24.95" customHeight="1">
      <c r="A1084" s="31" t="s">
        <v>1653</v>
      </c>
      <c r="B1084" s="32" t="s">
        <v>1326</v>
      </c>
      <c r="C1084" s="33">
        <v>5</v>
      </c>
      <c r="D1084" s="34" t="s">
        <v>960</v>
      </c>
      <c r="E1084" s="36">
        <v>0</v>
      </c>
      <c r="F1084" s="36">
        <f>TRUNC(E1084*$C1084,0)</f>
        <v>0</v>
      </c>
      <c r="G1084" s="36">
        <v>53816</v>
      </c>
      <c r="H1084" s="36">
        <f>TRUNC(G1084*$C1084,0)</f>
        <v>269080</v>
      </c>
      <c r="I1084" s="36">
        <v>0</v>
      </c>
      <c r="J1084" s="36">
        <f>TRUNC(I1084*$C1084,0)</f>
        <v>0</v>
      </c>
      <c r="K1084" s="36">
        <f t="shared" si="157"/>
        <v>53816</v>
      </c>
      <c r="L1084" s="36">
        <f t="shared" si="157"/>
        <v>269080</v>
      </c>
      <c r="M1084" s="37"/>
      <c r="N1084" s="253"/>
      <c r="O1084" s="38"/>
    </row>
    <row r="1085" spans="1:15" s="29" customFormat="1" ht="24.95" customHeight="1">
      <c r="A1085" s="31" t="s">
        <v>1661</v>
      </c>
      <c r="B1085" s="32" t="s">
        <v>1326</v>
      </c>
      <c r="C1085" s="33">
        <v>5</v>
      </c>
      <c r="D1085" s="34" t="s">
        <v>1116</v>
      </c>
      <c r="E1085" s="36">
        <v>0</v>
      </c>
      <c r="F1085" s="36">
        <f>TRUNC(E1085*$C1085,0)</f>
        <v>0</v>
      </c>
      <c r="G1085" s="36">
        <v>34605</v>
      </c>
      <c r="H1085" s="36">
        <f>TRUNC(G1085*$C1085,0)</f>
        <v>173025</v>
      </c>
      <c r="I1085" s="36">
        <v>0</v>
      </c>
      <c r="J1085" s="36">
        <f>TRUNC(I1085*$C1085,0)</f>
        <v>0</v>
      </c>
      <c r="K1085" s="36">
        <f t="shared" si="157"/>
        <v>34605</v>
      </c>
      <c r="L1085" s="36">
        <f t="shared" si="157"/>
        <v>173025</v>
      </c>
      <c r="M1085" s="37"/>
      <c r="N1085" s="253"/>
      <c r="O1085" s="38"/>
    </row>
    <row r="1086" spans="1:15" s="92" customFormat="1" ht="24.95" customHeight="1">
      <c r="A1086" s="86" t="s">
        <v>1669</v>
      </c>
      <c r="B1086" s="87" t="s">
        <v>22</v>
      </c>
      <c r="C1086" s="88"/>
      <c r="D1086" s="89" t="s">
        <v>22</v>
      </c>
      <c r="E1086" s="89"/>
      <c r="F1086" s="90">
        <f>TRUNC(F1087+F1088+F1089,0)</f>
        <v>0</v>
      </c>
      <c r="G1086" s="89"/>
      <c r="H1086" s="90">
        <f>TRUNC(H1087+H1088+H1089,0)</f>
        <v>1733215</v>
      </c>
      <c r="I1086" s="89"/>
      <c r="J1086" s="90">
        <f>TRUNC(J1087+J1088+J1089,0)</f>
        <v>0</v>
      </c>
      <c r="K1086" s="90">
        <f t="shared" si="157"/>
        <v>0</v>
      </c>
      <c r="L1086" s="90">
        <f t="shared" si="157"/>
        <v>1733215</v>
      </c>
      <c r="M1086" s="91"/>
      <c r="N1086" s="259"/>
    </row>
    <row r="1087" spans="1:15" s="29" customFormat="1" ht="24.95" customHeight="1">
      <c r="A1087" s="31" t="s">
        <v>1657</v>
      </c>
      <c r="B1087" s="32" t="s">
        <v>1325</v>
      </c>
      <c r="C1087" s="33">
        <v>25</v>
      </c>
      <c r="D1087" s="34" t="s">
        <v>960</v>
      </c>
      <c r="E1087" s="36">
        <v>0</v>
      </c>
      <c r="F1087" s="36">
        <f>TRUNC(E1087*$C1087,0)</f>
        <v>0</v>
      </c>
      <c r="G1087" s="36">
        <v>32881</v>
      </c>
      <c r="H1087" s="36">
        <f>TRUNC(G1087*$C1087,0)</f>
        <v>822025</v>
      </c>
      <c r="I1087" s="36">
        <v>0</v>
      </c>
      <c r="J1087" s="36">
        <f>TRUNC(I1087*$C1087,0)</f>
        <v>0</v>
      </c>
      <c r="K1087" s="36">
        <f t="shared" si="157"/>
        <v>32881</v>
      </c>
      <c r="L1087" s="36">
        <f t="shared" si="157"/>
        <v>822025</v>
      </c>
      <c r="M1087" s="37"/>
      <c r="N1087" s="253"/>
      <c r="O1087" s="38"/>
    </row>
    <row r="1088" spans="1:15" s="29" customFormat="1" ht="24.95" customHeight="1">
      <c r="A1088" s="31" t="s">
        <v>1671</v>
      </c>
      <c r="B1088" s="32" t="s">
        <v>1325</v>
      </c>
      <c r="C1088" s="33">
        <v>30</v>
      </c>
      <c r="D1088" s="34" t="s">
        <v>960</v>
      </c>
      <c r="E1088" s="36">
        <v>0</v>
      </c>
      <c r="F1088" s="36">
        <f>TRUNC(E1088*$C1088,0)</f>
        <v>0</v>
      </c>
      <c r="G1088" s="36">
        <v>20935</v>
      </c>
      <c r="H1088" s="36">
        <f>TRUNC(G1088*$C1088,0)</f>
        <v>628050</v>
      </c>
      <c r="I1088" s="36">
        <v>0</v>
      </c>
      <c r="J1088" s="36">
        <f>TRUNC(I1088*$C1088,0)</f>
        <v>0</v>
      </c>
      <c r="K1088" s="36">
        <f t="shared" si="157"/>
        <v>20935</v>
      </c>
      <c r="L1088" s="36">
        <f t="shared" si="157"/>
        <v>628050</v>
      </c>
      <c r="M1088" s="37"/>
      <c r="N1088" s="253"/>
      <c r="O1088" s="38"/>
    </row>
    <row r="1089" spans="1:15" s="29" customFormat="1" ht="24.95" customHeight="1">
      <c r="A1089" s="31" t="s">
        <v>1662</v>
      </c>
      <c r="B1089" s="32" t="s">
        <v>1325</v>
      </c>
      <c r="C1089" s="33">
        <v>30</v>
      </c>
      <c r="D1089" s="34" t="s">
        <v>960</v>
      </c>
      <c r="E1089" s="36">
        <v>0</v>
      </c>
      <c r="F1089" s="36">
        <f>TRUNC(E1089*$C1089,0)</f>
        <v>0</v>
      </c>
      <c r="G1089" s="36">
        <v>9438</v>
      </c>
      <c r="H1089" s="36">
        <f>TRUNC(G1089*$C1089,0)</f>
        <v>283140</v>
      </c>
      <c r="I1089" s="36">
        <v>0</v>
      </c>
      <c r="J1089" s="36">
        <f>TRUNC(I1089*$C1089,0)</f>
        <v>0</v>
      </c>
      <c r="K1089" s="36">
        <f t="shared" si="157"/>
        <v>9438</v>
      </c>
      <c r="L1089" s="36">
        <f t="shared" si="157"/>
        <v>283140</v>
      </c>
      <c r="M1089" s="37"/>
      <c r="N1089" s="253"/>
      <c r="O1089" s="38"/>
    </row>
    <row r="1090" spans="1:15" s="29" customFormat="1" ht="24.95" customHeight="1">
      <c r="A1090" s="31" t="s">
        <v>766</v>
      </c>
      <c r="B1090" s="32" t="s">
        <v>22</v>
      </c>
      <c r="C1090" s="33"/>
      <c r="D1090" s="34" t="s">
        <v>22</v>
      </c>
      <c r="E1090" s="34"/>
      <c r="F1090" s="36">
        <v>0</v>
      </c>
      <c r="G1090" s="34"/>
      <c r="H1090" s="36">
        <v>0</v>
      </c>
      <c r="I1090" s="34"/>
      <c r="J1090" s="36">
        <v>0</v>
      </c>
      <c r="K1090" s="36">
        <f t="shared" si="157"/>
        <v>0</v>
      </c>
      <c r="L1090" s="36">
        <f t="shared" si="157"/>
        <v>0</v>
      </c>
      <c r="M1090" s="37"/>
      <c r="N1090" s="253"/>
    </row>
    <row r="1091" spans="1:15" s="45" customFormat="1" ht="24.95" customHeight="1">
      <c r="A1091" s="39" t="s">
        <v>1707</v>
      </c>
      <c r="B1091" s="40" t="s">
        <v>22</v>
      </c>
      <c r="C1091" s="41">
        <v>1</v>
      </c>
      <c r="D1091" s="42" t="s">
        <v>754</v>
      </c>
      <c r="E1091" s="42"/>
      <c r="F1091" s="43">
        <f>F1092+F1098+F1100+F1106+F1122+F1152+F1183+F1185+F1192</f>
        <v>1811681837</v>
      </c>
      <c r="G1091" s="42"/>
      <c r="H1091" s="43">
        <f>H1092+H1098+H1100+H1106+H1122+H1152+H1183+H1185+H1192</f>
        <v>7851898505</v>
      </c>
      <c r="I1091" s="42"/>
      <c r="J1091" s="43">
        <f>J1092+J1098+J1100+J1106+J1122+J1152+J1183+J1185+J1192</f>
        <v>220097629</v>
      </c>
      <c r="K1091" s="42"/>
      <c r="L1091" s="43">
        <f t="shared" ref="L1091:L1154" si="167">H1091+F1091+J1091</f>
        <v>9883677971</v>
      </c>
      <c r="M1091" s="44"/>
      <c r="N1091" s="253"/>
    </row>
    <row r="1092" spans="1:15" s="63" customFormat="1" ht="24.95" customHeight="1">
      <c r="A1092" s="57" t="s">
        <v>1708</v>
      </c>
      <c r="B1092" s="58" t="s">
        <v>22</v>
      </c>
      <c r="C1092" s="59"/>
      <c r="D1092" s="60" t="s">
        <v>22</v>
      </c>
      <c r="E1092" s="60"/>
      <c r="F1092" s="61">
        <f>TRUNC(F1094+F1095+F1097,0)</f>
        <v>14486066</v>
      </c>
      <c r="G1092" s="60"/>
      <c r="H1092" s="61">
        <f>TRUNC(H1094+H1095+H1097,0)</f>
        <v>1815086</v>
      </c>
      <c r="I1092" s="60"/>
      <c r="J1092" s="61">
        <f>TRUNC(J1094+J1095+J1097,0)</f>
        <v>2736684</v>
      </c>
      <c r="K1092" s="61">
        <f t="shared" ref="K1092:L1155" si="168">G1092+E1092+I1092</f>
        <v>0</v>
      </c>
      <c r="L1092" s="61">
        <f t="shared" si="167"/>
        <v>19037836</v>
      </c>
      <c r="M1092" s="62"/>
      <c r="N1092" s="253"/>
    </row>
    <row r="1093" spans="1:15" s="29" customFormat="1" ht="24.95" customHeight="1">
      <c r="A1093" s="31" t="s">
        <v>1709</v>
      </c>
      <c r="B1093" s="32" t="s">
        <v>22</v>
      </c>
      <c r="C1093" s="33"/>
      <c r="D1093" s="34" t="s">
        <v>22</v>
      </c>
      <c r="E1093" s="34"/>
      <c r="F1093" s="36">
        <f>TRUNC(F1094+F1095,0)</f>
        <v>12628106</v>
      </c>
      <c r="G1093" s="34"/>
      <c r="H1093" s="36">
        <f>TRUNC(H1094+H1095,0)</f>
        <v>1692366</v>
      </c>
      <c r="I1093" s="34"/>
      <c r="J1093" s="36">
        <f>TRUNC(J1094+J1095,0)</f>
        <v>2630344</v>
      </c>
      <c r="K1093" s="36">
        <f t="shared" si="168"/>
        <v>0</v>
      </c>
      <c r="L1093" s="36">
        <f t="shared" si="167"/>
        <v>16950816</v>
      </c>
      <c r="M1093" s="37"/>
      <c r="N1093" s="253"/>
    </row>
    <row r="1094" spans="1:15" s="29" customFormat="1" ht="24.95" customHeight="1">
      <c r="A1094" s="31" t="s">
        <v>867</v>
      </c>
      <c r="B1094" s="32" t="s">
        <v>1710</v>
      </c>
      <c r="C1094" s="33">
        <v>3338</v>
      </c>
      <c r="D1094" s="34" t="s">
        <v>820</v>
      </c>
      <c r="E1094" s="36">
        <v>1402</v>
      </c>
      <c r="F1094" s="36">
        <f>TRUNC(E1094*$C1094,0)</f>
        <v>4679876</v>
      </c>
      <c r="G1094" s="36">
        <v>507</v>
      </c>
      <c r="H1094" s="36">
        <f>TRUNC(G1094*$C1094,0)</f>
        <v>1692366</v>
      </c>
      <c r="I1094" s="36">
        <v>788</v>
      </c>
      <c r="J1094" s="36">
        <f>TRUNC(I1094*$C1094,0)</f>
        <v>2630344</v>
      </c>
      <c r="K1094" s="36">
        <f t="shared" si="168"/>
        <v>2697</v>
      </c>
      <c r="L1094" s="36">
        <f t="shared" si="167"/>
        <v>9002586</v>
      </c>
      <c r="M1094" s="37"/>
      <c r="N1094" s="253"/>
      <c r="O1094" s="38"/>
    </row>
    <row r="1095" spans="1:15" s="29" customFormat="1" ht="24.95" customHeight="1">
      <c r="A1095" s="31" t="s">
        <v>1711</v>
      </c>
      <c r="B1095" s="32" t="s">
        <v>819</v>
      </c>
      <c r="C1095" s="33">
        <v>307</v>
      </c>
      <c r="D1095" s="34" t="s">
        <v>820</v>
      </c>
      <c r="E1095" s="36">
        <v>25890</v>
      </c>
      <c r="F1095" s="36">
        <f>TRUNC(E1095*$C1095,0)</f>
        <v>7948230</v>
      </c>
      <c r="G1095" s="36">
        <v>0</v>
      </c>
      <c r="H1095" s="36">
        <f>TRUNC(G1095*$C1095,0)</f>
        <v>0</v>
      </c>
      <c r="I1095" s="36">
        <v>0</v>
      </c>
      <c r="J1095" s="36">
        <f>TRUNC(I1095*$C1095,0)</f>
        <v>0</v>
      </c>
      <c r="K1095" s="36">
        <f t="shared" si="168"/>
        <v>25890</v>
      </c>
      <c r="L1095" s="36">
        <f t="shared" si="167"/>
        <v>7948230</v>
      </c>
      <c r="M1095" s="37"/>
      <c r="N1095" s="253"/>
      <c r="O1095" s="38"/>
    </row>
    <row r="1096" spans="1:15" s="29" customFormat="1" ht="24.95" customHeight="1">
      <c r="A1096" s="31" t="s">
        <v>1330</v>
      </c>
      <c r="B1096" s="32" t="s">
        <v>22</v>
      </c>
      <c r="C1096" s="33"/>
      <c r="D1096" s="34" t="s">
        <v>22</v>
      </c>
      <c r="E1096" s="34"/>
      <c r="F1096" s="36">
        <f>TRUNC(F1097,0)</f>
        <v>1857960</v>
      </c>
      <c r="G1096" s="34"/>
      <c r="H1096" s="36">
        <f>TRUNC(H1097,0)</f>
        <v>122720</v>
      </c>
      <c r="I1096" s="34"/>
      <c r="J1096" s="36">
        <f>TRUNC(J1097,0)</f>
        <v>106340</v>
      </c>
      <c r="K1096" s="36">
        <f t="shared" si="168"/>
        <v>0</v>
      </c>
      <c r="L1096" s="36">
        <f t="shared" si="167"/>
        <v>2087020</v>
      </c>
      <c r="M1096" s="37"/>
      <c r="N1096" s="253"/>
    </row>
    <row r="1097" spans="1:15" s="29" customFormat="1" ht="24.95" customHeight="1">
      <c r="A1097" s="31" t="s">
        <v>985</v>
      </c>
      <c r="B1097" s="32" t="s">
        <v>988</v>
      </c>
      <c r="C1097" s="33">
        <v>260</v>
      </c>
      <c r="D1097" s="34" t="s">
        <v>815</v>
      </c>
      <c r="E1097" s="36">
        <v>7146</v>
      </c>
      <c r="F1097" s="36">
        <f>TRUNC(E1097*$C1097,0)</f>
        <v>1857960</v>
      </c>
      <c r="G1097" s="36">
        <v>472</v>
      </c>
      <c r="H1097" s="36">
        <f>TRUNC(G1097*$C1097,0)</f>
        <v>122720</v>
      </c>
      <c r="I1097" s="36">
        <v>409</v>
      </c>
      <c r="J1097" s="36">
        <f>TRUNC(I1097*$C1097,0)</f>
        <v>106340</v>
      </c>
      <c r="K1097" s="36">
        <f t="shared" si="168"/>
        <v>8027</v>
      </c>
      <c r="L1097" s="36">
        <f t="shared" si="167"/>
        <v>2087020</v>
      </c>
      <c r="M1097" s="37"/>
      <c r="N1097" s="253"/>
      <c r="O1097" s="38"/>
    </row>
    <row r="1098" spans="1:15" s="63" customFormat="1" ht="24.95" customHeight="1">
      <c r="A1098" s="57" t="s">
        <v>1712</v>
      </c>
      <c r="B1098" s="58" t="s">
        <v>22</v>
      </c>
      <c r="C1098" s="59"/>
      <c r="D1098" s="60" t="s">
        <v>22</v>
      </c>
      <c r="E1098" s="60"/>
      <c r="F1098" s="61">
        <f>TRUNC(F1099,0)</f>
        <v>60454143</v>
      </c>
      <c r="G1098" s="60"/>
      <c r="H1098" s="61">
        <f>TRUNC(H1099,0)</f>
        <v>20774106</v>
      </c>
      <c r="I1098" s="60"/>
      <c r="J1098" s="61">
        <f>TRUNC(J1099,0)</f>
        <v>23987367</v>
      </c>
      <c r="K1098" s="61">
        <f t="shared" si="168"/>
        <v>0</v>
      </c>
      <c r="L1098" s="61">
        <f t="shared" si="167"/>
        <v>105215616</v>
      </c>
      <c r="M1098" s="62"/>
      <c r="N1098" s="253"/>
    </row>
    <row r="1099" spans="1:15" s="29" customFormat="1" ht="24.95" customHeight="1">
      <c r="A1099" s="31" t="s">
        <v>1713</v>
      </c>
      <c r="B1099" s="32" t="s">
        <v>1714</v>
      </c>
      <c r="C1099" s="33">
        <v>24909</v>
      </c>
      <c r="D1099" s="34" t="s">
        <v>815</v>
      </c>
      <c r="E1099" s="36">
        <v>2427</v>
      </c>
      <c r="F1099" s="36">
        <f>TRUNC(E1099*$C1099,0)</f>
        <v>60454143</v>
      </c>
      <c r="G1099" s="36">
        <v>834</v>
      </c>
      <c r="H1099" s="36">
        <f>TRUNC(G1099*$C1099,0)</f>
        <v>20774106</v>
      </c>
      <c r="I1099" s="36">
        <v>963</v>
      </c>
      <c r="J1099" s="36">
        <f>TRUNC(I1099*$C1099,0)</f>
        <v>23987367</v>
      </c>
      <c r="K1099" s="36">
        <f t="shared" si="168"/>
        <v>4224</v>
      </c>
      <c r="L1099" s="36">
        <f t="shared" si="167"/>
        <v>105215616</v>
      </c>
      <c r="M1099" s="37"/>
      <c r="N1099" s="253"/>
      <c r="O1099" s="38"/>
    </row>
    <row r="1100" spans="1:15" s="63" customFormat="1" ht="24.95" customHeight="1">
      <c r="A1100" s="57" t="s">
        <v>1715</v>
      </c>
      <c r="B1100" s="58" t="s">
        <v>22</v>
      </c>
      <c r="C1100" s="59"/>
      <c r="D1100" s="60" t="s">
        <v>22</v>
      </c>
      <c r="E1100" s="60"/>
      <c r="F1100" s="61">
        <f>TRUNC(F1101+F1102+F1103+F1104+F1105,0)</f>
        <v>148873735</v>
      </c>
      <c r="G1100" s="60"/>
      <c r="H1100" s="61">
        <f>TRUNC(H1101+H1102+H1103+H1104+H1105,0)</f>
        <v>24511762</v>
      </c>
      <c r="I1100" s="60"/>
      <c r="J1100" s="61">
        <f>TRUNC(J1101+J1102+J1103+J1104+J1105,0)</f>
        <v>35627406</v>
      </c>
      <c r="K1100" s="61">
        <f t="shared" si="168"/>
        <v>0</v>
      </c>
      <c r="L1100" s="61">
        <f t="shared" si="167"/>
        <v>209012903</v>
      </c>
      <c r="M1100" s="62"/>
      <c r="N1100" s="253"/>
    </row>
    <row r="1101" spans="1:15" s="29" customFormat="1" ht="24.95" customHeight="1">
      <c r="A1101" s="31" t="s">
        <v>1716</v>
      </c>
      <c r="B1101" s="32" t="s">
        <v>1717</v>
      </c>
      <c r="C1101" s="33">
        <v>103555</v>
      </c>
      <c r="D1101" s="34" t="s">
        <v>831</v>
      </c>
      <c r="E1101" s="36">
        <v>25</v>
      </c>
      <c r="F1101" s="36">
        <f>TRUNC(E1101*$C1101,0)</f>
        <v>2588875</v>
      </c>
      <c r="G1101" s="36">
        <v>8</v>
      </c>
      <c r="H1101" s="36">
        <f>TRUNC(G1101*$C1101,0)</f>
        <v>828440</v>
      </c>
      <c r="I1101" s="36">
        <v>0</v>
      </c>
      <c r="J1101" s="36">
        <f>TRUNC(I1101*$C1101,0)</f>
        <v>0</v>
      </c>
      <c r="K1101" s="36">
        <f t="shared" si="168"/>
        <v>33</v>
      </c>
      <c r="L1101" s="36">
        <f t="shared" si="167"/>
        <v>3417315</v>
      </c>
      <c r="M1101" s="37"/>
      <c r="N1101" s="253"/>
      <c r="O1101" s="38"/>
    </row>
    <row r="1102" spans="1:15" s="29" customFormat="1" ht="24.95" customHeight="1">
      <c r="A1102" s="31" t="s">
        <v>1718</v>
      </c>
      <c r="B1102" s="32" t="s">
        <v>1719</v>
      </c>
      <c r="C1102" s="33">
        <v>103659</v>
      </c>
      <c r="D1102" s="34" t="s">
        <v>831</v>
      </c>
      <c r="E1102" s="36">
        <v>605</v>
      </c>
      <c r="F1102" s="36">
        <f>TRUNC(E1102*$C1102,0)</f>
        <v>62713695</v>
      </c>
      <c r="G1102" s="36">
        <v>94</v>
      </c>
      <c r="H1102" s="36">
        <f>TRUNC(G1102*$C1102,0)</f>
        <v>9743946</v>
      </c>
      <c r="I1102" s="36">
        <v>154</v>
      </c>
      <c r="J1102" s="36">
        <f>TRUNC(I1102*$C1102,0)</f>
        <v>15963486</v>
      </c>
      <c r="K1102" s="36">
        <f t="shared" si="168"/>
        <v>853</v>
      </c>
      <c r="L1102" s="36">
        <f t="shared" si="167"/>
        <v>88421127</v>
      </c>
      <c r="M1102" s="37"/>
      <c r="N1102" s="253"/>
      <c r="O1102" s="38"/>
    </row>
    <row r="1103" spans="1:15" s="29" customFormat="1" ht="24.95" customHeight="1">
      <c r="A1103" s="31" t="s">
        <v>1720</v>
      </c>
      <c r="B1103" s="32" t="s">
        <v>1717</v>
      </c>
      <c r="C1103" s="33">
        <v>240317</v>
      </c>
      <c r="D1103" s="34" t="s">
        <v>831</v>
      </c>
      <c r="E1103" s="36">
        <v>25</v>
      </c>
      <c r="F1103" s="36">
        <f>TRUNC(E1103*$C1103,0)</f>
        <v>6007925</v>
      </c>
      <c r="G1103" s="36">
        <v>8</v>
      </c>
      <c r="H1103" s="36">
        <f>TRUNC(G1103*$C1103,0)</f>
        <v>1922536</v>
      </c>
      <c r="I1103" s="36">
        <v>0</v>
      </c>
      <c r="J1103" s="36">
        <f>TRUNC(I1103*$C1103,0)</f>
        <v>0</v>
      </c>
      <c r="K1103" s="36">
        <f t="shared" si="168"/>
        <v>33</v>
      </c>
      <c r="L1103" s="36">
        <f t="shared" si="167"/>
        <v>7930461</v>
      </c>
      <c r="M1103" s="37"/>
      <c r="N1103" s="253"/>
      <c r="O1103" s="38"/>
    </row>
    <row r="1104" spans="1:15" s="29" customFormat="1" ht="24.95" customHeight="1">
      <c r="A1104" s="31" t="s">
        <v>1721</v>
      </c>
      <c r="B1104" s="32" t="s">
        <v>1722</v>
      </c>
      <c r="C1104" s="33">
        <v>32792</v>
      </c>
      <c r="D1104" s="34" t="s">
        <v>831</v>
      </c>
      <c r="E1104" s="36">
        <v>568</v>
      </c>
      <c r="F1104" s="36">
        <f>TRUNC(E1104*$C1104,0)</f>
        <v>18625856</v>
      </c>
      <c r="G1104" s="36">
        <v>88</v>
      </c>
      <c r="H1104" s="36">
        <f>TRUNC(G1104*$C1104,0)</f>
        <v>2885696</v>
      </c>
      <c r="I1104" s="36">
        <v>144</v>
      </c>
      <c r="J1104" s="36">
        <f>TRUNC(I1104*$C1104,0)</f>
        <v>4722048</v>
      </c>
      <c r="K1104" s="36">
        <f t="shared" si="168"/>
        <v>800</v>
      </c>
      <c r="L1104" s="36">
        <f t="shared" si="167"/>
        <v>26233600</v>
      </c>
      <c r="M1104" s="37"/>
      <c r="N1104" s="253"/>
      <c r="O1104" s="38"/>
    </row>
    <row r="1105" spans="1:15" s="29" customFormat="1" ht="24.95" customHeight="1">
      <c r="A1105" s="31" t="s">
        <v>1723</v>
      </c>
      <c r="B1105" s="32" t="s">
        <v>1722</v>
      </c>
      <c r="C1105" s="33">
        <v>103763</v>
      </c>
      <c r="D1105" s="34" t="s">
        <v>831</v>
      </c>
      <c r="E1105" s="36">
        <v>568</v>
      </c>
      <c r="F1105" s="36">
        <f>TRUNC(E1105*$C1105,0)</f>
        <v>58937384</v>
      </c>
      <c r="G1105" s="36">
        <v>88</v>
      </c>
      <c r="H1105" s="36">
        <f>TRUNC(G1105*$C1105,0)</f>
        <v>9131144</v>
      </c>
      <c r="I1105" s="36">
        <v>144</v>
      </c>
      <c r="J1105" s="36">
        <f>TRUNC(I1105*$C1105,0)</f>
        <v>14941872</v>
      </c>
      <c r="K1105" s="36">
        <f t="shared" si="168"/>
        <v>800</v>
      </c>
      <c r="L1105" s="36">
        <f t="shared" si="167"/>
        <v>83010400</v>
      </c>
      <c r="M1105" s="37"/>
      <c r="N1105" s="253"/>
      <c r="O1105" s="38"/>
    </row>
    <row r="1106" spans="1:15" s="63" customFormat="1" ht="24.95" customHeight="1">
      <c r="A1106" s="57" t="s">
        <v>1724</v>
      </c>
      <c r="B1106" s="58" t="s">
        <v>22</v>
      </c>
      <c r="C1106" s="59"/>
      <c r="D1106" s="60" t="s">
        <v>22</v>
      </c>
      <c r="E1106" s="60"/>
      <c r="F1106" s="61">
        <f>TRUNC(F1109+F1110+F1112+F1113+F1115+F1117+F1118+F1120+F1121,0)</f>
        <v>446594551</v>
      </c>
      <c r="G1106" s="60"/>
      <c r="H1106" s="61">
        <f>TRUNC(H1109+H1110+H1112+H1113+H1115+H1117+H1118+H1120+H1121,0)</f>
        <v>107437235</v>
      </c>
      <c r="I1106" s="60"/>
      <c r="J1106" s="61">
        <f>TRUNC(J1109+J1110+J1112+J1113+J1115+J1117+J1118+J1120+J1121,0)</f>
        <v>53760028</v>
      </c>
      <c r="K1106" s="61">
        <f t="shared" si="168"/>
        <v>0</v>
      </c>
      <c r="L1106" s="61">
        <f t="shared" si="167"/>
        <v>607791814</v>
      </c>
      <c r="M1106" s="62"/>
      <c r="N1106" s="253"/>
    </row>
    <row r="1107" spans="1:15" s="70" customFormat="1" ht="24.95" customHeight="1">
      <c r="A1107" s="64" t="s">
        <v>1725</v>
      </c>
      <c r="B1107" s="65" t="s">
        <v>22</v>
      </c>
      <c r="C1107" s="66"/>
      <c r="D1107" s="67" t="s">
        <v>22</v>
      </c>
      <c r="E1107" s="67"/>
      <c r="F1107" s="68">
        <f>TRUNC(F1109+F1110+F1112+F1113+F1115,0)</f>
        <v>406820729</v>
      </c>
      <c r="G1107" s="67"/>
      <c r="H1107" s="68">
        <f>TRUNC(H1109+H1110+H1112+H1113+H1115,0)</f>
        <v>73431955</v>
      </c>
      <c r="I1107" s="67"/>
      <c r="J1107" s="68">
        <f>TRUNC(J1109+J1110+J1112+J1113+J1115,0)</f>
        <v>52772104</v>
      </c>
      <c r="K1107" s="68">
        <f t="shared" si="168"/>
        <v>0</v>
      </c>
      <c r="L1107" s="68">
        <f t="shared" si="167"/>
        <v>533024788</v>
      </c>
      <c r="M1107" s="69"/>
      <c r="N1107" s="256"/>
    </row>
    <row r="1108" spans="1:15" s="77" customFormat="1" ht="24.95" customHeight="1">
      <c r="A1108" s="71" t="s">
        <v>1726</v>
      </c>
      <c r="B1108" s="72" t="s">
        <v>22</v>
      </c>
      <c r="C1108" s="73"/>
      <c r="D1108" s="74" t="s">
        <v>22</v>
      </c>
      <c r="E1108" s="74"/>
      <c r="F1108" s="75">
        <f>TRUNC(F1109+F1110,0)</f>
        <v>238169358</v>
      </c>
      <c r="G1108" s="74"/>
      <c r="H1108" s="75">
        <f>TRUNC(H1109+H1110,0)</f>
        <v>24330726</v>
      </c>
      <c r="I1108" s="74"/>
      <c r="J1108" s="75">
        <f>TRUNC(J1109+J1110,0)</f>
        <v>31549266</v>
      </c>
      <c r="K1108" s="75">
        <f t="shared" si="168"/>
        <v>0</v>
      </c>
      <c r="L1108" s="75">
        <f t="shared" si="167"/>
        <v>294049350</v>
      </c>
      <c r="M1108" s="76"/>
      <c r="N1108" s="257"/>
    </row>
    <row r="1109" spans="1:15" s="29" customFormat="1" ht="24.95" customHeight="1">
      <c r="A1109" s="31" t="s">
        <v>1727</v>
      </c>
      <c r="B1109" s="32" t="s">
        <v>1728</v>
      </c>
      <c r="C1109" s="33">
        <v>21231</v>
      </c>
      <c r="D1109" s="34" t="s">
        <v>831</v>
      </c>
      <c r="E1109" s="36">
        <v>5609</v>
      </c>
      <c r="F1109" s="36">
        <f>TRUNC(E1109*$C1109,0)</f>
        <v>119084679</v>
      </c>
      <c r="G1109" s="36">
        <v>573</v>
      </c>
      <c r="H1109" s="36">
        <f>TRUNC(G1109*$C1109,0)</f>
        <v>12165363</v>
      </c>
      <c r="I1109" s="36">
        <v>743</v>
      </c>
      <c r="J1109" s="36">
        <f>TRUNC(I1109*$C1109,0)</f>
        <v>15774633</v>
      </c>
      <c r="K1109" s="36">
        <f t="shared" si="168"/>
        <v>6925</v>
      </c>
      <c r="L1109" s="36">
        <f t="shared" si="167"/>
        <v>147024675</v>
      </c>
      <c r="M1109" s="37"/>
      <c r="N1109" s="253"/>
      <c r="O1109" s="38"/>
    </row>
    <row r="1110" spans="1:15" s="29" customFormat="1" ht="24.95" customHeight="1">
      <c r="A1110" s="31" t="s">
        <v>1727</v>
      </c>
      <c r="B1110" s="32" t="s">
        <v>1728</v>
      </c>
      <c r="C1110" s="33">
        <v>21231</v>
      </c>
      <c r="D1110" s="34" t="s">
        <v>831</v>
      </c>
      <c r="E1110" s="36">
        <v>5609</v>
      </c>
      <c r="F1110" s="36">
        <f>TRUNC(E1110*$C1110,0)</f>
        <v>119084679</v>
      </c>
      <c r="G1110" s="36">
        <v>573</v>
      </c>
      <c r="H1110" s="36">
        <f>TRUNC(G1110*$C1110,0)</f>
        <v>12165363</v>
      </c>
      <c r="I1110" s="36">
        <v>743</v>
      </c>
      <c r="J1110" s="36">
        <f>TRUNC(I1110*$C1110,0)</f>
        <v>15774633</v>
      </c>
      <c r="K1110" s="36">
        <f t="shared" si="168"/>
        <v>6925</v>
      </c>
      <c r="L1110" s="36">
        <f t="shared" si="167"/>
        <v>147024675</v>
      </c>
      <c r="M1110" s="37"/>
      <c r="N1110" s="253"/>
      <c r="O1110" s="38"/>
    </row>
    <row r="1111" spans="1:15" s="77" customFormat="1" ht="24.95" customHeight="1">
      <c r="A1111" s="71" t="s">
        <v>1729</v>
      </c>
      <c r="B1111" s="72" t="s">
        <v>22</v>
      </c>
      <c r="C1111" s="73"/>
      <c r="D1111" s="74" t="s">
        <v>22</v>
      </c>
      <c r="E1111" s="74"/>
      <c r="F1111" s="75">
        <f>TRUNC(F1112+F1113,0)</f>
        <v>1783662</v>
      </c>
      <c r="G1111" s="74"/>
      <c r="H1111" s="75">
        <f>TRUNC(H1112+H1113,0)</f>
        <v>182214</v>
      </c>
      <c r="I1111" s="74"/>
      <c r="J1111" s="75">
        <f>TRUNC(J1112+J1113,0)</f>
        <v>236274</v>
      </c>
      <c r="K1111" s="75">
        <f t="shared" si="168"/>
        <v>0</v>
      </c>
      <c r="L1111" s="75">
        <f t="shared" si="167"/>
        <v>2202150</v>
      </c>
      <c r="M1111" s="76"/>
      <c r="N1111" s="257"/>
    </row>
    <row r="1112" spans="1:15" s="29" customFormat="1" ht="24.95" customHeight="1">
      <c r="A1112" s="31" t="s">
        <v>1727</v>
      </c>
      <c r="B1112" s="32" t="s">
        <v>1728</v>
      </c>
      <c r="C1112" s="33">
        <v>159</v>
      </c>
      <c r="D1112" s="34" t="s">
        <v>831</v>
      </c>
      <c r="E1112" s="36">
        <v>5609</v>
      </c>
      <c r="F1112" s="36">
        <f>TRUNC(E1112*$C1112,0)</f>
        <v>891831</v>
      </c>
      <c r="G1112" s="36">
        <v>573</v>
      </c>
      <c r="H1112" s="36">
        <f>TRUNC(G1112*$C1112,0)</f>
        <v>91107</v>
      </c>
      <c r="I1112" s="36">
        <v>743</v>
      </c>
      <c r="J1112" s="36">
        <f>TRUNC(I1112*$C1112,0)</f>
        <v>118137</v>
      </c>
      <c r="K1112" s="36">
        <f t="shared" si="168"/>
        <v>6925</v>
      </c>
      <c r="L1112" s="36">
        <f t="shared" si="167"/>
        <v>1101075</v>
      </c>
      <c r="M1112" s="37"/>
      <c r="N1112" s="253"/>
      <c r="O1112" s="38"/>
    </row>
    <row r="1113" spans="1:15" s="29" customFormat="1" ht="24.95" customHeight="1">
      <c r="A1113" s="31" t="s">
        <v>1727</v>
      </c>
      <c r="B1113" s="32" t="s">
        <v>1728</v>
      </c>
      <c r="C1113" s="33">
        <v>159</v>
      </c>
      <c r="D1113" s="34" t="s">
        <v>831</v>
      </c>
      <c r="E1113" s="36">
        <v>5609</v>
      </c>
      <c r="F1113" s="36">
        <f>TRUNC(E1113*$C1113,0)</f>
        <v>891831</v>
      </c>
      <c r="G1113" s="36">
        <v>573</v>
      </c>
      <c r="H1113" s="36">
        <f>TRUNC(G1113*$C1113,0)</f>
        <v>91107</v>
      </c>
      <c r="I1113" s="36">
        <v>743</v>
      </c>
      <c r="J1113" s="36">
        <f>TRUNC(I1113*$C1113,0)</f>
        <v>118137</v>
      </c>
      <c r="K1113" s="36">
        <f t="shared" si="168"/>
        <v>6925</v>
      </c>
      <c r="L1113" s="36">
        <f t="shared" si="167"/>
        <v>1101075</v>
      </c>
      <c r="M1113" s="37"/>
      <c r="N1113" s="253"/>
      <c r="O1113" s="38"/>
    </row>
    <row r="1114" spans="1:15" s="77" customFormat="1" ht="24.95" customHeight="1">
      <c r="A1114" s="71" t="s">
        <v>1730</v>
      </c>
      <c r="B1114" s="72" t="s">
        <v>22</v>
      </c>
      <c r="C1114" s="73"/>
      <c r="D1114" s="74" t="s">
        <v>22</v>
      </c>
      <c r="E1114" s="74"/>
      <c r="F1114" s="75">
        <f>TRUNC(F1115,0)</f>
        <v>166867709</v>
      </c>
      <c r="G1114" s="74"/>
      <c r="H1114" s="75">
        <f>TRUNC(H1115,0)</f>
        <v>48919015</v>
      </c>
      <c r="I1114" s="74"/>
      <c r="J1114" s="75">
        <f>TRUNC(J1115,0)</f>
        <v>20986564</v>
      </c>
      <c r="K1114" s="75">
        <f t="shared" si="168"/>
        <v>0</v>
      </c>
      <c r="L1114" s="75">
        <f t="shared" si="167"/>
        <v>236773288</v>
      </c>
      <c r="M1114" s="76"/>
      <c r="N1114" s="257"/>
    </row>
    <row r="1115" spans="1:15" s="29" customFormat="1" ht="24.95" customHeight="1">
      <c r="A1115" s="31" t="s">
        <v>1731</v>
      </c>
      <c r="B1115" s="32" t="s">
        <v>1732</v>
      </c>
      <c r="C1115" s="33">
        <v>8759</v>
      </c>
      <c r="D1115" s="34" t="s">
        <v>847</v>
      </c>
      <c r="E1115" s="36">
        <v>19051</v>
      </c>
      <c r="F1115" s="36">
        <f>TRUNC(E1115*$C1115,0)</f>
        <v>166867709</v>
      </c>
      <c r="G1115" s="36">
        <v>5585</v>
      </c>
      <c r="H1115" s="36">
        <f>TRUNC(G1115*$C1115,0)</f>
        <v>48919015</v>
      </c>
      <c r="I1115" s="36">
        <v>2396</v>
      </c>
      <c r="J1115" s="36">
        <f>TRUNC(I1115*$C1115,0)</f>
        <v>20986564</v>
      </c>
      <c r="K1115" s="36">
        <f t="shared" si="168"/>
        <v>27032</v>
      </c>
      <c r="L1115" s="36">
        <f t="shared" si="167"/>
        <v>236773288</v>
      </c>
      <c r="M1115" s="37"/>
      <c r="N1115" s="253"/>
      <c r="O1115" s="38"/>
    </row>
    <row r="1116" spans="1:15" s="70" customFormat="1" ht="24.95" customHeight="1">
      <c r="A1116" s="64" t="s">
        <v>1733</v>
      </c>
      <c r="B1116" s="65" t="s">
        <v>22</v>
      </c>
      <c r="C1116" s="66"/>
      <c r="D1116" s="67" t="s">
        <v>22</v>
      </c>
      <c r="E1116" s="67"/>
      <c r="F1116" s="68">
        <f>TRUNC(F1117+F1118,0)</f>
        <v>35398802</v>
      </c>
      <c r="G1116" s="67"/>
      <c r="H1116" s="68">
        <f>TRUNC(H1117+H1118,0)</f>
        <v>33558340</v>
      </c>
      <c r="I1116" s="67"/>
      <c r="J1116" s="68">
        <f>TRUNC(J1117+J1118,0)</f>
        <v>408384</v>
      </c>
      <c r="K1116" s="68">
        <f t="shared" si="168"/>
        <v>0</v>
      </c>
      <c r="L1116" s="68">
        <f t="shared" si="167"/>
        <v>69365526</v>
      </c>
      <c r="M1116" s="69"/>
      <c r="N1116" s="256"/>
    </row>
    <row r="1117" spans="1:15" s="29" customFormat="1" ht="24.95" customHeight="1">
      <c r="A1117" s="31" t="s">
        <v>1734</v>
      </c>
      <c r="B1117" s="32" t="s">
        <v>1735</v>
      </c>
      <c r="C1117" s="33">
        <v>2836</v>
      </c>
      <c r="D1117" s="34" t="s">
        <v>831</v>
      </c>
      <c r="E1117" s="36">
        <v>12457</v>
      </c>
      <c r="F1117" s="36">
        <f>TRUNC(E1117*$C1117,0)</f>
        <v>35328052</v>
      </c>
      <c r="G1117" s="36">
        <v>11825</v>
      </c>
      <c r="H1117" s="36">
        <f>TRUNC(G1117*$C1117,0)</f>
        <v>33535700</v>
      </c>
      <c r="I1117" s="36">
        <v>144</v>
      </c>
      <c r="J1117" s="36">
        <f>TRUNC(I1117*$C1117,0)</f>
        <v>408384</v>
      </c>
      <c r="K1117" s="36">
        <f t="shared" si="168"/>
        <v>24426</v>
      </c>
      <c r="L1117" s="36">
        <f t="shared" si="167"/>
        <v>69272136</v>
      </c>
      <c r="M1117" s="37"/>
      <c r="N1117" s="253"/>
      <c r="O1117" s="38"/>
    </row>
    <row r="1118" spans="1:15" s="29" customFormat="1" ht="24.95" customHeight="1">
      <c r="A1118" s="31" t="s">
        <v>1736</v>
      </c>
      <c r="B1118" s="32" t="s">
        <v>1717</v>
      </c>
      <c r="C1118" s="33">
        <v>2830</v>
      </c>
      <c r="D1118" s="34" t="s">
        <v>831</v>
      </c>
      <c r="E1118" s="36">
        <v>25</v>
      </c>
      <c r="F1118" s="36">
        <f>TRUNC(E1118*$C1118,0)</f>
        <v>70750</v>
      </c>
      <c r="G1118" s="36">
        <v>8</v>
      </c>
      <c r="H1118" s="36">
        <f>TRUNC(G1118*$C1118,0)</f>
        <v>22640</v>
      </c>
      <c r="I1118" s="36">
        <v>0</v>
      </c>
      <c r="J1118" s="36">
        <f>TRUNC(I1118*$C1118,0)</f>
        <v>0</v>
      </c>
      <c r="K1118" s="36">
        <f t="shared" si="168"/>
        <v>33</v>
      </c>
      <c r="L1118" s="36">
        <f t="shared" si="167"/>
        <v>93390</v>
      </c>
      <c r="M1118" s="37"/>
      <c r="N1118" s="253"/>
      <c r="O1118" s="38"/>
    </row>
    <row r="1119" spans="1:15" s="70" customFormat="1" ht="24.95" customHeight="1">
      <c r="A1119" s="64" t="s">
        <v>1737</v>
      </c>
      <c r="B1119" s="65" t="s">
        <v>22</v>
      </c>
      <c r="C1119" s="66"/>
      <c r="D1119" s="67" t="s">
        <v>22</v>
      </c>
      <c r="E1119" s="67"/>
      <c r="F1119" s="68">
        <f>TRUNC(F1120+F1121,0)</f>
        <v>4375020</v>
      </c>
      <c r="G1119" s="67"/>
      <c r="H1119" s="68">
        <f>TRUNC(H1120+H1121,0)</f>
        <v>446940</v>
      </c>
      <c r="I1119" s="67"/>
      <c r="J1119" s="68">
        <f>TRUNC(J1120+J1121,0)</f>
        <v>579540</v>
      </c>
      <c r="K1119" s="68">
        <f t="shared" si="168"/>
        <v>0</v>
      </c>
      <c r="L1119" s="68">
        <f t="shared" si="167"/>
        <v>5401500</v>
      </c>
      <c r="M1119" s="69"/>
      <c r="N1119" s="256"/>
    </row>
    <row r="1120" spans="1:15" s="29" customFormat="1" ht="24.95" customHeight="1">
      <c r="A1120" s="31" t="s">
        <v>1738</v>
      </c>
      <c r="B1120" s="32" t="s">
        <v>1739</v>
      </c>
      <c r="C1120" s="33">
        <v>549</v>
      </c>
      <c r="D1120" s="34" t="s">
        <v>831</v>
      </c>
      <c r="E1120" s="36">
        <v>5609</v>
      </c>
      <c r="F1120" s="36">
        <f>TRUNC(E1120*$C1120,0)</f>
        <v>3079341</v>
      </c>
      <c r="G1120" s="36">
        <v>573</v>
      </c>
      <c r="H1120" s="36">
        <f>TRUNC(G1120*$C1120,0)</f>
        <v>314577</v>
      </c>
      <c r="I1120" s="36">
        <v>743</v>
      </c>
      <c r="J1120" s="36">
        <f>TRUNC(I1120*$C1120,0)</f>
        <v>407907</v>
      </c>
      <c r="K1120" s="36">
        <f t="shared" si="168"/>
        <v>6925</v>
      </c>
      <c r="L1120" s="36">
        <f t="shared" si="167"/>
        <v>3801825</v>
      </c>
      <c r="M1120" s="37"/>
      <c r="N1120" s="253"/>
      <c r="O1120" s="38"/>
    </row>
    <row r="1121" spans="1:15" s="29" customFormat="1" ht="24.95" customHeight="1">
      <c r="A1121" s="31" t="s">
        <v>1738</v>
      </c>
      <c r="B1121" s="32" t="s">
        <v>1740</v>
      </c>
      <c r="C1121" s="33">
        <v>231</v>
      </c>
      <c r="D1121" s="34" t="s">
        <v>831</v>
      </c>
      <c r="E1121" s="36">
        <v>5609</v>
      </c>
      <c r="F1121" s="36">
        <f>TRUNC(E1121*$C1121,0)</f>
        <v>1295679</v>
      </c>
      <c r="G1121" s="36">
        <v>573</v>
      </c>
      <c r="H1121" s="36">
        <f>TRUNC(G1121*$C1121,0)</f>
        <v>132363</v>
      </c>
      <c r="I1121" s="36">
        <v>743</v>
      </c>
      <c r="J1121" s="36">
        <f>TRUNC(I1121*$C1121,0)</f>
        <v>171633</v>
      </c>
      <c r="K1121" s="36">
        <f t="shared" si="168"/>
        <v>6925</v>
      </c>
      <c r="L1121" s="36">
        <f t="shared" si="167"/>
        <v>1599675</v>
      </c>
      <c r="M1121" s="37"/>
      <c r="N1121" s="253"/>
      <c r="O1121" s="38"/>
    </row>
    <row r="1122" spans="1:15" s="63" customFormat="1" ht="24.95" customHeight="1">
      <c r="A1122" s="57" t="s">
        <v>1741</v>
      </c>
      <c r="B1122" s="58" t="s">
        <v>22</v>
      </c>
      <c r="C1122" s="59"/>
      <c r="D1122" s="60" t="s">
        <v>22</v>
      </c>
      <c r="E1122" s="60"/>
      <c r="F1122" s="61">
        <f>TRUNC(F1125+F1126+F1127+F1128+F1130+F1131+F1132+F1133+F1135+F1136+F1137+F1138+F1140+F1141+F1142+F1143+F1146+F1147+F1149+F1150+F1151,0)</f>
        <v>879733653</v>
      </c>
      <c r="G1122" s="60"/>
      <c r="H1122" s="61">
        <f>TRUNC(H1125+H1126+H1127+H1128+H1130+H1131+H1132+H1133+H1135+H1136+H1137+H1138+H1140+H1141+H1142+H1143+H1146+H1147+H1149+H1150+H1151,0)</f>
        <v>313423128</v>
      </c>
      <c r="I1122" s="60"/>
      <c r="J1122" s="61">
        <f>TRUNC(J1125+J1126+J1127+J1128+J1130+J1131+J1132+J1133+J1135+J1136+J1137+J1138+J1140+J1141+J1142+J1143+J1146+J1147+J1149+J1150+J1151,0)</f>
        <v>47257040</v>
      </c>
      <c r="K1122" s="61">
        <f t="shared" si="168"/>
        <v>0</v>
      </c>
      <c r="L1122" s="61">
        <f t="shared" si="167"/>
        <v>1240413821</v>
      </c>
      <c r="M1122" s="62"/>
      <c r="N1122" s="253"/>
    </row>
    <row r="1123" spans="1:15" s="70" customFormat="1" ht="24.95" customHeight="1">
      <c r="A1123" s="64" t="s">
        <v>1742</v>
      </c>
      <c r="B1123" s="65" t="s">
        <v>22</v>
      </c>
      <c r="C1123" s="66"/>
      <c r="D1123" s="67" t="s">
        <v>22</v>
      </c>
      <c r="E1123" s="67"/>
      <c r="F1123" s="68">
        <f>TRUNC(F1125+F1126+F1127+F1128+F1130+F1131+F1132+F1133+F1135+F1136+F1137+F1138+F1140+F1141+F1142+F1143,0)</f>
        <v>409847533</v>
      </c>
      <c r="G1123" s="67"/>
      <c r="H1123" s="68">
        <f>TRUNC(H1125+H1126+H1127+H1128+H1130+H1131+H1132+H1133+H1135+H1136+H1137+H1138+H1140+H1141+H1142+H1143,0)</f>
        <v>135837333</v>
      </c>
      <c r="I1123" s="67"/>
      <c r="J1123" s="68">
        <f>TRUNC(J1125+J1126+J1127+J1128+J1130+J1131+J1132+J1133+J1135+J1136+J1137+J1138+J1140+J1141+J1142+J1143,0)</f>
        <v>24428620</v>
      </c>
      <c r="K1123" s="68">
        <f t="shared" si="168"/>
        <v>0</v>
      </c>
      <c r="L1123" s="68">
        <f t="shared" si="167"/>
        <v>570113486</v>
      </c>
      <c r="M1123" s="69"/>
      <c r="N1123" s="256"/>
    </row>
    <row r="1124" spans="1:15" s="77" customFormat="1" ht="24.95" customHeight="1">
      <c r="A1124" s="71" t="s">
        <v>1743</v>
      </c>
      <c r="B1124" s="72" t="s">
        <v>22</v>
      </c>
      <c r="C1124" s="73"/>
      <c r="D1124" s="74" t="s">
        <v>22</v>
      </c>
      <c r="E1124" s="74"/>
      <c r="F1124" s="75">
        <f>TRUNC(F1125+F1126+F1127+F1128,0)</f>
        <v>161282172</v>
      </c>
      <c r="G1124" s="74"/>
      <c r="H1124" s="75">
        <f>TRUNC(H1125+H1126+H1127+H1128,0)</f>
        <v>12459327</v>
      </c>
      <c r="I1124" s="74"/>
      <c r="J1124" s="75">
        <f>TRUNC(J1125+J1126+J1127+J1128,0)</f>
        <v>15994578</v>
      </c>
      <c r="K1124" s="75">
        <f t="shared" si="168"/>
        <v>0</v>
      </c>
      <c r="L1124" s="75">
        <f t="shared" si="167"/>
        <v>189736077</v>
      </c>
      <c r="M1124" s="76"/>
      <c r="N1124" s="257"/>
    </row>
    <row r="1125" spans="1:15" s="29" customFormat="1" ht="24.95" customHeight="1">
      <c r="A1125" s="31" t="s">
        <v>1744</v>
      </c>
      <c r="B1125" s="32" t="s">
        <v>1745</v>
      </c>
      <c r="C1125" s="33">
        <v>14779</v>
      </c>
      <c r="D1125" s="34" t="s">
        <v>116</v>
      </c>
      <c r="E1125" s="36">
        <v>6877</v>
      </c>
      <c r="F1125" s="36">
        <f>TRUNC(E1125*$C1125,0)</f>
        <v>101635183</v>
      </c>
      <c r="G1125" s="36">
        <v>531</v>
      </c>
      <c r="H1125" s="36">
        <f>TRUNC(G1125*$C1125,0)</f>
        <v>7847649</v>
      </c>
      <c r="I1125" s="36">
        <v>682</v>
      </c>
      <c r="J1125" s="36">
        <f>TRUNC(I1125*$C1125,0)</f>
        <v>10079278</v>
      </c>
      <c r="K1125" s="36">
        <f t="shared" si="168"/>
        <v>8090</v>
      </c>
      <c r="L1125" s="36">
        <f t="shared" si="167"/>
        <v>119562110</v>
      </c>
      <c r="M1125" s="37"/>
      <c r="N1125" s="253"/>
      <c r="O1125" s="38"/>
    </row>
    <row r="1126" spans="1:15" s="29" customFormat="1" ht="24.95" customHeight="1">
      <c r="A1126" s="31" t="s">
        <v>1744</v>
      </c>
      <c r="B1126" s="32" t="s">
        <v>1746</v>
      </c>
      <c r="C1126" s="33">
        <v>2203</v>
      </c>
      <c r="D1126" s="34" t="s">
        <v>116</v>
      </c>
      <c r="E1126" s="36">
        <v>8045</v>
      </c>
      <c r="F1126" s="36">
        <f>TRUNC(E1126*$C1126,0)</f>
        <v>17723135</v>
      </c>
      <c r="G1126" s="36">
        <v>622</v>
      </c>
      <c r="H1126" s="36">
        <f>TRUNC(G1126*$C1126,0)</f>
        <v>1370266</v>
      </c>
      <c r="I1126" s="36">
        <v>798</v>
      </c>
      <c r="J1126" s="36">
        <f>TRUNC(I1126*$C1126,0)</f>
        <v>1757994</v>
      </c>
      <c r="K1126" s="36">
        <f t="shared" si="168"/>
        <v>9465</v>
      </c>
      <c r="L1126" s="36">
        <f t="shared" si="167"/>
        <v>20851395</v>
      </c>
      <c r="M1126" s="37"/>
      <c r="N1126" s="253"/>
      <c r="O1126" s="38"/>
    </row>
    <row r="1127" spans="1:15" s="29" customFormat="1" ht="24.95" customHeight="1">
      <c r="A1127" s="31" t="s">
        <v>1744</v>
      </c>
      <c r="B1127" s="32" t="s">
        <v>1747</v>
      </c>
      <c r="C1127" s="33">
        <v>4106</v>
      </c>
      <c r="D1127" s="34" t="s">
        <v>116</v>
      </c>
      <c r="E1127" s="36">
        <v>9933</v>
      </c>
      <c r="F1127" s="36">
        <f>TRUNC(E1127*$C1127,0)</f>
        <v>40784898</v>
      </c>
      <c r="G1127" s="36">
        <v>768</v>
      </c>
      <c r="H1127" s="36">
        <f>TRUNC(G1127*$C1127,0)</f>
        <v>3153408</v>
      </c>
      <c r="I1127" s="36">
        <v>985</v>
      </c>
      <c r="J1127" s="36">
        <f>TRUNC(I1127*$C1127,0)</f>
        <v>4044410</v>
      </c>
      <c r="K1127" s="36">
        <f t="shared" si="168"/>
        <v>11686</v>
      </c>
      <c r="L1127" s="36">
        <f t="shared" si="167"/>
        <v>47982716</v>
      </c>
      <c r="M1127" s="37"/>
      <c r="N1127" s="253"/>
      <c r="O1127" s="38"/>
    </row>
    <row r="1128" spans="1:15" s="29" customFormat="1" ht="24.95" customHeight="1">
      <c r="A1128" s="31" t="s">
        <v>1744</v>
      </c>
      <c r="B1128" s="32" t="s">
        <v>1748</v>
      </c>
      <c r="C1128" s="33">
        <v>98</v>
      </c>
      <c r="D1128" s="34" t="s">
        <v>116</v>
      </c>
      <c r="E1128" s="36">
        <v>11622</v>
      </c>
      <c r="F1128" s="36">
        <f>TRUNC(E1128*$C1128,0)</f>
        <v>1138956</v>
      </c>
      <c r="G1128" s="36">
        <v>898</v>
      </c>
      <c r="H1128" s="36">
        <f>TRUNC(G1128*$C1128,0)</f>
        <v>88004</v>
      </c>
      <c r="I1128" s="36">
        <v>1152</v>
      </c>
      <c r="J1128" s="36">
        <f>TRUNC(I1128*$C1128,0)</f>
        <v>112896</v>
      </c>
      <c r="K1128" s="36">
        <f t="shared" si="168"/>
        <v>13672</v>
      </c>
      <c r="L1128" s="36">
        <f t="shared" si="167"/>
        <v>1339856</v>
      </c>
      <c r="M1128" s="37"/>
      <c r="N1128" s="253"/>
      <c r="O1128" s="38"/>
    </row>
    <row r="1129" spans="1:15" s="77" customFormat="1" ht="24.95" customHeight="1">
      <c r="A1129" s="71" t="s">
        <v>1749</v>
      </c>
      <c r="B1129" s="72" t="s">
        <v>22</v>
      </c>
      <c r="C1129" s="73"/>
      <c r="D1129" s="74" t="s">
        <v>22</v>
      </c>
      <c r="E1129" s="74"/>
      <c r="F1129" s="75">
        <f>TRUNC(F1130+F1131+F1132+F1133,0)</f>
        <v>1950589</v>
      </c>
      <c r="G1129" s="74"/>
      <c r="H1129" s="75">
        <f>TRUNC(H1130+H1131+H1132+H1133,0)</f>
        <v>150736</v>
      </c>
      <c r="I1129" s="74"/>
      <c r="J1129" s="75">
        <f>TRUNC(J1130+J1131+J1132+J1133,0)</f>
        <v>193443</v>
      </c>
      <c r="K1129" s="75">
        <f t="shared" si="168"/>
        <v>0</v>
      </c>
      <c r="L1129" s="75">
        <f t="shared" si="167"/>
        <v>2294768</v>
      </c>
      <c r="M1129" s="76"/>
      <c r="N1129" s="257"/>
    </row>
    <row r="1130" spans="1:15" s="29" customFormat="1" ht="24.95" customHeight="1">
      <c r="A1130" s="31" t="s">
        <v>1744</v>
      </c>
      <c r="B1130" s="32" t="s">
        <v>1745</v>
      </c>
      <c r="C1130" s="33">
        <v>82</v>
      </c>
      <c r="D1130" s="34" t="s">
        <v>116</v>
      </c>
      <c r="E1130" s="36">
        <v>6877</v>
      </c>
      <c r="F1130" s="36">
        <f t="shared" ref="F1130:F1138" si="169">TRUNC(E1130*$C1130,0)</f>
        <v>563914</v>
      </c>
      <c r="G1130" s="36">
        <v>531</v>
      </c>
      <c r="H1130" s="36">
        <f t="shared" ref="H1130:H1138" si="170">TRUNC(G1130*$C1130,0)</f>
        <v>43542</v>
      </c>
      <c r="I1130" s="36">
        <v>682</v>
      </c>
      <c r="J1130" s="36">
        <f t="shared" ref="J1130:J1138" si="171">TRUNC(I1130*$C1130,0)</f>
        <v>55924</v>
      </c>
      <c r="K1130" s="36">
        <f t="shared" si="168"/>
        <v>8090</v>
      </c>
      <c r="L1130" s="36">
        <f t="shared" si="167"/>
        <v>663380</v>
      </c>
      <c r="M1130" s="37"/>
      <c r="N1130" s="253"/>
      <c r="O1130" s="38"/>
    </row>
    <row r="1131" spans="1:15" s="29" customFormat="1" ht="24.95" customHeight="1">
      <c r="A1131" s="31" t="s">
        <v>1744</v>
      </c>
      <c r="B1131" s="32" t="s">
        <v>1746</v>
      </c>
      <c r="C1131" s="33">
        <v>114</v>
      </c>
      <c r="D1131" s="34" t="s">
        <v>116</v>
      </c>
      <c r="E1131" s="36">
        <v>8045</v>
      </c>
      <c r="F1131" s="36">
        <f t="shared" si="169"/>
        <v>917130</v>
      </c>
      <c r="G1131" s="36">
        <v>622</v>
      </c>
      <c r="H1131" s="36">
        <f t="shared" si="170"/>
        <v>70908</v>
      </c>
      <c r="I1131" s="36">
        <v>798</v>
      </c>
      <c r="J1131" s="36">
        <f t="shared" si="171"/>
        <v>90972</v>
      </c>
      <c r="K1131" s="36">
        <f t="shared" si="168"/>
        <v>9465</v>
      </c>
      <c r="L1131" s="36">
        <f t="shared" si="167"/>
        <v>1079010</v>
      </c>
      <c r="M1131" s="37"/>
      <c r="N1131" s="253"/>
      <c r="O1131" s="38"/>
    </row>
    <row r="1132" spans="1:15" s="29" customFormat="1" ht="24.95" customHeight="1">
      <c r="A1132" s="31" t="s">
        <v>1744</v>
      </c>
      <c r="B1132" s="32" t="s">
        <v>1747</v>
      </c>
      <c r="C1132" s="33">
        <v>11</v>
      </c>
      <c r="D1132" s="34" t="s">
        <v>116</v>
      </c>
      <c r="E1132" s="36">
        <v>9933</v>
      </c>
      <c r="F1132" s="36">
        <f t="shared" si="169"/>
        <v>109263</v>
      </c>
      <c r="G1132" s="36">
        <v>768</v>
      </c>
      <c r="H1132" s="36">
        <f t="shared" si="170"/>
        <v>8448</v>
      </c>
      <c r="I1132" s="36">
        <v>985</v>
      </c>
      <c r="J1132" s="36">
        <f t="shared" si="171"/>
        <v>10835</v>
      </c>
      <c r="K1132" s="36">
        <f t="shared" si="168"/>
        <v>11686</v>
      </c>
      <c r="L1132" s="36">
        <f t="shared" si="167"/>
        <v>128546</v>
      </c>
      <c r="M1132" s="37"/>
      <c r="N1132" s="253"/>
      <c r="O1132" s="38"/>
    </row>
    <row r="1133" spans="1:15" s="29" customFormat="1" ht="24.95" customHeight="1">
      <c r="A1133" s="31" t="s">
        <v>1744</v>
      </c>
      <c r="B1133" s="32" t="s">
        <v>1748</v>
      </c>
      <c r="C1133" s="33">
        <v>31</v>
      </c>
      <c r="D1133" s="34" t="s">
        <v>116</v>
      </c>
      <c r="E1133" s="36">
        <v>11622</v>
      </c>
      <c r="F1133" s="36">
        <f t="shared" si="169"/>
        <v>360282</v>
      </c>
      <c r="G1133" s="36">
        <v>898</v>
      </c>
      <c r="H1133" s="36">
        <f t="shared" si="170"/>
        <v>27838</v>
      </c>
      <c r="I1133" s="36">
        <v>1152</v>
      </c>
      <c r="J1133" s="36">
        <f t="shared" si="171"/>
        <v>35712</v>
      </c>
      <c r="K1133" s="36">
        <f t="shared" si="168"/>
        <v>13672</v>
      </c>
      <c r="L1133" s="36">
        <f t="shared" si="167"/>
        <v>423832</v>
      </c>
      <c r="M1133" s="37"/>
      <c r="N1133" s="253"/>
      <c r="O1133" s="38"/>
    </row>
    <row r="1134" spans="1:15" s="29" customFormat="1" ht="24.95" customHeight="1">
      <c r="A1134" s="31" t="s">
        <v>1750</v>
      </c>
      <c r="B1134" s="32" t="s">
        <v>22</v>
      </c>
      <c r="C1134" s="33"/>
      <c r="D1134" s="34" t="s">
        <v>22</v>
      </c>
      <c r="E1134" s="34"/>
      <c r="F1134" s="36">
        <f t="shared" si="169"/>
        <v>0</v>
      </c>
      <c r="G1134" s="34"/>
      <c r="H1134" s="36">
        <f t="shared" si="170"/>
        <v>0</v>
      </c>
      <c r="I1134" s="34"/>
      <c r="J1134" s="36">
        <f t="shared" si="171"/>
        <v>0</v>
      </c>
      <c r="K1134" s="36">
        <f t="shared" si="168"/>
        <v>0</v>
      </c>
      <c r="L1134" s="36">
        <f t="shared" si="167"/>
        <v>0</v>
      </c>
      <c r="M1134" s="37"/>
      <c r="N1134" s="253"/>
    </row>
    <row r="1135" spans="1:15" s="29" customFormat="1" ht="24.95" customHeight="1">
      <c r="A1135" s="31" t="s">
        <v>1744</v>
      </c>
      <c r="B1135" s="32" t="s">
        <v>1751</v>
      </c>
      <c r="C1135" s="33">
        <v>184</v>
      </c>
      <c r="D1135" s="34" t="s">
        <v>116</v>
      </c>
      <c r="E1135" s="36">
        <v>5258</v>
      </c>
      <c r="F1135" s="36">
        <f t="shared" si="169"/>
        <v>967472</v>
      </c>
      <c r="G1135" s="36">
        <v>406</v>
      </c>
      <c r="H1135" s="36">
        <f t="shared" si="170"/>
        <v>74704</v>
      </c>
      <c r="I1135" s="36">
        <v>522</v>
      </c>
      <c r="J1135" s="36">
        <f t="shared" si="171"/>
        <v>96048</v>
      </c>
      <c r="K1135" s="36">
        <f t="shared" si="168"/>
        <v>6186</v>
      </c>
      <c r="L1135" s="36">
        <f t="shared" si="167"/>
        <v>1138224</v>
      </c>
      <c r="M1135" s="37"/>
      <c r="N1135" s="253"/>
      <c r="O1135" s="38"/>
    </row>
    <row r="1136" spans="1:15" s="29" customFormat="1" ht="24.95" customHeight="1">
      <c r="A1136" s="31" t="s">
        <v>1744</v>
      </c>
      <c r="B1136" s="32" t="s">
        <v>1752</v>
      </c>
      <c r="C1136" s="33">
        <v>807</v>
      </c>
      <c r="D1136" s="34" t="s">
        <v>116</v>
      </c>
      <c r="E1136" s="36">
        <v>6152</v>
      </c>
      <c r="F1136" s="36">
        <f t="shared" si="169"/>
        <v>4964664</v>
      </c>
      <c r="G1136" s="36">
        <v>475</v>
      </c>
      <c r="H1136" s="36">
        <f t="shared" si="170"/>
        <v>383325</v>
      </c>
      <c r="I1136" s="36">
        <v>610</v>
      </c>
      <c r="J1136" s="36">
        <f t="shared" si="171"/>
        <v>492270</v>
      </c>
      <c r="K1136" s="36">
        <f t="shared" si="168"/>
        <v>7237</v>
      </c>
      <c r="L1136" s="36">
        <f t="shared" si="167"/>
        <v>5840259</v>
      </c>
      <c r="M1136" s="37"/>
      <c r="N1136" s="253"/>
      <c r="O1136" s="38"/>
    </row>
    <row r="1137" spans="1:15" s="29" customFormat="1" ht="24.95" customHeight="1">
      <c r="A1137" s="31" t="s">
        <v>1744</v>
      </c>
      <c r="B1137" s="32" t="s">
        <v>1751</v>
      </c>
      <c r="C1137" s="33">
        <v>30</v>
      </c>
      <c r="D1137" s="34" t="s">
        <v>116</v>
      </c>
      <c r="E1137" s="36">
        <v>5258</v>
      </c>
      <c r="F1137" s="36">
        <f t="shared" si="169"/>
        <v>157740</v>
      </c>
      <c r="G1137" s="36">
        <v>406</v>
      </c>
      <c r="H1137" s="36">
        <f t="shared" si="170"/>
        <v>12180</v>
      </c>
      <c r="I1137" s="36">
        <v>522</v>
      </c>
      <c r="J1137" s="36">
        <f t="shared" si="171"/>
        <v>15660</v>
      </c>
      <c r="K1137" s="36">
        <f t="shared" si="168"/>
        <v>6186</v>
      </c>
      <c r="L1137" s="36">
        <f t="shared" si="167"/>
        <v>185580</v>
      </c>
      <c r="M1137" s="37"/>
      <c r="N1137" s="253"/>
      <c r="O1137" s="38"/>
    </row>
    <row r="1138" spans="1:15" s="29" customFormat="1" ht="24.95" customHeight="1">
      <c r="A1138" s="31" t="s">
        <v>1744</v>
      </c>
      <c r="B1138" s="32" t="s">
        <v>1752</v>
      </c>
      <c r="C1138" s="33">
        <v>132</v>
      </c>
      <c r="D1138" s="34" t="s">
        <v>116</v>
      </c>
      <c r="E1138" s="36">
        <v>6152</v>
      </c>
      <c r="F1138" s="36">
        <f t="shared" si="169"/>
        <v>812064</v>
      </c>
      <c r="G1138" s="36">
        <v>475</v>
      </c>
      <c r="H1138" s="36">
        <f t="shared" si="170"/>
        <v>62700</v>
      </c>
      <c r="I1138" s="36">
        <v>610</v>
      </c>
      <c r="J1138" s="36">
        <f t="shared" si="171"/>
        <v>80520</v>
      </c>
      <c r="K1138" s="36">
        <f t="shared" si="168"/>
        <v>7237</v>
      </c>
      <c r="L1138" s="36">
        <f t="shared" si="167"/>
        <v>955284</v>
      </c>
      <c r="M1138" s="37"/>
      <c r="N1138" s="253"/>
      <c r="O1138" s="38"/>
    </row>
    <row r="1139" spans="1:15" s="77" customFormat="1" ht="24.95" customHeight="1">
      <c r="A1139" s="71" t="s">
        <v>1753</v>
      </c>
      <c r="B1139" s="72" t="s">
        <v>22</v>
      </c>
      <c r="C1139" s="73"/>
      <c r="D1139" s="74" t="s">
        <v>22</v>
      </c>
      <c r="E1139" s="74"/>
      <c r="F1139" s="75">
        <f>TRUNC(F1140+F1141+F1142+F1143,0)</f>
        <v>239712832</v>
      </c>
      <c r="G1139" s="74"/>
      <c r="H1139" s="75">
        <f>TRUNC(H1140+H1141+H1142+H1143,0)</f>
        <v>122694361</v>
      </c>
      <c r="I1139" s="74"/>
      <c r="J1139" s="75">
        <f>TRUNC(J1140+J1141+J1142+J1143,0)</f>
        <v>7556101</v>
      </c>
      <c r="K1139" s="75">
        <f t="shared" si="168"/>
        <v>0</v>
      </c>
      <c r="L1139" s="75">
        <f t="shared" si="167"/>
        <v>369963294</v>
      </c>
      <c r="M1139" s="76"/>
      <c r="N1139" s="257"/>
    </row>
    <row r="1140" spans="1:15" s="29" customFormat="1" ht="24.95" customHeight="1">
      <c r="A1140" s="31" t="s">
        <v>1007</v>
      </c>
      <c r="B1140" s="32" t="s">
        <v>1008</v>
      </c>
      <c r="C1140" s="33">
        <v>2779</v>
      </c>
      <c r="D1140" s="34" t="s">
        <v>815</v>
      </c>
      <c r="E1140" s="36">
        <v>16966</v>
      </c>
      <c r="F1140" s="36">
        <f>TRUNC(E1140*$C1140,0)</f>
        <v>47148514</v>
      </c>
      <c r="G1140" s="36">
        <v>1791</v>
      </c>
      <c r="H1140" s="36">
        <f>TRUNC(G1140*$C1140,0)</f>
        <v>4977189</v>
      </c>
      <c r="I1140" s="36">
        <v>2719</v>
      </c>
      <c r="J1140" s="36">
        <f>TRUNC(I1140*$C1140,0)</f>
        <v>7556101</v>
      </c>
      <c r="K1140" s="36">
        <f t="shared" si="168"/>
        <v>21476</v>
      </c>
      <c r="L1140" s="36">
        <f t="shared" si="167"/>
        <v>59681804</v>
      </c>
      <c r="M1140" s="37"/>
      <c r="N1140" s="253"/>
      <c r="O1140" s="38"/>
    </row>
    <row r="1141" spans="1:15" s="29" customFormat="1" ht="24.95" customHeight="1">
      <c r="A1141" s="31" t="s">
        <v>1009</v>
      </c>
      <c r="B1141" s="32" t="s">
        <v>1010</v>
      </c>
      <c r="C1141" s="33">
        <v>8353</v>
      </c>
      <c r="D1141" s="34" t="s">
        <v>831</v>
      </c>
      <c r="E1141" s="36">
        <v>22733</v>
      </c>
      <c r="F1141" s="36">
        <f>TRUNC(E1141*$C1141,0)</f>
        <v>189888749</v>
      </c>
      <c r="G1141" s="36">
        <v>13934</v>
      </c>
      <c r="H1141" s="36">
        <f>TRUNC(G1141*$C1141,0)</f>
        <v>116390702</v>
      </c>
      <c r="I1141" s="36">
        <v>0</v>
      </c>
      <c r="J1141" s="36">
        <f>TRUNC(I1141*$C1141,0)</f>
        <v>0</v>
      </c>
      <c r="K1141" s="36">
        <f t="shared" si="168"/>
        <v>36667</v>
      </c>
      <c r="L1141" s="36">
        <f t="shared" si="167"/>
        <v>306279451</v>
      </c>
      <c r="M1141" s="37"/>
      <c r="N1141" s="253"/>
      <c r="O1141" s="38"/>
    </row>
    <row r="1142" spans="1:15" s="29" customFormat="1" ht="24.95" customHeight="1">
      <c r="A1142" s="31" t="s">
        <v>1754</v>
      </c>
      <c r="B1142" s="32" t="s">
        <v>1755</v>
      </c>
      <c r="C1142" s="33">
        <v>9.17</v>
      </c>
      <c r="D1142" s="34" t="s">
        <v>815</v>
      </c>
      <c r="E1142" s="36">
        <v>91020</v>
      </c>
      <c r="F1142" s="36">
        <f>TRUNC(E1142*$C1142,0)</f>
        <v>834653</v>
      </c>
      <c r="G1142" s="36">
        <v>99573</v>
      </c>
      <c r="H1142" s="36">
        <f>TRUNC(G1142*$C1142,0)</f>
        <v>913084</v>
      </c>
      <c r="I1142" s="36">
        <v>0</v>
      </c>
      <c r="J1142" s="36">
        <f>TRUNC(I1142*$C1142,0)</f>
        <v>0</v>
      </c>
      <c r="K1142" s="36">
        <f t="shared" si="168"/>
        <v>190593</v>
      </c>
      <c r="L1142" s="36">
        <f t="shared" si="167"/>
        <v>1747737</v>
      </c>
      <c r="M1142" s="37"/>
      <c r="N1142" s="253"/>
      <c r="O1142" s="38"/>
    </row>
    <row r="1143" spans="1:15" s="29" customFormat="1" ht="24.95" customHeight="1">
      <c r="A1143" s="31" t="s">
        <v>1756</v>
      </c>
      <c r="B1143" s="32" t="s">
        <v>1172</v>
      </c>
      <c r="C1143" s="33">
        <v>278</v>
      </c>
      <c r="D1143" s="34" t="s">
        <v>847</v>
      </c>
      <c r="E1143" s="36">
        <v>6622</v>
      </c>
      <c r="F1143" s="36">
        <f>TRUNC(E1143*$C1143,0)</f>
        <v>1840916</v>
      </c>
      <c r="G1143" s="36">
        <v>1487</v>
      </c>
      <c r="H1143" s="36">
        <f>TRUNC(G1143*$C1143,0)</f>
        <v>413386</v>
      </c>
      <c r="I1143" s="36">
        <v>0</v>
      </c>
      <c r="J1143" s="36">
        <f>TRUNC(I1143*$C1143,0)</f>
        <v>0</v>
      </c>
      <c r="K1143" s="36">
        <f t="shared" si="168"/>
        <v>8109</v>
      </c>
      <c r="L1143" s="36">
        <f t="shared" si="167"/>
        <v>2254302</v>
      </c>
      <c r="M1143" s="37"/>
      <c r="N1143" s="253"/>
      <c r="O1143" s="38"/>
    </row>
    <row r="1144" spans="1:15" s="70" customFormat="1" ht="24.95" customHeight="1">
      <c r="A1144" s="64" t="s">
        <v>1757</v>
      </c>
      <c r="B1144" s="65" t="s">
        <v>22</v>
      </c>
      <c r="C1144" s="66"/>
      <c r="D1144" s="67" t="s">
        <v>22</v>
      </c>
      <c r="E1144" s="67"/>
      <c r="F1144" s="68">
        <f>TRUNC(F1146+F1147+F1149+F1150+F1151,0)</f>
        <v>469886120</v>
      </c>
      <c r="G1144" s="67"/>
      <c r="H1144" s="68">
        <f>TRUNC(H1146+H1147+H1149+H1150+H1151,0)</f>
        <v>177585795</v>
      </c>
      <c r="I1144" s="67"/>
      <c r="J1144" s="68">
        <f>TRUNC(J1146+J1147+J1149+J1150+J1151,0)</f>
        <v>22828420</v>
      </c>
      <c r="K1144" s="68">
        <f t="shared" si="168"/>
        <v>0</v>
      </c>
      <c r="L1144" s="68">
        <f t="shared" si="167"/>
        <v>670300335</v>
      </c>
      <c r="M1144" s="69"/>
      <c r="N1144" s="256"/>
    </row>
    <row r="1145" spans="1:15" s="77" customFormat="1" ht="24.95" customHeight="1">
      <c r="A1145" s="71" t="s">
        <v>1758</v>
      </c>
      <c r="B1145" s="72" t="s">
        <v>22</v>
      </c>
      <c r="C1145" s="73"/>
      <c r="D1145" s="74" t="s">
        <v>22</v>
      </c>
      <c r="E1145" s="74"/>
      <c r="F1145" s="75">
        <f>TRUNC(F1146+F1147,0)</f>
        <v>171072734</v>
      </c>
      <c r="G1145" s="74"/>
      <c r="H1145" s="75">
        <f>TRUNC(H1146+H1147,0)</f>
        <v>13208785</v>
      </c>
      <c r="I1145" s="74"/>
      <c r="J1145" s="75">
        <f>TRUNC(J1146+J1147,0)</f>
        <v>16966240</v>
      </c>
      <c r="K1145" s="75">
        <f t="shared" si="168"/>
        <v>0</v>
      </c>
      <c r="L1145" s="75">
        <f t="shared" si="167"/>
        <v>201247759</v>
      </c>
      <c r="M1145" s="76"/>
      <c r="N1145" s="257"/>
    </row>
    <row r="1146" spans="1:15" s="29" customFormat="1" ht="24.95" customHeight="1">
      <c r="A1146" s="31" t="s">
        <v>1744</v>
      </c>
      <c r="B1146" s="32" t="s">
        <v>1751</v>
      </c>
      <c r="C1146" s="33">
        <v>5535</v>
      </c>
      <c r="D1146" s="34" t="s">
        <v>116</v>
      </c>
      <c r="E1146" s="36">
        <v>5258</v>
      </c>
      <c r="F1146" s="36">
        <f>TRUNC(E1146*$C1146,0)</f>
        <v>29103030</v>
      </c>
      <c r="G1146" s="36">
        <v>406</v>
      </c>
      <c r="H1146" s="36">
        <f>TRUNC(G1146*$C1146,0)</f>
        <v>2247210</v>
      </c>
      <c r="I1146" s="36">
        <v>522</v>
      </c>
      <c r="J1146" s="36">
        <f>TRUNC(I1146*$C1146,0)</f>
        <v>2889270</v>
      </c>
      <c r="K1146" s="36">
        <f t="shared" si="168"/>
        <v>6186</v>
      </c>
      <c r="L1146" s="36">
        <f t="shared" si="167"/>
        <v>34239510</v>
      </c>
      <c r="M1146" s="37"/>
      <c r="N1146" s="253"/>
      <c r="O1146" s="38"/>
    </row>
    <row r="1147" spans="1:15" s="29" customFormat="1" ht="24.95" customHeight="1">
      <c r="A1147" s="31" t="s">
        <v>1744</v>
      </c>
      <c r="B1147" s="32" t="s">
        <v>1752</v>
      </c>
      <c r="C1147" s="33">
        <v>23077</v>
      </c>
      <c r="D1147" s="34" t="s">
        <v>116</v>
      </c>
      <c r="E1147" s="36">
        <v>6152</v>
      </c>
      <c r="F1147" s="36">
        <f>TRUNC(E1147*$C1147,0)</f>
        <v>141969704</v>
      </c>
      <c r="G1147" s="36">
        <v>475</v>
      </c>
      <c r="H1147" s="36">
        <f>TRUNC(G1147*$C1147,0)</f>
        <v>10961575</v>
      </c>
      <c r="I1147" s="36">
        <v>610</v>
      </c>
      <c r="J1147" s="36">
        <f>TRUNC(I1147*$C1147,0)</f>
        <v>14076970</v>
      </c>
      <c r="K1147" s="36">
        <f t="shared" si="168"/>
        <v>7237</v>
      </c>
      <c r="L1147" s="36">
        <f t="shared" si="167"/>
        <v>167008249</v>
      </c>
      <c r="M1147" s="37"/>
      <c r="N1147" s="253"/>
      <c r="O1147" s="38"/>
    </row>
    <row r="1148" spans="1:15" s="77" customFormat="1" ht="24.95" customHeight="1">
      <c r="A1148" s="71" t="s">
        <v>1759</v>
      </c>
      <c r="B1148" s="72" t="s">
        <v>22</v>
      </c>
      <c r="C1148" s="73"/>
      <c r="D1148" s="74" t="s">
        <v>22</v>
      </c>
      <c r="E1148" s="74"/>
      <c r="F1148" s="75">
        <f>TRUNC(F1149+F1150+F1151,0)</f>
        <v>298813386</v>
      </c>
      <c r="G1148" s="74"/>
      <c r="H1148" s="75">
        <f>TRUNC(H1149+H1150+H1151,0)</f>
        <v>164377010</v>
      </c>
      <c r="I1148" s="74"/>
      <c r="J1148" s="75">
        <f>TRUNC(J1149+J1150+J1151,0)</f>
        <v>5862180</v>
      </c>
      <c r="K1148" s="75">
        <f t="shared" si="168"/>
        <v>0</v>
      </c>
      <c r="L1148" s="75">
        <f t="shared" si="167"/>
        <v>469052576</v>
      </c>
      <c r="M1148" s="76"/>
      <c r="N1148" s="257"/>
    </row>
    <row r="1149" spans="1:15" s="29" customFormat="1" ht="24.95" customHeight="1">
      <c r="A1149" s="31" t="s">
        <v>1007</v>
      </c>
      <c r="B1149" s="32" t="s">
        <v>1358</v>
      </c>
      <c r="C1149" s="33">
        <v>1230</v>
      </c>
      <c r="D1149" s="34" t="s">
        <v>815</v>
      </c>
      <c r="E1149" s="36">
        <v>30923</v>
      </c>
      <c r="F1149" s="36">
        <f>TRUNC(E1149*$C1149,0)</f>
        <v>38035290</v>
      </c>
      <c r="G1149" s="36">
        <v>3453</v>
      </c>
      <c r="H1149" s="36">
        <f>TRUNC(G1149*$C1149,0)</f>
        <v>4247190</v>
      </c>
      <c r="I1149" s="36">
        <v>4766</v>
      </c>
      <c r="J1149" s="36">
        <f>TRUNC(I1149*$C1149,0)</f>
        <v>5862180</v>
      </c>
      <c r="K1149" s="36">
        <f t="shared" si="168"/>
        <v>39142</v>
      </c>
      <c r="L1149" s="36">
        <f t="shared" si="167"/>
        <v>48144660</v>
      </c>
      <c r="M1149" s="37"/>
      <c r="N1149" s="253"/>
      <c r="O1149" s="38"/>
    </row>
    <row r="1150" spans="1:15" s="29" customFormat="1" ht="24.95" customHeight="1">
      <c r="A1150" s="31" t="s">
        <v>1009</v>
      </c>
      <c r="B1150" s="32" t="s">
        <v>1010</v>
      </c>
      <c r="C1150" s="33">
        <v>11445</v>
      </c>
      <c r="D1150" s="34" t="s">
        <v>831</v>
      </c>
      <c r="E1150" s="36">
        <v>22733</v>
      </c>
      <c r="F1150" s="36">
        <f>TRUNC(E1150*$C1150,0)</f>
        <v>260179185</v>
      </c>
      <c r="G1150" s="36">
        <v>13934</v>
      </c>
      <c r="H1150" s="36">
        <f>TRUNC(G1150*$C1150,0)</f>
        <v>159474630</v>
      </c>
      <c r="I1150" s="36">
        <v>0</v>
      </c>
      <c r="J1150" s="36">
        <f>TRUNC(I1150*$C1150,0)</f>
        <v>0</v>
      </c>
      <c r="K1150" s="36">
        <f t="shared" si="168"/>
        <v>36667</v>
      </c>
      <c r="L1150" s="36">
        <f t="shared" si="167"/>
        <v>419653815</v>
      </c>
      <c r="M1150" s="37"/>
      <c r="N1150" s="253"/>
      <c r="O1150" s="38"/>
    </row>
    <row r="1151" spans="1:15" s="77" customFormat="1" ht="24.95" customHeight="1">
      <c r="A1151" s="71" t="s">
        <v>1760</v>
      </c>
      <c r="B1151" s="72" t="s">
        <v>1755</v>
      </c>
      <c r="C1151" s="262">
        <v>6.58</v>
      </c>
      <c r="D1151" s="74" t="s">
        <v>815</v>
      </c>
      <c r="E1151" s="75">
        <v>91020</v>
      </c>
      <c r="F1151" s="75">
        <f>TRUNC(E1151*$C1151,0)</f>
        <v>598911</v>
      </c>
      <c r="G1151" s="75">
        <v>99573</v>
      </c>
      <c r="H1151" s="75">
        <f>TRUNC(G1151*$C1151,0)</f>
        <v>655190</v>
      </c>
      <c r="I1151" s="75">
        <v>0</v>
      </c>
      <c r="J1151" s="75">
        <f>TRUNC(I1151*$C1151,0)</f>
        <v>0</v>
      </c>
      <c r="K1151" s="75">
        <f t="shared" si="168"/>
        <v>190593</v>
      </c>
      <c r="L1151" s="75">
        <f t="shared" si="167"/>
        <v>1254101</v>
      </c>
      <c r="M1151" s="76"/>
      <c r="N1151" s="257"/>
      <c r="O1151" s="93"/>
    </row>
    <row r="1152" spans="1:15" s="63" customFormat="1" ht="24.95" customHeight="1">
      <c r="A1152" s="57" t="s">
        <v>1761</v>
      </c>
      <c r="B1152" s="58" t="s">
        <v>22</v>
      </c>
      <c r="C1152" s="59"/>
      <c r="D1152" s="60" t="s">
        <v>22</v>
      </c>
      <c r="E1152" s="60"/>
      <c r="F1152" s="61">
        <f>TRUNC(F1154+F1155+F1156+F1158+F1160+F1162+F1163+F1164+F1165+F1166+F1168+F1169+F1170+F1172+F1173+F1175+F1177+F1179+F1181+F1182,0)</f>
        <v>245280243</v>
      </c>
      <c r="G1152" s="60"/>
      <c r="H1152" s="61">
        <f>TRUNC(H1154+H1155+H1156+H1158+H1160+H1162+H1163+H1164+H1165+H1166+H1168+H1169+H1170+H1172+H1173+H1175+H1177+H1179+H1181+H1182,0)</f>
        <v>1324460930</v>
      </c>
      <c r="I1152" s="60"/>
      <c r="J1152" s="61">
        <f>TRUNC(J1154+J1155+J1156+J1158+J1160+J1162+J1163+J1164+J1165+J1166+J1168+J1169+J1170+J1172+J1173+J1175+J1177+J1179+J1181+J1182,0)</f>
        <v>21401258</v>
      </c>
      <c r="K1152" s="61">
        <f t="shared" si="168"/>
        <v>0</v>
      </c>
      <c r="L1152" s="61">
        <f t="shared" si="167"/>
        <v>1591142431</v>
      </c>
      <c r="M1152" s="62"/>
      <c r="N1152" s="253"/>
    </row>
    <row r="1153" spans="1:15" s="70" customFormat="1" ht="24.95" customHeight="1">
      <c r="A1153" s="64" t="s">
        <v>1762</v>
      </c>
      <c r="B1153" s="65" t="s">
        <v>22</v>
      </c>
      <c r="C1153" s="66"/>
      <c r="D1153" s="67" t="s">
        <v>22</v>
      </c>
      <c r="E1153" s="67"/>
      <c r="F1153" s="68">
        <f>TRUNC(F1154+F1155+F1156,0)</f>
        <v>294103</v>
      </c>
      <c r="G1153" s="67"/>
      <c r="H1153" s="68">
        <f>TRUNC(H1154+H1155+H1156,0)</f>
        <v>47608</v>
      </c>
      <c r="I1153" s="67"/>
      <c r="J1153" s="68">
        <f>TRUNC(J1154+J1155+J1156,0)</f>
        <v>71424</v>
      </c>
      <c r="K1153" s="68">
        <f t="shared" si="168"/>
        <v>0</v>
      </c>
      <c r="L1153" s="68">
        <f t="shared" si="167"/>
        <v>413135</v>
      </c>
      <c r="M1153" s="69"/>
      <c r="N1153" s="256"/>
    </row>
    <row r="1154" spans="1:15" s="29" customFormat="1" ht="24.95" customHeight="1">
      <c r="A1154" s="31" t="s">
        <v>1763</v>
      </c>
      <c r="B1154" s="32" t="s">
        <v>1722</v>
      </c>
      <c r="C1154" s="33">
        <v>248</v>
      </c>
      <c r="D1154" s="34" t="s">
        <v>831</v>
      </c>
      <c r="E1154" s="36">
        <v>568</v>
      </c>
      <c r="F1154" s="36">
        <f>TRUNC(E1154*$C1154,0)</f>
        <v>140864</v>
      </c>
      <c r="G1154" s="36">
        <v>88</v>
      </c>
      <c r="H1154" s="36">
        <f>TRUNC(G1154*$C1154,0)</f>
        <v>21824</v>
      </c>
      <c r="I1154" s="36">
        <v>144</v>
      </c>
      <c r="J1154" s="36">
        <f>TRUNC(I1154*$C1154,0)</f>
        <v>35712</v>
      </c>
      <c r="K1154" s="36">
        <f t="shared" si="168"/>
        <v>800</v>
      </c>
      <c r="L1154" s="36">
        <f t="shared" si="167"/>
        <v>198400</v>
      </c>
      <c r="M1154" s="37"/>
      <c r="N1154" s="253"/>
      <c r="O1154" s="38"/>
    </row>
    <row r="1155" spans="1:15" s="29" customFormat="1" ht="24.95" customHeight="1">
      <c r="A1155" s="31" t="s">
        <v>1763</v>
      </c>
      <c r="B1155" s="32" t="s">
        <v>1722</v>
      </c>
      <c r="C1155" s="33">
        <v>248</v>
      </c>
      <c r="D1155" s="34" t="s">
        <v>831</v>
      </c>
      <c r="E1155" s="36">
        <v>568</v>
      </c>
      <c r="F1155" s="36">
        <f>TRUNC(E1155*$C1155,0)</f>
        <v>140864</v>
      </c>
      <c r="G1155" s="36">
        <v>88</v>
      </c>
      <c r="H1155" s="36">
        <f>TRUNC(G1155*$C1155,0)</f>
        <v>21824</v>
      </c>
      <c r="I1155" s="36">
        <v>144</v>
      </c>
      <c r="J1155" s="36">
        <f>TRUNC(I1155*$C1155,0)</f>
        <v>35712</v>
      </c>
      <c r="K1155" s="36">
        <f t="shared" si="168"/>
        <v>800</v>
      </c>
      <c r="L1155" s="36">
        <f t="shared" si="168"/>
        <v>198400</v>
      </c>
      <c r="M1155" s="37"/>
      <c r="N1155" s="253"/>
      <c r="O1155" s="38"/>
    </row>
    <row r="1156" spans="1:15" s="29" customFormat="1" ht="24.95" customHeight="1">
      <c r="A1156" s="31" t="s">
        <v>1764</v>
      </c>
      <c r="B1156" s="32" t="s">
        <v>1717</v>
      </c>
      <c r="C1156" s="33">
        <v>495</v>
      </c>
      <c r="D1156" s="34" t="s">
        <v>831</v>
      </c>
      <c r="E1156" s="36">
        <v>25</v>
      </c>
      <c r="F1156" s="36">
        <f>TRUNC(E1156*$C1156,0)</f>
        <v>12375</v>
      </c>
      <c r="G1156" s="36">
        <v>8</v>
      </c>
      <c r="H1156" s="36">
        <f>TRUNC(G1156*$C1156,0)</f>
        <v>3960</v>
      </c>
      <c r="I1156" s="36">
        <v>0</v>
      </c>
      <c r="J1156" s="36">
        <f>TRUNC(I1156*$C1156,0)</f>
        <v>0</v>
      </c>
      <c r="K1156" s="36">
        <f t="shared" ref="K1156:L1219" si="172">G1156+E1156+I1156</f>
        <v>33</v>
      </c>
      <c r="L1156" s="36">
        <f t="shared" si="172"/>
        <v>16335</v>
      </c>
      <c r="M1156" s="37"/>
      <c r="N1156" s="253"/>
      <c r="O1156" s="38"/>
    </row>
    <row r="1157" spans="1:15" s="70" customFormat="1" ht="24.95" customHeight="1">
      <c r="A1157" s="64" t="s">
        <v>1765</v>
      </c>
      <c r="B1157" s="65" t="s">
        <v>22</v>
      </c>
      <c r="C1157" s="66"/>
      <c r="D1157" s="67" t="s">
        <v>22</v>
      </c>
      <c r="E1157" s="67"/>
      <c r="F1157" s="68">
        <f>TRUNC(F1158,0)</f>
        <v>112733171</v>
      </c>
      <c r="G1157" s="67"/>
      <c r="H1157" s="68">
        <f>TRUNC(H1158,0)</f>
        <v>187471971</v>
      </c>
      <c r="I1157" s="67"/>
      <c r="J1157" s="68">
        <f>TRUNC(J1158,0)</f>
        <v>12943987</v>
      </c>
      <c r="K1157" s="68">
        <f t="shared" si="172"/>
        <v>0</v>
      </c>
      <c r="L1157" s="68">
        <f t="shared" si="172"/>
        <v>313149129</v>
      </c>
      <c r="M1157" s="69"/>
      <c r="N1157" s="256"/>
    </row>
    <row r="1158" spans="1:15" s="29" customFormat="1" ht="24.95" customHeight="1">
      <c r="A1158" s="31" t="s">
        <v>1766</v>
      </c>
      <c r="B1158" s="32" t="s">
        <v>826</v>
      </c>
      <c r="C1158" s="33">
        <v>6443</v>
      </c>
      <c r="D1158" s="34" t="s">
        <v>831</v>
      </c>
      <c r="E1158" s="36">
        <v>17497</v>
      </c>
      <c r="F1158" s="36">
        <f>TRUNC(E1158*$C1158,0)</f>
        <v>112733171</v>
      </c>
      <c r="G1158" s="36">
        <v>29097</v>
      </c>
      <c r="H1158" s="36">
        <f>TRUNC(G1158*$C1158,0)</f>
        <v>187471971</v>
      </c>
      <c r="I1158" s="36">
        <v>2009</v>
      </c>
      <c r="J1158" s="36">
        <f>TRUNC(I1158*$C1158,0)</f>
        <v>12943987</v>
      </c>
      <c r="K1158" s="36">
        <f t="shared" si="172"/>
        <v>48603</v>
      </c>
      <c r="L1158" s="36">
        <f t="shared" si="172"/>
        <v>313149129</v>
      </c>
      <c r="M1158" s="37"/>
      <c r="N1158" s="253"/>
      <c r="O1158" s="38"/>
    </row>
    <row r="1159" spans="1:15" s="70" customFormat="1" ht="24.95" customHeight="1">
      <c r="A1159" s="64" t="s">
        <v>1767</v>
      </c>
      <c r="B1159" s="65" t="s">
        <v>22</v>
      </c>
      <c r="C1159" s="66"/>
      <c r="D1159" s="67" t="s">
        <v>22</v>
      </c>
      <c r="E1159" s="67"/>
      <c r="F1159" s="68">
        <f>TRUNC(F1160,0)</f>
        <v>176914</v>
      </c>
      <c r="G1159" s="67"/>
      <c r="H1159" s="68">
        <f>TRUNC(H1160,0)</f>
        <v>666274</v>
      </c>
      <c r="I1159" s="67"/>
      <c r="J1159" s="68">
        <f>TRUNC(J1160,0)</f>
        <v>28310</v>
      </c>
      <c r="K1159" s="68">
        <f t="shared" si="172"/>
        <v>0</v>
      </c>
      <c r="L1159" s="68">
        <f t="shared" si="172"/>
        <v>871498</v>
      </c>
      <c r="M1159" s="69"/>
      <c r="N1159" s="256"/>
    </row>
    <row r="1160" spans="1:15" s="29" customFormat="1" ht="24.95" customHeight="1">
      <c r="A1160" s="31" t="s">
        <v>1768</v>
      </c>
      <c r="B1160" s="32" t="s">
        <v>1769</v>
      </c>
      <c r="C1160" s="33">
        <v>2</v>
      </c>
      <c r="D1160" s="34" t="s">
        <v>1014</v>
      </c>
      <c r="E1160" s="36">
        <v>88457</v>
      </c>
      <c r="F1160" s="36">
        <f>TRUNC(E1160*$C1160,0)</f>
        <v>176914</v>
      </c>
      <c r="G1160" s="36">
        <v>333137</v>
      </c>
      <c r="H1160" s="36">
        <f>TRUNC(G1160*$C1160,0)</f>
        <v>666274</v>
      </c>
      <c r="I1160" s="36">
        <v>14155</v>
      </c>
      <c r="J1160" s="36">
        <f>TRUNC(I1160*$C1160,0)</f>
        <v>28310</v>
      </c>
      <c r="K1160" s="36">
        <f t="shared" si="172"/>
        <v>435749</v>
      </c>
      <c r="L1160" s="36">
        <f t="shared" si="172"/>
        <v>871498</v>
      </c>
      <c r="M1160" s="37"/>
      <c r="N1160" s="253"/>
      <c r="O1160" s="38"/>
    </row>
    <row r="1161" spans="1:15" s="70" customFormat="1" ht="24.95" customHeight="1">
      <c r="A1161" s="64" t="s">
        <v>1770</v>
      </c>
      <c r="B1161" s="65" t="s">
        <v>22</v>
      </c>
      <c r="C1161" s="66"/>
      <c r="D1161" s="67" t="s">
        <v>22</v>
      </c>
      <c r="E1161" s="67"/>
      <c r="F1161" s="68">
        <f>TRUNC(F1162+F1163+F1164+F1165+F1166,0)</f>
        <v>53579985</v>
      </c>
      <c r="G1161" s="67"/>
      <c r="H1161" s="68">
        <f>TRUNC(H1162+H1163+H1164+H1165+H1166,0)</f>
        <v>169575559</v>
      </c>
      <c r="I1161" s="67"/>
      <c r="J1161" s="68">
        <f>TRUNC(J1162+J1163+J1164+J1165+J1166,0)</f>
        <v>4864556</v>
      </c>
      <c r="K1161" s="68">
        <f t="shared" si="172"/>
        <v>0</v>
      </c>
      <c r="L1161" s="68">
        <f t="shared" si="172"/>
        <v>228020100</v>
      </c>
      <c r="M1161" s="69"/>
      <c r="N1161" s="256"/>
    </row>
    <row r="1162" spans="1:15" s="29" customFormat="1" ht="24.95" customHeight="1">
      <c r="A1162" s="31" t="s">
        <v>1771</v>
      </c>
      <c r="B1162" s="32" t="s">
        <v>1772</v>
      </c>
      <c r="C1162" s="33">
        <v>3658</v>
      </c>
      <c r="D1162" s="34" t="s">
        <v>847</v>
      </c>
      <c r="E1162" s="36">
        <v>2404</v>
      </c>
      <c r="F1162" s="36">
        <f>TRUNC(E1162*$C1162,0)</f>
        <v>8793832</v>
      </c>
      <c r="G1162" s="36">
        <v>13845</v>
      </c>
      <c r="H1162" s="36">
        <f>TRUNC(G1162*$C1162,0)</f>
        <v>50645010</v>
      </c>
      <c r="I1162" s="36">
        <v>218</v>
      </c>
      <c r="J1162" s="36">
        <f>TRUNC(I1162*$C1162,0)</f>
        <v>797444</v>
      </c>
      <c r="K1162" s="36">
        <f t="shared" si="172"/>
        <v>16467</v>
      </c>
      <c r="L1162" s="36">
        <f t="shared" si="172"/>
        <v>60236286</v>
      </c>
      <c r="M1162" s="37"/>
      <c r="N1162" s="253"/>
      <c r="O1162" s="38"/>
    </row>
    <row r="1163" spans="1:15" s="29" customFormat="1" ht="24.95" customHeight="1">
      <c r="A1163" s="31" t="s">
        <v>1773</v>
      </c>
      <c r="B1163" s="32" t="s">
        <v>1774</v>
      </c>
      <c r="C1163" s="33">
        <v>329</v>
      </c>
      <c r="D1163" s="34" t="s">
        <v>847</v>
      </c>
      <c r="E1163" s="36">
        <v>4811</v>
      </c>
      <c r="F1163" s="36">
        <f>TRUNC(E1163*$C1163,0)</f>
        <v>1582819</v>
      </c>
      <c r="G1163" s="36">
        <v>14188</v>
      </c>
      <c r="H1163" s="36">
        <f>TRUNC(G1163*$C1163,0)</f>
        <v>4667852</v>
      </c>
      <c r="I1163" s="36">
        <v>436</v>
      </c>
      <c r="J1163" s="36">
        <f>TRUNC(I1163*$C1163,0)</f>
        <v>143444</v>
      </c>
      <c r="K1163" s="36">
        <f t="shared" si="172"/>
        <v>19435</v>
      </c>
      <c r="L1163" s="36">
        <f t="shared" si="172"/>
        <v>6394115</v>
      </c>
      <c r="M1163" s="37"/>
      <c r="N1163" s="253"/>
      <c r="O1163" s="38"/>
    </row>
    <row r="1164" spans="1:15" s="29" customFormat="1" ht="24.95" customHeight="1">
      <c r="A1164" s="31" t="s">
        <v>1775</v>
      </c>
      <c r="B1164" s="32" t="s">
        <v>1776</v>
      </c>
      <c r="C1164" s="33">
        <v>1883</v>
      </c>
      <c r="D1164" s="34" t="s">
        <v>847</v>
      </c>
      <c r="E1164" s="36">
        <v>2404</v>
      </c>
      <c r="F1164" s="36">
        <f>TRUNC(E1164*$C1164,0)</f>
        <v>4526732</v>
      </c>
      <c r="G1164" s="36">
        <v>17657</v>
      </c>
      <c r="H1164" s="36">
        <f>TRUNC(G1164*$C1164,0)</f>
        <v>33248131</v>
      </c>
      <c r="I1164" s="36">
        <v>218</v>
      </c>
      <c r="J1164" s="36">
        <f>TRUNC(I1164*$C1164,0)</f>
        <v>410494</v>
      </c>
      <c r="K1164" s="36">
        <f t="shared" si="172"/>
        <v>20279</v>
      </c>
      <c r="L1164" s="36">
        <f t="shared" si="172"/>
        <v>38185357</v>
      </c>
      <c r="M1164" s="37"/>
      <c r="N1164" s="253"/>
      <c r="O1164" s="38"/>
    </row>
    <row r="1165" spans="1:15" s="29" customFormat="1" ht="24.95" customHeight="1">
      <c r="A1165" s="31" t="s">
        <v>1777</v>
      </c>
      <c r="B1165" s="32" t="s">
        <v>1778</v>
      </c>
      <c r="C1165" s="33">
        <v>466</v>
      </c>
      <c r="D1165" s="34" t="s">
        <v>847</v>
      </c>
      <c r="E1165" s="36">
        <v>13367</v>
      </c>
      <c r="F1165" s="36">
        <f>TRUNC(E1165*$C1165,0)</f>
        <v>6229022</v>
      </c>
      <c r="G1165" s="36">
        <v>15407</v>
      </c>
      <c r="H1165" s="36">
        <f>TRUNC(G1165*$C1165,0)</f>
        <v>7179662</v>
      </c>
      <c r="I1165" s="36">
        <v>1214</v>
      </c>
      <c r="J1165" s="36">
        <f>TRUNC(I1165*$C1165,0)</f>
        <v>565724</v>
      </c>
      <c r="K1165" s="36">
        <f t="shared" si="172"/>
        <v>29988</v>
      </c>
      <c r="L1165" s="36">
        <f t="shared" si="172"/>
        <v>13974408</v>
      </c>
      <c r="M1165" s="37"/>
      <c r="N1165" s="253"/>
      <c r="O1165" s="38"/>
    </row>
    <row r="1166" spans="1:15" s="29" customFormat="1" ht="24.95" customHeight="1">
      <c r="A1166" s="31" t="s">
        <v>1779</v>
      </c>
      <c r="B1166" s="32" t="s">
        <v>1780</v>
      </c>
      <c r="C1166" s="33">
        <v>5126</v>
      </c>
      <c r="D1166" s="34" t="s">
        <v>847</v>
      </c>
      <c r="E1166" s="36">
        <v>6330</v>
      </c>
      <c r="F1166" s="36">
        <f>TRUNC(E1166*$C1166,0)</f>
        <v>32447580</v>
      </c>
      <c r="G1166" s="36">
        <v>14404</v>
      </c>
      <c r="H1166" s="36">
        <f>TRUNC(G1166*$C1166,0)</f>
        <v>73834904</v>
      </c>
      <c r="I1166" s="36">
        <v>575</v>
      </c>
      <c r="J1166" s="36">
        <f>TRUNC(I1166*$C1166,0)</f>
        <v>2947450</v>
      </c>
      <c r="K1166" s="36">
        <f t="shared" si="172"/>
        <v>21309</v>
      </c>
      <c r="L1166" s="36">
        <f t="shared" si="172"/>
        <v>109229934</v>
      </c>
      <c r="M1166" s="37"/>
      <c r="N1166" s="253"/>
      <c r="O1166" s="38"/>
    </row>
    <row r="1167" spans="1:15" s="70" customFormat="1" ht="24.95" customHeight="1">
      <c r="A1167" s="64" t="s">
        <v>1781</v>
      </c>
      <c r="B1167" s="65" t="s">
        <v>22</v>
      </c>
      <c r="C1167" s="66"/>
      <c r="D1167" s="67" t="s">
        <v>22</v>
      </c>
      <c r="E1167" s="67"/>
      <c r="F1167" s="68">
        <f>TRUNC(F1168+F1169+F1170,0)</f>
        <v>40579322</v>
      </c>
      <c r="G1167" s="67"/>
      <c r="H1167" s="68">
        <f>TRUNC(H1168+H1169+H1170,0)</f>
        <v>37994908</v>
      </c>
      <c r="I1167" s="67"/>
      <c r="J1167" s="68">
        <f>TRUNC(J1168+J1169+J1170,0)</f>
        <v>2421441</v>
      </c>
      <c r="K1167" s="68">
        <f t="shared" si="172"/>
        <v>0</v>
      </c>
      <c r="L1167" s="68">
        <f t="shared" si="172"/>
        <v>80995671</v>
      </c>
      <c r="M1167" s="69"/>
      <c r="N1167" s="256"/>
    </row>
    <row r="1168" spans="1:15" s="29" customFormat="1" ht="24.95" customHeight="1">
      <c r="A1168" s="31" t="s">
        <v>1782</v>
      </c>
      <c r="B1168" s="32" t="s">
        <v>1783</v>
      </c>
      <c r="C1168" s="33">
        <v>68</v>
      </c>
      <c r="D1168" s="34" t="s">
        <v>960</v>
      </c>
      <c r="E1168" s="36">
        <v>154294</v>
      </c>
      <c r="F1168" s="36">
        <f>TRUNC(E1168*$C1168,0)</f>
        <v>10491992</v>
      </c>
      <c r="G1168" s="36">
        <v>139716</v>
      </c>
      <c r="H1168" s="36">
        <f>TRUNC(G1168*$C1168,0)</f>
        <v>9500688</v>
      </c>
      <c r="I1168" s="36">
        <v>9207</v>
      </c>
      <c r="J1168" s="36">
        <f>TRUNC(I1168*$C1168,0)</f>
        <v>626076</v>
      </c>
      <c r="K1168" s="36">
        <f t="shared" si="172"/>
        <v>303217</v>
      </c>
      <c r="L1168" s="36">
        <f t="shared" si="172"/>
        <v>20618756</v>
      </c>
      <c r="M1168" s="37"/>
      <c r="N1168" s="253"/>
      <c r="O1168" s="38"/>
    </row>
    <row r="1169" spans="1:15" s="29" customFormat="1" ht="24.95" customHeight="1">
      <c r="A1169" s="31" t="s">
        <v>1784</v>
      </c>
      <c r="B1169" s="32" t="s">
        <v>1785</v>
      </c>
      <c r="C1169" s="33">
        <v>145</v>
      </c>
      <c r="D1169" s="34" t="s">
        <v>960</v>
      </c>
      <c r="E1169" s="36">
        <v>154294</v>
      </c>
      <c r="F1169" s="36">
        <f>TRUNC(E1169*$C1169,0)</f>
        <v>22372630</v>
      </c>
      <c r="G1169" s="36">
        <v>139716</v>
      </c>
      <c r="H1169" s="36">
        <f>TRUNC(G1169*$C1169,0)</f>
        <v>20258820</v>
      </c>
      <c r="I1169" s="36">
        <v>9207</v>
      </c>
      <c r="J1169" s="36">
        <f>TRUNC(I1169*$C1169,0)</f>
        <v>1335015</v>
      </c>
      <c r="K1169" s="36">
        <f t="shared" si="172"/>
        <v>303217</v>
      </c>
      <c r="L1169" s="36">
        <f t="shared" si="172"/>
        <v>43966465</v>
      </c>
      <c r="M1169" s="37"/>
      <c r="N1169" s="253"/>
      <c r="O1169" s="38"/>
    </row>
    <row r="1170" spans="1:15" s="29" customFormat="1" ht="24.95" customHeight="1">
      <c r="A1170" s="31" t="s">
        <v>1786</v>
      </c>
      <c r="B1170" s="32" t="s">
        <v>1787</v>
      </c>
      <c r="C1170" s="33">
        <v>50</v>
      </c>
      <c r="D1170" s="34" t="s">
        <v>960</v>
      </c>
      <c r="E1170" s="36">
        <v>154294</v>
      </c>
      <c r="F1170" s="36">
        <f>TRUNC(E1170*$C1170,0)</f>
        <v>7714700</v>
      </c>
      <c r="G1170" s="36">
        <v>164708</v>
      </c>
      <c r="H1170" s="36">
        <f>TRUNC(G1170*$C1170,0)</f>
        <v>8235400</v>
      </c>
      <c r="I1170" s="36">
        <v>9207</v>
      </c>
      <c r="J1170" s="36">
        <f>TRUNC(I1170*$C1170,0)</f>
        <v>460350</v>
      </c>
      <c r="K1170" s="36">
        <f t="shared" si="172"/>
        <v>328209</v>
      </c>
      <c r="L1170" s="36">
        <f t="shared" si="172"/>
        <v>16410450</v>
      </c>
      <c r="M1170" s="37"/>
      <c r="N1170" s="253"/>
      <c r="O1170" s="38"/>
    </row>
    <row r="1171" spans="1:15" s="70" customFormat="1" ht="24.95" customHeight="1">
      <c r="A1171" s="64" t="s">
        <v>1788</v>
      </c>
      <c r="B1171" s="65" t="s">
        <v>22</v>
      </c>
      <c r="C1171" s="66"/>
      <c r="D1171" s="67" t="s">
        <v>22</v>
      </c>
      <c r="E1171" s="67"/>
      <c r="F1171" s="68">
        <f>TRUNC(F1172+F1173,0)</f>
        <v>3505200</v>
      </c>
      <c r="G1171" s="67"/>
      <c r="H1171" s="68">
        <f>TRUNC(H1172+H1173,0)</f>
        <v>41194728</v>
      </c>
      <c r="I1171" s="67"/>
      <c r="J1171" s="68">
        <f>TRUNC(J1172+J1173,0)</f>
        <v>376362</v>
      </c>
      <c r="K1171" s="68">
        <f t="shared" si="172"/>
        <v>0</v>
      </c>
      <c r="L1171" s="68">
        <f t="shared" si="172"/>
        <v>45076290</v>
      </c>
      <c r="M1171" s="69"/>
      <c r="N1171" s="256"/>
    </row>
    <row r="1172" spans="1:15" s="29" customFormat="1" ht="24.95" customHeight="1">
      <c r="A1172" s="31" t="s">
        <v>1789</v>
      </c>
      <c r="B1172" s="32" t="s">
        <v>1790</v>
      </c>
      <c r="C1172" s="33">
        <v>3</v>
      </c>
      <c r="D1172" s="34" t="s">
        <v>1116</v>
      </c>
      <c r="E1172" s="36">
        <v>584200</v>
      </c>
      <c r="F1172" s="36">
        <f>TRUNC(E1172*$C1172,0)</f>
        <v>1752600</v>
      </c>
      <c r="G1172" s="36">
        <v>8011266</v>
      </c>
      <c r="H1172" s="36">
        <f>TRUNC(G1172*$C1172,0)</f>
        <v>24033798</v>
      </c>
      <c r="I1172" s="36">
        <v>62727</v>
      </c>
      <c r="J1172" s="36">
        <f>TRUNC(I1172*$C1172,0)</f>
        <v>188181</v>
      </c>
      <c r="K1172" s="36">
        <f t="shared" si="172"/>
        <v>8658193</v>
      </c>
      <c r="L1172" s="36">
        <f t="shared" si="172"/>
        <v>25974579</v>
      </c>
      <c r="M1172" s="37"/>
      <c r="N1172" s="253"/>
      <c r="O1172" s="38"/>
    </row>
    <row r="1173" spans="1:15" s="29" customFormat="1" ht="24.95" customHeight="1">
      <c r="A1173" s="31" t="s">
        <v>1791</v>
      </c>
      <c r="B1173" s="32" t="s">
        <v>1792</v>
      </c>
      <c r="C1173" s="33">
        <v>3</v>
      </c>
      <c r="D1173" s="34" t="s">
        <v>1116</v>
      </c>
      <c r="E1173" s="36">
        <v>584200</v>
      </c>
      <c r="F1173" s="36">
        <f>TRUNC(E1173*$C1173,0)</f>
        <v>1752600</v>
      </c>
      <c r="G1173" s="36">
        <v>5720310</v>
      </c>
      <c r="H1173" s="36">
        <f>TRUNC(G1173*$C1173,0)</f>
        <v>17160930</v>
      </c>
      <c r="I1173" s="36">
        <v>62727</v>
      </c>
      <c r="J1173" s="36">
        <f>TRUNC(I1173*$C1173,0)</f>
        <v>188181</v>
      </c>
      <c r="K1173" s="36">
        <f t="shared" si="172"/>
        <v>6367237</v>
      </c>
      <c r="L1173" s="36">
        <f t="shared" si="172"/>
        <v>19101711</v>
      </c>
      <c r="M1173" s="37"/>
      <c r="N1173" s="253"/>
      <c r="O1173" s="38"/>
    </row>
    <row r="1174" spans="1:15" s="70" customFormat="1" ht="24.95" customHeight="1">
      <c r="A1174" s="64" t="s">
        <v>1793</v>
      </c>
      <c r="B1174" s="65" t="s">
        <v>22</v>
      </c>
      <c r="C1174" s="66"/>
      <c r="D1174" s="67" t="s">
        <v>22</v>
      </c>
      <c r="E1174" s="67"/>
      <c r="F1174" s="68">
        <f>TRUNC(F1175,0)</f>
        <v>2484348</v>
      </c>
      <c r="G1174" s="67"/>
      <c r="H1174" s="68">
        <f>TRUNC(H1175,0)</f>
        <v>3160860</v>
      </c>
      <c r="I1174" s="67"/>
      <c r="J1174" s="68">
        <f>TRUNC(J1175,0)</f>
        <v>55692</v>
      </c>
      <c r="K1174" s="68">
        <f t="shared" si="172"/>
        <v>0</v>
      </c>
      <c r="L1174" s="68">
        <f t="shared" si="172"/>
        <v>5700900</v>
      </c>
      <c r="M1174" s="69"/>
      <c r="N1174" s="256"/>
    </row>
    <row r="1175" spans="1:15" s="29" customFormat="1" ht="24.95" customHeight="1">
      <c r="A1175" s="31" t="s">
        <v>1794</v>
      </c>
      <c r="B1175" s="32" t="s">
        <v>1795</v>
      </c>
      <c r="C1175" s="33">
        <v>12</v>
      </c>
      <c r="D1175" s="34" t="s">
        <v>960</v>
      </c>
      <c r="E1175" s="36">
        <v>207029</v>
      </c>
      <c r="F1175" s="36">
        <f>TRUNC(E1175*$C1175,0)</f>
        <v>2484348</v>
      </c>
      <c r="G1175" s="36">
        <v>263405</v>
      </c>
      <c r="H1175" s="36">
        <f>TRUNC(G1175*$C1175,0)</f>
        <v>3160860</v>
      </c>
      <c r="I1175" s="36">
        <v>4641</v>
      </c>
      <c r="J1175" s="36">
        <f>TRUNC(I1175*$C1175,0)</f>
        <v>55692</v>
      </c>
      <c r="K1175" s="36">
        <f t="shared" si="172"/>
        <v>475075</v>
      </c>
      <c r="L1175" s="36">
        <f t="shared" si="172"/>
        <v>5700900</v>
      </c>
      <c r="M1175" s="37"/>
      <c r="N1175" s="253"/>
      <c r="O1175" s="38"/>
    </row>
    <row r="1176" spans="1:15" s="70" customFormat="1" ht="24.95" customHeight="1">
      <c r="A1176" s="64" t="s">
        <v>1796</v>
      </c>
      <c r="B1176" s="65" t="s">
        <v>22</v>
      </c>
      <c r="C1176" s="66"/>
      <c r="D1176" s="67" t="s">
        <v>22</v>
      </c>
      <c r="E1176" s="67"/>
      <c r="F1176" s="68">
        <f>TRUNC(F1177,0)</f>
        <v>27195196</v>
      </c>
      <c r="G1176" s="67"/>
      <c r="H1176" s="68">
        <f>TRUNC(H1177,0)</f>
        <v>728980605</v>
      </c>
      <c r="I1176" s="67"/>
      <c r="J1176" s="68">
        <f>TRUNC(J1177,0)</f>
        <v>193316</v>
      </c>
      <c r="K1176" s="68">
        <f t="shared" si="172"/>
        <v>0</v>
      </c>
      <c r="L1176" s="68">
        <f t="shared" si="172"/>
        <v>756369117</v>
      </c>
      <c r="M1176" s="69"/>
      <c r="N1176" s="256"/>
    </row>
    <row r="1177" spans="1:15" s="29" customFormat="1" ht="24.95" customHeight="1">
      <c r="A1177" s="31" t="s">
        <v>1797</v>
      </c>
      <c r="B1177" s="32" t="s">
        <v>1798</v>
      </c>
      <c r="C1177" s="33">
        <v>1559</v>
      </c>
      <c r="D1177" s="34" t="s">
        <v>1799</v>
      </c>
      <c r="E1177" s="36">
        <v>17444</v>
      </c>
      <c r="F1177" s="36">
        <f>TRUNC(E1177*$C1177,0)</f>
        <v>27195196</v>
      </c>
      <c r="G1177" s="36">
        <v>467595</v>
      </c>
      <c r="H1177" s="36">
        <f>TRUNC(G1177*$C1177,0)</f>
        <v>728980605</v>
      </c>
      <c r="I1177" s="36">
        <v>124</v>
      </c>
      <c r="J1177" s="36">
        <f>TRUNC(I1177*$C1177,0)</f>
        <v>193316</v>
      </c>
      <c r="K1177" s="36">
        <f t="shared" si="172"/>
        <v>485163</v>
      </c>
      <c r="L1177" s="36">
        <f t="shared" si="172"/>
        <v>756369117</v>
      </c>
      <c r="M1177" s="37"/>
      <c r="N1177" s="253"/>
      <c r="O1177" s="38"/>
    </row>
    <row r="1178" spans="1:15" s="70" customFormat="1" ht="24.95" customHeight="1">
      <c r="A1178" s="64" t="s">
        <v>1800</v>
      </c>
      <c r="B1178" s="65" t="s">
        <v>22</v>
      </c>
      <c r="C1178" s="66"/>
      <c r="D1178" s="67" t="s">
        <v>22</v>
      </c>
      <c r="E1178" s="67"/>
      <c r="F1178" s="68">
        <f>TRUNC(F1179,0)</f>
        <v>2388498</v>
      </c>
      <c r="G1178" s="67"/>
      <c r="H1178" s="68">
        <f>TRUNC(H1179,0)</f>
        <v>3840564</v>
      </c>
      <c r="I1178" s="67"/>
      <c r="J1178" s="68">
        <f>TRUNC(J1179,0)</f>
        <v>159642</v>
      </c>
      <c r="K1178" s="68">
        <f t="shared" si="172"/>
        <v>0</v>
      </c>
      <c r="L1178" s="68">
        <f t="shared" si="172"/>
        <v>6388704</v>
      </c>
      <c r="M1178" s="69"/>
      <c r="N1178" s="256"/>
    </row>
    <row r="1179" spans="1:15" s="29" customFormat="1" ht="24.95" customHeight="1">
      <c r="A1179" s="31" t="s">
        <v>1801</v>
      </c>
      <c r="B1179" s="32" t="s">
        <v>1802</v>
      </c>
      <c r="C1179" s="33">
        <v>21</v>
      </c>
      <c r="D1179" s="34" t="s">
        <v>960</v>
      </c>
      <c r="E1179" s="36">
        <v>113738</v>
      </c>
      <c r="F1179" s="36">
        <f>TRUNC(E1179*$C1179,0)</f>
        <v>2388498</v>
      </c>
      <c r="G1179" s="36">
        <v>182884</v>
      </c>
      <c r="H1179" s="36">
        <f>TRUNC(G1179*$C1179,0)</f>
        <v>3840564</v>
      </c>
      <c r="I1179" s="36">
        <v>7602</v>
      </c>
      <c r="J1179" s="36">
        <f>TRUNC(I1179*$C1179,0)</f>
        <v>159642</v>
      </c>
      <c r="K1179" s="36">
        <f t="shared" si="172"/>
        <v>304224</v>
      </c>
      <c r="L1179" s="36">
        <f t="shared" si="172"/>
        <v>6388704</v>
      </c>
      <c r="M1179" s="37"/>
      <c r="N1179" s="253"/>
      <c r="O1179" s="38"/>
    </row>
    <row r="1180" spans="1:15" s="70" customFormat="1" ht="24.95" customHeight="1">
      <c r="A1180" s="64" t="s">
        <v>1803</v>
      </c>
      <c r="B1180" s="65" t="s">
        <v>22</v>
      </c>
      <c r="C1180" s="66"/>
      <c r="D1180" s="67" t="s">
        <v>22</v>
      </c>
      <c r="E1180" s="67"/>
      <c r="F1180" s="68">
        <f>TRUNC(F1181+F1182,0)</f>
        <v>2343506</v>
      </c>
      <c r="G1180" s="67"/>
      <c r="H1180" s="68">
        <f>TRUNC(H1181+H1182,0)</f>
        <v>151527853</v>
      </c>
      <c r="I1180" s="67"/>
      <c r="J1180" s="68">
        <f>TRUNC(J1181+J1182,0)</f>
        <v>286528</v>
      </c>
      <c r="K1180" s="68">
        <f t="shared" si="172"/>
        <v>0</v>
      </c>
      <c r="L1180" s="68">
        <f t="shared" si="172"/>
        <v>154157887</v>
      </c>
      <c r="M1180" s="69"/>
      <c r="N1180" s="256"/>
    </row>
    <row r="1181" spans="1:15" s="29" customFormat="1" ht="24.95" customHeight="1">
      <c r="A1181" s="31" t="s">
        <v>1804</v>
      </c>
      <c r="B1181" s="32" t="s">
        <v>1805</v>
      </c>
      <c r="C1181" s="33">
        <v>785</v>
      </c>
      <c r="D1181" s="34" t="s">
        <v>1799</v>
      </c>
      <c r="E1181" s="36">
        <v>2879</v>
      </c>
      <c r="F1181" s="36">
        <f>TRUNC(E1181*$C1181,0)</f>
        <v>2260015</v>
      </c>
      <c r="G1181" s="36">
        <v>189825</v>
      </c>
      <c r="H1181" s="36">
        <f>TRUNC(G1181*$C1181,0)</f>
        <v>149012625</v>
      </c>
      <c r="I1181" s="36">
        <v>352</v>
      </c>
      <c r="J1181" s="36">
        <f>TRUNC(I1181*$C1181,0)</f>
        <v>276320</v>
      </c>
      <c r="K1181" s="36">
        <f t="shared" si="172"/>
        <v>193056</v>
      </c>
      <c r="L1181" s="36">
        <f t="shared" si="172"/>
        <v>151548960</v>
      </c>
      <c r="M1181" s="37"/>
      <c r="N1181" s="253"/>
      <c r="O1181" s="38"/>
    </row>
    <row r="1182" spans="1:15" s="29" customFormat="1" ht="24.95" customHeight="1">
      <c r="A1182" s="31" t="s">
        <v>1806</v>
      </c>
      <c r="B1182" s="32" t="s">
        <v>1807</v>
      </c>
      <c r="C1182" s="33">
        <v>29</v>
      </c>
      <c r="D1182" s="34" t="s">
        <v>1116</v>
      </c>
      <c r="E1182" s="36">
        <v>2879</v>
      </c>
      <c r="F1182" s="36">
        <f>TRUNC(E1182*$C1182,0)</f>
        <v>83491</v>
      </c>
      <c r="G1182" s="36">
        <v>86732</v>
      </c>
      <c r="H1182" s="36">
        <f>TRUNC(G1182*$C1182,0)</f>
        <v>2515228</v>
      </c>
      <c r="I1182" s="36">
        <v>352</v>
      </c>
      <c r="J1182" s="36">
        <f>TRUNC(I1182*$C1182,0)</f>
        <v>10208</v>
      </c>
      <c r="K1182" s="36">
        <f t="shared" si="172"/>
        <v>89963</v>
      </c>
      <c r="L1182" s="36">
        <f t="shared" si="172"/>
        <v>2608927</v>
      </c>
      <c r="M1182" s="37"/>
      <c r="N1182" s="253"/>
      <c r="O1182" s="38"/>
    </row>
    <row r="1183" spans="1:15" s="63" customFormat="1" ht="24.95" customHeight="1">
      <c r="A1183" s="57" t="s">
        <v>1808</v>
      </c>
      <c r="B1183" s="58" t="s">
        <v>22</v>
      </c>
      <c r="C1183" s="59"/>
      <c r="D1183" s="60" t="s">
        <v>22</v>
      </c>
      <c r="E1183" s="60"/>
      <c r="F1183" s="61">
        <f>TRUNC(F1184,0)</f>
        <v>16259446</v>
      </c>
      <c r="G1183" s="60"/>
      <c r="H1183" s="61">
        <f>TRUNC(H1184,0)</f>
        <v>325846310</v>
      </c>
      <c r="I1183" s="60"/>
      <c r="J1183" s="61">
        <f>TRUNC(J1184,0)</f>
        <v>0</v>
      </c>
      <c r="K1183" s="61">
        <f t="shared" si="172"/>
        <v>0</v>
      </c>
      <c r="L1183" s="61">
        <f t="shared" si="172"/>
        <v>342105756</v>
      </c>
      <c r="M1183" s="62"/>
      <c r="N1183" s="253"/>
    </row>
    <row r="1184" spans="1:15" s="29" customFormat="1" ht="24.95" customHeight="1">
      <c r="A1184" s="31" t="s">
        <v>1809</v>
      </c>
      <c r="B1184" s="32" t="s">
        <v>1810</v>
      </c>
      <c r="C1184" s="33">
        <v>43826</v>
      </c>
      <c r="D1184" s="34" t="s">
        <v>116</v>
      </c>
      <c r="E1184" s="36">
        <v>371</v>
      </c>
      <c r="F1184" s="36">
        <f>TRUNC(E1184*$C1184,0)</f>
        <v>16259446</v>
      </c>
      <c r="G1184" s="36">
        <v>7435</v>
      </c>
      <c r="H1184" s="36">
        <f>TRUNC(G1184*$C1184,0)</f>
        <v>325846310</v>
      </c>
      <c r="I1184" s="36">
        <v>0</v>
      </c>
      <c r="J1184" s="36">
        <f>TRUNC(I1184*$C1184,0)</f>
        <v>0</v>
      </c>
      <c r="K1184" s="36">
        <f t="shared" si="172"/>
        <v>7806</v>
      </c>
      <c r="L1184" s="36">
        <f t="shared" si="172"/>
        <v>342105756</v>
      </c>
      <c r="M1184" s="37"/>
      <c r="N1184" s="253"/>
      <c r="O1184" s="38"/>
    </row>
    <row r="1185" spans="1:15" s="63" customFormat="1" ht="24.95" customHeight="1">
      <c r="A1185" s="57" t="s">
        <v>1811</v>
      </c>
      <c r="B1185" s="58" t="s">
        <v>22</v>
      </c>
      <c r="C1185" s="59"/>
      <c r="D1185" s="60" t="s">
        <v>22</v>
      </c>
      <c r="E1185" s="60"/>
      <c r="F1185" s="61">
        <f>TRUNC(F1186+F1187+F1188+F1190+F1191,0)</f>
        <v>0</v>
      </c>
      <c r="G1185" s="60"/>
      <c r="H1185" s="61">
        <f>TRUNC(H1186+H1187+H1188+H1190+H1191,0)</f>
        <v>0</v>
      </c>
      <c r="I1185" s="60"/>
      <c r="J1185" s="61">
        <f>TRUNC(J1186+J1187+J1188+J1190+J1191,0)</f>
        <v>35327846</v>
      </c>
      <c r="K1185" s="61">
        <f t="shared" si="172"/>
        <v>0</v>
      </c>
      <c r="L1185" s="61">
        <f t="shared" si="172"/>
        <v>35327846</v>
      </c>
      <c r="M1185" s="62"/>
      <c r="N1185" s="253"/>
    </row>
    <row r="1186" spans="1:15" s="29" customFormat="1" ht="24.95" customHeight="1">
      <c r="A1186" s="31" t="s">
        <v>1402</v>
      </c>
      <c r="B1186" s="32" t="s">
        <v>1404</v>
      </c>
      <c r="C1186" s="33">
        <v>201</v>
      </c>
      <c r="D1186" s="34" t="s">
        <v>1405</v>
      </c>
      <c r="E1186" s="36">
        <v>0</v>
      </c>
      <c r="F1186" s="36">
        <f>TRUNC(E1186*$C1186,0)</f>
        <v>0</v>
      </c>
      <c r="G1186" s="36">
        <v>0</v>
      </c>
      <c r="H1186" s="36">
        <f>TRUNC(G1186*$C1186,0)</f>
        <v>0</v>
      </c>
      <c r="I1186" s="36">
        <v>457</v>
      </c>
      <c r="J1186" s="36">
        <f>TRUNC(I1186*$C1186,0)</f>
        <v>91857</v>
      </c>
      <c r="K1186" s="36">
        <f t="shared" si="172"/>
        <v>457</v>
      </c>
      <c r="L1186" s="36">
        <f t="shared" si="172"/>
        <v>91857</v>
      </c>
      <c r="M1186" s="37"/>
      <c r="N1186" s="253"/>
      <c r="O1186" s="38"/>
    </row>
    <row r="1187" spans="1:15" s="29" customFormat="1" ht="24.95" customHeight="1">
      <c r="A1187" s="31" t="s">
        <v>1209</v>
      </c>
      <c r="B1187" s="32" t="s">
        <v>1211</v>
      </c>
      <c r="C1187" s="261">
        <v>1.508</v>
      </c>
      <c r="D1187" s="34" t="s">
        <v>1112</v>
      </c>
      <c r="E1187" s="36">
        <v>0</v>
      </c>
      <c r="F1187" s="36">
        <f>TRUNC(E1187*$C1187,0)</f>
        <v>0</v>
      </c>
      <c r="G1187" s="36">
        <v>0</v>
      </c>
      <c r="H1187" s="36">
        <f>TRUNC(G1187*$C1187,0)</f>
        <v>0</v>
      </c>
      <c r="I1187" s="36">
        <v>9736</v>
      </c>
      <c r="J1187" s="36">
        <f>TRUNC(I1187*$C1187,0)</f>
        <v>14681</v>
      </c>
      <c r="K1187" s="36">
        <f t="shared" si="172"/>
        <v>9736</v>
      </c>
      <c r="L1187" s="36">
        <f t="shared" si="172"/>
        <v>14681</v>
      </c>
      <c r="M1187" s="37"/>
      <c r="N1187" s="253"/>
      <c r="O1187" s="38"/>
    </row>
    <row r="1188" spans="1:15" s="29" customFormat="1" ht="24.95" customHeight="1">
      <c r="A1188" s="31" t="s">
        <v>1812</v>
      </c>
      <c r="B1188" s="32" t="s">
        <v>1813</v>
      </c>
      <c r="C1188" s="33">
        <v>776</v>
      </c>
      <c r="D1188" s="34" t="s">
        <v>1814</v>
      </c>
      <c r="E1188" s="36">
        <v>0</v>
      </c>
      <c r="F1188" s="36">
        <f>TRUNC(E1188*$C1188,0)</f>
        <v>0</v>
      </c>
      <c r="G1188" s="36">
        <v>0</v>
      </c>
      <c r="H1188" s="36">
        <f>TRUNC(G1188*$C1188,0)</f>
        <v>0</v>
      </c>
      <c r="I1188" s="36">
        <v>2289</v>
      </c>
      <c r="J1188" s="36">
        <f>TRUNC(I1188*$C1188,0)</f>
        <v>1776264</v>
      </c>
      <c r="K1188" s="36">
        <f t="shared" si="172"/>
        <v>2289</v>
      </c>
      <c r="L1188" s="36">
        <f t="shared" si="172"/>
        <v>1776264</v>
      </c>
      <c r="M1188" s="37"/>
      <c r="N1188" s="253"/>
      <c r="O1188" s="38"/>
    </row>
    <row r="1189" spans="1:15" s="29" customFormat="1" ht="24.95" customHeight="1">
      <c r="A1189" s="31" t="s">
        <v>1815</v>
      </c>
      <c r="B1189" s="32" t="s">
        <v>22</v>
      </c>
      <c r="C1189" s="33"/>
      <c r="D1189" s="34" t="s">
        <v>22</v>
      </c>
      <c r="E1189" s="34"/>
      <c r="F1189" s="36">
        <f>TRUNC(F1190+F1191,0)</f>
        <v>0</v>
      </c>
      <c r="G1189" s="34"/>
      <c r="H1189" s="36">
        <f>TRUNC(H1190+H1191,0)</f>
        <v>0</v>
      </c>
      <c r="I1189" s="34"/>
      <c r="J1189" s="36">
        <f>TRUNC(J1190+J1191,0)</f>
        <v>33445044</v>
      </c>
      <c r="K1189" s="36">
        <f t="shared" si="172"/>
        <v>0</v>
      </c>
      <c r="L1189" s="36">
        <f t="shared" si="172"/>
        <v>33445044</v>
      </c>
      <c r="M1189" s="37"/>
      <c r="N1189" s="253"/>
    </row>
    <row r="1190" spans="1:15" s="29" customFormat="1" ht="24.95" customHeight="1">
      <c r="A1190" s="31" t="s">
        <v>1816</v>
      </c>
      <c r="B1190" s="32" t="s">
        <v>1817</v>
      </c>
      <c r="C1190" s="33">
        <v>8861</v>
      </c>
      <c r="D1190" s="34" t="s">
        <v>166</v>
      </c>
      <c r="E1190" s="36">
        <v>0</v>
      </c>
      <c r="F1190" s="36">
        <f>TRUNC(E1190*$C1190,0)</f>
        <v>0</v>
      </c>
      <c r="G1190" s="36">
        <v>0</v>
      </c>
      <c r="H1190" s="36">
        <f>TRUNC(G1190*$C1190,0)</f>
        <v>0</v>
      </c>
      <c r="I1190" s="36">
        <v>3668</v>
      </c>
      <c r="J1190" s="36">
        <f>TRUNC(I1190*$C1190,0)</f>
        <v>32502148</v>
      </c>
      <c r="K1190" s="36">
        <f t="shared" si="172"/>
        <v>3668</v>
      </c>
      <c r="L1190" s="36">
        <f t="shared" si="172"/>
        <v>32502148</v>
      </c>
      <c r="M1190" s="37"/>
      <c r="N1190" s="253"/>
      <c r="O1190" s="38"/>
    </row>
    <row r="1191" spans="1:15" s="29" customFormat="1" ht="24.95" customHeight="1">
      <c r="A1191" s="31" t="s">
        <v>1816</v>
      </c>
      <c r="B1191" s="32" t="s">
        <v>1818</v>
      </c>
      <c r="C1191" s="33">
        <v>496</v>
      </c>
      <c r="D1191" s="34" t="s">
        <v>166</v>
      </c>
      <c r="E1191" s="36">
        <v>0</v>
      </c>
      <c r="F1191" s="36">
        <f>TRUNC(E1191*$C1191,0)</f>
        <v>0</v>
      </c>
      <c r="G1191" s="36">
        <v>0</v>
      </c>
      <c r="H1191" s="36">
        <f>TRUNC(G1191*$C1191,0)</f>
        <v>0</v>
      </c>
      <c r="I1191" s="36">
        <v>1901</v>
      </c>
      <c r="J1191" s="36">
        <f>TRUNC(I1191*$C1191,0)</f>
        <v>942896</v>
      </c>
      <c r="K1191" s="36">
        <f t="shared" si="172"/>
        <v>1901</v>
      </c>
      <c r="L1191" s="36">
        <f t="shared" si="172"/>
        <v>942896</v>
      </c>
      <c r="M1191" s="37"/>
      <c r="N1191" s="253"/>
      <c r="O1191" s="38"/>
    </row>
    <row r="1192" spans="1:15" s="63" customFormat="1" ht="24.95" customHeight="1">
      <c r="A1192" s="57" t="s">
        <v>1819</v>
      </c>
      <c r="B1192" s="58" t="s">
        <v>22</v>
      </c>
      <c r="C1192" s="59"/>
      <c r="D1192" s="60" t="s">
        <v>22</v>
      </c>
      <c r="E1192" s="60"/>
      <c r="F1192" s="61">
        <f>F1193+F1200+F1206+F1208+F1218+F1233+F1236</f>
        <v>0</v>
      </c>
      <c r="G1192" s="60"/>
      <c r="H1192" s="61">
        <f>H1193+H1200+H1206+H1208+H1218+H1233+H1236</f>
        <v>5733629948</v>
      </c>
      <c r="I1192" s="60"/>
      <c r="J1192" s="61">
        <f>J1193+J1200+J1206+J1208+J1218+J1233+J1236</f>
        <v>0</v>
      </c>
      <c r="K1192" s="61">
        <f t="shared" si="172"/>
        <v>0</v>
      </c>
      <c r="L1192" s="61">
        <f t="shared" si="172"/>
        <v>5733629948</v>
      </c>
      <c r="M1192" s="62"/>
      <c r="N1192" s="253"/>
    </row>
    <row r="1193" spans="1:15" s="70" customFormat="1" ht="24.95" customHeight="1">
      <c r="A1193" s="64" t="s">
        <v>1820</v>
      </c>
      <c r="B1193" s="65" t="s">
        <v>22</v>
      </c>
      <c r="C1193" s="66"/>
      <c r="D1193" s="67" t="s">
        <v>22</v>
      </c>
      <c r="E1193" s="67"/>
      <c r="F1193" s="68">
        <f>TRUNC(F1194+F1195+F1196+F1197+F1198+F1199,0)</f>
        <v>0</v>
      </c>
      <c r="G1193" s="67"/>
      <c r="H1193" s="68">
        <f>TRUNC(H1194+H1195+H1196+H1197+H1198+H1199,0)</f>
        <v>3344505373</v>
      </c>
      <c r="I1193" s="67"/>
      <c r="J1193" s="68">
        <f>TRUNC(J1194+J1195+J1196+J1197+J1198+J1199,0)</f>
        <v>0</v>
      </c>
      <c r="K1193" s="68">
        <f t="shared" si="172"/>
        <v>0</v>
      </c>
      <c r="L1193" s="68">
        <f t="shared" si="172"/>
        <v>3344505373</v>
      </c>
      <c r="M1193" s="69"/>
      <c r="N1193" s="256"/>
    </row>
    <row r="1194" spans="1:15" s="29" customFormat="1" ht="24.95" customHeight="1">
      <c r="A1194" s="31" t="s">
        <v>1821</v>
      </c>
      <c r="B1194" s="32" t="s">
        <v>1822</v>
      </c>
      <c r="C1194" s="33">
        <v>12525</v>
      </c>
      <c r="D1194" s="34" t="s">
        <v>1112</v>
      </c>
      <c r="E1194" s="36">
        <v>0</v>
      </c>
      <c r="F1194" s="36">
        <f t="shared" ref="F1194:F1199" si="173">TRUNC(E1194*$C1194,0)</f>
        <v>0</v>
      </c>
      <c r="G1194" s="36">
        <v>89729</v>
      </c>
      <c r="H1194" s="36">
        <f t="shared" ref="H1194:H1199" si="174">TRUNC(G1194*$C1194,0)</f>
        <v>1123855725</v>
      </c>
      <c r="I1194" s="36">
        <v>0</v>
      </c>
      <c r="J1194" s="36">
        <f t="shared" ref="J1194:J1199" si="175">TRUNC(I1194*$C1194,0)</f>
        <v>0</v>
      </c>
      <c r="K1194" s="36">
        <f t="shared" si="172"/>
        <v>89729</v>
      </c>
      <c r="L1194" s="36">
        <f t="shared" si="172"/>
        <v>1123855725</v>
      </c>
      <c r="M1194" s="37"/>
      <c r="N1194" s="253"/>
      <c r="O1194" s="38"/>
    </row>
    <row r="1195" spans="1:15" s="29" customFormat="1" ht="24.95" customHeight="1">
      <c r="A1195" s="31" t="s">
        <v>1821</v>
      </c>
      <c r="B1195" s="32" t="s">
        <v>1823</v>
      </c>
      <c r="C1195" s="33">
        <v>2830</v>
      </c>
      <c r="D1195" s="34" t="s">
        <v>1112</v>
      </c>
      <c r="E1195" s="36">
        <v>0</v>
      </c>
      <c r="F1195" s="36">
        <f t="shared" si="173"/>
        <v>0</v>
      </c>
      <c r="G1195" s="36">
        <v>87102</v>
      </c>
      <c r="H1195" s="36">
        <f t="shared" si="174"/>
        <v>246498660</v>
      </c>
      <c r="I1195" s="36">
        <v>0</v>
      </c>
      <c r="J1195" s="36">
        <f t="shared" si="175"/>
        <v>0</v>
      </c>
      <c r="K1195" s="36">
        <f t="shared" si="172"/>
        <v>87102</v>
      </c>
      <c r="L1195" s="36">
        <f t="shared" si="172"/>
        <v>246498660</v>
      </c>
      <c r="M1195" s="37"/>
      <c r="N1195" s="253"/>
      <c r="O1195" s="38"/>
    </row>
    <row r="1196" spans="1:15" s="29" customFormat="1" ht="24.95" customHeight="1">
      <c r="A1196" s="31" t="s">
        <v>1821</v>
      </c>
      <c r="B1196" s="32" t="s">
        <v>1824</v>
      </c>
      <c r="C1196" s="33">
        <v>1886</v>
      </c>
      <c r="D1196" s="34" t="s">
        <v>1112</v>
      </c>
      <c r="E1196" s="36">
        <v>0</v>
      </c>
      <c r="F1196" s="36">
        <f t="shared" si="173"/>
        <v>0</v>
      </c>
      <c r="G1196" s="36">
        <v>74939</v>
      </c>
      <c r="H1196" s="36">
        <f t="shared" si="174"/>
        <v>141334954</v>
      </c>
      <c r="I1196" s="36">
        <v>0</v>
      </c>
      <c r="J1196" s="36">
        <f t="shared" si="175"/>
        <v>0</v>
      </c>
      <c r="K1196" s="36">
        <f t="shared" si="172"/>
        <v>74939</v>
      </c>
      <c r="L1196" s="36">
        <f t="shared" si="172"/>
        <v>141334954</v>
      </c>
      <c r="M1196" s="37"/>
      <c r="N1196" s="253"/>
      <c r="O1196" s="38"/>
    </row>
    <row r="1197" spans="1:15" s="29" customFormat="1" ht="24.95" customHeight="1">
      <c r="A1197" s="31" t="s">
        <v>1821</v>
      </c>
      <c r="B1197" s="32" t="s">
        <v>1825</v>
      </c>
      <c r="C1197" s="33">
        <v>14908</v>
      </c>
      <c r="D1197" s="34" t="s">
        <v>1112</v>
      </c>
      <c r="E1197" s="36">
        <v>0</v>
      </c>
      <c r="F1197" s="36">
        <f t="shared" si="173"/>
        <v>0</v>
      </c>
      <c r="G1197" s="36">
        <v>74356</v>
      </c>
      <c r="H1197" s="36">
        <f t="shared" si="174"/>
        <v>1108499248</v>
      </c>
      <c r="I1197" s="36">
        <v>0</v>
      </c>
      <c r="J1197" s="36">
        <f t="shared" si="175"/>
        <v>0</v>
      </c>
      <c r="K1197" s="36">
        <f t="shared" si="172"/>
        <v>74356</v>
      </c>
      <c r="L1197" s="36">
        <f t="shared" si="172"/>
        <v>1108499248</v>
      </c>
      <c r="M1197" s="37"/>
      <c r="N1197" s="253"/>
      <c r="O1197" s="38"/>
    </row>
    <row r="1198" spans="1:15" s="29" customFormat="1" ht="24.95" customHeight="1">
      <c r="A1198" s="31" t="s">
        <v>1821</v>
      </c>
      <c r="B1198" s="32" t="s">
        <v>1826</v>
      </c>
      <c r="C1198" s="33">
        <v>9939</v>
      </c>
      <c r="D1198" s="34" t="s">
        <v>1112</v>
      </c>
      <c r="E1198" s="36">
        <v>0</v>
      </c>
      <c r="F1198" s="36">
        <f t="shared" si="173"/>
        <v>0</v>
      </c>
      <c r="G1198" s="36">
        <v>60518</v>
      </c>
      <c r="H1198" s="36">
        <f t="shared" si="174"/>
        <v>601488402</v>
      </c>
      <c r="I1198" s="36">
        <v>0</v>
      </c>
      <c r="J1198" s="36">
        <f t="shared" si="175"/>
        <v>0</v>
      </c>
      <c r="K1198" s="36">
        <f t="shared" si="172"/>
        <v>60518</v>
      </c>
      <c r="L1198" s="36">
        <f t="shared" si="172"/>
        <v>601488402</v>
      </c>
      <c r="M1198" s="37"/>
      <c r="N1198" s="253"/>
      <c r="O1198" s="38"/>
    </row>
    <row r="1199" spans="1:15" s="29" customFormat="1" ht="24.95" customHeight="1">
      <c r="A1199" s="31" t="s">
        <v>1827</v>
      </c>
      <c r="B1199" s="32" t="s">
        <v>1828</v>
      </c>
      <c r="C1199" s="33">
        <v>776</v>
      </c>
      <c r="D1199" s="34" t="s">
        <v>1814</v>
      </c>
      <c r="E1199" s="36">
        <v>0</v>
      </c>
      <c r="F1199" s="36">
        <f t="shared" si="173"/>
        <v>0</v>
      </c>
      <c r="G1199" s="36">
        <v>158284</v>
      </c>
      <c r="H1199" s="36">
        <f t="shared" si="174"/>
        <v>122828384</v>
      </c>
      <c r="I1199" s="36">
        <v>0</v>
      </c>
      <c r="J1199" s="36">
        <f t="shared" si="175"/>
        <v>0</v>
      </c>
      <c r="K1199" s="36">
        <f t="shared" si="172"/>
        <v>158284</v>
      </c>
      <c r="L1199" s="36">
        <f t="shared" si="172"/>
        <v>122828384</v>
      </c>
      <c r="M1199" s="37"/>
      <c r="N1199" s="253"/>
      <c r="O1199" s="38"/>
    </row>
    <row r="1200" spans="1:15" s="70" customFormat="1" ht="24.95" customHeight="1">
      <c r="A1200" s="64" t="s">
        <v>1829</v>
      </c>
      <c r="B1200" s="65" t="s">
        <v>22</v>
      </c>
      <c r="C1200" s="66"/>
      <c r="D1200" s="67" t="s">
        <v>22</v>
      </c>
      <c r="E1200" s="67"/>
      <c r="F1200" s="68">
        <f>TRUNC(F1201+F1202+F1203+F1204+F1205,0)</f>
        <v>0</v>
      </c>
      <c r="G1200" s="67"/>
      <c r="H1200" s="68">
        <f>TRUNC(H1201+H1202+H1203+H1204+H1205,0)</f>
        <v>643416569</v>
      </c>
      <c r="I1200" s="67"/>
      <c r="J1200" s="68">
        <f>TRUNC(J1201+J1202+J1203+J1204+J1205,0)</f>
        <v>0</v>
      </c>
      <c r="K1200" s="68">
        <f t="shared" si="172"/>
        <v>0</v>
      </c>
      <c r="L1200" s="68">
        <f t="shared" si="172"/>
        <v>643416569</v>
      </c>
      <c r="M1200" s="69"/>
      <c r="N1200" s="256"/>
    </row>
    <row r="1201" spans="1:15" s="29" customFormat="1" ht="24.95" customHeight="1">
      <c r="A1201" s="31" t="s">
        <v>1830</v>
      </c>
      <c r="B1201" s="32" t="s">
        <v>1831</v>
      </c>
      <c r="C1201" s="33">
        <v>3908</v>
      </c>
      <c r="D1201" s="34" t="s">
        <v>815</v>
      </c>
      <c r="E1201" s="36">
        <v>0</v>
      </c>
      <c r="F1201" s="36">
        <f>TRUNC(E1201*$C1201,0)</f>
        <v>0</v>
      </c>
      <c r="G1201" s="36">
        <v>17494</v>
      </c>
      <c r="H1201" s="36">
        <f>TRUNC(G1201*$C1201,0)</f>
        <v>68366552</v>
      </c>
      <c r="I1201" s="36">
        <v>0</v>
      </c>
      <c r="J1201" s="36">
        <f>TRUNC(I1201*$C1201,0)</f>
        <v>0</v>
      </c>
      <c r="K1201" s="36">
        <f t="shared" si="172"/>
        <v>17494</v>
      </c>
      <c r="L1201" s="36">
        <f t="shared" si="172"/>
        <v>68366552</v>
      </c>
      <c r="M1201" s="37"/>
      <c r="N1201" s="253"/>
      <c r="O1201" s="38"/>
    </row>
    <row r="1202" spans="1:15" s="29" customFormat="1" ht="24.95" customHeight="1">
      <c r="A1202" s="31" t="s">
        <v>1832</v>
      </c>
      <c r="B1202" s="32" t="s">
        <v>1593</v>
      </c>
      <c r="C1202" s="33">
        <v>2606</v>
      </c>
      <c r="D1202" s="34" t="s">
        <v>815</v>
      </c>
      <c r="E1202" s="36">
        <v>0</v>
      </c>
      <c r="F1202" s="36">
        <f>TRUNC(E1202*$C1202,0)</f>
        <v>0</v>
      </c>
      <c r="G1202" s="36">
        <v>14995</v>
      </c>
      <c r="H1202" s="36">
        <f>TRUNC(G1202*$C1202,0)</f>
        <v>39076970</v>
      </c>
      <c r="I1202" s="36">
        <v>0</v>
      </c>
      <c r="J1202" s="36">
        <f>TRUNC(I1202*$C1202,0)</f>
        <v>0</v>
      </c>
      <c r="K1202" s="36">
        <f t="shared" si="172"/>
        <v>14995</v>
      </c>
      <c r="L1202" s="36">
        <f t="shared" si="172"/>
        <v>39076970</v>
      </c>
      <c r="M1202" s="37"/>
      <c r="N1202" s="253"/>
      <c r="O1202" s="38"/>
    </row>
    <row r="1203" spans="1:15" s="29" customFormat="1" ht="24.95" customHeight="1">
      <c r="A1203" s="31" t="s">
        <v>1833</v>
      </c>
      <c r="B1203" s="32" t="s">
        <v>1262</v>
      </c>
      <c r="C1203" s="33">
        <v>17663</v>
      </c>
      <c r="D1203" s="34" t="s">
        <v>815</v>
      </c>
      <c r="E1203" s="36">
        <v>0</v>
      </c>
      <c r="F1203" s="36">
        <f>TRUNC(E1203*$C1203,0)</f>
        <v>0</v>
      </c>
      <c r="G1203" s="36">
        <v>17494</v>
      </c>
      <c r="H1203" s="36">
        <f>TRUNC(G1203*$C1203,0)</f>
        <v>308996522</v>
      </c>
      <c r="I1203" s="36">
        <v>0</v>
      </c>
      <c r="J1203" s="36">
        <f>TRUNC(I1203*$C1203,0)</f>
        <v>0</v>
      </c>
      <c r="K1203" s="36">
        <f t="shared" si="172"/>
        <v>17494</v>
      </c>
      <c r="L1203" s="36">
        <f t="shared" si="172"/>
        <v>308996522</v>
      </c>
      <c r="M1203" s="37"/>
      <c r="N1203" s="253"/>
      <c r="O1203" s="38"/>
    </row>
    <row r="1204" spans="1:15" s="29" customFormat="1" ht="24.95" customHeight="1">
      <c r="A1204" s="31" t="s">
        <v>1834</v>
      </c>
      <c r="B1204" s="32" t="s">
        <v>1262</v>
      </c>
      <c r="C1204" s="33">
        <v>11775</v>
      </c>
      <c r="D1204" s="34" t="s">
        <v>815</v>
      </c>
      <c r="E1204" s="36">
        <v>0</v>
      </c>
      <c r="F1204" s="36">
        <f>TRUNC(E1204*$C1204,0)</f>
        <v>0</v>
      </c>
      <c r="G1204" s="36">
        <v>14995</v>
      </c>
      <c r="H1204" s="36">
        <f>TRUNC(G1204*$C1204,0)</f>
        <v>176566125</v>
      </c>
      <c r="I1204" s="36">
        <v>0</v>
      </c>
      <c r="J1204" s="36">
        <f>TRUNC(I1204*$C1204,0)</f>
        <v>0</v>
      </c>
      <c r="K1204" s="36">
        <f t="shared" si="172"/>
        <v>14995</v>
      </c>
      <c r="L1204" s="36">
        <f t="shared" si="172"/>
        <v>176566125</v>
      </c>
      <c r="M1204" s="37"/>
      <c r="N1204" s="253"/>
      <c r="O1204" s="38"/>
    </row>
    <row r="1205" spans="1:15" s="29" customFormat="1" ht="24.95" customHeight="1">
      <c r="A1205" s="31" t="s">
        <v>1835</v>
      </c>
      <c r="B1205" s="32" t="s">
        <v>1265</v>
      </c>
      <c r="C1205" s="33">
        <v>1952</v>
      </c>
      <c r="D1205" s="34" t="s">
        <v>815</v>
      </c>
      <c r="E1205" s="36">
        <v>0</v>
      </c>
      <c r="F1205" s="36">
        <f>TRUNC(E1205*$C1205,0)</f>
        <v>0</v>
      </c>
      <c r="G1205" s="36">
        <v>25825</v>
      </c>
      <c r="H1205" s="36">
        <f>TRUNC(G1205*$C1205,0)</f>
        <v>50410400</v>
      </c>
      <c r="I1205" s="36">
        <v>0</v>
      </c>
      <c r="J1205" s="36">
        <f>TRUNC(I1205*$C1205,0)</f>
        <v>0</v>
      </c>
      <c r="K1205" s="36">
        <f t="shared" si="172"/>
        <v>25825</v>
      </c>
      <c r="L1205" s="36">
        <f t="shared" si="172"/>
        <v>50410400</v>
      </c>
      <c r="M1205" s="37"/>
      <c r="N1205" s="253"/>
      <c r="O1205" s="38"/>
    </row>
    <row r="1206" spans="1:15" s="70" customFormat="1" ht="24.95" customHeight="1">
      <c r="A1206" s="64" t="s">
        <v>1836</v>
      </c>
      <c r="B1206" s="65" t="s">
        <v>22</v>
      </c>
      <c r="C1206" s="66"/>
      <c r="D1206" s="67" t="s">
        <v>22</v>
      </c>
      <c r="E1206" s="67"/>
      <c r="F1206" s="68">
        <f>TRUNC(F1207,0)</f>
        <v>0</v>
      </c>
      <c r="G1206" s="67"/>
      <c r="H1206" s="68">
        <f>TRUNC(H1207,0)</f>
        <v>1121781</v>
      </c>
      <c r="I1206" s="67"/>
      <c r="J1206" s="68">
        <f>TRUNC(J1207,0)</f>
        <v>0</v>
      </c>
      <c r="K1206" s="68">
        <f t="shared" si="172"/>
        <v>0</v>
      </c>
      <c r="L1206" s="68">
        <f t="shared" si="172"/>
        <v>1121781</v>
      </c>
      <c r="M1206" s="69"/>
      <c r="N1206" s="256"/>
    </row>
    <row r="1207" spans="1:15" s="29" customFormat="1" ht="24.95" customHeight="1">
      <c r="A1207" s="31" t="s">
        <v>1837</v>
      </c>
      <c r="B1207" s="32" t="s">
        <v>22</v>
      </c>
      <c r="C1207" s="33">
        <v>201</v>
      </c>
      <c r="D1207" s="34" t="s">
        <v>1405</v>
      </c>
      <c r="E1207" s="36">
        <v>0</v>
      </c>
      <c r="F1207" s="36">
        <f>TRUNC(E1207*$C1207,0)</f>
        <v>0</v>
      </c>
      <c r="G1207" s="36">
        <v>5581</v>
      </c>
      <c r="H1207" s="36">
        <f>TRUNC(G1207*$C1207,0)</f>
        <v>1121781</v>
      </c>
      <c r="I1207" s="36">
        <v>0</v>
      </c>
      <c r="J1207" s="36">
        <f>TRUNC(I1207*$C1207,0)</f>
        <v>0</v>
      </c>
      <c r="K1207" s="36">
        <f t="shared" si="172"/>
        <v>5581</v>
      </c>
      <c r="L1207" s="36">
        <f t="shared" si="172"/>
        <v>1121781</v>
      </c>
      <c r="M1207" s="37"/>
      <c r="N1207" s="253"/>
      <c r="O1207" s="38"/>
    </row>
    <row r="1208" spans="1:15" s="70" customFormat="1" ht="24.95" customHeight="1">
      <c r="A1208" s="64" t="s">
        <v>1838</v>
      </c>
      <c r="B1208" s="65" t="s">
        <v>22</v>
      </c>
      <c r="C1208" s="66"/>
      <c r="D1208" s="67" t="s">
        <v>22</v>
      </c>
      <c r="E1208" s="67"/>
      <c r="F1208" s="68">
        <f>TRUNC(F1209+F1210+F1211+F1212+F1213+F1214+F1215+F1216+F1217,0)</f>
        <v>0</v>
      </c>
      <c r="G1208" s="67"/>
      <c r="H1208" s="68">
        <f>TRUNC(H1209+H1210+H1211+H1212+H1213+H1214+H1215+H1216+H1217,0)</f>
        <v>722721930</v>
      </c>
      <c r="I1208" s="67"/>
      <c r="J1208" s="68">
        <f>TRUNC(J1209+J1210+J1211+J1212+J1213+J1214+J1215+J1216+J1217,0)</f>
        <v>0</v>
      </c>
      <c r="K1208" s="68">
        <f t="shared" si="172"/>
        <v>0</v>
      </c>
      <c r="L1208" s="68">
        <f t="shared" si="172"/>
        <v>722721930</v>
      </c>
      <c r="M1208" s="69"/>
      <c r="N1208" s="256"/>
    </row>
    <row r="1209" spans="1:15" s="29" customFormat="1" ht="24.95" customHeight="1">
      <c r="A1209" s="31" t="s">
        <v>1839</v>
      </c>
      <c r="B1209" s="32" t="s">
        <v>1840</v>
      </c>
      <c r="C1209" s="33">
        <v>22080</v>
      </c>
      <c r="D1209" s="34" t="s">
        <v>847</v>
      </c>
      <c r="E1209" s="36">
        <v>0</v>
      </c>
      <c r="F1209" s="36">
        <f t="shared" ref="F1209:F1217" si="176">TRUNC(E1209*$C1209,0)</f>
        <v>0</v>
      </c>
      <c r="G1209" s="36">
        <v>7081</v>
      </c>
      <c r="H1209" s="36">
        <f t="shared" ref="H1209:H1217" si="177">TRUNC(G1209*$C1209,0)</f>
        <v>156348480</v>
      </c>
      <c r="I1209" s="36">
        <v>0</v>
      </c>
      <c r="J1209" s="36">
        <f t="shared" ref="J1209:J1217" si="178">TRUNC(I1209*$C1209,0)</f>
        <v>0</v>
      </c>
      <c r="K1209" s="36">
        <f t="shared" si="172"/>
        <v>7081</v>
      </c>
      <c r="L1209" s="36">
        <f t="shared" si="172"/>
        <v>156348480</v>
      </c>
      <c r="M1209" s="37"/>
      <c r="N1209" s="253"/>
      <c r="O1209" s="38"/>
    </row>
    <row r="1210" spans="1:15" s="29" customFormat="1" ht="24.95" customHeight="1">
      <c r="A1210" s="31" t="s">
        <v>1841</v>
      </c>
      <c r="B1210" s="32" t="s">
        <v>1842</v>
      </c>
      <c r="C1210" s="33">
        <v>22080</v>
      </c>
      <c r="D1210" s="34" t="s">
        <v>847</v>
      </c>
      <c r="E1210" s="36">
        <v>0</v>
      </c>
      <c r="F1210" s="36">
        <f t="shared" si="176"/>
        <v>0</v>
      </c>
      <c r="G1210" s="36">
        <v>7914</v>
      </c>
      <c r="H1210" s="36">
        <f t="shared" si="177"/>
        <v>174741120</v>
      </c>
      <c r="I1210" s="36">
        <v>0</v>
      </c>
      <c r="J1210" s="36">
        <f t="shared" si="178"/>
        <v>0</v>
      </c>
      <c r="K1210" s="36">
        <f t="shared" si="172"/>
        <v>7914</v>
      </c>
      <c r="L1210" s="36">
        <f t="shared" si="172"/>
        <v>174741120</v>
      </c>
      <c r="M1210" s="37"/>
      <c r="N1210" s="253"/>
      <c r="O1210" s="38"/>
    </row>
    <row r="1211" spans="1:15" s="29" customFormat="1" ht="24.95" customHeight="1">
      <c r="A1211" s="31" t="s">
        <v>1843</v>
      </c>
      <c r="B1211" s="32" t="s">
        <v>1840</v>
      </c>
      <c r="C1211" s="33">
        <v>166</v>
      </c>
      <c r="D1211" s="34" t="s">
        <v>847</v>
      </c>
      <c r="E1211" s="36">
        <v>0</v>
      </c>
      <c r="F1211" s="36">
        <f t="shared" si="176"/>
        <v>0</v>
      </c>
      <c r="G1211" s="36">
        <v>14995</v>
      </c>
      <c r="H1211" s="36">
        <f t="shared" si="177"/>
        <v>2489170</v>
      </c>
      <c r="I1211" s="36">
        <v>0</v>
      </c>
      <c r="J1211" s="36">
        <f t="shared" si="178"/>
        <v>0</v>
      </c>
      <c r="K1211" s="36">
        <f t="shared" si="172"/>
        <v>14995</v>
      </c>
      <c r="L1211" s="36">
        <f t="shared" si="172"/>
        <v>2489170</v>
      </c>
      <c r="M1211" s="37"/>
      <c r="N1211" s="253"/>
      <c r="O1211" s="38"/>
    </row>
    <row r="1212" spans="1:15" s="29" customFormat="1" ht="24.95" customHeight="1">
      <c r="A1212" s="31" t="s">
        <v>1844</v>
      </c>
      <c r="B1212" s="32" t="s">
        <v>1842</v>
      </c>
      <c r="C1212" s="33">
        <v>166</v>
      </c>
      <c r="D1212" s="34" t="s">
        <v>847</v>
      </c>
      <c r="E1212" s="36">
        <v>0</v>
      </c>
      <c r="F1212" s="36">
        <f t="shared" si="176"/>
        <v>0</v>
      </c>
      <c r="G1212" s="36">
        <v>15828</v>
      </c>
      <c r="H1212" s="36">
        <f t="shared" si="177"/>
        <v>2627448</v>
      </c>
      <c r="I1212" s="36">
        <v>0</v>
      </c>
      <c r="J1212" s="36">
        <f t="shared" si="178"/>
        <v>0</v>
      </c>
      <c r="K1212" s="36">
        <f t="shared" si="172"/>
        <v>15828</v>
      </c>
      <c r="L1212" s="36">
        <f t="shared" si="172"/>
        <v>2627448</v>
      </c>
      <c r="M1212" s="37"/>
      <c r="N1212" s="253"/>
      <c r="O1212" s="38"/>
    </row>
    <row r="1213" spans="1:15" s="29" customFormat="1" ht="24.95" customHeight="1">
      <c r="A1213" s="31" t="s">
        <v>1845</v>
      </c>
      <c r="B1213" s="32" t="s">
        <v>1846</v>
      </c>
      <c r="C1213" s="33">
        <v>145</v>
      </c>
      <c r="D1213" s="34" t="s">
        <v>815</v>
      </c>
      <c r="E1213" s="36">
        <v>0</v>
      </c>
      <c r="F1213" s="36">
        <f t="shared" si="176"/>
        <v>0</v>
      </c>
      <c r="G1213" s="36">
        <v>154118</v>
      </c>
      <c r="H1213" s="36">
        <f t="shared" si="177"/>
        <v>22347110</v>
      </c>
      <c r="I1213" s="36">
        <v>0</v>
      </c>
      <c r="J1213" s="36">
        <f t="shared" si="178"/>
        <v>0</v>
      </c>
      <c r="K1213" s="36">
        <f t="shared" si="172"/>
        <v>154118</v>
      </c>
      <c r="L1213" s="36">
        <f t="shared" si="172"/>
        <v>22347110</v>
      </c>
      <c r="M1213" s="37"/>
      <c r="N1213" s="253"/>
      <c r="O1213" s="38"/>
    </row>
    <row r="1214" spans="1:15" s="29" customFormat="1" ht="24.95" customHeight="1">
      <c r="A1214" s="31" t="s">
        <v>1847</v>
      </c>
      <c r="B1214" s="32" t="s">
        <v>1848</v>
      </c>
      <c r="C1214" s="33">
        <v>6349</v>
      </c>
      <c r="D1214" s="34" t="s">
        <v>1116</v>
      </c>
      <c r="E1214" s="36">
        <v>0</v>
      </c>
      <c r="F1214" s="36">
        <f t="shared" si="176"/>
        <v>0</v>
      </c>
      <c r="G1214" s="36">
        <v>2082</v>
      </c>
      <c r="H1214" s="36">
        <f t="shared" si="177"/>
        <v>13218618</v>
      </c>
      <c r="I1214" s="36">
        <v>0</v>
      </c>
      <c r="J1214" s="36">
        <f t="shared" si="178"/>
        <v>0</v>
      </c>
      <c r="K1214" s="36">
        <f t="shared" si="172"/>
        <v>2082</v>
      </c>
      <c r="L1214" s="36">
        <f t="shared" si="172"/>
        <v>13218618</v>
      </c>
      <c r="M1214" s="37"/>
      <c r="N1214" s="253"/>
      <c r="O1214" s="38"/>
    </row>
    <row r="1215" spans="1:15" s="29" customFormat="1" ht="24.95" customHeight="1">
      <c r="A1215" s="31" t="s">
        <v>1849</v>
      </c>
      <c r="B1215" s="32" t="s">
        <v>1848</v>
      </c>
      <c r="C1215" s="33">
        <v>2664</v>
      </c>
      <c r="D1215" s="34" t="s">
        <v>1116</v>
      </c>
      <c r="E1215" s="36">
        <v>0</v>
      </c>
      <c r="F1215" s="36">
        <f t="shared" si="176"/>
        <v>0</v>
      </c>
      <c r="G1215" s="36">
        <v>2082</v>
      </c>
      <c r="H1215" s="36">
        <f t="shared" si="177"/>
        <v>5546448</v>
      </c>
      <c r="I1215" s="36">
        <v>0</v>
      </c>
      <c r="J1215" s="36">
        <f t="shared" si="178"/>
        <v>0</v>
      </c>
      <c r="K1215" s="36">
        <f t="shared" si="172"/>
        <v>2082</v>
      </c>
      <c r="L1215" s="36">
        <f t="shared" si="172"/>
        <v>5546448</v>
      </c>
      <c r="M1215" s="37"/>
      <c r="N1215" s="253"/>
      <c r="O1215" s="38"/>
    </row>
    <row r="1216" spans="1:15" s="29" customFormat="1" ht="24.95" customHeight="1">
      <c r="A1216" s="31" t="s">
        <v>1850</v>
      </c>
      <c r="B1216" s="32" t="s">
        <v>1851</v>
      </c>
      <c r="C1216" s="33">
        <v>8861</v>
      </c>
      <c r="D1216" s="34" t="s">
        <v>1116</v>
      </c>
      <c r="E1216" s="36">
        <v>0</v>
      </c>
      <c r="F1216" s="36">
        <f t="shared" si="176"/>
        <v>0</v>
      </c>
      <c r="G1216" s="36">
        <v>37488</v>
      </c>
      <c r="H1216" s="36">
        <f t="shared" si="177"/>
        <v>332181168</v>
      </c>
      <c r="I1216" s="36">
        <v>0</v>
      </c>
      <c r="J1216" s="36">
        <f t="shared" si="178"/>
        <v>0</v>
      </c>
      <c r="K1216" s="36">
        <f t="shared" si="172"/>
        <v>37488</v>
      </c>
      <c r="L1216" s="36">
        <f t="shared" si="172"/>
        <v>332181168</v>
      </c>
      <c r="M1216" s="37"/>
      <c r="N1216" s="253"/>
      <c r="O1216" s="38"/>
    </row>
    <row r="1217" spans="1:15" s="29" customFormat="1" ht="24.95" customHeight="1">
      <c r="A1217" s="31" t="s">
        <v>1852</v>
      </c>
      <c r="B1217" s="32" t="s">
        <v>1853</v>
      </c>
      <c r="C1217" s="33">
        <v>496</v>
      </c>
      <c r="D1217" s="34" t="s">
        <v>1116</v>
      </c>
      <c r="E1217" s="36">
        <v>0</v>
      </c>
      <c r="F1217" s="36">
        <f t="shared" si="176"/>
        <v>0</v>
      </c>
      <c r="G1217" s="36">
        <v>26658</v>
      </c>
      <c r="H1217" s="36">
        <f t="shared" si="177"/>
        <v>13222368</v>
      </c>
      <c r="I1217" s="36">
        <v>0</v>
      </c>
      <c r="J1217" s="36">
        <f t="shared" si="178"/>
        <v>0</v>
      </c>
      <c r="K1217" s="36">
        <f t="shared" si="172"/>
        <v>26658</v>
      </c>
      <c r="L1217" s="36">
        <f t="shared" si="172"/>
        <v>13222368</v>
      </c>
      <c r="M1217" s="37"/>
      <c r="N1217" s="253"/>
      <c r="O1217" s="38"/>
    </row>
    <row r="1218" spans="1:15" s="70" customFormat="1" ht="24.95" customHeight="1">
      <c r="A1218" s="64" t="s">
        <v>1854</v>
      </c>
      <c r="B1218" s="65" t="s">
        <v>22</v>
      </c>
      <c r="C1218" s="66"/>
      <c r="D1218" s="67" t="s">
        <v>22</v>
      </c>
      <c r="E1218" s="67"/>
      <c r="F1218" s="68">
        <f>TRUNC(F1219+F1220+F1221+F1222+F1223+F1224+F1225+F1226+F1227+F1228+F1229+F1230+F1231+F1232,0)</f>
        <v>0</v>
      </c>
      <c r="G1218" s="67"/>
      <c r="H1218" s="68">
        <f>TRUNC(H1219+H1220+H1221+H1222+H1223+H1224+H1225+H1226+H1227+H1228+H1229+H1230+H1231+H1232,0)</f>
        <v>677077893</v>
      </c>
      <c r="I1218" s="67"/>
      <c r="J1218" s="68">
        <f>TRUNC(J1219+J1220+J1221+J1222+J1223+J1224+J1225+J1226+J1227+J1228+J1229+J1230+J1231+J1232,0)</f>
        <v>0</v>
      </c>
      <c r="K1218" s="68">
        <f t="shared" si="172"/>
        <v>0</v>
      </c>
      <c r="L1218" s="68">
        <f t="shared" si="172"/>
        <v>677077893</v>
      </c>
      <c r="M1218" s="69"/>
      <c r="N1218" s="256"/>
    </row>
    <row r="1219" spans="1:15" s="29" customFormat="1" ht="24.95" customHeight="1">
      <c r="A1219" s="31" t="s">
        <v>1855</v>
      </c>
      <c r="B1219" s="32" t="s">
        <v>1856</v>
      </c>
      <c r="C1219" s="33">
        <v>15223</v>
      </c>
      <c r="D1219" s="34" t="s">
        <v>1116</v>
      </c>
      <c r="E1219" s="36">
        <v>0</v>
      </c>
      <c r="F1219" s="36">
        <f t="shared" ref="F1219:F1232" si="179">TRUNC(E1219*$C1219,0)</f>
        <v>0</v>
      </c>
      <c r="G1219" s="36">
        <v>18794</v>
      </c>
      <c r="H1219" s="36">
        <f t="shared" ref="H1219:H1232" si="180">TRUNC(G1219*$C1219,0)</f>
        <v>286101062</v>
      </c>
      <c r="I1219" s="36">
        <v>0</v>
      </c>
      <c r="J1219" s="36">
        <f t="shared" ref="J1219:J1232" si="181">TRUNC(I1219*$C1219,0)</f>
        <v>0</v>
      </c>
      <c r="K1219" s="36">
        <f t="shared" si="172"/>
        <v>18794</v>
      </c>
      <c r="L1219" s="36">
        <f t="shared" si="172"/>
        <v>286101062</v>
      </c>
      <c r="M1219" s="37"/>
      <c r="N1219" s="253"/>
      <c r="O1219" s="38"/>
    </row>
    <row r="1220" spans="1:15" s="29" customFormat="1" ht="24.95" customHeight="1">
      <c r="A1220" s="31" t="s">
        <v>1857</v>
      </c>
      <c r="B1220" s="32" t="s">
        <v>1856</v>
      </c>
      <c r="C1220" s="33">
        <v>2270</v>
      </c>
      <c r="D1220" s="34" t="s">
        <v>1116</v>
      </c>
      <c r="E1220" s="36">
        <v>0</v>
      </c>
      <c r="F1220" s="36">
        <f t="shared" si="179"/>
        <v>0</v>
      </c>
      <c r="G1220" s="36">
        <v>33489</v>
      </c>
      <c r="H1220" s="36">
        <f t="shared" si="180"/>
        <v>76020030</v>
      </c>
      <c r="I1220" s="36">
        <v>0</v>
      </c>
      <c r="J1220" s="36">
        <f t="shared" si="181"/>
        <v>0</v>
      </c>
      <c r="K1220" s="36">
        <f t="shared" ref="K1220:L1239" si="182">G1220+E1220+I1220</f>
        <v>33489</v>
      </c>
      <c r="L1220" s="36">
        <f t="shared" si="182"/>
        <v>76020030</v>
      </c>
      <c r="M1220" s="37"/>
      <c r="N1220" s="253"/>
      <c r="O1220" s="38"/>
    </row>
    <row r="1221" spans="1:15" s="29" customFormat="1" ht="24.95" customHeight="1">
      <c r="A1221" s="31" t="s">
        <v>1858</v>
      </c>
      <c r="B1221" s="32" t="s">
        <v>1859</v>
      </c>
      <c r="C1221" s="33">
        <v>4230</v>
      </c>
      <c r="D1221" s="34" t="s">
        <v>1116</v>
      </c>
      <c r="E1221" s="36">
        <v>0</v>
      </c>
      <c r="F1221" s="36">
        <f t="shared" si="179"/>
        <v>0</v>
      </c>
      <c r="G1221" s="36">
        <v>28324</v>
      </c>
      <c r="H1221" s="36">
        <f t="shared" si="180"/>
        <v>119810520</v>
      </c>
      <c r="I1221" s="36">
        <v>0</v>
      </c>
      <c r="J1221" s="36">
        <f t="shared" si="181"/>
        <v>0</v>
      </c>
      <c r="K1221" s="36">
        <f t="shared" si="182"/>
        <v>28324</v>
      </c>
      <c r="L1221" s="36">
        <f t="shared" si="182"/>
        <v>119810520</v>
      </c>
      <c r="M1221" s="37"/>
      <c r="N1221" s="253"/>
      <c r="O1221" s="38"/>
    </row>
    <row r="1222" spans="1:15" s="29" customFormat="1" ht="24.95" customHeight="1">
      <c r="A1222" s="31" t="s">
        <v>1860</v>
      </c>
      <c r="B1222" s="32" t="s">
        <v>1859</v>
      </c>
      <c r="C1222" s="33">
        <v>101</v>
      </c>
      <c r="D1222" s="34" t="s">
        <v>1116</v>
      </c>
      <c r="E1222" s="36">
        <v>0</v>
      </c>
      <c r="F1222" s="36">
        <f t="shared" si="179"/>
        <v>0</v>
      </c>
      <c r="G1222" s="36">
        <v>42686</v>
      </c>
      <c r="H1222" s="36">
        <f t="shared" si="180"/>
        <v>4311286</v>
      </c>
      <c r="I1222" s="36">
        <v>0</v>
      </c>
      <c r="J1222" s="36">
        <f t="shared" si="181"/>
        <v>0</v>
      </c>
      <c r="K1222" s="36">
        <f t="shared" si="182"/>
        <v>42686</v>
      </c>
      <c r="L1222" s="36">
        <f t="shared" si="182"/>
        <v>4311286</v>
      </c>
      <c r="M1222" s="37"/>
      <c r="N1222" s="253"/>
      <c r="O1222" s="38"/>
    </row>
    <row r="1223" spans="1:15" s="29" customFormat="1" ht="24.95" customHeight="1">
      <c r="A1223" s="31" t="s">
        <v>1861</v>
      </c>
      <c r="B1223" s="32" t="s">
        <v>1862</v>
      </c>
      <c r="C1223" s="33">
        <v>85</v>
      </c>
      <c r="D1223" s="34" t="s">
        <v>1116</v>
      </c>
      <c r="E1223" s="36">
        <v>0</v>
      </c>
      <c r="F1223" s="36">
        <f t="shared" si="179"/>
        <v>0</v>
      </c>
      <c r="G1223" s="36">
        <v>21809</v>
      </c>
      <c r="H1223" s="36">
        <f t="shared" si="180"/>
        <v>1853765</v>
      </c>
      <c r="I1223" s="36">
        <v>0</v>
      </c>
      <c r="J1223" s="36">
        <f t="shared" si="181"/>
        <v>0</v>
      </c>
      <c r="K1223" s="36">
        <f t="shared" si="182"/>
        <v>21809</v>
      </c>
      <c r="L1223" s="36">
        <f t="shared" si="182"/>
        <v>1853765</v>
      </c>
      <c r="M1223" s="37"/>
      <c r="N1223" s="253"/>
      <c r="O1223" s="38"/>
    </row>
    <row r="1224" spans="1:15" s="29" customFormat="1" ht="24.95" customHeight="1">
      <c r="A1224" s="31" t="s">
        <v>1863</v>
      </c>
      <c r="B1224" s="32" t="s">
        <v>1862</v>
      </c>
      <c r="C1224" s="33">
        <v>118</v>
      </c>
      <c r="D1224" s="34" t="s">
        <v>1116</v>
      </c>
      <c r="E1224" s="36">
        <v>0</v>
      </c>
      <c r="F1224" s="36">
        <f t="shared" si="179"/>
        <v>0</v>
      </c>
      <c r="G1224" s="36">
        <v>34056</v>
      </c>
      <c r="H1224" s="36">
        <f t="shared" si="180"/>
        <v>4018608</v>
      </c>
      <c r="I1224" s="36">
        <v>0</v>
      </c>
      <c r="J1224" s="36">
        <f t="shared" si="181"/>
        <v>0</v>
      </c>
      <c r="K1224" s="36">
        <f t="shared" si="182"/>
        <v>34056</v>
      </c>
      <c r="L1224" s="36">
        <f t="shared" si="182"/>
        <v>4018608</v>
      </c>
      <c r="M1224" s="37"/>
      <c r="N1224" s="253"/>
      <c r="O1224" s="38"/>
    </row>
    <row r="1225" spans="1:15" s="29" customFormat="1" ht="24.95" customHeight="1">
      <c r="A1225" s="31" t="s">
        <v>1864</v>
      </c>
      <c r="B1225" s="32" t="s">
        <v>1865</v>
      </c>
      <c r="C1225" s="33">
        <v>12</v>
      </c>
      <c r="D1225" s="34" t="s">
        <v>1116</v>
      </c>
      <c r="E1225" s="36">
        <v>0</v>
      </c>
      <c r="F1225" s="36">
        <f t="shared" si="179"/>
        <v>0</v>
      </c>
      <c r="G1225" s="36">
        <v>27566</v>
      </c>
      <c r="H1225" s="36">
        <f t="shared" si="180"/>
        <v>330792</v>
      </c>
      <c r="I1225" s="36">
        <v>0</v>
      </c>
      <c r="J1225" s="36">
        <f t="shared" si="181"/>
        <v>0</v>
      </c>
      <c r="K1225" s="36">
        <f t="shared" si="182"/>
        <v>27566</v>
      </c>
      <c r="L1225" s="36">
        <f t="shared" si="182"/>
        <v>330792</v>
      </c>
      <c r="M1225" s="37"/>
      <c r="N1225" s="253"/>
      <c r="O1225" s="38"/>
    </row>
    <row r="1226" spans="1:15" s="29" customFormat="1" ht="24.95" customHeight="1">
      <c r="A1226" s="31" t="s">
        <v>1866</v>
      </c>
      <c r="B1226" s="32" t="s">
        <v>1865</v>
      </c>
      <c r="C1226" s="33">
        <v>32</v>
      </c>
      <c r="D1226" s="34" t="s">
        <v>1116</v>
      </c>
      <c r="E1226" s="36">
        <v>0</v>
      </c>
      <c r="F1226" s="36">
        <f t="shared" si="179"/>
        <v>0</v>
      </c>
      <c r="G1226" s="36">
        <v>39612</v>
      </c>
      <c r="H1226" s="36">
        <f t="shared" si="180"/>
        <v>1267584</v>
      </c>
      <c r="I1226" s="36">
        <v>0</v>
      </c>
      <c r="J1226" s="36">
        <f t="shared" si="181"/>
        <v>0</v>
      </c>
      <c r="K1226" s="36">
        <f t="shared" si="182"/>
        <v>39612</v>
      </c>
      <c r="L1226" s="36">
        <f t="shared" si="182"/>
        <v>1267584</v>
      </c>
      <c r="M1226" s="37"/>
      <c r="N1226" s="253"/>
      <c r="O1226" s="38"/>
    </row>
    <row r="1227" spans="1:15" s="29" customFormat="1" ht="24.95" customHeight="1">
      <c r="A1227" s="31" t="s">
        <v>1867</v>
      </c>
      <c r="B1227" s="32" t="s">
        <v>1868</v>
      </c>
      <c r="C1227" s="33">
        <v>190</v>
      </c>
      <c r="D1227" s="34" t="s">
        <v>1116</v>
      </c>
      <c r="E1227" s="36">
        <v>0</v>
      </c>
      <c r="F1227" s="36">
        <f t="shared" si="179"/>
        <v>0</v>
      </c>
      <c r="G1227" s="36">
        <v>11396</v>
      </c>
      <c r="H1227" s="36">
        <f t="shared" si="180"/>
        <v>2165240</v>
      </c>
      <c r="I1227" s="36">
        <v>0</v>
      </c>
      <c r="J1227" s="36">
        <f t="shared" si="181"/>
        <v>0</v>
      </c>
      <c r="K1227" s="36">
        <f t="shared" si="182"/>
        <v>11396</v>
      </c>
      <c r="L1227" s="36">
        <f t="shared" si="182"/>
        <v>2165240</v>
      </c>
      <c r="M1227" s="37"/>
      <c r="N1227" s="253"/>
      <c r="O1227" s="38"/>
    </row>
    <row r="1228" spans="1:15" s="29" customFormat="1" ht="24.95" customHeight="1">
      <c r="A1228" s="31" t="s">
        <v>1869</v>
      </c>
      <c r="B1228" s="32" t="s">
        <v>1868</v>
      </c>
      <c r="C1228" s="33">
        <v>832</v>
      </c>
      <c r="D1228" s="34" t="s">
        <v>1116</v>
      </c>
      <c r="E1228" s="36">
        <v>0</v>
      </c>
      <c r="F1228" s="36">
        <f t="shared" si="179"/>
        <v>0</v>
      </c>
      <c r="G1228" s="36">
        <v>18244</v>
      </c>
      <c r="H1228" s="36">
        <f t="shared" si="180"/>
        <v>15179008</v>
      </c>
      <c r="I1228" s="36">
        <v>0</v>
      </c>
      <c r="J1228" s="36">
        <f t="shared" si="181"/>
        <v>0</v>
      </c>
      <c r="K1228" s="36">
        <f t="shared" si="182"/>
        <v>18244</v>
      </c>
      <c r="L1228" s="36">
        <f t="shared" si="182"/>
        <v>15179008</v>
      </c>
      <c r="M1228" s="37"/>
      <c r="N1228" s="253"/>
      <c r="O1228" s="38"/>
    </row>
    <row r="1229" spans="1:15" s="29" customFormat="1" ht="24.95" customHeight="1">
      <c r="A1229" s="31" t="s">
        <v>1870</v>
      </c>
      <c r="B1229" s="32" t="s">
        <v>1871</v>
      </c>
      <c r="C1229" s="33">
        <v>31</v>
      </c>
      <c r="D1229" s="34" t="s">
        <v>1116</v>
      </c>
      <c r="E1229" s="36">
        <v>0</v>
      </c>
      <c r="F1229" s="36">
        <f t="shared" si="179"/>
        <v>0</v>
      </c>
      <c r="G1229" s="36">
        <v>12396</v>
      </c>
      <c r="H1229" s="36">
        <f t="shared" si="180"/>
        <v>384276</v>
      </c>
      <c r="I1229" s="36">
        <v>0</v>
      </c>
      <c r="J1229" s="36">
        <f t="shared" si="181"/>
        <v>0</v>
      </c>
      <c r="K1229" s="36">
        <f t="shared" si="182"/>
        <v>12396</v>
      </c>
      <c r="L1229" s="36">
        <f t="shared" si="182"/>
        <v>384276</v>
      </c>
      <c r="M1229" s="37"/>
      <c r="N1229" s="253"/>
      <c r="O1229" s="38"/>
    </row>
    <row r="1230" spans="1:15" s="29" customFormat="1" ht="24.95" customHeight="1">
      <c r="A1230" s="31" t="s">
        <v>1872</v>
      </c>
      <c r="B1230" s="32" t="s">
        <v>1871</v>
      </c>
      <c r="C1230" s="33">
        <v>136</v>
      </c>
      <c r="D1230" s="34" t="s">
        <v>1116</v>
      </c>
      <c r="E1230" s="36">
        <v>0</v>
      </c>
      <c r="F1230" s="36">
        <f t="shared" si="179"/>
        <v>0</v>
      </c>
      <c r="G1230" s="36">
        <v>18002</v>
      </c>
      <c r="H1230" s="36">
        <f t="shared" si="180"/>
        <v>2448272</v>
      </c>
      <c r="I1230" s="36">
        <v>0</v>
      </c>
      <c r="J1230" s="36">
        <f t="shared" si="181"/>
        <v>0</v>
      </c>
      <c r="K1230" s="36">
        <f t="shared" si="182"/>
        <v>18002</v>
      </c>
      <c r="L1230" s="36">
        <f t="shared" si="182"/>
        <v>2448272</v>
      </c>
      <c r="M1230" s="37"/>
      <c r="N1230" s="253"/>
      <c r="O1230" s="38"/>
    </row>
    <row r="1231" spans="1:15" s="29" customFormat="1" ht="24.95" customHeight="1">
      <c r="A1231" s="31" t="s">
        <v>1873</v>
      </c>
      <c r="B1231" s="32" t="s">
        <v>1874</v>
      </c>
      <c r="C1231" s="33">
        <v>5702</v>
      </c>
      <c r="D1231" s="34" t="s">
        <v>1116</v>
      </c>
      <c r="E1231" s="36">
        <v>0</v>
      </c>
      <c r="F1231" s="36">
        <f t="shared" si="179"/>
        <v>0</v>
      </c>
      <c r="G1231" s="36">
        <v>12995</v>
      </c>
      <c r="H1231" s="36">
        <f t="shared" si="180"/>
        <v>74097490</v>
      </c>
      <c r="I1231" s="36">
        <v>0</v>
      </c>
      <c r="J1231" s="36">
        <f t="shared" si="181"/>
        <v>0</v>
      </c>
      <c r="K1231" s="36">
        <f t="shared" si="182"/>
        <v>12995</v>
      </c>
      <c r="L1231" s="36">
        <f t="shared" si="182"/>
        <v>74097490</v>
      </c>
      <c r="M1231" s="37"/>
      <c r="N1231" s="253"/>
      <c r="O1231" s="38"/>
    </row>
    <row r="1232" spans="1:15" s="29" customFormat="1" ht="24.95" customHeight="1">
      <c r="A1232" s="31" t="s">
        <v>1875</v>
      </c>
      <c r="B1232" s="32" t="s">
        <v>1874</v>
      </c>
      <c r="C1232" s="33">
        <v>23770</v>
      </c>
      <c r="D1232" s="34" t="s">
        <v>1116</v>
      </c>
      <c r="E1232" s="36">
        <v>0</v>
      </c>
      <c r="F1232" s="36">
        <f t="shared" si="179"/>
        <v>0</v>
      </c>
      <c r="G1232" s="36">
        <v>3748</v>
      </c>
      <c r="H1232" s="36">
        <f t="shared" si="180"/>
        <v>89089960</v>
      </c>
      <c r="I1232" s="36">
        <v>0</v>
      </c>
      <c r="J1232" s="36">
        <f t="shared" si="181"/>
        <v>0</v>
      </c>
      <c r="K1232" s="36">
        <f t="shared" si="182"/>
        <v>3748</v>
      </c>
      <c r="L1232" s="36">
        <f t="shared" si="182"/>
        <v>89089960</v>
      </c>
      <c r="M1232" s="37"/>
      <c r="N1232" s="253"/>
      <c r="O1232" s="38"/>
    </row>
    <row r="1233" spans="1:15" s="70" customFormat="1" ht="24.95" customHeight="1">
      <c r="A1233" s="64" t="s">
        <v>1876</v>
      </c>
      <c r="B1233" s="65" t="s">
        <v>22</v>
      </c>
      <c r="C1233" s="66"/>
      <c r="D1233" s="67" t="s">
        <v>22</v>
      </c>
      <c r="E1233" s="67"/>
      <c r="F1233" s="68">
        <f>TRUNC(F1234+F1235,0)</f>
        <v>0</v>
      </c>
      <c r="G1233" s="67"/>
      <c r="H1233" s="68">
        <f>TRUNC(H1234+H1235,0)</f>
        <v>343636911</v>
      </c>
      <c r="I1233" s="67"/>
      <c r="J1233" s="68">
        <f>TRUNC(J1234+J1235,0)</f>
        <v>0</v>
      </c>
      <c r="K1233" s="68">
        <f t="shared" si="182"/>
        <v>0</v>
      </c>
      <c r="L1233" s="68">
        <f t="shared" si="182"/>
        <v>343636911</v>
      </c>
      <c r="M1233" s="69"/>
      <c r="N1233" s="256"/>
    </row>
    <row r="1234" spans="1:15" s="29" customFormat="1" ht="24.95" customHeight="1">
      <c r="A1234" s="31" t="s">
        <v>1587</v>
      </c>
      <c r="B1234" s="32" t="s">
        <v>1259</v>
      </c>
      <c r="C1234" s="33">
        <v>49</v>
      </c>
      <c r="D1234" s="34" t="s">
        <v>815</v>
      </c>
      <c r="E1234" s="36">
        <v>0</v>
      </c>
      <c r="F1234" s="36">
        <f>TRUNC(E1234*$C1234,0)</f>
        <v>0</v>
      </c>
      <c r="G1234" s="36">
        <v>81324</v>
      </c>
      <c r="H1234" s="36">
        <f>TRUNC(G1234*$C1234,0)</f>
        <v>3984876</v>
      </c>
      <c r="I1234" s="36">
        <v>0</v>
      </c>
      <c r="J1234" s="36">
        <f>TRUNC(I1234*$C1234,0)</f>
        <v>0</v>
      </c>
      <c r="K1234" s="36">
        <f t="shared" si="182"/>
        <v>81324</v>
      </c>
      <c r="L1234" s="36">
        <f t="shared" si="182"/>
        <v>3984876</v>
      </c>
      <c r="M1234" s="37"/>
      <c r="N1234" s="253"/>
      <c r="O1234" s="38"/>
    </row>
    <row r="1235" spans="1:15" s="29" customFormat="1" ht="24.95" customHeight="1">
      <c r="A1235" s="31" t="s">
        <v>1877</v>
      </c>
      <c r="B1235" s="32" t="s">
        <v>1258</v>
      </c>
      <c r="C1235" s="33">
        <v>4005</v>
      </c>
      <c r="D1235" s="34" t="s">
        <v>815</v>
      </c>
      <c r="E1235" s="36">
        <v>0</v>
      </c>
      <c r="F1235" s="36">
        <f>TRUNC(E1235*$C1235,0)</f>
        <v>0</v>
      </c>
      <c r="G1235" s="36">
        <v>84807</v>
      </c>
      <c r="H1235" s="36">
        <f>TRUNC(G1235*$C1235,0)</f>
        <v>339652035</v>
      </c>
      <c r="I1235" s="36">
        <v>0</v>
      </c>
      <c r="J1235" s="36">
        <f>TRUNC(I1235*$C1235,0)</f>
        <v>0</v>
      </c>
      <c r="K1235" s="36">
        <f t="shared" si="182"/>
        <v>84807</v>
      </c>
      <c r="L1235" s="36">
        <f t="shared" si="182"/>
        <v>339652035</v>
      </c>
      <c r="M1235" s="37"/>
      <c r="N1235" s="253"/>
      <c r="O1235" s="38"/>
    </row>
    <row r="1236" spans="1:15" s="70" customFormat="1" ht="24.95" customHeight="1">
      <c r="A1236" s="64" t="s">
        <v>1878</v>
      </c>
      <c r="B1236" s="65" t="s">
        <v>22</v>
      </c>
      <c r="C1236" s="66"/>
      <c r="D1236" s="67" t="s">
        <v>22</v>
      </c>
      <c r="E1236" s="67"/>
      <c r="F1236" s="68">
        <f>TRUNC(F1237+F1238,0)</f>
        <v>0</v>
      </c>
      <c r="G1236" s="67"/>
      <c r="H1236" s="68">
        <f>TRUNC(H1237+H1238,0)</f>
        <v>1149491</v>
      </c>
      <c r="I1236" s="67"/>
      <c r="J1236" s="68">
        <f>TRUNC(J1237+J1238,0)</f>
        <v>0</v>
      </c>
      <c r="K1236" s="68">
        <f t="shared" si="182"/>
        <v>0</v>
      </c>
      <c r="L1236" s="68">
        <f t="shared" si="182"/>
        <v>1149491</v>
      </c>
      <c r="M1236" s="69"/>
      <c r="N1236" s="256"/>
    </row>
    <row r="1237" spans="1:15" s="29" customFormat="1" ht="24.95" customHeight="1">
      <c r="A1237" s="31" t="s">
        <v>1879</v>
      </c>
      <c r="B1237" s="32" t="s">
        <v>1596</v>
      </c>
      <c r="C1237" s="261">
        <v>0.20399999999999999</v>
      </c>
      <c r="D1237" s="34" t="s">
        <v>1597</v>
      </c>
      <c r="E1237" s="36">
        <v>0</v>
      </c>
      <c r="F1237" s="36">
        <f>TRUNC(E1237*$C1237,0)</f>
        <v>0</v>
      </c>
      <c r="G1237" s="36">
        <v>762263</v>
      </c>
      <c r="H1237" s="36">
        <f>TRUNC(G1237*$C1237,0)</f>
        <v>155501</v>
      </c>
      <c r="I1237" s="36">
        <v>0</v>
      </c>
      <c r="J1237" s="36">
        <f>TRUNC(I1237*$C1237,0)</f>
        <v>0</v>
      </c>
      <c r="K1237" s="36">
        <f t="shared" si="182"/>
        <v>762263</v>
      </c>
      <c r="L1237" s="36">
        <f t="shared" si="182"/>
        <v>155501</v>
      </c>
      <c r="M1237" s="37"/>
      <c r="N1237" s="253"/>
      <c r="O1237" s="38"/>
    </row>
    <row r="1238" spans="1:15" s="29" customFormat="1" ht="24.95" customHeight="1">
      <c r="A1238" s="31" t="s">
        <v>1880</v>
      </c>
      <c r="B1238" s="32" t="s">
        <v>1881</v>
      </c>
      <c r="C1238" s="261">
        <v>1.304</v>
      </c>
      <c r="D1238" s="34" t="s">
        <v>1597</v>
      </c>
      <c r="E1238" s="36">
        <v>0</v>
      </c>
      <c r="F1238" s="36">
        <f>TRUNC(E1238*$C1238,0)</f>
        <v>0</v>
      </c>
      <c r="G1238" s="36">
        <v>762263</v>
      </c>
      <c r="H1238" s="36">
        <f>TRUNC(G1238*$C1238,0)</f>
        <v>993990</v>
      </c>
      <c r="I1238" s="36">
        <v>0</v>
      </c>
      <c r="J1238" s="36">
        <f>TRUNC(I1238*$C1238,0)</f>
        <v>0</v>
      </c>
      <c r="K1238" s="36">
        <f t="shared" si="182"/>
        <v>762263</v>
      </c>
      <c r="L1238" s="36">
        <f t="shared" si="182"/>
        <v>993990</v>
      </c>
      <c r="M1238" s="37"/>
      <c r="N1238" s="253"/>
      <c r="O1238" s="38"/>
    </row>
    <row r="1239" spans="1:15" s="29" customFormat="1" ht="24.95" customHeight="1">
      <c r="A1239" s="31" t="s">
        <v>766</v>
      </c>
      <c r="B1239" s="32" t="s">
        <v>22</v>
      </c>
      <c r="C1239" s="33"/>
      <c r="D1239" s="34" t="s">
        <v>22</v>
      </c>
      <c r="E1239" s="34"/>
      <c r="F1239" s="36">
        <v>0</v>
      </c>
      <c r="G1239" s="34"/>
      <c r="H1239" s="36">
        <v>0</v>
      </c>
      <c r="I1239" s="34"/>
      <c r="J1239" s="36">
        <v>0</v>
      </c>
      <c r="K1239" s="36">
        <f t="shared" si="182"/>
        <v>0</v>
      </c>
      <c r="L1239" s="36">
        <f t="shared" si="182"/>
        <v>0</v>
      </c>
      <c r="M1239" s="37"/>
      <c r="N1239" s="253"/>
    </row>
    <row r="1240" spans="1:15" s="45" customFormat="1" ht="24.95" customHeight="1">
      <c r="A1240" s="39" t="s">
        <v>1882</v>
      </c>
      <c r="B1240" s="40" t="s">
        <v>22</v>
      </c>
      <c r="C1240" s="41">
        <v>1</v>
      </c>
      <c r="D1240" s="42" t="s">
        <v>754</v>
      </c>
      <c r="E1240" s="42"/>
      <c r="F1240" s="43">
        <f>F1241+F1338+F1422+F1424+F1431+F1446+F1450+F1452</f>
        <v>2569518308</v>
      </c>
      <c r="G1240" s="42"/>
      <c r="H1240" s="43">
        <f>H1241+H1338+H1422+H1424+H1431+H1446+H1450+H1452</f>
        <v>1308807381</v>
      </c>
      <c r="I1240" s="42"/>
      <c r="J1240" s="43">
        <f>J1241+J1338+J1422+J1424+J1431+J1446+J1450+J1452</f>
        <v>538865817</v>
      </c>
      <c r="K1240" s="42"/>
      <c r="L1240" s="43">
        <f t="shared" ref="L1240:L1303" si="183">H1240+F1240+J1240</f>
        <v>4417191506</v>
      </c>
      <c r="M1240" s="44"/>
      <c r="N1240" s="253"/>
    </row>
    <row r="1241" spans="1:15" s="63" customFormat="1" ht="24.95" customHeight="1">
      <c r="A1241" s="57" t="s">
        <v>1883</v>
      </c>
      <c r="B1241" s="58" t="s">
        <v>22</v>
      </c>
      <c r="C1241" s="59"/>
      <c r="D1241" s="60" t="s">
        <v>22</v>
      </c>
      <c r="E1241" s="60"/>
      <c r="F1241" s="61">
        <f>F1242+F1246+F1264+F1279+F1293</f>
        <v>214249791</v>
      </c>
      <c r="G1241" s="60"/>
      <c r="H1241" s="61">
        <f>H1242+H1246+H1264+H1279+H1293</f>
        <v>676621548</v>
      </c>
      <c r="I1241" s="60"/>
      <c r="J1241" s="61">
        <f>J1242+J1246+J1264+J1279+J1293</f>
        <v>24534596</v>
      </c>
      <c r="K1241" s="61">
        <f t="shared" ref="K1241:L1304" si="184">G1241+E1241+I1241</f>
        <v>0</v>
      </c>
      <c r="L1241" s="61">
        <f t="shared" si="183"/>
        <v>915405935</v>
      </c>
      <c r="M1241" s="62"/>
      <c r="N1241" s="253"/>
    </row>
    <row r="1242" spans="1:15" s="70" customFormat="1" ht="24.95" customHeight="1">
      <c r="A1242" s="64" t="s">
        <v>1174</v>
      </c>
      <c r="B1242" s="65" t="s">
        <v>22</v>
      </c>
      <c r="C1242" s="66"/>
      <c r="D1242" s="67" t="s">
        <v>22</v>
      </c>
      <c r="E1242" s="67"/>
      <c r="F1242" s="68">
        <f>TRUNC(F1243+F1244+F1245,0)</f>
        <v>23357362</v>
      </c>
      <c r="G1242" s="67"/>
      <c r="H1242" s="68">
        <f>TRUNC(H1243+H1244+H1245,0)</f>
        <v>7846437</v>
      </c>
      <c r="I1242" s="67"/>
      <c r="J1242" s="68">
        <f>TRUNC(J1243+J1244+J1245,0)</f>
        <v>11650408</v>
      </c>
      <c r="K1242" s="68">
        <f t="shared" si="184"/>
        <v>0</v>
      </c>
      <c r="L1242" s="68">
        <f t="shared" si="183"/>
        <v>42854207</v>
      </c>
      <c r="M1242" s="69"/>
      <c r="N1242" s="256"/>
    </row>
    <row r="1243" spans="1:15" s="29" customFormat="1" ht="24.95" customHeight="1">
      <c r="A1243" s="31" t="s">
        <v>867</v>
      </c>
      <c r="B1243" s="32" t="s">
        <v>1710</v>
      </c>
      <c r="C1243" s="33">
        <v>12021</v>
      </c>
      <c r="D1243" s="34" t="s">
        <v>820</v>
      </c>
      <c r="E1243" s="36">
        <v>1402</v>
      </c>
      <c r="F1243" s="36">
        <f>TRUNC(E1243*$C1243,0)</f>
        <v>16853442</v>
      </c>
      <c r="G1243" s="36">
        <v>507</v>
      </c>
      <c r="H1243" s="36">
        <f>TRUNC(G1243*$C1243,0)</f>
        <v>6094647</v>
      </c>
      <c r="I1243" s="36">
        <v>788</v>
      </c>
      <c r="J1243" s="36">
        <f>TRUNC(I1243*$C1243,0)</f>
        <v>9472548</v>
      </c>
      <c r="K1243" s="36">
        <f t="shared" si="184"/>
        <v>2697</v>
      </c>
      <c r="L1243" s="36">
        <f t="shared" si="183"/>
        <v>32420637</v>
      </c>
      <c r="M1243" s="37"/>
      <c r="N1243" s="253"/>
      <c r="O1243" s="38"/>
    </row>
    <row r="1244" spans="1:15" s="29" customFormat="1" ht="24.95" customHeight="1">
      <c r="A1244" s="31" t="s">
        <v>1884</v>
      </c>
      <c r="B1244" s="32" t="s">
        <v>1885</v>
      </c>
      <c r="C1244" s="33">
        <v>5605</v>
      </c>
      <c r="D1244" s="34" t="s">
        <v>1886</v>
      </c>
      <c r="E1244" s="36">
        <v>820</v>
      </c>
      <c r="F1244" s="36">
        <f>TRUNC(E1244*$C1244,0)</f>
        <v>4596100</v>
      </c>
      <c r="G1244" s="36">
        <v>282</v>
      </c>
      <c r="H1244" s="36">
        <f>TRUNC(G1244*$C1244,0)</f>
        <v>1580610</v>
      </c>
      <c r="I1244" s="36">
        <v>340</v>
      </c>
      <c r="J1244" s="36">
        <f>TRUNC(I1244*$C1244,0)</f>
        <v>1905700</v>
      </c>
      <c r="K1244" s="36">
        <f t="shared" si="184"/>
        <v>1442</v>
      </c>
      <c r="L1244" s="36">
        <f t="shared" si="183"/>
        <v>8082410</v>
      </c>
      <c r="M1244" s="37"/>
      <c r="N1244" s="253"/>
      <c r="O1244" s="38"/>
    </row>
    <row r="1245" spans="1:15" s="29" customFormat="1" ht="24.95" customHeight="1">
      <c r="A1245" s="31" t="s">
        <v>1887</v>
      </c>
      <c r="B1245" s="32" t="s">
        <v>1888</v>
      </c>
      <c r="C1245" s="33">
        <v>540</v>
      </c>
      <c r="D1245" s="34" t="s">
        <v>1886</v>
      </c>
      <c r="E1245" s="36">
        <v>3533</v>
      </c>
      <c r="F1245" s="36">
        <f>TRUNC(E1245*$C1245,0)</f>
        <v>1907820</v>
      </c>
      <c r="G1245" s="36">
        <v>317</v>
      </c>
      <c r="H1245" s="36">
        <f>TRUNC(G1245*$C1245,0)</f>
        <v>171180</v>
      </c>
      <c r="I1245" s="36">
        <v>504</v>
      </c>
      <c r="J1245" s="36">
        <f>TRUNC(I1245*$C1245,0)</f>
        <v>272160</v>
      </c>
      <c r="K1245" s="36">
        <f t="shared" si="184"/>
        <v>4354</v>
      </c>
      <c r="L1245" s="36">
        <f t="shared" si="183"/>
        <v>2351160</v>
      </c>
      <c r="M1245" s="37"/>
      <c r="N1245" s="253"/>
      <c r="O1245" s="38"/>
    </row>
    <row r="1246" spans="1:15" s="70" customFormat="1" ht="24.95" customHeight="1">
      <c r="A1246" s="64" t="s">
        <v>1889</v>
      </c>
      <c r="B1246" s="65" t="s">
        <v>22</v>
      </c>
      <c r="C1246" s="66"/>
      <c r="D1246" s="67" t="s">
        <v>22</v>
      </c>
      <c r="E1246" s="67"/>
      <c r="F1246" s="68">
        <f>TRUNC(F1248+F1249+F1250+F1251+F1252+F1253+F1254+F1255+F1257+F1258+F1260+F1261+F1262+F1263,0)</f>
        <v>22626290</v>
      </c>
      <c r="G1246" s="67"/>
      <c r="H1246" s="68">
        <f>TRUNC(H1248+H1249+H1250+H1251+H1252+H1253+H1254+H1255+H1257+H1258+H1260+H1261+H1262+H1263,0)</f>
        <v>21741700</v>
      </c>
      <c r="I1246" s="67"/>
      <c r="J1246" s="68">
        <f>TRUNC(J1248+J1249+J1250+J1251+J1252+J1253+J1254+J1255+J1257+J1258+J1260+J1261+J1262+J1263,0)</f>
        <v>1516861</v>
      </c>
      <c r="K1246" s="68">
        <f t="shared" si="184"/>
        <v>0</v>
      </c>
      <c r="L1246" s="68">
        <f t="shared" si="183"/>
        <v>45884851</v>
      </c>
      <c r="M1246" s="69"/>
      <c r="N1246" s="256"/>
    </row>
    <row r="1247" spans="1:15" s="77" customFormat="1" ht="24.95" customHeight="1">
      <c r="A1247" s="71" t="s">
        <v>1890</v>
      </c>
      <c r="B1247" s="72" t="s">
        <v>22</v>
      </c>
      <c r="C1247" s="73"/>
      <c r="D1247" s="74" t="s">
        <v>22</v>
      </c>
      <c r="E1247" s="74"/>
      <c r="F1247" s="75">
        <f>TRUNC(F1248+F1249+F1250+F1251+F1252+F1253,0)</f>
        <v>2300572</v>
      </c>
      <c r="G1247" s="74"/>
      <c r="H1247" s="75">
        <f>TRUNC(H1248+H1249+H1250+H1251+H1252+H1253,0)</f>
        <v>4270082</v>
      </c>
      <c r="I1247" s="74"/>
      <c r="J1247" s="75">
        <f>TRUNC(J1248+J1249+J1250+J1251+J1252+J1253,0)</f>
        <v>497842</v>
      </c>
      <c r="K1247" s="75">
        <f t="shared" si="184"/>
        <v>0</v>
      </c>
      <c r="L1247" s="75">
        <f t="shared" si="183"/>
        <v>7068496</v>
      </c>
      <c r="M1247" s="76"/>
      <c r="N1247" s="257"/>
    </row>
    <row r="1248" spans="1:15" s="29" customFormat="1" ht="24.95" customHeight="1">
      <c r="A1248" s="31" t="s">
        <v>1891</v>
      </c>
      <c r="B1248" s="32" t="s">
        <v>1892</v>
      </c>
      <c r="C1248" s="33">
        <v>1</v>
      </c>
      <c r="D1248" s="34" t="s">
        <v>166</v>
      </c>
      <c r="E1248" s="36">
        <v>229237</v>
      </c>
      <c r="F1248" s="36">
        <f t="shared" ref="F1248:F1255" si="185">TRUNC(E1248*$C1248,0)</f>
        <v>229237</v>
      </c>
      <c r="G1248" s="36">
        <v>218808</v>
      </c>
      <c r="H1248" s="36">
        <f t="shared" ref="H1248:H1255" si="186">TRUNC(G1248*$C1248,0)</f>
        <v>218808</v>
      </c>
      <c r="I1248" s="36">
        <v>53336</v>
      </c>
      <c r="J1248" s="36">
        <f t="shared" ref="J1248:J1255" si="187">TRUNC(I1248*$C1248,0)</f>
        <v>53336</v>
      </c>
      <c r="K1248" s="36">
        <f t="shared" si="184"/>
        <v>501381</v>
      </c>
      <c r="L1248" s="36">
        <f t="shared" si="183"/>
        <v>501381</v>
      </c>
      <c r="M1248" s="37"/>
      <c r="N1248" s="253"/>
      <c r="O1248" s="38"/>
    </row>
    <row r="1249" spans="1:15" s="29" customFormat="1" ht="24.95" customHeight="1">
      <c r="A1249" s="31" t="s">
        <v>1893</v>
      </c>
      <c r="B1249" s="32" t="s">
        <v>1894</v>
      </c>
      <c r="C1249" s="33">
        <v>12</v>
      </c>
      <c r="D1249" s="34" t="s">
        <v>166</v>
      </c>
      <c r="E1249" s="36">
        <v>147426</v>
      </c>
      <c r="F1249" s="36">
        <f t="shared" si="185"/>
        <v>1769112</v>
      </c>
      <c r="G1249" s="36">
        <v>128745</v>
      </c>
      <c r="H1249" s="36">
        <f t="shared" si="186"/>
        <v>1544940</v>
      </c>
      <c r="I1249" s="36">
        <v>33874</v>
      </c>
      <c r="J1249" s="36">
        <f t="shared" si="187"/>
        <v>406488</v>
      </c>
      <c r="K1249" s="36">
        <f t="shared" si="184"/>
        <v>310045</v>
      </c>
      <c r="L1249" s="36">
        <f t="shared" si="183"/>
        <v>3720540</v>
      </c>
      <c r="M1249" s="37"/>
      <c r="N1249" s="253"/>
      <c r="O1249" s="38"/>
    </row>
    <row r="1250" spans="1:15" s="29" customFormat="1" ht="24.95" customHeight="1">
      <c r="A1250" s="31" t="s">
        <v>1895</v>
      </c>
      <c r="B1250" s="32" t="s">
        <v>1896</v>
      </c>
      <c r="C1250" s="33">
        <v>2</v>
      </c>
      <c r="D1250" s="34" t="s">
        <v>166</v>
      </c>
      <c r="E1250" s="36">
        <v>92920</v>
      </c>
      <c r="F1250" s="36">
        <f t="shared" si="185"/>
        <v>185840</v>
      </c>
      <c r="G1250" s="36">
        <v>89238</v>
      </c>
      <c r="H1250" s="36">
        <f t="shared" si="186"/>
        <v>178476</v>
      </c>
      <c r="I1250" s="36">
        <v>19009</v>
      </c>
      <c r="J1250" s="36">
        <f t="shared" si="187"/>
        <v>38018</v>
      </c>
      <c r="K1250" s="36">
        <f t="shared" si="184"/>
        <v>201167</v>
      </c>
      <c r="L1250" s="36">
        <f t="shared" si="183"/>
        <v>402334</v>
      </c>
      <c r="M1250" s="37"/>
      <c r="N1250" s="253"/>
      <c r="O1250" s="38"/>
    </row>
    <row r="1251" spans="1:15" s="29" customFormat="1" ht="24.95" customHeight="1">
      <c r="A1251" s="31" t="s">
        <v>1897</v>
      </c>
      <c r="B1251" s="32" t="s">
        <v>1898</v>
      </c>
      <c r="C1251" s="33">
        <v>1</v>
      </c>
      <c r="D1251" s="34" t="s">
        <v>1205</v>
      </c>
      <c r="E1251" s="36">
        <v>9859</v>
      </c>
      <c r="F1251" s="36">
        <f t="shared" si="185"/>
        <v>9859</v>
      </c>
      <c r="G1251" s="36">
        <v>197188</v>
      </c>
      <c r="H1251" s="36">
        <f t="shared" si="186"/>
        <v>197188</v>
      </c>
      <c r="I1251" s="36">
        <v>0</v>
      </c>
      <c r="J1251" s="36">
        <f t="shared" si="187"/>
        <v>0</v>
      </c>
      <c r="K1251" s="36">
        <f t="shared" si="184"/>
        <v>207047</v>
      </c>
      <c r="L1251" s="36">
        <f t="shared" si="183"/>
        <v>207047</v>
      </c>
      <c r="M1251" s="37"/>
      <c r="N1251" s="253"/>
      <c r="O1251" s="38"/>
    </row>
    <row r="1252" spans="1:15" s="29" customFormat="1" ht="24.95" customHeight="1">
      <c r="A1252" s="31" t="s">
        <v>1897</v>
      </c>
      <c r="B1252" s="32" t="s">
        <v>1899</v>
      </c>
      <c r="C1252" s="33">
        <v>12</v>
      </c>
      <c r="D1252" s="34" t="s">
        <v>1205</v>
      </c>
      <c r="E1252" s="36">
        <v>7926</v>
      </c>
      <c r="F1252" s="36">
        <f t="shared" si="185"/>
        <v>95112</v>
      </c>
      <c r="G1252" s="36">
        <v>158534</v>
      </c>
      <c r="H1252" s="36">
        <f t="shared" si="186"/>
        <v>1902408</v>
      </c>
      <c r="I1252" s="36">
        <v>0</v>
      </c>
      <c r="J1252" s="36">
        <f t="shared" si="187"/>
        <v>0</v>
      </c>
      <c r="K1252" s="36">
        <f t="shared" si="184"/>
        <v>166460</v>
      </c>
      <c r="L1252" s="36">
        <f t="shared" si="183"/>
        <v>1997520</v>
      </c>
      <c r="M1252" s="37"/>
      <c r="N1252" s="253"/>
      <c r="O1252" s="38"/>
    </row>
    <row r="1253" spans="1:15" s="29" customFormat="1" ht="24.95" customHeight="1">
      <c r="A1253" s="31" t="s">
        <v>1897</v>
      </c>
      <c r="B1253" s="32" t="s">
        <v>1900</v>
      </c>
      <c r="C1253" s="33">
        <v>2</v>
      </c>
      <c r="D1253" s="34" t="s">
        <v>1205</v>
      </c>
      <c r="E1253" s="36">
        <v>5706</v>
      </c>
      <c r="F1253" s="36">
        <f t="shared" si="185"/>
        <v>11412</v>
      </c>
      <c r="G1253" s="36">
        <v>114131</v>
      </c>
      <c r="H1253" s="36">
        <f t="shared" si="186"/>
        <v>228262</v>
      </c>
      <c r="I1253" s="36">
        <v>0</v>
      </c>
      <c r="J1253" s="36">
        <f t="shared" si="187"/>
        <v>0</v>
      </c>
      <c r="K1253" s="36">
        <f t="shared" si="184"/>
        <v>119837</v>
      </c>
      <c r="L1253" s="36">
        <f t="shared" si="183"/>
        <v>239674</v>
      </c>
      <c r="M1253" s="37"/>
      <c r="N1253" s="253"/>
      <c r="O1253" s="38"/>
    </row>
    <row r="1254" spans="1:15" s="77" customFormat="1" ht="24.95" customHeight="1">
      <c r="A1254" s="71" t="s">
        <v>1901</v>
      </c>
      <c r="B1254" s="72" t="s">
        <v>1902</v>
      </c>
      <c r="C1254" s="73">
        <v>10</v>
      </c>
      <c r="D1254" s="74" t="s">
        <v>166</v>
      </c>
      <c r="E1254" s="75">
        <v>22102</v>
      </c>
      <c r="F1254" s="75">
        <f t="shared" si="185"/>
        <v>221020</v>
      </c>
      <c r="G1254" s="75">
        <v>131169</v>
      </c>
      <c r="H1254" s="75">
        <f t="shared" si="186"/>
        <v>1311690</v>
      </c>
      <c r="I1254" s="75">
        <v>505</v>
      </c>
      <c r="J1254" s="75">
        <f t="shared" si="187"/>
        <v>5050</v>
      </c>
      <c r="K1254" s="75">
        <f t="shared" si="184"/>
        <v>153776</v>
      </c>
      <c r="L1254" s="75">
        <f t="shared" si="183"/>
        <v>1537760</v>
      </c>
      <c r="M1254" s="76"/>
      <c r="N1254" s="257"/>
      <c r="O1254" s="93"/>
    </row>
    <row r="1255" spans="1:15" s="77" customFormat="1" ht="24.95" customHeight="1">
      <c r="A1255" s="71" t="s">
        <v>1903</v>
      </c>
      <c r="B1255" s="72" t="s">
        <v>1904</v>
      </c>
      <c r="C1255" s="73">
        <v>6</v>
      </c>
      <c r="D1255" s="74" t="s">
        <v>166</v>
      </c>
      <c r="E1255" s="75">
        <v>30128</v>
      </c>
      <c r="F1255" s="75">
        <f t="shared" si="185"/>
        <v>180768</v>
      </c>
      <c r="G1255" s="75">
        <v>331680</v>
      </c>
      <c r="H1255" s="75">
        <f t="shared" si="186"/>
        <v>1990080</v>
      </c>
      <c r="I1255" s="75">
        <v>1673</v>
      </c>
      <c r="J1255" s="75">
        <f t="shared" si="187"/>
        <v>10038</v>
      </c>
      <c r="K1255" s="75">
        <f t="shared" si="184"/>
        <v>363481</v>
      </c>
      <c r="L1255" s="75">
        <f t="shared" si="183"/>
        <v>2180886</v>
      </c>
      <c r="M1255" s="76"/>
      <c r="N1255" s="257"/>
      <c r="O1255" s="93"/>
    </row>
    <row r="1256" spans="1:15" s="77" customFormat="1" ht="24.95" customHeight="1">
      <c r="A1256" s="71" t="s">
        <v>1905</v>
      </c>
      <c r="B1256" s="72" t="s">
        <v>22</v>
      </c>
      <c r="C1256" s="73"/>
      <c r="D1256" s="74" t="s">
        <v>22</v>
      </c>
      <c r="E1256" s="74"/>
      <c r="F1256" s="75">
        <f>TRUNC(F1257+F1258,0)</f>
        <v>2212236</v>
      </c>
      <c r="G1256" s="74"/>
      <c r="H1256" s="75">
        <f>TRUNC(H1257+H1258,0)</f>
        <v>13607496</v>
      </c>
      <c r="I1256" s="74"/>
      <c r="J1256" s="75">
        <f>TRUNC(J1257+J1258,0)</f>
        <v>256476</v>
      </c>
      <c r="K1256" s="75">
        <f t="shared" si="184"/>
        <v>0</v>
      </c>
      <c r="L1256" s="75">
        <f t="shared" si="183"/>
        <v>16076208</v>
      </c>
      <c r="M1256" s="76"/>
      <c r="N1256" s="257"/>
    </row>
    <row r="1257" spans="1:15" s="29" customFormat="1" ht="24.95" customHeight="1">
      <c r="A1257" s="31" t="s">
        <v>1906</v>
      </c>
      <c r="B1257" s="32" t="s">
        <v>1907</v>
      </c>
      <c r="C1257" s="33">
        <v>174</v>
      </c>
      <c r="D1257" s="34" t="s">
        <v>96</v>
      </c>
      <c r="E1257" s="36">
        <v>8882</v>
      </c>
      <c r="F1257" s="36">
        <f>TRUNC(E1257*$C1257,0)</f>
        <v>1545468</v>
      </c>
      <c r="G1257" s="36">
        <v>1562</v>
      </c>
      <c r="H1257" s="36">
        <f>TRUNC(G1257*$C1257,0)</f>
        <v>271788</v>
      </c>
      <c r="I1257" s="36">
        <v>1474</v>
      </c>
      <c r="J1257" s="36">
        <f>TRUNC(I1257*$C1257,0)</f>
        <v>256476</v>
      </c>
      <c r="K1257" s="36">
        <f t="shared" si="184"/>
        <v>11918</v>
      </c>
      <c r="L1257" s="36">
        <f t="shared" si="183"/>
        <v>2073732</v>
      </c>
      <c r="M1257" s="37"/>
      <c r="N1257" s="253"/>
      <c r="O1257" s="38"/>
    </row>
    <row r="1258" spans="1:15" s="29" customFormat="1" ht="24.95" customHeight="1">
      <c r="A1258" s="31" t="s">
        <v>1908</v>
      </c>
      <c r="B1258" s="32" t="s">
        <v>1909</v>
      </c>
      <c r="C1258" s="33">
        <v>174</v>
      </c>
      <c r="D1258" s="34" t="s">
        <v>1205</v>
      </c>
      <c r="E1258" s="36">
        <v>3832</v>
      </c>
      <c r="F1258" s="36">
        <f>TRUNC(E1258*$C1258,0)</f>
        <v>666768</v>
      </c>
      <c r="G1258" s="36">
        <v>76642</v>
      </c>
      <c r="H1258" s="36">
        <f>TRUNC(G1258*$C1258,0)</f>
        <v>13335708</v>
      </c>
      <c r="I1258" s="36">
        <v>0</v>
      </c>
      <c r="J1258" s="36">
        <f>TRUNC(I1258*$C1258,0)</f>
        <v>0</v>
      </c>
      <c r="K1258" s="36">
        <f t="shared" si="184"/>
        <v>80474</v>
      </c>
      <c r="L1258" s="36">
        <f t="shared" si="183"/>
        <v>14002476</v>
      </c>
      <c r="M1258" s="37"/>
      <c r="N1258" s="253"/>
      <c r="O1258" s="38"/>
    </row>
    <row r="1259" spans="1:15" s="77" customFormat="1" ht="24.95" customHeight="1">
      <c r="A1259" s="71" t="s">
        <v>1910</v>
      </c>
      <c r="B1259" s="72" t="s">
        <v>22</v>
      </c>
      <c r="C1259" s="73"/>
      <c r="D1259" s="74" t="s">
        <v>22</v>
      </c>
      <c r="E1259" s="74"/>
      <c r="F1259" s="75">
        <f>TRUNC(F1260+F1261+F1262+F1263,0)</f>
        <v>17711694</v>
      </c>
      <c r="G1259" s="74"/>
      <c r="H1259" s="75">
        <f>TRUNC(H1260+H1261+H1262+H1263,0)</f>
        <v>562352</v>
      </c>
      <c r="I1259" s="74"/>
      <c r="J1259" s="75">
        <f>TRUNC(J1260+J1261+J1262+J1263,0)</f>
        <v>747455</v>
      </c>
      <c r="K1259" s="75">
        <f t="shared" si="184"/>
        <v>0</v>
      </c>
      <c r="L1259" s="75">
        <f t="shared" si="183"/>
        <v>19021501</v>
      </c>
      <c r="M1259" s="76"/>
      <c r="N1259" s="257"/>
    </row>
    <row r="1260" spans="1:15" s="29" customFormat="1" ht="24.95" customHeight="1">
      <c r="A1260" s="31" t="s">
        <v>1911</v>
      </c>
      <c r="B1260" s="32" t="s">
        <v>1912</v>
      </c>
      <c r="C1260" s="33">
        <v>9</v>
      </c>
      <c r="D1260" s="34" t="s">
        <v>96</v>
      </c>
      <c r="E1260" s="36">
        <v>35279</v>
      </c>
      <c r="F1260" s="36">
        <f>TRUNC(E1260*$C1260,0)</f>
        <v>317511</v>
      </c>
      <c r="G1260" s="36">
        <v>1365</v>
      </c>
      <c r="H1260" s="36">
        <f>TRUNC(G1260*$C1260,0)</f>
        <v>12285</v>
      </c>
      <c r="I1260" s="36">
        <v>1754</v>
      </c>
      <c r="J1260" s="36">
        <f>TRUNC(I1260*$C1260,0)</f>
        <v>15786</v>
      </c>
      <c r="K1260" s="36">
        <f t="shared" si="184"/>
        <v>38398</v>
      </c>
      <c r="L1260" s="36">
        <f t="shared" si="183"/>
        <v>345582</v>
      </c>
      <c r="M1260" s="37"/>
      <c r="N1260" s="253"/>
      <c r="O1260" s="38"/>
    </row>
    <row r="1261" spans="1:15" s="29" customFormat="1" ht="24.95" customHeight="1">
      <c r="A1261" s="31" t="s">
        <v>1911</v>
      </c>
      <c r="B1261" s="32" t="s">
        <v>1913</v>
      </c>
      <c r="C1261" s="33">
        <v>570</v>
      </c>
      <c r="D1261" s="34" t="s">
        <v>96</v>
      </c>
      <c r="E1261" s="36">
        <v>22956</v>
      </c>
      <c r="F1261" s="36">
        <f>TRUNC(E1261*$C1261,0)</f>
        <v>13084920</v>
      </c>
      <c r="G1261" s="36">
        <v>712</v>
      </c>
      <c r="H1261" s="36">
        <f>TRUNC(G1261*$C1261,0)</f>
        <v>405840</v>
      </c>
      <c r="I1261" s="36">
        <v>941</v>
      </c>
      <c r="J1261" s="36">
        <f>TRUNC(I1261*$C1261,0)</f>
        <v>536370</v>
      </c>
      <c r="K1261" s="36">
        <f t="shared" si="184"/>
        <v>24609</v>
      </c>
      <c r="L1261" s="36">
        <f t="shared" si="183"/>
        <v>14027130</v>
      </c>
      <c r="M1261" s="37"/>
      <c r="N1261" s="253"/>
      <c r="O1261" s="38"/>
    </row>
    <row r="1262" spans="1:15" s="29" customFormat="1" ht="24.95" customHeight="1">
      <c r="A1262" s="31" t="s">
        <v>1911</v>
      </c>
      <c r="B1262" s="32" t="s">
        <v>1914</v>
      </c>
      <c r="C1262" s="33">
        <v>233</v>
      </c>
      <c r="D1262" s="34" t="s">
        <v>96</v>
      </c>
      <c r="E1262" s="36">
        <v>17185</v>
      </c>
      <c r="F1262" s="36">
        <f>TRUNC(E1262*$C1262,0)</f>
        <v>4004105</v>
      </c>
      <c r="G1262" s="36">
        <v>619</v>
      </c>
      <c r="H1262" s="36">
        <f>TRUNC(G1262*$C1262,0)</f>
        <v>144227</v>
      </c>
      <c r="I1262" s="36">
        <v>812</v>
      </c>
      <c r="J1262" s="36">
        <f>TRUNC(I1262*$C1262,0)</f>
        <v>189196</v>
      </c>
      <c r="K1262" s="36">
        <f t="shared" si="184"/>
        <v>18616</v>
      </c>
      <c r="L1262" s="36">
        <f t="shared" si="183"/>
        <v>4337528</v>
      </c>
      <c r="M1262" s="37"/>
      <c r="N1262" s="253"/>
      <c r="O1262" s="38"/>
    </row>
    <row r="1263" spans="1:15" s="29" customFormat="1" ht="24.95" customHeight="1">
      <c r="A1263" s="31" t="s">
        <v>1915</v>
      </c>
      <c r="B1263" s="32" t="s">
        <v>1912</v>
      </c>
      <c r="C1263" s="33">
        <v>1</v>
      </c>
      <c r="D1263" s="34" t="s">
        <v>166</v>
      </c>
      <c r="E1263" s="36">
        <v>305158</v>
      </c>
      <c r="F1263" s="36">
        <f>TRUNC(E1263*$C1263,0)</f>
        <v>305158</v>
      </c>
      <c r="G1263" s="36">
        <v>0</v>
      </c>
      <c r="H1263" s="36">
        <f>TRUNC(G1263*$C1263,0)</f>
        <v>0</v>
      </c>
      <c r="I1263" s="36">
        <v>6103</v>
      </c>
      <c r="J1263" s="36">
        <f>TRUNC(I1263*$C1263,0)</f>
        <v>6103</v>
      </c>
      <c r="K1263" s="36">
        <f t="shared" si="184"/>
        <v>311261</v>
      </c>
      <c r="L1263" s="36">
        <f t="shared" si="183"/>
        <v>311261</v>
      </c>
      <c r="M1263" s="37"/>
      <c r="N1263" s="253"/>
      <c r="O1263" s="38"/>
    </row>
    <row r="1264" spans="1:15" s="70" customFormat="1" ht="24.95" customHeight="1">
      <c r="A1264" s="64" t="s">
        <v>1916</v>
      </c>
      <c r="B1264" s="65" t="s">
        <v>22</v>
      </c>
      <c r="C1264" s="66"/>
      <c r="D1264" s="67" t="s">
        <v>22</v>
      </c>
      <c r="E1264" s="67"/>
      <c r="F1264" s="68">
        <f>TRUNC(F1265+F1266+F1267+F1268+F1269+F1270+F1271+F1272+F1273+F1274+F1275+F1276+F1277+F1278,0)</f>
        <v>2322936</v>
      </c>
      <c r="G1264" s="67"/>
      <c r="H1264" s="68">
        <f>TRUNC(H1265+H1266+H1267+H1268+H1269+H1270+H1271+H1272+H1273+H1274+H1275+H1276+H1277+H1278,0)</f>
        <v>265973387</v>
      </c>
      <c r="I1264" s="67"/>
      <c r="J1264" s="68">
        <f>TRUNC(J1265+J1266+J1267+J1268+J1269+J1270+J1271+J1272+J1273+J1274+J1275+J1276+J1277+J1278,0)</f>
        <v>258096</v>
      </c>
      <c r="K1264" s="68">
        <f t="shared" si="184"/>
        <v>0</v>
      </c>
      <c r="L1264" s="68">
        <f t="shared" si="183"/>
        <v>268554419</v>
      </c>
      <c r="M1264" s="69"/>
      <c r="N1264" s="256"/>
    </row>
    <row r="1265" spans="1:15" s="29" customFormat="1" ht="24.95" customHeight="1">
      <c r="A1265" s="31" t="s">
        <v>1917</v>
      </c>
      <c r="B1265" s="32" t="s">
        <v>1918</v>
      </c>
      <c r="C1265" s="33">
        <v>1</v>
      </c>
      <c r="D1265" s="34" t="s">
        <v>1116</v>
      </c>
      <c r="E1265" s="36">
        <v>0</v>
      </c>
      <c r="F1265" s="36">
        <f t="shared" ref="F1265:F1278" si="188">TRUNC(E1265*$C1265,0)</f>
        <v>0</v>
      </c>
      <c r="G1265" s="36">
        <v>106633600</v>
      </c>
      <c r="H1265" s="36">
        <f t="shared" ref="H1265:H1278" si="189">TRUNC(G1265*$C1265,0)</f>
        <v>106633600</v>
      </c>
      <c r="I1265" s="36">
        <v>0</v>
      </c>
      <c r="J1265" s="36">
        <f t="shared" ref="J1265:J1278" si="190">TRUNC(I1265*$C1265,0)</f>
        <v>0</v>
      </c>
      <c r="K1265" s="36">
        <f t="shared" si="184"/>
        <v>106633600</v>
      </c>
      <c r="L1265" s="36">
        <f t="shared" si="183"/>
        <v>106633600</v>
      </c>
      <c r="M1265" s="37"/>
      <c r="N1265" s="253"/>
      <c r="O1265" s="38"/>
    </row>
    <row r="1266" spans="1:15" s="29" customFormat="1" ht="24.95" customHeight="1">
      <c r="A1266" s="31" t="s">
        <v>1919</v>
      </c>
      <c r="B1266" s="32" t="s">
        <v>1920</v>
      </c>
      <c r="C1266" s="33">
        <v>8</v>
      </c>
      <c r="D1266" s="34" t="s">
        <v>1116</v>
      </c>
      <c r="E1266" s="36">
        <v>0</v>
      </c>
      <c r="F1266" s="36">
        <f t="shared" si="188"/>
        <v>0</v>
      </c>
      <c r="G1266" s="36">
        <v>11912972</v>
      </c>
      <c r="H1266" s="36">
        <f t="shared" si="189"/>
        <v>95303776</v>
      </c>
      <c r="I1266" s="36">
        <v>0</v>
      </c>
      <c r="J1266" s="36">
        <f t="shared" si="190"/>
        <v>0</v>
      </c>
      <c r="K1266" s="36">
        <f t="shared" si="184"/>
        <v>11912972</v>
      </c>
      <c r="L1266" s="36">
        <f t="shared" si="183"/>
        <v>95303776</v>
      </c>
      <c r="M1266" s="37"/>
      <c r="N1266" s="253"/>
      <c r="O1266" s="38"/>
    </row>
    <row r="1267" spans="1:15" s="29" customFormat="1" ht="24.95" customHeight="1">
      <c r="A1267" s="31" t="s">
        <v>1921</v>
      </c>
      <c r="B1267" s="32" t="s">
        <v>1922</v>
      </c>
      <c r="C1267" s="33">
        <v>34</v>
      </c>
      <c r="D1267" s="34" t="s">
        <v>1116</v>
      </c>
      <c r="E1267" s="36">
        <v>0</v>
      </c>
      <c r="F1267" s="36">
        <f t="shared" si="188"/>
        <v>0</v>
      </c>
      <c r="G1267" s="36">
        <v>420702</v>
      </c>
      <c r="H1267" s="36">
        <f t="shared" si="189"/>
        <v>14303868</v>
      </c>
      <c r="I1267" s="36">
        <v>0</v>
      </c>
      <c r="J1267" s="36">
        <f t="shared" si="190"/>
        <v>0</v>
      </c>
      <c r="K1267" s="36">
        <f t="shared" si="184"/>
        <v>420702</v>
      </c>
      <c r="L1267" s="36">
        <f t="shared" si="183"/>
        <v>14303868</v>
      </c>
      <c r="M1267" s="37"/>
      <c r="N1267" s="253"/>
      <c r="O1267" s="38"/>
    </row>
    <row r="1268" spans="1:15" s="29" customFormat="1" ht="24.95" customHeight="1">
      <c r="A1268" s="31" t="s">
        <v>1923</v>
      </c>
      <c r="B1268" s="32" t="s">
        <v>22</v>
      </c>
      <c r="C1268" s="33">
        <v>2</v>
      </c>
      <c r="D1268" s="34" t="s">
        <v>1116</v>
      </c>
      <c r="E1268" s="36">
        <v>0</v>
      </c>
      <c r="F1268" s="36">
        <f t="shared" si="188"/>
        <v>0</v>
      </c>
      <c r="G1268" s="36">
        <v>2582532</v>
      </c>
      <c r="H1268" s="36">
        <f t="shared" si="189"/>
        <v>5165064</v>
      </c>
      <c r="I1268" s="36">
        <v>0</v>
      </c>
      <c r="J1268" s="36">
        <f t="shared" si="190"/>
        <v>0</v>
      </c>
      <c r="K1268" s="36">
        <f t="shared" si="184"/>
        <v>2582532</v>
      </c>
      <c r="L1268" s="36">
        <f t="shared" si="183"/>
        <v>5165064</v>
      </c>
      <c r="M1268" s="37"/>
      <c r="N1268" s="253"/>
      <c r="O1268" s="38"/>
    </row>
    <row r="1269" spans="1:15" s="29" customFormat="1" ht="24.95" customHeight="1">
      <c r="A1269" s="31" t="s">
        <v>1924</v>
      </c>
      <c r="B1269" s="32" t="s">
        <v>22</v>
      </c>
      <c r="C1269" s="33">
        <v>2</v>
      </c>
      <c r="D1269" s="34" t="s">
        <v>1116</v>
      </c>
      <c r="E1269" s="36">
        <v>0</v>
      </c>
      <c r="F1269" s="36">
        <f t="shared" si="188"/>
        <v>0</v>
      </c>
      <c r="G1269" s="36">
        <v>1999380</v>
      </c>
      <c r="H1269" s="36">
        <f t="shared" si="189"/>
        <v>3998760</v>
      </c>
      <c r="I1269" s="36">
        <v>0</v>
      </c>
      <c r="J1269" s="36">
        <f t="shared" si="190"/>
        <v>0</v>
      </c>
      <c r="K1269" s="36">
        <f t="shared" si="184"/>
        <v>1999380</v>
      </c>
      <c r="L1269" s="36">
        <f t="shared" si="183"/>
        <v>3998760</v>
      </c>
      <c r="M1269" s="37"/>
      <c r="N1269" s="253"/>
      <c r="O1269" s="38"/>
    </row>
    <row r="1270" spans="1:15" s="29" customFormat="1" ht="24.95" customHeight="1">
      <c r="A1270" s="31" t="s">
        <v>1925</v>
      </c>
      <c r="B1270" s="32" t="s">
        <v>22</v>
      </c>
      <c r="C1270" s="33">
        <v>2</v>
      </c>
      <c r="D1270" s="34" t="s">
        <v>1116</v>
      </c>
      <c r="E1270" s="36">
        <v>0</v>
      </c>
      <c r="F1270" s="36">
        <f t="shared" si="188"/>
        <v>0</v>
      </c>
      <c r="G1270" s="36">
        <v>2457571</v>
      </c>
      <c r="H1270" s="36">
        <f t="shared" si="189"/>
        <v>4915142</v>
      </c>
      <c r="I1270" s="36">
        <v>0</v>
      </c>
      <c r="J1270" s="36">
        <f t="shared" si="190"/>
        <v>0</v>
      </c>
      <c r="K1270" s="36">
        <f t="shared" si="184"/>
        <v>2457571</v>
      </c>
      <c r="L1270" s="36">
        <f t="shared" si="183"/>
        <v>4915142</v>
      </c>
      <c r="M1270" s="37"/>
      <c r="N1270" s="253"/>
      <c r="O1270" s="38"/>
    </row>
    <row r="1271" spans="1:15" s="29" customFormat="1" ht="24.95" customHeight="1">
      <c r="A1271" s="31" t="s">
        <v>1926</v>
      </c>
      <c r="B1271" s="32" t="s">
        <v>22</v>
      </c>
      <c r="C1271" s="33">
        <v>2</v>
      </c>
      <c r="D1271" s="34" t="s">
        <v>1116</v>
      </c>
      <c r="E1271" s="36">
        <v>0</v>
      </c>
      <c r="F1271" s="36">
        <f t="shared" si="188"/>
        <v>0</v>
      </c>
      <c r="G1271" s="36">
        <v>3248992</v>
      </c>
      <c r="H1271" s="36">
        <f t="shared" si="189"/>
        <v>6497984</v>
      </c>
      <c r="I1271" s="36">
        <v>0</v>
      </c>
      <c r="J1271" s="36">
        <f t="shared" si="190"/>
        <v>0</v>
      </c>
      <c r="K1271" s="36">
        <f t="shared" si="184"/>
        <v>3248992</v>
      </c>
      <c r="L1271" s="36">
        <f t="shared" si="183"/>
        <v>6497984</v>
      </c>
      <c r="M1271" s="37"/>
      <c r="N1271" s="253"/>
      <c r="O1271" s="38"/>
    </row>
    <row r="1272" spans="1:15" s="29" customFormat="1" ht="24.95" customHeight="1">
      <c r="A1272" s="31" t="s">
        <v>1927</v>
      </c>
      <c r="B1272" s="32" t="s">
        <v>22</v>
      </c>
      <c r="C1272" s="33">
        <v>2</v>
      </c>
      <c r="D1272" s="34" t="s">
        <v>1116</v>
      </c>
      <c r="E1272" s="36">
        <v>0</v>
      </c>
      <c r="F1272" s="36">
        <f t="shared" si="188"/>
        <v>0</v>
      </c>
      <c r="G1272" s="36">
        <v>1916072</v>
      </c>
      <c r="H1272" s="36">
        <f t="shared" si="189"/>
        <v>3832144</v>
      </c>
      <c r="I1272" s="36">
        <v>0</v>
      </c>
      <c r="J1272" s="36">
        <f t="shared" si="190"/>
        <v>0</v>
      </c>
      <c r="K1272" s="36">
        <f t="shared" si="184"/>
        <v>1916072</v>
      </c>
      <c r="L1272" s="36">
        <f t="shared" si="183"/>
        <v>3832144</v>
      </c>
      <c r="M1272" s="37"/>
      <c r="N1272" s="253"/>
      <c r="O1272" s="38"/>
    </row>
    <row r="1273" spans="1:15" s="29" customFormat="1" ht="24.95" customHeight="1">
      <c r="A1273" s="31" t="s">
        <v>1928</v>
      </c>
      <c r="B1273" s="32" t="s">
        <v>1929</v>
      </c>
      <c r="C1273" s="33">
        <v>25</v>
      </c>
      <c r="D1273" s="34" t="s">
        <v>1116</v>
      </c>
      <c r="E1273" s="36">
        <v>0</v>
      </c>
      <c r="F1273" s="36">
        <f t="shared" si="188"/>
        <v>0</v>
      </c>
      <c r="G1273" s="36">
        <v>29157</v>
      </c>
      <c r="H1273" s="36">
        <f t="shared" si="189"/>
        <v>728925</v>
      </c>
      <c r="I1273" s="36">
        <v>0</v>
      </c>
      <c r="J1273" s="36">
        <f t="shared" si="190"/>
        <v>0</v>
      </c>
      <c r="K1273" s="36">
        <f t="shared" si="184"/>
        <v>29157</v>
      </c>
      <c r="L1273" s="36">
        <f t="shared" si="183"/>
        <v>728925</v>
      </c>
      <c r="M1273" s="37"/>
      <c r="N1273" s="253"/>
      <c r="O1273" s="38"/>
    </row>
    <row r="1274" spans="1:15" s="29" customFormat="1" ht="24.95" customHeight="1">
      <c r="A1274" s="31" t="s">
        <v>1930</v>
      </c>
      <c r="B1274" s="32" t="s">
        <v>1931</v>
      </c>
      <c r="C1274" s="33">
        <v>36</v>
      </c>
      <c r="D1274" s="34" t="s">
        <v>1116</v>
      </c>
      <c r="E1274" s="36">
        <v>0</v>
      </c>
      <c r="F1274" s="36">
        <f t="shared" si="188"/>
        <v>0</v>
      </c>
      <c r="G1274" s="36">
        <v>32489</v>
      </c>
      <c r="H1274" s="36">
        <f t="shared" si="189"/>
        <v>1169604</v>
      </c>
      <c r="I1274" s="36">
        <v>0</v>
      </c>
      <c r="J1274" s="36">
        <f t="shared" si="190"/>
        <v>0</v>
      </c>
      <c r="K1274" s="36">
        <f t="shared" si="184"/>
        <v>32489</v>
      </c>
      <c r="L1274" s="36">
        <f t="shared" si="183"/>
        <v>1169604</v>
      </c>
      <c r="M1274" s="37"/>
      <c r="N1274" s="253"/>
      <c r="O1274" s="38"/>
    </row>
    <row r="1275" spans="1:15" s="29" customFormat="1" ht="24.95" customHeight="1">
      <c r="A1275" s="31" t="s">
        <v>1932</v>
      </c>
      <c r="B1275" s="32" t="s">
        <v>1933</v>
      </c>
      <c r="C1275" s="33">
        <v>4</v>
      </c>
      <c r="D1275" s="34" t="s">
        <v>1116</v>
      </c>
      <c r="E1275" s="36">
        <v>0</v>
      </c>
      <c r="F1275" s="36">
        <f t="shared" si="188"/>
        <v>0</v>
      </c>
      <c r="G1275" s="36">
        <v>2224310</v>
      </c>
      <c r="H1275" s="36">
        <f t="shared" si="189"/>
        <v>8897240</v>
      </c>
      <c r="I1275" s="36">
        <v>0</v>
      </c>
      <c r="J1275" s="36">
        <f t="shared" si="190"/>
        <v>0</v>
      </c>
      <c r="K1275" s="36">
        <f t="shared" si="184"/>
        <v>2224310</v>
      </c>
      <c r="L1275" s="36">
        <f t="shared" si="183"/>
        <v>8897240</v>
      </c>
      <c r="M1275" s="37"/>
      <c r="N1275" s="253"/>
      <c r="O1275" s="38"/>
    </row>
    <row r="1276" spans="1:15" s="29" customFormat="1" ht="24.95" customHeight="1">
      <c r="A1276" s="31" t="s">
        <v>1934</v>
      </c>
      <c r="B1276" s="32" t="s">
        <v>1935</v>
      </c>
      <c r="C1276" s="33">
        <v>4</v>
      </c>
      <c r="D1276" s="34" t="s">
        <v>1116</v>
      </c>
      <c r="E1276" s="36">
        <v>0</v>
      </c>
      <c r="F1276" s="36">
        <f t="shared" si="188"/>
        <v>0</v>
      </c>
      <c r="G1276" s="36">
        <v>999690</v>
      </c>
      <c r="H1276" s="36">
        <f t="shared" si="189"/>
        <v>3998760</v>
      </c>
      <c r="I1276" s="36">
        <v>0</v>
      </c>
      <c r="J1276" s="36">
        <f t="shared" si="190"/>
        <v>0</v>
      </c>
      <c r="K1276" s="36">
        <f t="shared" si="184"/>
        <v>999690</v>
      </c>
      <c r="L1276" s="36">
        <f t="shared" si="183"/>
        <v>3998760</v>
      </c>
      <c r="M1276" s="37"/>
      <c r="N1276" s="253"/>
      <c r="O1276" s="38"/>
    </row>
    <row r="1277" spans="1:15" s="29" customFormat="1" ht="24.95" customHeight="1">
      <c r="A1277" s="31" t="s">
        <v>1936</v>
      </c>
      <c r="B1277" s="32" t="s">
        <v>1937</v>
      </c>
      <c r="C1277" s="33">
        <v>2</v>
      </c>
      <c r="D1277" s="34" t="s">
        <v>1116</v>
      </c>
      <c r="E1277" s="36">
        <v>0</v>
      </c>
      <c r="F1277" s="36">
        <f t="shared" si="188"/>
        <v>0</v>
      </c>
      <c r="G1277" s="36">
        <v>2665840</v>
      </c>
      <c r="H1277" s="36">
        <f t="shared" si="189"/>
        <v>5331680</v>
      </c>
      <c r="I1277" s="36">
        <v>0</v>
      </c>
      <c r="J1277" s="36">
        <f t="shared" si="190"/>
        <v>0</v>
      </c>
      <c r="K1277" s="36">
        <f t="shared" si="184"/>
        <v>2665840</v>
      </c>
      <c r="L1277" s="36">
        <f t="shared" si="183"/>
        <v>5331680</v>
      </c>
      <c r="M1277" s="37"/>
      <c r="N1277" s="253"/>
      <c r="O1277" s="38"/>
    </row>
    <row r="1278" spans="1:15" s="29" customFormat="1" ht="24.95" customHeight="1">
      <c r="A1278" s="31" t="s">
        <v>1938</v>
      </c>
      <c r="B1278" s="32" t="s">
        <v>22</v>
      </c>
      <c r="C1278" s="33">
        <v>24</v>
      </c>
      <c r="D1278" s="34" t="s">
        <v>1112</v>
      </c>
      <c r="E1278" s="36">
        <v>96789</v>
      </c>
      <c r="F1278" s="36">
        <f t="shared" si="188"/>
        <v>2322936</v>
      </c>
      <c r="G1278" s="36">
        <v>216535</v>
      </c>
      <c r="H1278" s="36">
        <f t="shared" si="189"/>
        <v>5196840</v>
      </c>
      <c r="I1278" s="36">
        <v>10754</v>
      </c>
      <c r="J1278" s="36">
        <f t="shared" si="190"/>
        <v>258096</v>
      </c>
      <c r="K1278" s="36">
        <f t="shared" si="184"/>
        <v>324078</v>
      </c>
      <c r="L1278" s="36">
        <f t="shared" si="183"/>
        <v>7777872</v>
      </c>
      <c r="M1278" s="37"/>
      <c r="N1278" s="253"/>
      <c r="O1278" s="38"/>
    </row>
    <row r="1279" spans="1:15" s="70" customFormat="1" ht="24.95" customHeight="1">
      <c r="A1279" s="64" t="s">
        <v>1939</v>
      </c>
      <c r="B1279" s="65" t="s">
        <v>22</v>
      </c>
      <c r="C1279" s="66"/>
      <c r="D1279" s="67" t="s">
        <v>22</v>
      </c>
      <c r="E1279" s="67"/>
      <c r="F1279" s="68">
        <f>TRUNC(F1280+F1281+F1282+F1283+F1285+F1286+F1287+F1288+F1289+F1290+F1291+F1292,0)</f>
        <v>46946871</v>
      </c>
      <c r="G1279" s="67"/>
      <c r="H1279" s="68">
        <f>TRUNC(H1280+H1281+H1282+H1283+H1285+H1286+H1287+H1288+H1289+H1290+H1291+H1292,0)</f>
        <v>35537076</v>
      </c>
      <c r="I1279" s="67"/>
      <c r="J1279" s="68">
        <f>TRUNC(J1280+J1281+J1282+J1283+J1285+J1286+J1287+J1288+J1289+J1290+J1291+J1292,0)</f>
        <v>4920055</v>
      </c>
      <c r="K1279" s="68">
        <f t="shared" si="184"/>
        <v>0</v>
      </c>
      <c r="L1279" s="68">
        <f t="shared" si="183"/>
        <v>87404002</v>
      </c>
      <c r="M1279" s="69"/>
      <c r="N1279" s="256"/>
    </row>
    <row r="1280" spans="1:15" s="29" customFormat="1" ht="24.95" customHeight="1">
      <c r="A1280" s="31" t="s">
        <v>1940</v>
      </c>
      <c r="B1280" s="32" t="s">
        <v>1941</v>
      </c>
      <c r="C1280" s="33">
        <v>736</v>
      </c>
      <c r="D1280" s="34" t="s">
        <v>1942</v>
      </c>
      <c r="E1280" s="36">
        <v>8026</v>
      </c>
      <c r="F1280" s="36">
        <f>TRUNC(E1280*$C1280,0)</f>
        <v>5907136</v>
      </c>
      <c r="G1280" s="36">
        <v>1090</v>
      </c>
      <c r="H1280" s="36">
        <f>TRUNC(G1280*$C1280,0)</f>
        <v>802240</v>
      </c>
      <c r="I1280" s="36">
        <v>1257</v>
      </c>
      <c r="J1280" s="36">
        <f>TRUNC(I1280*$C1280,0)</f>
        <v>925152</v>
      </c>
      <c r="K1280" s="36">
        <f t="shared" si="184"/>
        <v>10373</v>
      </c>
      <c r="L1280" s="36">
        <f t="shared" si="183"/>
        <v>7634528</v>
      </c>
      <c r="M1280" s="37"/>
      <c r="N1280" s="253"/>
      <c r="O1280" s="38"/>
    </row>
    <row r="1281" spans="1:15" s="29" customFormat="1" ht="24.95" customHeight="1">
      <c r="A1281" s="31" t="s">
        <v>1943</v>
      </c>
      <c r="B1281" s="32" t="s">
        <v>1944</v>
      </c>
      <c r="C1281" s="33">
        <v>117</v>
      </c>
      <c r="D1281" s="34" t="s">
        <v>1942</v>
      </c>
      <c r="E1281" s="36">
        <v>7450</v>
      </c>
      <c r="F1281" s="36">
        <f>TRUNC(E1281*$C1281,0)</f>
        <v>871650</v>
      </c>
      <c r="G1281" s="36">
        <v>990</v>
      </c>
      <c r="H1281" s="36">
        <f>TRUNC(G1281*$C1281,0)</f>
        <v>115830</v>
      </c>
      <c r="I1281" s="36">
        <v>1135</v>
      </c>
      <c r="J1281" s="36">
        <f>TRUNC(I1281*$C1281,0)</f>
        <v>132795</v>
      </c>
      <c r="K1281" s="36">
        <f t="shared" si="184"/>
        <v>9575</v>
      </c>
      <c r="L1281" s="36">
        <f t="shared" si="183"/>
        <v>1120275</v>
      </c>
      <c r="M1281" s="37"/>
      <c r="N1281" s="253"/>
      <c r="O1281" s="38"/>
    </row>
    <row r="1282" spans="1:15" s="29" customFormat="1" ht="24.95" customHeight="1">
      <c r="A1282" s="31" t="s">
        <v>1945</v>
      </c>
      <c r="B1282" s="32" t="s">
        <v>1946</v>
      </c>
      <c r="C1282" s="33">
        <v>1632</v>
      </c>
      <c r="D1282" s="34" t="s">
        <v>1942</v>
      </c>
      <c r="E1282" s="36">
        <v>8026</v>
      </c>
      <c r="F1282" s="36">
        <f>TRUNC(E1282*$C1282,0)</f>
        <v>13098432</v>
      </c>
      <c r="G1282" s="36">
        <v>1090</v>
      </c>
      <c r="H1282" s="36">
        <f>TRUNC(G1282*$C1282,0)</f>
        <v>1778880</v>
      </c>
      <c r="I1282" s="36">
        <v>1257</v>
      </c>
      <c r="J1282" s="36">
        <f>TRUNC(I1282*$C1282,0)</f>
        <v>2051424</v>
      </c>
      <c r="K1282" s="36">
        <f t="shared" si="184"/>
        <v>10373</v>
      </c>
      <c r="L1282" s="36">
        <f t="shared" si="183"/>
        <v>16928736</v>
      </c>
      <c r="M1282" s="37"/>
      <c r="N1282" s="253"/>
      <c r="O1282" s="38"/>
    </row>
    <row r="1283" spans="1:15" s="29" customFormat="1" ht="24.95" customHeight="1">
      <c r="A1283" s="31" t="s">
        <v>1947</v>
      </c>
      <c r="B1283" s="32" t="s">
        <v>1948</v>
      </c>
      <c r="C1283" s="33">
        <v>540</v>
      </c>
      <c r="D1283" s="34" t="s">
        <v>1942</v>
      </c>
      <c r="E1283" s="36">
        <v>8026</v>
      </c>
      <c r="F1283" s="36">
        <f>TRUNC(E1283*$C1283,0)</f>
        <v>4334040</v>
      </c>
      <c r="G1283" s="36">
        <v>1090</v>
      </c>
      <c r="H1283" s="36">
        <f>TRUNC(G1283*$C1283,0)</f>
        <v>588600</v>
      </c>
      <c r="I1283" s="36">
        <v>1257</v>
      </c>
      <c r="J1283" s="36">
        <f>TRUNC(I1283*$C1283,0)</f>
        <v>678780</v>
      </c>
      <c r="K1283" s="36">
        <f t="shared" si="184"/>
        <v>10373</v>
      </c>
      <c r="L1283" s="36">
        <f t="shared" si="183"/>
        <v>5601420</v>
      </c>
      <c r="M1283" s="37"/>
      <c r="N1283" s="253"/>
      <c r="O1283" s="38"/>
    </row>
    <row r="1284" spans="1:15" s="29" customFormat="1" ht="24.95" customHeight="1">
      <c r="A1284" s="31" t="s">
        <v>1949</v>
      </c>
      <c r="B1284" s="32" t="s">
        <v>22</v>
      </c>
      <c r="C1284" s="33">
        <v>0</v>
      </c>
      <c r="D1284" s="34" t="s">
        <v>22</v>
      </c>
      <c r="E1284" s="34"/>
      <c r="F1284" s="36">
        <f>TRUNC(F1285+F1286+F1287+F1288+F1289+F1290+F1291+F1292,0)</f>
        <v>22735613</v>
      </c>
      <c r="G1284" s="34"/>
      <c r="H1284" s="36">
        <f>TRUNC(H1285+H1286+H1287+H1288+H1289+H1290+H1291+H1292,0)</f>
        <v>32251526</v>
      </c>
      <c r="I1284" s="34"/>
      <c r="J1284" s="36">
        <f>TRUNC(J1285+J1286+J1287+J1288+J1289+J1290+J1291+J1292,0)</f>
        <v>1131904</v>
      </c>
      <c r="K1284" s="36">
        <f t="shared" si="184"/>
        <v>0</v>
      </c>
      <c r="L1284" s="36">
        <f t="shared" si="183"/>
        <v>56119043</v>
      </c>
      <c r="M1284" s="37"/>
      <c r="N1284" s="253"/>
    </row>
    <row r="1285" spans="1:15" s="29" customFormat="1" ht="24.95" customHeight="1">
      <c r="A1285" s="31" t="s">
        <v>1744</v>
      </c>
      <c r="B1285" s="32" t="s">
        <v>1751</v>
      </c>
      <c r="C1285" s="33">
        <v>888</v>
      </c>
      <c r="D1285" s="34" t="s">
        <v>116</v>
      </c>
      <c r="E1285" s="36">
        <v>5258</v>
      </c>
      <c r="F1285" s="36">
        <f t="shared" ref="F1285:F1292" si="191">TRUNC(E1285*$C1285,0)</f>
        <v>4669104</v>
      </c>
      <c r="G1285" s="36">
        <v>406</v>
      </c>
      <c r="H1285" s="36">
        <f t="shared" ref="H1285:H1292" si="192">TRUNC(G1285*$C1285,0)</f>
        <v>360528</v>
      </c>
      <c r="I1285" s="36">
        <v>522</v>
      </c>
      <c r="J1285" s="36">
        <f t="shared" ref="J1285:J1292" si="193">TRUNC(I1285*$C1285,0)</f>
        <v>463536</v>
      </c>
      <c r="K1285" s="36">
        <f t="shared" si="184"/>
        <v>6186</v>
      </c>
      <c r="L1285" s="36">
        <f t="shared" si="183"/>
        <v>5493168</v>
      </c>
      <c r="M1285" s="37"/>
      <c r="N1285" s="253"/>
      <c r="O1285" s="38"/>
    </row>
    <row r="1286" spans="1:15" s="29" customFormat="1" ht="24.95" customHeight="1">
      <c r="A1286" s="31" t="s">
        <v>1744</v>
      </c>
      <c r="B1286" s="32" t="s">
        <v>1752</v>
      </c>
      <c r="C1286" s="33">
        <v>486</v>
      </c>
      <c r="D1286" s="34" t="s">
        <v>116</v>
      </c>
      <c r="E1286" s="36">
        <v>6152</v>
      </c>
      <c r="F1286" s="36">
        <f t="shared" si="191"/>
        <v>2989872</v>
      </c>
      <c r="G1286" s="36">
        <v>475</v>
      </c>
      <c r="H1286" s="36">
        <f t="shared" si="192"/>
        <v>230850</v>
      </c>
      <c r="I1286" s="36">
        <v>610</v>
      </c>
      <c r="J1286" s="36">
        <f t="shared" si="193"/>
        <v>296460</v>
      </c>
      <c r="K1286" s="36">
        <f t="shared" si="184"/>
        <v>7237</v>
      </c>
      <c r="L1286" s="36">
        <f t="shared" si="183"/>
        <v>3517182</v>
      </c>
      <c r="M1286" s="37"/>
      <c r="N1286" s="253"/>
      <c r="O1286" s="38"/>
    </row>
    <row r="1287" spans="1:15" s="29" customFormat="1" ht="24.95" customHeight="1">
      <c r="A1287" s="31" t="s">
        <v>1744</v>
      </c>
      <c r="B1287" s="32" t="s">
        <v>1751</v>
      </c>
      <c r="C1287" s="33">
        <v>119</v>
      </c>
      <c r="D1287" s="34" t="s">
        <v>116</v>
      </c>
      <c r="E1287" s="36">
        <v>5258</v>
      </c>
      <c r="F1287" s="36">
        <f t="shared" si="191"/>
        <v>625702</v>
      </c>
      <c r="G1287" s="36">
        <v>406</v>
      </c>
      <c r="H1287" s="36">
        <f t="shared" si="192"/>
        <v>48314</v>
      </c>
      <c r="I1287" s="36">
        <v>522</v>
      </c>
      <c r="J1287" s="36">
        <f t="shared" si="193"/>
        <v>62118</v>
      </c>
      <c r="K1287" s="36">
        <f t="shared" si="184"/>
        <v>6186</v>
      </c>
      <c r="L1287" s="36">
        <f t="shared" si="183"/>
        <v>736134</v>
      </c>
      <c r="M1287" s="37"/>
      <c r="N1287" s="253"/>
      <c r="O1287" s="38"/>
    </row>
    <row r="1288" spans="1:15" s="29" customFormat="1" ht="24.95" customHeight="1">
      <c r="A1288" s="31" t="s">
        <v>1007</v>
      </c>
      <c r="B1288" s="32" t="s">
        <v>1358</v>
      </c>
      <c r="C1288" s="33">
        <v>65</v>
      </c>
      <c r="D1288" s="34" t="s">
        <v>815</v>
      </c>
      <c r="E1288" s="36">
        <v>30923</v>
      </c>
      <c r="F1288" s="36">
        <f t="shared" si="191"/>
        <v>2009995</v>
      </c>
      <c r="G1288" s="36">
        <v>3453</v>
      </c>
      <c r="H1288" s="36">
        <f t="shared" si="192"/>
        <v>224445</v>
      </c>
      <c r="I1288" s="36">
        <v>4766</v>
      </c>
      <c r="J1288" s="36">
        <f t="shared" si="193"/>
        <v>309790</v>
      </c>
      <c r="K1288" s="36">
        <f t="shared" si="184"/>
        <v>39142</v>
      </c>
      <c r="L1288" s="36">
        <f t="shared" si="183"/>
        <v>2544230</v>
      </c>
      <c r="M1288" s="37"/>
      <c r="N1288" s="253"/>
      <c r="O1288" s="38"/>
    </row>
    <row r="1289" spans="1:15" s="29" customFormat="1" ht="24.95" customHeight="1">
      <c r="A1289" s="31" t="s">
        <v>1009</v>
      </c>
      <c r="B1289" s="32" t="s">
        <v>1010</v>
      </c>
      <c r="C1289" s="33">
        <v>523</v>
      </c>
      <c r="D1289" s="34" t="s">
        <v>831</v>
      </c>
      <c r="E1289" s="36">
        <v>22733</v>
      </c>
      <c r="F1289" s="36">
        <f t="shared" si="191"/>
        <v>11889359</v>
      </c>
      <c r="G1289" s="36">
        <v>13934</v>
      </c>
      <c r="H1289" s="36">
        <f t="shared" si="192"/>
        <v>7287482</v>
      </c>
      <c r="I1289" s="36">
        <v>0</v>
      </c>
      <c r="J1289" s="36">
        <f t="shared" si="193"/>
        <v>0</v>
      </c>
      <c r="K1289" s="36">
        <f t="shared" si="184"/>
        <v>36667</v>
      </c>
      <c r="L1289" s="36">
        <f t="shared" si="183"/>
        <v>19176841</v>
      </c>
      <c r="M1289" s="37"/>
      <c r="N1289" s="253"/>
      <c r="O1289" s="38"/>
    </row>
    <row r="1290" spans="1:15" s="29" customFormat="1" ht="24.95" customHeight="1">
      <c r="A1290" s="31" t="s">
        <v>1754</v>
      </c>
      <c r="B1290" s="32" t="s">
        <v>1755</v>
      </c>
      <c r="C1290" s="33">
        <v>6.06</v>
      </c>
      <c r="D1290" s="34" t="s">
        <v>815</v>
      </c>
      <c r="E1290" s="36">
        <v>91020</v>
      </c>
      <c r="F1290" s="36">
        <f t="shared" si="191"/>
        <v>551581</v>
      </c>
      <c r="G1290" s="36">
        <v>99573</v>
      </c>
      <c r="H1290" s="36">
        <f t="shared" si="192"/>
        <v>603412</v>
      </c>
      <c r="I1290" s="36">
        <v>0</v>
      </c>
      <c r="J1290" s="36">
        <f t="shared" si="193"/>
        <v>0</v>
      </c>
      <c r="K1290" s="36">
        <f t="shared" si="184"/>
        <v>190593</v>
      </c>
      <c r="L1290" s="36">
        <f t="shared" si="183"/>
        <v>1154993</v>
      </c>
      <c r="M1290" s="37"/>
      <c r="N1290" s="253"/>
      <c r="O1290" s="38"/>
    </row>
    <row r="1291" spans="1:15" s="29" customFormat="1" ht="24.95" customHeight="1">
      <c r="A1291" s="31" t="s">
        <v>1950</v>
      </c>
      <c r="B1291" s="32" t="s">
        <v>1874</v>
      </c>
      <c r="C1291" s="33">
        <v>1037</v>
      </c>
      <c r="D1291" s="34" t="s">
        <v>1116</v>
      </c>
      <c r="E1291" s="36">
        <v>0</v>
      </c>
      <c r="F1291" s="36">
        <f t="shared" si="191"/>
        <v>0</v>
      </c>
      <c r="G1291" s="36">
        <v>12995</v>
      </c>
      <c r="H1291" s="36">
        <f t="shared" si="192"/>
        <v>13475815</v>
      </c>
      <c r="I1291" s="36">
        <v>0</v>
      </c>
      <c r="J1291" s="36">
        <f t="shared" si="193"/>
        <v>0</v>
      </c>
      <c r="K1291" s="36">
        <f t="shared" si="184"/>
        <v>12995</v>
      </c>
      <c r="L1291" s="36">
        <f t="shared" si="183"/>
        <v>13475815</v>
      </c>
      <c r="M1291" s="37"/>
      <c r="N1291" s="253"/>
      <c r="O1291" s="38"/>
    </row>
    <row r="1292" spans="1:15" s="29" customFormat="1" ht="24.95" customHeight="1">
      <c r="A1292" s="31" t="s">
        <v>1951</v>
      </c>
      <c r="B1292" s="32" t="s">
        <v>1874</v>
      </c>
      <c r="C1292" s="33">
        <v>523</v>
      </c>
      <c r="D1292" s="34" t="s">
        <v>1116</v>
      </c>
      <c r="E1292" s="36">
        <v>0</v>
      </c>
      <c r="F1292" s="36">
        <f t="shared" si="191"/>
        <v>0</v>
      </c>
      <c r="G1292" s="36">
        <v>19160</v>
      </c>
      <c r="H1292" s="36">
        <f t="shared" si="192"/>
        <v>10020680</v>
      </c>
      <c r="I1292" s="36">
        <v>0</v>
      </c>
      <c r="J1292" s="36">
        <f t="shared" si="193"/>
        <v>0</v>
      </c>
      <c r="K1292" s="36">
        <f t="shared" si="184"/>
        <v>19160</v>
      </c>
      <c r="L1292" s="36">
        <f t="shared" si="183"/>
        <v>10020680</v>
      </c>
      <c r="M1292" s="37"/>
      <c r="N1292" s="253"/>
      <c r="O1292" s="38"/>
    </row>
    <row r="1293" spans="1:15" s="70" customFormat="1" ht="24.95" customHeight="1">
      <c r="A1293" s="64" t="s">
        <v>1952</v>
      </c>
      <c r="B1293" s="65" t="s">
        <v>22</v>
      </c>
      <c r="C1293" s="66"/>
      <c r="D1293" s="67" t="s">
        <v>22</v>
      </c>
      <c r="E1293" s="67"/>
      <c r="F1293" s="68">
        <f>F1294+F1296+F1301+F1305+F1321+F1325+F1334+F1336</f>
        <v>118996332</v>
      </c>
      <c r="G1293" s="67"/>
      <c r="H1293" s="68">
        <f>H1294+H1296+H1301+H1305+H1321+H1325+H1334+H1336</f>
        <v>345522948</v>
      </c>
      <c r="I1293" s="67"/>
      <c r="J1293" s="68">
        <f>J1294+J1296+J1301+J1305+J1321+J1325+J1334+J1336</f>
        <v>6189176</v>
      </c>
      <c r="K1293" s="68">
        <f t="shared" si="184"/>
        <v>0</v>
      </c>
      <c r="L1293" s="68">
        <f t="shared" si="183"/>
        <v>470708456</v>
      </c>
      <c r="M1293" s="69"/>
      <c r="N1293" s="256"/>
    </row>
    <row r="1294" spans="1:15" s="77" customFormat="1" ht="24.95" customHeight="1">
      <c r="A1294" s="71" t="s">
        <v>1953</v>
      </c>
      <c r="B1294" s="72" t="s">
        <v>22</v>
      </c>
      <c r="C1294" s="73"/>
      <c r="D1294" s="74" t="s">
        <v>22</v>
      </c>
      <c r="E1294" s="74"/>
      <c r="F1294" s="75">
        <f>TRUNC(F1295,0)</f>
        <v>7714300</v>
      </c>
      <c r="G1294" s="74"/>
      <c r="H1294" s="75">
        <f>TRUNC(H1295,0)</f>
        <v>1256980</v>
      </c>
      <c r="I1294" s="74"/>
      <c r="J1294" s="75">
        <f>TRUNC(J1295,0)</f>
        <v>925260</v>
      </c>
      <c r="K1294" s="75">
        <f t="shared" si="184"/>
        <v>0</v>
      </c>
      <c r="L1294" s="75">
        <f t="shared" si="183"/>
        <v>9896540</v>
      </c>
      <c r="M1294" s="76"/>
      <c r="N1294" s="257"/>
    </row>
    <row r="1295" spans="1:15" s="29" customFormat="1" ht="24.95" customHeight="1">
      <c r="A1295" s="31" t="s">
        <v>1954</v>
      </c>
      <c r="B1295" s="32" t="s">
        <v>1955</v>
      </c>
      <c r="C1295" s="33">
        <v>20</v>
      </c>
      <c r="D1295" s="34" t="s">
        <v>1956</v>
      </c>
      <c r="E1295" s="36">
        <v>385715</v>
      </c>
      <c r="F1295" s="36">
        <f>TRUNC(E1295*$C1295,0)</f>
        <v>7714300</v>
      </c>
      <c r="G1295" s="36">
        <v>62849</v>
      </c>
      <c r="H1295" s="36">
        <f>TRUNC(G1295*$C1295,0)</f>
        <v>1256980</v>
      </c>
      <c r="I1295" s="36">
        <v>46263</v>
      </c>
      <c r="J1295" s="36">
        <f>TRUNC(I1295*$C1295,0)</f>
        <v>925260</v>
      </c>
      <c r="K1295" s="36">
        <f t="shared" si="184"/>
        <v>494827</v>
      </c>
      <c r="L1295" s="36">
        <f t="shared" si="183"/>
        <v>9896540</v>
      </c>
      <c r="M1295" s="37"/>
      <c r="N1295" s="253"/>
      <c r="O1295" s="38"/>
    </row>
    <row r="1296" spans="1:15" s="77" customFormat="1" ht="24.95" customHeight="1">
      <c r="A1296" s="71" t="s">
        <v>1957</v>
      </c>
      <c r="B1296" s="72" t="s">
        <v>22</v>
      </c>
      <c r="C1296" s="73"/>
      <c r="D1296" s="74" t="s">
        <v>22</v>
      </c>
      <c r="E1296" s="74"/>
      <c r="F1296" s="75">
        <f>TRUNC(F1297+F1298+F1299+F1300,0)</f>
        <v>26723148</v>
      </c>
      <c r="G1296" s="74"/>
      <c r="H1296" s="75">
        <f>TRUNC(H1297+H1298+H1299+H1300,0)</f>
        <v>4507189</v>
      </c>
      <c r="I1296" s="74"/>
      <c r="J1296" s="75">
        <f>TRUNC(J1297+J1298+J1299+J1300,0)</f>
        <v>2994523</v>
      </c>
      <c r="K1296" s="75">
        <f t="shared" si="184"/>
        <v>0</v>
      </c>
      <c r="L1296" s="75">
        <f t="shared" si="183"/>
        <v>34224860</v>
      </c>
      <c r="M1296" s="76"/>
      <c r="N1296" s="257"/>
    </row>
    <row r="1297" spans="1:15" s="29" customFormat="1" ht="24.95" customHeight="1">
      <c r="A1297" s="31" t="s">
        <v>1958</v>
      </c>
      <c r="B1297" s="32" t="s">
        <v>1959</v>
      </c>
      <c r="C1297" s="33">
        <v>31</v>
      </c>
      <c r="D1297" s="34" t="s">
        <v>1956</v>
      </c>
      <c r="E1297" s="36">
        <v>358497</v>
      </c>
      <c r="F1297" s="36">
        <f>TRUNC(E1297*$C1297,0)</f>
        <v>11113407</v>
      </c>
      <c r="G1297" s="36">
        <v>58770</v>
      </c>
      <c r="H1297" s="36">
        <f>TRUNC(G1297*$C1297,0)</f>
        <v>1821870</v>
      </c>
      <c r="I1297" s="36">
        <v>42980</v>
      </c>
      <c r="J1297" s="36">
        <f>TRUNC(I1297*$C1297,0)</f>
        <v>1332380</v>
      </c>
      <c r="K1297" s="36">
        <f t="shared" si="184"/>
        <v>460247</v>
      </c>
      <c r="L1297" s="36">
        <f t="shared" si="183"/>
        <v>14267657</v>
      </c>
      <c r="M1297" s="37"/>
      <c r="N1297" s="253"/>
      <c r="O1297" s="38"/>
    </row>
    <row r="1298" spans="1:15" s="29" customFormat="1" ht="24.95" customHeight="1">
      <c r="A1298" s="31" t="s">
        <v>1960</v>
      </c>
      <c r="B1298" s="32" t="s">
        <v>1961</v>
      </c>
      <c r="C1298" s="33">
        <v>21</v>
      </c>
      <c r="D1298" s="34" t="s">
        <v>1956</v>
      </c>
      <c r="E1298" s="36">
        <v>358497</v>
      </c>
      <c r="F1298" s="36">
        <f>TRUNC(E1298*$C1298,0)</f>
        <v>7528437</v>
      </c>
      <c r="G1298" s="36">
        <v>59789</v>
      </c>
      <c r="H1298" s="36">
        <f>TRUNC(G1298*$C1298,0)</f>
        <v>1255569</v>
      </c>
      <c r="I1298" s="36">
        <v>42980</v>
      </c>
      <c r="J1298" s="36">
        <f>TRUNC(I1298*$C1298,0)</f>
        <v>902580</v>
      </c>
      <c r="K1298" s="36">
        <f t="shared" si="184"/>
        <v>461266</v>
      </c>
      <c r="L1298" s="36">
        <f t="shared" si="183"/>
        <v>9686586</v>
      </c>
      <c r="M1298" s="37"/>
      <c r="N1298" s="253"/>
      <c r="O1298" s="38"/>
    </row>
    <row r="1299" spans="1:15" s="29" customFormat="1" ht="24.95" customHeight="1">
      <c r="A1299" s="31" t="s">
        <v>1962</v>
      </c>
      <c r="B1299" s="32" t="s">
        <v>1963</v>
      </c>
      <c r="C1299" s="33">
        <v>21</v>
      </c>
      <c r="D1299" s="34" t="s">
        <v>1956</v>
      </c>
      <c r="E1299" s="36">
        <v>197108</v>
      </c>
      <c r="F1299" s="36">
        <f>TRUNC(E1299*$C1299,0)</f>
        <v>4139268</v>
      </c>
      <c r="G1299" s="36">
        <v>38228</v>
      </c>
      <c r="H1299" s="36">
        <f>TRUNC(G1299*$C1299,0)</f>
        <v>802788</v>
      </c>
      <c r="I1299" s="36">
        <v>19581</v>
      </c>
      <c r="J1299" s="36">
        <f>TRUNC(I1299*$C1299,0)</f>
        <v>411201</v>
      </c>
      <c r="K1299" s="36">
        <f t="shared" si="184"/>
        <v>254917</v>
      </c>
      <c r="L1299" s="36">
        <f t="shared" si="183"/>
        <v>5353257</v>
      </c>
      <c r="M1299" s="37"/>
      <c r="N1299" s="253"/>
      <c r="O1299" s="38"/>
    </row>
    <row r="1300" spans="1:15" s="29" customFormat="1" ht="24.95" customHeight="1">
      <c r="A1300" s="31" t="s">
        <v>1964</v>
      </c>
      <c r="B1300" s="32" t="s">
        <v>1965</v>
      </c>
      <c r="C1300" s="33">
        <v>14</v>
      </c>
      <c r="D1300" s="34" t="s">
        <v>1956</v>
      </c>
      <c r="E1300" s="36">
        <v>281574</v>
      </c>
      <c r="F1300" s="36">
        <f>TRUNC(E1300*$C1300,0)</f>
        <v>3942036</v>
      </c>
      <c r="G1300" s="36">
        <v>44783</v>
      </c>
      <c r="H1300" s="36">
        <f>TRUNC(G1300*$C1300,0)</f>
        <v>626962</v>
      </c>
      <c r="I1300" s="36">
        <v>24883</v>
      </c>
      <c r="J1300" s="36">
        <f>TRUNC(I1300*$C1300,0)</f>
        <v>348362</v>
      </c>
      <c r="K1300" s="36">
        <f t="shared" si="184"/>
        <v>351240</v>
      </c>
      <c r="L1300" s="36">
        <f t="shared" si="183"/>
        <v>4917360</v>
      </c>
      <c r="M1300" s="37"/>
      <c r="N1300" s="253"/>
      <c r="O1300" s="38"/>
    </row>
    <row r="1301" spans="1:15" s="77" customFormat="1" ht="24.95" customHeight="1">
      <c r="A1301" s="71" t="s">
        <v>1966</v>
      </c>
      <c r="B1301" s="72" t="s">
        <v>22</v>
      </c>
      <c r="C1301" s="73"/>
      <c r="D1301" s="74" t="s">
        <v>22</v>
      </c>
      <c r="E1301" s="74"/>
      <c r="F1301" s="75">
        <f>TRUNC(F1302+F1303+F1304,0)</f>
        <v>8913906</v>
      </c>
      <c r="G1301" s="74"/>
      <c r="H1301" s="75">
        <f>TRUNC(H1302+H1303+H1304,0)</f>
        <v>67434253</v>
      </c>
      <c r="I1301" s="74"/>
      <c r="J1301" s="75">
        <f>TRUNC(J1302+J1303+J1304,0)</f>
        <v>643320</v>
      </c>
      <c r="K1301" s="75">
        <f t="shared" si="184"/>
        <v>0</v>
      </c>
      <c r="L1301" s="75">
        <f t="shared" si="183"/>
        <v>76991479</v>
      </c>
      <c r="M1301" s="76"/>
      <c r="N1301" s="257"/>
    </row>
    <row r="1302" spans="1:15" s="29" customFormat="1" ht="24.95" customHeight="1">
      <c r="A1302" s="31" t="s">
        <v>1967</v>
      </c>
      <c r="B1302" s="32" t="s">
        <v>1968</v>
      </c>
      <c r="C1302" s="33">
        <v>24</v>
      </c>
      <c r="D1302" s="34" t="s">
        <v>1956</v>
      </c>
      <c r="E1302" s="36">
        <v>223219</v>
      </c>
      <c r="F1302" s="36">
        <f>TRUNC(E1302*$C1302,0)</f>
        <v>5357256</v>
      </c>
      <c r="G1302" s="36">
        <v>2591326</v>
      </c>
      <c r="H1302" s="36">
        <f>TRUNC(G1302*$C1302,0)</f>
        <v>62191824</v>
      </c>
      <c r="I1302" s="36">
        <v>26805</v>
      </c>
      <c r="J1302" s="36">
        <f>TRUNC(I1302*$C1302,0)</f>
        <v>643320</v>
      </c>
      <c r="K1302" s="36">
        <f t="shared" si="184"/>
        <v>2841350</v>
      </c>
      <c r="L1302" s="36">
        <f t="shared" si="183"/>
        <v>68192400</v>
      </c>
      <c r="M1302" s="37"/>
      <c r="N1302" s="253"/>
      <c r="O1302" s="38"/>
    </row>
    <row r="1303" spans="1:15" s="29" customFormat="1" ht="24.95" customHeight="1">
      <c r="A1303" s="31" t="s">
        <v>1969</v>
      </c>
      <c r="B1303" s="32" t="s">
        <v>1970</v>
      </c>
      <c r="C1303" s="33">
        <v>7</v>
      </c>
      <c r="D1303" s="34" t="s">
        <v>1956</v>
      </c>
      <c r="E1303" s="36">
        <v>29320</v>
      </c>
      <c r="F1303" s="36">
        <f>TRUNC(E1303*$C1303,0)</f>
        <v>205240</v>
      </c>
      <c r="G1303" s="36">
        <v>239925</v>
      </c>
      <c r="H1303" s="36">
        <f>TRUNC(G1303*$C1303,0)</f>
        <v>1679475</v>
      </c>
      <c r="I1303" s="36">
        <v>0</v>
      </c>
      <c r="J1303" s="36">
        <f>TRUNC(I1303*$C1303,0)</f>
        <v>0</v>
      </c>
      <c r="K1303" s="36">
        <f t="shared" si="184"/>
        <v>269245</v>
      </c>
      <c r="L1303" s="36">
        <f t="shared" si="183"/>
        <v>1884715</v>
      </c>
      <c r="M1303" s="37"/>
      <c r="N1303" s="253"/>
      <c r="O1303" s="38"/>
    </row>
    <row r="1304" spans="1:15" s="29" customFormat="1" ht="24.95" customHeight="1">
      <c r="A1304" s="31" t="s">
        <v>1971</v>
      </c>
      <c r="B1304" s="32" t="s">
        <v>1972</v>
      </c>
      <c r="C1304" s="33">
        <v>62</v>
      </c>
      <c r="D1304" s="34" t="s">
        <v>1956</v>
      </c>
      <c r="E1304" s="36">
        <v>54055</v>
      </c>
      <c r="F1304" s="36">
        <f>TRUNC(E1304*$C1304,0)</f>
        <v>3351410</v>
      </c>
      <c r="G1304" s="36">
        <v>57467</v>
      </c>
      <c r="H1304" s="36">
        <f>TRUNC(G1304*$C1304,0)</f>
        <v>3562954</v>
      </c>
      <c r="I1304" s="36">
        <v>0</v>
      </c>
      <c r="J1304" s="36">
        <f>TRUNC(I1304*$C1304,0)</f>
        <v>0</v>
      </c>
      <c r="K1304" s="36">
        <f t="shared" si="184"/>
        <v>111522</v>
      </c>
      <c r="L1304" s="36">
        <f t="shared" si="184"/>
        <v>6914364</v>
      </c>
      <c r="M1304" s="37"/>
      <c r="N1304" s="253"/>
      <c r="O1304" s="38"/>
    </row>
    <row r="1305" spans="1:15" s="77" customFormat="1" ht="24.95" customHeight="1">
      <c r="A1305" s="71" t="s">
        <v>1973</v>
      </c>
      <c r="B1305" s="72" t="s">
        <v>22</v>
      </c>
      <c r="C1305" s="73"/>
      <c r="D1305" s="74" t="s">
        <v>22</v>
      </c>
      <c r="E1305" s="74"/>
      <c r="F1305" s="75">
        <f>TRUNC(F1306+F1307+F1308+F1309+F1310+F1311+F1312+F1313+F1314+F1315+F1316+F1317+F1318+F1319+F1320,0)</f>
        <v>27343099</v>
      </c>
      <c r="G1305" s="74"/>
      <c r="H1305" s="75">
        <f>TRUNC(H1306+H1307+H1308+H1309+H1310+H1311+H1312+H1313+H1314+H1315+H1316+H1317+H1318+H1319+H1320,0)</f>
        <v>94962620</v>
      </c>
      <c r="I1305" s="74"/>
      <c r="J1305" s="75">
        <f>TRUNC(J1306+J1307+J1308+J1309+J1310+J1311+J1312+J1313+J1314+J1315+J1316+J1317+J1318+J1319+J1320,0)</f>
        <v>1626073</v>
      </c>
      <c r="K1305" s="75">
        <f t="shared" ref="K1305:L1368" si="194">G1305+E1305+I1305</f>
        <v>0</v>
      </c>
      <c r="L1305" s="75">
        <f t="shared" si="194"/>
        <v>123931792</v>
      </c>
      <c r="M1305" s="76"/>
      <c r="N1305" s="257"/>
    </row>
    <row r="1306" spans="1:15" s="29" customFormat="1" ht="24.95" customHeight="1">
      <c r="A1306" s="31" t="s">
        <v>1974</v>
      </c>
      <c r="B1306" s="32" t="s">
        <v>1975</v>
      </c>
      <c r="C1306" s="33">
        <v>8</v>
      </c>
      <c r="D1306" s="34" t="s">
        <v>1956</v>
      </c>
      <c r="E1306" s="36">
        <v>67086</v>
      </c>
      <c r="F1306" s="36">
        <f t="shared" ref="F1306:F1320" si="195">TRUNC(E1306*$C1306,0)</f>
        <v>536688</v>
      </c>
      <c r="G1306" s="36">
        <v>177411</v>
      </c>
      <c r="H1306" s="36">
        <f t="shared" ref="H1306:H1320" si="196">TRUNC(G1306*$C1306,0)</f>
        <v>1419288</v>
      </c>
      <c r="I1306" s="36">
        <v>5047</v>
      </c>
      <c r="J1306" s="36">
        <f t="shared" ref="J1306:J1320" si="197">TRUNC(I1306*$C1306,0)</f>
        <v>40376</v>
      </c>
      <c r="K1306" s="36">
        <f t="shared" si="194"/>
        <v>249544</v>
      </c>
      <c r="L1306" s="36">
        <f t="shared" si="194"/>
        <v>1996352</v>
      </c>
      <c r="M1306" s="37"/>
      <c r="N1306" s="253"/>
      <c r="O1306" s="38"/>
    </row>
    <row r="1307" spans="1:15" s="29" customFormat="1" ht="24.95" customHeight="1">
      <c r="A1307" s="31" t="s">
        <v>1976</v>
      </c>
      <c r="B1307" s="32" t="s">
        <v>1975</v>
      </c>
      <c r="C1307" s="33">
        <v>18</v>
      </c>
      <c r="D1307" s="34" t="s">
        <v>1956</v>
      </c>
      <c r="E1307" s="36">
        <v>67086</v>
      </c>
      <c r="F1307" s="36">
        <f t="shared" si="195"/>
        <v>1207548</v>
      </c>
      <c r="G1307" s="36">
        <v>233310</v>
      </c>
      <c r="H1307" s="36">
        <f t="shared" si="196"/>
        <v>4199580</v>
      </c>
      <c r="I1307" s="36">
        <v>5047</v>
      </c>
      <c r="J1307" s="36">
        <f t="shared" si="197"/>
        <v>90846</v>
      </c>
      <c r="K1307" s="36">
        <f t="shared" si="194"/>
        <v>305443</v>
      </c>
      <c r="L1307" s="36">
        <f t="shared" si="194"/>
        <v>5497974</v>
      </c>
      <c r="M1307" s="37"/>
      <c r="N1307" s="253"/>
      <c r="O1307" s="38"/>
    </row>
    <row r="1308" spans="1:15" s="29" customFormat="1" ht="24.95" customHeight="1">
      <c r="A1308" s="31" t="s">
        <v>1977</v>
      </c>
      <c r="B1308" s="32" t="s">
        <v>1978</v>
      </c>
      <c r="C1308" s="33">
        <v>8</v>
      </c>
      <c r="D1308" s="34" t="s">
        <v>1956</v>
      </c>
      <c r="E1308" s="36">
        <v>67086</v>
      </c>
      <c r="F1308" s="36">
        <f t="shared" si="195"/>
        <v>536688</v>
      </c>
      <c r="G1308" s="36">
        <v>310605</v>
      </c>
      <c r="H1308" s="36">
        <f t="shared" si="196"/>
        <v>2484840</v>
      </c>
      <c r="I1308" s="36">
        <v>5047</v>
      </c>
      <c r="J1308" s="36">
        <f t="shared" si="197"/>
        <v>40376</v>
      </c>
      <c r="K1308" s="36">
        <f t="shared" si="194"/>
        <v>382738</v>
      </c>
      <c r="L1308" s="36">
        <f t="shared" si="194"/>
        <v>3061904</v>
      </c>
      <c r="M1308" s="37"/>
      <c r="N1308" s="253"/>
      <c r="O1308" s="38"/>
    </row>
    <row r="1309" spans="1:15" s="29" customFormat="1" ht="24.95" customHeight="1">
      <c r="A1309" s="31" t="s">
        <v>1979</v>
      </c>
      <c r="B1309" s="32" t="s">
        <v>1980</v>
      </c>
      <c r="C1309" s="33">
        <v>1</v>
      </c>
      <c r="D1309" s="34" t="s">
        <v>1956</v>
      </c>
      <c r="E1309" s="36">
        <v>124467</v>
      </c>
      <c r="F1309" s="36">
        <f t="shared" si="195"/>
        <v>124467</v>
      </c>
      <c r="G1309" s="36">
        <v>896445</v>
      </c>
      <c r="H1309" s="36">
        <f t="shared" si="196"/>
        <v>896445</v>
      </c>
      <c r="I1309" s="36">
        <v>8731</v>
      </c>
      <c r="J1309" s="36">
        <f t="shared" si="197"/>
        <v>8731</v>
      </c>
      <c r="K1309" s="36">
        <f t="shared" si="194"/>
        <v>1029643</v>
      </c>
      <c r="L1309" s="36">
        <f t="shared" si="194"/>
        <v>1029643</v>
      </c>
      <c r="M1309" s="37"/>
      <c r="N1309" s="253"/>
      <c r="O1309" s="38"/>
    </row>
    <row r="1310" spans="1:15" s="29" customFormat="1" ht="24.95" customHeight="1">
      <c r="A1310" s="31" t="s">
        <v>1981</v>
      </c>
      <c r="B1310" s="32" t="s">
        <v>1982</v>
      </c>
      <c r="C1310" s="33">
        <v>9</v>
      </c>
      <c r="D1310" s="34" t="s">
        <v>1956</v>
      </c>
      <c r="E1310" s="36">
        <v>101510</v>
      </c>
      <c r="F1310" s="36">
        <f t="shared" si="195"/>
        <v>913590</v>
      </c>
      <c r="G1310" s="36">
        <v>482114</v>
      </c>
      <c r="H1310" s="36">
        <f t="shared" si="196"/>
        <v>4339026</v>
      </c>
      <c r="I1310" s="36">
        <v>7094</v>
      </c>
      <c r="J1310" s="36">
        <f t="shared" si="197"/>
        <v>63846</v>
      </c>
      <c r="K1310" s="36">
        <f t="shared" si="194"/>
        <v>590718</v>
      </c>
      <c r="L1310" s="36">
        <f t="shared" si="194"/>
        <v>5316462</v>
      </c>
      <c r="M1310" s="37"/>
      <c r="N1310" s="253"/>
      <c r="O1310" s="38"/>
    </row>
    <row r="1311" spans="1:15" s="29" customFormat="1" ht="24.95" customHeight="1">
      <c r="A1311" s="31" t="s">
        <v>1983</v>
      </c>
      <c r="B1311" s="32" t="s">
        <v>1984</v>
      </c>
      <c r="C1311" s="33">
        <v>25</v>
      </c>
      <c r="D1311" s="34" t="s">
        <v>1956</v>
      </c>
      <c r="E1311" s="36">
        <v>65478</v>
      </c>
      <c r="F1311" s="36">
        <f t="shared" si="195"/>
        <v>1636950</v>
      </c>
      <c r="G1311" s="36">
        <v>164115</v>
      </c>
      <c r="H1311" s="36">
        <f t="shared" si="196"/>
        <v>4102875</v>
      </c>
      <c r="I1311" s="36">
        <v>0</v>
      </c>
      <c r="J1311" s="36">
        <f t="shared" si="197"/>
        <v>0</v>
      </c>
      <c r="K1311" s="36">
        <f t="shared" si="194"/>
        <v>229593</v>
      </c>
      <c r="L1311" s="36">
        <f t="shared" si="194"/>
        <v>5739825</v>
      </c>
      <c r="M1311" s="37"/>
      <c r="N1311" s="253"/>
      <c r="O1311" s="38"/>
    </row>
    <row r="1312" spans="1:15" s="29" customFormat="1" ht="24.95" customHeight="1">
      <c r="A1312" s="31" t="s">
        <v>1985</v>
      </c>
      <c r="B1312" s="32" t="s">
        <v>1986</v>
      </c>
      <c r="C1312" s="33">
        <v>17</v>
      </c>
      <c r="D1312" s="34" t="s">
        <v>1956</v>
      </c>
      <c r="E1312" s="36">
        <v>81772</v>
      </c>
      <c r="F1312" s="36">
        <f t="shared" si="195"/>
        <v>1390124</v>
      </c>
      <c r="G1312" s="36">
        <v>277937</v>
      </c>
      <c r="H1312" s="36">
        <f t="shared" si="196"/>
        <v>4724929</v>
      </c>
      <c r="I1312" s="36">
        <v>5866</v>
      </c>
      <c r="J1312" s="36">
        <f t="shared" si="197"/>
        <v>99722</v>
      </c>
      <c r="K1312" s="36">
        <f t="shared" si="194"/>
        <v>365575</v>
      </c>
      <c r="L1312" s="36">
        <f t="shared" si="194"/>
        <v>6214775</v>
      </c>
      <c r="M1312" s="37"/>
      <c r="N1312" s="253"/>
      <c r="O1312" s="38"/>
    </row>
    <row r="1313" spans="1:15" s="29" customFormat="1" ht="24.95" customHeight="1">
      <c r="A1313" s="31" t="s">
        <v>1987</v>
      </c>
      <c r="B1313" s="32" t="s">
        <v>1988</v>
      </c>
      <c r="C1313" s="33">
        <v>42</v>
      </c>
      <c r="D1313" s="34" t="s">
        <v>1956</v>
      </c>
      <c r="E1313" s="36">
        <v>81772</v>
      </c>
      <c r="F1313" s="36">
        <f t="shared" si="195"/>
        <v>3434424</v>
      </c>
      <c r="G1313" s="36">
        <v>270785</v>
      </c>
      <c r="H1313" s="36">
        <f t="shared" si="196"/>
        <v>11372970</v>
      </c>
      <c r="I1313" s="36">
        <v>5866</v>
      </c>
      <c r="J1313" s="36">
        <f t="shared" si="197"/>
        <v>246372</v>
      </c>
      <c r="K1313" s="36">
        <f t="shared" si="194"/>
        <v>358423</v>
      </c>
      <c r="L1313" s="36">
        <f t="shared" si="194"/>
        <v>15053766</v>
      </c>
      <c r="M1313" s="37"/>
      <c r="N1313" s="253"/>
      <c r="O1313" s="38"/>
    </row>
    <row r="1314" spans="1:15" s="29" customFormat="1" ht="24.95" customHeight="1">
      <c r="A1314" s="31" t="s">
        <v>1989</v>
      </c>
      <c r="B1314" s="32" t="s">
        <v>1990</v>
      </c>
      <c r="C1314" s="33">
        <v>34</v>
      </c>
      <c r="D1314" s="34" t="s">
        <v>1956</v>
      </c>
      <c r="E1314" s="36">
        <v>81772</v>
      </c>
      <c r="F1314" s="36">
        <f t="shared" si="195"/>
        <v>2780248</v>
      </c>
      <c r="G1314" s="36">
        <v>274534</v>
      </c>
      <c r="H1314" s="36">
        <f t="shared" si="196"/>
        <v>9334156</v>
      </c>
      <c r="I1314" s="36">
        <v>5866</v>
      </c>
      <c r="J1314" s="36">
        <f t="shared" si="197"/>
        <v>199444</v>
      </c>
      <c r="K1314" s="36">
        <f t="shared" si="194"/>
        <v>362172</v>
      </c>
      <c r="L1314" s="36">
        <f t="shared" si="194"/>
        <v>12313848</v>
      </c>
      <c r="M1314" s="37"/>
      <c r="N1314" s="253"/>
      <c r="O1314" s="38"/>
    </row>
    <row r="1315" spans="1:15" s="29" customFormat="1" ht="24.95" customHeight="1">
      <c r="A1315" s="31" t="s">
        <v>1991</v>
      </c>
      <c r="B1315" s="32" t="s">
        <v>1992</v>
      </c>
      <c r="C1315" s="33">
        <v>15</v>
      </c>
      <c r="D1315" s="34" t="s">
        <v>1956</v>
      </c>
      <c r="E1315" s="36">
        <v>81772</v>
      </c>
      <c r="F1315" s="36">
        <f t="shared" si="195"/>
        <v>1226580</v>
      </c>
      <c r="G1315" s="36">
        <v>479541</v>
      </c>
      <c r="H1315" s="36">
        <f t="shared" si="196"/>
        <v>7193115</v>
      </c>
      <c r="I1315" s="36">
        <v>5866</v>
      </c>
      <c r="J1315" s="36">
        <f t="shared" si="197"/>
        <v>87990</v>
      </c>
      <c r="K1315" s="36">
        <f t="shared" si="194"/>
        <v>567179</v>
      </c>
      <c r="L1315" s="36">
        <f t="shared" si="194"/>
        <v>8507685</v>
      </c>
      <c r="M1315" s="37"/>
      <c r="N1315" s="253"/>
      <c r="O1315" s="38"/>
    </row>
    <row r="1316" spans="1:15" s="29" customFormat="1" ht="24.95" customHeight="1">
      <c r="A1316" s="31" t="s">
        <v>1993</v>
      </c>
      <c r="B1316" s="32" t="s">
        <v>1975</v>
      </c>
      <c r="C1316" s="33">
        <v>46</v>
      </c>
      <c r="D1316" s="34" t="s">
        <v>1956</v>
      </c>
      <c r="E1316" s="36">
        <v>67086</v>
      </c>
      <c r="F1316" s="36">
        <f t="shared" si="195"/>
        <v>3085956</v>
      </c>
      <c r="G1316" s="36">
        <v>246223</v>
      </c>
      <c r="H1316" s="36">
        <f t="shared" si="196"/>
        <v>11326258</v>
      </c>
      <c r="I1316" s="36">
        <v>5047</v>
      </c>
      <c r="J1316" s="36">
        <f t="shared" si="197"/>
        <v>232162</v>
      </c>
      <c r="K1316" s="36">
        <f t="shared" si="194"/>
        <v>318356</v>
      </c>
      <c r="L1316" s="36">
        <f t="shared" si="194"/>
        <v>14644376</v>
      </c>
      <c r="M1316" s="37"/>
      <c r="N1316" s="253"/>
      <c r="O1316" s="38"/>
    </row>
    <row r="1317" spans="1:15" s="29" customFormat="1" ht="24.95" customHeight="1">
      <c r="A1317" s="31" t="s">
        <v>1994</v>
      </c>
      <c r="B1317" s="32" t="s">
        <v>1995</v>
      </c>
      <c r="C1317" s="33">
        <v>50</v>
      </c>
      <c r="D1317" s="34" t="s">
        <v>1956</v>
      </c>
      <c r="E1317" s="36">
        <v>65478</v>
      </c>
      <c r="F1317" s="36">
        <f t="shared" si="195"/>
        <v>3273900</v>
      </c>
      <c r="G1317" s="36">
        <v>96186</v>
      </c>
      <c r="H1317" s="36">
        <f t="shared" si="196"/>
        <v>4809300</v>
      </c>
      <c r="I1317" s="36">
        <v>0</v>
      </c>
      <c r="J1317" s="36">
        <f t="shared" si="197"/>
        <v>0</v>
      </c>
      <c r="K1317" s="36">
        <f t="shared" si="194"/>
        <v>161664</v>
      </c>
      <c r="L1317" s="36">
        <f t="shared" si="194"/>
        <v>8083200</v>
      </c>
      <c r="M1317" s="37"/>
      <c r="N1317" s="253"/>
      <c r="O1317" s="38"/>
    </row>
    <row r="1318" spans="1:15" s="29" customFormat="1" ht="24.95" customHeight="1">
      <c r="A1318" s="31" t="s">
        <v>1996</v>
      </c>
      <c r="B1318" s="32" t="s">
        <v>1997</v>
      </c>
      <c r="C1318" s="33">
        <v>18</v>
      </c>
      <c r="D1318" s="34" t="s">
        <v>1956</v>
      </c>
      <c r="E1318" s="36">
        <v>81772</v>
      </c>
      <c r="F1318" s="36">
        <f t="shared" si="195"/>
        <v>1471896</v>
      </c>
      <c r="G1318" s="36">
        <v>375336</v>
      </c>
      <c r="H1318" s="36">
        <f t="shared" si="196"/>
        <v>6756048</v>
      </c>
      <c r="I1318" s="36">
        <v>5866</v>
      </c>
      <c r="J1318" s="36">
        <f t="shared" si="197"/>
        <v>105588</v>
      </c>
      <c r="K1318" s="36">
        <f t="shared" si="194"/>
        <v>462974</v>
      </c>
      <c r="L1318" s="36">
        <f t="shared" si="194"/>
        <v>8333532</v>
      </c>
      <c r="M1318" s="37"/>
      <c r="N1318" s="253"/>
      <c r="O1318" s="38"/>
    </row>
    <row r="1319" spans="1:15" s="29" customFormat="1" ht="24.95" customHeight="1">
      <c r="A1319" s="31" t="s">
        <v>1998</v>
      </c>
      <c r="B1319" s="32" t="s">
        <v>1999</v>
      </c>
      <c r="C1319" s="33">
        <v>15</v>
      </c>
      <c r="D1319" s="34" t="s">
        <v>1956</v>
      </c>
      <c r="E1319" s="36">
        <v>81772</v>
      </c>
      <c r="F1319" s="36">
        <f t="shared" si="195"/>
        <v>1226580</v>
      </c>
      <c r="G1319" s="36">
        <v>241281</v>
      </c>
      <c r="H1319" s="36">
        <f t="shared" si="196"/>
        <v>3619215</v>
      </c>
      <c r="I1319" s="36">
        <v>5866</v>
      </c>
      <c r="J1319" s="36">
        <f t="shared" si="197"/>
        <v>87990</v>
      </c>
      <c r="K1319" s="36">
        <f t="shared" si="194"/>
        <v>328919</v>
      </c>
      <c r="L1319" s="36">
        <f t="shared" si="194"/>
        <v>4933785</v>
      </c>
      <c r="M1319" s="37"/>
      <c r="N1319" s="253"/>
      <c r="O1319" s="38"/>
    </row>
    <row r="1320" spans="1:15" s="29" customFormat="1" ht="24.95" customHeight="1">
      <c r="A1320" s="31" t="s">
        <v>2000</v>
      </c>
      <c r="B1320" s="32" t="s">
        <v>1997</v>
      </c>
      <c r="C1320" s="33">
        <v>55</v>
      </c>
      <c r="D1320" s="34" t="s">
        <v>1956</v>
      </c>
      <c r="E1320" s="36">
        <v>81772</v>
      </c>
      <c r="F1320" s="36">
        <f t="shared" si="195"/>
        <v>4497460</v>
      </c>
      <c r="G1320" s="36">
        <v>334265</v>
      </c>
      <c r="H1320" s="36">
        <f t="shared" si="196"/>
        <v>18384575</v>
      </c>
      <c r="I1320" s="36">
        <v>5866</v>
      </c>
      <c r="J1320" s="36">
        <f t="shared" si="197"/>
        <v>322630</v>
      </c>
      <c r="K1320" s="36">
        <f t="shared" si="194"/>
        <v>421903</v>
      </c>
      <c r="L1320" s="36">
        <f t="shared" si="194"/>
        <v>23204665</v>
      </c>
      <c r="M1320" s="37"/>
      <c r="N1320" s="253"/>
      <c r="O1320" s="38"/>
    </row>
    <row r="1321" spans="1:15" s="77" customFormat="1" ht="24.95" customHeight="1">
      <c r="A1321" s="71" t="s">
        <v>2001</v>
      </c>
      <c r="B1321" s="72" t="s">
        <v>22</v>
      </c>
      <c r="C1321" s="73"/>
      <c r="D1321" s="74" t="s">
        <v>22</v>
      </c>
      <c r="E1321" s="74"/>
      <c r="F1321" s="75">
        <f>TRUNC(F1322+F1323+F1324,0)</f>
        <v>2534730</v>
      </c>
      <c r="G1321" s="74"/>
      <c r="H1321" s="75">
        <f>TRUNC(H1322+H1323+H1324,0)</f>
        <v>5395890</v>
      </c>
      <c r="I1321" s="74"/>
      <c r="J1321" s="75">
        <f>TRUNC(J1322+J1323+J1324,0)</f>
        <v>0</v>
      </c>
      <c r="K1321" s="75">
        <f t="shared" si="194"/>
        <v>0</v>
      </c>
      <c r="L1321" s="75">
        <f t="shared" si="194"/>
        <v>7930620</v>
      </c>
      <c r="M1321" s="76"/>
      <c r="N1321" s="257"/>
    </row>
    <row r="1322" spans="1:15" s="29" customFormat="1" ht="24.95" customHeight="1">
      <c r="A1322" s="31" t="s">
        <v>2002</v>
      </c>
      <c r="B1322" s="32" t="s">
        <v>2003</v>
      </c>
      <c r="C1322" s="33">
        <v>240</v>
      </c>
      <c r="D1322" s="34" t="s">
        <v>1956</v>
      </c>
      <c r="E1322" s="36">
        <v>1555</v>
      </c>
      <c r="F1322" s="36">
        <f>TRUNC(E1322*$C1322,0)</f>
        <v>373200</v>
      </c>
      <c r="G1322" s="36">
        <v>11071</v>
      </c>
      <c r="H1322" s="36">
        <f>TRUNC(G1322*$C1322,0)</f>
        <v>2657040</v>
      </c>
      <c r="I1322" s="36">
        <v>0</v>
      </c>
      <c r="J1322" s="36">
        <f>TRUNC(I1322*$C1322,0)</f>
        <v>0</v>
      </c>
      <c r="K1322" s="36">
        <f t="shared" si="194"/>
        <v>12626</v>
      </c>
      <c r="L1322" s="36">
        <f t="shared" si="194"/>
        <v>3030240</v>
      </c>
      <c r="M1322" s="37"/>
      <c r="N1322" s="253"/>
      <c r="O1322" s="38"/>
    </row>
    <row r="1323" spans="1:15" s="29" customFormat="1" ht="24.95" customHeight="1">
      <c r="A1323" s="31" t="s">
        <v>2004</v>
      </c>
      <c r="B1323" s="32" t="s">
        <v>2005</v>
      </c>
      <c r="C1323" s="33">
        <v>300</v>
      </c>
      <c r="D1323" s="34" t="s">
        <v>1956</v>
      </c>
      <c r="E1323" s="36">
        <v>3431</v>
      </c>
      <c r="F1323" s="36">
        <f>TRUNC(E1323*$C1323,0)</f>
        <v>1029300</v>
      </c>
      <c r="G1323" s="36">
        <v>3723</v>
      </c>
      <c r="H1323" s="36">
        <f>TRUNC(G1323*$C1323,0)</f>
        <v>1116900</v>
      </c>
      <c r="I1323" s="36">
        <v>0</v>
      </c>
      <c r="J1323" s="36">
        <f>TRUNC(I1323*$C1323,0)</f>
        <v>0</v>
      </c>
      <c r="K1323" s="36">
        <f t="shared" si="194"/>
        <v>7154</v>
      </c>
      <c r="L1323" s="36">
        <f t="shared" si="194"/>
        <v>2146200</v>
      </c>
      <c r="M1323" s="37"/>
      <c r="N1323" s="253"/>
      <c r="O1323" s="38"/>
    </row>
    <row r="1324" spans="1:15" s="29" customFormat="1" ht="24.95" customHeight="1">
      <c r="A1324" s="31" t="s">
        <v>2006</v>
      </c>
      <c r="B1324" s="32" t="s">
        <v>2005</v>
      </c>
      <c r="C1324" s="33">
        <v>330</v>
      </c>
      <c r="D1324" s="34" t="s">
        <v>1956</v>
      </c>
      <c r="E1324" s="36">
        <v>3431</v>
      </c>
      <c r="F1324" s="36">
        <f>TRUNC(E1324*$C1324,0)</f>
        <v>1132230</v>
      </c>
      <c r="G1324" s="36">
        <v>4915</v>
      </c>
      <c r="H1324" s="36">
        <f>TRUNC(G1324*$C1324,0)</f>
        <v>1621950</v>
      </c>
      <c r="I1324" s="36">
        <v>0</v>
      </c>
      <c r="J1324" s="36">
        <f>TRUNC(I1324*$C1324,0)</f>
        <v>0</v>
      </c>
      <c r="K1324" s="36">
        <f t="shared" si="194"/>
        <v>8346</v>
      </c>
      <c r="L1324" s="36">
        <f t="shared" si="194"/>
        <v>2754180</v>
      </c>
      <c r="M1324" s="37"/>
      <c r="N1324" s="253"/>
      <c r="O1324" s="38"/>
    </row>
    <row r="1325" spans="1:15" s="77" customFormat="1" ht="24.95" customHeight="1">
      <c r="A1325" s="71" t="s">
        <v>2007</v>
      </c>
      <c r="B1325" s="72" t="s">
        <v>22</v>
      </c>
      <c r="C1325" s="73"/>
      <c r="D1325" s="74" t="s">
        <v>22</v>
      </c>
      <c r="E1325" s="74"/>
      <c r="F1325" s="75">
        <f>TRUNC(F1326+F1327+F1328+F1329+F1330+F1331+F1332+F1333,0)</f>
        <v>5026630</v>
      </c>
      <c r="G1325" s="74"/>
      <c r="H1325" s="75">
        <f>TRUNC(H1326+H1327+H1328+H1329+H1330+H1331+H1332+H1333,0)</f>
        <v>6001510</v>
      </c>
      <c r="I1325" s="74"/>
      <c r="J1325" s="75">
        <f>TRUNC(J1326+J1327+J1328+J1329+J1330+J1331+J1332+J1333,0)</f>
        <v>0</v>
      </c>
      <c r="K1325" s="75">
        <f t="shared" si="194"/>
        <v>0</v>
      </c>
      <c r="L1325" s="75">
        <f t="shared" si="194"/>
        <v>11028140</v>
      </c>
      <c r="M1325" s="76"/>
      <c r="N1325" s="257"/>
    </row>
    <row r="1326" spans="1:15" s="29" customFormat="1" ht="24.95" customHeight="1">
      <c r="A1326" s="31" t="s">
        <v>2008</v>
      </c>
      <c r="B1326" s="32" t="s">
        <v>2003</v>
      </c>
      <c r="C1326" s="33">
        <v>700</v>
      </c>
      <c r="D1326" s="34" t="s">
        <v>1956</v>
      </c>
      <c r="E1326" s="36">
        <v>1555</v>
      </c>
      <c r="F1326" s="36">
        <f t="shared" ref="F1326:F1333" si="198">TRUNC(E1326*$C1326,0)</f>
        <v>1088500</v>
      </c>
      <c r="G1326" s="36">
        <v>2091</v>
      </c>
      <c r="H1326" s="36">
        <f t="shared" ref="H1326:H1333" si="199">TRUNC(G1326*$C1326,0)</f>
        <v>1463700</v>
      </c>
      <c r="I1326" s="36">
        <v>0</v>
      </c>
      <c r="J1326" s="36">
        <f t="shared" ref="J1326:J1333" si="200">TRUNC(I1326*$C1326,0)</f>
        <v>0</v>
      </c>
      <c r="K1326" s="36">
        <f t="shared" si="194"/>
        <v>3646</v>
      </c>
      <c r="L1326" s="36">
        <f t="shared" si="194"/>
        <v>2552200</v>
      </c>
      <c r="M1326" s="37"/>
      <c r="N1326" s="253"/>
      <c r="O1326" s="38"/>
    </row>
    <row r="1327" spans="1:15" s="29" customFormat="1" ht="24.95" customHeight="1">
      <c r="A1327" s="31" t="s">
        <v>2009</v>
      </c>
      <c r="B1327" s="32" t="s">
        <v>2003</v>
      </c>
      <c r="C1327" s="33">
        <v>610</v>
      </c>
      <c r="D1327" s="34" t="s">
        <v>1956</v>
      </c>
      <c r="E1327" s="36">
        <v>1555</v>
      </c>
      <c r="F1327" s="36">
        <f t="shared" si="198"/>
        <v>948550</v>
      </c>
      <c r="G1327" s="36">
        <v>2118</v>
      </c>
      <c r="H1327" s="36">
        <f t="shared" si="199"/>
        <v>1291980</v>
      </c>
      <c r="I1327" s="36">
        <v>0</v>
      </c>
      <c r="J1327" s="36">
        <f t="shared" si="200"/>
        <v>0</v>
      </c>
      <c r="K1327" s="36">
        <f t="shared" si="194"/>
        <v>3673</v>
      </c>
      <c r="L1327" s="36">
        <f t="shared" si="194"/>
        <v>2240530</v>
      </c>
      <c r="M1327" s="37"/>
      <c r="N1327" s="253"/>
      <c r="O1327" s="38"/>
    </row>
    <row r="1328" spans="1:15" s="29" customFormat="1" ht="24.95" customHeight="1">
      <c r="A1328" s="31" t="s">
        <v>2010</v>
      </c>
      <c r="B1328" s="32" t="s">
        <v>2011</v>
      </c>
      <c r="C1328" s="33">
        <v>260</v>
      </c>
      <c r="D1328" s="34" t="s">
        <v>1956</v>
      </c>
      <c r="E1328" s="36">
        <v>3431</v>
      </c>
      <c r="F1328" s="36">
        <f t="shared" si="198"/>
        <v>892060</v>
      </c>
      <c r="G1328" s="36">
        <v>2899</v>
      </c>
      <c r="H1328" s="36">
        <f t="shared" si="199"/>
        <v>753740</v>
      </c>
      <c r="I1328" s="36">
        <v>0</v>
      </c>
      <c r="J1328" s="36">
        <f t="shared" si="200"/>
        <v>0</v>
      </c>
      <c r="K1328" s="36">
        <f t="shared" si="194"/>
        <v>6330</v>
      </c>
      <c r="L1328" s="36">
        <f t="shared" si="194"/>
        <v>1645800</v>
      </c>
      <c r="M1328" s="37"/>
      <c r="N1328" s="253"/>
      <c r="O1328" s="38"/>
    </row>
    <row r="1329" spans="1:15" s="29" customFormat="1" ht="24.95" customHeight="1">
      <c r="A1329" s="31" t="s">
        <v>2012</v>
      </c>
      <c r="B1329" s="32" t="s">
        <v>2013</v>
      </c>
      <c r="C1329" s="33">
        <v>10</v>
      </c>
      <c r="D1329" s="34" t="s">
        <v>1956</v>
      </c>
      <c r="E1329" s="36">
        <v>4805</v>
      </c>
      <c r="F1329" s="36">
        <f t="shared" si="198"/>
        <v>48050</v>
      </c>
      <c r="G1329" s="36">
        <v>23409</v>
      </c>
      <c r="H1329" s="36">
        <f t="shared" si="199"/>
        <v>234090</v>
      </c>
      <c r="I1329" s="36">
        <v>0</v>
      </c>
      <c r="J1329" s="36">
        <f t="shared" si="200"/>
        <v>0</v>
      </c>
      <c r="K1329" s="36">
        <f t="shared" si="194"/>
        <v>28214</v>
      </c>
      <c r="L1329" s="36">
        <f t="shared" si="194"/>
        <v>282140</v>
      </c>
      <c r="M1329" s="37"/>
      <c r="N1329" s="253"/>
      <c r="O1329" s="38"/>
    </row>
    <row r="1330" spans="1:15" s="29" customFormat="1" ht="24.95" customHeight="1">
      <c r="A1330" s="31" t="s">
        <v>2014</v>
      </c>
      <c r="B1330" s="32" t="s">
        <v>2003</v>
      </c>
      <c r="C1330" s="33">
        <v>360</v>
      </c>
      <c r="D1330" s="34" t="s">
        <v>1956</v>
      </c>
      <c r="E1330" s="36">
        <v>1555</v>
      </c>
      <c r="F1330" s="36">
        <f t="shared" si="198"/>
        <v>559800</v>
      </c>
      <c r="G1330" s="36">
        <v>2182</v>
      </c>
      <c r="H1330" s="36">
        <f t="shared" si="199"/>
        <v>785520</v>
      </c>
      <c r="I1330" s="36">
        <v>0</v>
      </c>
      <c r="J1330" s="36">
        <f t="shared" si="200"/>
        <v>0</v>
      </c>
      <c r="K1330" s="36">
        <f t="shared" si="194"/>
        <v>3737</v>
      </c>
      <c r="L1330" s="36">
        <f t="shared" si="194"/>
        <v>1345320</v>
      </c>
      <c r="M1330" s="37"/>
      <c r="N1330" s="253"/>
      <c r="O1330" s="38"/>
    </row>
    <row r="1331" spans="1:15" s="29" customFormat="1" ht="24.95" customHeight="1">
      <c r="A1331" s="31" t="s">
        <v>2015</v>
      </c>
      <c r="B1331" s="32" t="s">
        <v>2003</v>
      </c>
      <c r="C1331" s="33">
        <v>500</v>
      </c>
      <c r="D1331" s="34" t="s">
        <v>1956</v>
      </c>
      <c r="E1331" s="36">
        <v>1555</v>
      </c>
      <c r="F1331" s="36">
        <f t="shared" si="198"/>
        <v>777500</v>
      </c>
      <c r="G1331" s="36">
        <v>1816</v>
      </c>
      <c r="H1331" s="36">
        <f t="shared" si="199"/>
        <v>908000</v>
      </c>
      <c r="I1331" s="36">
        <v>0</v>
      </c>
      <c r="J1331" s="36">
        <f t="shared" si="200"/>
        <v>0</v>
      </c>
      <c r="K1331" s="36">
        <f t="shared" si="194"/>
        <v>3371</v>
      </c>
      <c r="L1331" s="36">
        <f t="shared" si="194"/>
        <v>1685500</v>
      </c>
      <c r="M1331" s="37"/>
      <c r="N1331" s="253"/>
      <c r="O1331" s="38"/>
    </row>
    <row r="1332" spans="1:15" s="29" customFormat="1" ht="24.95" customHeight="1">
      <c r="A1332" s="31" t="s">
        <v>2016</v>
      </c>
      <c r="B1332" s="32" t="s">
        <v>2017</v>
      </c>
      <c r="C1332" s="33">
        <v>180</v>
      </c>
      <c r="D1332" s="34" t="s">
        <v>1956</v>
      </c>
      <c r="E1332" s="36">
        <v>2241</v>
      </c>
      <c r="F1332" s="36">
        <f t="shared" si="198"/>
        <v>403380</v>
      </c>
      <c r="G1332" s="36">
        <v>2091</v>
      </c>
      <c r="H1332" s="36">
        <f t="shared" si="199"/>
        <v>376380</v>
      </c>
      <c r="I1332" s="36">
        <v>0</v>
      </c>
      <c r="J1332" s="36">
        <f t="shared" si="200"/>
        <v>0</v>
      </c>
      <c r="K1332" s="36">
        <f t="shared" si="194"/>
        <v>4332</v>
      </c>
      <c r="L1332" s="36">
        <f t="shared" si="194"/>
        <v>779760</v>
      </c>
      <c r="M1332" s="37"/>
      <c r="N1332" s="253"/>
      <c r="O1332" s="38"/>
    </row>
    <row r="1333" spans="1:15" s="29" customFormat="1" ht="24.95" customHeight="1">
      <c r="A1333" s="31" t="s">
        <v>2018</v>
      </c>
      <c r="B1333" s="32" t="s">
        <v>2019</v>
      </c>
      <c r="C1333" s="33">
        <v>90</v>
      </c>
      <c r="D1333" s="34" t="s">
        <v>1956</v>
      </c>
      <c r="E1333" s="36">
        <v>3431</v>
      </c>
      <c r="F1333" s="36">
        <f t="shared" si="198"/>
        <v>308790</v>
      </c>
      <c r="G1333" s="36">
        <v>2090</v>
      </c>
      <c r="H1333" s="36">
        <f t="shared" si="199"/>
        <v>188100</v>
      </c>
      <c r="I1333" s="36">
        <v>0</v>
      </c>
      <c r="J1333" s="36">
        <f t="shared" si="200"/>
        <v>0</v>
      </c>
      <c r="K1333" s="36">
        <f t="shared" si="194"/>
        <v>5521</v>
      </c>
      <c r="L1333" s="36">
        <f t="shared" si="194"/>
        <v>496890</v>
      </c>
      <c r="M1333" s="37"/>
      <c r="N1333" s="253"/>
      <c r="O1333" s="38"/>
    </row>
    <row r="1334" spans="1:15" s="77" customFormat="1" ht="24.95" customHeight="1">
      <c r="A1334" s="71" t="s">
        <v>2020</v>
      </c>
      <c r="B1334" s="72" t="s">
        <v>22</v>
      </c>
      <c r="C1334" s="73"/>
      <c r="D1334" s="74" t="s">
        <v>22</v>
      </c>
      <c r="E1334" s="74"/>
      <c r="F1334" s="75">
        <f>TRUNC(F1335,0)</f>
        <v>32835897</v>
      </c>
      <c r="G1334" s="74"/>
      <c r="H1334" s="75">
        <f>TRUNC(H1335,0)</f>
        <v>7820289</v>
      </c>
      <c r="I1334" s="74"/>
      <c r="J1334" s="75">
        <f>TRUNC(J1335,0)</f>
        <v>0</v>
      </c>
      <c r="K1334" s="75">
        <f t="shared" si="194"/>
        <v>0</v>
      </c>
      <c r="L1334" s="75">
        <f t="shared" si="194"/>
        <v>40656186</v>
      </c>
      <c r="M1334" s="76"/>
      <c r="N1334" s="257"/>
    </row>
    <row r="1335" spans="1:15" s="29" customFormat="1" ht="24.95" customHeight="1">
      <c r="A1335" s="31" t="s">
        <v>2021</v>
      </c>
      <c r="B1335" s="32" t="s">
        <v>2022</v>
      </c>
      <c r="C1335" s="33">
        <v>5823</v>
      </c>
      <c r="D1335" s="34" t="s">
        <v>847</v>
      </c>
      <c r="E1335" s="36">
        <v>5639</v>
      </c>
      <c r="F1335" s="36">
        <f>TRUNC(E1335*$C1335,0)</f>
        <v>32835897</v>
      </c>
      <c r="G1335" s="36">
        <v>1343</v>
      </c>
      <c r="H1335" s="36">
        <f>TRUNC(G1335*$C1335,0)</f>
        <v>7820289</v>
      </c>
      <c r="I1335" s="36">
        <v>0</v>
      </c>
      <c r="J1335" s="36">
        <f>TRUNC(I1335*$C1335,0)</f>
        <v>0</v>
      </c>
      <c r="K1335" s="36">
        <f t="shared" si="194"/>
        <v>6982</v>
      </c>
      <c r="L1335" s="36">
        <f t="shared" si="194"/>
        <v>40656186</v>
      </c>
      <c r="M1335" s="37"/>
      <c r="N1335" s="253"/>
      <c r="O1335" s="38"/>
    </row>
    <row r="1336" spans="1:15" s="77" customFormat="1" ht="24.95" customHeight="1">
      <c r="A1336" s="71" t="s">
        <v>2023</v>
      </c>
      <c r="B1336" s="72" t="s">
        <v>22</v>
      </c>
      <c r="C1336" s="73"/>
      <c r="D1336" s="74" t="s">
        <v>22</v>
      </c>
      <c r="E1336" s="74"/>
      <c r="F1336" s="75">
        <f>TRUNC(F1337,0)</f>
        <v>7904622</v>
      </c>
      <c r="G1336" s="74"/>
      <c r="H1336" s="75">
        <f>TRUNC(H1337,0)</f>
        <v>158144217</v>
      </c>
      <c r="I1336" s="74"/>
      <c r="J1336" s="75">
        <f>TRUNC(J1337,0)</f>
        <v>0</v>
      </c>
      <c r="K1336" s="75">
        <f t="shared" si="194"/>
        <v>0</v>
      </c>
      <c r="L1336" s="75">
        <f t="shared" si="194"/>
        <v>166048839</v>
      </c>
      <c r="M1336" s="76"/>
      <c r="N1336" s="257"/>
    </row>
    <row r="1337" spans="1:15" s="29" customFormat="1" ht="24.95" customHeight="1">
      <c r="A1337" s="31" t="s">
        <v>2024</v>
      </c>
      <c r="B1337" s="32" t="s">
        <v>2025</v>
      </c>
      <c r="C1337" s="33">
        <v>17259</v>
      </c>
      <c r="D1337" s="34" t="s">
        <v>166</v>
      </c>
      <c r="E1337" s="36">
        <v>458</v>
      </c>
      <c r="F1337" s="36">
        <f>TRUNC(E1337*$C1337,0)</f>
        <v>7904622</v>
      </c>
      <c r="G1337" s="36">
        <v>9163</v>
      </c>
      <c r="H1337" s="36">
        <f>TRUNC(G1337*$C1337,0)</f>
        <v>158144217</v>
      </c>
      <c r="I1337" s="36">
        <v>0</v>
      </c>
      <c r="J1337" s="36">
        <f>TRUNC(I1337*$C1337,0)</f>
        <v>0</v>
      </c>
      <c r="K1337" s="36">
        <f t="shared" si="194"/>
        <v>9621</v>
      </c>
      <c r="L1337" s="36">
        <f t="shared" si="194"/>
        <v>166048839</v>
      </c>
      <c r="M1337" s="37"/>
      <c r="N1337" s="253"/>
      <c r="O1337" s="38"/>
    </row>
    <row r="1338" spans="1:15" s="63" customFormat="1" ht="24.95" customHeight="1">
      <c r="A1338" s="57" t="s">
        <v>2026</v>
      </c>
      <c r="B1338" s="58" t="s">
        <v>22</v>
      </c>
      <c r="C1338" s="59"/>
      <c r="D1338" s="60" t="s">
        <v>22</v>
      </c>
      <c r="E1338" s="60"/>
      <c r="F1338" s="61">
        <f>F1339+F1348+F1356+F1363+F1371+F1378+F1383+F1390+F1397+F1406+F1415</f>
        <v>2038002241</v>
      </c>
      <c r="G1338" s="60"/>
      <c r="H1338" s="61">
        <f>H1339+H1348+H1356+H1363+H1371+H1378+H1383+H1390+H1397+H1406+H1415</f>
        <v>353900024</v>
      </c>
      <c r="I1338" s="60"/>
      <c r="J1338" s="61">
        <f>J1339+J1348+J1356+J1363+J1371+J1378+J1383+J1390+J1397+J1406+J1415</f>
        <v>209692217</v>
      </c>
      <c r="K1338" s="61">
        <f t="shared" si="194"/>
        <v>0</v>
      </c>
      <c r="L1338" s="61">
        <f t="shared" si="194"/>
        <v>2601594482</v>
      </c>
      <c r="M1338" s="62"/>
      <c r="N1338" s="253"/>
    </row>
    <row r="1339" spans="1:15" s="70" customFormat="1" ht="24.95" customHeight="1">
      <c r="A1339" s="64" t="s">
        <v>2027</v>
      </c>
      <c r="B1339" s="65" t="s">
        <v>22</v>
      </c>
      <c r="C1339" s="66"/>
      <c r="D1339" s="67" t="s">
        <v>22</v>
      </c>
      <c r="E1339" s="67"/>
      <c r="F1339" s="68">
        <f>TRUNC(F1341+F1342+F1343+F1344+F1345+F1347,0)</f>
        <v>80070421</v>
      </c>
      <c r="G1339" s="67"/>
      <c r="H1339" s="68">
        <f>TRUNC(H1341+H1342+H1343+H1344+H1345+H1347,0)</f>
        <v>15453782</v>
      </c>
      <c r="I1339" s="67"/>
      <c r="J1339" s="68">
        <f>TRUNC(J1341+J1342+J1343+J1344+J1345+J1347,0)</f>
        <v>5869858</v>
      </c>
      <c r="K1339" s="68">
        <f t="shared" si="194"/>
        <v>0</v>
      </c>
      <c r="L1339" s="68">
        <f t="shared" si="194"/>
        <v>101394061</v>
      </c>
      <c r="M1339" s="69"/>
      <c r="N1339" s="256"/>
    </row>
    <row r="1340" spans="1:15" s="29" customFormat="1" ht="24.95" customHeight="1">
      <c r="A1340" s="31" t="s">
        <v>2028</v>
      </c>
      <c r="B1340" s="32" t="s">
        <v>22</v>
      </c>
      <c r="C1340" s="33"/>
      <c r="D1340" s="34" t="s">
        <v>22</v>
      </c>
      <c r="E1340" s="34"/>
      <c r="F1340" s="36">
        <f>TRUNC(F1341+F1342+F1343+F1344+F1345,0)</f>
        <v>51503247</v>
      </c>
      <c r="G1340" s="34"/>
      <c r="H1340" s="36">
        <f>TRUNC(H1341+H1342+H1343+H1344+H1345,0)</f>
        <v>8650144</v>
      </c>
      <c r="I1340" s="34"/>
      <c r="J1340" s="36">
        <f>TRUNC(J1341+J1342+J1343+J1344+J1345,0)</f>
        <v>5869858</v>
      </c>
      <c r="K1340" s="36">
        <f t="shared" si="194"/>
        <v>0</v>
      </c>
      <c r="L1340" s="36">
        <f t="shared" si="194"/>
        <v>66023249</v>
      </c>
      <c r="M1340" s="37"/>
      <c r="N1340" s="253"/>
    </row>
    <row r="1341" spans="1:15" s="29" customFormat="1" ht="24.95" customHeight="1">
      <c r="A1341" s="31" t="s">
        <v>1954</v>
      </c>
      <c r="B1341" s="32" t="s">
        <v>1955</v>
      </c>
      <c r="C1341" s="33">
        <v>36</v>
      </c>
      <c r="D1341" s="34" t="s">
        <v>1956</v>
      </c>
      <c r="E1341" s="36">
        <v>385715</v>
      </c>
      <c r="F1341" s="36">
        <f>TRUNC(E1341*$C1341,0)</f>
        <v>13885740</v>
      </c>
      <c r="G1341" s="36">
        <v>62849</v>
      </c>
      <c r="H1341" s="36">
        <f>TRUNC(G1341*$C1341,0)</f>
        <v>2262564</v>
      </c>
      <c r="I1341" s="36">
        <v>46263</v>
      </c>
      <c r="J1341" s="36">
        <f>TRUNC(I1341*$C1341,0)</f>
        <v>1665468</v>
      </c>
      <c r="K1341" s="36">
        <f t="shared" si="194"/>
        <v>494827</v>
      </c>
      <c r="L1341" s="36">
        <f t="shared" si="194"/>
        <v>17813772</v>
      </c>
      <c r="M1341" s="37"/>
      <c r="N1341" s="253"/>
      <c r="O1341" s="38"/>
    </row>
    <row r="1342" spans="1:15" s="29" customFormat="1" ht="24.95" customHeight="1">
      <c r="A1342" s="31" t="s">
        <v>1958</v>
      </c>
      <c r="B1342" s="32" t="s">
        <v>1959</v>
      </c>
      <c r="C1342" s="33">
        <v>39</v>
      </c>
      <c r="D1342" s="34" t="s">
        <v>1956</v>
      </c>
      <c r="E1342" s="36">
        <v>358497</v>
      </c>
      <c r="F1342" s="36">
        <f>TRUNC(E1342*$C1342,0)</f>
        <v>13981383</v>
      </c>
      <c r="G1342" s="36">
        <v>58770</v>
      </c>
      <c r="H1342" s="36">
        <f>TRUNC(G1342*$C1342,0)</f>
        <v>2292030</v>
      </c>
      <c r="I1342" s="36">
        <v>42980</v>
      </c>
      <c r="J1342" s="36">
        <f>TRUNC(I1342*$C1342,0)</f>
        <v>1676220</v>
      </c>
      <c r="K1342" s="36">
        <f t="shared" si="194"/>
        <v>460247</v>
      </c>
      <c r="L1342" s="36">
        <f t="shared" si="194"/>
        <v>17949633</v>
      </c>
      <c r="M1342" s="37"/>
      <c r="N1342" s="253"/>
      <c r="O1342" s="38"/>
    </row>
    <row r="1343" spans="1:15" s="29" customFormat="1" ht="24.95" customHeight="1">
      <c r="A1343" s="31" t="s">
        <v>1960</v>
      </c>
      <c r="B1343" s="32" t="s">
        <v>1961</v>
      </c>
      <c r="C1343" s="33">
        <v>32</v>
      </c>
      <c r="D1343" s="34" t="s">
        <v>1956</v>
      </c>
      <c r="E1343" s="36">
        <v>358497</v>
      </c>
      <c r="F1343" s="36">
        <f>TRUNC(E1343*$C1343,0)</f>
        <v>11471904</v>
      </c>
      <c r="G1343" s="36">
        <v>59789</v>
      </c>
      <c r="H1343" s="36">
        <f>TRUNC(G1343*$C1343,0)</f>
        <v>1913248</v>
      </c>
      <c r="I1343" s="36">
        <v>42980</v>
      </c>
      <c r="J1343" s="36">
        <f>TRUNC(I1343*$C1343,0)</f>
        <v>1375360</v>
      </c>
      <c r="K1343" s="36">
        <f t="shared" si="194"/>
        <v>461266</v>
      </c>
      <c r="L1343" s="36">
        <f t="shared" si="194"/>
        <v>14760512</v>
      </c>
      <c r="M1343" s="37"/>
      <c r="N1343" s="253"/>
      <c r="O1343" s="38"/>
    </row>
    <row r="1344" spans="1:15" s="29" customFormat="1" ht="24.95" customHeight="1">
      <c r="A1344" s="31" t="s">
        <v>1962</v>
      </c>
      <c r="B1344" s="32" t="s">
        <v>1963</v>
      </c>
      <c r="C1344" s="33">
        <v>36</v>
      </c>
      <c r="D1344" s="34" t="s">
        <v>1956</v>
      </c>
      <c r="E1344" s="36">
        <v>197108</v>
      </c>
      <c r="F1344" s="36">
        <f>TRUNC(E1344*$C1344,0)</f>
        <v>7095888</v>
      </c>
      <c r="G1344" s="36">
        <v>38228</v>
      </c>
      <c r="H1344" s="36">
        <f>TRUNC(G1344*$C1344,0)</f>
        <v>1376208</v>
      </c>
      <c r="I1344" s="36">
        <v>19581</v>
      </c>
      <c r="J1344" s="36">
        <f>TRUNC(I1344*$C1344,0)</f>
        <v>704916</v>
      </c>
      <c r="K1344" s="36">
        <f t="shared" si="194"/>
        <v>254917</v>
      </c>
      <c r="L1344" s="36">
        <f t="shared" si="194"/>
        <v>9177012</v>
      </c>
      <c r="M1344" s="37"/>
      <c r="N1344" s="253"/>
      <c r="O1344" s="38"/>
    </row>
    <row r="1345" spans="1:15" s="29" customFormat="1" ht="24.95" customHeight="1">
      <c r="A1345" s="31" t="s">
        <v>1964</v>
      </c>
      <c r="B1345" s="32" t="s">
        <v>1965</v>
      </c>
      <c r="C1345" s="33">
        <v>18</v>
      </c>
      <c r="D1345" s="34" t="s">
        <v>1956</v>
      </c>
      <c r="E1345" s="36">
        <v>281574</v>
      </c>
      <c r="F1345" s="36">
        <f>TRUNC(E1345*$C1345,0)</f>
        <v>5068332</v>
      </c>
      <c r="G1345" s="36">
        <v>44783</v>
      </c>
      <c r="H1345" s="36">
        <f>TRUNC(G1345*$C1345,0)</f>
        <v>806094</v>
      </c>
      <c r="I1345" s="36">
        <v>24883</v>
      </c>
      <c r="J1345" s="36">
        <f>TRUNC(I1345*$C1345,0)</f>
        <v>447894</v>
      </c>
      <c r="K1345" s="36">
        <f t="shared" si="194"/>
        <v>351240</v>
      </c>
      <c r="L1345" s="36">
        <f t="shared" si="194"/>
        <v>6322320</v>
      </c>
      <c r="M1345" s="37"/>
      <c r="N1345" s="253"/>
      <c r="O1345" s="38"/>
    </row>
    <row r="1346" spans="1:15" s="29" customFormat="1" ht="24.95" customHeight="1">
      <c r="A1346" s="31" t="s">
        <v>2029</v>
      </c>
      <c r="B1346" s="32" t="s">
        <v>22</v>
      </c>
      <c r="C1346" s="33"/>
      <c r="D1346" s="34" t="s">
        <v>22</v>
      </c>
      <c r="E1346" s="34"/>
      <c r="F1346" s="36">
        <f>TRUNC(F1347,0)</f>
        <v>28567174</v>
      </c>
      <c r="G1346" s="34"/>
      <c r="H1346" s="36">
        <f>TRUNC(H1347,0)</f>
        <v>6803638</v>
      </c>
      <c r="I1346" s="34"/>
      <c r="J1346" s="36">
        <f>TRUNC(J1347,0)</f>
        <v>0</v>
      </c>
      <c r="K1346" s="36">
        <f t="shared" si="194"/>
        <v>0</v>
      </c>
      <c r="L1346" s="36">
        <f t="shared" si="194"/>
        <v>35370812</v>
      </c>
      <c r="M1346" s="37"/>
      <c r="N1346" s="253"/>
    </row>
    <row r="1347" spans="1:15" s="29" customFormat="1" ht="24.95" customHeight="1">
      <c r="A1347" s="31" t="s">
        <v>2021</v>
      </c>
      <c r="B1347" s="32" t="s">
        <v>2022</v>
      </c>
      <c r="C1347" s="33">
        <v>5066</v>
      </c>
      <c r="D1347" s="34" t="s">
        <v>847</v>
      </c>
      <c r="E1347" s="36">
        <v>5639</v>
      </c>
      <c r="F1347" s="36">
        <f>TRUNC(E1347*$C1347,0)</f>
        <v>28567174</v>
      </c>
      <c r="G1347" s="36">
        <v>1343</v>
      </c>
      <c r="H1347" s="36">
        <f>TRUNC(G1347*$C1347,0)</f>
        <v>6803638</v>
      </c>
      <c r="I1347" s="36">
        <v>0</v>
      </c>
      <c r="J1347" s="36">
        <f>TRUNC(I1347*$C1347,0)</f>
        <v>0</v>
      </c>
      <c r="K1347" s="36">
        <f t="shared" si="194"/>
        <v>6982</v>
      </c>
      <c r="L1347" s="36">
        <f t="shared" si="194"/>
        <v>35370812</v>
      </c>
      <c r="M1347" s="37"/>
      <c r="N1347" s="253"/>
      <c r="O1347" s="38"/>
    </row>
    <row r="1348" spans="1:15" s="70" customFormat="1" ht="24.95" customHeight="1">
      <c r="A1348" s="64" t="s">
        <v>2030</v>
      </c>
      <c r="B1348" s="65" t="s">
        <v>22</v>
      </c>
      <c r="C1348" s="66"/>
      <c r="D1348" s="67" t="s">
        <v>22</v>
      </c>
      <c r="E1348" s="67"/>
      <c r="F1348" s="68">
        <f>TRUNC(F1350+F1351+F1352+F1353+F1355,0)</f>
        <v>94169008</v>
      </c>
      <c r="G1348" s="67"/>
      <c r="H1348" s="68">
        <f>TRUNC(H1350+H1351+H1352+H1353+H1355,0)</f>
        <v>17382267</v>
      </c>
      <c r="I1348" s="67"/>
      <c r="J1348" s="68">
        <f>TRUNC(J1350+J1351+J1352+J1353+J1355,0)</f>
        <v>7431403</v>
      </c>
      <c r="K1348" s="68">
        <f t="shared" si="194"/>
        <v>0</v>
      </c>
      <c r="L1348" s="68">
        <f t="shared" si="194"/>
        <v>118982678</v>
      </c>
      <c r="M1348" s="69"/>
      <c r="N1348" s="256"/>
    </row>
    <row r="1349" spans="1:15" s="29" customFormat="1" ht="24.95" customHeight="1">
      <c r="A1349" s="31" t="s">
        <v>2028</v>
      </c>
      <c r="B1349" s="32" t="s">
        <v>22</v>
      </c>
      <c r="C1349" s="33"/>
      <c r="D1349" s="34" t="s">
        <v>22</v>
      </c>
      <c r="E1349" s="34"/>
      <c r="F1349" s="36">
        <f>TRUNC(F1350+F1351+F1352+F1353,0)</f>
        <v>66639410</v>
      </c>
      <c r="G1349" s="34"/>
      <c r="H1349" s="36">
        <f>TRUNC(H1350+H1351+H1352+H1353,0)</f>
        <v>10825741</v>
      </c>
      <c r="I1349" s="34"/>
      <c r="J1349" s="36">
        <f>TRUNC(J1350+J1351+J1352+J1353,0)</f>
        <v>7431403</v>
      </c>
      <c r="K1349" s="36">
        <f t="shared" si="194"/>
        <v>0</v>
      </c>
      <c r="L1349" s="36">
        <f t="shared" si="194"/>
        <v>84896554</v>
      </c>
      <c r="M1349" s="37"/>
      <c r="N1349" s="253"/>
    </row>
    <row r="1350" spans="1:15" s="29" customFormat="1" ht="24.95" customHeight="1">
      <c r="A1350" s="31" t="s">
        <v>1954</v>
      </c>
      <c r="B1350" s="32" t="s">
        <v>1955</v>
      </c>
      <c r="C1350" s="33">
        <v>58</v>
      </c>
      <c r="D1350" s="34" t="s">
        <v>1956</v>
      </c>
      <c r="E1350" s="36">
        <v>385715</v>
      </c>
      <c r="F1350" s="36">
        <f>TRUNC(E1350*$C1350,0)</f>
        <v>22371470</v>
      </c>
      <c r="G1350" s="36">
        <v>62849</v>
      </c>
      <c r="H1350" s="36">
        <f>TRUNC(G1350*$C1350,0)</f>
        <v>3645242</v>
      </c>
      <c r="I1350" s="36">
        <v>46263</v>
      </c>
      <c r="J1350" s="36">
        <f>TRUNC(I1350*$C1350,0)</f>
        <v>2683254</v>
      </c>
      <c r="K1350" s="36">
        <f t="shared" si="194"/>
        <v>494827</v>
      </c>
      <c r="L1350" s="36">
        <f t="shared" si="194"/>
        <v>28699966</v>
      </c>
      <c r="M1350" s="37"/>
      <c r="N1350" s="253"/>
      <c r="O1350" s="38"/>
    </row>
    <row r="1351" spans="1:15" s="29" customFormat="1" ht="24.95" customHeight="1">
      <c r="A1351" s="31" t="s">
        <v>1958</v>
      </c>
      <c r="B1351" s="32" t="s">
        <v>1959</v>
      </c>
      <c r="C1351" s="33">
        <v>64</v>
      </c>
      <c r="D1351" s="34" t="s">
        <v>1956</v>
      </c>
      <c r="E1351" s="36">
        <v>358497</v>
      </c>
      <c r="F1351" s="36">
        <f>TRUNC(E1351*$C1351,0)</f>
        <v>22943808</v>
      </c>
      <c r="G1351" s="36">
        <v>58770</v>
      </c>
      <c r="H1351" s="36">
        <f>TRUNC(G1351*$C1351,0)</f>
        <v>3761280</v>
      </c>
      <c r="I1351" s="36">
        <v>42980</v>
      </c>
      <c r="J1351" s="36">
        <f>TRUNC(I1351*$C1351,0)</f>
        <v>2750720</v>
      </c>
      <c r="K1351" s="36">
        <f t="shared" si="194"/>
        <v>460247</v>
      </c>
      <c r="L1351" s="36">
        <f t="shared" si="194"/>
        <v>29455808</v>
      </c>
      <c r="M1351" s="37"/>
      <c r="N1351" s="253"/>
      <c r="O1351" s="38"/>
    </row>
    <row r="1352" spans="1:15" s="29" customFormat="1" ht="24.95" customHeight="1">
      <c r="A1352" s="31" t="s">
        <v>1960</v>
      </c>
      <c r="B1352" s="32" t="s">
        <v>1961</v>
      </c>
      <c r="C1352" s="33">
        <v>10</v>
      </c>
      <c r="D1352" s="34" t="s">
        <v>1956</v>
      </c>
      <c r="E1352" s="36">
        <v>358497</v>
      </c>
      <c r="F1352" s="36">
        <f>TRUNC(E1352*$C1352,0)</f>
        <v>3584970</v>
      </c>
      <c r="G1352" s="36">
        <v>59789</v>
      </c>
      <c r="H1352" s="36">
        <f>TRUNC(G1352*$C1352,0)</f>
        <v>597890</v>
      </c>
      <c r="I1352" s="36">
        <v>42980</v>
      </c>
      <c r="J1352" s="36">
        <f>TRUNC(I1352*$C1352,0)</f>
        <v>429800</v>
      </c>
      <c r="K1352" s="36">
        <f t="shared" si="194"/>
        <v>461266</v>
      </c>
      <c r="L1352" s="36">
        <f t="shared" si="194"/>
        <v>4612660</v>
      </c>
      <c r="M1352" s="37"/>
      <c r="N1352" s="253"/>
      <c r="O1352" s="38"/>
    </row>
    <row r="1353" spans="1:15" s="29" customFormat="1" ht="24.95" customHeight="1">
      <c r="A1353" s="31" t="s">
        <v>1964</v>
      </c>
      <c r="B1353" s="32" t="s">
        <v>1965</v>
      </c>
      <c r="C1353" s="33">
        <v>63</v>
      </c>
      <c r="D1353" s="34" t="s">
        <v>1956</v>
      </c>
      <c r="E1353" s="36">
        <v>281574</v>
      </c>
      <c r="F1353" s="36">
        <f>TRUNC(E1353*$C1353,0)</f>
        <v>17739162</v>
      </c>
      <c r="G1353" s="36">
        <v>44783</v>
      </c>
      <c r="H1353" s="36">
        <f>TRUNC(G1353*$C1353,0)</f>
        <v>2821329</v>
      </c>
      <c r="I1353" s="36">
        <v>24883</v>
      </c>
      <c r="J1353" s="36">
        <f>TRUNC(I1353*$C1353,0)</f>
        <v>1567629</v>
      </c>
      <c r="K1353" s="36">
        <f t="shared" si="194"/>
        <v>351240</v>
      </c>
      <c r="L1353" s="36">
        <f t="shared" si="194"/>
        <v>22128120</v>
      </c>
      <c r="M1353" s="37"/>
      <c r="N1353" s="253"/>
      <c r="O1353" s="38"/>
    </row>
    <row r="1354" spans="1:15" s="29" customFormat="1" ht="24.95" customHeight="1">
      <c r="A1354" s="31" t="s">
        <v>2029</v>
      </c>
      <c r="B1354" s="32" t="s">
        <v>22</v>
      </c>
      <c r="C1354" s="33"/>
      <c r="D1354" s="34" t="s">
        <v>22</v>
      </c>
      <c r="E1354" s="34"/>
      <c r="F1354" s="36">
        <f>TRUNC(F1355,0)</f>
        <v>27529598</v>
      </c>
      <c r="G1354" s="34"/>
      <c r="H1354" s="36">
        <f>TRUNC(H1355,0)</f>
        <v>6556526</v>
      </c>
      <c r="I1354" s="34"/>
      <c r="J1354" s="36">
        <f>TRUNC(J1355,0)</f>
        <v>0</v>
      </c>
      <c r="K1354" s="36">
        <f t="shared" si="194"/>
        <v>0</v>
      </c>
      <c r="L1354" s="36">
        <f t="shared" si="194"/>
        <v>34086124</v>
      </c>
      <c r="M1354" s="37"/>
      <c r="N1354" s="253"/>
    </row>
    <row r="1355" spans="1:15" s="29" customFormat="1" ht="24.95" customHeight="1">
      <c r="A1355" s="31" t="s">
        <v>2021</v>
      </c>
      <c r="B1355" s="32" t="s">
        <v>2022</v>
      </c>
      <c r="C1355" s="33">
        <v>4882</v>
      </c>
      <c r="D1355" s="34" t="s">
        <v>847</v>
      </c>
      <c r="E1355" s="36">
        <v>5639</v>
      </c>
      <c r="F1355" s="36">
        <f>TRUNC(E1355*$C1355,0)</f>
        <v>27529598</v>
      </c>
      <c r="G1355" s="36">
        <v>1343</v>
      </c>
      <c r="H1355" s="36">
        <f>TRUNC(G1355*$C1355,0)</f>
        <v>6556526</v>
      </c>
      <c r="I1355" s="36">
        <v>0</v>
      </c>
      <c r="J1355" s="36">
        <f>TRUNC(I1355*$C1355,0)</f>
        <v>0</v>
      </c>
      <c r="K1355" s="36">
        <f t="shared" si="194"/>
        <v>6982</v>
      </c>
      <c r="L1355" s="36">
        <f t="shared" si="194"/>
        <v>34086124</v>
      </c>
      <c r="M1355" s="37"/>
      <c r="N1355" s="253"/>
      <c r="O1355" s="38"/>
    </row>
    <row r="1356" spans="1:15" s="70" customFormat="1" ht="24.95" customHeight="1">
      <c r="A1356" s="64" t="s">
        <v>2031</v>
      </c>
      <c r="B1356" s="65" t="s">
        <v>22</v>
      </c>
      <c r="C1356" s="66"/>
      <c r="D1356" s="67" t="s">
        <v>22</v>
      </c>
      <c r="E1356" s="67"/>
      <c r="F1356" s="68">
        <f>TRUNC(F1358+F1359+F1360+F1362,0)</f>
        <v>72640734</v>
      </c>
      <c r="G1356" s="67"/>
      <c r="H1356" s="68">
        <f>TRUNC(H1358+H1359+H1360+H1362,0)</f>
        <v>13387985</v>
      </c>
      <c r="I1356" s="67"/>
      <c r="J1356" s="68">
        <f>TRUNC(J1358+J1359+J1360+J1362,0)</f>
        <v>6309688</v>
      </c>
      <c r="K1356" s="68">
        <f t="shared" si="194"/>
        <v>0</v>
      </c>
      <c r="L1356" s="68">
        <f t="shared" si="194"/>
        <v>92338407</v>
      </c>
      <c r="M1356" s="69"/>
      <c r="N1356" s="256"/>
    </row>
    <row r="1357" spans="1:15" s="29" customFormat="1" ht="24.95" customHeight="1">
      <c r="A1357" s="31" t="s">
        <v>2028</v>
      </c>
      <c r="B1357" s="32" t="s">
        <v>22</v>
      </c>
      <c r="C1357" s="33"/>
      <c r="D1357" s="34" t="s">
        <v>22</v>
      </c>
      <c r="E1357" s="34"/>
      <c r="F1357" s="36">
        <f>TRUNC(F1358+F1359+F1360,0)</f>
        <v>52616645</v>
      </c>
      <c r="G1357" s="34"/>
      <c r="H1357" s="36">
        <f>TRUNC(H1358+H1359+H1360,0)</f>
        <v>8618992</v>
      </c>
      <c r="I1357" s="34"/>
      <c r="J1357" s="36">
        <f>TRUNC(J1358+J1359+J1360,0)</f>
        <v>6309688</v>
      </c>
      <c r="K1357" s="36">
        <f t="shared" si="194"/>
        <v>0</v>
      </c>
      <c r="L1357" s="36">
        <f t="shared" si="194"/>
        <v>67545325</v>
      </c>
      <c r="M1357" s="37"/>
      <c r="N1357" s="253"/>
    </row>
    <row r="1358" spans="1:15" s="29" customFormat="1" ht="24.95" customHeight="1">
      <c r="A1358" s="31" t="s">
        <v>1954</v>
      </c>
      <c r="B1358" s="32" t="s">
        <v>1955</v>
      </c>
      <c r="C1358" s="33">
        <v>76</v>
      </c>
      <c r="D1358" s="34" t="s">
        <v>1956</v>
      </c>
      <c r="E1358" s="36">
        <v>385715</v>
      </c>
      <c r="F1358" s="36">
        <f>TRUNC(E1358*$C1358,0)</f>
        <v>29314340</v>
      </c>
      <c r="G1358" s="36">
        <v>62849</v>
      </c>
      <c r="H1358" s="36">
        <f>TRUNC(G1358*$C1358,0)</f>
        <v>4776524</v>
      </c>
      <c r="I1358" s="36">
        <v>46263</v>
      </c>
      <c r="J1358" s="36">
        <f>TRUNC(I1358*$C1358,0)</f>
        <v>3515988</v>
      </c>
      <c r="K1358" s="36">
        <f t="shared" si="194"/>
        <v>494827</v>
      </c>
      <c r="L1358" s="36">
        <f t="shared" si="194"/>
        <v>37606852</v>
      </c>
      <c r="M1358" s="37"/>
      <c r="N1358" s="253"/>
      <c r="O1358" s="38"/>
    </row>
    <row r="1359" spans="1:15" s="29" customFormat="1" ht="24.95" customHeight="1">
      <c r="A1359" s="31" t="s">
        <v>1958</v>
      </c>
      <c r="B1359" s="32" t="s">
        <v>1959</v>
      </c>
      <c r="C1359" s="33">
        <v>43</v>
      </c>
      <c r="D1359" s="34" t="s">
        <v>1956</v>
      </c>
      <c r="E1359" s="36">
        <v>358497</v>
      </c>
      <c r="F1359" s="36">
        <f>TRUNC(E1359*$C1359,0)</f>
        <v>15415371</v>
      </c>
      <c r="G1359" s="36">
        <v>58770</v>
      </c>
      <c r="H1359" s="36">
        <f>TRUNC(G1359*$C1359,0)</f>
        <v>2527110</v>
      </c>
      <c r="I1359" s="36">
        <v>42980</v>
      </c>
      <c r="J1359" s="36">
        <f>TRUNC(I1359*$C1359,0)</f>
        <v>1848140</v>
      </c>
      <c r="K1359" s="36">
        <f t="shared" si="194"/>
        <v>460247</v>
      </c>
      <c r="L1359" s="36">
        <f t="shared" si="194"/>
        <v>19790621</v>
      </c>
      <c r="M1359" s="37"/>
      <c r="N1359" s="253"/>
      <c r="O1359" s="38"/>
    </row>
    <row r="1360" spans="1:15" s="29" customFormat="1" ht="24.95" customHeight="1">
      <c r="A1360" s="31" t="s">
        <v>1960</v>
      </c>
      <c r="B1360" s="32" t="s">
        <v>1961</v>
      </c>
      <c r="C1360" s="33">
        <v>22</v>
      </c>
      <c r="D1360" s="34" t="s">
        <v>1956</v>
      </c>
      <c r="E1360" s="36">
        <v>358497</v>
      </c>
      <c r="F1360" s="36">
        <f>TRUNC(E1360*$C1360,0)</f>
        <v>7886934</v>
      </c>
      <c r="G1360" s="36">
        <v>59789</v>
      </c>
      <c r="H1360" s="36">
        <f>TRUNC(G1360*$C1360,0)</f>
        <v>1315358</v>
      </c>
      <c r="I1360" s="36">
        <v>42980</v>
      </c>
      <c r="J1360" s="36">
        <f>TRUNC(I1360*$C1360,0)</f>
        <v>945560</v>
      </c>
      <c r="K1360" s="36">
        <f t="shared" si="194"/>
        <v>461266</v>
      </c>
      <c r="L1360" s="36">
        <f t="shared" si="194"/>
        <v>10147852</v>
      </c>
      <c r="M1360" s="37"/>
      <c r="N1360" s="253"/>
      <c r="O1360" s="38"/>
    </row>
    <row r="1361" spans="1:15" s="29" customFormat="1" ht="24.95" customHeight="1">
      <c r="A1361" s="31" t="s">
        <v>2029</v>
      </c>
      <c r="B1361" s="32" t="s">
        <v>22</v>
      </c>
      <c r="C1361" s="33"/>
      <c r="D1361" s="34" t="s">
        <v>22</v>
      </c>
      <c r="E1361" s="34"/>
      <c r="F1361" s="36">
        <f>TRUNC(F1362,0)</f>
        <v>20024089</v>
      </c>
      <c r="G1361" s="34"/>
      <c r="H1361" s="36">
        <f>TRUNC(H1362,0)</f>
        <v>4768993</v>
      </c>
      <c r="I1361" s="34"/>
      <c r="J1361" s="36">
        <f>TRUNC(J1362,0)</f>
        <v>0</v>
      </c>
      <c r="K1361" s="36">
        <f t="shared" si="194"/>
        <v>0</v>
      </c>
      <c r="L1361" s="36">
        <f t="shared" si="194"/>
        <v>24793082</v>
      </c>
      <c r="M1361" s="37"/>
      <c r="N1361" s="253"/>
    </row>
    <row r="1362" spans="1:15" s="29" customFormat="1" ht="24.95" customHeight="1">
      <c r="A1362" s="31" t="s">
        <v>2021</v>
      </c>
      <c r="B1362" s="32" t="s">
        <v>2022</v>
      </c>
      <c r="C1362" s="33">
        <v>3551</v>
      </c>
      <c r="D1362" s="34" t="s">
        <v>847</v>
      </c>
      <c r="E1362" s="36">
        <v>5639</v>
      </c>
      <c r="F1362" s="36">
        <f>TRUNC(E1362*$C1362,0)</f>
        <v>20024089</v>
      </c>
      <c r="G1362" s="36">
        <v>1343</v>
      </c>
      <c r="H1362" s="36">
        <f>TRUNC(G1362*$C1362,0)</f>
        <v>4768993</v>
      </c>
      <c r="I1362" s="36">
        <v>0</v>
      </c>
      <c r="J1362" s="36">
        <f>TRUNC(I1362*$C1362,0)</f>
        <v>0</v>
      </c>
      <c r="K1362" s="36">
        <f t="shared" si="194"/>
        <v>6982</v>
      </c>
      <c r="L1362" s="36">
        <f t="shared" si="194"/>
        <v>24793082</v>
      </c>
      <c r="M1362" s="37"/>
      <c r="N1362" s="253"/>
      <c r="O1362" s="38"/>
    </row>
    <row r="1363" spans="1:15" s="70" customFormat="1" ht="24.95" customHeight="1">
      <c r="A1363" s="64" t="s">
        <v>2032</v>
      </c>
      <c r="B1363" s="65" t="s">
        <v>22</v>
      </c>
      <c r="C1363" s="66"/>
      <c r="D1363" s="67" t="s">
        <v>22</v>
      </c>
      <c r="E1363" s="67"/>
      <c r="F1363" s="68">
        <f>TRUNC(F1365+F1366+F1367+F1368+F1370,0)</f>
        <v>56237066</v>
      </c>
      <c r="G1363" s="67"/>
      <c r="H1363" s="68">
        <f>TRUNC(H1365+H1366+H1367+H1368+H1370,0)</f>
        <v>10566163</v>
      </c>
      <c r="I1363" s="67"/>
      <c r="J1363" s="68">
        <f>TRUNC(J1365+J1366+J1367+J1368+J1370,0)</f>
        <v>4634026</v>
      </c>
      <c r="K1363" s="68">
        <f t="shared" si="194"/>
        <v>0</v>
      </c>
      <c r="L1363" s="68">
        <f t="shared" si="194"/>
        <v>71437255</v>
      </c>
      <c r="M1363" s="69"/>
      <c r="N1363" s="256"/>
    </row>
    <row r="1364" spans="1:15" s="29" customFormat="1" ht="24.95" customHeight="1">
      <c r="A1364" s="31" t="s">
        <v>2028</v>
      </c>
      <c r="B1364" s="32" t="s">
        <v>22</v>
      </c>
      <c r="C1364" s="33"/>
      <c r="D1364" s="34" t="s">
        <v>22</v>
      </c>
      <c r="E1364" s="34"/>
      <c r="F1364" s="36">
        <f>TRUNC(F1365+F1366+F1367+F1368,0)</f>
        <v>39083228</v>
      </c>
      <c r="G1364" s="34"/>
      <c r="H1364" s="36">
        <f>TRUNC(H1365+H1366+H1367+H1368,0)</f>
        <v>6480757</v>
      </c>
      <c r="I1364" s="34"/>
      <c r="J1364" s="36">
        <f>TRUNC(J1365+J1366+J1367+J1368,0)</f>
        <v>4634026</v>
      </c>
      <c r="K1364" s="36">
        <f t="shared" si="194"/>
        <v>0</v>
      </c>
      <c r="L1364" s="36">
        <f t="shared" si="194"/>
        <v>50198011</v>
      </c>
      <c r="M1364" s="37"/>
      <c r="N1364" s="253"/>
    </row>
    <row r="1365" spans="1:15" s="29" customFormat="1" ht="24.95" customHeight="1">
      <c r="A1365" s="31" t="s">
        <v>1954</v>
      </c>
      <c r="B1365" s="32" t="s">
        <v>1955</v>
      </c>
      <c r="C1365" s="33">
        <v>51</v>
      </c>
      <c r="D1365" s="34" t="s">
        <v>1956</v>
      </c>
      <c r="E1365" s="36">
        <v>385715</v>
      </c>
      <c r="F1365" s="36">
        <f>TRUNC(E1365*$C1365,0)</f>
        <v>19671465</v>
      </c>
      <c r="G1365" s="36">
        <v>62849</v>
      </c>
      <c r="H1365" s="36">
        <f>TRUNC(G1365*$C1365,0)</f>
        <v>3205299</v>
      </c>
      <c r="I1365" s="36">
        <v>46263</v>
      </c>
      <c r="J1365" s="36">
        <f>TRUNC(I1365*$C1365,0)</f>
        <v>2359413</v>
      </c>
      <c r="K1365" s="36">
        <f t="shared" si="194"/>
        <v>494827</v>
      </c>
      <c r="L1365" s="36">
        <f t="shared" si="194"/>
        <v>25236177</v>
      </c>
      <c r="M1365" s="37"/>
      <c r="N1365" s="253"/>
      <c r="O1365" s="38"/>
    </row>
    <row r="1366" spans="1:15" s="29" customFormat="1" ht="24.95" customHeight="1">
      <c r="A1366" s="31" t="s">
        <v>1958</v>
      </c>
      <c r="B1366" s="32" t="s">
        <v>1959</v>
      </c>
      <c r="C1366" s="33">
        <v>31</v>
      </c>
      <c r="D1366" s="34" t="s">
        <v>1956</v>
      </c>
      <c r="E1366" s="36">
        <v>358497</v>
      </c>
      <c r="F1366" s="36">
        <f>TRUNC(E1366*$C1366,0)</f>
        <v>11113407</v>
      </c>
      <c r="G1366" s="36">
        <v>58770</v>
      </c>
      <c r="H1366" s="36">
        <f>TRUNC(G1366*$C1366,0)</f>
        <v>1821870</v>
      </c>
      <c r="I1366" s="36">
        <v>42980</v>
      </c>
      <c r="J1366" s="36">
        <f>TRUNC(I1366*$C1366,0)</f>
        <v>1332380</v>
      </c>
      <c r="K1366" s="36">
        <f t="shared" si="194"/>
        <v>460247</v>
      </c>
      <c r="L1366" s="36">
        <f t="shared" si="194"/>
        <v>14267657</v>
      </c>
      <c r="M1366" s="37"/>
      <c r="N1366" s="253"/>
      <c r="O1366" s="38"/>
    </row>
    <row r="1367" spans="1:15" s="29" customFormat="1" ht="24.95" customHeight="1">
      <c r="A1367" s="31" t="s">
        <v>1960</v>
      </c>
      <c r="B1367" s="32" t="s">
        <v>1961</v>
      </c>
      <c r="C1367" s="33">
        <v>16</v>
      </c>
      <c r="D1367" s="34" t="s">
        <v>1956</v>
      </c>
      <c r="E1367" s="36">
        <v>358497</v>
      </c>
      <c r="F1367" s="36">
        <f>TRUNC(E1367*$C1367,0)</f>
        <v>5735952</v>
      </c>
      <c r="G1367" s="36">
        <v>59789</v>
      </c>
      <c r="H1367" s="36">
        <f>TRUNC(G1367*$C1367,0)</f>
        <v>956624</v>
      </c>
      <c r="I1367" s="36">
        <v>42980</v>
      </c>
      <c r="J1367" s="36">
        <f>TRUNC(I1367*$C1367,0)</f>
        <v>687680</v>
      </c>
      <c r="K1367" s="36">
        <f t="shared" si="194"/>
        <v>461266</v>
      </c>
      <c r="L1367" s="36">
        <f t="shared" si="194"/>
        <v>7380256</v>
      </c>
      <c r="M1367" s="37"/>
      <c r="N1367" s="253"/>
      <c r="O1367" s="38"/>
    </row>
    <row r="1368" spans="1:15" s="29" customFormat="1" ht="24.95" customHeight="1">
      <c r="A1368" s="31" t="s">
        <v>1962</v>
      </c>
      <c r="B1368" s="32" t="s">
        <v>1963</v>
      </c>
      <c r="C1368" s="33">
        <v>13</v>
      </c>
      <c r="D1368" s="34" t="s">
        <v>1956</v>
      </c>
      <c r="E1368" s="36">
        <v>197108</v>
      </c>
      <c r="F1368" s="36">
        <f>TRUNC(E1368*$C1368,0)</f>
        <v>2562404</v>
      </c>
      <c r="G1368" s="36">
        <v>38228</v>
      </c>
      <c r="H1368" s="36">
        <f>TRUNC(G1368*$C1368,0)</f>
        <v>496964</v>
      </c>
      <c r="I1368" s="36">
        <v>19581</v>
      </c>
      <c r="J1368" s="36">
        <f>TRUNC(I1368*$C1368,0)</f>
        <v>254553</v>
      </c>
      <c r="K1368" s="36">
        <f t="shared" si="194"/>
        <v>254917</v>
      </c>
      <c r="L1368" s="36">
        <f t="shared" si="194"/>
        <v>3313921</v>
      </c>
      <c r="M1368" s="37"/>
      <c r="N1368" s="253"/>
      <c r="O1368" s="38"/>
    </row>
    <row r="1369" spans="1:15" s="29" customFormat="1" ht="24.95" customHeight="1">
      <c r="A1369" s="31" t="s">
        <v>2029</v>
      </c>
      <c r="B1369" s="32" t="s">
        <v>22</v>
      </c>
      <c r="C1369" s="33"/>
      <c r="D1369" s="34" t="s">
        <v>22</v>
      </c>
      <c r="E1369" s="34"/>
      <c r="F1369" s="36">
        <f>TRUNC(F1370,0)</f>
        <v>17153838</v>
      </c>
      <c r="G1369" s="34"/>
      <c r="H1369" s="36">
        <f>TRUNC(H1370,0)</f>
        <v>4085406</v>
      </c>
      <c r="I1369" s="34"/>
      <c r="J1369" s="36">
        <f>TRUNC(J1370,0)</f>
        <v>0</v>
      </c>
      <c r="K1369" s="36">
        <f t="shared" ref="K1369:L1432" si="201">G1369+E1369+I1369</f>
        <v>0</v>
      </c>
      <c r="L1369" s="36">
        <f t="shared" si="201"/>
        <v>21239244</v>
      </c>
      <c r="M1369" s="37"/>
      <c r="N1369" s="253"/>
    </row>
    <row r="1370" spans="1:15" s="29" customFormat="1" ht="24.95" customHeight="1">
      <c r="A1370" s="31" t="s">
        <v>2021</v>
      </c>
      <c r="B1370" s="32" t="s">
        <v>2022</v>
      </c>
      <c r="C1370" s="33">
        <v>3042</v>
      </c>
      <c r="D1370" s="34" t="s">
        <v>847</v>
      </c>
      <c r="E1370" s="36">
        <v>5639</v>
      </c>
      <c r="F1370" s="36">
        <f>TRUNC(E1370*$C1370,0)</f>
        <v>17153838</v>
      </c>
      <c r="G1370" s="36">
        <v>1343</v>
      </c>
      <c r="H1370" s="36">
        <f>TRUNC(G1370*$C1370,0)</f>
        <v>4085406</v>
      </c>
      <c r="I1370" s="36">
        <v>0</v>
      </c>
      <c r="J1370" s="36">
        <f>TRUNC(I1370*$C1370,0)</f>
        <v>0</v>
      </c>
      <c r="K1370" s="36">
        <f t="shared" si="201"/>
        <v>6982</v>
      </c>
      <c r="L1370" s="36">
        <f t="shared" si="201"/>
        <v>21239244</v>
      </c>
      <c r="M1370" s="37"/>
      <c r="N1370" s="253"/>
      <c r="O1370" s="38"/>
    </row>
    <row r="1371" spans="1:15" s="70" customFormat="1" ht="24.95" customHeight="1">
      <c r="A1371" s="64" t="s">
        <v>2033</v>
      </c>
      <c r="B1371" s="65" t="s">
        <v>22</v>
      </c>
      <c r="C1371" s="66"/>
      <c r="D1371" s="67" t="s">
        <v>22</v>
      </c>
      <c r="E1371" s="67"/>
      <c r="F1371" s="68">
        <f>TRUNC(F1373+F1374+F1375+F1377,0)</f>
        <v>60115898</v>
      </c>
      <c r="G1371" s="67"/>
      <c r="H1371" s="68">
        <f>TRUNC(H1373+H1374+H1375+H1377,0)</f>
        <v>11357515</v>
      </c>
      <c r="I1371" s="67"/>
      <c r="J1371" s="68">
        <f>TRUNC(J1373+J1374+J1375+J1377,0)</f>
        <v>4796442</v>
      </c>
      <c r="K1371" s="68">
        <f t="shared" si="201"/>
        <v>0</v>
      </c>
      <c r="L1371" s="68">
        <f t="shared" si="201"/>
        <v>76269855</v>
      </c>
      <c r="M1371" s="69"/>
      <c r="N1371" s="256"/>
    </row>
    <row r="1372" spans="1:15" s="29" customFormat="1" ht="24.95" customHeight="1">
      <c r="A1372" s="31" t="s">
        <v>2028</v>
      </c>
      <c r="B1372" s="32" t="s">
        <v>22</v>
      </c>
      <c r="C1372" s="33"/>
      <c r="D1372" s="34" t="s">
        <v>22</v>
      </c>
      <c r="E1372" s="34"/>
      <c r="F1372" s="36">
        <f>TRUNC(F1373+F1374+F1375,0)</f>
        <v>40001585</v>
      </c>
      <c r="G1372" s="34"/>
      <c r="H1372" s="36">
        <f>TRUNC(H1373+H1374+H1375,0)</f>
        <v>6567034</v>
      </c>
      <c r="I1372" s="34"/>
      <c r="J1372" s="36">
        <f>TRUNC(J1373+J1374+J1375,0)</f>
        <v>4796442</v>
      </c>
      <c r="K1372" s="36">
        <f t="shared" si="201"/>
        <v>0</v>
      </c>
      <c r="L1372" s="36">
        <f t="shared" si="201"/>
        <v>51365061</v>
      </c>
      <c r="M1372" s="37"/>
      <c r="N1372" s="253"/>
    </row>
    <row r="1373" spans="1:15" s="29" customFormat="1" ht="24.95" customHeight="1">
      <c r="A1373" s="31" t="s">
        <v>1954</v>
      </c>
      <c r="B1373" s="32" t="s">
        <v>1955</v>
      </c>
      <c r="C1373" s="33">
        <v>34</v>
      </c>
      <c r="D1373" s="34" t="s">
        <v>1956</v>
      </c>
      <c r="E1373" s="36">
        <v>385715</v>
      </c>
      <c r="F1373" s="36">
        <f>TRUNC(E1373*$C1373,0)</f>
        <v>13114310</v>
      </c>
      <c r="G1373" s="36">
        <v>62849</v>
      </c>
      <c r="H1373" s="36">
        <f>TRUNC(G1373*$C1373,0)</f>
        <v>2136866</v>
      </c>
      <c r="I1373" s="36">
        <v>46263</v>
      </c>
      <c r="J1373" s="36">
        <f>TRUNC(I1373*$C1373,0)</f>
        <v>1572942</v>
      </c>
      <c r="K1373" s="36">
        <f t="shared" si="201"/>
        <v>494827</v>
      </c>
      <c r="L1373" s="36">
        <f t="shared" si="201"/>
        <v>16824118</v>
      </c>
      <c r="M1373" s="37"/>
      <c r="N1373" s="253"/>
      <c r="O1373" s="38"/>
    </row>
    <row r="1374" spans="1:15" s="29" customFormat="1" ht="24.95" customHeight="1">
      <c r="A1374" s="31" t="s">
        <v>1958</v>
      </c>
      <c r="B1374" s="32" t="s">
        <v>1959</v>
      </c>
      <c r="C1374" s="33">
        <v>53</v>
      </c>
      <c r="D1374" s="34" t="s">
        <v>1956</v>
      </c>
      <c r="E1374" s="36">
        <v>358497</v>
      </c>
      <c r="F1374" s="36">
        <f>TRUNC(E1374*$C1374,0)</f>
        <v>19000341</v>
      </c>
      <c r="G1374" s="36">
        <v>58770</v>
      </c>
      <c r="H1374" s="36">
        <f>TRUNC(G1374*$C1374,0)</f>
        <v>3114810</v>
      </c>
      <c r="I1374" s="36">
        <v>42980</v>
      </c>
      <c r="J1374" s="36">
        <f>TRUNC(I1374*$C1374,0)</f>
        <v>2277940</v>
      </c>
      <c r="K1374" s="36">
        <f t="shared" si="201"/>
        <v>460247</v>
      </c>
      <c r="L1374" s="36">
        <f t="shared" si="201"/>
        <v>24393091</v>
      </c>
      <c r="M1374" s="37"/>
      <c r="N1374" s="253"/>
      <c r="O1374" s="38"/>
    </row>
    <row r="1375" spans="1:15" s="29" customFormat="1" ht="24.95" customHeight="1">
      <c r="A1375" s="31" t="s">
        <v>1960</v>
      </c>
      <c r="B1375" s="32" t="s">
        <v>1961</v>
      </c>
      <c r="C1375" s="33">
        <v>22</v>
      </c>
      <c r="D1375" s="34" t="s">
        <v>1956</v>
      </c>
      <c r="E1375" s="36">
        <v>358497</v>
      </c>
      <c r="F1375" s="36">
        <f>TRUNC(E1375*$C1375,0)</f>
        <v>7886934</v>
      </c>
      <c r="G1375" s="36">
        <v>59789</v>
      </c>
      <c r="H1375" s="36">
        <f>TRUNC(G1375*$C1375,0)</f>
        <v>1315358</v>
      </c>
      <c r="I1375" s="36">
        <v>42980</v>
      </c>
      <c r="J1375" s="36">
        <f>TRUNC(I1375*$C1375,0)</f>
        <v>945560</v>
      </c>
      <c r="K1375" s="36">
        <f t="shared" si="201"/>
        <v>461266</v>
      </c>
      <c r="L1375" s="36">
        <f t="shared" si="201"/>
        <v>10147852</v>
      </c>
      <c r="M1375" s="37"/>
      <c r="N1375" s="253"/>
      <c r="O1375" s="38"/>
    </row>
    <row r="1376" spans="1:15" s="29" customFormat="1" ht="24.95" customHeight="1">
      <c r="A1376" s="31" t="s">
        <v>2029</v>
      </c>
      <c r="B1376" s="32" t="s">
        <v>22</v>
      </c>
      <c r="C1376" s="33"/>
      <c r="D1376" s="34" t="s">
        <v>22</v>
      </c>
      <c r="E1376" s="34"/>
      <c r="F1376" s="36">
        <f>TRUNC(F1377,0)</f>
        <v>20114313</v>
      </c>
      <c r="G1376" s="34"/>
      <c r="H1376" s="36">
        <f>TRUNC(H1377,0)</f>
        <v>4790481</v>
      </c>
      <c r="I1376" s="34"/>
      <c r="J1376" s="36">
        <f>TRUNC(J1377,0)</f>
        <v>0</v>
      </c>
      <c r="K1376" s="36">
        <f t="shared" si="201"/>
        <v>0</v>
      </c>
      <c r="L1376" s="36">
        <f t="shared" si="201"/>
        <v>24904794</v>
      </c>
      <c r="M1376" s="37"/>
      <c r="N1376" s="253"/>
    </row>
    <row r="1377" spans="1:15" s="29" customFormat="1" ht="24.95" customHeight="1">
      <c r="A1377" s="31" t="s">
        <v>2021</v>
      </c>
      <c r="B1377" s="32" t="s">
        <v>2022</v>
      </c>
      <c r="C1377" s="33">
        <v>3567</v>
      </c>
      <c r="D1377" s="34" t="s">
        <v>847</v>
      </c>
      <c r="E1377" s="36">
        <v>5639</v>
      </c>
      <c r="F1377" s="36">
        <f>TRUNC(E1377*$C1377,0)</f>
        <v>20114313</v>
      </c>
      <c r="G1377" s="36">
        <v>1343</v>
      </c>
      <c r="H1377" s="36">
        <f>TRUNC(G1377*$C1377,0)</f>
        <v>4790481</v>
      </c>
      <c r="I1377" s="36">
        <v>0</v>
      </c>
      <c r="J1377" s="36">
        <f>TRUNC(I1377*$C1377,0)</f>
        <v>0</v>
      </c>
      <c r="K1377" s="36">
        <f t="shared" si="201"/>
        <v>6982</v>
      </c>
      <c r="L1377" s="36">
        <f t="shared" si="201"/>
        <v>24904794</v>
      </c>
      <c r="M1377" s="37"/>
      <c r="N1377" s="253"/>
      <c r="O1377" s="38"/>
    </row>
    <row r="1378" spans="1:15" s="70" customFormat="1" ht="24.95" customHeight="1">
      <c r="A1378" s="64" t="s">
        <v>2034</v>
      </c>
      <c r="B1378" s="65" t="s">
        <v>22</v>
      </c>
      <c r="C1378" s="66"/>
      <c r="D1378" s="67" t="s">
        <v>22</v>
      </c>
      <c r="E1378" s="67"/>
      <c r="F1378" s="68">
        <f>TRUNC(F1380+F1382,0)</f>
        <v>8142827</v>
      </c>
      <c r="G1378" s="67"/>
      <c r="H1378" s="68">
        <f>TRUNC(H1380+H1382,0)</f>
        <v>1504109</v>
      </c>
      <c r="I1378" s="67"/>
      <c r="J1378" s="68">
        <f>TRUNC(J1380+J1382,0)</f>
        <v>693945</v>
      </c>
      <c r="K1378" s="68">
        <f t="shared" si="201"/>
        <v>0</v>
      </c>
      <c r="L1378" s="68">
        <f t="shared" si="201"/>
        <v>10340881</v>
      </c>
      <c r="M1378" s="69"/>
      <c r="N1378" s="256"/>
    </row>
    <row r="1379" spans="1:15" s="29" customFormat="1" ht="24.95" customHeight="1">
      <c r="A1379" s="31" t="s">
        <v>2028</v>
      </c>
      <c r="B1379" s="32" t="s">
        <v>22</v>
      </c>
      <c r="C1379" s="33"/>
      <c r="D1379" s="34" t="s">
        <v>22</v>
      </c>
      <c r="E1379" s="34"/>
      <c r="F1379" s="36">
        <f>TRUNC(F1380,0)</f>
        <v>5785725</v>
      </c>
      <c r="G1379" s="34"/>
      <c r="H1379" s="36">
        <f>TRUNC(H1380,0)</f>
        <v>942735</v>
      </c>
      <c r="I1379" s="34"/>
      <c r="J1379" s="36">
        <f>TRUNC(J1380,0)</f>
        <v>693945</v>
      </c>
      <c r="K1379" s="36">
        <f t="shared" si="201"/>
        <v>0</v>
      </c>
      <c r="L1379" s="36">
        <f t="shared" si="201"/>
        <v>7422405</v>
      </c>
      <c r="M1379" s="37"/>
      <c r="N1379" s="253"/>
    </row>
    <row r="1380" spans="1:15" s="29" customFormat="1" ht="24.95" customHeight="1">
      <c r="A1380" s="31" t="s">
        <v>1954</v>
      </c>
      <c r="B1380" s="32" t="s">
        <v>1955</v>
      </c>
      <c r="C1380" s="33">
        <v>15</v>
      </c>
      <c r="D1380" s="34" t="s">
        <v>1956</v>
      </c>
      <c r="E1380" s="36">
        <v>385715</v>
      </c>
      <c r="F1380" s="36">
        <f>TRUNC(E1380*$C1380,0)</f>
        <v>5785725</v>
      </c>
      <c r="G1380" s="36">
        <v>62849</v>
      </c>
      <c r="H1380" s="36">
        <f>TRUNC(G1380*$C1380,0)</f>
        <v>942735</v>
      </c>
      <c r="I1380" s="36">
        <v>46263</v>
      </c>
      <c r="J1380" s="36">
        <f>TRUNC(I1380*$C1380,0)</f>
        <v>693945</v>
      </c>
      <c r="K1380" s="36">
        <f t="shared" si="201"/>
        <v>494827</v>
      </c>
      <c r="L1380" s="36">
        <f t="shared" si="201"/>
        <v>7422405</v>
      </c>
      <c r="M1380" s="37"/>
      <c r="N1380" s="253"/>
      <c r="O1380" s="38"/>
    </row>
    <row r="1381" spans="1:15" s="29" customFormat="1" ht="24.95" customHeight="1">
      <c r="A1381" s="31" t="s">
        <v>2029</v>
      </c>
      <c r="B1381" s="32" t="s">
        <v>22</v>
      </c>
      <c r="C1381" s="33"/>
      <c r="D1381" s="34" t="s">
        <v>22</v>
      </c>
      <c r="E1381" s="34"/>
      <c r="F1381" s="36">
        <f>TRUNC(F1382,0)</f>
        <v>2357102</v>
      </c>
      <c r="G1381" s="34"/>
      <c r="H1381" s="36">
        <f>TRUNC(H1382,0)</f>
        <v>561374</v>
      </c>
      <c r="I1381" s="34"/>
      <c r="J1381" s="36">
        <f>TRUNC(J1382,0)</f>
        <v>0</v>
      </c>
      <c r="K1381" s="36">
        <f t="shared" si="201"/>
        <v>0</v>
      </c>
      <c r="L1381" s="36">
        <f t="shared" si="201"/>
        <v>2918476</v>
      </c>
      <c r="M1381" s="37"/>
      <c r="N1381" s="253"/>
    </row>
    <row r="1382" spans="1:15" s="29" customFormat="1" ht="24.95" customHeight="1">
      <c r="A1382" s="31" t="s">
        <v>2021</v>
      </c>
      <c r="B1382" s="32" t="s">
        <v>2022</v>
      </c>
      <c r="C1382" s="33">
        <v>418</v>
      </c>
      <c r="D1382" s="34" t="s">
        <v>847</v>
      </c>
      <c r="E1382" s="36">
        <v>5639</v>
      </c>
      <c r="F1382" s="36">
        <f>TRUNC(E1382*$C1382,0)</f>
        <v>2357102</v>
      </c>
      <c r="G1382" s="36">
        <v>1343</v>
      </c>
      <c r="H1382" s="36">
        <f>TRUNC(G1382*$C1382,0)</f>
        <v>561374</v>
      </c>
      <c r="I1382" s="36">
        <v>0</v>
      </c>
      <c r="J1382" s="36">
        <f>TRUNC(I1382*$C1382,0)</f>
        <v>0</v>
      </c>
      <c r="K1382" s="36">
        <f t="shared" si="201"/>
        <v>6982</v>
      </c>
      <c r="L1382" s="36">
        <f t="shared" si="201"/>
        <v>2918476</v>
      </c>
      <c r="M1382" s="37"/>
      <c r="N1382" s="253"/>
      <c r="O1382" s="38"/>
    </row>
    <row r="1383" spans="1:15" s="70" customFormat="1" ht="24.95" customHeight="1">
      <c r="A1383" s="64" t="s">
        <v>2035</v>
      </c>
      <c r="B1383" s="65" t="s">
        <v>22</v>
      </c>
      <c r="C1383" s="66"/>
      <c r="D1383" s="67" t="s">
        <v>22</v>
      </c>
      <c r="E1383" s="67"/>
      <c r="F1383" s="68">
        <f>TRUNC(F1385+F1386+F1387+F1389,0)</f>
        <v>13770315</v>
      </c>
      <c r="G1383" s="67"/>
      <c r="H1383" s="68">
        <f>TRUNC(H1385+H1386+H1387+H1389,0)</f>
        <v>2599160</v>
      </c>
      <c r="I1383" s="67"/>
      <c r="J1383" s="68">
        <f>TRUNC(J1385+J1386+J1387+J1389,0)</f>
        <v>1100764</v>
      </c>
      <c r="K1383" s="68">
        <f t="shared" si="201"/>
        <v>0</v>
      </c>
      <c r="L1383" s="68">
        <f t="shared" si="201"/>
        <v>17470239</v>
      </c>
      <c r="M1383" s="69"/>
      <c r="N1383" s="256"/>
    </row>
    <row r="1384" spans="1:15" s="29" customFormat="1" ht="24.95" customHeight="1">
      <c r="A1384" s="31" t="s">
        <v>2028</v>
      </c>
      <c r="B1384" s="32" t="s">
        <v>22</v>
      </c>
      <c r="C1384" s="33"/>
      <c r="D1384" s="34" t="s">
        <v>22</v>
      </c>
      <c r="E1384" s="34"/>
      <c r="F1384" s="36">
        <f>TRUNC(F1385+F1386+F1387,0)</f>
        <v>9180169</v>
      </c>
      <c r="G1384" s="34"/>
      <c r="H1384" s="36">
        <f>TRUNC(H1385+H1386+H1387,0)</f>
        <v>1505958</v>
      </c>
      <c r="I1384" s="34"/>
      <c r="J1384" s="36">
        <f>TRUNC(J1385+J1386+J1387,0)</f>
        <v>1100764</v>
      </c>
      <c r="K1384" s="36">
        <f t="shared" si="201"/>
        <v>0</v>
      </c>
      <c r="L1384" s="36">
        <f t="shared" si="201"/>
        <v>11786891</v>
      </c>
      <c r="M1384" s="37"/>
      <c r="N1384" s="253"/>
    </row>
    <row r="1385" spans="1:15" s="29" customFormat="1" ht="24.95" customHeight="1">
      <c r="A1385" s="31" t="s">
        <v>1954</v>
      </c>
      <c r="B1385" s="32" t="s">
        <v>1955</v>
      </c>
      <c r="C1385" s="33">
        <v>8</v>
      </c>
      <c r="D1385" s="34" t="s">
        <v>1956</v>
      </c>
      <c r="E1385" s="36">
        <v>385715</v>
      </c>
      <c r="F1385" s="36">
        <f>TRUNC(E1385*$C1385,0)</f>
        <v>3085720</v>
      </c>
      <c r="G1385" s="36">
        <v>62849</v>
      </c>
      <c r="H1385" s="36">
        <f>TRUNC(G1385*$C1385,0)</f>
        <v>502792</v>
      </c>
      <c r="I1385" s="36">
        <v>46263</v>
      </c>
      <c r="J1385" s="36">
        <f>TRUNC(I1385*$C1385,0)</f>
        <v>370104</v>
      </c>
      <c r="K1385" s="36">
        <f t="shared" si="201"/>
        <v>494827</v>
      </c>
      <c r="L1385" s="36">
        <f t="shared" si="201"/>
        <v>3958616</v>
      </c>
      <c r="M1385" s="37"/>
      <c r="N1385" s="253"/>
      <c r="O1385" s="38"/>
    </row>
    <row r="1386" spans="1:15" s="29" customFormat="1" ht="24.95" customHeight="1">
      <c r="A1386" s="31" t="s">
        <v>1958</v>
      </c>
      <c r="B1386" s="32" t="s">
        <v>1959</v>
      </c>
      <c r="C1386" s="33">
        <v>13</v>
      </c>
      <c r="D1386" s="34" t="s">
        <v>1956</v>
      </c>
      <c r="E1386" s="36">
        <v>358497</v>
      </c>
      <c r="F1386" s="36">
        <f>TRUNC(E1386*$C1386,0)</f>
        <v>4660461</v>
      </c>
      <c r="G1386" s="36">
        <v>58770</v>
      </c>
      <c r="H1386" s="36">
        <f>TRUNC(G1386*$C1386,0)</f>
        <v>764010</v>
      </c>
      <c r="I1386" s="36">
        <v>42980</v>
      </c>
      <c r="J1386" s="36">
        <f>TRUNC(I1386*$C1386,0)</f>
        <v>558740</v>
      </c>
      <c r="K1386" s="36">
        <f t="shared" si="201"/>
        <v>460247</v>
      </c>
      <c r="L1386" s="36">
        <f t="shared" si="201"/>
        <v>5983211</v>
      </c>
      <c r="M1386" s="37"/>
      <c r="N1386" s="253"/>
      <c r="O1386" s="38"/>
    </row>
    <row r="1387" spans="1:15" s="29" customFormat="1" ht="24.95" customHeight="1">
      <c r="A1387" s="31" t="s">
        <v>1960</v>
      </c>
      <c r="B1387" s="32" t="s">
        <v>1961</v>
      </c>
      <c r="C1387" s="33">
        <v>4</v>
      </c>
      <c r="D1387" s="34" t="s">
        <v>1956</v>
      </c>
      <c r="E1387" s="36">
        <v>358497</v>
      </c>
      <c r="F1387" s="36">
        <f>TRUNC(E1387*$C1387,0)</f>
        <v>1433988</v>
      </c>
      <c r="G1387" s="36">
        <v>59789</v>
      </c>
      <c r="H1387" s="36">
        <f>TRUNC(G1387*$C1387,0)</f>
        <v>239156</v>
      </c>
      <c r="I1387" s="36">
        <v>42980</v>
      </c>
      <c r="J1387" s="36">
        <f>TRUNC(I1387*$C1387,0)</f>
        <v>171920</v>
      </c>
      <c r="K1387" s="36">
        <f t="shared" si="201"/>
        <v>461266</v>
      </c>
      <c r="L1387" s="36">
        <f t="shared" si="201"/>
        <v>1845064</v>
      </c>
      <c r="M1387" s="37"/>
      <c r="N1387" s="253"/>
      <c r="O1387" s="38"/>
    </row>
    <row r="1388" spans="1:15" s="29" customFormat="1" ht="24.95" customHeight="1">
      <c r="A1388" s="31" t="s">
        <v>2029</v>
      </c>
      <c r="B1388" s="32" t="s">
        <v>22</v>
      </c>
      <c r="C1388" s="33"/>
      <c r="D1388" s="34" t="s">
        <v>22</v>
      </c>
      <c r="E1388" s="34"/>
      <c r="F1388" s="36">
        <f>TRUNC(F1389,0)</f>
        <v>4590146</v>
      </c>
      <c r="G1388" s="34"/>
      <c r="H1388" s="36">
        <f>TRUNC(H1389,0)</f>
        <v>1093202</v>
      </c>
      <c r="I1388" s="34"/>
      <c r="J1388" s="36">
        <f>TRUNC(J1389,0)</f>
        <v>0</v>
      </c>
      <c r="K1388" s="36">
        <f t="shared" si="201"/>
        <v>0</v>
      </c>
      <c r="L1388" s="36">
        <f t="shared" si="201"/>
        <v>5683348</v>
      </c>
      <c r="M1388" s="37"/>
      <c r="N1388" s="253"/>
    </row>
    <row r="1389" spans="1:15" s="29" customFormat="1" ht="24.95" customHeight="1">
      <c r="A1389" s="31" t="s">
        <v>2021</v>
      </c>
      <c r="B1389" s="32" t="s">
        <v>2022</v>
      </c>
      <c r="C1389" s="33">
        <v>814</v>
      </c>
      <c r="D1389" s="34" t="s">
        <v>847</v>
      </c>
      <c r="E1389" s="36">
        <v>5639</v>
      </c>
      <c r="F1389" s="36">
        <f>TRUNC(E1389*$C1389,0)</f>
        <v>4590146</v>
      </c>
      <c r="G1389" s="36">
        <v>1343</v>
      </c>
      <c r="H1389" s="36">
        <f>TRUNC(G1389*$C1389,0)</f>
        <v>1093202</v>
      </c>
      <c r="I1389" s="36">
        <v>0</v>
      </c>
      <c r="J1389" s="36">
        <f>TRUNC(I1389*$C1389,0)</f>
        <v>0</v>
      </c>
      <c r="K1389" s="36">
        <f t="shared" si="201"/>
        <v>6982</v>
      </c>
      <c r="L1389" s="36">
        <f t="shared" si="201"/>
        <v>5683348</v>
      </c>
      <c r="M1389" s="37"/>
      <c r="N1389" s="253"/>
      <c r="O1389" s="38"/>
    </row>
    <row r="1390" spans="1:15" s="70" customFormat="1" ht="24.95" customHeight="1">
      <c r="A1390" s="64" t="s">
        <v>2036</v>
      </c>
      <c r="B1390" s="65" t="s">
        <v>22</v>
      </c>
      <c r="C1390" s="66"/>
      <c r="D1390" s="67" t="s">
        <v>22</v>
      </c>
      <c r="E1390" s="67"/>
      <c r="F1390" s="68">
        <f>TRUNC(F1392+F1393+F1394+F1396,0)</f>
        <v>37398158</v>
      </c>
      <c r="G1390" s="67"/>
      <c r="H1390" s="68">
        <f>TRUNC(H1392+H1393+H1394+H1396,0)</f>
        <v>7137706</v>
      </c>
      <c r="I1390" s="67"/>
      <c r="J1390" s="68">
        <f>TRUNC(J1392+J1393+J1394+J1396,0)</f>
        <v>2859059</v>
      </c>
      <c r="K1390" s="68">
        <f t="shared" si="201"/>
        <v>0</v>
      </c>
      <c r="L1390" s="68">
        <f t="shared" si="201"/>
        <v>47394923</v>
      </c>
      <c r="M1390" s="69"/>
      <c r="N1390" s="256"/>
    </row>
    <row r="1391" spans="1:15" s="29" customFormat="1" ht="24.95" customHeight="1">
      <c r="A1391" s="31" t="s">
        <v>2028</v>
      </c>
      <c r="B1391" s="32" t="s">
        <v>22</v>
      </c>
      <c r="C1391" s="33"/>
      <c r="D1391" s="34" t="s">
        <v>22</v>
      </c>
      <c r="E1391" s="34"/>
      <c r="F1391" s="36">
        <f>TRUNC(F1392+F1393+F1394,0)</f>
        <v>23842002</v>
      </c>
      <c r="G1391" s="34"/>
      <c r="H1391" s="36">
        <f>TRUNC(H1392+H1393+H1394,0)</f>
        <v>3909134</v>
      </c>
      <c r="I1391" s="34"/>
      <c r="J1391" s="36">
        <f>TRUNC(J1392+J1393+J1394,0)</f>
        <v>2859059</v>
      </c>
      <c r="K1391" s="36">
        <f t="shared" si="201"/>
        <v>0</v>
      </c>
      <c r="L1391" s="36">
        <f t="shared" si="201"/>
        <v>30610195</v>
      </c>
      <c r="M1391" s="37"/>
      <c r="N1391" s="253"/>
    </row>
    <row r="1392" spans="1:15" s="29" customFormat="1" ht="24.95" customHeight="1">
      <c r="A1392" s="31" t="s">
        <v>1954</v>
      </c>
      <c r="B1392" s="32" t="s">
        <v>1955</v>
      </c>
      <c r="C1392" s="33">
        <v>33</v>
      </c>
      <c r="D1392" s="34" t="s">
        <v>1956</v>
      </c>
      <c r="E1392" s="36">
        <v>385715</v>
      </c>
      <c r="F1392" s="36">
        <f>TRUNC(E1392*$C1392,0)</f>
        <v>12728595</v>
      </c>
      <c r="G1392" s="36">
        <v>62849</v>
      </c>
      <c r="H1392" s="36">
        <f>TRUNC(G1392*$C1392,0)</f>
        <v>2074017</v>
      </c>
      <c r="I1392" s="36">
        <v>46263</v>
      </c>
      <c r="J1392" s="36">
        <f>TRUNC(I1392*$C1392,0)</f>
        <v>1526679</v>
      </c>
      <c r="K1392" s="36">
        <f t="shared" si="201"/>
        <v>494827</v>
      </c>
      <c r="L1392" s="36">
        <f t="shared" si="201"/>
        <v>16329291</v>
      </c>
      <c r="M1392" s="37"/>
      <c r="N1392" s="253"/>
      <c r="O1392" s="38"/>
    </row>
    <row r="1393" spans="1:15" s="29" customFormat="1" ht="24.95" customHeight="1">
      <c r="A1393" s="31" t="s">
        <v>1958</v>
      </c>
      <c r="B1393" s="32" t="s">
        <v>1959</v>
      </c>
      <c r="C1393" s="33">
        <v>18</v>
      </c>
      <c r="D1393" s="34" t="s">
        <v>1956</v>
      </c>
      <c r="E1393" s="36">
        <v>358497</v>
      </c>
      <c r="F1393" s="36">
        <f>TRUNC(E1393*$C1393,0)</f>
        <v>6452946</v>
      </c>
      <c r="G1393" s="36">
        <v>58770</v>
      </c>
      <c r="H1393" s="36">
        <f>TRUNC(G1393*$C1393,0)</f>
        <v>1057860</v>
      </c>
      <c r="I1393" s="36">
        <v>42980</v>
      </c>
      <c r="J1393" s="36">
        <f>TRUNC(I1393*$C1393,0)</f>
        <v>773640</v>
      </c>
      <c r="K1393" s="36">
        <f t="shared" si="201"/>
        <v>460247</v>
      </c>
      <c r="L1393" s="36">
        <f t="shared" si="201"/>
        <v>8284446</v>
      </c>
      <c r="M1393" s="37"/>
      <c r="N1393" s="253"/>
      <c r="O1393" s="38"/>
    </row>
    <row r="1394" spans="1:15" s="29" customFormat="1" ht="24.95" customHeight="1">
      <c r="A1394" s="31" t="s">
        <v>1960</v>
      </c>
      <c r="B1394" s="32" t="s">
        <v>1961</v>
      </c>
      <c r="C1394" s="33">
        <v>13</v>
      </c>
      <c r="D1394" s="34" t="s">
        <v>1956</v>
      </c>
      <c r="E1394" s="36">
        <v>358497</v>
      </c>
      <c r="F1394" s="36">
        <f>TRUNC(E1394*$C1394,0)</f>
        <v>4660461</v>
      </c>
      <c r="G1394" s="36">
        <v>59789</v>
      </c>
      <c r="H1394" s="36">
        <f>TRUNC(G1394*$C1394,0)</f>
        <v>777257</v>
      </c>
      <c r="I1394" s="36">
        <v>42980</v>
      </c>
      <c r="J1394" s="36">
        <f>TRUNC(I1394*$C1394,0)</f>
        <v>558740</v>
      </c>
      <c r="K1394" s="36">
        <f t="shared" si="201"/>
        <v>461266</v>
      </c>
      <c r="L1394" s="36">
        <f t="shared" si="201"/>
        <v>5996458</v>
      </c>
      <c r="M1394" s="37"/>
      <c r="N1394" s="253"/>
      <c r="O1394" s="38"/>
    </row>
    <row r="1395" spans="1:15" s="29" customFormat="1" ht="24.95" customHeight="1">
      <c r="A1395" s="31" t="s">
        <v>2029</v>
      </c>
      <c r="B1395" s="32" t="s">
        <v>22</v>
      </c>
      <c r="C1395" s="33"/>
      <c r="D1395" s="34" t="s">
        <v>22</v>
      </c>
      <c r="E1395" s="34"/>
      <c r="F1395" s="36">
        <f>TRUNC(F1396,0)</f>
        <v>13556156</v>
      </c>
      <c r="G1395" s="34"/>
      <c r="H1395" s="36">
        <f>TRUNC(H1396,0)</f>
        <v>3228572</v>
      </c>
      <c r="I1395" s="34"/>
      <c r="J1395" s="36">
        <f>TRUNC(J1396,0)</f>
        <v>0</v>
      </c>
      <c r="K1395" s="36">
        <f t="shared" si="201"/>
        <v>0</v>
      </c>
      <c r="L1395" s="36">
        <f t="shared" si="201"/>
        <v>16784728</v>
      </c>
      <c r="M1395" s="37"/>
      <c r="N1395" s="253"/>
    </row>
    <row r="1396" spans="1:15" s="29" customFormat="1" ht="24.95" customHeight="1">
      <c r="A1396" s="31" t="s">
        <v>2021</v>
      </c>
      <c r="B1396" s="32" t="s">
        <v>2022</v>
      </c>
      <c r="C1396" s="33">
        <v>2404</v>
      </c>
      <c r="D1396" s="34" t="s">
        <v>847</v>
      </c>
      <c r="E1396" s="36">
        <v>5639</v>
      </c>
      <c r="F1396" s="36">
        <f>TRUNC(E1396*$C1396,0)</f>
        <v>13556156</v>
      </c>
      <c r="G1396" s="36">
        <v>1343</v>
      </c>
      <c r="H1396" s="36">
        <f>TRUNC(G1396*$C1396,0)</f>
        <v>3228572</v>
      </c>
      <c r="I1396" s="36">
        <v>0</v>
      </c>
      <c r="J1396" s="36">
        <f>TRUNC(I1396*$C1396,0)</f>
        <v>0</v>
      </c>
      <c r="K1396" s="36">
        <f t="shared" si="201"/>
        <v>6982</v>
      </c>
      <c r="L1396" s="36">
        <f t="shared" si="201"/>
        <v>16784728</v>
      </c>
      <c r="M1396" s="37"/>
      <c r="N1396" s="253"/>
      <c r="O1396" s="38"/>
    </row>
    <row r="1397" spans="1:15" s="70" customFormat="1" ht="24.95" customHeight="1">
      <c r="A1397" s="64" t="s">
        <v>2037</v>
      </c>
      <c r="B1397" s="65" t="s">
        <v>22</v>
      </c>
      <c r="C1397" s="66"/>
      <c r="D1397" s="67" t="s">
        <v>22</v>
      </c>
      <c r="E1397" s="67"/>
      <c r="F1397" s="68">
        <f>TRUNC(F1399+F1400+F1401+F1402+F1403+F1405,0)</f>
        <v>53926485</v>
      </c>
      <c r="G1397" s="67"/>
      <c r="H1397" s="68">
        <f>TRUNC(H1399+H1400+H1401+H1402+H1403+H1405,0)</f>
        <v>10152499</v>
      </c>
      <c r="I1397" s="67"/>
      <c r="J1397" s="68">
        <f>TRUNC(J1399+J1400+J1401+J1402+J1403+J1405,0)</f>
        <v>4315418</v>
      </c>
      <c r="K1397" s="68">
        <f t="shared" si="201"/>
        <v>0</v>
      </c>
      <c r="L1397" s="68">
        <f t="shared" si="201"/>
        <v>68394402</v>
      </c>
      <c r="M1397" s="69"/>
      <c r="N1397" s="256"/>
    </row>
    <row r="1398" spans="1:15" s="29" customFormat="1" ht="24.95" customHeight="1">
      <c r="A1398" s="31" t="s">
        <v>2028</v>
      </c>
      <c r="B1398" s="32" t="s">
        <v>22</v>
      </c>
      <c r="C1398" s="33"/>
      <c r="D1398" s="34" t="s">
        <v>22</v>
      </c>
      <c r="E1398" s="34"/>
      <c r="F1398" s="36">
        <f>TRUNC(F1399+F1400+F1401+F1402+F1403,0)</f>
        <v>36885427</v>
      </c>
      <c r="G1398" s="34"/>
      <c r="H1398" s="36">
        <f>TRUNC(H1399+H1400+H1401+H1402+H1403,0)</f>
        <v>6093953</v>
      </c>
      <c r="I1398" s="34"/>
      <c r="J1398" s="36">
        <f>TRUNC(J1399+J1400+J1401+J1402+J1403,0)</f>
        <v>4315418</v>
      </c>
      <c r="K1398" s="36">
        <f t="shared" si="201"/>
        <v>0</v>
      </c>
      <c r="L1398" s="36">
        <f t="shared" si="201"/>
        <v>47294798</v>
      </c>
      <c r="M1398" s="37"/>
      <c r="N1398" s="253"/>
    </row>
    <row r="1399" spans="1:15" s="29" customFormat="1" ht="24.95" customHeight="1">
      <c r="A1399" s="31" t="s">
        <v>1954</v>
      </c>
      <c r="B1399" s="32" t="s">
        <v>1955</v>
      </c>
      <c r="C1399" s="33">
        <v>35</v>
      </c>
      <c r="D1399" s="34" t="s">
        <v>1956</v>
      </c>
      <c r="E1399" s="36">
        <v>385715</v>
      </c>
      <c r="F1399" s="36">
        <f>TRUNC(E1399*$C1399,0)</f>
        <v>13500025</v>
      </c>
      <c r="G1399" s="36">
        <v>62849</v>
      </c>
      <c r="H1399" s="36">
        <f>TRUNC(G1399*$C1399,0)</f>
        <v>2199715</v>
      </c>
      <c r="I1399" s="36">
        <v>46263</v>
      </c>
      <c r="J1399" s="36">
        <f>TRUNC(I1399*$C1399,0)</f>
        <v>1619205</v>
      </c>
      <c r="K1399" s="36">
        <f t="shared" si="201"/>
        <v>494827</v>
      </c>
      <c r="L1399" s="36">
        <f t="shared" si="201"/>
        <v>17318945</v>
      </c>
      <c r="M1399" s="37"/>
      <c r="N1399" s="253"/>
      <c r="O1399" s="38"/>
    </row>
    <row r="1400" spans="1:15" s="29" customFormat="1" ht="24.95" customHeight="1">
      <c r="A1400" s="31" t="s">
        <v>1958</v>
      </c>
      <c r="B1400" s="32" t="s">
        <v>1959</v>
      </c>
      <c r="C1400" s="33">
        <v>36</v>
      </c>
      <c r="D1400" s="34" t="s">
        <v>1956</v>
      </c>
      <c r="E1400" s="36">
        <v>358497</v>
      </c>
      <c r="F1400" s="36">
        <f>TRUNC(E1400*$C1400,0)</f>
        <v>12905892</v>
      </c>
      <c r="G1400" s="36">
        <v>58770</v>
      </c>
      <c r="H1400" s="36">
        <f>TRUNC(G1400*$C1400,0)</f>
        <v>2115720</v>
      </c>
      <c r="I1400" s="36">
        <v>42980</v>
      </c>
      <c r="J1400" s="36">
        <f>TRUNC(I1400*$C1400,0)</f>
        <v>1547280</v>
      </c>
      <c r="K1400" s="36">
        <f t="shared" si="201"/>
        <v>460247</v>
      </c>
      <c r="L1400" s="36">
        <f t="shared" si="201"/>
        <v>16568892</v>
      </c>
      <c r="M1400" s="37"/>
      <c r="N1400" s="253"/>
      <c r="O1400" s="38"/>
    </row>
    <row r="1401" spans="1:15" s="29" customFormat="1" ht="24.95" customHeight="1">
      <c r="A1401" s="31" t="s">
        <v>1960</v>
      </c>
      <c r="B1401" s="32" t="s">
        <v>1961</v>
      </c>
      <c r="C1401" s="33">
        <v>18</v>
      </c>
      <c r="D1401" s="34" t="s">
        <v>1956</v>
      </c>
      <c r="E1401" s="36">
        <v>358497</v>
      </c>
      <c r="F1401" s="36">
        <f>TRUNC(E1401*$C1401,0)</f>
        <v>6452946</v>
      </c>
      <c r="G1401" s="36">
        <v>59789</v>
      </c>
      <c r="H1401" s="36">
        <f>TRUNC(G1401*$C1401,0)</f>
        <v>1076202</v>
      </c>
      <c r="I1401" s="36">
        <v>42980</v>
      </c>
      <c r="J1401" s="36">
        <f>TRUNC(I1401*$C1401,0)</f>
        <v>773640</v>
      </c>
      <c r="K1401" s="36">
        <f t="shared" si="201"/>
        <v>461266</v>
      </c>
      <c r="L1401" s="36">
        <f t="shared" si="201"/>
        <v>8302788</v>
      </c>
      <c r="M1401" s="37"/>
      <c r="N1401" s="253"/>
      <c r="O1401" s="38"/>
    </row>
    <row r="1402" spans="1:15" s="29" customFormat="1" ht="24.95" customHeight="1">
      <c r="A1402" s="31" t="s">
        <v>1962</v>
      </c>
      <c r="B1402" s="32" t="s">
        <v>1963</v>
      </c>
      <c r="C1402" s="33">
        <v>9</v>
      </c>
      <c r="D1402" s="34" t="s">
        <v>1956</v>
      </c>
      <c r="E1402" s="36">
        <v>197108</v>
      </c>
      <c r="F1402" s="36">
        <f>TRUNC(E1402*$C1402,0)</f>
        <v>1773972</v>
      </c>
      <c r="G1402" s="36">
        <v>38228</v>
      </c>
      <c r="H1402" s="36">
        <f>TRUNC(G1402*$C1402,0)</f>
        <v>344052</v>
      </c>
      <c r="I1402" s="36">
        <v>19581</v>
      </c>
      <c r="J1402" s="36">
        <f>TRUNC(I1402*$C1402,0)</f>
        <v>176229</v>
      </c>
      <c r="K1402" s="36">
        <f t="shared" si="201"/>
        <v>254917</v>
      </c>
      <c r="L1402" s="36">
        <f t="shared" si="201"/>
        <v>2294253</v>
      </c>
      <c r="M1402" s="37"/>
      <c r="N1402" s="253"/>
      <c r="O1402" s="38"/>
    </row>
    <row r="1403" spans="1:15" s="29" customFormat="1" ht="24.95" customHeight="1">
      <c r="A1403" s="31" t="s">
        <v>1964</v>
      </c>
      <c r="B1403" s="32" t="s">
        <v>1965</v>
      </c>
      <c r="C1403" s="33">
        <v>8</v>
      </c>
      <c r="D1403" s="34" t="s">
        <v>1956</v>
      </c>
      <c r="E1403" s="36">
        <v>281574</v>
      </c>
      <c r="F1403" s="36">
        <f>TRUNC(E1403*$C1403,0)</f>
        <v>2252592</v>
      </c>
      <c r="G1403" s="36">
        <v>44783</v>
      </c>
      <c r="H1403" s="36">
        <f>TRUNC(G1403*$C1403,0)</f>
        <v>358264</v>
      </c>
      <c r="I1403" s="36">
        <v>24883</v>
      </c>
      <c r="J1403" s="36">
        <f>TRUNC(I1403*$C1403,0)</f>
        <v>199064</v>
      </c>
      <c r="K1403" s="36">
        <f t="shared" si="201"/>
        <v>351240</v>
      </c>
      <c r="L1403" s="36">
        <f t="shared" si="201"/>
        <v>2809920</v>
      </c>
      <c r="M1403" s="37"/>
      <c r="N1403" s="253"/>
      <c r="O1403" s="38"/>
    </row>
    <row r="1404" spans="1:15" s="29" customFormat="1" ht="24.95" customHeight="1">
      <c r="A1404" s="31" t="s">
        <v>2029</v>
      </c>
      <c r="B1404" s="32" t="s">
        <v>22</v>
      </c>
      <c r="C1404" s="33"/>
      <c r="D1404" s="34" t="s">
        <v>22</v>
      </c>
      <c r="E1404" s="34"/>
      <c r="F1404" s="36">
        <f>TRUNC(F1405,0)</f>
        <v>17041058</v>
      </c>
      <c r="G1404" s="34"/>
      <c r="H1404" s="36">
        <f>TRUNC(H1405,0)</f>
        <v>4058546</v>
      </c>
      <c r="I1404" s="34"/>
      <c r="J1404" s="36">
        <f>TRUNC(J1405,0)</f>
        <v>0</v>
      </c>
      <c r="K1404" s="36">
        <f t="shared" si="201"/>
        <v>0</v>
      </c>
      <c r="L1404" s="36">
        <f t="shared" si="201"/>
        <v>21099604</v>
      </c>
      <c r="M1404" s="37"/>
      <c r="N1404" s="253"/>
    </row>
    <row r="1405" spans="1:15" s="29" customFormat="1" ht="24.95" customHeight="1">
      <c r="A1405" s="31" t="s">
        <v>2021</v>
      </c>
      <c r="B1405" s="32" t="s">
        <v>2022</v>
      </c>
      <c r="C1405" s="33">
        <v>3022</v>
      </c>
      <c r="D1405" s="34" t="s">
        <v>847</v>
      </c>
      <c r="E1405" s="36">
        <v>5639</v>
      </c>
      <c r="F1405" s="36">
        <f>TRUNC(E1405*$C1405,0)</f>
        <v>17041058</v>
      </c>
      <c r="G1405" s="36">
        <v>1343</v>
      </c>
      <c r="H1405" s="36">
        <f>TRUNC(G1405*$C1405,0)</f>
        <v>4058546</v>
      </c>
      <c r="I1405" s="36">
        <v>0</v>
      </c>
      <c r="J1405" s="36">
        <f>TRUNC(I1405*$C1405,0)</f>
        <v>0</v>
      </c>
      <c r="K1405" s="36">
        <f t="shared" si="201"/>
        <v>6982</v>
      </c>
      <c r="L1405" s="36">
        <f t="shared" si="201"/>
        <v>21099604</v>
      </c>
      <c r="M1405" s="37"/>
      <c r="N1405" s="253"/>
      <c r="O1405" s="38"/>
    </row>
    <row r="1406" spans="1:15" s="70" customFormat="1" ht="24.95" customHeight="1">
      <c r="A1406" s="64" t="s">
        <v>2038</v>
      </c>
      <c r="B1406" s="65" t="s">
        <v>22</v>
      </c>
      <c r="C1406" s="66"/>
      <c r="D1406" s="67" t="s">
        <v>22</v>
      </c>
      <c r="E1406" s="67"/>
      <c r="F1406" s="68">
        <f>TRUNC(F1408+F1409+F1410+F1411+F1412+F1414,0)</f>
        <v>1200053085</v>
      </c>
      <c r="G1406" s="67"/>
      <c r="H1406" s="68">
        <f>TRUNC(H1408+H1409+H1410+H1411+H1412+H1414,0)</f>
        <v>202825989</v>
      </c>
      <c r="I1406" s="67"/>
      <c r="J1406" s="68">
        <f>TRUNC(J1408+J1409+J1410+J1411+J1412+J1414,0)</f>
        <v>133250749</v>
      </c>
      <c r="K1406" s="68">
        <f t="shared" si="201"/>
        <v>0</v>
      </c>
      <c r="L1406" s="68">
        <f t="shared" si="201"/>
        <v>1536129823</v>
      </c>
      <c r="M1406" s="69"/>
      <c r="N1406" s="256"/>
    </row>
    <row r="1407" spans="1:15" s="29" customFormat="1" ht="24.95" customHeight="1">
      <c r="A1407" s="31" t="s">
        <v>2028</v>
      </c>
      <c r="B1407" s="32" t="s">
        <v>22</v>
      </c>
      <c r="C1407" s="33"/>
      <c r="D1407" s="34" t="s">
        <v>22</v>
      </c>
      <c r="E1407" s="34"/>
      <c r="F1407" s="36">
        <f>TRUNC(F1408+F1409+F1410+F1411+F1412,0)</f>
        <v>1137668828</v>
      </c>
      <c r="G1407" s="34"/>
      <c r="H1407" s="36">
        <f>TRUNC(H1408+H1409+H1410+H1411+H1412,0)</f>
        <v>187968380</v>
      </c>
      <c r="I1407" s="34"/>
      <c r="J1407" s="36">
        <f>TRUNC(J1408+J1409+J1410+J1411+J1412,0)</f>
        <v>133250749</v>
      </c>
      <c r="K1407" s="36">
        <f t="shared" si="201"/>
        <v>0</v>
      </c>
      <c r="L1407" s="36">
        <f t="shared" si="201"/>
        <v>1458887957</v>
      </c>
      <c r="M1407" s="37"/>
      <c r="N1407" s="253"/>
    </row>
    <row r="1408" spans="1:15" s="29" customFormat="1" ht="24.95" customHeight="1">
      <c r="A1408" s="31" t="s">
        <v>1954</v>
      </c>
      <c r="B1408" s="32" t="s">
        <v>1955</v>
      </c>
      <c r="C1408" s="33">
        <v>958</v>
      </c>
      <c r="D1408" s="34" t="s">
        <v>1956</v>
      </c>
      <c r="E1408" s="36">
        <v>385715</v>
      </c>
      <c r="F1408" s="36">
        <f>TRUNC(E1408*$C1408,0)</f>
        <v>369514970</v>
      </c>
      <c r="G1408" s="36">
        <v>62849</v>
      </c>
      <c r="H1408" s="36">
        <f>TRUNC(G1408*$C1408,0)</f>
        <v>60209342</v>
      </c>
      <c r="I1408" s="36">
        <v>46263</v>
      </c>
      <c r="J1408" s="36">
        <f>TRUNC(I1408*$C1408,0)</f>
        <v>44319954</v>
      </c>
      <c r="K1408" s="36">
        <f t="shared" si="201"/>
        <v>494827</v>
      </c>
      <c r="L1408" s="36">
        <f t="shared" si="201"/>
        <v>474044266</v>
      </c>
      <c r="M1408" s="37"/>
      <c r="N1408" s="253"/>
      <c r="O1408" s="38"/>
    </row>
    <row r="1409" spans="1:15" s="29" customFormat="1" ht="24.95" customHeight="1">
      <c r="A1409" s="31" t="s">
        <v>1958</v>
      </c>
      <c r="B1409" s="32" t="s">
        <v>1959</v>
      </c>
      <c r="C1409" s="33">
        <v>1172</v>
      </c>
      <c r="D1409" s="34" t="s">
        <v>1956</v>
      </c>
      <c r="E1409" s="36">
        <v>358497</v>
      </c>
      <c r="F1409" s="36">
        <f>TRUNC(E1409*$C1409,0)</f>
        <v>420158484</v>
      </c>
      <c r="G1409" s="36">
        <v>58770</v>
      </c>
      <c r="H1409" s="36">
        <f>TRUNC(G1409*$C1409,0)</f>
        <v>68878440</v>
      </c>
      <c r="I1409" s="36">
        <v>42980</v>
      </c>
      <c r="J1409" s="36">
        <f>TRUNC(I1409*$C1409,0)</f>
        <v>50372560</v>
      </c>
      <c r="K1409" s="36">
        <f t="shared" si="201"/>
        <v>460247</v>
      </c>
      <c r="L1409" s="36">
        <f t="shared" si="201"/>
        <v>539409484</v>
      </c>
      <c r="M1409" s="37"/>
      <c r="N1409" s="253"/>
      <c r="O1409" s="38"/>
    </row>
    <row r="1410" spans="1:15" s="29" customFormat="1" ht="24.95" customHeight="1">
      <c r="A1410" s="31" t="s">
        <v>1960</v>
      </c>
      <c r="B1410" s="32" t="s">
        <v>1961</v>
      </c>
      <c r="C1410" s="33">
        <v>642</v>
      </c>
      <c r="D1410" s="34" t="s">
        <v>1956</v>
      </c>
      <c r="E1410" s="36">
        <v>358497</v>
      </c>
      <c r="F1410" s="36">
        <f>TRUNC(E1410*$C1410,0)</f>
        <v>230155074</v>
      </c>
      <c r="G1410" s="36">
        <v>59789</v>
      </c>
      <c r="H1410" s="36">
        <f>TRUNC(G1410*$C1410,0)</f>
        <v>38384538</v>
      </c>
      <c r="I1410" s="36">
        <v>42980</v>
      </c>
      <c r="J1410" s="36">
        <f>TRUNC(I1410*$C1410,0)</f>
        <v>27593160</v>
      </c>
      <c r="K1410" s="36">
        <f t="shared" si="201"/>
        <v>461266</v>
      </c>
      <c r="L1410" s="36">
        <f t="shared" si="201"/>
        <v>296132772</v>
      </c>
      <c r="M1410" s="37"/>
      <c r="N1410" s="253"/>
      <c r="O1410" s="38"/>
    </row>
    <row r="1411" spans="1:15" s="29" customFormat="1" ht="24.95" customHeight="1">
      <c r="A1411" s="31" t="s">
        <v>1962</v>
      </c>
      <c r="B1411" s="32" t="s">
        <v>1963</v>
      </c>
      <c r="C1411" s="33">
        <v>255</v>
      </c>
      <c r="D1411" s="34" t="s">
        <v>1956</v>
      </c>
      <c r="E1411" s="36">
        <v>197108</v>
      </c>
      <c r="F1411" s="36">
        <f>TRUNC(E1411*$C1411,0)</f>
        <v>50262540</v>
      </c>
      <c r="G1411" s="36">
        <v>38228</v>
      </c>
      <c r="H1411" s="36">
        <f>TRUNC(G1411*$C1411,0)</f>
        <v>9748140</v>
      </c>
      <c r="I1411" s="36">
        <v>19581</v>
      </c>
      <c r="J1411" s="36">
        <f>TRUNC(I1411*$C1411,0)</f>
        <v>4993155</v>
      </c>
      <c r="K1411" s="36">
        <f t="shared" si="201"/>
        <v>254917</v>
      </c>
      <c r="L1411" s="36">
        <f t="shared" si="201"/>
        <v>65003835</v>
      </c>
      <c r="M1411" s="37"/>
      <c r="N1411" s="253"/>
      <c r="O1411" s="38"/>
    </row>
    <row r="1412" spans="1:15" s="29" customFormat="1" ht="24.95" customHeight="1">
      <c r="A1412" s="31" t="s">
        <v>1964</v>
      </c>
      <c r="B1412" s="32" t="s">
        <v>1965</v>
      </c>
      <c r="C1412" s="33">
        <v>240</v>
      </c>
      <c r="D1412" s="34" t="s">
        <v>1956</v>
      </c>
      <c r="E1412" s="36">
        <v>281574</v>
      </c>
      <c r="F1412" s="36">
        <f>TRUNC(E1412*$C1412,0)</f>
        <v>67577760</v>
      </c>
      <c r="G1412" s="36">
        <v>44783</v>
      </c>
      <c r="H1412" s="36">
        <f>TRUNC(G1412*$C1412,0)</f>
        <v>10747920</v>
      </c>
      <c r="I1412" s="36">
        <v>24883</v>
      </c>
      <c r="J1412" s="36">
        <f>TRUNC(I1412*$C1412,0)</f>
        <v>5971920</v>
      </c>
      <c r="K1412" s="36">
        <f t="shared" si="201"/>
        <v>351240</v>
      </c>
      <c r="L1412" s="36">
        <f t="shared" si="201"/>
        <v>84297600</v>
      </c>
      <c r="M1412" s="37"/>
      <c r="N1412" s="253"/>
      <c r="O1412" s="38"/>
    </row>
    <row r="1413" spans="1:15" s="29" customFormat="1" ht="24.95" customHeight="1">
      <c r="A1413" s="31" t="s">
        <v>2029</v>
      </c>
      <c r="B1413" s="32" t="s">
        <v>22</v>
      </c>
      <c r="C1413" s="33"/>
      <c r="D1413" s="34" t="s">
        <v>22</v>
      </c>
      <c r="E1413" s="34"/>
      <c r="F1413" s="36">
        <f>TRUNC(F1414,0)</f>
        <v>62384257</v>
      </c>
      <c r="G1413" s="34"/>
      <c r="H1413" s="36">
        <f>TRUNC(H1414,0)</f>
        <v>14857609</v>
      </c>
      <c r="I1413" s="34"/>
      <c r="J1413" s="36">
        <f>TRUNC(J1414,0)</f>
        <v>0</v>
      </c>
      <c r="K1413" s="36">
        <f t="shared" si="201"/>
        <v>0</v>
      </c>
      <c r="L1413" s="36">
        <f t="shared" si="201"/>
        <v>77241866</v>
      </c>
      <c r="M1413" s="37"/>
      <c r="N1413" s="253"/>
    </row>
    <row r="1414" spans="1:15" s="29" customFormat="1" ht="24.95" customHeight="1">
      <c r="A1414" s="31" t="s">
        <v>2021</v>
      </c>
      <c r="B1414" s="32" t="s">
        <v>2022</v>
      </c>
      <c r="C1414" s="33">
        <v>11063</v>
      </c>
      <c r="D1414" s="34" t="s">
        <v>847</v>
      </c>
      <c r="E1414" s="36">
        <v>5639</v>
      </c>
      <c r="F1414" s="36">
        <f>TRUNC(E1414*$C1414,0)</f>
        <v>62384257</v>
      </c>
      <c r="G1414" s="36">
        <v>1343</v>
      </c>
      <c r="H1414" s="36">
        <f>TRUNC(G1414*$C1414,0)</f>
        <v>14857609</v>
      </c>
      <c r="I1414" s="36">
        <v>0</v>
      </c>
      <c r="J1414" s="36">
        <f>TRUNC(I1414*$C1414,0)</f>
        <v>0</v>
      </c>
      <c r="K1414" s="36">
        <f t="shared" si="201"/>
        <v>6982</v>
      </c>
      <c r="L1414" s="36">
        <f t="shared" si="201"/>
        <v>77241866</v>
      </c>
      <c r="M1414" s="37"/>
      <c r="N1414" s="253"/>
      <c r="O1414" s="38"/>
    </row>
    <row r="1415" spans="1:15" s="70" customFormat="1" ht="24.95" customHeight="1">
      <c r="A1415" s="64" t="s">
        <v>2039</v>
      </c>
      <c r="B1415" s="65" t="s">
        <v>22</v>
      </c>
      <c r="C1415" s="66">
        <v>0</v>
      </c>
      <c r="D1415" s="67" t="s">
        <v>22</v>
      </c>
      <c r="E1415" s="67"/>
      <c r="F1415" s="68">
        <f>TRUNC(F1417+F1418+F1419+F1421,0)</f>
        <v>361478244</v>
      </c>
      <c r="G1415" s="67"/>
      <c r="H1415" s="68">
        <f>TRUNC(H1417+H1418+H1419+H1421,0)</f>
        <v>61532849</v>
      </c>
      <c r="I1415" s="67"/>
      <c r="J1415" s="68">
        <f>TRUNC(J1417+J1418+J1419+J1421,0)</f>
        <v>38430865</v>
      </c>
      <c r="K1415" s="68">
        <f t="shared" si="201"/>
        <v>0</v>
      </c>
      <c r="L1415" s="68">
        <f t="shared" si="201"/>
        <v>461441958</v>
      </c>
      <c r="M1415" s="69"/>
      <c r="N1415" s="256"/>
    </row>
    <row r="1416" spans="1:15" s="29" customFormat="1" ht="24.95" customHeight="1">
      <c r="A1416" s="31" t="s">
        <v>2028</v>
      </c>
      <c r="B1416" s="32" t="s">
        <v>22</v>
      </c>
      <c r="C1416" s="33">
        <v>0</v>
      </c>
      <c r="D1416" s="34" t="s">
        <v>22</v>
      </c>
      <c r="E1416" s="34"/>
      <c r="F1416" s="36">
        <f>TRUNC(F1417+F1418+F1419,0)</f>
        <v>337670386</v>
      </c>
      <c r="G1416" s="34"/>
      <c r="H1416" s="36">
        <f>TRUNC(H1417+H1418+H1419,0)</f>
        <v>55862703</v>
      </c>
      <c r="I1416" s="34"/>
      <c r="J1416" s="36">
        <f>TRUNC(J1417+J1418+J1419,0)</f>
        <v>38430865</v>
      </c>
      <c r="K1416" s="36">
        <f t="shared" si="201"/>
        <v>0</v>
      </c>
      <c r="L1416" s="36">
        <f t="shared" si="201"/>
        <v>431963954</v>
      </c>
      <c r="M1416" s="37"/>
      <c r="N1416" s="253"/>
    </row>
    <row r="1417" spans="1:15" s="29" customFormat="1" ht="24.95" customHeight="1">
      <c r="A1417" s="31" t="s">
        <v>1954</v>
      </c>
      <c r="B1417" s="32" t="s">
        <v>1955</v>
      </c>
      <c r="C1417" s="33">
        <v>676</v>
      </c>
      <c r="D1417" s="34" t="s">
        <v>1956</v>
      </c>
      <c r="E1417" s="36">
        <v>385715</v>
      </c>
      <c r="F1417" s="36">
        <f>TRUNC(E1417*$C1417,0)</f>
        <v>260743340</v>
      </c>
      <c r="G1417" s="36">
        <v>62849</v>
      </c>
      <c r="H1417" s="36">
        <f>TRUNC(G1417*$C1417,0)</f>
        <v>42485924</v>
      </c>
      <c r="I1417" s="36">
        <v>46263</v>
      </c>
      <c r="J1417" s="36">
        <f>TRUNC(I1417*$C1417,0)</f>
        <v>31273788</v>
      </c>
      <c r="K1417" s="36">
        <f t="shared" si="201"/>
        <v>494827</v>
      </c>
      <c r="L1417" s="36">
        <f t="shared" si="201"/>
        <v>334503052</v>
      </c>
      <c r="M1417" s="37"/>
      <c r="N1417" s="253"/>
      <c r="O1417" s="38"/>
    </row>
    <row r="1418" spans="1:15" s="29" customFormat="1" ht="24.95" customHeight="1">
      <c r="A1418" s="31" t="s">
        <v>1962</v>
      </c>
      <c r="B1418" s="32" t="s">
        <v>1963</v>
      </c>
      <c r="C1418" s="33">
        <v>166</v>
      </c>
      <c r="D1418" s="34" t="s">
        <v>1956</v>
      </c>
      <c r="E1418" s="36">
        <v>197108</v>
      </c>
      <c r="F1418" s="36">
        <f>TRUNC(E1418*$C1418,0)</f>
        <v>32719928</v>
      </c>
      <c r="G1418" s="36">
        <v>38228</v>
      </c>
      <c r="H1418" s="36">
        <f>TRUNC(G1418*$C1418,0)</f>
        <v>6345848</v>
      </c>
      <c r="I1418" s="36">
        <v>19581</v>
      </c>
      <c r="J1418" s="36">
        <f>TRUNC(I1418*$C1418,0)</f>
        <v>3250446</v>
      </c>
      <c r="K1418" s="36">
        <f t="shared" si="201"/>
        <v>254917</v>
      </c>
      <c r="L1418" s="36">
        <f t="shared" si="201"/>
        <v>42316222</v>
      </c>
      <c r="M1418" s="37"/>
      <c r="N1418" s="253"/>
      <c r="O1418" s="38"/>
    </row>
    <row r="1419" spans="1:15" s="29" customFormat="1" ht="24.95" customHeight="1">
      <c r="A1419" s="31" t="s">
        <v>1964</v>
      </c>
      <c r="B1419" s="32" t="s">
        <v>1965</v>
      </c>
      <c r="C1419" s="33">
        <v>157</v>
      </c>
      <c r="D1419" s="34" t="s">
        <v>1956</v>
      </c>
      <c r="E1419" s="36">
        <v>281574</v>
      </c>
      <c r="F1419" s="36">
        <f>TRUNC(E1419*$C1419,0)</f>
        <v>44207118</v>
      </c>
      <c r="G1419" s="36">
        <v>44783</v>
      </c>
      <c r="H1419" s="36">
        <f>TRUNC(G1419*$C1419,0)</f>
        <v>7030931</v>
      </c>
      <c r="I1419" s="36">
        <v>24883</v>
      </c>
      <c r="J1419" s="36">
        <f>TRUNC(I1419*$C1419,0)</f>
        <v>3906631</v>
      </c>
      <c r="K1419" s="36">
        <f t="shared" si="201"/>
        <v>351240</v>
      </c>
      <c r="L1419" s="36">
        <f t="shared" si="201"/>
        <v>55144680</v>
      </c>
      <c r="M1419" s="37"/>
      <c r="N1419" s="253"/>
      <c r="O1419" s="38"/>
    </row>
    <row r="1420" spans="1:15" s="29" customFormat="1" ht="24.95" customHeight="1">
      <c r="A1420" s="31" t="s">
        <v>2029</v>
      </c>
      <c r="B1420" s="32" t="s">
        <v>22</v>
      </c>
      <c r="C1420" s="33"/>
      <c r="D1420" s="34" t="s">
        <v>22</v>
      </c>
      <c r="E1420" s="34"/>
      <c r="F1420" s="36">
        <f>TRUNC(F1421,0)</f>
        <v>23807858</v>
      </c>
      <c r="G1420" s="34"/>
      <c r="H1420" s="36">
        <f>TRUNC(H1421,0)</f>
        <v>5670146</v>
      </c>
      <c r="I1420" s="34"/>
      <c r="J1420" s="36">
        <f>TRUNC(J1421,0)</f>
        <v>0</v>
      </c>
      <c r="K1420" s="36">
        <f t="shared" si="201"/>
        <v>0</v>
      </c>
      <c r="L1420" s="36">
        <f t="shared" si="201"/>
        <v>29478004</v>
      </c>
      <c r="M1420" s="37"/>
      <c r="N1420" s="253"/>
    </row>
    <row r="1421" spans="1:15" s="29" customFormat="1" ht="24.95" customHeight="1">
      <c r="A1421" s="31" t="s">
        <v>2021</v>
      </c>
      <c r="B1421" s="32" t="s">
        <v>2022</v>
      </c>
      <c r="C1421" s="33">
        <v>4222</v>
      </c>
      <c r="D1421" s="34" t="s">
        <v>847</v>
      </c>
      <c r="E1421" s="36">
        <v>5639</v>
      </c>
      <c r="F1421" s="36">
        <f>TRUNC(E1421*$C1421,0)</f>
        <v>23807858</v>
      </c>
      <c r="G1421" s="36">
        <v>1343</v>
      </c>
      <c r="H1421" s="36">
        <f>TRUNC(G1421*$C1421,0)</f>
        <v>5670146</v>
      </c>
      <c r="I1421" s="36">
        <v>0</v>
      </c>
      <c r="J1421" s="36">
        <f>TRUNC(I1421*$C1421,0)</f>
        <v>0</v>
      </c>
      <c r="K1421" s="36">
        <f t="shared" si="201"/>
        <v>6982</v>
      </c>
      <c r="L1421" s="36">
        <f t="shared" si="201"/>
        <v>29478004</v>
      </c>
      <c r="M1421" s="37"/>
      <c r="N1421" s="253"/>
      <c r="O1421" s="38"/>
    </row>
    <row r="1422" spans="1:15" s="63" customFormat="1" ht="24.95" customHeight="1">
      <c r="A1422" s="57" t="s">
        <v>2040</v>
      </c>
      <c r="B1422" s="58" t="s">
        <v>22</v>
      </c>
      <c r="C1422" s="59"/>
      <c r="D1422" s="60" t="s">
        <v>22</v>
      </c>
      <c r="E1422" s="60"/>
      <c r="F1422" s="61">
        <f>TRUNC(F1423,0)</f>
        <v>41822120</v>
      </c>
      <c r="G1422" s="60"/>
      <c r="H1422" s="61">
        <f>TRUNC(H1423,0)</f>
        <v>58937836</v>
      </c>
      <c r="I1422" s="60"/>
      <c r="J1422" s="61">
        <f>TRUNC(J1423,0)</f>
        <v>2922728</v>
      </c>
      <c r="K1422" s="61">
        <f t="shared" si="201"/>
        <v>0</v>
      </c>
      <c r="L1422" s="61">
        <f t="shared" si="201"/>
        <v>103682684</v>
      </c>
      <c r="M1422" s="62"/>
      <c r="N1422" s="253"/>
    </row>
    <row r="1423" spans="1:15" s="29" customFormat="1" ht="24.95" customHeight="1">
      <c r="A1423" s="31" t="s">
        <v>2041</v>
      </c>
      <c r="B1423" s="32" t="s">
        <v>1982</v>
      </c>
      <c r="C1423" s="33">
        <v>412</v>
      </c>
      <c r="D1423" s="34" t="s">
        <v>1956</v>
      </c>
      <c r="E1423" s="36">
        <v>101510</v>
      </c>
      <c r="F1423" s="36">
        <f>TRUNC(E1423*$C1423,0)</f>
        <v>41822120</v>
      </c>
      <c r="G1423" s="36">
        <v>143053</v>
      </c>
      <c r="H1423" s="36">
        <f>TRUNC(G1423*$C1423,0)</f>
        <v>58937836</v>
      </c>
      <c r="I1423" s="36">
        <v>7094</v>
      </c>
      <c r="J1423" s="36">
        <f>TRUNC(I1423*$C1423,0)</f>
        <v>2922728</v>
      </c>
      <c r="K1423" s="36">
        <f t="shared" si="201"/>
        <v>251657</v>
      </c>
      <c r="L1423" s="36">
        <f t="shared" si="201"/>
        <v>103682684</v>
      </c>
      <c r="M1423" s="37"/>
      <c r="N1423" s="253"/>
      <c r="O1423" s="38"/>
    </row>
    <row r="1424" spans="1:15" s="63" customFormat="1" ht="24.95" customHeight="1">
      <c r="A1424" s="57" t="s">
        <v>2042</v>
      </c>
      <c r="B1424" s="58" t="s">
        <v>22</v>
      </c>
      <c r="C1424" s="59"/>
      <c r="D1424" s="60" t="s">
        <v>22</v>
      </c>
      <c r="E1424" s="60"/>
      <c r="F1424" s="61">
        <f>TRUNC(F1426+F1427+F1428+F1429+F1430,0)</f>
        <v>0</v>
      </c>
      <c r="G1424" s="60"/>
      <c r="H1424" s="61">
        <f>TRUNC(H1426+H1427+H1428+H1429+H1430,0)</f>
        <v>0</v>
      </c>
      <c r="I1424" s="60"/>
      <c r="J1424" s="61">
        <f>TRUNC(J1426+J1427+J1428+J1429+J1430,0)</f>
        <v>0</v>
      </c>
      <c r="K1424" s="61">
        <f t="shared" si="201"/>
        <v>0</v>
      </c>
      <c r="L1424" s="61">
        <f t="shared" si="201"/>
        <v>0</v>
      </c>
      <c r="M1424" s="62"/>
      <c r="N1424" s="253"/>
    </row>
    <row r="1425" spans="1:15" s="29" customFormat="1" ht="24.95" customHeight="1">
      <c r="A1425" s="31" t="s">
        <v>2043</v>
      </c>
      <c r="B1425" s="32" t="s">
        <v>22</v>
      </c>
      <c r="C1425" s="33"/>
      <c r="D1425" s="34" t="s">
        <v>22</v>
      </c>
      <c r="E1425" s="34"/>
      <c r="F1425" s="36">
        <f>TRUNC(F1426+F1427+F1428+F1429+F1430,0)</f>
        <v>0</v>
      </c>
      <c r="G1425" s="34"/>
      <c r="H1425" s="36">
        <f>TRUNC(H1426+H1427+H1428+H1429+H1430,0)</f>
        <v>0</v>
      </c>
      <c r="I1425" s="34"/>
      <c r="J1425" s="36">
        <f>TRUNC(J1426+J1427+J1428+J1429+J1430,0)</f>
        <v>0</v>
      </c>
      <c r="K1425" s="36">
        <f t="shared" si="201"/>
        <v>0</v>
      </c>
      <c r="L1425" s="36">
        <f t="shared" si="201"/>
        <v>0</v>
      </c>
      <c r="M1425" s="37"/>
      <c r="N1425" s="253"/>
    </row>
    <row r="1426" spans="1:15" s="29" customFormat="1" ht="24.95" customHeight="1">
      <c r="A1426" s="31" t="s">
        <v>2044</v>
      </c>
      <c r="B1426" s="32" t="s">
        <v>1955</v>
      </c>
      <c r="C1426" s="33">
        <v>0</v>
      </c>
      <c r="D1426" s="34" t="s">
        <v>1956</v>
      </c>
      <c r="E1426" s="36">
        <v>440475</v>
      </c>
      <c r="F1426" s="36">
        <f>TRUNC(E1426*$C1426,0)</f>
        <v>0</v>
      </c>
      <c r="G1426" s="36">
        <v>61023</v>
      </c>
      <c r="H1426" s="36">
        <f>TRUNC(G1426*$C1426,0)</f>
        <v>0</v>
      </c>
      <c r="I1426" s="36">
        <v>48076</v>
      </c>
      <c r="J1426" s="36">
        <f>TRUNC(I1426*$C1426,0)</f>
        <v>0</v>
      </c>
      <c r="K1426" s="36">
        <f t="shared" si="201"/>
        <v>549574</v>
      </c>
      <c r="L1426" s="36">
        <f t="shared" si="201"/>
        <v>0</v>
      </c>
      <c r="M1426" s="37"/>
      <c r="N1426" s="253"/>
      <c r="O1426" s="38"/>
    </row>
    <row r="1427" spans="1:15" s="29" customFormat="1" ht="24.95" customHeight="1">
      <c r="A1427" s="31" t="s">
        <v>2045</v>
      </c>
      <c r="B1427" s="32" t="s">
        <v>1959</v>
      </c>
      <c r="C1427" s="33">
        <v>0</v>
      </c>
      <c r="D1427" s="34" t="s">
        <v>1956</v>
      </c>
      <c r="E1427" s="36">
        <v>418427</v>
      </c>
      <c r="F1427" s="36">
        <f>TRUNC(E1427*$C1427,0)</f>
        <v>0</v>
      </c>
      <c r="G1427" s="36">
        <v>57335</v>
      </c>
      <c r="H1427" s="36">
        <f>TRUNC(G1427*$C1427,0)</f>
        <v>0</v>
      </c>
      <c r="I1427" s="36">
        <v>44793</v>
      </c>
      <c r="J1427" s="36">
        <f>TRUNC(I1427*$C1427,0)</f>
        <v>0</v>
      </c>
      <c r="K1427" s="36">
        <f t="shared" si="201"/>
        <v>520555</v>
      </c>
      <c r="L1427" s="36">
        <f t="shared" si="201"/>
        <v>0</v>
      </c>
      <c r="M1427" s="37"/>
      <c r="N1427" s="253"/>
      <c r="O1427" s="38"/>
    </row>
    <row r="1428" spans="1:15" s="29" customFormat="1" ht="24.95" customHeight="1">
      <c r="A1428" s="31" t="s">
        <v>2046</v>
      </c>
      <c r="B1428" s="32" t="s">
        <v>1961</v>
      </c>
      <c r="C1428" s="33">
        <v>0</v>
      </c>
      <c r="D1428" s="34" t="s">
        <v>1956</v>
      </c>
      <c r="E1428" s="36">
        <v>418427</v>
      </c>
      <c r="F1428" s="36">
        <f>TRUNC(E1428*$C1428,0)</f>
        <v>0</v>
      </c>
      <c r="G1428" s="36">
        <v>58098</v>
      </c>
      <c r="H1428" s="36">
        <f>TRUNC(G1428*$C1428,0)</f>
        <v>0</v>
      </c>
      <c r="I1428" s="36">
        <v>44793</v>
      </c>
      <c r="J1428" s="36">
        <f>TRUNC(I1428*$C1428,0)</f>
        <v>0</v>
      </c>
      <c r="K1428" s="36">
        <f t="shared" si="201"/>
        <v>521318</v>
      </c>
      <c r="L1428" s="36">
        <f t="shared" si="201"/>
        <v>0</v>
      </c>
      <c r="M1428" s="37"/>
      <c r="N1428" s="253"/>
      <c r="O1428" s="38"/>
    </row>
    <row r="1429" spans="1:15" s="29" customFormat="1" ht="24.95" customHeight="1">
      <c r="A1429" s="31" t="s">
        <v>2047</v>
      </c>
      <c r="B1429" s="32" t="s">
        <v>1963</v>
      </c>
      <c r="C1429" s="33">
        <v>0</v>
      </c>
      <c r="D1429" s="34" t="s">
        <v>1956</v>
      </c>
      <c r="E1429" s="36">
        <v>243307</v>
      </c>
      <c r="F1429" s="36">
        <f>TRUNC(E1429*$C1429,0)</f>
        <v>0</v>
      </c>
      <c r="G1429" s="36">
        <v>43497</v>
      </c>
      <c r="H1429" s="36">
        <f>TRUNC(G1429*$C1429,0)</f>
        <v>0</v>
      </c>
      <c r="I1429" s="36">
        <v>25299</v>
      </c>
      <c r="J1429" s="36">
        <f>TRUNC(I1429*$C1429,0)</f>
        <v>0</v>
      </c>
      <c r="K1429" s="36">
        <f t="shared" si="201"/>
        <v>312103</v>
      </c>
      <c r="L1429" s="36">
        <f t="shared" si="201"/>
        <v>0</v>
      </c>
      <c r="M1429" s="37"/>
      <c r="N1429" s="253"/>
      <c r="O1429" s="38"/>
    </row>
    <row r="1430" spans="1:15" s="29" customFormat="1" ht="24.95" customHeight="1">
      <c r="A1430" s="31" t="s">
        <v>2048</v>
      </c>
      <c r="B1430" s="32" t="s">
        <v>1965</v>
      </c>
      <c r="C1430" s="33">
        <v>0</v>
      </c>
      <c r="D1430" s="34" t="s">
        <v>1956</v>
      </c>
      <c r="E1430" s="36">
        <v>335231</v>
      </c>
      <c r="F1430" s="36">
        <f>TRUNC(E1430*$C1430,0)</f>
        <v>0</v>
      </c>
      <c r="G1430" s="36">
        <v>43763</v>
      </c>
      <c r="H1430" s="36">
        <f>TRUNC(G1430*$C1430,0)</f>
        <v>0</v>
      </c>
      <c r="I1430" s="36">
        <v>32237</v>
      </c>
      <c r="J1430" s="36">
        <f>TRUNC(I1430*$C1430,0)</f>
        <v>0</v>
      </c>
      <c r="K1430" s="36">
        <f t="shared" si="201"/>
        <v>411231</v>
      </c>
      <c r="L1430" s="36">
        <f t="shared" si="201"/>
        <v>0</v>
      </c>
      <c r="M1430" s="37"/>
      <c r="N1430" s="253"/>
      <c r="O1430" s="38"/>
    </row>
    <row r="1431" spans="1:15" s="63" customFormat="1" ht="24.95" customHeight="1">
      <c r="A1431" s="57" t="s">
        <v>2049</v>
      </c>
      <c r="B1431" s="58" t="s">
        <v>22</v>
      </c>
      <c r="C1431" s="59"/>
      <c r="D1431" s="60" t="s">
        <v>22</v>
      </c>
      <c r="E1431" s="60"/>
      <c r="F1431" s="61">
        <f>TRUNC(F1433+F1434+F1435+F1437+F1438+F1440+F1441+F1443+F1444+F1445,0)</f>
        <v>275444156</v>
      </c>
      <c r="G1431" s="60"/>
      <c r="H1431" s="61">
        <f>TRUNC(H1433+H1434+H1435+H1437+H1438+H1440+H1441+H1443+H1444+H1445,0)</f>
        <v>8147104</v>
      </c>
      <c r="I1431" s="60"/>
      <c r="J1431" s="61">
        <f>TRUNC(J1433+J1434+J1435+J1437+J1438+J1440+J1441+J1443+J1444+J1445,0)</f>
        <v>3802126</v>
      </c>
      <c r="K1431" s="61">
        <f t="shared" si="201"/>
        <v>0</v>
      </c>
      <c r="L1431" s="61">
        <f t="shared" si="201"/>
        <v>287393386</v>
      </c>
      <c r="M1431" s="62"/>
      <c r="N1431" s="253"/>
    </row>
    <row r="1432" spans="1:15" s="29" customFormat="1" ht="24.95" customHeight="1">
      <c r="A1432" s="31" t="s">
        <v>2050</v>
      </c>
      <c r="B1432" s="32" t="s">
        <v>2051</v>
      </c>
      <c r="C1432" s="33"/>
      <c r="D1432" s="34" t="s">
        <v>22</v>
      </c>
      <c r="E1432" s="34"/>
      <c r="F1432" s="36">
        <f>TRUNC(F1433+F1434+F1435,0)</f>
        <v>71674696</v>
      </c>
      <c r="G1432" s="34"/>
      <c r="H1432" s="36">
        <f>TRUNC(H1433+H1434+H1435,0)</f>
        <v>646600</v>
      </c>
      <c r="I1432" s="34"/>
      <c r="J1432" s="36">
        <f>TRUNC(J1433+J1434+J1435,0)</f>
        <v>2903088</v>
      </c>
      <c r="K1432" s="36">
        <f t="shared" si="201"/>
        <v>0</v>
      </c>
      <c r="L1432" s="36">
        <f t="shared" si="201"/>
        <v>75224384</v>
      </c>
      <c r="M1432" s="37"/>
      <c r="N1432" s="253"/>
    </row>
    <row r="1433" spans="1:15" s="29" customFormat="1" ht="24.95" customHeight="1">
      <c r="A1433" s="31" t="s">
        <v>2052</v>
      </c>
      <c r="B1433" s="32" t="s">
        <v>1955</v>
      </c>
      <c r="C1433" s="33">
        <v>5300</v>
      </c>
      <c r="D1433" s="34" t="s">
        <v>1956</v>
      </c>
      <c r="E1433" s="36">
        <v>9682</v>
      </c>
      <c r="F1433" s="36">
        <f>TRUNC(E1433*$C1433,0)</f>
        <v>51314600</v>
      </c>
      <c r="G1433" s="36">
        <v>122</v>
      </c>
      <c r="H1433" s="36">
        <f>TRUNC(G1433*$C1433,0)</f>
        <v>646600</v>
      </c>
      <c r="I1433" s="36">
        <v>416</v>
      </c>
      <c r="J1433" s="36">
        <f>TRUNC(I1433*$C1433,0)</f>
        <v>2204800</v>
      </c>
      <c r="K1433" s="36">
        <f t="shared" ref="K1433:L1489" si="202">G1433+E1433+I1433</f>
        <v>10220</v>
      </c>
      <c r="L1433" s="36">
        <f t="shared" si="202"/>
        <v>54166000</v>
      </c>
      <c r="M1433" s="37"/>
      <c r="N1433" s="253"/>
      <c r="O1433" s="38"/>
    </row>
    <row r="1434" spans="1:15" s="29" customFormat="1" ht="24.95" customHeight="1">
      <c r="A1434" s="31" t="s">
        <v>2053</v>
      </c>
      <c r="B1434" s="32" t="s">
        <v>2054</v>
      </c>
      <c r="C1434" s="33">
        <v>9452</v>
      </c>
      <c r="D1434" s="34" t="s">
        <v>847</v>
      </c>
      <c r="E1434" s="36">
        <v>938</v>
      </c>
      <c r="F1434" s="36">
        <f>TRUNC(E1434*$C1434,0)</f>
        <v>8865976</v>
      </c>
      <c r="G1434" s="36">
        <v>0</v>
      </c>
      <c r="H1434" s="36">
        <f>TRUNC(G1434*$C1434,0)</f>
        <v>0</v>
      </c>
      <c r="I1434" s="36">
        <v>32</v>
      </c>
      <c r="J1434" s="36">
        <f>TRUNC(I1434*$C1434,0)</f>
        <v>302464</v>
      </c>
      <c r="K1434" s="36">
        <f t="shared" si="202"/>
        <v>970</v>
      </c>
      <c r="L1434" s="36">
        <f t="shared" si="202"/>
        <v>9168440</v>
      </c>
      <c r="M1434" s="37"/>
      <c r="N1434" s="253"/>
      <c r="O1434" s="38"/>
    </row>
    <row r="1435" spans="1:15" s="29" customFormat="1" ht="24.95" customHeight="1">
      <c r="A1435" s="31" t="s">
        <v>2055</v>
      </c>
      <c r="B1435" s="32" t="s">
        <v>2056</v>
      </c>
      <c r="C1435" s="33">
        <v>7612</v>
      </c>
      <c r="D1435" s="34" t="s">
        <v>847</v>
      </c>
      <c r="E1435" s="36">
        <v>1510</v>
      </c>
      <c r="F1435" s="36">
        <f>TRUNC(E1435*$C1435,0)</f>
        <v>11494120</v>
      </c>
      <c r="G1435" s="36">
        <v>0</v>
      </c>
      <c r="H1435" s="36">
        <f>TRUNC(G1435*$C1435,0)</f>
        <v>0</v>
      </c>
      <c r="I1435" s="36">
        <v>52</v>
      </c>
      <c r="J1435" s="36">
        <f>TRUNC(I1435*$C1435,0)</f>
        <v>395824</v>
      </c>
      <c r="K1435" s="36">
        <f t="shared" si="202"/>
        <v>1562</v>
      </c>
      <c r="L1435" s="36">
        <f t="shared" si="202"/>
        <v>11889944</v>
      </c>
      <c r="M1435" s="37"/>
      <c r="N1435" s="253"/>
      <c r="O1435" s="38"/>
    </row>
    <row r="1436" spans="1:15" s="29" customFormat="1" ht="24.95" customHeight="1">
      <c r="A1436" s="31" t="s">
        <v>2057</v>
      </c>
      <c r="B1436" s="32" t="s">
        <v>2058</v>
      </c>
      <c r="C1436" s="33"/>
      <c r="D1436" s="34" t="s">
        <v>22</v>
      </c>
      <c r="E1436" s="34"/>
      <c r="F1436" s="36">
        <f>TRUNC(F1437+F1438,0)</f>
        <v>151162252</v>
      </c>
      <c r="G1436" s="34"/>
      <c r="H1436" s="36">
        <f>TRUNC(H1437+H1438,0)</f>
        <v>4942048</v>
      </c>
      <c r="I1436" s="34"/>
      <c r="J1436" s="36">
        <f>TRUNC(J1437+J1438,0)</f>
        <v>0</v>
      </c>
      <c r="K1436" s="36">
        <f t="shared" si="202"/>
        <v>0</v>
      </c>
      <c r="L1436" s="36">
        <f t="shared" si="202"/>
        <v>156104300</v>
      </c>
      <c r="M1436" s="37"/>
      <c r="N1436" s="253"/>
    </row>
    <row r="1437" spans="1:15" s="29" customFormat="1" ht="24.95" customHeight="1">
      <c r="A1437" s="31" t="s">
        <v>2059</v>
      </c>
      <c r="B1437" s="32" t="s">
        <v>2060</v>
      </c>
      <c r="C1437" s="33">
        <v>17064</v>
      </c>
      <c r="D1437" s="34" t="s">
        <v>1956</v>
      </c>
      <c r="E1437" s="36">
        <v>6043</v>
      </c>
      <c r="F1437" s="36">
        <f>TRUNC(E1437*$C1437,0)</f>
        <v>103117752</v>
      </c>
      <c r="G1437" s="36">
        <v>207</v>
      </c>
      <c r="H1437" s="36">
        <f>TRUNC(G1437*$C1437,0)</f>
        <v>3532248</v>
      </c>
      <c r="I1437" s="36">
        <v>0</v>
      </c>
      <c r="J1437" s="36">
        <f>TRUNC(I1437*$C1437,0)</f>
        <v>0</v>
      </c>
      <c r="K1437" s="36">
        <f t="shared" si="202"/>
        <v>6250</v>
      </c>
      <c r="L1437" s="36">
        <f t="shared" si="202"/>
        <v>106650000</v>
      </c>
      <c r="M1437" s="37"/>
      <c r="N1437" s="253"/>
      <c r="O1437" s="38"/>
    </row>
    <row r="1438" spans="1:15" s="29" customFormat="1" ht="24.95" customHeight="1">
      <c r="A1438" s="31" t="s">
        <v>2061</v>
      </c>
      <c r="B1438" s="32" t="s">
        <v>2062</v>
      </c>
      <c r="C1438" s="33">
        <v>5300</v>
      </c>
      <c r="D1438" s="34" t="s">
        <v>1956</v>
      </c>
      <c r="E1438" s="36">
        <v>9065</v>
      </c>
      <c r="F1438" s="36">
        <f>TRUNC(E1438*$C1438,0)</f>
        <v>48044500</v>
      </c>
      <c r="G1438" s="36">
        <v>266</v>
      </c>
      <c r="H1438" s="36">
        <f>TRUNC(G1438*$C1438,0)</f>
        <v>1409800</v>
      </c>
      <c r="I1438" s="36">
        <v>0</v>
      </c>
      <c r="J1438" s="36">
        <f>TRUNC(I1438*$C1438,0)</f>
        <v>0</v>
      </c>
      <c r="K1438" s="36">
        <f t="shared" si="202"/>
        <v>9331</v>
      </c>
      <c r="L1438" s="36">
        <f t="shared" si="202"/>
        <v>49454300</v>
      </c>
      <c r="M1438" s="37"/>
      <c r="N1438" s="253"/>
      <c r="O1438" s="38"/>
    </row>
    <row r="1439" spans="1:15" s="29" customFormat="1" ht="24.95" customHeight="1">
      <c r="A1439" s="31" t="s">
        <v>2063</v>
      </c>
      <c r="B1439" s="32" t="s">
        <v>2064</v>
      </c>
      <c r="C1439" s="33"/>
      <c r="D1439" s="34" t="s">
        <v>22</v>
      </c>
      <c r="E1439" s="34"/>
      <c r="F1439" s="36">
        <f>TRUNC(F1440+F1441,0)</f>
        <v>12201552</v>
      </c>
      <c r="G1439" s="34"/>
      <c r="H1439" s="36">
        <f>TRUNC(H1440+H1441,0)</f>
        <v>1792472</v>
      </c>
      <c r="I1439" s="34"/>
      <c r="J1439" s="36">
        <f>TRUNC(J1440+J1441,0)</f>
        <v>180928</v>
      </c>
      <c r="K1439" s="36">
        <f t="shared" si="202"/>
        <v>0</v>
      </c>
      <c r="L1439" s="36">
        <f t="shared" si="202"/>
        <v>14174952</v>
      </c>
      <c r="M1439" s="37"/>
      <c r="N1439" s="253"/>
    </row>
    <row r="1440" spans="1:15" s="29" customFormat="1" ht="24.95" customHeight="1">
      <c r="A1440" s="31" t="s">
        <v>2065</v>
      </c>
      <c r="B1440" s="32" t="s">
        <v>2066</v>
      </c>
      <c r="C1440" s="33">
        <v>47</v>
      </c>
      <c r="D1440" s="34" t="s">
        <v>815</v>
      </c>
      <c r="E1440" s="36">
        <v>138654</v>
      </c>
      <c r="F1440" s="36">
        <f>TRUNC(E1440*$C1440,0)</f>
        <v>6516738</v>
      </c>
      <c r="G1440" s="36">
        <v>20369</v>
      </c>
      <c r="H1440" s="36">
        <f>TRUNC(G1440*$C1440,0)</f>
        <v>957343</v>
      </c>
      <c r="I1440" s="36">
        <v>2056</v>
      </c>
      <c r="J1440" s="36">
        <f>TRUNC(I1440*$C1440,0)</f>
        <v>96632</v>
      </c>
      <c r="K1440" s="36">
        <f t="shared" si="202"/>
        <v>161079</v>
      </c>
      <c r="L1440" s="36">
        <f t="shared" si="202"/>
        <v>7570713</v>
      </c>
      <c r="M1440" s="37"/>
      <c r="N1440" s="253"/>
      <c r="O1440" s="38"/>
    </row>
    <row r="1441" spans="1:15" s="29" customFormat="1" ht="24.95" customHeight="1">
      <c r="A1441" s="31" t="s">
        <v>2067</v>
      </c>
      <c r="B1441" s="32" t="s">
        <v>2066</v>
      </c>
      <c r="C1441" s="33">
        <v>41</v>
      </c>
      <c r="D1441" s="34" t="s">
        <v>815</v>
      </c>
      <c r="E1441" s="36">
        <v>138654</v>
      </c>
      <c r="F1441" s="36">
        <f>TRUNC(E1441*$C1441,0)</f>
        <v>5684814</v>
      </c>
      <c r="G1441" s="36">
        <v>20369</v>
      </c>
      <c r="H1441" s="36">
        <f>TRUNC(G1441*$C1441,0)</f>
        <v>835129</v>
      </c>
      <c r="I1441" s="36">
        <v>2056</v>
      </c>
      <c r="J1441" s="36">
        <f>TRUNC(I1441*$C1441,0)</f>
        <v>84296</v>
      </c>
      <c r="K1441" s="36">
        <f t="shared" si="202"/>
        <v>161079</v>
      </c>
      <c r="L1441" s="36">
        <f t="shared" si="202"/>
        <v>6604239</v>
      </c>
      <c r="M1441" s="37"/>
      <c r="N1441" s="253"/>
      <c r="O1441" s="38"/>
    </row>
    <row r="1442" spans="1:15" s="29" customFormat="1" ht="24.95" customHeight="1">
      <c r="A1442" s="31" t="s">
        <v>2068</v>
      </c>
      <c r="B1442" s="32" t="s">
        <v>2069</v>
      </c>
      <c r="C1442" s="33"/>
      <c r="D1442" s="34" t="s">
        <v>22</v>
      </c>
      <c r="E1442" s="34"/>
      <c r="F1442" s="36">
        <f>TRUNC(F1443+F1444+F1445,0)</f>
        <v>40405656</v>
      </c>
      <c r="G1442" s="34"/>
      <c r="H1442" s="36">
        <f>TRUNC(H1443+H1444+H1445,0)</f>
        <v>765984</v>
      </c>
      <c r="I1442" s="34"/>
      <c r="J1442" s="36">
        <f>TRUNC(J1443+J1444+J1445,0)</f>
        <v>718110</v>
      </c>
      <c r="K1442" s="36">
        <f t="shared" si="202"/>
        <v>0</v>
      </c>
      <c r="L1442" s="36">
        <f t="shared" si="202"/>
        <v>41889750</v>
      </c>
      <c r="M1442" s="37"/>
      <c r="N1442" s="253"/>
    </row>
    <row r="1443" spans="1:15" s="29" customFormat="1" ht="24.95" customHeight="1">
      <c r="A1443" s="31" t="s">
        <v>2070</v>
      </c>
      <c r="B1443" s="32" t="s">
        <v>22</v>
      </c>
      <c r="C1443" s="33">
        <v>47874</v>
      </c>
      <c r="D1443" s="34" t="s">
        <v>847</v>
      </c>
      <c r="E1443" s="36">
        <v>21</v>
      </c>
      <c r="F1443" s="36">
        <f>TRUNC(E1443*$C1443,0)</f>
        <v>1005354</v>
      </c>
      <c r="G1443" s="36">
        <v>16</v>
      </c>
      <c r="H1443" s="36">
        <f>TRUNC(G1443*$C1443,0)</f>
        <v>765984</v>
      </c>
      <c r="I1443" s="36">
        <v>0</v>
      </c>
      <c r="J1443" s="36">
        <f>TRUNC(I1443*$C1443,0)</f>
        <v>0</v>
      </c>
      <c r="K1443" s="36">
        <f t="shared" si="202"/>
        <v>37</v>
      </c>
      <c r="L1443" s="36">
        <f t="shared" si="202"/>
        <v>1771338</v>
      </c>
      <c r="M1443" s="37"/>
      <c r="N1443" s="253"/>
      <c r="O1443" s="38"/>
    </row>
    <row r="1444" spans="1:15" s="29" customFormat="1" ht="24.95" customHeight="1">
      <c r="A1444" s="31" t="s">
        <v>2071</v>
      </c>
      <c r="B1444" s="32" t="s">
        <v>22</v>
      </c>
      <c r="C1444" s="33">
        <v>47874</v>
      </c>
      <c r="D1444" s="34" t="s">
        <v>847</v>
      </c>
      <c r="E1444" s="36">
        <v>623</v>
      </c>
      <c r="F1444" s="36">
        <f>TRUNC(E1444*$C1444,0)</f>
        <v>29825502</v>
      </c>
      <c r="G1444" s="36">
        <v>0</v>
      </c>
      <c r="H1444" s="36">
        <f>TRUNC(G1444*$C1444,0)</f>
        <v>0</v>
      </c>
      <c r="I1444" s="36">
        <v>0</v>
      </c>
      <c r="J1444" s="36">
        <f>TRUNC(I1444*$C1444,0)</f>
        <v>0</v>
      </c>
      <c r="K1444" s="36">
        <f t="shared" si="202"/>
        <v>623</v>
      </c>
      <c r="L1444" s="36">
        <f t="shared" si="202"/>
        <v>29825502</v>
      </c>
      <c r="M1444" s="37"/>
      <c r="N1444" s="253"/>
      <c r="O1444" s="38"/>
    </row>
    <row r="1445" spans="1:15" s="29" customFormat="1" ht="24.95" customHeight="1">
      <c r="A1445" s="31" t="s">
        <v>2072</v>
      </c>
      <c r="B1445" s="32" t="s">
        <v>2073</v>
      </c>
      <c r="C1445" s="33">
        <v>47874</v>
      </c>
      <c r="D1445" s="34" t="s">
        <v>847</v>
      </c>
      <c r="E1445" s="36">
        <v>200</v>
      </c>
      <c r="F1445" s="36">
        <f>TRUNC(E1445*$C1445,0)</f>
        <v>9574800</v>
      </c>
      <c r="G1445" s="36">
        <v>0</v>
      </c>
      <c r="H1445" s="36">
        <f>TRUNC(G1445*$C1445,0)</f>
        <v>0</v>
      </c>
      <c r="I1445" s="36">
        <v>15</v>
      </c>
      <c r="J1445" s="36">
        <f>TRUNC(I1445*$C1445,0)</f>
        <v>718110</v>
      </c>
      <c r="K1445" s="36">
        <f t="shared" si="202"/>
        <v>215</v>
      </c>
      <c r="L1445" s="36">
        <f t="shared" si="202"/>
        <v>10292910</v>
      </c>
      <c r="M1445" s="37"/>
      <c r="N1445" s="253"/>
      <c r="O1445" s="38"/>
    </row>
    <row r="1446" spans="1:15" s="63" customFormat="1" ht="24.95" customHeight="1">
      <c r="A1446" s="57" t="s">
        <v>2074</v>
      </c>
      <c r="B1446" s="58" t="s">
        <v>22</v>
      </c>
      <c r="C1446" s="59"/>
      <c r="D1446" s="60" t="s">
        <v>22</v>
      </c>
      <c r="E1446" s="60"/>
      <c r="F1446" s="61">
        <f>TRUNC(F1447+F1448+F1449,0)</f>
        <v>0</v>
      </c>
      <c r="G1446" s="60"/>
      <c r="H1446" s="61">
        <f>TRUNC(H1447+H1448+H1449,0)</f>
        <v>0</v>
      </c>
      <c r="I1446" s="60"/>
      <c r="J1446" s="61">
        <f>TRUNC(J1447+J1448+J1449,0)</f>
        <v>151785</v>
      </c>
      <c r="K1446" s="61">
        <f t="shared" si="202"/>
        <v>0</v>
      </c>
      <c r="L1446" s="61">
        <f t="shared" si="202"/>
        <v>151785</v>
      </c>
      <c r="M1446" s="62"/>
      <c r="N1446" s="253"/>
    </row>
    <row r="1447" spans="1:15" s="29" customFormat="1" ht="24.95" customHeight="1">
      <c r="A1447" s="31" t="s">
        <v>2075</v>
      </c>
      <c r="B1447" s="32" t="s">
        <v>2076</v>
      </c>
      <c r="C1447" s="33">
        <v>1</v>
      </c>
      <c r="D1447" s="34" t="s">
        <v>1014</v>
      </c>
      <c r="E1447" s="36">
        <v>0</v>
      </c>
      <c r="F1447" s="36">
        <f>TRUNC(E1447*$C1447,0)</f>
        <v>0</v>
      </c>
      <c r="G1447" s="36">
        <v>0</v>
      </c>
      <c r="H1447" s="36">
        <f>TRUNC(G1447*$C1447,0)</f>
        <v>0</v>
      </c>
      <c r="I1447" s="36">
        <v>65646</v>
      </c>
      <c r="J1447" s="36">
        <f>TRUNC(I1447*$C1447,0)</f>
        <v>65646</v>
      </c>
      <c r="K1447" s="36">
        <f t="shared" si="202"/>
        <v>65646</v>
      </c>
      <c r="L1447" s="36">
        <f t="shared" si="202"/>
        <v>65646</v>
      </c>
      <c r="M1447" s="37"/>
      <c r="N1447" s="253"/>
      <c r="O1447" s="38"/>
    </row>
    <row r="1448" spans="1:15" s="29" customFormat="1" ht="24.95" customHeight="1">
      <c r="A1448" s="31" t="s">
        <v>2077</v>
      </c>
      <c r="B1448" s="32" t="s">
        <v>2078</v>
      </c>
      <c r="C1448" s="33">
        <v>1</v>
      </c>
      <c r="D1448" s="34" t="s">
        <v>1014</v>
      </c>
      <c r="E1448" s="36">
        <v>0</v>
      </c>
      <c r="F1448" s="36">
        <f>TRUNC(E1448*$C1448,0)</f>
        <v>0</v>
      </c>
      <c r="G1448" s="36">
        <v>0</v>
      </c>
      <c r="H1448" s="36">
        <f>TRUNC(G1448*$C1448,0)</f>
        <v>0</v>
      </c>
      <c r="I1448" s="36">
        <v>59648</v>
      </c>
      <c r="J1448" s="36">
        <f>TRUNC(I1448*$C1448,0)</f>
        <v>59648</v>
      </c>
      <c r="K1448" s="36">
        <f t="shared" si="202"/>
        <v>59648</v>
      </c>
      <c r="L1448" s="36">
        <f t="shared" si="202"/>
        <v>59648</v>
      </c>
      <c r="M1448" s="37"/>
      <c r="N1448" s="253"/>
      <c r="O1448" s="38"/>
    </row>
    <row r="1449" spans="1:15" s="29" customFormat="1" ht="24.95" customHeight="1">
      <c r="A1449" s="31" t="s">
        <v>2079</v>
      </c>
      <c r="B1449" s="32" t="s">
        <v>2078</v>
      </c>
      <c r="C1449" s="33">
        <v>1</v>
      </c>
      <c r="D1449" s="34" t="s">
        <v>1014</v>
      </c>
      <c r="E1449" s="36">
        <v>0</v>
      </c>
      <c r="F1449" s="36">
        <f>TRUNC(E1449*$C1449,0)</f>
        <v>0</v>
      </c>
      <c r="G1449" s="36">
        <v>0</v>
      </c>
      <c r="H1449" s="36">
        <f>TRUNC(G1449*$C1449,0)</f>
        <v>0</v>
      </c>
      <c r="I1449" s="36">
        <v>26491</v>
      </c>
      <c r="J1449" s="36">
        <f>TRUNC(I1449*$C1449,0)</f>
        <v>26491</v>
      </c>
      <c r="K1449" s="36">
        <f t="shared" si="202"/>
        <v>26491</v>
      </c>
      <c r="L1449" s="36">
        <f t="shared" si="202"/>
        <v>26491</v>
      </c>
      <c r="M1449" s="37"/>
      <c r="N1449" s="253"/>
      <c r="O1449" s="38"/>
    </row>
    <row r="1450" spans="1:15" s="63" customFormat="1" ht="24.95" customHeight="1">
      <c r="A1450" s="57" t="s">
        <v>2080</v>
      </c>
      <c r="B1450" s="58" t="s">
        <v>2081</v>
      </c>
      <c r="C1450" s="59"/>
      <c r="D1450" s="60" t="s">
        <v>22</v>
      </c>
      <c r="E1450" s="60"/>
      <c r="F1450" s="61">
        <f>TRUNC(F1451,0)</f>
        <v>0</v>
      </c>
      <c r="G1450" s="60"/>
      <c r="H1450" s="61">
        <f>TRUNC(H1451,0)</f>
        <v>0</v>
      </c>
      <c r="I1450" s="60"/>
      <c r="J1450" s="61">
        <f>TRUNC(J1451,0)</f>
        <v>297762365</v>
      </c>
      <c r="K1450" s="61">
        <f t="shared" si="202"/>
        <v>0</v>
      </c>
      <c r="L1450" s="61">
        <f t="shared" si="202"/>
        <v>297762365</v>
      </c>
      <c r="M1450" s="62"/>
      <c r="N1450" s="253"/>
    </row>
    <row r="1451" spans="1:15" s="29" customFormat="1" ht="24.95" customHeight="1">
      <c r="A1451" s="31" t="s">
        <v>2082</v>
      </c>
      <c r="B1451" s="32" t="s">
        <v>2081</v>
      </c>
      <c r="C1451" s="33">
        <v>1</v>
      </c>
      <c r="D1451" s="34" t="s">
        <v>754</v>
      </c>
      <c r="E1451" s="36">
        <v>0</v>
      </c>
      <c r="F1451" s="36">
        <f>TRUNC(E1451*$C1451,0)</f>
        <v>0</v>
      </c>
      <c r="G1451" s="36">
        <v>0</v>
      </c>
      <c r="H1451" s="36">
        <f>TRUNC(G1451*$C1451,0)</f>
        <v>0</v>
      </c>
      <c r="I1451" s="36">
        <v>297762365</v>
      </c>
      <c r="J1451" s="36">
        <f>TRUNC(I1451*$C1451,0)</f>
        <v>297762365</v>
      </c>
      <c r="K1451" s="36">
        <f t="shared" si="202"/>
        <v>297762365</v>
      </c>
      <c r="L1451" s="36">
        <f t="shared" si="202"/>
        <v>297762365</v>
      </c>
      <c r="M1451" s="37"/>
      <c r="N1451" s="253"/>
      <c r="O1451" s="38"/>
    </row>
    <row r="1452" spans="1:15" s="63" customFormat="1" ht="24.95" customHeight="1">
      <c r="A1452" s="57" t="s">
        <v>2083</v>
      </c>
      <c r="B1452" s="58" t="s">
        <v>22</v>
      </c>
      <c r="C1452" s="59"/>
      <c r="D1452" s="60" t="s">
        <v>22</v>
      </c>
      <c r="E1452" s="60"/>
      <c r="F1452" s="61">
        <f>TRUNC(F1454+F1455+F1457+F1458+F1460+F1462+F1464+F1465+F1466+F1467+F1469+F1470+F1472+F1474+F1475+F1476+F1478+F1479+F1480+F1482+F1484+F1485+F1487+F1488,0)</f>
        <v>0</v>
      </c>
      <c r="G1452" s="60"/>
      <c r="H1452" s="61">
        <f>TRUNC(H1454+H1455+H1457+H1458+H1460+H1462+H1464+H1465+H1466+H1467+H1469+H1470+H1472+H1474+H1475+H1476+H1478+H1479+H1480+H1482+H1484+H1485+H1487+H1488,0)</f>
        <v>211200869</v>
      </c>
      <c r="I1452" s="60"/>
      <c r="J1452" s="61">
        <f>TRUNC(J1454+J1455+J1457+J1458+J1460+J1462+J1464+J1465+J1466+J1467+J1469+J1470+J1472+J1474+J1475+J1476+J1478+J1479+J1480+J1482+J1484+J1485+J1487+J1488,0)</f>
        <v>0</v>
      </c>
      <c r="K1452" s="61">
        <f t="shared" si="202"/>
        <v>0</v>
      </c>
      <c r="L1452" s="61">
        <f t="shared" si="202"/>
        <v>211200869</v>
      </c>
      <c r="M1452" s="62"/>
      <c r="N1452" s="253"/>
    </row>
    <row r="1453" spans="1:15" s="70" customFormat="1" ht="24.95" customHeight="1">
      <c r="A1453" s="64" t="s">
        <v>1253</v>
      </c>
      <c r="B1453" s="65" t="s">
        <v>22</v>
      </c>
      <c r="C1453" s="66"/>
      <c r="D1453" s="67" t="s">
        <v>22</v>
      </c>
      <c r="E1453" s="67"/>
      <c r="F1453" s="68">
        <f>TRUNC(F1454+F1455,0)</f>
        <v>0</v>
      </c>
      <c r="G1453" s="67"/>
      <c r="H1453" s="68">
        <f>TRUNC(H1454+H1455,0)</f>
        <v>6378102</v>
      </c>
      <c r="I1453" s="67"/>
      <c r="J1453" s="68">
        <f>TRUNC(J1454+J1455,0)</f>
        <v>0</v>
      </c>
      <c r="K1453" s="68">
        <f t="shared" si="202"/>
        <v>0</v>
      </c>
      <c r="L1453" s="68">
        <f t="shared" si="202"/>
        <v>6378102</v>
      </c>
      <c r="M1453" s="69"/>
      <c r="N1453" s="256"/>
    </row>
    <row r="1454" spans="1:15" s="29" customFormat="1" ht="24.95" customHeight="1">
      <c r="A1454" s="31" t="s">
        <v>1254</v>
      </c>
      <c r="B1454" s="32" t="s">
        <v>1258</v>
      </c>
      <c r="C1454" s="33">
        <v>10</v>
      </c>
      <c r="D1454" s="34" t="s">
        <v>815</v>
      </c>
      <c r="E1454" s="36">
        <v>0</v>
      </c>
      <c r="F1454" s="36">
        <f>TRUNC(E1454*$C1454,0)</f>
        <v>0</v>
      </c>
      <c r="G1454" s="36">
        <v>84807</v>
      </c>
      <c r="H1454" s="36">
        <f>TRUNC(G1454*$C1454,0)</f>
        <v>848070</v>
      </c>
      <c r="I1454" s="36">
        <v>0</v>
      </c>
      <c r="J1454" s="36">
        <f>TRUNC(I1454*$C1454,0)</f>
        <v>0</v>
      </c>
      <c r="K1454" s="36">
        <f t="shared" si="202"/>
        <v>84807</v>
      </c>
      <c r="L1454" s="36">
        <f t="shared" si="202"/>
        <v>848070</v>
      </c>
      <c r="M1454" s="37"/>
      <c r="N1454" s="253"/>
      <c r="O1454" s="38"/>
    </row>
    <row r="1455" spans="1:15" s="29" customFormat="1" ht="24.95" customHeight="1">
      <c r="A1455" s="31" t="s">
        <v>1254</v>
      </c>
      <c r="B1455" s="32" t="s">
        <v>1259</v>
      </c>
      <c r="C1455" s="33">
        <v>68</v>
      </c>
      <c r="D1455" s="34" t="s">
        <v>815</v>
      </c>
      <c r="E1455" s="36">
        <v>0</v>
      </c>
      <c r="F1455" s="36">
        <f>TRUNC(E1455*$C1455,0)</f>
        <v>0</v>
      </c>
      <c r="G1455" s="36">
        <v>81324</v>
      </c>
      <c r="H1455" s="36">
        <f>TRUNC(G1455*$C1455,0)</f>
        <v>5530032</v>
      </c>
      <c r="I1455" s="36">
        <v>0</v>
      </c>
      <c r="J1455" s="36">
        <f>TRUNC(I1455*$C1455,0)</f>
        <v>0</v>
      </c>
      <c r="K1455" s="36">
        <f t="shared" si="202"/>
        <v>81324</v>
      </c>
      <c r="L1455" s="36">
        <f t="shared" si="202"/>
        <v>5530032</v>
      </c>
      <c r="M1455" s="37"/>
      <c r="N1455" s="253"/>
      <c r="O1455" s="38"/>
    </row>
    <row r="1456" spans="1:15" s="70" customFormat="1" ht="24.95" customHeight="1">
      <c r="A1456" s="64" t="s">
        <v>1260</v>
      </c>
      <c r="B1456" s="65" t="s">
        <v>22</v>
      </c>
      <c r="C1456" s="66"/>
      <c r="D1456" s="67" t="s">
        <v>22</v>
      </c>
      <c r="E1456" s="67"/>
      <c r="F1456" s="68">
        <f>TRUNC(F1457+F1458,0)</f>
        <v>0</v>
      </c>
      <c r="G1456" s="67"/>
      <c r="H1456" s="68">
        <f>TRUNC(H1457+H1458,0)</f>
        <v>10471408</v>
      </c>
      <c r="I1456" s="67"/>
      <c r="J1456" s="68">
        <f>TRUNC(J1457+J1458,0)</f>
        <v>0</v>
      </c>
      <c r="K1456" s="68">
        <f t="shared" si="202"/>
        <v>0</v>
      </c>
      <c r="L1456" s="68">
        <f t="shared" si="202"/>
        <v>10471408</v>
      </c>
      <c r="M1456" s="69"/>
      <c r="N1456" s="256"/>
    </row>
    <row r="1457" spans="1:15" s="29" customFormat="1" ht="24.95" customHeight="1">
      <c r="A1457" s="31" t="s">
        <v>1261</v>
      </c>
      <c r="B1457" s="32" t="s">
        <v>1593</v>
      </c>
      <c r="C1457" s="33">
        <v>594</v>
      </c>
      <c r="D1457" s="34" t="s">
        <v>815</v>
      </c>
      <c r="E1457" s="36">
        <v>0</v>
      </c>
      <c r="F1457" s="36">
        <f>TRUNC(E1457*$C1457,0)</f>
        <v>0</v>
      </c>
      <c r="G1457" s="36">
        <v>17494</v>
      </c>
      <c r="H1457" s="36">
        <f>TRUNC(G1457*$C1457,0)</f>
        <v>10391436</v>
      </c>
      <c r="I1457" s="36">
        <v>0</v>
      </c>
      <c r="J1457" s="36">
        <f>TRUNC(I1457*$C1457,0)</f>
        <v>0</v>
      </c>
      <c r="K1457" s="36">
        <f t="shared" si="202"/>
        <v>17494</v>
      </c>
      <c r="L1457" s="36">
        <f t="shared" si="202"/>
        <v>10391436</v>
      </c>
      <c r="M1457" s="37"/>
      <c r="N1457" s="253"/>
      <c r="O1457" s="38"/>
    </row>
    <row r="1458" spans="1:15" s="29" customFormat="1" ht="24.95" customHeight="1">
      <c r="A1458" s="31" t="s">
        <v>2084</v>
      </c>
      <c r="B1458" s="32" t="s">
        <v>1413</v>
      </c>
      <c r="C1458" s="33">
        <v>4</v>
      </c>
      <c r="D1458" s="34" t="s">
        <v>815</v>
      </c>
      <c r="E1458" s="36">
        <v>0</v>
      </c>
      <c r="F1458" s="36">
        <f>TRUNC(E1458*$C1458,0)</f>
        <v>0</v>
      </c>
      <c r="G1458" s="36">
        <v>19993</v>
      </c>
      <c r="H1458" s="36">
        <f>TRUNC(G1458*$C1458,0)</f>
        <v>79972</v>
      </c>
      <c r="I1458" s="36">
        <v>0</v>
      </c>
      <c r="J1458" s="36">
        <f>TRUNC(I1458*$C1458,0)</f>
        <v>0</v>
      </c>
      <c r="K1458" s="36">
        <f t="shared" si="202"/>
        <v>19993</v>
      </c>
      <c r="L1458" s="36">
        <f t="shared" si="202"/>
        <v>79972</v>
      </c>
      <c r="M1458" s="37"/>
      <c r="N1458" s="253"/>
      <c r="O1458" s="38"/>
    </row>
    <row r="1459" spans="1:15" s="70" customFormat="1" ht="24.95" customHeight="1">
      <c r="A1459" s="64" t="s">
        <v>2085</v>
      </c>
      <c r="B1459" s="65" t="s">
        <v>22</v>
      </c>
      <c r="C1459" s="66"/>
      <c r="D1459" s="67" t="s">
        <v>22</v>
      </c>
      <c r="E1459" s="67"/>
      <c r="F1459" s="68">
        <f>TRUNC(F1460,0)</f>
        <v>0</v>
      </c>
      <c r="G1459" s="67"/>
      <c r="H1459" s="68">
        <f>TRUNC(H1460,0)</f>
        <v>4261125</v>
      </c>
      <c r="I1459" s="67"/>
      <c r="J1459" s="68">
        <f>TRUNC(J1460,0)</f>
        <v>0</v>
      </c>
      <c r="K1459" s="68">
        <f t="shared" si="202"/>
        <v>0</v>
      </c>
      <c r="L1459" s="68">
        <f t="shared" si="202"/>
        <v>4261125</v>
      </c>
      <c r="M1459" s="69"/>
      <c r="N1459" s="256"/>
    </row>
    <row r="1460" spans="1:15" s="29" customFormat="1" ht="24.95" customHeight="1">
      <c r="A1460" s="31" t="s">
        <v>1264</v>
      </c>
      <c r="B1460" s="32" t="s">
        <v>1265</v>
      </c>
      <c r="C1460" s="33">
        <v>165</v>
      </c>
      <c r="D1460" s="34" t="s">
        <v>815</v>
      </c>
      <c r="E1460" s="36">
        <v>0</v>
      </c>
      <c r="F1460" s="36">
        <f>TRUNC(E1460*$C1460,0)</f>
        <v>0</v>
      </c>
      <c r="G1460" s="36">
        <v>25825</v>
      </c>
      <c r="H1460" s="36">
        <f>TRUNC(G1460*$C1460,0)</f>
        <v>4261125</v>
      </c>
      <c r="I1460" s="36">
        <v>0</v>
      </c>
      <c r="J1460" s="36">
        <f>TRUNC(I1460*$C1460,0)</f>
        <v>0</v>
      </c>
      <c r="K1460" s="36">
        <f t="shared" si="202"/>
        <v>25825</v>
      </c>
      <c r="L1460" s="36">
        <f t="shared" si="202"/>
        <v>4261125</v>
      </c>
      <c r="M1460" s="37"/>
      <c r="N1460" s="253"/>
      <c r="O1460" s="38"/>
    </row>
    <row r="1461" spans="1:15" s="70" customFormat="1" ht="24.95" customHeight="1">
      <c r="A1461" s="64" t="s">
        <v>2086</v>
      </c>
      <c r="B1461" s="65" t="s">
        <v>22</v>
      </c>
      <c r="C1461" s="66"/>
      <c r="D1461" s="67" t="s">
        <v>22</v>
      </c>
      <c r="E1461" s="67"/>
      <c r="F1461" s="68">
        <f>TRUNC(F1462,0)</f>
        <v>0</v>
      </c>
      <c r="G1461" s="67"/>
      <c r="H1461" s="68">
        <f>TRUNC(H1462,0)</f>
        <v>899712</v>
      </c>
      <c r="I1461" s="67"/>
      <c r="J1461" s="68">
        <f>TRUNC(J1462,0)</f>
        <v>0</v>
      </c>
      <c r="K1461" s="68">
        <f t="shared" si="202"/>
        <v>0</v>
      </c>
      <c r="L1461" s="68">
        <f t="shared" si="202"/>
        <v>899712</v>
      </c>
      <c r="M1461" s="69"/>
      <c r="N1461" s="256"/>
    </row>
    <row r="1462" spans="1:15" s="29" customFormat="1" ht="24.95" customHeight="1">
      <c r="A1462" s="31" t="s">
        <v>2087</v>
      </c>
      <c r="B1462" s="32" t="s">
        <v>22</v>
      </c>
      <c r="C1462" s="33">
        <v>24</v>
      </c>
      <c r="D1462" s="34" t="s">
        <v>2088</v>
      </c>
      <c r="E1462" s="36">
        <v>0</v>
      </c>
      <c r="F1462" s="36">
        <f>TRUNC(E1462*$C1462,0)</f>
        <v>0</v>
      </c>
      <c r="G1462" s="36">
        <v>37488</v>
      </c>
      <c r="H1462" s="36">
        <f>TRUNC(G1462*$C1462,0)</f>
        <v>899712</v>
      </c>
      <c r="I1462" s="36">
        <v>0</v>
      </c>
      <c r="J1462" s="36">
        <f>TRUNC(I1462*$C1462,0)</f>
        <v>0</v>
      </c>
      <c r="K1462" s="36">
        <f t="shared" si="202"/>
        <v>37488</v>
      </c>
      <c r="L1462" s="36">
        <f t="shared" si="202"/>
        <v>899712</v>
      </c>
      <c r="M1462" s="37"/>
      <c r="N1462" s="253"/>
      <c r="O1462" s="38"/>
    </row>
    <row r="1463" spans="1:15" s="70" customFormat="1" ht="24.95" customHeight="1">
      <c r="A1463" s="64" t="s">
        <v>2089</v>
      </c>
      <c r="B1463" s="65" t="s">
        <v>22</v>
      </c>
      <c r="C1463" s="66"/>
      <c r="D1463" s="67" t="s">
        <v>22</v>
      </c>
      <c r="E1463" s="67"/>
      <c r="F1463" s="68">
        <f>TRUNC(F1464+F1465+F1466+F1467,0)</f>
        <v>0</v>
      </c>
      <c r="G1463" s="67"/>
      <c r="H1463" s="68">
        <f>TRUNC(H1464+H1465+H1466+H1467,0)</f>
        <v>123938186</v>
      </c>
      <c r="I1463" s="67"/>
      <c r="J1463" s="68">
        <f>TRUNC(J1464+J1465+J1466+J1467,0)</f>
        <v>0</v>
      </c>
      <c r="K1463" s="68">
        <f t="shared" si="202"/>
        <v>0</v>
      </c>
      <c r="L1463" s="68">
        <f t="shared" si="202"/>
        <v>123938186</v>
      </c>
      <c r="M1463" s="69"/>
      <c r="N1463" s="256"/>
    </row>
    <row r="1464" spans="1:15" s="29" customFormat="1" ht="24.95" customHeight="1">
      <c r="A1464" s="31" t="s">
        <v>2090</v>
      </c>
      <c r="B1464" s="32" t="s">
        <v>1941</v>
      </c>
      <c r="C1464" s="33">
        <v>736</v>
      </c>
      <c r="D1464" s="34" t="s">
        <v>1942</v>
      </c>
      <c r="E1464" s="36">
        <v>0</v>
      </c>
      <c r="F1464" s="36">
        <f>TRUNC(E1464*$C1464,0)</f>
        <v>0</v>
      </c>
      <c r="G1464" s="36">
        <v>22493</v>
      </c>
      <c r="H1464" s="36">
        <f>TRUNC(G1464*$C1464,0)</f>
        <v>16554848</v>
      </c>
      <c r="I1464" s="36">
        <v>0</v>
      </c>
      <c r="J1464" s="36">
        <f>TRUNC(I1464*$C1464,0)</f>
        <v>0</v>
      </c>
      <c r="K1464" s="36">
        <f t="shared" si="202"/>
        <v>22493</v>
      </c>
      <c r="L1464" s="36">
        <f t="shared" si="202"/>
        <v>16554848</v>
      </c>
      <c r="M1464" s="37"/>
      <c r="N1464" s="253"/>
      <c r="O1464" s="38"/>
    </row>
    <row r="1465" spans="1:15" s="29" customFormat="1" ht="24.95" customHeight="1">
      <c r="A1465" s="31" t="s">
        <v>2090</v>
      </c>
      <c r="B1465" s="32" t="s">
        <v>1944</v>
      </c>
      <c r="C1465" s="33">
        <v>117</v>
      </c>
      <c r="D1465" s="34" t="s">
        <v>1942</v>
      </c>
      <c r="E1465" s="36">
        <v>0</v>
      </c>
      <c r="F1465" s="36">
        <f>TRUNC(E1465*$C1465,0)</f>
        <v>0</v>
      </c>
      <c r="G1465" s="36">
        <v>20826</v>
      </c>
      <c r="H1465" s="36">
        <f>TRUNC(G1465*$C1465,0)</f>
        <v>2436642</v>
      </c>
      <c r="I1465" s="36">
        <v>0</v>
      </c>
      <c r="J1465" s="36">
        <f>TRUNC(I1465*$C1465,0)</f>
        <v>0</v>
      </c>
      <c r="K1465" s="36">
        <f t="shared" si="202"/>
        <v>20826</v>
      </c>
      <c r="L1465" s="36">
        <f t="shared" si="202"/>
        <v>2436642</v>
      </c>
      <c r="M1465" s="37"/>
      <c r="N1465" s="253"/>
      <c r="O1465" s="38"/>
    </row>
    <row r="1466" spans="1:15" s="29" customFormat="1" ht="24.95" customHeight="1">
      <c r="A1466" s="31" t="s">
        <v>2091</v>
      </c>
      <c r="B1466" s="32" t="s">
        <v>1946</v>
      </c>
      <c r="C1466" s="33">
        <v>1632</v>
      </c>
      <c r="D1466" s="34" t="s">
        <v>1942</v>
      </c>
      <c r="E1466" s="36">
        <v>0</v>
      </c>
      <c r="F1466" s="36">
        <f>TRUNC(E1466*$C1466,0)</f>
        <v>0</v>
      </c>
      <c r="G1466" s="36">
        <v>48318</v>
      </c>
      <c r="H1466" s="36">
        <f>TRUNC(G1466*$C1466,0)</f>
        <v>78854976</v>
      </c>
      <c r="I1466" s="36">
        <v>0</v>
      </c>
      <c r="J1466" s="36">
        <f>TRUNC(I1466*$C1466,0)</f>
        <v>0</v>
      </c>
      <c r="K1466" s="36">
        <f t="shared" si="202"/>
        <v>48318</v>
      </c>
      <c r="L1466" s="36">
        <f t="shared" si="202"/>
        <v>78854976</v>
      </c>
      <c r="M1466" s="37"/>
      <c r="N1466" s="253"/>
      <c r="O1466" s="38"/>
    </row>
    <row r="1467" spans="1:15" s="29" customFormat="1" ht="24.95" customHeight="1">
      <c r="A1467" s="31" t="s">
        <v>2091</v>
      </c>
      <c r="B1467" s="32" t="s">
        <v>1948</v>
      </c>
      <c r="C1467" s="33">
        <v>540</v>
      </c>
      <c r="D1467" s="34" t="s">
        <v>1942</v>
      </c>
      <c r="E1467" s="36">
        <v>0</v>
      </c>
      <c r="F1467" s="36">
        <f>TRUNC(E1467*$C1467,0)</f>
        <v>0</v>
      </c>
      <c r="G1467" s="36">
        <v>48318</v>
      </c>
      <c r="H1467" s="36">
        <f>TRUNC(G1467*$C1467,0)</f>
        <v>26091720</v>
      </c>
      <c r="I1467" s="36">
        <v>0</v>
      </c>
      <c r="J1467" s="36">
        <f>TRUNC(I1467*$C1467,0)</f>
        <v>0</v>
      </c>
      <c r="K1467" s="36">
        <f t="shared" si="202"/>
        <v>48318</v>
      </c>
      <c r="L1467" s="36">
        <f t="shared" si="202"/>
        <v>26091720</v>
      </c>
      <c r="M1467" s="37"/>
      <c r="N1467" s="253"/>
      <c r="O1467" s="38"/>
    </row>
    <row r="1468" spans="1:15" s="70" customFormat="1" ht="24.95" customHeight="1">
      <c r="A1468" s="64" t="s">
        <v>2092</v>
      </c>
      <c r="B1468" s="65" t="s">
        <v>22</v>
      </c>
      <c r="C1468" s="66"/>
      <c r="D1468" s="67" t="s">
        <v>22</v>
      </c>
      <c r="E1468" s="67"/>
      <c r="F1468" s="68">
        <f>TRUNC(F1469+F1470,0)</f>
        <v>0</v>
      </c>
      <c r="G1468" s="67"/>
      <c r="H1468" s="68">
        <f>TRUNC(H1469+H1470,0)</f>
        <v>23496495</v>
      </c>
      <c r="I1468" s="67"/>
      <c r="J1468" s="68">
        <f>TRUNC(J1469+J1470,0)</f>
        <v>0</v>
      </c>
      <c r="K1468" s="68">
        <f t="shared" si="202"/>
        <v>0</v>
      </c>
      <c r="L1468" s="68">
        <f t="shared" si="202"/>
        <v>23496495</v>
      </c>
      <c r="M1468" s="69"/>
      <c r="N1468" s="256"/>
    </row>
    <row r="1469" spans="1:15" s="29" customFormat="1" ht="24.95" customHeight="1">
      <c r="A1469" s="31" t="s">
        <v>2093</v>
      </c>
      <c r="B1469" s="32" t="s">
        <v>2094</v>
      </c>
      <c r="C1469" s="33">
        <v>1037</v>
      </c>
      <c r="D1469" s="34" t="s">
        <v>1116</v>
      </c>
      <c r="E1469" s="36">
        <v>0</v>
      </c>
      <c r="F1469" s="36">
        <f>TRUNC(E1469*$C1469,0)</f>
        <v>0</v>
      </c>
      <c r="G1469" s="36">
        <v>12995</v>
      </c>
      <c r="H1469" s="36">
        <f>TRUNC(G1469*$C1469,0)</f>
        <v>13475815</v>
      </c>
      <c r="I1469" s="36">
        <v>0</v>
      </c>
      <c r="J1469" s="36">
        <f>TRUNC(I1469*$C1469,0)</f>
        <v>0</v>
      </c>
      <c r="K1469" s="36">
        <f t="shared" si="202"/>
        <v>12995</v>
      </c>
      <c r="L1469" s="36">
        <f t="shared" si="202"/>
        <v>13475815</v>
      </c>
      <c r="M1469" s="37"/>
      <c r="N1469" s="253"/>
      <c r="O1469" s="38"/>
    </row>
    <row r="1470" spans="1:15" s="29" customFormat="1" ht="24.95" customHeight="1">
      <c r="A1470" s="31" t="s">
        <v>2095</v>
      </c>
      <c r="B1470" s="32" t="s">
        <v>2094</v>
      </c>
      <c r="C1470" s="33">
        <v>523</v>
      </c>
      <c r="D1470" s="34" t="s">
        <v>1116</v>
      </c>
      <c r="E1470" s="36">
        <v>0</v>
      </c>
      <c r="F1470" s="36">
        <f>TRUNC(E1470*$C1470,0)</f>
        <v>0</v>
      </c>
      <c r="G1470" s="36">
        <v>19160</v>
      </c>
      <c r="H1470" s="36">
        <f>TRUNC(G1470*$C1470,0)</f>
        <v>10020680</v>
      </c>
      <c r="I1470" s="36">
        <v>0</v>
      </c>
      <c r="J1470" s="36">
        <f>TRUNC(I1470*$C1470,0)</f>
        <v>0</v>
      </c>
      <c r="K1470" s="36">
        <f t="shared" si="202"/>
        <v>19160</v>
      </c>
      <c r="L1470" s="36">
        <f t="shared" si="202"/>
        <v>10020680</v>
      </c>
      <c r="M1470" s="37"/>
      <c r="N1470" s="253"/>
      <c r="O1470" s="38"/>
    </row>
    <row r="1471" spans="1:15" s="70" customFormat="1" ht="24.95" customHeight="1">
      <c r="A1471" s="64" t="s">
        <v>2096</v>
      </c>
      <c r="B1471" s="65" t="s">
        <v>22</v>
      </c>
      <c r="C1471" s="66"/>
      <c r="D1471" s="67" t="s">
        <v>22</v>
      </c>
      <c r="E1471" s="67"/>
      <c r="F1471" s="68">
        <f>TRUNC(F1472,0)</f>
        <v>0</v>
      </c>
      <c r="G1471" s="67"/>
      <c r="H1471" s="68">
        <f>TRUNC(H1472,0)</f>
        <v>3973680</v>
      </c>
      <c r="I1471" s="67"/>
      <c r="J1471" s="68">
        <f>TRUNC(J1472,0)</f>
        <v>0</v>
      </c>
      <c r="K1471" s="68">
        <f t="shared" si="202"/>
        <v>0</v>
      </c>
      <c r="L1471" s="68">
        <f t="shared" si="202"/>
        <v>3973680</v>
      </c>
      <c r="M1471" s="69"/>
      <c r="N1471" s="256"/>
    </row>
    <row r="1472" spans="1:15" s="29" customFormat="1" ht="24.95" customHeight="1">
      <c r="A1472" s="31" t="s">
        <v>2097</v>
      </c>
      <c r="B1472" s="32" t="s">
        <v>2098</v>
      </c>
      <c r="C1472" s="33">
        <v>90</v>
      </c>
      <c r="D1472" s="34" t="s">
        <v>1192</v>
      </c>
      <c r="E1472" s="36">
        <v>0</v>
      </c>
      <c r="F1472" s="36">
        <f>TRUNC(E1472*$C1472,0)</f>
        <v>0</v>
      </c>
      <c r="G1472" s="36">
        <v>44152</v>
      </c>
      <c r="H1472" s="36">
        <f>TRUNC(G1472*$C1472,0)</f>
        <v>3973680</v>
      </c>
      <c r="I1472" s="36">
        <v>0</v>
      </c>
      <c r="J1472" s="36">
        <f>TRUNC(I1472*$C1472,0)</f>
        <v>0</v>
      </c>
      <c r="K1472" s="36">
        <f t="shared" si="202"/>
        <v>44152</v>
      </c>
      <c r="L1472" s="36">
        <f t="shared" si="202"/>
        <v>3973680</v>
      </c>
      <c r="M1472" s="37"/>
      <c r="N1472" s="253"/>
      <c r="O1472" s="38"/>
    </row>
    <row r="1473" spans="1:15" s="70" customFormat="1" ht="24.95" customHeight="1">
      <c r="A1473" s="64" t="s">
        <v>2099</v>
      </c>
      <c r="B1473" s="65" t="s">
        <v>22</v>
      </c>
      <c r="C1473" s="66"/>
      <c r="D1473" s="67" t="s">
        <v>22</v>
      </c>
      <c r="E1473" s="67"/>
      <c r="F1473" s="68">
        <f>TRUNC(F1474+F1475+F1476,0)</f>
        <v>0</v>
      </c>
      <c r="G1473" s="67"/>
      <c r="H1473" s="68">
        <f>TRUNC(H1474+H1475+H1476,0)</f>
        <v>32865819</v>
      </c>
      <c r="I1473" s="67"/>
      <c r="J1473" s="68">
        <f>TRUNC(J1474+J1475+J1476,0)</f>
        <v>0</v>
      </c>
      <c r="K1473" s="68">
        <f t="shared" si="202"/>
        <v>0</v>
      </c>
      <c r="L1473" s="68">
        <f t="shared" si="202"/>
        <v>32865819</v>
      </c>
      <c r="M1473" s="69"/>
      <c r="N1473" s="256"/>
    </row>
    <row r="1474" spans="1:15" s="29" customFormat="1" ht="24.95" customHeight="1">
      <c r="A1474" s="31" t="s">
        <v>2100</v>
      </c>
      <c r="B1474" s="32" t="s">
        <v>1912</v>
      </c>
      <c r="C1474" s="33">
        <v>9</v>
      </c>
      <c r="D1474" s="34" t="s">
        <v>96</v>
      </c>
      <c r="E1474" s="36">
        <v>0</v>
      </c>
      <c r="F1474" s="36">
        <f>TRUNC(E1474*$C1474,0)</f>
        <v>0</v>
      </c>
      <c r="G1474" s="36">
        <v>91055</v>
      </c>
      <c r="H1474" s="36">
        <f>TRUNC(G1474*$C1474,0)</f>
        <v>819495</v>
      </c>
      <c r="I1474" s="36">
        <v>0</v>
      </c>
      <c r="J1474" s="36">
        <f>TRUNC(I1474*$C1474,0)</f>
        <v>0</v>
      </c>
      <c r="K1474" s="36">
        <f t="shared" si="202"/>
        <v>91055</v>
      </c>
      <c r="L1474" s="36">
        <f t="shared" si="202"/>
        <v>819495</v>
      </c>
      <c r="M1474" s="37"/>
      <c r="N1474" s="253"/>
      <c r="O1474" s="38"/>
    </row>
    <row r="1475" spans="1:15" s="29" customFormat="1" ht="24.95" customHeight="1">
      <c r="A1475" s="31" t="s">
        <v>2100</v>
      </c>
      <c r="B1475" s="32" t="s">
        <v>1913</v>
      </c>
      <c r="C1475" s="33">
        <v>587</v>
      </c>
      <c r="D1475" s="34" t="s">
        <v>96</v>
      </c>
      <c r="E1475" s="36">
        <v>0</v>
      </c>
      <c r="F1475" s="36">
        <f>TRUNC(E1475*$C1475,0)</f>
        <v>0</v>
      </c>
      <c r="G1475" s="36">
        <v>44652</v>
      </c>
      <c r="H1475" s="36">
        <f>TRUNC(G1475*$C1475,0)</f>
        <v>26210724</v>
      </c>
      <c r="I1475" s="36">
        <v>0</v>
      </c>
      <c r="J1475" s="36">
        <f>TRUNC(I1475*$C1475,0)</f>
        <v>0</v>
      </c>
      <c r="K1475" s="36">
        <f t="shared" si="202"/>
        <v>44652</v>
      </c>
      <c r="L1475" s="36">
        <f t="shared" si="202"/>
        <v>26210724</v>
      </c>
      <c r="M1475" s="37"/>
      <c r="N1475" s="253"/>
      <c r="O1475" s="38"/>
    </row>
    <row r="1476" spans="1:15" s="29" customFormat="1" ht="24.95" customHeight="1">
      <c r="A1476" s="31" t="s">
        <v>2100</v>
      </c>
      <c r="B1476" s="32" t="s">
        <v>1914</v>
      </c>
      <c r="C1476" s="33">
        <v>240</v>
      </c>
      <c r="D1476" s="34" t="s">
        <v>96</v>
      </c>
      <c r="E1476" s="36">
        <v>0</v>
      </c>
      <c r="F1476" s="36">
        <f>TRUNC(E1476*$C1476,0)</f>
        <v>0</v>
      </c>
      <c r="G1476" s="36">
        <v>24315</v>
      </c>
      <c r="H1476" s="36">
        <f>TRUNC(G1476*$C1476,0)</f>
        <v>5835600</v>
      </c>
      <c r="I1476" s="36">
        <v>0</v>
      </c>
      <c r="J1476" s="36">
        <f>TRUNC(I1476*$C1476,0)</f>
        <v>0</v>
      </c>
      <c r="K1476" s="36">
        <f t="shared" si="202"/>
        <v>24315</v>
      </c>
      <c r="L1476" s="36">
        <f t="shared" si="202"/>
        <v>5835600</v>
      </c>
      <c r="M1476" s="37"/>
      <c r="N1476" s="253"/>
      <c r="O1476" s="38"/>
    </row>
    <row r="1477" spans="1:15" s="70" customFormat="1" ht="24.95" customHeight="1">
      <c r="A1477" s="64" t="s">
        <v>2101</v>
      </c>
      <c r="B1477" s="65" t="s">
        <v>22</v>
      </c>
      <c r="C1477" s="66"/>
      <c r="D1477" s="67" t="s">
        <v>22</v>
      </c>
      <c r="E1477" s="67"/>
      <c r="F1477" s="68">
        <f>TRUNC(F1478+F1479+F1480,0)</f>
        <v>0</v>
      </c>
      <c r="G1477" s="67"/>
      <c r="H1477" s="68">
        <f>TRUNC(H1478+H1479+H1480,0)</f>
        <v>4265132</v>
      </c>
      <c r="I1477" s="67"/>
      <c r="J1477" s="68">
        <f>TRUNC(J1478+J1479+J1480,0)</f>
        <v>0</v>
      </c>
      <c r="K1477" s="68">
        <f t="shared" si="202"/>
        <v>0</v>
      </c>
      <c r="L1477" s="68">
        <f t="shared" si="202"/>
        <v>4265132</v>
      </c>
      <c r="M1477" s="69"/>
      <c r="N1477" s="256"/>
    </row>
    <row r="1478" spans="1:15" s="29" customFormat="1" ht="24.95" customHeight="1">
      <c r="A1478" s="31" t="s">
        <v>2102</v>
      </c>
      <c r="B1478" s="32" t="s">
        <v>1912</v>
      </c>
      <c r="C1478" s="33">
        <v>1</v>
      </c>
      <c r="D1478" s="34" t="s">
        <v>166</v>
      </c>
      <c r="E1478" s="36">
        <v>0</v>
      </c>
      <c r="F1478" s="36">
        <f>TRUNC(E1478*$C1478,0)</f>
        <v>0</v>
      </c>
      <c r="G1478" s="36">
        <v>58565</v>
      </c>
      <c r="H1478" s="36">
        <f>TRUNC(G1478*$C1478,0)</f>
        <v>58565</v>
      </c>
      <c r="I1478" s="36">
        <v>0</v>
      </c>
      <c r="J1478" s="36">
        <f>TRUNC(I1478*$C1478,0)</f>
        <v>0</v>
      </c>
      <c r="K1478" s="36">
        <f t="shared" si="202"/>
        <v>58565</v>
      </c>
      <c r="L1478" s="36">
        <f t="shared" si="202"/>
        <v>58565</v>
      </c>
      <c r="M1478" s="37"/>
      <c r="N1478" s="253"/>
      <c r="O1478" s="38"/>
    </row>
    <row r="1479" spans="1:15" s="29" customFormat="1" ht="24.95" customHeight="1">
      <c r="A1479" s="31" t="s">
        <v>2102</v>
      </c>
      <c r="B1479" s="32" t="s">
        <v>1913</v>
      </c>
      <c r="C1479" s="33">
        <v>95</v>
      </c>
      <c r="D1479" s="34" t="s">
        <v>166</v>
      </c>
      <c r="E1479" s="36">
        <v>0</v>
      </c>
      <c r="F1479" s="36">
        <f>TRUNC(E1479*$C1479,0)</f>
        <v>0</v>
      </c>
      <c r="G1479" s="36">
        <v>36072</v>
      </c>
      <c r="H1479" s="36">
        <f>TRUNC(G1479*$C1479,0)</f>
        <v>3426840</v>
      </c>
      <c r="I1479" s="36">
        <v>0</v>
      </c>
      <c r="J1479" s="36">
        <f>TRUNC(I1479*$C1479,0)</f>
        <v>0</v>
      </c>
      <c r="K1479" s="36">
        <f t="shared" si="202"/>
        <v>36072</v>
      </c>
      <c r="L1479" s="36">
        <f t="shared" si="202"/>
        <v>3426840</v>
      </c>
      <c r="M1479" s="37"/>
      <c r="N1479" s="253"/>
      <c r="O1479" s="38"/>
    </row>
    <row r="1480" spans="1:15" s="29" customFormat="1" ht="24.95" customHeight="1">
      <c r="A1480" s="31" t="s">
        <v>2102</v>
      </c>
      <c r="B1480" s="32" t="s">
        <v>1914</v>
      </c>
      <c r="C1480" s="33">
        <v>39</v>
      </c>
      <c r="D1480" s="34" t="s">
        <v>166</v>
      </c>
      <c r="E1480" s="36">
        <v>0</v>
      </c>
      <c r="F1480" s="36">
        <f>TRUNC(E1480*$C1480,0)</f>
        <v>0</v>
      </c>
      <c r="G1480" s="36">
        <v>19993</v>
      </c>
      <c r="H1480" s="36">
        <f>TRUNC(G1480*$C1480,0)</f>
        <v>779727</v>
      </c>
      <c r="I1480" s="36">
        <v>0</v>
      </c>
      <c r="J1480" s="36">
        <f>TRUNC(I1480*$C1480,0)</f>
        <v>0</v>
      </c>
      <c r="K1480" s="36">
        <f t="shared" si="202"/>
        <v>19993</v>
      </c>
      <c r="L1480" s="36">
        <f t="shared" si="202"/>
        <v>779727</v>
      </c>
      <c r="M1480" s="37"/>
      <c r="N1480" s="253"/>
      <c r="O1480" s="38"/>
    </row>
    <row r="1481" spans="1:15" s="70" customFormat="1" ht="24.95" customHeight="1">
      <c r="A1481" s="64" t="s">
        <v>2103</v>
      </c>
      <c r="B1481" s="65" t="s">
        <v>22</v>
      </c>
      <c r="C1481" s="66"/>
      <c r="D1481" s="67" t="s">
        <v>22</v>
      </c>
      <c r="E1481" s="67"/>
      <c r="F1481" s="68">
        <f>TRUNC(F1482,0)</f>
        <v>0</v>
      </c>
      <c r="G1481" s="67"/>
      <c r="H1481" s="68">
        <f>TRUNC(H1482,0)</f>
        <v>84042</v>
      </c>
      <c r="I1481" s="67"/>
      <c r="J1481" s="68">
        <f>TRUNC(J1482,0)</f>
        <v>0</v>
      </c>
      <c r="K1481" s="68">
        <f t="shared" si="202"/>
        <v>0</v>
      </c>
      <c r="L1481" s="68">
        <f t="shared" si="202"/>
        <v>84042</v>
      </c>
      <c r="M1481" s="69"/>
      <c r="N1481" s="256"/>
    </row>
    <row r="1482" spans="1:15" s="29" customFormat="1" ht="24.95" customHeight="1">
      <c r="A1482" s="31" t="s">
        <v>2104</v>
      </c>
      <c r="B1482" s="32" t="s">
        <v>2105</v>
      </c>
      <c r="C1482" s="33">
        <v>23</v>
      </c>
      <c r="D1482" s="34" t="s">
        <v>96</v>
      </c>
      <c r="E1482" s="36">
        <v>0</v>
      </c>
      <c r="F1482" s="36">
        <f>TRUNC(E1482*$C1482,0)</f>
        <v>0</v>
      </c>
      <c r="G1482" s="36">
        <v>3654</v>
      </c>
      <c r="H1482" s="36">
        <f>TRUNC(G1482*$C1482,0)</f>
        <v>84042</v>
      </c>
      <c r="I1482" s="36">
        <v>0</v>
      </c>
      <c r="J1482" s="36">
        <f>TRUNC(I1482*$C1482,0)</f>
        <v>0</v>
      </c>
      <c r="K1482" s="36">
        <f t="shared" si="202"/>
        <v>3654</v>
      </c>
      <c r="L1482" s="36">
        <f t="shared" si="202"/>
        <v>84042</v>
      </c>
      <c r="M1482" s="37"/>
      <c r="N1482" s="253"/>
      <c r="O1482" s="38"/>
    </row>
    <row r="1483" spans="1:15" s="70" customFormat="1" ht="24.95" customHeight="1">
      <c r="A1483" s="64" t="s">
        <v>2106</v>
      </c>
      <c r="B1483" s="65" t="s">
        <v>22</v>
      </c>
      <c r="C1483" s="66"/>
      <c r="D1483" s="67" t="s">
        <v>22</v>
      </c>
      <c r="E1483" s="67"/>
      <c r="F1483" s="68">
        <f>TRUNC(F1484+F1485,0)</f>
        <v>0</v>
      </c>
      <c r="G1483" s="67"/>
      <c r="H1483" s="68">
        <f>TRUNC(H1484+H1485,0)</f>
        <v>472202</v>
      </c>
      <c r="I1483" s="67"/>
      <c r="J1483" s="68">
        <f>TRUNC(J1484+J1485,0)</f>
        <v>0</v>
      </c>
      <c r="K1483" s="68">
        <f t="shared" si="202"/>
        <v>0</v>
      </c>
      <c r="L1483" s="68">
        <f t="shared" si="202"/>
        <v>472202</v>
      </c>
      <c r="M1483" s="69"/>
      <c r="N1483" s="256"/>
    </row>
    <row r="1484" spans="1:15" s="29" customFormat="1" ht="24.95" customHeight="1">
      <c r="A1484" s="31" t="s">
        <v>1267</v>
      </c>
      <c r="B1484" s="32" t="s">
        <v>2107</v>
      </c>
      <c r="C1484" s="33">
        <v>19</v>
      </c>
      <c r="D1484" s="34" t="s">
        <v>116</v>
      </c>
      <c r="E1484" s="36">
        <v>0</v>
      </c>
      <c r="F1484" s="36">
        <f>TRUNC(E1484*$C1484,0)</f>
        <v>0</v>
      </c>
      <c r="G1484" s="36">
        <v>24142</v>
      </c>
      <c r="H1484" s="36">
        <f>TRUNC(G1484*$C1484,0)</f>
        <v>458698</v>
      </c>
      <c r="I1484" s="36">
        <v>0</v>
      </c>
      <c r="J1484" s="36">
        <f>TRUNC(I1484*$C1484,0)</f>
        <v>0</v>
      </c>
      <c r="K1484" s="36">
        <f t="shared" si="202"/>
        <v>24142</v>
      </c>
      <c r="L1484" s="36">
        <f t="shared" si="202"/>
        <v>458698</v>
      </c>
      <c r="M1484" s="37"/>
      <c r="N1484" s="253"/>
      <c r="O1484" s="38"/>
    </row>
    <row r="1485" spans="1:15" s="29" customFormat="1" ht="24.95" customHeight="1">
      <c r="A1485" s="31" t="s">
        <v>1267</v>
      </c>
      <c r="B1485" s="32" t="s">
        <v>1415</v>
      </c>
      <c r="C1485" s="33">
        <v>1</v>
      </c>
      <c r="D1485" s="34" t="s">
        <v>116</v>
      </c>
      <c r="E1485" s="36">
        <v>0</v>
      </c>
      <c r="F1485" s="36">
        <f>TRUNC(E1485*$C1485,0)</f>
        <v>0</v>
      </c>
      <c r="G1485" s="36">
        <v>13504</v>
      </c>
      <c r="H1485" s="36">
        <f>TRUNC(G1485*$C1485,0)</f>
        <v>13504</v>
      </c>
      <c r="I1485" s="36">
        <v>0</v>
      </c>
      <c r="J1485" s="36">
        <f>TRUNC(I1485*$C1485,0)</f>
        <v>0</v>
      </c>
      <c r="K1485" s="36">
        <f t="shared" si="202"/>
        <v>13504</v>
      </c>
      <c r="L1485" s="36">
        <f t="shared" si="202"/>
        <v>13504</v>
      </c>
      <c r="M1485" s="37"/>
      <c r="N1485" s="253"/>
      <c r="O1485" s="38"/>
    </row>
    <row r="1486" spans="1:15" s="70" customFormat="1" ht="24.95" customHeight="1">
      <c r="A1486" s="64" t="s">
        <v>2108</v>
      </c>
      <c r="B1486" s="65" t="s">
        <v>22</v>
      </c>
      <c r="C1486" s="66"/>
      <c r="D1486" s="67" t="s">
        <v>22</v>
      </c>
      <c r="E1486" s="67"/>
      <c r="F1486" s="68">
        <f>TRUNC(F1487+F1488,0)</f>
        <v>0</v>
      </c>
      <c r="G1486" s="67"/>
      <c r="H1486" s="68">
        <f>TRUNC(H1487+H1488,0)</f>
        <v>94966</v>
      </c>
      <c r="I1486" s="67"/>
      <c r="J1486" s="68">
        <f>TRUNC(J1487+J1488,0)</f>
        <v>0</v>
      </c>
      <c r="K1486" s="68">
        <f t="shared" si="202"/>
        <v>0</v>
      </c>
      <c r="L1486" s="68">
        <f t="shared" si="202"/>
        <v>94966</v>
      </c>
      <c r="M1486" s="69"/>
      <c r="N1486" s="256"/>
    </row>
    <row r="1487" spans="1:15" s="29" customFormat="1" ht="24.95" customHeight="1">
      <c r="A1487" s="31" t="s">
        <v>2109</v>
      </c>
      <c r="B1487" s="32" t="s">
        <v>2110</v>
      </c>
      <c r="C1487" s="33">
        <v>5</v>
      </c>
      <c r="D1487" s="34" t="s">
        <v>166</v>
      </c>
      <c r="E1487" s="36">
        <v>0</v>
      </c>
      <c r="F1487" s="36">
        <f>TRUNC(E1487*$C1487,0)</f>
        <v>0</v>
      </c>
      <c r="G1487" s="36">
        <v>17044</v>
      </c>
      <c r="H1487" s="36">
        <f>TRUNC(G1487*$C1487,0)</f>
        <v>85220</v>
      </c>
      <c r="I1487" s="36">
        <v>0</v>
      </c>
      <c r="J1487" s="36">
        <f>TRUNC(I1487*$C1487,0)</f>
        <v>0</v>
      </c>
      <c r="K1487" s="36">
        <f t="shared" si="202"/>
        <v>17044</v>
      </c>
      <c r="L1487" s="36">
        <f t="shared" si="202"/>
        <v>85220</v>
      </c>
      <c r="M1487" s="37"/>
      <c r="N1487" s="253"/>
      <c r="O1487" s="38"/>
    </row>
    <row r="1488" spans="1:15" s="29" customFormat="1" ht="24.95" customHeight="1">
      <c r="A1488" s="31" t="s">
        <v>2109</v>
      </c>
      <c r="B1488" s="32" t="s">
        <v>2111</v>
      </c>
      <c r="C1488" s="33">
        <v>1</v>
      </c>
      <c r="D1488" s="34" t="s">
        <v>166</v>
      </c>
      <c r="E1488" s="36">
        <v>0</v>
      </c>
      <c r="F1488" s="36">
        <f>TRUNC(E1488*$C1488,0)</f>
        <v>0</v>
      </c>
      <c r="G1488" s="36">
        <v>9746</v>
      </c>
      <c r="H1488" s="36">
        <f>TRUNC(G1488*$C1488,0)</f>
        <v>9746</v>
      </c>
      <c r="I1488" s="36">
        <v>0</v>
      </c>
      <c r="J1488" s="36">
        <f>TRUNC(I1488*$C1488,0)</f>
        <v>0</v>
      </c>
      <c r="K1488" s="36">
        <f t="shared" si="202"/>
        <v>9746</v>
      </c>
      <c r="L1488" s="36">
        <f t="shared" si="202"/>
        <v>9746</v>
      </c>
      <c r="M1488" s="37"/>
      <c r="N1488" s="253"/>
      <c r="O1488" s="38"/>
    </row>
    <row r="1489" spans="1:15" s="29" customFormat="1" ht="24.95" customHeight="1">
      <c r="A1489" s="31" t="s">
        <v>766</v>
      </c>
      <c r="B1489" s="32" t="s">
        <v>22</v>
      </c>
      <c r="C1489" s="33"/>
      <c r="D1489" s="34" t="s">
        <v>22</v>
      </c>
      <c r="E1489" s="34"/>
      <c r="F1489" s="36">
        <v>0</v>
      </c>
      <c r="G1489" s="34"/>
      <c r="H1489" s="36">
        <v>0</v>
      </c>
      <c r="I1489" s="34"/>
      <c r="J1489" s="36">
        <v>0</v>
      </c>
      <c r="K1489" s="36">
        <f t="shared" si="202"/>
        <v>0</v>
      </c>
      <c r="L1489" s="36">
        <f t="shared" si="202"/>
        <v>0</v>
      </c>
      <c r="M1489" s="37"/>
      <c r="N1489" s="253"/>
    </row>
    <row r="1490" spans="1:15" s="45" customFormat="1" ht="24.95" customHeight="1">
      <c r="A1490" s="39" t="s">
        <v>2112</v>
      </c>
      <c r="B1490" s="40" t="s">
        <v>22</v>
      </c>
      <c r="C1490" s="41">
        <v>1</v>
      </c>
      <c r="D1490" s="42" t="s">
        <v>754</v>
      </c>
      <c r="E1490" s="42"/>
      <c r="F1490" s="43">
        <f>F1491+F1498+F1532+F1536</f>
        <v>694353421</v>
      </c>
      <c r="G1490" s="42"/>
      <c r="H1490" s="43">
        <f>H1491+H1498+H1532+H1536</f>
        <v>631445266</v>
      </c>
      <c r="I1490" s="42"/>
      <c r="J1490" s="43">
        <f>J1491+J1498+J1532+J1536</f>
        <v>62635909</v>
      </c>
      <c r="K1490" s="42"/>
      <c r="L1490" s="43">
        <f t="shared" ref="L1490:L1553" si="203">H1490+F1490+J1490</f>
        <v>1388434596</v>
      </c>
      <c r="M1490" s="44"/>
      <c r="N1490" s="253"/>
    </row>
    <row r="1491" spans="1:15" s="63" customFormat="1" ht="24.95" customHeight="1">
      <c r="A1491" s="57" t="s">
        <v>2113</v>
      </c>
      <c r="B1491" s="58" t="s">
        <v>22</v>
      </c>
      <c r="C1491" s="59"/>
      <c r="D1491" s="60" t="s">
        <v>22</v>
      </c>
      <c r="E1491" s="60"/>
      <c r="F1491" s="61">
        <f>TRUNC(F1493+F1494+F1495+F1496+F1497,0)</f>
        <v>577954635</v>
      </c>
      <c r="G1491" s="60"/>
      <c r="H1491" s="61">
        <f>TRUNC(H1493+H1494+H1495+H1496+H1497,0)</f>
        <v>32555808</v>
      </c>
      <c r="I1491" s="60"/>
      <c r="J1491" s="61">
        <f>TRUNC(J1493+J1494+J1495+J1496+J1497,0)</f>
        <v>37043741</v>
      </c>
      <c r="K1491" s="61">
        <f t="shared" ref="K1491:K1551" si="204">G1491+E1491+I1491</f>
        <v>0</v>
      </c>
      <c r="L1491" s="61">
        <f t="shared" si="203"/>
        <v>647554184</v>
      </c>
      <c r="M1491" s="62"/>
      <c r="N1491" s="253"/>
    </row>
    <row r="1492" spans="1:15" s="29" customFormat="1" ht="24.95" customHeight="1">
      <c r="A1492" s="31" t="s">
        <v>2114</v>
      </c>
      <c r="B1492" s="32" t="s">
        <v>22</v>
      </c>
      <c r="C1492" s="33"/>
      <c r="D1492" s="34" t="s">
        <v>22</v>
      </c>
      <c r="E1492" s="34"/>
      <c r="F1492" s="36">
        <f>TRUNC(F1493+F1494+F1495+F1496,0)</f>
        <v>577543147</v>
      </c>
      <c r="G1492" s="34"/>
      <c r="H1492" s="36">
        <f>TRUNC(H1493+H1494+H1495+H1496,0)</f>
        <v>29109596</v>
      </c>
      <c r="I1492" s="34"/>
      <c r="J1492" s="36">
        <f>TRUNC(J1493+J1494+J1495+J1496,0)</f>
        <v>37018023</v>
      </c>
      <c r="K1492" s="36">
        <f t="shared" si="204"/>
        <v>0</v>
      </c>
      <c r="L1492" s="36">
        <f t="shared" si="203"/>
        <v>643670766</v>
      </c>
      <c r="M1492" s="37"/>
      <c r="N1492" s="253"/>
    </row>
    <row r="1493" spans="1:15" s="29" customFormat="1" ht="24.95" customHeight="1">
      <c r="A1493" s="31" t="s">
        <v>2115</v>
      </c>
      <c r="B1493" s="32" t="s">
        <v>2116</v>
      </c>
      <c r="C1493" s="33">
        <v>393</v>
      </c>
      <c r="D1493" s="34" t="s">
        <v>820</v>
      </c>
      <c r="E1493" s="36">
        <v>70708</v>
      </c>
      <c r="F1493" s="36">
        <f>TRUNC(E1493*$C1493,0)</f>
        <v>27788244</v>
      </c>
      <c r="G1493" s="36">
        <v>4244</v>
      </c>
      <c r="H1493" s="36">
        <f>TRUNC(G1493*$C1493,0)</f>
        <v>1667892</v>
      </c>
      <c r="I1493" s="36">
        <v>5397</v>
      </c>
      <c r="J1493" s="36">
        <f>TRUNC(I1493*$C1493,0)</f>
        <v>2121021</v>
      </c>
      <c r="K1493" s="36">
        <f t="shared" si="204"/>
        <v>80349</v>
      </c>
      <c r="L1493" s="36">
        <f t="shared" si="203"/>
        <v>31577157</v>
      </c>
      <c r="M1493" s="37"/>
      <c r="N1493" s="253"/>
      <c r="O1493" s="38"/>
    </row>
    <row r="1494" spans="1:15" s="29" customFormat="1" ht="24.95" customHeight="1">
      <c r="A1494" s="31" t="s">
        <v>2115</v>
      </c>
      <c r="B1494" s="32" t="s">
        <v>2117</v>
      </c>
      <c r="C1494" s="33">
        <v>357</v>
      </c>
      <c r="D1494" s="34" t="s">
        <v>820</v>
      </c>
      <c r="E1494" s="36">
        <v>77778</v>
      </c>
      <c r="F1494" s="36">
        <f>TRUNC(E1494*$C1494,0)</f>
        <v>27766746</v>
      </c>
      <c r="G1494" s="36">
        <v>4244</v>
      </c>
      <c r="H1494" s="36">
        <f>TRUNC(G1494*$C1494,0)</f>
        <v>1515108</v>
      </c>
      <c r="I1494" s="36">
        <v>5397</v>
      </c>
      <c r="J1494" s="36">
        <f>TRUNC(I1494*$C1494,0)</f>
        <v>1926729</v>
      </c>
      <c r="K1494" s="36">
        <f t="shared" si="204"/>
        <v>87419</v>
      </c>
      <c r="L1494" s="36">
        <f t="shared" si="203"/>
        <v>31208583</v>
      </c>
      <c r="M1494" s="37"/>
      <c r="N1494" s="253"/>
      <c r="O1494" s="38"/>
    </row>
    <row r="1495" spans="1:15" s="29" customFormat="1" ht="24.95" customHeight="1">
      <c r="A1495" s="31" t="s">
        <v>2115</v>
      </c>
      <c r="B1495" s="32" t="s">
        <v>2118</v>
      </c>
      <c r="C1495" s="33">
        <v>5078</v>
      </c>
      <c r="D1495" s="34" t="s">
        <v>820</v>
      </c>
      <c r="E1495" s="36">
        <v>84849</v>
      </c>
      <c r="F1495" s="36">
        <f>TRUNC(E1495*$C1495,0)</f>
        <v>430863222</v>
      </c>
      <c r="G1495" s="36">
        <v>4244</v>
      </c>
      <c r="H1495" s="36">
        <f>TRUNC(G1495*$C1495,0)</f>
        <v>21551032</v>
      </c>
      <c r="I1495" s="36">
        <v>5397</v>
      </c>
      <c r="J1495" s="36">
        <f>TRUNC(I1495*$C1495,0)</f>
        <v>27405966</v>
      </c>
      <c r="K1495" s="36">
        <f t="shared" si="204"/>
        <v>94490</v>
      </c>
      <c r="L1495" s="36">
        <f t="shared" si="203"/>
        <v>479820220</v>
      </c>
      <c r="M1495" s="37"/>
      <c r="N1495" s="253"/>
      <c r="O1495" s="38"/>
    </row>
    <row r="1496" spans="1:15" s="29" customFormat="1" ht="24.95" customHeight="1">
      <c r="A1496" s="31" t="s">
        <v>2115</v>
      </c>
      <c r="B1496" s="32" t="s">
        <v>2119</v>
      </c>
      <c r="C1496" s="33">
        <v>1031</v>
      </c>
      <c r="D1496" s="34" t="s">
        <v>820</v>
      </c>
      <c r="E1496" s="36">
        <v>88385</v>
      </c>
      <c r="F1496" s="36">
        <f>TRUNC(E1496*$C1496,0)</f>
        <v>91124935</v>
      </c>
      <c r="G1496" s="36">
        <v>4244</v>
      </c>
      <c r="H1496" s="36">
        <f>TRUNC(G1496*$C1496,0)</f>
        <v>4375564</v>
      </c>
      <c r="I1496" s="36">
        <v>5397</v>
      </c>
      <c r="J1496" s="36">
        <f>TRUNC(I1496*$C1496,0)</f>
        <v>5564307</v>
      </c>
      <c r="K1496" s="36">
        <f t="shared" si="204"/>
        <v>98026</v>
      </c>
      <c r="L1496" s="36">
        <f t="shared" si="203"/>
        <v>101064806</v>
      </c>
      <c r="M1496" s="37"/>
      <c r="N1496" s="253"/>
      <c r="O1496" s="38"/>
    </row>
    <row r="1497" spans="1:15" s="29" customFormat="1" ht="24.95" customHeight="1">
      <c r="A1497" s="31" t="s">
        <v>2120</v>
      </c>
      <c r="B1497" s="32" t="s">
        <v>804</v>
      </c>
      <c r="C1497" s="33">
        <v>2338</v>
      </c>
      <c r="D1497" s="34" t="s">
        <v>847</v>
      </c>
      <c r="E1497" s="36">
        <v>176</v>
      </c>
      <c r="F1497" s="36">
        <f>TRUNC(E1497*$C1497,0)</f>
        <v>411488</v>
      </c>
      <c r="G1497" s="36">
        <v>1474</v>
      </c>
      <c r="H1497" s="36">
        <f>TRUNC(G1497*$C1497,0)</f>
        <v>3446212</v>
      </c>
      <c r="I1497" s="36">
        <v>11</v>
      </c>
      <c r="J1497" s="36">
        <f>TRUNC(I1497*$C1497,0)</f>
        <v>25718</v>
      </c>
      <c r="K1497" s="36">
        <f t="shared" si="204"/>
        <v>1661</v>
      </c>
      <c r="L1497" s="36">
        <f t="shared" si="203"/>
        <v>3883418</v>
      </c>
      <c r="M1497" s="37"/>
      <c r="N1497" s="253"/>
      <c r="O1497" s="38"/>
    </row>
    <row r="1498" spans="1:15" s="63" customFormat="1" ht="24.95" customHeight="1">
      <c r="A1498" s="57" t="s">
        <v>2121</v>
      </c>
      <c r="B1498" s="58" t="s">
        <v>22</v>
      </c>
      <c r="C1498" s="59"/>
      <c r="D1498" s="60" t="s">
        <v>22</v>
      </c>
      <c r="E1498" s="60"/>
      <c r="F1498" s="61">
        <f>TRUNC(F1501+F1503+F1504+F1505+F1507+F1509+F1511+F1512+F1515+F1516+F1517+F1519+F1521+F1523+F1525+F1527+F1529+F1530+F1531,0)</f>
        <v>105764407</v>
      </c>
      <c r="G1498" s="60"/>
      <c r="H1498" s="61">
        <f>TRUNC(H1501+H1503+H1504+H1505+H1507+H1509+H1511+H1512+H1515+H1516+H1517+H1519+H1521+H1523+H1525+H1527+H1529+H1530+H1531,0)</f>
        <v>39011972</v>
      </c>
      <c r="I1498" s="60"/>
      <c r="J1498" s="61">
        <f>TRUNC(J1501+J1503+J1504+J1505+J1507+J1509+J1511+J1512+J1515+J1516+J1517+J1519+J1521+J1523+J1525+J1527+J1529+J1530+J1531,0)</f>
        <v>21984251</v>
      </c>
      <c r="K1498" s="61">
        <f t="shared" si="204"/>
        <v>0</v>
      </c>
      <c r="L1498" s="61">
        <f t="shared" si="203"/>
        <v>166760630</v>
      </c>
      <c r="M1498" s="62"/>
      <c r="N1498" s="253"/>
    </row>
    <row r="1499" spans="1:15" s="70" customFormat="1" ht="24.95" customHeight="1">
      <c r="A1499" s="64" t="s">
        <v>2122</v>
      </c>
      <c r="B1499" s="65" t="s">
        <v>22</v>
      </c>
      <c r="C1499" s="66"/>
      <c r="D1499" s="67" t="s">
        <v>22</v>
      </c>
      <c r="E1499" s="67"/>
      <c r="F1499" s="68">
        <f>TRUNC(F1501+F1503+F1504+F1505+F1507+F1509+F1511+F1512,0)</f>
        <v>52211469</v>
      </c>
      <c r="G1499" s="67"/>
      <c r="H1499" s="68">
        <f>TRUNC(H1501+H1503+H1504+H1505+H1507+H1509+H1511+H1512,0)</f>
        <v>12648145</v>
      </c>
      <c r="I1499" s="67"/>
      <c r="J1499" s="68">
        <f>TRUNC(J1501+J1503+J1504+J1505+J1507+J1509+J1511+J1512,0)</f>
        <v>5986246</v>
      </c>
      <c r="K1499" s="68">
        <f t="shared" si="204"/>
        <v>0</v>
      </c>
      <c r="L1499" s="68">
        <f t="shared" si="203"/>
        <v>70845860</v>
      </c>
      <c r="M1499" s="69"/>
      <c r="N1499" s="256"/>
    </row>
    <row r="1500" spans="1:15" s="77" customFormat="1" ht="24.95" customHeight="1">
      <c r="A1500" s="71" t="s">
        <v>2123</v>
      </c>
      <c r="B1500" s="72" t="s">
        <v>22</v>
      </c>
      <c r="C1500" s="73"/>
      <c r="D1500" s="74" t="s">
        <v>22</v>
      </c>
      <c r="E1500" s="74"/>
      <c r="F1500" s="75">
        <f>TRUNC(F1501,0)</f>
        <v>2246139</v>
      </c>
      <c r="G1500" s="74"/>
      <c r="H1500" s="75">
        <f>TRUNC(H1501,0)</f>
        <v>108373</v>
      </c>
      <c r="I1500" s="74"/>
      <c r="J1500" s="75">
        <f>TRUNC(J1501,0)</f>
        <v>455813</v>
      </c>
      <c r="K1500" s="75">
        <f t="shared" si="204"/>
        <v>0</v>
      </c>
      <c r="L1500" s="75">
        <f t="shared" si="203"/>
        <v>2810325</v>
      </c>
      <c r="M1500" s="76"/>
      <c r="N1500" s="257"/>
    </row>
    <row r="1501" spans="1:15" s="29" customFormat="1" ht="24.95" customHeight="1">
      <c r="A1501" s="31" t="s">
        <v>2124</v>
      </c>
      <c r="B1501" s="32" t="s">
        <v>2125</v>
      </c>
      <c r="C1501" s="33">
        <v>101</v>
      </c>
      <c r="D1501" s="34" t="s">
        <v>116</v>
      </c>
      <c r="E1501" s="36">
        <v>22239</v>
      </c>
      <c r="F1501" s="36">
        <f>TRUNC(E1501*$C1501,0)</f>
        <v>2246139</v>
      </c>
      <c r="G1501" s="36">
        <v>1073</v>
      </c>
      <c r="H1501" s="36">
        <f>TRUNC(G1501*$C1501,0)</f>
        <v>108373</v>
      </c>
      <c r="I1501" s="36">
        <v>4513</v>
      </c>
      <c r="J1501" s="36">
        <f>TRUNC(I1501*$C1501,0)</f>
        <v>455813</v>
      </c>
      <c r="K1501" s="36">
        <f t="shared" si="204"/>
        <v>27825</v>
      </c>
      <c r="L1501" s="36">
        <f t="shared" si="203"/>
        <v>2810325</v>
      </c>
      <c r="M1501" s="37"/>
      <c r="N1501" s="253"/>
      <c r="O1501" s="38"/>
    </row>
    <row r="1502" spans="1:15" s="77" customFormat="1" ht="24.95" customHeight="1">
      <c r="A1502" s="71" t="s">
        <v>2126</v>
      </c>
      <c r="B1502" s="72" t="s">
        <v>22</v>
      </c>
      <c r="C1502" s="73"/>
      <c r="D1502" s="74" t="s">
        <v>22</v>
      </c>
      <c r="E1502" s="74"/>
      <c r="F1502" s="75">
        <f>TRUNC(F1503+F1504+F1505,0)</f>
        <v>30639870</v>
      </c>
      <c r="G1502" s="74"/>
      <c r="H1502" s="75">
        <f>TRUNC(H1503+H1504+H1505,0)</f>
        <v>8503056</v>
      </c>
      <c r="I1502" s="74"/>
      <c r="J1502" s="75">
        <f>TRUNC(J1503+J1504+J1505,0)</f>
        <v>2495124</v>
      </c>
      <c r="K1502" s="75">
        <f t="shared" si="204"/>
        <v>0</v>
      </c>
      <c r="L1502" s="75">
        <f t="shared" si="203"/>
        <v>41638050</v>
      </c>
      <c r="M1502" s="76"/>
      <c r="N1502" s="257"/>
    </row>
    <row r="1503" spans="1:15" s="29" customFormat="1" ht="24.95" customHeight="1">
      <c r="A1503" s="31" t="s">
        <v>2127</v>
      </c>
      <c r="B1503" s="32" t="s">
        <v>2128</v>
      </c>
      <c r="C1503" s="33">
        <v>410</v>
      </c>
      <c r="D1503" s="34" t="s">
        <v>847</v>
      </c>
      <c r="E1503" s="36">
        <v>63045</v>
      </c>
      <c r="F1503" s="36">
        <f>TRUNC(E1503*$C1503,0)</f>
        <v>25848450</v>
      </c>
      <c r="G1503" s="36">
        <v>17496</v>
      </c>
      <c r="H1503" s="36">
        <f>TRUNC(G1503*$C1503,0)</f>
        <v>7173360</v>
      </c>
      <c r="I1503" s="36">
        <v>5134</v>
      </c>
      <c r="J1503" s="36">
        <f>TRUNC(I1503*$C1503,0)</f>
        <v>2104940</v>
      </c>
      <c r="K1503" s="36">
        <f t="shared" si="204"/>
        <v>85675</v>
      </c>
      <c r="L1503" s="36">
        <f t="shared" si="203"/>
        <v>35126750</v>
      </c>
      <c r="M1503" s="37"/>
      <c r="N1503" s="253"/>
      <c r="O1503" s="38"/>
    </row>
    <row r="1504" spans="1:15" s="29" customFormat="1" ht="24.95" customHeight="1">
      <c r="A1504" s="31" t="s">
        <v>2127</v>
      </c>
      <c r="B1504" s="32" t="s">
        <v>2129</v>
      </c>
      <c r="C1504" s="33">
        <v>32</v>
      </c>
      <c r="D1504" s="34" t="s">
        <v>847</v>
      </c>
      <c r="E1504" s="36">
        <v>63045</v>
      </c>
      <c r="F1504" s="36">
        <f>TRUNC(E1504*$C1504,0)</f>
        <v>2017440</v>
      </c>
      <c r="G1504" s="36">
        <v>17496</v>
      </c>
      <c r="H1504" s="36">
        <f>TRUNC(G1504*$C1504,0)</f>
        <v>559872</v>
      </c>
      <c r="I1504" s="36">
        <v>5134</v>
      </c>
      <c r="J1504" s="36">
        <f>TRUNC(I1504*$C1504,0)</f>
        <v>164288</v>
      </c>
      <c r="K1504" s="36">
        <f t="shared" si="204"/>
        <v>85675</v>
      </c>
      <c r="L1504" s="36">
        <f t="shared" si="203"/>
        <v>2741600</v>
      </c>
      <c r="M1504" s="37"/>
      <c r="N1504" s="253"/>
      <c r="O1504" s="38"/>
    </row>
    <row r="1505" spans="1:15" s="29" customFormat="1" ht="24.95" customHeight="1">
      <c r="A1505" s="31" t="s">
        <v>2127</v>
      </c>
      <c r="B1505" s="32" t="s">
        <v>2130</v>
      </c>
      <c r="C1505" s="33">
        <v>44</v>
      </c>
      <c r="D1505" s="34" t="s">
        <v>847</v>
      </c>
      <c r="E1505" s="36">
        <v>63045</v>
      </c>
      <c r="F1505" s="36">
        <f>TRUNC(E1505*$C1505,0)</f>
        <v>2773980</v>
      </c>
      <c r="G1505" s="36">
        <v>17496</v>
      </c>
      <c r="H1505" s="36">
        <f>TRUNC(G1505*$C1505,0)</f>
        <v>769824</v>
      </c>
      <c r="I1505" s="36">
        <v>5134</v>
      </c>
      <c r="J1505" s="36">
        <f>TRUNC(I1505*$C1505,0)</f>
        <v>225896</v>
      </c>
      <c r="K1505" s="36">
        <f t="shared" si="204"/>
        <v>85675</v>
      </c>
      <c r="L1505" s="36">
        <f t="shared" si="203"/>
        <v>3769700</v>
      </c>
      <c r="M1505" s="37"/>
      <c r="N1505" s="253"/>
      <c r="O1505" s="38"/>
    </row>
    <row r="1506" spans="1:15" s="77" customFormat="1" ht="24.95" customHeight="1">
      <c r="A1506" s="71" t="s">
        <v>2131</v>
      </c>
      <c r="B1506" s="72" t="s">
        <v>22</v>
      </c>
      <c r="C1506" s="73"/>
      <c r="D1506" s="74" t="s">
        <v>22</v>
      </c>
      <c r="E1506" s="74"/>
      <c r="F1506" s="75">
        <f>TRUNC(F1507,0)</f>
        <v>11100300</v>
      </c>
      <c r="G1506" s="74"/>
      <c r="H1506" s="75">
        <f>TRUNC(H1507,0)</f>
        <v>2363751</v>
      </c>
      <c r="I1506" s="74"/>
      <c r="J1506" s="75">
        <f>TRUNC(J1507,0)</f>
        <v>1304796</v>
      </c>
      <c r="K1506" s="75">
        <f t="shared" si="204"/>
        <v>0</v>
      </c>
      <c r="L1506" s="75">
        <f t="shared" si="203"/>
        <v>14768847</v>
      </c>
      <c r="M1506" s="76"/>
      <c r="N1506" s="257"/>
    </row>
    <row r="1507" spans="1:15" s="29" customFormat="1" ht="24.95" customHeight="1">
      <c r="A1507" s="31" t="s">
        <v>2132</v>
      </c>
      <c r="B1507" s="32" t="s">
        <v>2133</v>
      </c>
      <c r="C1507" s="33">
        <v>227</v>
      </c>
      <c r="D1507" s="34" t="s">
        <v>2134</v>
      </c>
      <c r="E1507" s="36">
        <v>48900</v>
      </c>
      <c r="F1507" s="36">
        <f>TRUNC(E1507*$C1507,0)</f>
        <v>11100300</v>
      </c>
      <c r="G1507" s="36">
        <v>10413</v>
      </c>
      <c r="H1507" s="36">
        <f>TRUNC(G1507*$C1507,0)</f>
        <v>2363751</v>
      </c>
      <c r="I1507" s="36">
        <v>5748</v>
      </c>
      <c r="J1507" s="36">
        <f>TRUNC(I1507*$C1507,0)</f>
        <v>1304796</v>
      </c>
      <c r="K1507" s="36">
        <f t="shared" si="204"/>
        <v>65061</v>
      </c>
      <c r="L1507" s="36">
        <f t="shared" si="203"/>
        <v>14768847</v>
      </c>
      <c r="M1507" s="37"/>
      <c r="N1507" s="253"/>
      <c r="O1507" s="38"/>
    </row>
    <row r="1508" spans="1:15" s="77" customFormat="1" ht="24.95" customHeight="1">
      <c r="A1508" s="71" t="s">
        <v>2135</v>
      </c>
      <c r="B1508" s="72" t="s">
        <v>22</v>
      </c>
      <c r="C1508" s="73"/>
      <c r="D1508" s="74" t="s">
        <v>22</v>
      </c>
      <c r="E1508" s="74"/>
      <c r="F1508" s="75">
        <f>TRUNC(F1509,0)</f>
        <v>2241904</v>
      </c>
      <c r="G1508" s="74"/>
      <c r="H1508" s="75">
        <f>TRUNC(H1509,0)</f>
        <v>525104</v>
      </c>
      <c r="I1508" s="74"/>
      <c r="J1508" s="75">
        <f>TRUNC(J1509,0)</f>
        <v>589632</v>
      </c>
      <c r="K1508" s="75">
        <f t="shared" si="204"/>
        <v>0</v>
      </c>
      <c r="L1508" s="75">
        <f t="shared" si="203"/>
        <v>3356640</v>
      </c>
      <c r="M1508" s="76"/>
      <c r="N1508" s="257"/>
    </row>
    <row r="1509" spans="1:15" s="29" customFormat="1" ht="24.95" customHeight="1">
      <c r="A1509" s="31" t="s">
        <v>2136</v>
      </c>
      <c r="B1509" s="32" t="s">
        <v>2137</v>
      </c>
      <c r="C1509" s="33">
        <v>592</v>
      </c>
      <c r="D1509" s="34" t="s">
        <v>815</v>
      </c>
      <c r="E1509" s="36">
        <v>3787</v>
      </c>
      <c r="F1509" s="36">
        <f>TRUNC(E1509*$C1509,0)</f>
        <v>2241904</v>
      </c>
      <c r="G1509" s="36">
        <v>887</v>
      </c>
      <c r="H1509" s="36">
        <f>TRUNC(G1509*$C1509,0)</f>
        <v>525104</v>
      </c>
      <c r="I1509" s="36">
        <v>996</v>
      </c>
      <c r="J1509" s="36">
        <f>TRUNC(I1509*$C1509,0)</f>
        <v>589632</v>
      </c>
      <c r="K1509" s="36">
        <f t="shared" si="204"/>
        <v>5670</v>
      </c>
      <c r="L1509" s="36">
        <f t="shared" si="203"/>
        <v>3356640</v>
      </c>
      <c r="M1509" s="37"/>
      <c r="N1509" s="253"/>
      <c r="O1509" s="38"/>
    </row>
    <row r="1510" spans="1:15" s="77" customFormat="1" ht="24.95" customHeight="1">
      <c r="A1510" s="71" t="s">
        <v>2138</v>
      </c>
      <c r="B1510" s="72" t="s">
        <v>22</v>
      </c>
      <c r="C1510" s="73"/>
      <c r="D1510" s="74" t="s">
        <v>22</v>
      </c>
      <c r="E1510" s="74"/>
      <c r="F1510" s="75">
        <f>TRUNC(F1511+F1512,0)</f>
        <v>5983256</v>
      </c>
      <c r="G1510" s="74"/>
      <c r="H1510" s="75">
        <f>TRUNC(H1511+H1512,0)</f>
        <v>1147861</v>
      </c>
      <c r="I1510" s="74"/>
      <c r="J1510" s="75">
        <f>TRUNC(J1511+J1512,0)</f>
        <v>1140881</v>
      </c>
      <c r="K1510" s="75">
        <f t="shared" si="204"/>
        <v>0</v>
      </c>
      <c r="L1510" s="75">
        <f t="shared" si="203"/>
        <v>8271998</v>
      </c>
      <c r="M1510" s="76"/>
      <c r="N1510" s="257"/>
    </row>
    <row r="1511" spans="1:15" s="29" customFormat="1" ht="24.95" customHeight="1">
      <c r="A1511" s="31" t="s">
        <v>2139</v>
      </c>
      <c r="B1511" s="32" t="s">
        <v>2140</v>
      </c>
      <c r="C1511" s="33">
        <v>291</v>
      </c>
      <c r="D1511" s="34" t="s">
        <v>166</v>
      </c>
      <c r="E1511" s="36">
        <v>17144</v>
      </c>
      <c r="F1511" s="36">
        <f>TRUNC(E1511*$C1511,0)</f>
        <v>4988904</v>
      </c>
      <c r="G1511" s="36">
        <v>3289</v>
      </c>
      <c r="H1511" s="36">
        <f>TRUNC(G1511*$C1511,0)</f>
        <v>957099</v>
      </c>
      <c r="I1511" s="36">
        <v>3269</v>
      </c>
      <c r="J1511" s="36">
        <f>TRUNC(I1511*$C1511,0)</f>
        <v>951279</v>
      </c>
      <c r="K1511" s="36">
        <f t="shared" si="204"/>
        <v>23702</v>
      </c>
      <c r="L1511" s="36">
        <f t="shared" si="203"/>
        <v>6897282</v>
      </c>
      <c r="M1511" s="37"/>
      <c r="N1511" s="253"/>
      <c r="O1511" s="38"/>
    </row>
    <row r="1512" spans="1:15" s="29" customFormat="1" ht="24.95" customHeight="1">
      <c r="A1512" s="31" t="s">
        <v>2141</v>
      </c>
      <c r="B1512" s="32" t="s">
        <v>2140</v>
      </c>
      <c r="C1512" s="33">
        <v>58</v>
      </c>
      <c r="D1512" s="34" t="s">
        <v>166</v>
      </c>
      <c r="E1512" s="36">
        <v>17144</v>
      </c>
      <c r="F1512" s="36">
        <f>TRUNC(E1512*$C1512,0)</f>
        <v>994352</v>
      </c>
      <c r="G1512" s="36">
        <v>3289</v>
      </c>
      <c r="H1512" s="36">
        <f>TRUNC(G1512*$C1512,0)</f>
        <v>190762</v>
      </c>
      <c r="I1512" s="36">
        <v>3269</v>
      </c>
      <c r="J1512" s="36">
        <f>TRUNC(I1512*$C1512,0)</f>
        <v>189602</v>
      </c>
      <c r="K1512" s="36">
        <f t="shared" si="204"/>
        <v>23702</v>
      </c>
      <c r="L1512" s="36">
        <f t="shared" si="203"/>
        <v>1374716</v>
      </c>
      <c r="M1512" s="37"/>
      <c r="N1512" s="253"/>
      <c r="O1512" s="38"/>
    </row>
    <row r="1513" spans="1:15" s="70" customFormat="1" ht="24.95" customHeight="1">
      <c r="A1513" s="64" t="s">
        <v>2142</v>
      </c>
      <c r="B1513" s="65" t="s">
        <v>22</v>
      </c>
      <c r="C1513" s="66"/>
      <c r="D1513" s="67" t="s">
        <v>22</v>
      </c>
      <c r="E1513" s="67"/>
      <c r="F1513" s="68">
        <f>TRUNC(F1515+F1516+F1517+F1519+F1521+F1523+F1525+F1527,0)</f>
        <v>52703400</v>
      </c>
      <c r="G1513" s="67"/>
      <c r="H1513" s="68">
        <f>TRUNC(H1515+H1516+H1517+H1519+H1521+H1523+H1525+H1527,0)</f>
        <v>25124385</v>
      </c>
      <c r="I1513" s="67"/>
      <c r="J1513" s="68">
        <f>TRUNC(J1515+J1516+J1517+J1519+J1521+J1523+J1525+J1527,0)</f>
        <v>15990877</v>
      </c>
      <c r="K1513" s="68">
        <f t="shared" si="204"/>
        <v>0</v>
      </c>
      <c r="L1513" s="68">
        <f t="shared" si="203"/>
        <v>93818662</v>
      </c>
      <c r="M1513" s="69"/>
      <c r="N1513" s="256"/>
    </row>
    <row r="1514" spans="1:15" s="77" customFormat="1" ht="24.95" customHeight="1">
      <c r="A1514" s="71" t="s">
        <v>2143</v>
      </c>
      <c r="B1514" s="72" t="s">
        <v>22</v>
      </c>
      <c r="C1514" s="73"/>
      <c r="D1514" s="74" t="s">
        <v>22</v>
      </c>
      <c r="E1514" s="74"/>
      <c r="F1514" s="75">
        <f>TRUNC(F1515+F1516+F1517,0)</f>
        <v>34261305</v>
      </c>
      <c r="G1514" s="74"/>
      <c r="H1514" s="75">
        <f>TRUNC(H1515+H1516+H1517,0)</f>
        <v>5762090</v>
      </c>
      <c r="I1514" s="74"/>
      <c r="J1514" s="75">
        <f>TRUNC(J1515+J1516+J1517,0)</f>
        <v>2608165</v>
      </c>
      <c r="K1514" s="75">
        <f t="shared" si="204"/>
        <v>0</v>
      </c>
      <c r="L1514" s="75">
        <f t="shared" si="203"/>
        <v>42631560</v>
      </c>
      <c r="M1514" s="76"/>
      <c r="N1514" s="257"/>
    </row>
    <row r="1515" spans="1:15" s="29" customFormat="1" ht="24.95" customHeight="1">
      <c r="A1515" s="31" t="s">
        <v>2144</v>
      </c>
      <c r="B1515" s="32" t="s">
        <v>2145</v>
      </c>
      <c r="C1515" s="33">
        <v>35</v>
      </c>
      <c r="D1515" s="34" t="s">
        <v>116</v>
      </c>
      <c r="E1515" s="36">
        <v>39043</v>
      </c>
      <c r="F1515" s="36">
        <f>TRUNC(E1515*$C1515,0)</f>
        <v>1366505</v>
      </c>
      <c r="G1515" s="36">
        <v>9304</v>
      </c>
      <c r="H1515" s="36">
        <f>TRUNC(G1515*$C1515,0)</f>
        <v>325640</v>
      </c>
      <c r="I1515" s="36">
        <v>2973</v>
      </c>
      <c r="J1515" s="36">
        <f>TRUNC(I1515*$C1515,0)</f>
        <v>104055</v>
      </c>
      <c r="K1515" s="36">
        <f t="shared" si="204"/>
        <v>51320</v>
      </c>
      <c r="L1515" s="36">
        <f t="shared" si="203"/>
        <v>1796200</v>
      </c>
      <c r="M1515" s="37"/>
      <c r="N1515" s="253"/>
      <c r="O1515" s="38"/>
    </row>
    <row r="1516" spans="1:15" s="29" customFormat="1" ht="24.95" customHeight="1">
      <c r="A1516" s="31" t="s">
        <v>2146</v>
      </c>
      <c r="B1516" s="32" t="s">
        <v>2145</v>
      </c>
      <c r="C1516" s="33">
        <v>170</v>
      </c>
      <c r="D1516" s="34" t="s">
        <v>116</v>
      </c>
      <c r="E1516" s="36">
        <v>22625</v>
      </c>
      <c r="F1516" s="36">
        <f>TRUNC(E1516*$C1516,0)</f>
        <v>3846250</v>
      </c>
      <c r="G1516" s="36">
        <v>3729</v>
      </c>
      <c r="H1516" s="36">
        <f>TRUNC(G1516*$C1516,0)</f>
        <v>633930</v>
      </c>
      <c r="I1516" s="36">
        <v>1721</v>
      </c>
      <c r="J1516" s="36">
        <f>TRUNC(I1516*$C1516,0)</f>
        <v>292570</v>
      </c>
      <c r="K1516" s="36">
        <f t="shared" si="204"/>
        <v>28075</v>
      </c>
      <c r="L1516" s="36">
        <f t="shared" si="203"/>
        <v>4772750</v>
      </c>
      <c r="M1516" s="37"/>
      <c r="N1516" s="253"/>
      <c r="O1516" s="38"/>
    </row>
    <row r="1517" spans="1:15" s="29" customFormat="1" ht="24.95" customHeight="1">
      <c r="A1517" s="31" t="s">
        <v>2147</v>
      </c>
      <c r="B1517" s="32" t="s">
        <v>2145</v>
      </c>
      <c r="C1517" s="33">
        <v>930</v>
      </c>
      <c r="D1517" s="34" t="s">
        <v>116</v>
      </c>
      <c r="E1517" s="36">
        <v>31235</v>
      </c>
      <c r="F1517" s="36">
        <f>TRUNC(E1517*$C1517,0)</f>
        <v>29048550</v>
      </c>
      <c r="G1517" s="36">
        <v>5164</v>
      </c>
      <c r="H1517" s="36">
        <f>TRUNC(G1517*$C1517,0)</f>
        <v>4802520</v>
      </c>
      <c r="I1517" s="36">
        <v>2378</v>
      </c>
      <c r="J1517" s="36">
        <f>TRUNC(I1517*$C1517,0)</f>
        <v>2211540</v>
      </c>
      <c r="K1517" s="36">
        <f t="shared" si="204"/>
        <v>38777</v>
      </c>
      <c r="L1517" s="36">
        <f t="shared" si="203"/>
        <v>36062610</v>
      </c>
      <c r="M1517" s="37"/>
      <c r="N1517" s="253"/>
      <c r="O1517" s="38"/>
    </row>
    <row r="1518" spans="1:15" s="77" customFormat="1" ht="24.95" customHeight="1">
      <c r="A1518" s="71" t="s">
        <v>2148</v>
      </c>
      <c r="B1518" s="72" t="s">
        <v>22</v>
      </c>
      <c r="C1518" s="73"/>
      <c r="D1518" s="74" t="s">
        <v>22</v>
      </c>
      <c r="E1518" s="74"/>
      <c r="F1518" s="75">
        <f>TRUNC(F1519,0)</f>
        <v>7238700</v>
      </c>
      <c r="G1518" s="74"/>
      <c r="H1518" s="75">
        <f>TRUNC(H1519,0)</f>
        <v>2767000</v>
      </c>
      <c r="I1518" s="74"/>
      <c r="J1518" s="75">
        <f>TRUNC(J1519,0)</f>
        <v>11290300</v>
      </c>
      <c r="K1518" s="75">
        <f t="shared" si="204"/>
        <v>0</v>
      </c>
      <c r="L1518" s="75">
        <f t="shared" si="203"/>
        <v>21296000</v>
      </c>
      <c r="M1518" s="76"/>
      <c r="N1518" s="257"/>
    </row>
    <row r="1519" spans="1:15" s="29" customFormat="1" ht="24.95" customHeight="1">
      <c r="A1519" s="31" t="s">
        <v>2149</v>
      </c>
      <c r="B1519" s="32" t="s">
        <v>2150</v>
      </c>
      <c r="C1519" s="33">
        <v>100</v>
      </c>
      <c r="D1519" s="34" t="s">
        <v>2134</v>
      </c>
      <c r="E1519" s="36">
        <v>72387</v>
      </c>
      <c r="F1519" s="36">
        <f>TRUNC(E1519*$C1519,0)</f>
        <v>7238700</v>
      </c>
      <c r="G1519" s="36">
        <v>27670</v>
      </c>
      <c r="H1519" s="36">
        <f>TRUNC(G1519*$C1519,0)</f>
        <v>2767000</v>
      </c>
      <c r="I1519" s="36">
        <v>112903</v>
      </c>
      <c r="J1519" s="36">
        <f>TRUNC(I1519*$C1519,0)</f>
        <v>11290300</v>
      </c>
      <c r="K1519" s="36">
        <f t="shared" si="204"/>
        <v>212960</v>
      </c>
      <c r="L1519" s="36">
        <f t="shared" si="203"/>
        <v>21296000</v>
      </c>
      <c r="M1519" s="37"/>
      <c r="N1519" s="253"/>
      <c r="O1519" s="38"/>
    </row>
    <row r="1520" spans="1:15" s="77" customFormat="1" ht="24.95" customHeight="1">
      <c r="A1520" s="71" t="s">
        <v>2151</v>
      </c>
      <c r="B1520" s="72" t="s">
        <v>22</v>
      </c>
      <c r="C1520" s="73"/>
      <c r="D1520" s="74" t="s">
        <v>22</v>
      </c>
      <c r="E1520" s="74"/>
      <c r="F1520" s="75">
        <f>TRUNC(F1521,0)</f>
        <v>898466</v>
      </c>
      <c r="G1520" s="74"/>
      <c r="H1520" s="75">
        <f>TRUNC(H1521,0)</f>
        <v>15528843</v>
      </c>
      <c r="I1520" s="74"/>
      <c r="J1520" s="75">
        <f>TRUNC(J1521,0)</f>
        <v>0</v>
      </c>
      <c r="K1520" s="75">
        <f t="shared" si="204"/>
        <v>0</v>
      </c>
      <c r="L1520" s="75">
        <f t="shared" si="203"/>
        <v>16427309</v>
      </c>
      <c r="M1520" s="76"/>
      <c r="N1520" s="257"/>
    </row>
    <row r="1521" spans="1:15" s="29" customFormat="1" ht="24.95" customHeight="1">
      <c r="A1521" s="31" t="s">
        <v>2152</v>
      </c>
      <c r="B1521" s="32" t="s">
        <v>2153</v>
      </c>
      <c r="C1521" s="33">
        <v>227</v>
      </c>
      <c r="D1521" s="34" t="s">
        <v>2134</v>
      </c>
      <c r="E1521" s="36">
        <v>3958</v>
      </c>
      <c r="F1521" s="36">
        <f>TRUNC(E1521*$C1521,0)</f>
        <v>898466</v>
      </c>
      <c r="G1521" s="36">
        <v>68409</v>
      </c>
      <c r="H1521" s="36">
        <f>TRUNC(G1521*$C1521,0)</f>
        <v>15528843</v>
      </c>
      <c r="I1521" s="36">
        <v>0</v>
      </c>
      <c r="J1521" s="36">
        <f>TRUNC(I1521*$C1521,0)</f>
        <v>0</v>
      </c>
      <c r="K1521" s="36">
        <f t="shared" si="204"/>
        <v>72367</v>
      </c>
      <c r="L1521" s="36">
        <f t="shared" si="203"/>
        <v>16427309</v>
      </c>
      <c r="M1521" s="37"/>
      <c r="N1521" s="253"/>
      <c r="O1521" s="38"/>
    </row>
    <row r="1522" spans="1:15" s="77" customFormat="1" ht="24.95" customHeight="1">
      <c r="A1522" s="71" t="s">
        <v>2154</v>
      </c>
      <c r="B1522" s="72" t="s">
        <v>22</v>
      </c>
      <c r="C1522" s="73"/>
      <c r="D1522" s="74" t="s">
        <v>22</v>
      </c>
      <c r="E1522" s="74"/>
      <c r="F1522" s="75">
        <f>TRUNC(F1523,0)</f>
        <v>8223125</v>
      </c>
      <c r="G1522" s="74"/>
      <c r="H1522" s="75">
        <f>TRUNC(H1523,0)</f>
        <v>919500</v>
      </c>
      <c r="I1522" s="74"/>
      <c r="J1522" s="75">
        <f>TRUNC(J1523,0)</f>
        <v>1959200</v>
      </c>
      <c r="K1522" s="75">
        <f t="shared" si="204"/>
        <v>0</v>
      </c>
      <c r="L1522" s="75">
        <f t="shared" si="203"/>
        <v>11101825</v>
      </c>
      <c r="M1522" s="76"/>
      <c r="N1522" s="257"/>
    </row>
    <row r="1523" spans="1:15" s="29" customFormat="1" ht="24.95" customHeight="1">
      <c r="A1523" s="31" t="s">
        <v>2155</v>
      </c>
      <c r="B1523" s="32" t="s">
        <v>22</v>
      </c>
      <c r="C1523" s="33">
        <v>25</v>
      </c>
      <c r="D1523" s="34" t="s">
        <v>815</v>
      </c>
      <c r="E1523" s="36">
        <v>328925</v>
      </c>
      <c r="F1523" s="36">
        <f>TRUNC(E1523*$C1523,0)</f>
        <v>8223125</v>
      </c>
      <c r="G1523" s="36">
        <v>36780</v>
      </c>
      <c r="H1523" s="36">
        <f>TRUNC(G1523*$C1523,0)</f>
        <v>919500</v>
      </c>
      <c r="I1523" s="36">
        <v>78368</v>
      </c>
      <c r="J1523" s="36">
        <f>TRUNC(I1523*$C1523,0)</f>
        <v>1959200</v>
      </c>
      <c r="K1523" s="36">
        <f t="shared" si="204"/>
        <v>444073</v>
      </c>
      <c r="L1523" s="36">
        <f t="shared" si="203"/>
        <v>11101825</v>
      </c>
      <c r="M1523" s="37"/>
      <c r="N1523" s="253"/>
      <c r="O1523" s="38"/>
    </row>
    <row r="1524" spans="1:15" s="77" customFormat="1" ht="24.95" customHeight="1">
      <c r="A1524" s="71" t="s">
        <v>2156</v>
      </c>
      <c r="B1524" s="72" t="s">
        <v>22</v>
      </c>
      <c r="C1524" s="73"/>
      <c r="D1524" s="74" t="s">
        <v>22</v>
      </c>
      <c r="E1524" s="74"/>
      <c r="F1524" s="75">
        <f>TRUNC(F1525,0)</f>
        <v>267860</v>
      </c>
      <c r="G1524" s="74"/>
      <c r="H1524" s="75">
        <f>TRUNC(H1525,0)</f>
        <v>36320</v>
      </c>
      <c r="I1524" s="74"/>
      <c r="J1524" s="75">
        <f>TRUNC(J1525,0)</f>
        <v>0</v>
      </c>
      <c r="K1524" s="75">
        <f t="shared" si="204"/>
        <v>0</v>
      </c>
      <c r="L1524" s="75">
        <f t="shared" si="203"/>
        <v>304180</v>
      </c>
      <c r="M1524" s="76"/>
      <c r="N1524" s="257"/>
    </row>
    <row r="1525" spans="1:15" s="29" customFormat="1" ht="24.95" customHeight="1">
      <c r="A1525" s="31" t="s">
        <v>2157</v>
      </c>
      <c r="B1525" s="32" t="s">
        <v>2158</v>
      </c>
      <c r="C1525" s="33">
        <v>227</v>
      </c>
      <c r="D1525" s="34" t="s">
        <v>2134</v>
      </c>
      <c r="E1525" s="36">
        <v>1180</v>
      </c>
      <c r="F1525" s="36">
        <f>TRUNC(E1525*$C1525,0)</f>
        <v>267860</v>
      </c>
      <c r="G1525" s="36">
        <v>160</v>
      </c>
      <c r="H1525" s="36">
        <f>TRUNC(G1525*$C1525,0)</f>
        <v>36320</v>
      </c>
      <c r="I1525" s="36">
        <v>0</v>
      </c>
      <c r="J1525" s="36">
        <f>TRUNC(I1525*$C1525,0)</f>
        <v>0</v>
      </c>
      <c r="K1525" s="36">
        <f t="shared" si="204"/>
        <v>1340</v>
      </c>
      <c r="L1525" s="36">
        <f t="shared" si="203"/>
        <v>304180</v>
      </c>
      <c r="M1525" s="37"/>
      <c r="N1525" s="253"/>
      <c r="O1525" s="38"/>
    </row>
    <row r="1526" spans="1:15" s="77" customFormat="1" ht="24.95" customHeight="1">
      <c r="A1526" s="71" t="s">
        <v>2159</v>
      </c>
      <c r="B1526" s="72" t="s">
        <v>22</v>
      </c>
      <c r="C1526" s="73"/>
      <c r="D1526" s="74" t="s">
        <v>22</v>
      </c>
      <c r="E1526" s="74"/>
      <c r="F1526" s="75">
        <f>TRUNC(F1527,0)</f>
        <v>1813944</v>
      </c>
      <c r="G1526" s="74"/>
      <c r="H1526" s="75">
        <f>TRUNC(H1527,0)</f>
        <v>110632</v>
      </c>
      <c r="I1526" s="74"/>
      <c r="J1526" s="75">
        <f>TRUNC(J1527,0)</f>
        <v>133212</v>
      </c>
      <c r="K1526" s="75">
        <f t="shared" si="204"/>
        <v>0</v>
      </c>
      <c r="L1526" s="75">
        <f t="shared" si="203"/>
        <v>2057788</v>
      </c>
      <c r="M1526" s="76"/>
      <c r="N1526" s="257"/>
    </row>
    <row r="1527" spans="1:15" s="29" customFormat="1" ht="24.95" customHeight="1">
      <c r="A1527" s="31" t="s">
        <v>2160</v>
      </c>
      <c r="B1527" s="32" t="s">
        <v>2161</v>
      </c>
      <c r="C1527" s="33">
        <v>2</v>
      </c>
      <c r="D1527" s="34" t="s">
        <v>885</v>
      </c>
      <c r="E1527" s="36">
        <v>906972</v>
      </c>
      <c r="F1527" s="36">
        <f>TRUNC(E1527*$C1527,0)</f>
        <v>1813944</v>
      </c>
      <c r="G1527" s="36">
        <v>55316</v>
      </c>
      <c r="H1527" s="36">
        <f>TRUNC(G1527*$C1527,0)</f>
        <v>110632</v>
      </c>
      <c r="I1527" s="36">
        <v>66606</v>
      </c>
      <c r="J1527" s="36">
        <f>TRUNC(I1527*$C1527,0)</f>
        <v>133212</v>
      </c>
      <c r="K1527" s="36">
        <f t="shared" si="204"/>
        <v>1028894</v>
      </c>
      <c r="L1527" s="36">
        <f t="shared" si="203"/>
        <v>2057788</v>
      </c>
      <c r="M1527" s="37"/>
      <c r="N1527" s="253"/>
      <c r="O1527" s="38"/>
    </row>
    <row r="1528" spans="1:15" s="70" customFormat="1" ht="24.95" customHeight="1">
      <c r="A1528" s="64" t="s">
        <v>2162</v>
      </c>
      <c r="B1528" s="65" t="s">
        <v>22</v>
      </c>
      <c r="C1528" s="66"/>
      <c r="D1528" s="67" t="s">
        <v>22</v>
      </c>
      <c r="E1528" s="67"/>
      <c r="F1528" s="68">
        <f>TRUNC(F1529+F1530+F1531,0)</f>
        <v>849538</v>
      </c>
      <c r="G1528" s="67"/>
      <c r="H1528" s="68">
        <f>TRUNC(H1529+H1530+H1531,0)</f>
        <v>1239442</v>
      </c>
      <c r="I1528" s="67"/>
      <c r="J1528" s="68">
        <f>TRUNC(J1529+J1530+J1531,0)</f>
        <v>7128</v>
      </c>
      <c r="K1528" s="68">
        <f t="shared" si="204"/>
        <v>0</v>
      </c>
      <c r="L1528" s="68">
        <f t="shared" si="203"/>
        <v>2096108</v>
      </c>
      <c r="M1528" s="69"/>
      <c r="N1528" s="256"/>
    </row>
    <row r="1529" spans="1:15" s="29" customFormat="1" ht="24.95" customHeight="1">
      <c r="A1529" s="31" t="s">
        <v>2163</v>
      </c>
      <c r="B1529" s="32" t="s">
        <v>2164</v>
      </c>
      <c r="C1529" s="33">
        <v>6</v>
      </c>
      <c r="D1529" s="34" t="s">
        <v>815</v>
      </c>
      <c r="E1529" s="36">
        <v>46805</v>
      </c>
      <c r="F1529" s="36">
        <f>TRUNC(E1529*$C1529,0)</f>
        <v>280830</v>
      </c>
      <c r="G1529" s="36">
        <v>935</v>
      </c>
      <c r="H1529" s="36">
        <f>TRUNC(G1529*$C1529,0)</f>
        <v>5610</v>
      </c>
      <c r="I1529" s="36">
        <v>0</v>
      </c>
      <c r="J1529" s="36">
        <f>TRUNC(I1529*$C1529,0)</f>
        <v>0</v>
      </c>
      <c r="K1529" s="36">
        <f t="shared" si="204"/>
        <v>47740</v>
      </c>
      <c r="L1529" s="36">
        <f t="shared" si="203"/>
        <v>286440</v>
      </c>
      <c r="M1529" s="37"/>
      <c r="N1529" s="253"/>
      <c r="O1529" s="38"/>
    </row>
    <row r="1530" spans="1:15" s="29" customFormat="1" ht="24.95" customHeight="1">
      <c r="A1530" s="31" t="s">
        <v>2165</v>
      </c>
      <c r="B1530" s="32" t="s">
        <v>1010</v>
      </c>
      <c r="C1530" s="33">
        <v>20</v>
      </c>
      <c r="D1530" s="34" t="s">
        <v>831</v>
      </c>
      <c r="E1530" s="36">
        <v>22733</v>
      </c>
      <c r="F1530" s="36">
        <f>TRUNC(E1530*$C1530,0)</f>
        <v>454660</v>
      </c>
      <c r="G1530" s="36">
        <v>13934</v>
      </c>
      <c r="H1530" s="36">
        <f>TRUNC(G1530*$C1530,0)</f>
        <v>278680</v>
      </c>
      <c r="I1530" s="36">
        <v>0</v>
      </c>
      <c r="J1530" s="36">
        <f>TRUNC(I1530*$C1530,0)</f>
        <v>0</v>
      </c>
      <c r="K1530" s="36">
        <f t="shared" si="204"/>
        <v>36667</v>
      </c>
      <c r="L1530" s="36">
        <f t="shared" si="203"/>
        <v>733340</v>
      </c>
      <c r="M1530" s="37"/>
      <c r="N1530" s="253"/>
      <c r="O1530" s="38"/>
    </row>
    <row r="1531" spans="1:15" s="29" customFormat="1" ht="24.95" customHeight="1">
      <c r="A1531" s="31" t="s">
        <v>2166</v>
      </c>
      <c r="B1531" s="32" t="s">
        <v>804</v>
      </c>
      <c r="C1531" s="33">
        <v>648</v>
      </c>
      <c r="D1531" s="34" t="s">
        <v>847</v>
      </c>
      <c r="E1531" s="36">
        <v>176</v>
      </c>
      <c r="F1531" s="36">
        <f>TRUNC(E1531*$C1531,0)</f>
        <v>114048</v>
      </c>
      <c r="G1531" s="36">
        <v>1474</v>
      </c>
      <c r="H1531" s="36">
        <f>TRUNC(G1531*$C1531,0)</f>
        <v>955152</v>
      </c>
      <c r="I1531" s="36">
        <v>11</v>
      </c>
      <c r="J1531" s="36">
        <f>TRUNC(I1531*$C1531,0)</f>
        <v>7128</v>
      </c>
      <c r="K1531" s="36">
        <f t="shared" si="204"/>
        <v>1661</v>
      </c>
      <c r="L1531" s="36">
        <f t="shared" si="203"/>
        <v>1076328</v>
      </c>
      <c r="M1531" s="37"/>
      <c r="N1531" s="253"/>
      <c r="O1531" s="38"/>
    </row>
    <row r="1532" spans="1:15" s="63" customFormat="1" ht="24.95" customHeight="1">
      <c r="A1532" s="57" t="s">
        <v>2167</v>
      </c>
      <c r="B1532" s="58" t="s">
        <v>22</v>
      </c>
      <c r="C1532" s="59"/>
      <c r="D1532" s="60" t="s">
        <v>22</v>
      </c>
      <c r="E1532" s="60"/>
      <c r="F1532" s="61">
        <f>TRUNC(F1533+F1534+F1535,0)</f>
        <v>10634379</v>
      </c>
      <c r="G1532" s="60"/>
      <c r="H1532" s="61">
        <f>TRUNC(H1533+H1534+H1535,0)</f>
        <v>3712662</v>
      </c>
      <c r="I1532" s="60"/>
      <c r="J1532" s="61">
        <f>TRUNC(J1533+J1534+J1535,0)</f>
        <v>3607917</v>
      </c>
      <c r="K1532" s="61">
        <f t="shared" si="204"/>
        <v>0</v>
      </c>
      <c r="L1532" s="61">
        <f t="shared" si="203"/>
        <v>17954958</v>
      </c>
      <c r="M1532" s="62"/>
      <c r="N1532" s="253"/>
    </row>
    <row r="1533" spans="1:15" s="29" customFormat="1" ht="24.95" customHeight="1">
      <c r="A1533" s="31" t="s">
        <v>2168</v>
      </c>
      <c r="B1533" s="32" t="s">
        <v>2169</v>
      </c>
      <c r="C1533" s="33">
        <v>291</v>
      </c>
      <c r="D1533" s="34" t="s">
        <v>2088</v>
      </c>
      <c r="E1533" s="36">
        <v>30471</v>
      </c>
      <c r="F1533" s="36">
        <f>TRUNC(E1533*$C1533,0)</f>
        <v>8867061</v>
      </c>
      <c r="G1533" s="36">
        <v>10638</v>
      </c>
      <c r="H1533" s="36">
        <f>TRUNC(G1533*$C1533,0)</f>
        <v>3095658</v>
      </c>
      <c r="I1533" s="36">
        <v>9691</v>
      </c>
      <c r="J1533" s="36">
        <f>TRUNC(I1533*$C1533,0)</f>
        <v>2820081</v>
      </c>
      <c r="K1533" s="36">
        <f t="shared" si="204"/>
        <v>50800</v>
      </c>
      <c r="L1533" s="36">
        <f t="shared" si="203"/>
        <v>14782800</v>
      </c>
      <c r="M1533" s="37"/>
      <c r="N1533" s="253"/>
      <c r="O1533" s="38"/>
    </row>
    <row r="1534" spans="1:15" s="29" customFormat="1" ht="24.95" customHeight="1">
      <c r="A1534" s="31" t="s">
        <v>2170</v>
      </c>
      <c r="B1534" s="32" t="s">
        <v>2169</v>
      </c>
      <c r="C1534" s="33">
        <v>58</v>
      </c>
      <c r="D1534" s="34" t="s">
        <v>2088</v>
      </c>
      <c r="E1534" s="36">
        <v>30471</v>
      </c>
      <c r="F1534" s="36">
        <f>TRUNC(E1534*$C1534,0)</f>
        <v>1767318</v>
      </c>
      <c r="G1534" s="36">
        <v>10638</v>
      </c>
      <c r="H1534" s="36">
        <f>TRUNC(G1534*$C1534,0)</f>
        <v>617004</v>
      </c>
      <c r="I1534" s="36">
        <v>9691</v>
      </c>
      <c r="J1534" s="36">
        <f>TRUNC(I1534*$C1534,0)</f>
        <v>562078</v>
      </c>
      <c r="K1534" s="36">
        <f t="shared" si="204"/>
        <v>50800</v>
      </c>
      <c r="L1534" s="36">
        <f t="shared" si="203"/>
        <v>2946400</v>
      </c>
      <c r="M1534" s="37"/>
      <c r="N1534" s="253"/>
      <c r="O1534" s="38"/>
    </row>
    <row r="1535" spans="1:15" s="29" customFormat="1" ht="24.95" customHeight="1">
      <c r="A1535" s="31" t="s">
        <v>2171</v>
      </c>
      <c r="B1535" s="32" t="s">
        <v>1404</v>
      </c>
      <c r="C1535" s="33">
        <v>494</v>
      </c>
      <c r="D1535" s="34" t="s">
        <v>1405</v>
      </c>
      <c r="E1535" s="36">
        <v>0</v>
      </c>
      <c r="F1535" s="36">
        <f>TRUNC(E1535*$C1535,0)</f>
        <v>0</v>
      </c>
      <c r="G1535" s="36">
        <v>0</v>
      </c>
      <c r="H1535" s="36">
        <f>TRUNC(G1535*$C1535,0)</f>
        <v>0</v>
      </c>
      <c r="I1535" s="36">
        <v>457</v>
      </c>
      <c r="J1535" s="36">
        <f>TRUNC(I1535*$C1535,0)</f>
        <v>225758</v>
      </c>
      <c r="K1535" s="36">
        <f t="shared" si="204"/>
        <v>457</v>
      </c>
      <c r="L1535" s="36">
        <f t="shared" si="203"/>
        <v>225758</v>
      </c>
      <c r="M1535" s="37"/>
      <c r="N1535" s="253"/>
      <c r="O1535" s="38"/>
    </row>
    <row r="1536" spans="1:15" s="63" customFormat="1" ht="24.95" customHeight="1">
      <c r="A1536" s="57" t="s">
        <v>2172</v>
      </c>
      <c r="B1536" s="58" t="s">
        <v>22</v>
      </c>
      <c r="C1536" s="59"/>
      <c r="D1536" s="60" t="s">
        <v>22</v>
      </c>
      <c r="E1536" s="60"/>
      <c r="F1536" s="61">
        <f>TRUNC(F1538+F1539+F1541+F1542+F1543+F1545+F1547+F1548+F1549+F1550,0)</f>
        <v>0</v>
      </c>
      <c r="G1536" s="60"/>
      <c r="H1536" s="61">
        <f>TRUNC(H1538+H1539+H1541+H1542+H1543+H1545+H1547+H1548+H1549+H1550,0)</f>
        <v>556164824</v>
      </c>
      <c r="I1536" s="60"/>
      <c r="J1536" s="61">
        <f>TRUNC(J1538+J1539+J1541+J1542+J1543+J1545+J1547+J1548+J1549+J1550,0)</f>
        <v>0</v>
      </c>
      <c r="K1536" s="61">
        <f t="shared" si="204"/>
        <v>0</v>
      </c>
      <c r="L1536" s="61">
        <f t="shared" si="203"/>
        <v>556164824</v>
      </c>
      <c r="M1536" s="62"/>
      <c r="N1536" s="253"/>
    </row>
    <row r="1537" spans="1:15" s="77" customFormat="1" ht="24.95" customHeight="1">
      <c r="A1537" s="71" t="s">
        <v>2173</v>
      </c>
      <c r="B1537" s="72" t="s">
        <v>22</v>
      </c>
      <c r="C1537" s="73"/>
      <c r="D1537" s="74" t="s">
        <v>22</v>
      </c>
      <c r="E1537" s="74"/>
      <c r="F1537" s="75">
        <f>TRUNC(F1538+F1539,0)</f>
        <v>0</v>
      </c>
      <c r="G1537" s="74"/>
      <c r="H1537" s="75">
        <f>TRUNC(H1538+H1539,0)</f>
        <v>283286806</v>
      </c>
      <c r="I1537" s="74"/>
      <c r="J1537" s="75">
        <f>TRUNC(J1538+J1539,0)</f>
        <v>0</v>
      </c>
      <c r="K1537" s="75">
        <f t="shared" si="204"/>
        <v>0</v>
      </c>
      <c r="L1537" s="75">
        <f t="shared" si="203"/>
        <v>283286806</v>
      </c>
      <c r="M1537" s="76"/>
      <c r="N1537" s="257"/>
    </row>
    <row r="1538" spans="1:15" s="29" customFormat="1" ht="24.95" customHeight="1">
      <c r="A1538" s="31" t="s">
        <v>2174</v>
      </c>
      <c r="B1538" s="32" t="s">
        <v>2175</v>
      </c>
      <c r="C1538" s="33">
        <v>7545</v>
      </c>
      <c r="D1538" s="34" t="s">
        <v>815</v>
      </c>
      <c r="E1538" s="36">
        <v>0</v>
      </c>
      <c r="F1538" s="36">
        <f>TRUNC(E1538*$C1538,0)</f>
        <v>0</v>
      </c>
      <c r="G1538" s="36">
        <v>37488</v>
      </c>
      <c r="H1538" s="36">
        <f>TRUNC(G1538*$C1538,0)</f>
        <v>282846960</v>
      </c>
      <c r="I1538" s="36">
        <v>0</v>
      </c>
      <c r="J1538" s="36">
        <f>TRUNC(I1538*$C1538,0)</f>
        <v>0</v>
      </c>
      <c r="K1538" s="36">
        <f t="shared" si="204"/>
        <v>37488</v>
      </c>
      <c r="L1538" s="36">
        <f t="shared" si="203"/>
        <v>282846960</v>
      </c>
      <c r="M1538" s="37"/>
      <c r="N1538" s="253"/>
      <c r="O1538" s="38"/>
    </row>
    <row r="1539" spans="1:15" s="29" customFormat="1" ht="24.95" customHeight="1">
      <c r="A1539" s="31" t="s">
        <v>2084</v>
      </c>
      <c r="B1539" s="32" t="s">
        <v>1413</v>
      </c>
      <c r="C1539" s="33">
        <v>22</v>
      </c>
      <c r="D1539" s="34" t="s">
        <v>815</v>
      </c>
      <c r="E1539" s="36">
        <v>0</v>
      </c>
      <c r="F1539" s="36">
        <f>TRUNC(E1539*$C1539,0)</f>
        <v>0</v>
      </c>
      <c r="G1539" s="36">
        <v>19993</v>
      </c>
      <c r="H1539" s="36">
        <f>TRUNC(G1539*$C1539,0)</f>
        <v>439846</v>
      </c>
      <c r="I1539" s="36">
        <v>0</v>
      </c>
      <c r="J1539" s="36">
        <f>TRUNC(I1539*$C1539,0)</f>
        <v>0</v>
      </c>
      <c r="K1539" s="36">
        <f t="shared" si="204"/>
        <v>19993</v>
      </c>
      <c r="L1539" s="36">
        <f t="shared" si="203"/>
        <v>439846</v>
      </c>
      <c r="M1539" s="37"/>
      <c r="N1539" s="253"/>
      <c r="O1539" s="38"/>
    </row>
    <row r="1540" spans="1:15" s="77" customFormat="1" ht="24.95" customHeight="1">
      <c r="A1540" s="71" t="s">
        <v>2176</v>
      </c>
      <c r="B1540" s="72" t="s">
        <v>22</v>
      </c>
      <c r="C1540" s="73"/>
      <c r="D1540" s="74" t="s">
        <v>22</v>
      </c>
      <c r="E1540" s="74"/>
      <c r="F1540" s="75">
        <f>TRUNC(F1541+F1542+F1543,0)</f>
        <v>0</v>
      </c>
      <c r="G1540" s="74"/>
      <c r="H1540" s="75">
        <f>TRUNC(H1541+H1542+H1543,0)</f>
        <v>184998442</v>
      </c>
      <c r="I1540" s="74"/>
      <c r="J1540" s="75">
        <f>TRUNC(J1541+J1542+J1543,0)</f>
        <v>0</v>
      </c>
      <c r="K1540" s="75">
        <f t="shared" si="204"/>
        <v>0</v>
      </c>
      <c r="L1540" s="75">
        <f t="shared" si="203"/>
        <v>184998442</v>
      </c>
      <c r="M1540" s="76"/>
      <c r="N1540" s="257"/>
    </row>
    <row r="1541" spans="1:15" s="29" customFormat="1" ht="24.95" customHeight="1">
      <c r="A1541" s="31" t="s">
        <v>2177</v>
      </c>
      <c r="B1541" s="32" t="s">
        <v>2178</v>
      </c>
      <c r="C1541" s="33">
        <v>1574</v>
      </c>
      <c r="D1541" s="34" t="s">
        <v>1116</v>
      </c>
      <c r="E1541" s="36">
        <v>0</v>
      </c>
      <c r="F1541" s="36">
        <f>TRUNC(E1541*$C1541,0)</f>
        <v>0</v>
      </c>
      <c r="G1541" s="36">
        <v>35855</v>
      </c>
      <c r="H1541" s="36">
        <f>TRUNC(G1541*$C1541,0)</f>
        <v>56435770</v>
      </c>
      <c r="I1541" s="36">
        <v>0</v>
      </c>
      <c r="J1541" s="36">
        <f>TRUNC(I1541*$C1541,0)</f>
        <v>0</v>
      </c>
      <c r="K1541" s="36">
        <f t="shared" si="204"/>
        <v>35855</v>
      </c>
      <c r="L1541" s="36">
        <f t="shared" si="203"/>
        <v>56435770</v>
      </c>
      <c r="M1541" s="37"/>
      <c r="N1541" s="253"/>
      <c r="O1541" s="38"/>
    </row>
    <row r="1542" spans="1:15" s="29" customFormat="1" ht="24.95" customHeight="1">
      <c r="A1542" s="31" t="s">
        <v>2177</v>
      </c>
      <c r="B1542" s="32" t="s">
        <v>2179</v>
      </c>
      <c r="C1542" s="33">
        <v>1685</v>
      </c>
      <c r="D1542" s="34" t="s">
        <v>1116</v>
      </c>
      <c r="E1542" s="36">
        <v>0</v>
      </c>
      <c r="F1542" s="36">
        <f>TRUNC(E1542*$C1542,0)</f>
        <v>0</v>
      </c>
      <c r="G1542" s="36">
        <v>48768</v>
      </c>
      <c r="H1542" s="36">
        <f>TRUNC(G1542*$C1542,0)</f>
        <v>82174080</v>
      </c>
      <c r="I1542" s="36">
        <v>0</v>
      </c>
      <c r="J1542" s="36">
        <f>TRUNC(I1542*$C1542,0)</f>
        <v>0</v>
      </c>
      <c r="K1542" s="36">
        <f t="shared" si="204"/>
        <v>48768</v>
      </c>
      <c r="L1542" s="36">
        <f t="shared" si="203"/>
        <v>82174080</v>
      </c>
      <c r="M1542" s="37"/>
      <c r="N1542" s="253"/>
      <c r="O1542" s="38"/>
    </row>
    <row r="1543" spans="1:15" s="29" customFormat="1" ht="24.95" customHeight="1">
      <c r="A1543" s="31" t="s">
        <v>2177</v>
      </c>
      <c r="B1543" s="32" t="s">
        <v>2180</v>
      </c>
      <c r="C1543" s="33">
        <v>1336</v>
      </c>
      <c r="D1543" s="34" t="s">
        <v>1116</v>
      </c>
      <c r="E1543" s="36">
        <v>0</v>
      </c>
      <c r="F1543" s="36">
        <f>TRUNC(E1543*$C1543,0)</f>
        <v>0</v>
      </c>
      <c r="G1543" s="36">
        <v>34722</v>
      </c>
      <c r="H1543" s="36">
        <f>TRUNC(G1543*$C1543,0)</f>
        <v>46388592</v>
      </c>
      <c r="I1543" s="36">
        <v>0</v>
      </c>
      <c r="J1543" s="36">
        <f>TRUNC(I1543*$C1543,0)</f>
        <v>0</v>
      </c>
      <c r="K1543" s="36">
        <f t="shared" si="204"/>
        <v>34722</v>
      </c>
      <c r="L1543" s="36">
        <f t="shared" si="203"/>
        <v>46388592</v>
      </c>
      <c r="M1543" s="37"/>
      <c r="N1543" s="253"/>
      <c r="O1543" s="38"/>
    </row>
    <row r="1544" spans="1:15" s="29" customFormat="1" ht="24.95" customHeight="1">
      <c r="A1544" s="31" t="s">
        <v>2181</v>
      </c>
      <c r="B1544" s="32" t="s">
        <v>22</v>
      </c>
      <c r="C1544" s="33"/>
      <c r="D1544" s="34" t="s">
        <v>22</v>
      </c>
      <c r="E1544" s="34"/>
      <c r="F1544" s="36">
        <f>TRUNC(F1545,0)</f>
        <v>0</v>
      </c>
      <c r="G1544" s="34"/>
      <c r="H1544" s="36">
        <f>TRUNC(H1545,0)</f>
        <v>8580621</v>
      </c>
      <c r="I1544" s="34"/>
      <c r="J1544" s="36">
        <f>TRUNC(J1545,0)</f>
        <v>0</v>
      </c>
      <c r="K1544" s="36">
        <f t="shared" si="204"/>
        <v>0</v>
      </c>
      <c r="L1544" s="36">
        <f t="shared" si="203"/>
        <v>8580621</v>
      </c>
      <c r="M1544" s="37"/>
      <c r="N1544" s="253"/>
    </row>
    <row r="1545" spans="1:15" s="29" customFormat="1" ht="24.95" customHeight="1">
      <c r="A1545" s="31" t="s">
        <v>2182</v>
      </c>
      <c r="B1545" s="32" t="s">
        <v>2125</v>
      </c>
      <c r="C1545" s="33">
        <v>103</v>
      </c>
      <c r="D1545" s="34" t="s">
        <v>116</v>
      </c>
      <c r="E1545" s="36">
        <v>0</v>
      </c>
      <c r="F1545" s="36">
        <f>TRUNC(E1545*$C1545,0)</f>
        <v>0</v>
      </c>
      <c r="G1545" s="36">
        <v>83307</v>
      </c>
      <c r="H1545" s="36">
        <f>TRUNC(G1545*$C1545,0)</f>
        <v>8580621</v>
      </c>
      <c r="I1545" s="36">
        <v>0</v>
      </c>
      <c r="J1545" s="36">
        <f>TRUNC(I1545*$C1545,0)</f>
        <v>0</v>
      </c>
      <c r="K1545" s="36">
        <f t="shared" si="204"/>
        <v>83307</v>
      </c>
      <c r="L1545" s="36">
        <f t="shared" si="203"/>
        <v>8580621</v>
      </c>
      <c r="M1545" s="37"/>
      <c r="N1545" s="253"/>
      <c r="O1545" s="38"/>
    </row>
    <row r="1546" spans="1:15" s="77" customFormat="1" ht="24.95" customHeight="1">
      <c r="A1546" s="71" t="s">
        <v>2183</v>
      </c>
      <c r="B1546" s="72" t="s">
        <v>22</v>
      </c>
      <c r="C1546" s="73"/>
      <c r="D1546" s="74" t="s">
        <v>22</v>
      </c>
      <c r="E1546" s="74"/>
      <c r="F1546" s="75">
        <f>TRUNC(F1547,0)</f>
        <v>0</v>
      </c>
      <c r="G1546" s="74"/>
      <c r="H1546" s="75">
        <f>TRUNC(H1547,0)</f>
        <v>74376688</v>
      </c>
      <c r="I1546" s="74"/>
      <c r="J1546" s="75">
        <f>TRUNC(J1547,0)</f>
        <v>0</v>
      </c>
      <c r="K1546" s="75">
        <f t="shared" si="204"/>
        <v>0</v>
      </c>
      <c r="L1546" s="75">
        <f t="shared" si="203"/>
        <v>74376688</v>
      </c>
      <c r="M1546" s="76"/>
      <c r="N1546" s="257"/>
    </row>
    <row r="1547" spans="1:15" s="29" customFormat="1" ht="24.95" customHeight="1">
      <c r="A1547" s="31" t="s">
        <v>2184</v>
      </c>
      <c r="B1547" s="32" t="s">
        <v>2185</v>
      </c>
      <c r="C1547" s="33">
        <v>496</v>
      </c>
      <c r="D1547" s="34" t="s">
        <v>847</v>
      </c>
      <c r="E1547" s="36">
        <v>0</v>
      </c>
      <c r="F1547" s="36">
        <f>TRUNC(E1547*$C1547,0)</f>
        <v>0</v>
      </c>
      <c r="G1547" s="36">
        <v>149953</v>
      </c>
      <c r="H1547" s="36">
        <f>TRUNC(G1547*$C1547,0)</f>
        <v>74376688</v>
      </c>
      <c r="I1547" s="36">
        <v>0</v>
      </c>
      <c r="J1547" s="36">
        <f>TRUNC(I1547*$C1547,0)</f>
        <v>0</v>
      </c>
      <c r="K1547" s="36">
        <f t="shared" si="204"/>
        <v>149953</v>
      </c>
      <c r="L1547" s="36">
        <f t="shared" si="203"/>
        <v>74376688</v>
      </c>
      <c r="M1547" s="37"/>
      <c r="N1547" s="253"/>
      <c r="O1547" s="38"/>
    </row>
    <row r="1548" spans="1:15" s="77" customFormat="1" ht="24.95" customHeight="1">
      <c r="A1548" s="71" t="s">
        <v>2186</v>
      </c>
      <c r="B1548" s="72" t="s">
        <v>22</v>
      </c>
      <c r="C1548" s="73">
        <v>494</v>
      </c>
      <c r="D1548" s="74" t="s">
        <v>1405</v>
      </c>
      <c r="E1548" s="75">
        <v>0</v>
      </c>
      <c r="F1548" s="75">
        <f>TRUNC(E1548*$C1548,0)</f>
        <v>0</v>
      </c>
      <c r="G1548" s="75">
        <v>5581</v>
      </c>
      <c r="H1548" s="75">
        <f>TRUNC(G1548*$C1548,0)</f>
        <v>2757014</v>
      </c>
      <c r="I1548" s="75">
        <v>0</v>
      </c>
      <c r="J1548" s="75">
        <f>TRUNC(I1548*$C1548,0)</f>
        <v>0</v>
      </c>
      <c r="K1548" s="75">
        <f t="shared" si="204"/>
        <v>5581</v>
      </c>
      <c r="L1548" s="75">
        <f t="shared" si="203"/>
        <v>2757014</v>
      </c>
      <c r="M1548" s="76"/>
      <c r="N1548" s="257"/>
      <c r="O1548" s="93"/>
    </row>
    <row r="1549" spans="1:15" s="77" customFormat="1" ht="24.95" customHeight="1">
      <c r="A1549" s="71" t="s">
        <v>2187</v>
      </c>
      <c r="B1549" s="72" t="s">
        <v>1259</v>
      </c>
      <c r="C1549" s="73">
        <v>7</v>
      </c>
      <c r="D1549" s="74" t="s">
        <v>815</v>
      </c>
      <c r="E1549" s="75">
        <v>0</v>
      </c>
      <c r="F1549" s="75">
        <f>TRUNC(E1549*$C1549,0)</f>
        <v>0</v>
      </c>
      <c r="G1549" s="75">
        <v>81324</v>
      </c>
      <c r="H1549" s="75">
        <f>TRUNC(G1549*$C1549,0)</f>
        <v>569268</v>
      </c>
      <c r="I1549" s="75">
        <v>0</v>
      </c>
      <c r="J1549" s="75">
        <f>TRUNC(I1549*$C1549,0)</f>
        <v>0</v>
      </c>
      <c r="K1549" s="75">
        <f t="shared" si="204"/>
        <v>81324</v>
      </c>
      <c r="L1549" s="75">
        <f t="shared" si="203"/>
        <v>569268</v>
      </c>
      <c r="M1549" s="76"/>
      <c r="N1549" s="257"/>
      <c r="O1549" s="93"/>
    </row>
    <row r="1550" spans="1:15" s="77" customFormat="1" ht="24.95" customHeight="1">
      <c r="A1550" s="71" t="s">
        <v>2188</v>
      </c>
      <c r="B1550" s="72" t="s">
        <v>2189</v>
      </c>
      <c r="C1550" s="73">
        <v>103</v>
      </c>
      <c r="D1550" s="74" t="s">
        <v>96</v>
      </c>
      <c r="E1550" s="75">
        <v>0</v>
      </c>
      <c r="F1550" s="75">
        <f>TRUNC(E1550*$C1550,0)</f>
        <v>0</v>
      </c>
      <c r="G1550" s="75">
        <v>15495</v>
      </c>
      <c r="H1550" s="75">
        <f>TRUNC(G1550*$C1550,0)</f>
        <v>1595985</v>
      </c>
      <c r="I1550" s="75">
        <v>0</v>
      </c>
      <c r="J1550" s="75">
        <f>TRUNC(I1550*$C1550,0)</f>
        <v>0</v>
      </c>
      <c r="K1550" s="75">
        <f t="shared" si="204"/>
        <v>15495</v>
      </c>
      <c r="L1550" s="75">
        <f t="shared" si="203"/>
        <v>1595985</v>
      </c>
      <c r="M1550" s="76"/>
      <c r="N1550" s="257"/>
      <c r="O1550" s="93"/>
    </row>
    <row r="1551" spans="1:15" s="29" customFormat="1" ht="24.95" customHeight="1">
      <c r="A1551" s="31" t="s">
        <v>766</v>
      </c>
      <c r="B1551" s="32" t="s">
        <v>22</v>
      </c>
      <c r="C1551" s="33"/>
      <c r="D1551" s="34" t="s">
        <v>22</v>
      </c>
      <c r="E1551" s="34"/>
      <c r="F1551" s="36">
        <v>0</v>
      </c>
      <c r="G1551" s="34"/>
      <c r="H1551" s="36">
        <v>0</v>
      </c>
      <c r="I1551" s="34"/>
      <c r="J1551" s="36">
        <v>0</v>
      </c>
      <c r="K1551" s="36">
        <f t="shared" si="204"/>
        <v>0</v>
      </c>
      <c r="L1551" s="36">
        <f t="shared" si="203"/>
        <v>0</v>
      </c>
      <c r="M1551" s="37"/>
      <c r="N1551" s="253"/>
    </row>
    <row r="1552" spans="1:15" s="45" customFormat="1" ht="24.95" customHeight="1">
      <c r="A1552" s="39" t="s">
        <v>2190</v>
      </c>
      <c r="B1552" s="40" t="s">
        <v>22</v>
      </c>
      <c r="C1552" s="41">
        <v>1</v>
      </c>
      <c r="D1552" s="42" t="s">
        <v>754</v>
      </c>
      <c r="E1552" s="42"/>
      <c r="F1552" s="43">
        <f>TRUNC(F1555+F1557+F1558+F1561+F1563+F1565+F1567+F1569+F1570+F1571+F1572+F1575+F1578,0)</f>
        <v>12982062</v>
      </c>
      <c r="G1552" s="42"/>
      <c r="H1552" s="43">
        <f>TRUNC(H1555+H1557+H1558+H1561+H1563+H1565+H1567+H1569+H1570+H1571+H1572+H1575+H1578,0)</f>
        <v>41363394</v>
      </c>
      <c r="I1552" s="42"/>
      <c r="J1552" s="43">
        <f>TRUNC(J1555+J1557+J1558+J1561+J1563+J1565+J1567+J1569+J1570+J1571+J1572+J1575+J1578,0)</f>
        <v>1601760</v>
      </c>
      <c r="K1552" s="42"/>
      <c r="L1552" s="43">
        <f t="shared" si="203"/>
        <v>55947216</v>
      </c>
      <c r="M1552" s="44"/>
      <c r="N1552" s="253"/>
    </row>
    <row r="1553" spans="1:15" s="63" customFormat="1" ht="24.95" customHeight="1">
      <c r="A1553" s="57" t="s">
        <v>2191</v>
      </c>
      <c r="B1553" s="58" t="s">
        <v>22</v>
      </c>
      <c r="C1553" s="59"/>
      <c r="D1553" s="60" t="s">
        <v>22</v>
      </c>
      <c r="E1553" s="60"/>
      <c r="F1553" s="61">
        <f>TRUNC(F1555+F1557+F1558,0)</f>
        <v>2202636</v>
      </c>
      <c r="G1553" s="60"/>
      <c r="H1553" s="61">
        <f>TRUNC(H1555+H1557+H1558,0)</f>
        <v>287456</v>
      </c>
      <c r="I1553" s="60"/>
      <c r="J1553" s="61">
        <f>TRUNC(J1555+J1557+J1558,0)</f>
        <v>298313</v>
      </c>
      <c r="K1553" s="61">
        <f t="shared" ref="K1553:L1579" si="205">G1553+E1553+I1553</f>
        <v>0</v>
      </c>
      <c r="L1553" s="61">
        <f t="shared" si="203"/>
        <v>2788405</v>
      </c>
      <c r="M1553" s="62"/>
      <c r="N1553" s="253"/>
    </row>
    <row r="1554" spans="1:15" s="29" customFormat="1" ht="24.95" customHeight="1">
      <c r="A1554" s="31" t="s">
        <v>2192</v>
      </c>
      <c r="B1554" s="32" t="s">
        <v>22</v>
      </c>
      <c r="C1554" s="33"/>
      <c r="D1554" s="34" t="s">
        <v>22</v>
      </c>
      <c r="E1554" s="34"/>
      <c r="F1554" s="36">
        <f>TRUNC(F1555,0)</f>
        <v>284418</v>
      </c>
      <c r="G1554" s="34"/>
      <c r="H1554" s="36">
        <f>TRUNC(H1555,0)</f>
        <v>115092</v>
      </c>
      <c r="I1554" s="34"/>
      <c r="J1554" s="36">
        <f>TRUNC(J1555,0)</f>
        <v>147798</v>
      </c>
      <c r="K1554" s="36">
        <f t="shared" si="205"/>
        <v>0</v>
      </c>
      <c r="L1554" s="36">
        <f t="shared" si="205"/>
        <v>547308</v>
      </c>
      <c r="M1554" s="37"/>
      <c r="N1554" s="253"/>
    </row>
    <row r="1555" spans="1:15" s="29" customFormat="1" ht="24.95" customHeight="1">
      <c r="A1555" s="31" t="s">
        <v>980</v>
      </c>
      <c r="B1555" s="32" t="s">
        <v>819</v>
      </c>
      <c r="C1555" s="33">
        <v>414</v>
      </c>
      <c r="D1555" s="34" t="s">
        <v>820</v>
      </c>
      <c r="E1555" s="36">
        <v>687</v>
      </c>
      <c r="F1555" s="36">
        <f>TRUNC(E1555*$C1555,0)</f>
        <v>284418</v>
      </c>
      <c r="G1555" s="36">
        <v>278</v>
      </c>
      <c r="H1555" s="36">
        <f>TRUNC(G1555*$C1555,0)</f>
        <v>115092</v>
      </c>
      <c r="I1555" s="36">
        <v>357</v>
      </c>
      <c r="J1555" s="36">
        <f>TRUNC(I1555*$C1555,0)</f>
        <v>147798</v>
      </c>
      <c r="K1555" s="36">
        <f t="shared" si="205"/>
        <v>1322</v>
      </c>
      <c r="L1555" s="36">
        <f t="shared" si="205"/>
        <v>547308</v>
      </c>
      <c r="M1555" s="37"/>
      <c r="N1555" s="253"/>
      <c r="O1555" s="38"/>
    </row>
    <row r="1556" spans="1:15" s="29" customFormat="1" ht="24.95" customHeight="1">
      <c r="A1556" s="31" t="s">
        <v>1330</v>
      </c>
      <c r="B1556" s="32" t="s">
        <v>22</v>
      </c>
      <c r="C1556" s="33"/>
      <c r="D1556" s="34" t="s">
        <v>22</v>
      </c>
      <c r="E1556" s="34"/>
      <c r="F1556" s="36">
        <f>TRUNC(F1557+F1558,0)</f>
        <v>1918218</v>
      </c>
      <c r="G1556" s="34"/>
      <c r="H1556" s="36">
        <f>TRUNC(H1557+H1558,0)</f>
        <v>172364</v>
      </c>
      <c r="I1556" s="34"/>
      <c r="J1556" s="36">
        <f>TRUNC(J1557+J1558,0)</f>
        <v>150515</v>
      </c>
      <c r="K1556" s="36">
        <f t="shared" si="205"/>
        <v>0</v>
      </c>
      <c r="L1556" s="36">
        <f t="shared" si="205"/>
        <v>2241097</v>
      </c>
      <c r="M1556" s="37"/>
      <c r="N1556" s="253"/>
    </row>
    <row r="1557" spans="1:15" s="29" customFormat="1" ht="24.95" customHeight="1">
      <c r="A1557" s="31" t="s">
        <v>1331</v>
      </c>
      <c r="B1557" s="32" t="s">
        <v>986</v>
      </c>
      <c r="C1557" s="33">
        <v>276</v>
      </c>
      <c r="D1557" s="34" t="s">
        <v>815</v>
      </c>
      <c r="E1557" s="36">
        <v>3869</v>
      </c>
      <c r="F1557" s="36">
        <f>TRUNC(E1557*$C1557,0)</f>
        <v>1067844</v>
      </c>
      <c r="G1557" s="36">
        <v>421</v>
      </c>
      <c r="H1557" s="36">
        <f>TRUNC(G1557*$C1557,0)</f>
        <v>116196</v>
      </c>
      <c r="I1557" s="36">
        <v>369</v>
      </c>
      <c r="J1557" s="36">
        <f>TRUNC(I1557*$C1557,0)</f>
        <v>101844</v>
      </c>
      <c r="K1557" s="36">
        <f t="shared" si="205"/>
        <v>4659</v>
      </c>
      <c r="L1557" s="36">
        <f t="shared" si="205"/>
        <v>1285884</v>
      </c>
      <c r="M1557" s="37"/>
      <c r="N1557" s="253"/>
      <c r="O1557" s="38"/>
    </row>
    <row r="1558" spans="1:15" s="29" customFormat="1" ht="24.95" customHeight="1">
      <c r="A1558" s="31" t="s">
        <v>1331</v>
      </c>
      <c r="B1558" s="32" t="s">
        <v>988</v>
      </c>
      <c r="C1558" s="33">
        <v>119</v>
      </c>
      <c r="D1558" s="34" t="s">
        <v>815</v>
      </c>
      <c r="E1558" s="36">
        <v>7146</v>
      </c>
      <c r="F1558" s="36">
        <f>TRUNC(E1558*$C1558,0)</f>
        <v>850374</v>
      </c>
      <c r="G1558" s="36">
        <v>472</v>
      </c>
      <c r="H1558" s="36">
        <f>TRUNC(G1558*$C1558,0)</f>
        <v>56168</v>
      </c>
      <c r="I1558" s="36">
        <v>409</v>
      </c>
      <c r="J1558" s="36">
        <f>TRUNC(I1558*$C1558,0)</f>
        <v>48671</v>
      </c>
      <c r="K1558" s="36">
        <f t="shared" si="205"/>
        <v>8027</v>
      </c>
      <c r="L1558" s="36">
        <f t="shared" si="205"/>
        <v>955213</v>
      </c>
      <c r="M1558" s="37"/>
      <c r="N1558" s="253"/>
      <c r="O1558" s="38"/>
    </row>
    <row r="1559" spans="1:15" s="63" customFormat="1" ht="24.95" customHeight="1">
      <c r="A1559" s="57" t="s">
        <v>2193</v>
      </c>
      <c r="B1559" s="58" t="s">
        <v>22</v>
      </c>
      <c r="C1559" s="59"/>
      <c r="D1559" s="60" t="s">
        <v>22</v>
      </c>
      <c r="E1559" s="60"/>
      <c r="F1559" s="61">
        <f>TRUNC(F1561+F1563+F1565+F1567,0)</f>
        <v>9838088</v>
      </c>
      <c r="G1559" s="60"/>
      <c r="H1559" s="61">
        <f>TRUNC(H1561+H1563+H1565+H1567,0)</f>
        <v>8550152</v>
      </c>
      <c r="I1559" s="60"/>
      <c r="J1559" s="61">
        <f>TRUNC(J1561+J1563+J1565+J1567,0)</f>
        <v>1071836</v>
      </c>
      <c r="K1559" s="61">
        <f t="shared" si="205"/>
        <v>0</v>
      </c>
      <c r="L1559" s="61">
        <f t="shared" si="205"/>
        <v>19460076</v>
      </c>
      <c r="M1559" s="62"/>
      <c r="N1559" s="253"/>
    </row>
    <row r="1560" spans="1:15" s="29" customFormat="1" ht="24.95" customHeight="1">
      <c r="A1560" s="31" t="s">
        <v>2194</v>
      </c>
      <c r="B1560" s="32" t="s">
        <v>22</v>
      </c>
      <c r="C1560" s="33"/>
      <c r="D1560" s="34" t="s">
        <v>22</v>
      </c>
      <c r="E1560" s="34"/>
      <c r="F1560" s="36">
        <f>TRUNC(F1561,0)</f>
        <v>3013080</v>
      </c>
      <c r="G1560" s="34"/>
      <c r="H1560" s="36">
        <f>TRUNC(H1561,0)</f>
        <v>2361660</v>
      </c>
      <c r="I1560" s="34"/>
      <c r="J1560" s="36">
        <f>TRUNC(J1561,0)</f>
        <v>339528</v>
      </c>
      <c r="K1560" s="36">
        <f t="shared" si="205"/>
        <v>0</v>
      </c>
      <c r="L1560" s="36">
        <f t="shared" si="205"/>
        <v>5714268</v>
      </c>
      <c r="M1560" s="37"/>
      <c r="N1560" s="253"/>
    </row>
    <row r="1561" spans="1:15" s="29" customFormat="1" ht="24.95" customHeight="1">
      <c r="A1561" s="31" t="s">
        <v>2195</v>
      </c>
      <c r="B1561" s="32" t="s">
        <v>2196</v>
      </c>
      <c r="C1561" s="33">
        <v>42</v>
      </c>
      <c r="D1561" s="34" t="s">
        <v>1192</v>
      </c>
      <c r="E1561" s="36">
        <v>71740</v>
      </c>
      <c r="F1561" s="36">
        <f>TRUNC(E1561*$C1561,0)</f>
        <v>3013080</v>
      </c>
      <c r="G1561" s="36">
        <v>56230</v>
      </c>
      <c r="H1561" s="36">
        <f>TRUNC(G1561*$C1561,0)</f>
        <v>2361660</v>
      </c>
      <c r="I1561" s="36">
        <v>8084</v>
      </c>
      <c r="J1561" s="36">
        <f>TRUNC(I1561*$C1561,0)</f>
        <v>339528</v>
      </c>
      <c r="K1561" s="36">
        <f t="shared" si="205"/>
        <v>136054</v>
      </c>
      <c r="L1561" s="36">
        <f t="shared" si="205"/>
        <v>5714268</v>
      </c>
      <c r="M1561" s="37"/>
      <c r="N1561" s="253"/>
      <c r="O1561" s="38"/>
    </row>
    <row r="1562" spans="1:15" s="29" customFormat="1" ht="24.95" customHeight="1">
      <c r="A1562" s="31" t="s">
        <v>2197</v>
      </c>
      <c r="B1562" s="32" t="s">
        <v>22</v>
      </c>
      <c r="C1562" s="33"/>
      <c r="D1562" s="34" t="s">
        <v>22</v>
      </c>
      <c r="E1562" s="34"/>
      <c r="F1562" s="36">
        <f>TRUNC(F1563,0)</f>
        <v>3156560</v>
      </c>
      <c r="G1562" s="34"/>
      <c r="H1562" s="36">
        <f>TRUNC(H1563,0)</f>
        <v>2474120</v>
      </c>
      <c r="I1562" s="34"/>
      <c r="J1562" s="36">
        <f>TRUNC(J1563,0)</f>
        <v>355696</v>
      </c>
      <c r="K1562" s="36">
        <f t="shared" si="205"/>
        <v>0</v>
      </c>
      <c r="L1562" s="36">
        <f t="shared" si="205"/>
        <v>5986376</v>
      </c>
      <c r="M1562" s="37"/>
      <c r="N1562" s="253"/>
    </row>
    <row r="1563" spans="1:15" s="29" customFormat="1" ht="24.95" customHeight="1">
      <c r="A1563" s="31" t="s">
        <v>2198</v>
      </c>
      <c r="B1563" s="32" t="s">
        <v>2196</v>
      </c>
      <c r="C1563" s="33">
        <v>44</v>
      </c>
      <c r="D1563" s="34" t="s">
        <v>1014</v>
      </c>
      <c r="E1563" s="36">
        <v>71740</v>
      </c>
      <c r="F1563" s="36">
        <f>TRUNC(E1563*$C1563,0)</f>
        <v>3156560</v>
      </c>
      <c r="G1563" s="36">
        <v>56230</v>
      </c>
      <c r="H1563" s="36">
        <f>TRUNC(G1563*$C1563,0)</f>
        <v>2474120</v>
      </c>
      <c r="I1563" s="36">
        <v>8084</v>
      </c>
      <c r="J1563" s="36">
        <f>TRUNC(I1563*$C1563,0)</f>
        <v>355696</v>
      </c>
      <c r="K1563" s="36">
        <f t="shared" si="205"/>
        <v>136054</v>
      </c>
      <c r="L1563" s="36">
        <f t="shared" si="205"/>
        <v>5986376</v>
      </c>
      <c r="M1563" s="37"/>
      <c r="N1563" s="253"/>
      <c r="O1563" s="38"/>
    </row>
    <row r="1564" spans="1:15" s="29" customFormat="1" ht="24.95" customHeight="1">
      <c r="A1564" s="31" t="s">
        <v>2199</v>
      </c>
      <c r="B1564" s="32" t="s">
        <v>22</v>
      </c>
      <c r="C1564" s="33"/>
      <c r="D1564" s="34" t="s">
        <v>22</v>
      </c>
      <c r="E1564" s="34"/>
      <c r="F1564" s="36">
        <f>TRUNC(F1565,0)</f>
        <v>3542836</v>
      </c>
      <c r="G1564" s="34"/>
      <c r="H1564" s="36">
        <f>TRUNC(H1565,0)</f>
        <v>3701896</v>
      </c>
      <c r="I1564" s="34"/>
      <c r="J1564" s="36">
        <f>TRUNC(J1565,0)</f>
        <v>355696</v>
      </c>
      <c r="K1564" s="36">
        <f t="shared" si="205"/>
        <v>0</v>
      </c>
      <c r="L1564" s="36">
        <f t="shared" si="205"/>
        <v>7600428</v>
      </c>
      <c r="M1564" s="37"/>
      <c r="N1564" s="253"/>
    </row>
    <row r="1565" spans="1:15" s="29" customFormat="1" ht="24.95" customHeight="1">
      <c r="A1565" s="31" t="s">
        <v>2200</v>
      </c>
      <c r="B1565" s="32" t="s">
        <v>2196</v>
      </c>
      <c r="C1565" s="33">
        <v>44</v>
      </c>
      <c r="D1565" s="34" t="s">
        <v>1014</v>
      </c>
      <c r="E1565" s="36">
        <v>80519</v>
      </c>
      <c r="F1565" s="36">
        <f>TRUNC(E1565*$C1565,0)</f>
        <v>3542836</v>
      </c>
      <c r="G1565" s="36">
        <v>84134</v>
      </c>
      <c r="H1565" s="36">
        <f>TRUNC(G1565*$C1565,0)</f>
        <v>3701896</v>
      </c>
      <c r="I1565" s="36">
        <v>8084</v>
      </c>
      <c r="J1565" s="36">
        <f>TRUNC(I1565*$C1565,0)</f>
        <v>355696</v>
      </c>
      <c r="K1565" s="36">
        <f t="shared" si="205"/>
        <v>172737</v>
      </c>
      <c r="L1565" s="36">
        <f t="shared" si="205"/>
        <v>7600428</v>
      </c>
      <c r="M1565" s="37"/>
      <c r="N1565" s="253"/>
      <c r="O1565" s="38"/>
    </row>
    <row r="1566" spans="1:15" s="29" customFormat="1" ht="24.95" customHeight="1">
      <c r="A1566" s="31" t="s">
        <v>2201</v>
      </c>
      <c r="B1566" s="32" t="s">
        <v>22</v>
      </c>
      <c r="C1566" s="33"/>
      <c r="D1566" s="34" t="s">
        <v>22</v>
      </c>
      <c r="E1566" s="34"/>
      <c r="F1566" s="36">
        <f>TRUNC(F1567,0)</f>
        <v>125612</v>
      </c>
      <c r="G1566" s="34"/>
      <c r="H1566" s="36">
        <f>TRUNC(H1567,0)</f>
        <v>12476</v>
      </c>
      <c r="I1566" s="34"/>
      <c r="J1566" s="36">
        <f>TRUNC(J1567,0)</f>
        <v>20916</v>
      </c>
      <c r="K1566" s="36">
        <f t="shared" si="205"/>
        <v>0</v>
      </c>
      <c r="L1566" s="36">
        <f t="shared" si="205"/>
        <v>159004</v>
      </c>
      <c r="M1566" s="37"/>
      <c r="N1566" s="253"/>
    </row>
    <row r="1567" spans="1:15" s="29" customFormat="1" ht="24.95" customHeight="1">
      <c r="A1567" s="31" t="s">
        <v>2202</v>
      </c>
      <c r="B1567" s="32" t="s">
        <v>1345</v>
      </c>
      <c r="C1567" s="33">
        <v>4</v>
      </c>
      <c r="D1567" s="34" t="s">
        <v>1503</v>
      </c>
      <c r="E1567" s="36">
        <v>31403</v>
      </c>
      <c r="F1567" s="36">
        <f>TRUNC(E1567*$C1567,0)</f>
        <v>125612</v>
      </c>
      <c r="G1567" s="36">
        <v>3119</v>
      </c>
      <c r="H1567" s="36">
        <f>TRUNC(G1567*$C1567,0)</f>
        <v>12476</v>
      </c>
      <c r="I1567" s="36">
        <v>5229</v>
      </c>
      <c r="J1567" s="36">
        <f>TRUNC(I1567*$C1567,0)</f>
        <v>20916</v>
      </c>
      <c r="K1567" s="36">
        <f t="shared" si="205"/>
        <v>39751</v>
      </c>
      <c r="L1567" s="36">
        <f t="shared" si="205"/>
        <v>159004</v>
      </c>
      <c r="M1567" s="37"/>
      <c r="N1567" s="253"/>
      <c r="O1567" s="38"/>
    </row>
    <row r="1568" spans="1:15" s="63" customFormat="1" ht="24.95" customHeight="1">
      <c r="A1568" s="57" t="s">
        <v>2203</v>
      </c>
      <c r="B1568" s="58" t="s">
        <v>22</v>
      </c>
      <c r="C1568" s="59"/>
      <c r="D1568" s="60" t="s">
        <v>22</v>
      </c>
      <c r="E1568" s="60"/>
      <c r="F1568" s="61">
        <f>TRUNC(F1569+F1570+F1571+F1572,0)</f>
        <v>941338</v>
      </c>
      <c r="G1568" s="60"/>
      <c r="H1568" s="61">
        <f>TRUNC(H1569+H1570+H1571+H1572,0)</f>
        <v>471890</v>
      </c>
      <c r="I1568" s="60"/>
      <c r="J1568" s="61">
        <f>TRUNC(J1569+J1570+J1571+J1572,0)</f>
        <v>21708</v>
      </c>
      <c r="K1568" s="61">
        <f t="shared" si="205"/>
        <v>0</v>
      </c>
      <c r="L1568" s="61">
        <f t="shared" si="205"/>
        <v>1434936</v>
      </c>
      <c r="M1568" s="62"/>
      <c r="N1568" s="253"/>
    </row>
    <row r="1569" spans="1:15" s="29" customFormat="1" ht="24.95" customHeight="1">
      <c r="A1569" s="31" t="s">
        <v>2204</v>
      </c>
      <c r="B1569" s="32" t="s">
        <v>2205</v>
      </c>
      <c r="C1569" s="33">
        <v>2</v>
      </c>
      <c r="D1569" s="34" t="s">
        <v>885</v>
      </c>
      <c r="E1569" s="36">
        <v>438564</v>
      </c>
      <c r="F1569" s="36">
        <f>TRUNC(E1569*$C1569,0)</f>
        <v>877128</v>
      </c>
      <c r="G1569" s="36">
        <v>62010</v>
      </c>
      <c r="H1569" s="36">
        <f>TRUNC(G1569*$C1569,0)</f>
        <v>124020</v>
      </c>
      <c r="I1569" s="36">
        <v>0</v>
      </c>
      <c r="J1569" s="36">
        <f>TRUNC(I1569*$C1569,0)</f>
        <v>0</v>
      </c>
      <c r="K1569" s="36">
        <f t="shared" si="205"/>
        <v>500574</v>
      </c>
      <c r="L1569" s="36">
        <f t="shared" si="205"/>
        <v>1001148</v>
      </c>
      <c r="M1569" s="37"/>
      <c r="N1569" s="253"/>
      <c r="O1569" s="38"/>
    </row>
    <row r="1570" spans="1:15" s="29" customFormat="1" ht="24.95" customHeight="1">
      <c r="A1570" s="31" t="s">
        <v>2206</v>
      </c>
      <c r="B1570" s="32" t="s">
        <v>22</v>
      </c>
      <c r="C1570" s="33">
        <v>18</v>
      </c>
      <c r="D1570" s="34" t="s">
        <v>815</v>
      </c>
      <c r="E1570" s="36">
        <v>0</v>
      </c>
      <c r="F1570" s="36">
        <f>TRUNC(E1570*$C1570,0)</f>
        <v>0</v>
      </c>
      <c r="G1570" s="36">
        <v>0</v>
      </c>
      <c r="H1570" s="36">
        <f>TRUNC(G1570*$C1570,0)</f>
        <v>0</v>
      </c>
      <c r="I1570" s="36">
        <v>1016</v>
      </c>
      <c r="J1570" s="36">
        <f>TRUNC(I1570*$C1570,0)</f>
        <v>18288</v>
      </c>
      <c r="K1570" s="36">
        <f t="shared" si="205"/>
        <v>1016</v>
      </c>
      <c r="L1570" s="36">
        <f t="shared" si="205"/>
        <v>18288</v>
      </c>
      <c r="M1570" s="37"/>
      <c r="N1570" s="253"/>
      <c r="O1570" s="38"/>
    </row>
    <row r="1571" spans="1:15" s="29" customFormat="1" ht="24.95" customHeight="1">
      <c r="A1571" s="31" t="s">
        <v>2207</v>
      </c>
      <c r="B1571" s="32" t="s">
        <v>22</v>
      </c>
      <c r="C1571" s="33">
        <v>5</v>
      </c>
      <c r="D1571" s="34" t="s">
        <v>1014</v>
      </c>
      <c r="E1571" s="36">
        <v>9842</v>
      </c>
      <c r="F1571" s="36">
        <f>TRUNC(E1571*$C1571,0)</f>
        <v>49210</v>
      </c>
      <c r="G1571" s="36">
        <v>8374</v>
      </c>
      <c r="H1571" s="36">
        <f>TRUNC(G1571*$C1571,0)</f>
        <v>41870</v>
      </c>
      <c r="I1571" s="36">
        <v>684</v>
      </c>
      <c r="J1571" s="36">
        <f>TRUNC(I1571*$C1571,0)</f>
        <v>3420</v>
      </c>
      <c r="K1571" s="36">
        <f t="shared" si="205"/>
        <v>18900</v>
      </c>
      <c r="L1571" s="36">
        <f t="shared" si="205"/>
        <v>94500</v>
      </c>
      <c r="M1571" s="37"/>
      <c r="N1571" s="253"/>
      <c r="O1571" s="38"/>
    </row>
    <row r="1572" spans="1:15" s="29" customFormat="1" ht="24.95" customHeight="1">
      <c r="A1572" s="31" t="s">
        <v>2208</v>
      </c>
      <c r="B1572" s="32" t="s">
        <v>1140</v>
      </c>
      <c r="C1572" s="33">
        <v>375</v>
      </c>
      <c r="D1572" s="34" t="s">
        <v>116</v>
      </c>
      <c r="E1572" s="36">
        <v>40</v>
      </c>
      <c r="F1572" s="36">
        <f>TRUNC(E1572*$C1572,0)</f>
        <v>15000</v>
      </c>
      <c r="G1572" s="36">
        <v>816</v>
      </c>
      <c r="H1572" s="36">
        <f>TRUNC(G1572*$C1572,0)</f>
        <v>306000</v>
      </c>
      <c r="I1572" s="36">
        <v>0</v>
      </c>
      <c r="J1572" s="36">
        <f>TRUNC(I1572*$C1572,0)</f>
        <v>0</v>
      </c>
      <c r="K1572" s="36">
        <f t="shared" si="205"/>
        <v>856</v>
      </c>
      <c r="L1572" s="36">
        <f t="shared" si="205"/>
        <v>321000</v>
      </c>
      <c r="M1572" s="37"/>
      <c r="N1572" s="253"/>
      <c r="O1572" s="38"/>
    </row>
    <row r="1573" spans="1:15" s="29" customFormat="1" ht="24.95" customHeight="1">
      <c r="A1573" s="31" t="s">
        <v>2209</v>
      </c>
      <c r="B1573" s="32" t="s">
        <v>22</v>
      </c>
      <c r="C1573" s="33"/>
      <c r="D1573" s="34" t="s">
        <v>22</v>
      </c>
      <c r="E1573" s="34"/>
      <c r="F1573" s="36">
        <f>TRUNC(F1575,0)</f>
        <v>0</v>
      </c>
      <c r="G1573" s="34"/>
      <c r="H1573" s="36">
        <f>TRUNC(H1575,0)</f>
        <v>0</v>
      </c>
      <c r="I1573" s="34"/>
      <c r="J1573" s="36">
        <f>TRUNC(J1575,0)</f>
        <v>209903</v>
      </c>
      <c r="K1573" s="36">
        <f t="shared" si="205"/>
        <v>0</v>
      </c>
      <c r="L1573" s="36">
        <f t="shared" si="205"/>
        <v>209903</v>
      </c>
      <c r="M1573" s="37"/>
      <c r="N1573" s="253"/>
    </row>
    <row r="1574" spans="1:15" s="29" customFormat="1" ht="24.95" customHeight="1">
      <c r="A1574" s="31" t="s">
        <v>2210</v>
      </c>
      <c r="B1574" s="32" t="s">
        <v>22</v>
      </c>
      <c r="C1574" s="33"/>
      <c r="D1574" s="34" t="s">
        <v>22</v>
      </c>
      <c r="E1574" s="34"/>
      <c r="F1574" s="36">
        <f>TRUNC(F1575,0)</f>
        <v>0</v>
      </c>
      <c r="G1574" s="34"/>
      <c r="H1574" s="36">
        <f>TRUNC(H1575,0)</f>
        <v>0</v>
      </c>
      <c r="I1574" s="34"/>
      <c r="J1574" s="36">
        <f>TRUNC(J1575,0)</f>
        <v>209903</v>
      </c>
      <c r="K1574" s="36">
        <f t="shared" si="205"/>
        <v>0</v>
      </c>
      <c r="L1574" s="36">
        <f t="shared" si="205"/>
        <v>209903</v>
      </c>
      <c r="M1574" s="37"/>
      <c r="N1574" s="253"/>
    </row>
    <row r="1575" spans="1:15" s="29" customFormat="1" ht="24.95" customHeight="1">
      <c r="A1575" s="31" t="s">
        <v>1407</v>
      </c>
      <c r="B1575" s="32" t="s">
        <v>1408</v>
      </c>
      <c r="C1575" s="261">
        <v>15.45</v>
      </c>
      <c r="D1575" s="34" t="s">
        <v>1112</v>
      </c>
      <c r="E1575" s="36">
        <v>0</v>
      </c>
      <c r="F1575" s="36">
        <f>TRUNC(E1575*$C1575,0)</f>
        <v>0</v>
      </c>
      <c r="G1575" s="36">
        <v>0</v>
      </c>
      <c r="H1575" s="36">
        <f>TRUNC(G1575*$C1575,0)</f>
        <v>0</v>
      </c>
      <c r="I1575" s="36">
        <v>13586</v>
      </c>
      <c r="J1575" s="36">
        <f>TRUNC(I1575*$C1575,0)</f>
        <v>209903</v>
      </c>
      <c r="K1575" s="36">
        <f t="shared" si="205"/>
        <v>13586</v>
      </c>
      <c r="L1575" s="36">
        <f t="shared" si="205"/>
        <v>209903</v>
      </c>
      <c r="M1575" s="37"/>
      <c r="N1575" s="253"/>
      <c r="O1575" s="38"/>
    </row>
    <row r="1576" spans="1:15" s="63" customFormat="1" ht="24.95" customHeight="1">
      <c r="A1576" s="57" t="s">
        <v>2211</v>
      </c>
      <c r="B1576" s="58" t="s">
        <v>22</v>
      </c>
      <c r="C1576" s="59"/>
      <c r="D1576" s="60" t="s">
        <v>22</v>
      </c>
      <c r="E1576" s="60"/>
      <c r="F1576" s="61">
        <f>TRUNC(F1578,0)</f>
        <v>0</v>
      </c>
      <c r="G1576" s="60"/>
      <c r="H1576" s="61">
        <f>TRUNC(H1578,0)</f>
        <v>32053896</v>
      </c>
      <c r="I1576" s="60"/>
      <c r="J1576" s="61">
        <f>TRUNC(J1578,0)</f>
        <v>0</v>
      </c>
      <c r="K1576" s="61">
        <f t="shared" si="205"/>
        <v>0</v>
      </c>
      <c r="L1576" s="61">
        <f t="shared" si="205"/>
        <v>32053896</v>
      </c>
      <c r="M1576" s="62"/>
      <c r="N1576" s="253"/>
    </row>
    <row r="1577" spans="1:15" s="29" customFormat="1" ht="24.95" customHeight="1">
      <c r="A1577" s="31" t="s">
        <v>2212</v>
      </c>
      <c r="B1577" s="32" t="s">
        <v>22</v>
      </c>
      <c r="C1577" s="33"/>
      <c r="D1577" s="34" t="s">
        <v>22</v>
      </c>
      <c r="E1577" s="34"/>
      <c r="F1577" s="36">
        <f>TRUNC(F1578,0)</f>
        <v>0</v>
      </c>
      <c r="G1577" s="34"/>
      <c r="H1577" s="36">
        <f>TRUNC(H1578,0)</f>
        <v>32053896</v>
      </c>
      <c r="I1577" s="34"/>
      <c r="J1577" s="36">
        <f>TRUNC(J1578,0)</f>
        <v>0</v>
      </c>
      <c r="K1577" s="36">
        <f t="shared" si="205"/>
        <v>0</v>
      </c>
      <c r="L1577" s="36">
        <f t="shared" si="205"/>
        <v>32053896</v>
      </c>
      <c r="M1577" s="37"/>
      <c r="N1577" s="253"/>
    </row>
    <row r="1578" spans="1:15" s="29" customFormat="1" ht="24.95" customHeight="1">
      <c r="A1578" s="31" t="s">
        <v>2213</v>
      </c>
      <c r="B1578" s="32" t="s">
        <v>2214</v>
      </c>
      <c r="C1578" s="33">
        <v>42</v>
      </c>
      <c r="D1578" s="34" t="s">
        <v>1192</v>
      </c>
      <c r="E1578" s="36">
        <v>0</v>
      </c>
      <c r="F1578" s="36">
        <f>TRUNC(E1578*$C1578,0)</f>
        <v>0</v>
      </c>
      <c r="G1578" s="36">
        <v>763188</v>
      </c>
      <c r="H1578" s="36">
        <f>TRUNC(G1578*$C1578,0)</f>
        <v>32053896</v>
      </c>
      <c r="I1578" s="36">
        <v>0</v>
      </c>
      <c r="J1578" s="36">
        <f>TRUNC(I1578*$C1578,0)</f>
        <v>0</v>
      </c>
      <c r="K1578" s="36">
        <f t="shared" si="205"/>
        <v>763188</v>
      </c>
      <c r="L1578" s="36">
        <f t="shared" si="205"/>
        <v>32053896</v>
      </c>
      <c r="M1578" s="37"/>
      <c r="N1578" s="253"/>
      <c r="O1578" s="38"/>
    </row>
    <row r="1579" spans="1:15" s="29" customFormat="1" ht="24.95" customHeight="1">
      <c r="A1579" s="31" t="s">
        <v>766</v>
      </c>
      <c r="B1579" s="32" t="s">
        <v>22</v>
      </c>
      <c r="C1579" s="33"/>
      <c r="D1579" s="34" t="s">
        <v>22</v>
      </c>
      <c r="E1579" s="34"/>
      <c r="F1579" s="36">
        <v>0</v>
      </c>
      <c r="G1579" s="34"/>
      <c r="H1579" s="36">
        <v>0</v>
      </c>
      <c r="I1579" s="34"/>
      <c r="J1579" s="36">
        <v>0</v>
      </c>
      <c r="K1579" s="36">
        <f t="shared" si="205"/>
        <v>0</v>
      </c>
      <c r="L1579" s="36">
        <f t="shared" si="205"/>
        <v>0</v>
      </c>
      <c r="M1579" s="37"/>
      <c r="N1579" s="253"/>
    </row>
    <row r="1580" spans="1:15" s="45" customFormat="1" ht="24.95" customHeight="1">
      <c r="A1580" s="39" t="s">
        <v>2215</v>
      </c>
      <c r="B1580" s="40" t="s">
        <v>22</v>
      </c>
      <c r="C1580" s="41">
        <v>1</v>
      </c>
      <c r="D1580" s="42" t="s">
        <v>754</v>
      </c>
      <c r="E1580" s="42"/>
      <c r="F1580" s="43">
        <f>F1581+F1597+F1604+F1626+F1632+F1619</f>
        <v>491964880</v>
      </c>
      <c r="G1580" s="42"/>
      <c r="H1580" s="43">
        <f>H1581+H1597+H1604+H1626+H1632+H1619</f>
        <v>769593823</v>
      </c>
      <c r="I1580" s="42"/>
      <c r="J1580" s="43">
        <f>J1581+J1597+J1604+J1626+J1632+J1619</f>
        <v>86738218</v>
      </c>
      <c r="K1580" s="42"/>
      <c r="L1580" s="43">
        <f t="shared" ref="L1580:L1643" si="206">H1580+F1580+J1580</f>
        <v>1348296921</v>
      </c>
      <c r="M1580" s="44"/>
      <c r="N1580" s="253"/>
    </row>
    <row r="1581" spans="1:15" s="63" customFormat="1" ht="24.95" customHeight="1">
      <c r="A1581" s="57" t="s">
        <v>2216</v>
      </c>
      <c r="B1581" s="58" t="s">
        <v>22</v>
      </c>
      <c r="C1581" s="59"/>
      <c r="D1581" s="60" t="s">
        <v>22</v>
      </c>
      <c r="E1581" s="60"/>
      <c r="F1581" s="61">
        <f>TRUNC(F1582+F1583+F1584+F1586+F1587+F1588+F1589+F1590+F1592+F1593+F1595+F1596,0)</f>
        <v>54429467</v>
      </c>
      <c r="G1581" s="60"/>
      <c r="H1581" s="61">
        <f>TRUNC(H1582+H1583+H1584+H1586+H1587+H1588+H1589+H1590+H1592+H1593+H1595+H1596,0)</f>
        <v>29466099</v>
      </c>
      <c r="I1581" s="60"/>
      <c r="J1581" s="61">
        <f>TRUNC(J1582+J1583+J1584+J1586+J1587+J1588+J1589+J1590+J1592+J1593+J1595+J1596,0)</f>
        <v>24467372</v>
      </c>
      <c r="K1581" s="61">
        <f t="shared" ref="K1581:L1644" si="207">G1581+E1581+I1581</f>
        <v>0</v>
      </c>
      <c r="L1581" s="61">
        <f t="shared" si="206"/>
        <v>108362938</v>
      </c>
      <c r="M1581" s="62"/>
      <c r="N1581" s="253"/>
    </row>
    <row r="1582" spans="1:15" s="29" customFormat="1" ht="24.95" customHeight="1">
      <c r="A1582" s="31" t="s">
        <v>2217</v>
      </c>
      <c r="B1582" s="32" t="s">
        <v>1710</v>
      </c>
      <c r="C1582" s="33">
        <v>4785</v>
      </c>
      <c r="D1582" s="34" t="s">
        <v>820</v>
      </c>
      <c r="E1582" s="36">
        <v>1402</v>
      </c>
      <c r="F1582" s="36">
        <f>TRUNC(E1582*$C1582,0)</f>
        <v>6708570</v>
      </c>
      <c r="G1582" s="36">
        <v>507</v>
      </c>
      <c r="H1582" s="36">
        <f>TRUNC(G1582*$C1582,0)</f>
        <v>2425995</v>
      </c>
      <c r="I1582" s="36">
        <v>788</v>
      </c>
      <c r="J1582" s="36">
        <f>TRUNC(I1582*$C1582,0)</f>
        <v>3770580</v>
      </c>
      <c r="K1582" s="36">
        <f t="shared" si="207"/>
        <v>2697</v>
      </c>
      <c r="L1582" s="36">
        <f t="shared" si="206"/>
        <v>12905145</v>
      </c>
      <c r="M1582" s="37"/>
      <c r="N1582" s="253"/>
      <c r="O1582" s="38"/>
    </row>
    <row r="1583" spans="1:15" s="29" customFormat="1" ht="24.95" customHeight="1">
      <c r="A1583" s="31" t="s">
        <v>928</v>
      </c>
      <c r="B1583" s="32" t="s">
        <v>929</v>
      </c>
      <c r="C1583" s="33">
        <v>28031</v>
      </c>
      <c r="D1583" s="34" t="s">
        <v>820</v>
      </c>
      <c r="E1583" s="36">
        <v>950</v>
      </c>
      <c r="F1583" s="36">
        <f>TRUNC(E1583*$C1583,0)</f>
        <v>26629450</v>
      </c>
      <c r="G1583" s="36">
        <v>379</v>
      </c>
      <c r="H1583" s="36">
        <f>TRUNC(G1583*$C1583,0)</f>
        <v>10623749</v>
      </c>
      <c r="I1583" s="36">
        <v>499</v>
      </c>
      <c r="J1583" s="36">
        <f>TRUNC(I1583*$C1583,0)</f>
        <v>13987469</v>
      </c>
      <c r="K1583" s="36">
        <f t="shared" si="207"/>
        <v>1828</v>
      </c>
      <c r="L1583" s="36">
        <f t="shared" si="206"/>
        <v>51240668</v>
      </c>
      <c r="M1583" s="37"/>
      <c r="N1583" s="253"/>
      <c r="O1583" s="38"/>
    </row>
    <row r="1584" spans="1:15" s="29" customFormat="1" ht="24.95" customHeight="1">
      <c r="A1584" s="31" t="s">
        <v>2218</v>
      </c>
      <c r="B1584" s="32" t="s">
        <v>2219</v>
      </c>
      <c r="C1584" s="33">
        <v>5410</v>
      </c>
      <c r="D1584" s="34" t="s">
        <v>820</v>
      </c>
      <c r="E1584" s="36">
        <v>265</v>
      </c>
      <c r="F1584" s="36">
        <f>TRUNC(E1584*$C1584,0)</f>
        <v>1433650</v>
      </c>
      <c r="G1584" s="36">
        <v>389</v>
      </c>
      <c r="H1584" s="36">
        <f>TRUNC(G1584*$C1584,0)</f>
        <v>2104490</v>
      </c>
      <c r="I1584" s="36">
        <v>295</v>
      </c>
      <c r="J1584" s="36">
        <f>TRUNC(I1584*$C1584,0)</f>
        <v>1595950</v>
      </c>
      <c r="K1584" s="36">
        <f t="shared" si="207"/>
        <v>949</v>
      </c>
      <c r="L1584" s="36">
        <f t="shared" si="206"/>
        <v>5134090</v>
      </c>
      <c r="M1584" s="37"/>
      <c r="N1584" s="253"/>
      <c r="O1584" s="38"/>
    </row>
    <row r="1585" spans="1:15" s="29" customFormat="1" ht="24.95" customHeight="1">
      <c r="A1585" s="31" t="s">
        <v>2220</v>
      </c>
      <c r="B1585" s="32" t="s">
        <v>22</v>
      </c>
      <c r="C1585" s="33"/>
      <c r="D1585" s="34" t="s">
        <v>22</v>
      </c>
      <c r="E1585" s="34"/>
      <c r="F1585" s="36">
        <f>TRUNC(F1586+F1587,0)</f>
        <v>1465576</v>
      </c>
      <c r="G1585" s="34"/>
      <c r="H1585" s="36">
        <f>TRUNC(H1586+H1587,0)</f>
        <v>329377</v>
      </c>
      <c r="I1585" s="34"/>
      <c r="J1585" s="36">
        <f>TRUNC(J1586+J1587,0)</f>
        <v>457918</v>
      </c>
      <c r="K1585" s="36">
        <f t="shared" si="207"/>
        <v>0</v>
      </c>
      <c r="L1585" s="36">
        <f t="shared" si="206"/>
        <v>2252871</v>
      </c>
      <c r="M1585" s="37"/>
      <c r="N1585" s="253"/>
    </row>
    <row r="1586" spans="1:15" s="29" customFormat="1" ht="24.95" customHeight="1">
      <c r="A1586" s="31" t="s">
        <v>2221</v>
      </c>
      <c r="B1586" s="32" t="s">
        <v>826</v>
      </c>
      <c r="C1586" s="33">
        <v>1225</v>
      </c>
      <c r="D1586" s="34" t="s">
        <v>831</v>
      </c>
      <c r="E1586" s="36">
        <v>358</v>
      </c>
      <c r="F1586" s="36">
        <f>TRUNC(E1586*$C1586,0)</f>
        <v>438550</v>
      </c>
      <c r="G1586" s="36">
        <v>133</v>
      </c>
      <c r="H1586" s="36">
        <f>TRUNC(G1586*$C1586,0)</f>
        <v>162925</v>
      </c>
      <c r="I1586" s="36">
        <v>184</v>
      </c>
      <c r="J1586" s="36">
        <f>TRUNC(I1586*$C1586,0)</f>
        <v>225400</v>
      </c>
      <c r="K1586" s="36">
        <f t="shared" si="207"/>
        <v>675</v>
      </c>
      <c r="L1586" s="36">
        <f t="shared" si="206"/>
        <v>826875</v>
      </c>
      <c r="M1586" s="37"/>
      <c r="N1586" s="253"/>
      <c r="O1586" s="38"/>
    </row>
    <row r="1587" spans="1:15" s="29" customFormat="1" ht="24.95" customHeight="1">
      <c r="A1587" s="31" t="s">
        <v>2222</v>
      </c>
      <c r="B1587" s="32" t="s">
        <v>893</v>
      </c>
      <c r="C1587" s="33">
        <v>858</v>
      </c>
      <c r="D1587" s="34" t="s">
        <v>831</v>
      </c>
      <c r="E1587" s="36">
        <v>1197</v>
      </c>
      <c r="F1587" s="36">
        <f>TRUNC(E1587*$C1587,0)</f>
        <v>1027026</v>
      </c>
      <c r="G1587" s="36">
        <v>194</v>
      </c>
      <c r="H1587" s="36">
        <f>TRUNC(G1587*$C1587,0)</f>
        <v>166452</v>
      </c>
      <c r="I1587" s="36">
        <v>271</v>
      </c>
      <c r="J1587" s="36">
        <f>TRUNC(I1587*$C1587,0)</f>
        <v>232518</v>
      </c>
      <c r="K1587" s="36">
        <f t="shared" si="207"/>
        <v>1662</v>
      </c>
      <c r="L1587" s="36">
        <f t="shared" si="206"/>
        <v>1425996</v>
      </c>
      <c r="M1587" s="37"/>
      <c r="N1587" s="253"/>
      <c r="O1587" s="38"/>
    </row>
    <row r="1588" spans="1:15" s="29" customFormat="1" ht="24.95" customHeight="1">
      <c r="A1588" s="31" t="s">
        <v>2223</v>
      </c>
      <c r="B1588" s="32" t="s">
        <v>826</v>
      </c>
      <c r="C1588" s="33">
        <v>1225</v>
      </c>
      <c r="D1588" s="34" t="s">
        <v>831</v>
      </c>
      <c r="E1588" s="36">
        <v>500</v>
      </c>
      <c r="F1588" s="36">
        <f>TRUNC(E1588*$C1588,0)</f>
        <v>612500</v>
      </c>
      <c r="G1588" s="36">
        <v>172</v>
      </c>
      <c r="H1588" s="36">
        <f>TRUNC(G1588*$C1588,0)</f>
        <v>210700</v>
      </c>
      <c r="I1588" s="36">
        <v>254</v>
      </c>
      <c r="J1588" s="36">
        <f>TRUNC(I1588*$C1588,0)</f>
        <v>311150</v>
      </c>
      <c r="K1588" s="36">
        <f t="shared" si="207"/>
        <v>926</v>
      </c>
      <c r="L1588" s="36">
        <f t="shared" si="206"/>
        <v>1134350</v>
      </c>
      <c r="M1588" s="37"/>
      <c r="N1588" s="253"/>
      <c r="O1588" s="38"/>
    </row>
    <row r="1589" spans="1:15" s="29" customFormat="1" ht="24.95" customHeight="1">
      <c r="A1589" s="31" t="s">
        <v>2224</v>
      </c>
      <c r="B1589" s="32" t="s">
        <v>819</v>
      </c>
      <c r="C1589" s="33">
        <v>4869</v>
      </c>
      <c r="D1589" s="34" t="s">
        <v>820</v>
      </c>
      <c r="E1589" s="36">
        <v>687</v>
      </c>
      <c r="F1589" s="36">
        <f>TRUNC(E1589*$C1589,0)</f>
        <v>3345003</v>
      </c>
      <c r="G1589" s="36">
        <v>278</v>
      </c>
      <c r="H1589" s="36">
        <f>TRUNC(G1589*$C1589,0)</f>
        <v>1353582</v>
      </c>
      <c r="I1589" s="36">
        <v>357</v>
      </c>
      <c r="J1589" s="36">
        <f>TRUNC(I1589*$C1589,0)</f>
        <v>1738233</v>
      </c>
      <c r="K1589" s="36">
        <f t="shared" si="207"/>
        <v>1322</v>
      </c>
      <c r="L1589" s="36">
        <f t="shared" si="206"/>
        <v>6436818</v>
      </c>
      <c r="M1589" s="37"/>
      <c r="N1589" s="253"/>
      <c r="O1589" s="38"/>
    </row>
    <row r="1590" spans="1:15" s="29" customFormat="1" ht="24.95" customHeight="1">
      <c r="A1590" s="31" t="s">
        <v>2225</v>
      </c>
      <c r="B1590" s="32" t="s">
        <v>941</v>
      </c>
      <c r="C1590" s="33">
        <v>2422</v>
      </c>
      <c r="D1590" s="34" t="s">
        <v>820</v>
      </c>
      <c r="E1590" s="36">
        <v>3179</v>
      </c>
      <c r="F1590" s="36">
        <f>TRUNC(E1590*$C1590,0)</f>
        <v>7699538</v>
      </c>
      <c r="G1590" s="36">
        <v>1132</v>
      </c>
      <c r="H1590" s="36">
        <f>TRUNC(G1590*$C1590,0)</f>
        <v>2741704</v>
      </c>
      <c r="I1590" s="36">
        <v>1076</v>
      </c>
      <c r="J1590" s="36">
        <f>TRUNC(I1590*$C1590,0)</f>
        <v>2606072</v>
      </c>
      <c r="K1590" s="36">
        <f t="shared" si="207"/>
        <v>5387</v>
      </c>
      <c r="L1590" s="36">
        <f t="shared" si="206"/>
        <v>13047314</v>
      </c>
      <c r="M1590" s="37"/>
      <c r="N1590" s="253"/>
      <c r="O1590" s="38"/>
    </row>
    <row r="1591" spans="1:15" s="29" customFormat="1" ht="24.95" customHeight="1">
      <c r="A1591" s="31" t="s">
        <v>2226</v>
      </c>
      <c r="B1591" s="32" t="s">
        <v>22</v>
      </c>
      <c r="C1591" s="33"/>
      <c r="D1591" s="34" t="s">
        <v>22</v>
      </c>
      <c r="E1591" s="34"/>
      <c r="F1591" s="36">
        <f>TRUNC(F1592+F1593,0)</f>
        <v>1144116</v>
      </c>
      <c r="G1591" s="34"/>
      <c r="H1591" s="36">
        <f>TRUNC(H1592+H1593,0)</f>
        <v>8592332</v>
      </c>
      <c r="I1591" s="34"/>
      <c r="J1591" s="36">
        <f>TRUNC(J1592+J1593,0)</f>
        <v>0</v>
      </c>
      <c r="K1591" s="36">
        <f t="shared" si="207"/>
        <v>0</v>
      </c>
      <c r="L1591" s="36">
        <f t="shared" si="206"/>
        <v>9736448</v>
      </c>
      <c r="M1591" s="37"/>
      <c r="N1591" s="253"/>
    </row>
    <row r="1592" spans="1:15" s="29" customFormat="1" ht="24.95" customHeight="1">
      <c r="A1592" s="31" t="s">
        <v>2227</v>
      </c>
      <c r="B1592" s="32" t="s">
        <v>826</v>
      </c>
      <c r="C1592" s="33">
        <v>2084</v>
      </c>
      <c r="D1592" s="34" t="s">
        <v>831</v>
      </c>
      <c r="E1592" s="36">
        <v>169</v>
      </c>
      <c r="F1592" s="36">
        <f>TRUNC(E1592*$C1592,0)</f>
        <v>352196</v>
      </c>
      <c r="G1592" s="36">
        <v>1783</v>
      </c>
      <c r="H1592" s="36">
        <f>TRUNC(G1592*$C1592,0)</f>
        <v>3715772</v>
      </c>
      <c r="I1592" s="36">
        <v>0</v>
      </c>
      <c r="J1592" s="36">
        <f>TRUNC(I1592*$C1592,0)</f>
        <v>0</v>
      </c>
      <c r="K1592" s="36">
        <f t="shared" si="207"/>
        <v>1952</v>
      </c>
      <c r="L1592" s="36">
        <f t="shared" si="206"/>
        <v>4067968</v>
      </c>
      <c r="M1592" s="37"/>
      <c r="N1592" s="253"/>
      <c r="O1592" s="38"/>
    </row>
    <row r="1593" spans="1:15" s="29" customFormat="1" ht="24.95" customHeight="1">
      <c r="A1593" s="31" t="s">
        <v>2228</v>
      </c>
      <c r="B1593" s="32" t="s">
        <v>826</v>
      </c>
      <c r="C1593" s="33">
        <v>2084</v>
      </c>
      <c r="D1593" s="34" t="s">
        <v>831</v>
      </c>
      <c r="E1593" s="36">
        <v>380</v>
      </c>
      <c r="F1593" s="36">
        <f>TRUNC(E1593*$C1593,0)</f>
        <v>791920</v>
      </c>
      <c r="G1593" s="36">
        <v>2340</v>
      </c>
      <c r="H1593" s="36">
        <f>TRUNC(G1593*$C1593,0)</f>
        <v>4876560</v>
      </c>
      <c r="I1593" s="36">
        <v>0</v>
      </c>
      <c r="J1593" s="36">
        <f>TRUNC(I1593*$C1593,0)</f>
        <v>0</v>
      </c>
      <c r="K1593" s="36">
        <f t="shared" si="207"/>
        <v>2720</v>
      </c>
      <c r="L1593" s="36">
        <f t="shared" si="206"/>
        <v>5668480</v>
      </c>
      <c r="M1593" s="37"/>
      <c r="N1593" s="253"/>
      <c r="O1593" s="38"/>
    </row>
    <row r="1594" spans="1:15" s="29" customFormat="1" ht="24.95" customHeight="1">
      <c r="A1594" s="31" t="s">
        <v>2229</v>
      </c>
      <c r="B1594" s="32" t="s">
        <v>22</v>
      </c>
      <c r="C1594" s="33"/>
      <c r="D1594" s="34" t="s">
        <v>22</v>
      </c>
      <c r="E1594" s="34"/>
      <c r="F1594" s="36">
        <f>TRUNC(F1595+F1596,0)</f>
        <v>5391064</v>
      </c>
      <c r="G1594" s="34"/>
      <c r="H1594" s="36">
        <f>TRUNC(H1595+H1596,0)</f>
        <v>1084170</v>
      </c>
      <c r="I1594" s="34"/>
      <c r="J1594" s="36">
        <f>TRUNC(J1595+J1596,0)</f>
        <v>0</v>
      </c>
      <c r="K1594" s="36">
        <f t="shared" si="207"/>
        <v>0</v>
      </c>
      <c r="L1594" s="36">
        <f t="shared" si="206"/>
        <v>6475234</v>
      </c>
      <c r="M1594" s="37"/>
      <c r="N1594" s="253"/>
    </row>
    <row r="1595" spans="1:15" s="29" customFormat="1" ht="24.95" customHeight="1">
      <c r="A1595" s="31" t="s">
        <v>2230</v>
      </c>
      <c r="B1595" s="32" t="s">
        <v>962</v>
      </c>
      <c r="C1595" s="33">
        <v>9</v>
      </c>
      <c r="D1595" s="34" t="s">
        <v>960</v>
      </c>
      <c r="E1595" s="36">
        <v>73098</v>
      </c>
      <c r="F1595" s="36">
        <f>TRUNC(E1595*$C1595,0)</f>
        <v>657882</v>
      </c>
      <c r="G1595" s="36">
        <v>7746</v>
      </c>
      <c r="H1595" s="36">
        <f>TRUNC(G1595*$C1595,0)</f>
        <v>69714</v>
      </c>
      <c r="I1595" s="36">
        <v>0</v>
      </c>
      <c r="J1595" s="36">
        <f>TRUNC(I1595*$C1595,0)</f>
        <v>0</v>
      </c>
      <c r="K1595" s="36">
        <f t="shared" si="207"/>
        <v>80844</v>
      </c>
      <c r="L1595" s="36">
        <f t="shared" si="206"/>
        <v>727596</v>
      </c>
      <c r="M1595" s="37"/>
      <c r="N1595" s="253"/>
      <c r="O1595" s="38"/>
    </row>
    <row r="1596" spans="1:15" s="29" customFormat="1" ht="24.95" customHeight="1">
      <c r="A1596" s="31" t="s">
        <v>2230</v>
      </c>
      <c r="B1596" s="32" t="s">
        <v>959</v>
      </c>
      <c r="C1596" s="33">
        <v>86</v>
      </c>
      <c r="D1596" s="34" t="s">
        <v>960</v>
      </c>
      <c r="E1596" s="36">
        <v>55037</v>
      </c>
      <c r="F1596" s="36">
        <f>TRUNC(E1596*$C1596,0)</f>
        <v>4733182</v>
      </c>
      <c r="G1596" s="36">
        <v>11796</v>
      </c>
      <c r="H1596" s="36">
        <f>TRUNC(G1596*$C1596,0)</f>
        <v>1014456</v>
      </c>
      <c r="I1596" s="36">
        <v>0</v>
      </c>
      <c r="J1596" s="36">
        <f>TRUNC(I1596*$C1596,0)</f>
        <v>0</v>
      </c>
      <c r="K1596" s="36">
        <f t="shared" si="207"/>
        <v>66833</v>
      </c>
      <c r="L1596" s="36">
        <f t="shared" si="206"/>
        <v>5747638</v>
      </c>
      <c r="M1596" s="37"/>
      <c r="N1596" s="253"/>
      <c r="O1596" s="38"/>
    </row>
    <row r="1597" spans="1:15" s="63" customFormat="1" ht="24.95" customHeight="1">
      <c r="A1597" s="57" t="s">
        <v>2231</v>
      </c>
      <c r="B1597" s="58" t="s">
        <v>22</v>
      </c>
      <c r="C1597" s="59"/>
      <c r="D1597" s="60" t="s">
        <v>22</v>
      </c>
      <c r="E1597" s="60"/>
      <c r="F1597" s="61">
        <f>TRUNC(F1598+F1599+F1600+F1601+F1602+F1603,0)</f>
        <v>268660794</v>
      </c>
      <c r="G1597" s="60"/>
      <c r="H1597" s="61">
        <f>TRUNC(H1598+H1599+H1600+H1601+H1602+H1603,0)</f>
        <v>72824816</v>
      </c>
      <c r="I1597" s="60"/>
      <c r="J1597" s="61">
        <f>TRUNC(J1598+J1599+J1600+J1601+J1602+J1603,0)</f>
        <v>35676127</v>
      </c>
      <c r="K1597" s="61">
        <f t="shared" si="207"/>
        <v>0</v>
      </c>
      <c r="L1597" s="61">
        <f t="shared" si="206"/>
        <v>377161737</v>
      </c>
      <c r="M1597" s="62"/>
      <c r="N1597" s="253"/>
    </row>
    <row r="1598" spans="1:15" s="29" customFormat="1" ht="24.95" customHeight="1">
      <c r="A1598" s="31" t="s">
        <v>2232</v>
      </c>
      <c r="B1598" s="32" t="s">
        <v>2233</v>
      </c>
      <c r="C1598" s="33">
        <v>3861</v>
      </c>
      <c r="D1598" s="34" t="s">
        <v>847</v>
      </c>
      <c r="E1598" s="36">
        <v>50752</v>
      </c>
      <c r="F1598" s="36">
        <f t="shared" ref="F1598:F1603" si="208">TRUNC(E1598*$C1598,0)</f>
        <v>195953472</v>
      </c>
      <c r="G1598" s="36">
        <v>6044</v>
      </c>
      <c r="H1598" s="36">
        <f t="shared" ref="H1598:H1603" si="209">TRUNC(G1598*$C1598,0)</f>
        <v>23335884</v>
      </c>
      <c r="I1598" s="36">
        <v>7865</v>
      </c>
      <c r="J1598" s="36">
        <f t="shared" ref="J1598:J1603" si="210">TRUNC(I1598*$C1598,0)</f>
        <v>30366765</v>
      </c>
      <c r="K1598" s="36">
        <f t="shared" si="207"/>
        <v>64661</v>
      </c>
      <c r="L1598" s="36">
        <f t="shared" si="206"/>
        <v>249656121</v>
      </c>
      <c r="M1598" s="37"/>
      <c r="N1598" s="253"/>
      <c r="O1598" s="38"/>
    </row>
    <row r="1599" spans="1:15" s="29" customFormat="1" ht="24.95" customHeight="1">
      <c r="A1599" s="31" t="s">
        <v>2234</v>
      </c>
      <c r="B1599" s="32" t="s">
        <v>1091</v>
      </c>
      <c r="C1599" s="33">
        <v>1661</v>
      </c>
      <c r="D1599" s="34" t="s">
        <v>820</v>
      </c>
      <c r="E1599" s="36">
        <v>7815</v>
      </c>
      <c r="F1599" s="36">
        <f t="shared" si="208"/>
        <v>12980715</v>
      </c>
      <c r="G1599" s="36">
        <v>1075</v>
      </c>
      <c r="H1599" s="36">
        <f t="shared" si="209"/>
        <v>1785575</v>
      </c>
      <c r="I1599" s="36">
        <v>2774</v>
      </c>
      <c r="J1599" s="36">
        <f t="shared" si="210"/>
        <v>4607614</v>
      </c>
      <c r="K1599" s="36">
        <f t="shared" si="207"/>
        <v>11664</v>
      </c>
      <c r="L1599" s="36">
        <f t="shared" si="206"/>
        <v>19373904</v>
      </c>
      <c r="M1599" s="37"/>
      <c r="N1599" s="253"/>
      <c r="O1599" s="38"/>
    </row>
    <row r="1600" spans="1:15" s="29" customFormat="1" ht="24.95" customHeight="1">
      <c r="A1600" s="31" t="s">
        <v>2235</v>
      </c>
      <c r="B1600" s="32" t="s">
        <v>1010</v>
      </c>
      <c r="C1600" s="33">
        <v>2193</v>
      </c>
      <c r="D1600" s="34" t="s">
        <v>831</v>
      </c>
      <c r="E1600" s="36">
        <v>22733</v>
      </c>
      <c r="F1600" s="36">
        <f t="shared" si="208"/>
        <v>49853469</v>
      </c>
      <c r="G1600" s="36">
        <v>13934</v>
      </c>
      <c r="H1600" s="36">
        <f t="shared" si="209"/>
        <v>30557262</v>
      </c>
      <c r="I1600" s="36">
        <v>0</v>
      </c>
      <c r="J1600" s="36">
        <f t="shared" si="210"/>
        <v>0</v>
      </c>
      <c r="K1600" s="36">
        <f t="shared" si="207"/>
        <v>36667</v>
      </c>
      <c r="L1600" s="36">
        <f t="shared" si="206"/>
        <v>80410731</v>
      </c>
      <c r="M1600" s="37"/>
      <c r="N1600" s="253"/>
      <c r="O1600" s="38"/>
    </row>
    <row r="1601" spans="1:15" s="29" customFormat="1" ht="24.95" customHeight="1">
      <c r="A1601" s="31" t="s">
        <v>1151</v>
      </c>
      <c r="B1601" s="32" t="s">
        <v>1152</v>
      </c>
      <c r="C1601" s="33">
        <v>772</v>
      </c>
      <c r="D1601" s="34" t="s">
        <v>820</v>
      </c>
      <c r="E1601" s="36">
        <v>7628</v>
      </c>
      <c r="F1601" s="36">
        <f t="shared" si="208"/>
        <v>5888816</v>
      </c>
      <c r="G1601" s="36">
        <v>765</v>
      </c>
      <c r="H1601" s="36">
        <f t="shared" si="209"/>
        <v>590580</v>
      </c>
      <c r="I1601" s="36">
        <v>909</v>
      </c>
      <c r="J1601" s="36">
        <f t="shared" si="210"/>
        <v>701748</v>
      </c>
      <c r="K1601" s="36">
        <f t="shared" si="207"/>
        <v>9302</v>
      </c>
      <c r="L1601" s="36">
        <f t="shared" si="206"/>
        <v>7181144</v>
      </c>
      <c r="M1601" s="37"/>
      <c r="N1601" s="253"/>
      <c r="O1601" s="38"/>
    </row>
    <row r="1602" spans="1:15" s="29" customFormat="1" ht="24.95" customHeight="1">
      <c r="A1602" s="31" t="s">
        <v>2236</v>
      </c>
      <c r="B1602" s="32" t="s">
        <v>1529</v>
      </c>
      <c r="C1602" s="33">
        <v>5405</v>
      </c>
      <c r="D1602" s="34" t="s">
        <v>1014</v>
      </c>
      <c r="E1602" s="36">
        <v>152</v>
      </c>
      <c r="F1602" s="36">
        <f t="shared" si="208"/>
        <v>821560</v>
      </c>
      <c r="G1602" s="36">
        <v>3063</v>
      </c>
      <c r="H1602" s="36">
        <f t="shared" si="209"/>
        <v>16555515</v>
      </c>
      <c r="I1602" s="36">
        <v>0</v>
      </c>
      <c r="J1602" s="36">
        <f t="shared" si="210"/>
        <v>0</v>
      </c>
      <c r="K1602" s="36">
        <f t="shared" si="207"/>
        <v>3215</v>
      </c>
      <c r="L1602" s="36">
        <f t="shared" si="206"/>
        <v>17377075</v>
      </c>
      <c r="M1602" s="37"/>
      <c r="N1602" s="253"/>
      <c r="O1602" s="38"/>
    </row>
    <row r="1603" spans="1:15" s="29" customFormat="1" ht="24.95" customHeight="1">
      <c r="A1603" s="31" t="s">
        <v>2237</v>
      </c>
      <c r="B1603" s="32" t="s">
        <v>1362</v>
      </c>
      <c r="C1603" s="261">
        <v>34.747999999999998</v>
      </c>
      <c r="D1603" s="34" t="s">
        <v>815</v>
      </c>
      <c r="E1603" s="36">
        <v>91020</v>
      </c>
      <c r="F1603" s="36">
        <f t="shared" si="208"/>
        <v>3162762</v>
      </c>
      <c r="G1603" s="36">
        <v>0</v>
      </c>
      <c r="H1603" s="36">
        <f t="shared" si="209"/>
        <v>0</v>
      </c>
      <c r="I1603" s="36">
        <v>0</v>
      </c>
      <c r="J1603" s="36">
        <f t="shared" si="210"/>
        <v>0</v>
      </c>
      <c r="K1603" s="36">
        <f t="shared" si="207"/>
        <v>91020</v>
      </c>
      <c r="L1603" s="36">
        <f t="shared" si="206"/>
        <v>3162762</v>
      </c>
      <c r="M1603" s="37"/>
      <c r="N1603" s="253"/>
      <c r="O1603" s="38"/>
    </row>
    <row r="1604" spans="1:15" s="63" customFormat="1" ht="24.95" customHeight="1">
      <c r="A1604" s="57" t="s">
        <v>2238</v>
      </c>
      <c r="B1604" s="58" t="s">
        <v>22</v>
      </c>
      <c r="C1604" s="59"/>
      <c r="D1604" s="60" t="s">
        <v>22</v>
      </c>
      <c r="E1604" s="60"/>
      <c r="F1604" s="61">
        <f>TRUNC(F1606+F1607+F1609+F1610+F1611+F1612+F1613+F1614+F1615+F1616+F1617+F1618,0)</f>
        <v>158629102</v>
      </c>
      <c r="G1604" s="60"/>
      <c r="H1604" s="61">
        <f>TRUNC(H1606+H1607+H1609+H1610+H1611+H1612+H1613+H1614+H1615+H1616+H1617+H1618,0)</f>
        <v>65857762</v>
      </c>
      <c r="I1604" s="60"/>
      <c r="J1604" s="61">
        <f>TRUNC(J1606+J1607+J1609+J1610+J1611+J1612+J1613+J1614+J1615+J1616+J1617+J1618,0)</f>
        <v>1965112</v>
      </c>
      <c r="K1604" s="61">
        <f t="shared" si="207"/>
        <v>0</v>
      </c>
      <c r="L1604" s="61">
        <f t="shared" si="206"/>
        <v>226451976</v>
      </c>
      <c r="M1604" s="62"/>
      <c r="N1604" s="253"/>
    </row>
    <row r="1605" spans="1:15" s="29" customFormat="1" ht="24.95" customHeight="1">
      <c r="A1605" s="31" t="s">
        <v>2239</v>
      </c>
      <c r="B1605" s="32" t="s">
        <v>22</v>
      </c>
      <c r="C1605" s="33"/>
      <c r="D1605" s="34" t="s">
        <v>22</v>
      </c>
      <c r="E1605" s="34"/>
      <c r="F1605" s="36">
        <f>TRUNC(F1606+F1607,0)</f>
        <v>5477974</v>
      </c>
      <c r="G1605" s="34"/>
      <c r="H1605" s="36">
        <f>TRUNC(H1606+H1607,0)</f>
        <v>742762</v>
      </c>
      <c r="I1605" s="34"/>
      <c r="J1605" s="36">
        <f>TRUNC(J1606+J1607,0)</f>
        <v>1955084</v>
      </c>
      <c r="K1605" s="36">
        <f t="shared" si="207"/>
        <v>0</v>
      </c>
      <c r="L1605" s="36">
        <f t="shared" si="206"/>
        <v>8175820</v>
      </c>
      <c r="M1605" s="37"/>
      <c r="N1605" s="253"/>
    </row>
    <row r="1606" spans="1:15" s="29" customFormat="1" ht="24.95" customHeight="1">
      <c r="A1606" s="31" t="s">
        <v>1088</v>
      </c>
      <c r="B1606" s="32" t="s">
        <v>1091</v>
      </c>
      <c r="C1606" s="33">
        <v>562</v>
      </c>
      <c r="D1606" s="34" t="s">
        <v>820</v>
      </c>
      <c r="E1606" s="36">
        <v>9052</v>
      </c>
      <c r="F1606" s="36">
        <f>TRUNC(E1606*$C1606,0)</f>
        <v>5087224</v>
      </c>
      <c r="G1606" s="36">
        <v>1226</v>
      </c>
      <c r="H1606" s="36">
        <f>TRUNC(G1606*$C1606,0)</f>
        <v>689012</v>
      </c>
      <c r="I1606" s="36">
        <v>3232</v>
      </c>
      <c r="J1606" s="36">
        <f>TRUNC(I1606*$C1606,0)</f>
        <v>1816384</v>
      </c>
      <c r="K1606" s="36">
        <f t="shared" si="207"/>
        <v>13510</v>
      </c>
      <c r="L1606" s="36">
        <f t="shared" si="206"/>
        <v>7592620</v>
      </c>
      <c r="M1606" s="37"/>
      <c r="N1606" s="253"/>
      <c r="O1606" s="38"/>
    </row>
    <row r="1607" spans="1:15" s="29" customFormat="1" ht="24.95" customHeight="1">
      <c r="A1607" s="31" t="s">
        <v>1090</v>
      </c>
      <c r="B1607" s="32" t="s">
        <v>1091</v>
      </c>
      <c r="C1607" s="33">
        <v>50</v>
      </c>
      <c r="D1607" s="34" t="s">
        <v>820</v>
      </c>
      <c r="E1607" s="36">
        <v>7815</v>
      </c>
      <c r="F1607" s="36">
        <f>TRUNC(E1607*$C1607,0)</f>
        <v>390750</v>
      </c>
      <c r="G1607" s="36">
        <v>1075</v>
      </c>
      <c r="H1607" s="36">
        <f>TRUNC(G1607*$C1607,0)</f>
        <v>53750</v>
      </c>
      <c r="I1607" s="36">
        <v>2774</v>
      </c>
      <c r="J1607" s="36">
        <f>TRUNC(I1607*$C1607,0)</f>
        <v>138700</v>
      </c>
      <c r="K1607" s="36">
        <f t="shared" si="207"/>
        <v>11664</v>
      </c>
      <c r="L1607" s="36">
        <f t="shared" si="206"/>
        <v>583200</v>
      </c>
      <c r="M1607" s="37"/>
      <c r="N1607" s="253"/>
      <c r="O1607" s="38"/>
    </row>
    <row r="1608" spans="1:15" s="29" customFormat="1" ht="24.95" customHeight="1">
      <c r="A1608" s="31" t="s">
        <v>1092</v>
      </c>
      <c r="B1608" s="32" t="s">
        <v>22</v>
      </c>
      <c r="C1608" s="33"/>
      <c r="D1608" s="34" t="s">
        <v>22</v>
      </c>
      <c r="E1608" s="34"/>
      <c r="F1608" s="36">
        <f>TRUNC(F1609+F1610+F1611,0)</f>
        <v>89778509</v>
      </c>
      <c r="G1608" s="34"/>
      <c r="H1608" s="36">
        <f>TRUNC(H1609+H1610+H1611,0)</f>
        <v>48691046</v>
      </c>
      <c r="I1608" s="34"/>
      <c r="J1608" s="36">
        <f>TRUNC(J1609+J1610+J1611,0)</f>
        <v>0</v>
      </c>
      <c r="K1608" s="36">
        <f t="shared" si="207"/>
        <v>0</v>
      </c>
      <c r="L1608" s="36">
        <f t="shared" si="206"/>
        <v>138469555</v>
      </c>
      <c r="M1608" s="37"/>
      <c r="N1608" s="253"/>
    </row>
    <row r="1609" spans="1:15" s="29" customFormat="1" ht="24.95" customHeight="1">
      <c r="A1609" s="31" t="s">
        <v>1149</v>
      </c>
      <c r="B1609" s="32" t="s">
        <v>1160</v>
      </c>
      <c r="C1609" s="33">
        <v>1388</v>
      </c>
      <c r="D1609" s="34" t="s">
        <v>831</v>
      </c>
      <c r="E1609" s="36">
        <v>37923</v>
      </c>
      <c r="F1609" s="36">
        <f t="shared" ref="F1609:F1618" si="211">TRUNC(E1609*$C1609,0)</f>
        <v>52637124</v>
      </c>
      <c r="G1609" s="36">
        <v>18679</v>
      </c>
      <c r="H1609" s="36">
        <f t="shared" ref="H1609:H1618" si="212">TRUNC(G1609*$C1609,0)</f>
        <v>25926452</v>
      </c>
      <c r="I1609" s="36">
        <v>0</v>
      </c>
      <c r="J1609" s="36">
        <f t="shared" ref="J1609:J1618" si="213">TRUNC(I1609*$C1609,0)</f>
        <v>0</v>
      </c>
      <c r="K1609" s="36">
        <f t="shared" si="207"/>
        <v>56602</v>
      </c>
      <c r="L1609" s="36">
        <f t="shared" si="206"/>
        <v>78563576</v>
      </c>
      <c r="M1609" s="37"/>
      <c r="N1609" s="253"/>
      <c r="O1609" s="38"/>
    </row>
    <row r="1610" spans="1:15" s="29" customFormat="1" ht="24.95" customHeight="1">
      <c r="A1610" s="31" t="s">
        <v>1149</v>
      </c>
      <c r="B1610" s="32" t="s">
        <v>1095</v>
      </c>
      <c r="C1610" s="33">
        <v>1412</v>
      </c>
      <c r="D1610" s="34" t="s">
        <v>831</v>
      </c>
      <c r="E1610" s="36">
        <v>25966</v>
      </c>
      <c r="F1610" s="36">
        <f t="shared" si="211"/>
        <v>36663992</v>
      </c>
      <c r="G1610" s="36">
        <v>15915</v>
      </c>
      <c r="H1610" s="36">
        <f t="shared" si="212"/>
        <v>22471980</v>
      </c>
      <c r="I1610" s="36">
        <v>0</v>
      </c>
      <c r="J1610" s="36">
        <f t="shared" si="213"/>
        <v>0</v>
      </c>
      <c r="K1610" s="36">
        <f t="shared" si="207"/>
        <v>41881</v>
      </c>
      <c r="L1610" s="36">
        <f t="shared" si="206"/>
        <v>59135972</v>
      </c>
      <c r="M1610" s="37"/>
      <c r="N1610" s="253"/>
      <c r="O1610" s="38"/>
    </row>
    <row r="1611" spans="1:15" s="29" customFormat="1" ht="24.95" customHeight="1">
      <c r="A1611" s="31" t="s">
        <v>1149</v>
      </c>
      <c r="B1611" s="32" t="s">
        <v>1010</v>
      </c>
      <c r="C1611" s="33">
        <v>21</v>
      </c>
      <c r="D1611" s="34" t="s">
        <v>831</v>
      </c>
      <c r="E1611" s="36">
        <v>22733</v>
      </c>
      <c r="F1611" s="36">
        <f t="shared" si="211"/>
        <v>477393</v>
      </c>
      <c r="G1611" s="36">
        <v>13934</v>
      </c>
      <c r="H1611" s="36">
        <f t="shared" si="212"/>
        <v>292614</v>
      </c>
      <c r="I1611" s="36">
        <v>0</v>
      </c>
      <c r="J1611" s="36">
        <f t="shared" si="213"/>
        <v>0</v>
      </c>
      <c r="K1611" s="36">
        <f t="shared" si="207"/>
        <v>36667</v>
      </c>
      <c r="L1611" s="36">
        <f t="shared" si="206"/>
        <v>770007</v>
      </c>
      <c r="M1611" s="37"/>
      <c r="N1611" s="253"/>
      <c r="O1611" s="38"/>
    </row>
    <row r="1612" spans="1:15" s="29" customFormat="1" ht="24.95" customHeight="1">
      <c r="A1612" s="31" t="s">
        <v>1164</v>
      </c>
      <c r="B1612" s="32" t="s">
        <v>1111</v>
      </c>
      <c r="C1612" s="261">
        <v>77.593999999999994</v>
      </c>
      <c r="D1612" s="34" t="s">
        <v>1112</v>
      </c>
      <c r="E1612" s="36">
        <v>546209</v>
      </c>
      <c r="F1612" s="36">
        <f t="shared" si="211"/>
        <v>42382541</v>
      </c>
      <c r="G1612" s="36">
        <v>74483</v>
      </c>
      <c r="H1612" s="36">
        <f t="shared" si="212"/>
        <v>5779433</v>
      </c>
      <c r="I1612" s="36">
        <v>0</v>
      </c>
      <c r="J1612" s="36">
        <f t="shared" si="213"/>
        <v>0</v>
      </c>
      <c r="K1612" s="36">
        <f t="shared" si="207"/>
        <v>620692</v>
      </c>
      <c r="L1612" s="36">
        <f t="shared" si="206"/>
        <v>48161974</v>
      </c>
      <c r="M1612" s="37"/>
      <c r="N1612" s="253"/>
      <c r="O1612" s="38"/>
    </row>
    <row r="1613" spans="1:15" s="29" customFormat="1" ht="24.95" customHeight="1">
      <c r="A1613" s="31" t="s">
        <v>1100</v>
      </c>
      <c r="B1613" s="32" t="s">
        <v>1101</v>
      </c>
      <c r="C1613" s="33">
        <v>1198</v>
      </c>
      <c r="D1613" s="34" t="s">
        <v>831</v>
      </c>
      <c r="E1613" s="36">
        <v>12905</v>
      </c>
      <c r="F1613" s="36">
        <f t="shared" si="211"/>
        <v>15460190</v>
      </c>
      <c r="G1613" s="36">
        <v>7580</v>
      </c>
      <c r="H1613" s="36">
        <f t="shared" si="212"/>
        <v>9080840</v>
      </c>
      <c r="I1613" s="36">
        <v>0</v>
      </c>
      <c r="J1613" s="36">
        <f t="shared" si="213"/>
        <v>0</v>
      </c>
      <c r="K1613" s="36">
        <f t="shared" si="207"/>
        <v>20485</v>
      </c>
      <c r="L1613" s="36">
        <f t="shared" si="206"/>
        <v>24541030</v>
      </c>
      <c r="M1613" s="37"/>
      <c r="N1613" s="253"/>
      <c r="O1613" s="38"/>
    </row>
    <row r="1614" spans="1:15" s="29" customFormat="1" ht="24.95" customHeight="1">
      <c r="A1614" s="31" t="s">
        <v>2240</v>
      </c>
      <c r="B1614" s="32" t="s">
        <v>2241</v>
      </c>
      <c r="C1614" s="33">
        <v>157</v>
      </c>
      <c r="D1614" s="34" t="s">
        <v>1099</v>
      </c>
      <c r="E1614" s="36">
        <v>14259</v>
      </c>
      <c r="F1614" s="36">
        <f t="shared" si="211"/>
        <v>2238663</v>
      </c>
      <c r="G1614" s="36">
        <v>1945</v>
      </c>
      <c r="H1614" s="36">
        <f t="shared" si="212"/>
        <v>305365</v>
      </c>
      <c r="I1614" s="36">
        <v>0</v>
      </c>
      <c r="J1614" s="36">
        <f t="shared" si="213"/>
        <v>0</v>
      </c>
      <c r="K1614" s="36">
        <f t="shared" si="207"/>
        <v>16204</v>
      </c>
      <c r="L1614" s="36">
        <f t="shared" si="206"/>
        <v>2544028</v>
      </c>
      <c r="M1614" s="37"/>
      <c r="N1614" s="253"/>
      <c r="O1614" s="38"/>
    </row>
    <row r="1615" spans="1:15" s="29" customFormat="1" ht="24.95" customHeight="1">
      <c r="A1615" s="31" t="s">
        <v>2242</v>
      </c>
      <c r="B1615" s="32" t="s">
        <v>1170</v>
      </c>
      <c r="C1615" s="33">
        <v>153</v>
      </c>
      <c r="D1615" s="34" t="s">
        <v>116</v>
      </c>
      <c r="E1615" s="36">
        <v>15514</v>
      </c>
      <c r="F1615" s="36">
        <f t="shared" si="211"/>
        <v>2373642</v>
      </c>
      <c r="G1615" s="36">
        <v>4378</v>
      </c>
      <c r="H1615" s="36">
        <f t="shared" si="212"/>
        <v>669834</v>
      </c>
      <c r="I1615" s="36">
        <v>0</v>
      </c>
      <c r="J1615" s="36">
        <f t="shared" si="213"/>
        <v>0</v>
      </c>
      <c r="K1615" s="36">
        <f t="shared" si="207"/>
        <v>19892</v>
      </c>
      <c r="L1615" s="36">
        <f t="shared" si="206"/>
        <v>3043476</v>
      </c>
      <c r="M1615" s="37"/>
      <c r="N1615" s="253"/>
      <c r="O1615" s="38"/>
    </row>
    <row r="1616" spans="1:15" s="29" customFormat="1" ht="24.95" customHeight="1">
      <c r="A1616" s="31" t="s">
        <v>2243</v>
      </c>
      <c r="B1616" s="32" t="s">
        <v>1172</v>
      </c>
      <c r="C1616" s="33">
        <v>37</v>
      </c>
      <c r="D1616" s="34" t="s">
        <v>847</v>
      </c>
      <c r="E1616" s="36">
        <v>6622</v>
      </c>
      <c r="F1616" s="36">
        <f t="shared" si="211"/>
        <v>245014</v>
      </c>
      <c r="G1616" s="36">
        <v>1487</v>
      </c>
      <c r="H1616" s="36">
        <f t="shared" si="212"/>
        <v>55019</v>
      </c>
      <c r="I1616" s="36">
        <v>0</v>
      </c>
      <c r="J1616" s="36">
        <f t="shared" si="213"/>
        <v>0</v>
      </c>
      <c r="K1616" s="36">
        <f t="shared" si="207"/>
        <v>8109</v>
      </c>
      <c r="L1616" s="36">
        <f t="shared" si="206"/>
        <v>300033</v>
      </c>
      <c r="M1616" s="37"/>
      <c r="N1616" s="253"/>
      <c r="O1616" s="38"/>
    </row>
    <row r="1617" spans="1:15" s="29" customFormat="1" ht="24.95" customHeight="1">
      <c r="A1617" s="31" t="s">
        <v>2244</v>
      </c>
      <c r="B1617" s="32" t="s">
        <v>2245</v>
      </c>
      <c r="C1617" s="33">
        <v>153</v>
      </c>
      <c r="D1617" s="34" t="s">
        <v>116</v>
      </c>
      <c r="E1617" s="36">
        <v>3533</v>
      </c>
      <c r="F1617" s="36">
        <f t="shared" si="211"/>
        <v>540549</v>
      </c>
      <c r="G1617" s="36">
        <v>2251</v>
      </c>
      <c r="H1617" s="36">
        <f t="shared" si="212"/>
        <v>344403</v>
      </c>
      <c r="I1617" s="36">
        <v>0</v>
      </c>
      <c r="J1617" s="36">
        <f t="shared" si="213"/>
        <v>0</v>
      </c>
      <c r="K1617" s="36">
        <f t="shared" si="207"/>
        <v>5784</v>
      </c>
      <c r="L1617" s="36">
        <f t="shared" si="206"/>
        <v>884952</v>
      </c>
      <c r="M1617" s="37"/>
      <c r="N1617" s="253"/>
      <c r="O1617" s="38"/>
    </row>
    <row r="1618" spans="1:15" s="29" customFormat="1" ht="24.95" customHeight="1">
      <c r="A1618" s="31" t="s">
        <v>2246</v>
      </c>
      <c r="B1618" s="32" t="s">
        <v>22</v>
      </c>
      <c r="C1618" s="33">
        <v>92</v>
      </c>
      <c r="D1618" s="34" t="s">
        <v>116</v>
      </c>
      <c r="E1618" s="36">
        <v>1435</v>
      </c>
      <c r="F1618" s="36">
        <f t="shared" si="211"/>
        <v>132020</v>
      </c>
      <c r="G1618" s="36">
        <v>2055</v>
      </c>
      <c r="H1618" s="36">
        <f t="shared" si="212"/>
        <v>189060</v>
      </c>
      <c r="I1618" s="36">
        <v>109</v>
      </c>
      <c r="J1618" s="36">
        <f t="shared" si="213"/>
        <v>10028</v>
      </c>
      <c r="K1618" s="36">
        <f t="shared" si="207"/>
        <v>3599</v>
      </c>
      <c r="L1618" s="36">
        <f t="shared" si="206"/>
        <v>331108</v>
      </c>
      <c r="M1618" s="37"/>
      <c r="N1618" s="253"/>
      <c r="O1618" s="38"/>
    </row>
    <row r="1619" spans="1:15" s="63" customFormat="1" ht="24.95" customHeight="1">
      <c r="A1619" s="57" t="s">
        <v>2247</v>
      </c>
      <c r="B1619" s="58" t="s">
        <v>22</v>
      </c>
      <c r="C1619" s="59"/>
      <c r="D1619" s="60" t="s">
        <v>22</v>
      </c>
      <c r="E1619" s="60"/>
      <c r="F1619" s="61">
        <f>TRUNC(F1620+F1621+F1623+F1624+F1625,0)</f>
        <v>10245517</v>
      </c>
      <c r="G1619" s="60"/>
      <c r="H1619" s="61">
        <f>TRUNC(H1620+H1621+H1623+H1624+H1625,0)</f>
        <v>4074770</v>
      </c>
      <c r="I1619" s="60"/>
      <c r="J1619" s="61">
        <f>TRUNC(J1620+J1621+J1623+J1624+J1625,0)</f>
        <v>10472636</v>
      </c>
      <c r="K1619" s="61">
        <f t="shared" si="207"/>
        <v>0</v>
      </c>
      <c r="L1619" s="61">
        <f t="shared" si="206"/>
        <v>24792923</v>
      </c>
      <c r="M1619" s="62"/>
      <c r="N1619" s="260"/>
    </row>
    <row r="1620" spans="1:15" s="29" customFormat="1" ht="24.95" customHeight="1">
      <c r="A1620" s="31" t="s">
        <v>2248</v>
      </c>
      <c r="B1620" s="32" t="s">
        <v>2249</v>
      </c>
      <c r="C1620" s="33">
        <v>54</v>
      </c>
      <c r="D1620" s="34" t="s">
        <v>116</v>
      </c>
      <c r="E1620" s="36">
        <v>140024</v>
      </c>
      <c r="F1620" s="36">
        <f>TRUNC(E1620*$C1620,0)</f>
        <v>7561296</v>
      </c>
      <c r="G1620" s="36">
        <v>58126</v>
      </c>
      <c r="H1620" s="36">
        <f>TRUNC(G1620*$C1620,0)</f>
        <v>3138804</v>
      </c>
      <c r="I1620" s="36">
        <v>157358</v>
      </c>
      <c r="J1620" s="36">
        <f>TRUNC(I1620*$C1620,0)</f>
        <v>8497332</v>
      </c>
      <c r="K1620" s="36">
        <f t="shared" si="207"/>
        <v>355508</v>
      </c>
      <c r="L1620" s="36">
        <f t="shared" si="206"/>
        <v>19197432</v>
      </c>
      <c r="M1620" s="37"/>
      <c r="N1620" s="253"/>
      <c r="O1620" s="38"/>
    </row>
    <row r="1621" spans="1:15" s="29" customFormat="1" ht="24.95" customHeight="1">
      <c r="A1621" s="31" t="s">
        <v>2250</v>
      </c>
      <c r="B1621" s="32" t="s">
        <v>2251</v>
      </c>
      <c r="C1621" s="33">
        <v>12</v>
      </c>
      <c r="D1621" s="34" t="s">
        <v>116</v>
      </c>
      <c r="E1621" s="36">
        <v>140024</v>
      </c>
      <c r="F1621" s="36">
        <f>TRUNC(E1621*$C1621,0)</f>
        <v>1680288</v>
      </c>
      <c r="G1621" s="36">
        <v>58126</v>
      </c>
      <c r="H1621" s="36">
        <f>TRUNC(G1621*$C1621,0)</f>
        <v>697512</v>
      </c>
      <c r="I1621" s="36">
        <v>157358</v>
      </c>
      <c r="J1621" s="36">
        <f>TRUNC(I1621*$C1621,0)</f>
        <v>1888296</v>
      </c>
      <c r="K1621" s="36">
        <f t="shared" si="207"/>
        <v>355508</v>
      </c>
      <c r="L1621" s="36">
        <f t="shared" si="206"/>
        <v>4266096</v>
      </c>
      <c r="M1621" s="37"/>
      <c r="N1621" s="253"/>
      <c r="O1621" s="38"/>
    </row>
    <row r="1622" spans="1:15" s="29" customFormat="1" ht="24.95" customHeight="1">
      <c r="A1622" s="31" t="s">
        <v>2252</v>
      </c>
      <c r="B1622" s="32" t="s">
        <v>22</v>
      </c>
      <c r="C1622" s="33"/>
      <c r="D1622" s="34" t="s">
        <v>22</v>
      </c>
      <c r="E1622" s="34"/>
      <c r="F1622" s="36">
        <f>TRUNC(F1623+F1624+F1625,0)</f>
        <v>1003933</v>
      </c>
      <c r="G1622" s="34"/>
      <c r="H1622" s="36">
        <f>TRUNC(H1623+H1624+H1625,0)</f>
        <v>238454</v>
      </c>
      <c r="I1622" s="34"/>
      <c r="J1622" s="36">
        <f>TRUNC(J1623+J1624+J1625,0)</f>
        <v>87008</v>
      </c>
      <c r="K1622" s="36">
        <f t="shared" si="207"/>
        <v>0</v>
      </c>
      <c r="L1622" s="36">
        <f t="shared" si="206"/>
        <v>1329395</v>
      </c>
      <c r="M1622" s="37"/>
      <c r="N1622" s="253"/>
    </row>
    <row r="1623" spans="1:15" s="29" customFormat="1" ht="24.95" customHeight="1">
      <c r="A1623" s="31" t="s">
        <v>1177</v>
      </c>
      <c r="B1623" s="32" t="s">
        <v>1008</v>
      </c>
      <c r="C1623" s="33">
        <v>32</v>
      </c>
      <c r="D1623" s="34" t="s">
        <v>815</v>
      </c>
      <c r="E1623" s="36">
        <v>16966</v>
      </c>
      <c r="F1623" s="36">
        <f>TRUNC(E1623*$C1623,0)</f>
        <v>542912</v>
      </c>
      <c r="G1623" s="36">
        <v>1791</v>
      </c>
      <c r="H1623" s="36">
        <f>TRUNC(G1623*$C1623,0)</f>
        <v>57312</v>
      </c>
      <c r="I1623" s="36">
        <v>2719</v>
      </c>
      <c r="J1623" s="36">
        <f>TRUNC(I1623*$C1623,0)</f>
        <v>87008</v>
      </c>
      <c r="K1623" s="36">
        <f t="shared" si="207"/>
        <v>21476</v>
      </c>
      <c r="L1623" s="36">
        <f t="shared" si="206"/>
        <v>687232</v>
      </c>
      <c r="M1623" s="37"/>
      <c r="N1623" s="253"/>
      <c r="O1623" s="38"/>
    </row>
    <row r="1624" spans="1:15" s="29" customFormat="1" ht="24.95" customHeight="1">
      <c r="A1624" s="31" t="s">
        <v>1149</v>
      </c>
      <c r="B1624" s="32" t="s">
        <v>1010</v>
      </c>
      <c r="C1624" s="33">
        <v>13</v>
      </c>
      <c r="D1624" s="34" t="s">
        <v>831</v>
      </c>
      <c r="E1624" s="36">
        <v>22733</v>
      </c>
      <c r="F1624" s="36">
        <f>TRUNC(E1624*$C1624,0)</f>
        <v>295529</v>
      </c>
      <c r="G1624" s="36">
        <v>13934</v>
      </c>
      <c r="H1624" s="36">
        <f>TRUNC(G1624*$C1624,0)</f>
        <v>181142</v>
      </c>
      <c r="I1624" s="36">
        <v>0</v>
      </c>
      <c r="J1624" s="36">
        <f>TRUNC(I1624*$C1624,0)</f>
        <v>0</v>
      </c>
      <c r="K1624" s="36">
        <f t="shared" si="207"/>
        <v>36667</v>
      </c>
      <c r="L1624" s="36">
        <f t="shared" si="206"/>
        <v>476671</v>
      </c>
      <c r="M1624" s="37"/>
      <c r="N1624" s="253"/>
      <c r="O1624" s="38"/>
    </row>
    <row r="1625" spans="1:15" s="29" customFormat="1" ht="24.95" customHeight="1">
      <c r="A1625" s="31" t="s">
        <v>2253</v>
      </c>
      <c r="B1625" s="32" t="s">
        <v>1072</v>
      </c>
      <c r="C1625" s="33">
        <v>6</v>
      </c>
      <c r="D1625" s="34" t="s">
        <v>815</v>
      </c>
      <c r="E1625" s="36">
        <v>27582</v>
      </c>
      <c r="F1625" s="36">
        <f>TRUNC(E1625*$C1625,0)</f>
        <v>165492</v>
      </c>
      <c r="G1625" s="36">
        <v>0</v>
      </c>
      <c r="H1625" s="36">
        <f>TRUNC(G1625*$C1625,0)</f>
        <v>0</v>
      </c>
      <c r="I1625" s="36">
        <v>0</v>
      </c>
      <c r="J1625" s="36">
        <f>TRUNC(I1625*$C1625,0)</f>
        <v>0</v>
      </c>
      <c r="K1625" s="36">
        <f t="shared" si="207"/>
        <v>27582</v>
      </c>
      <c r="L1625" s="36">
        <f t="shared" si="206"/>
        <v>165492</v>
      </c>
      <c r="M1625" s="37"/>
      <c r="N1625" s="253"/>
      <c r="O1625" s="38"/>
    </row>
    <row r="1626" spans="1:15" s="63" customFormat="1" ht="24.95" customHeight="1">
      <c r="A1626" s="57" t="s">
        <v>2254</v>
      </c>
      <c r="B1626" s="58" t="s">
        <v>22</v>
      </c>
      <c r="C1626" s="59"/>
      <c r="D1626" s="60" t="s">
        <v>22</v>
      </c>
      <c r="E1626" s="60"/>
      <c r="F1626" s="61">
        <f>TRUNC(F1627+F1628+F1630+F1631,0)</f>
        <v>0</v>
      </c>
      <c r="G1626" s="60"/>
      <c r="H1626" s="61">
        <f>TRUNC(H1627+H1628+H1630+H1631,0)</f>
        <v>0</v>
      </c>
      <c r="I1626" s="60"/>
      <c r="J1626" s="61">
        <f>TRUNC(J1627+J1628+J1630+J1631,0)</f>
        <v>14156971</v>
      </c>
      <c r="K1626" s="61">
        <f t="shared" si="207"/>
        <v>0</v>
      </c>
      <c r="L1626" s="61">
        <f t="shared" si="206"/>
        <v>14156971</v>
      </c>
      <c r="M1626" s="62"/>
      <c r="N1626" s="253"/>
    </row>
    <row r="1627" spans="1:15" s="29" customFormat="1" ht="24.95" customHeight="1">
      <c r="A1627" s="31" t="s">
        <v>1402</v>
      </c>
      <c r="B1627" s="32" t="s">
        <v>1404</v>
      </c>
      <c r="C1627" s="33">
        <v>603</v>
      </c>
      <c r="D1627" s="34" t="s">
        <v>1405</v>
      </c>
      <c r="E1627" s="36">
        <v>0</v>
      </c>
      <c r="F1627" s="36">
        <f>TRUNC(E1627*$C1627,0)</f>
        <v>0</v>
      </c>
      <c r="G1627" s="36">
        <v>0</v>
      </c>
      <c r="H1627" s="36">
        <f>TRUNC(G1627*$C1627,0)</f>
        <v>0</v>
      </c>
      <c r="I1627" s="36">
        <v>457</v>
      </c>
      <c r="J1627" s="36">
        <f>TRUNC(I1627*$C1627,0)</f>
        <v>275571</v>
      </c>
      <c r="K1627" s="36">
        <f t="shared" si="207"/>
        <v>457</v>
      </c>
      <c r="L1627" s="36">
        <f t="shared" si="206"/>
        <v>275571</v>
      </c>
      <c r="M1627" s="37"/>
      <c r="N1627" s="253"/>
      <c r="O1627" s="38"/>
    </row>
    <row r="1628" spans="1:15" s="29" customFormat="1" ht="24.95" customHeight="1">
      <c r="A1628" s="31" t="s">
        <v>1209</v>
      </c>
      <c r="B1628" s="32" t="s">
        <v>1211</v>
      </c>
      <c r="C1628" s="261">
        <v>79.921999999999997</v>
      </c>
      <c r="D1628" s="34" t="s">
        <v>1112</v>
      </c>
      <c r="E1628" s="36">
        <v>0</v>
      </c>
      <c r="F1628" s="36">
        <f>TRUNC(E1628*$C1628,0)</f>
        <v>0</v>
      </c>
      <c r="G1628" s="36">
        <v>0</v>
      </c>
      <c r="H1628" s="36">
        <f>TRUNC(G1628*$C1628,0)</f>
        <v>0</v>
      </c>
      <c r="I1628" s="36">
        <v>9736</v>
      </c>
      <c r="J1628" s="36">
        <f>TRUNC(I1628*$C1628,0)</f>
        <v>778120</v>
      </c>
      <c r="K1628" s="36">
        <f t="shared" si="207"/>
        <v>9736</v>
      </c>
      <c r="L1628" s="36">
        <f t="shared" si="206"/>
        <v>778120</v>
      </c>
      <c r="M1628" s="37"/>
      <c r="N1628" s="253"/>
      <c r="O1628" s="38"/>
    </row>
    <row r="1629" spans="1:15" s="29" customFormat="1" ht="24.95" customHeight="1">
      <c r="A1629" s="31" t="s">
        <v>2255</v>
      </c>
      <c r="B1629" s="32" t="s">
        <v>22</v>
      </c>
      <c r="C1629" s="33"/>
      <c r="D1629" s="34" t="s">
        <v>22</v>
      </c>
      <c r="E1629" s="34"/>
      <c r="F1629" s="36">
        <f>TRUNC(F1630+F1631,0)</f>
        <v>0</v>
      </c>
      <c r="G1629" s="34"/>
      <c r="H1629" s="36">
        <f>TRUNC(H1630+H1631,0)</f>
        <v>0</v>
      </c>
      <c r="I1629" s="34"/>
      <c r="J1629" s="36">
        <f>TRUNC(J1630+J1631,0)</f>
        <v>13103280</v>
      </c>
      <c r="K1629" s="36">
        <f t="shared" si="207"/>
        <v>0</v>
      </c>
      <c r="L1629" s="36">
        <f t="shared" si="206"/>
        <v>13103280</v>
      </c>
      <c r="M1629" s="37"/>
      <c r="N1629" s="253"/>
    </row>
    <row r="1630" spans="1:15" s="29" customFormat="1" ht="24.95" customHeight="1">
      <c r="A1630" s="31" t="s">
        <v>2256</v>
      </c>
      <c r="B1630" s="32" t="s">
        <v>1230</v>
      </c>
      <c r="C1630" s="33">
        <v>54</v>
      </c>
      <c r="D1630" s="34" t="s">
        <v>116</v>
      </c>
      <c r="E1630" s="36">
        <v>0</v>
      </c>
      <c r="F1630" s="36">
        <f>TRUNC(E1630*$C1630,0)</f>
        <v>0</v>
      </c>
      <c r="G1630" s="36">
        <v>0</v>
      </c>
      <c r="H1630" s="36">
        <f>TRUNC(G1630*$C1630,0)</f>
        <v>0</v>
      </c>
      <c r="I1630" s="36">
        <v>196180</v>
      </c>
      <c r="J1630" s="36">
        <f>TRUNC(I1630*$C1630,0)</f>
        <v>10593720</v>
      </c>
      <c r="K1630" s="36">
        <f t="shared" si="207"/>
        <v>196180</v>
      </c>
      <c r="L1630" s="36">
        <f t="shared" si="206"/>
        <v>10593720</v>
      </c>
      <c r="M1630" s="37"/>
      <c r="N1630" s="253"/>
      <c r="O1630" s="38"/>
    </row>
    <row r="1631" spans="1:15" s="29" customFormat="1" ht="24.95" customHeight="1">
      <c r="A1631" s="31" t="s">
        <v>2256</v>
      </c>
      <c r="B1631" s="32" t="s">
        <v>2257</v>
      </c>
      <c r="C1631" s="33">
        <v>12</v>
      </c>
      <c r="D1631" s="34" t="s">
        <v>116</v>
      </c>
      <c r="E1631" s="36">
        <v>0</v>
      </c>
      <c r="F1631" s="36">
        <f>TRUNC(E1631*$C1631,0)</f>
        <v>0</v>
      </c>
      <c r="G1631" s="36">
        <v>0</v>
      </c>
      <c r="H1631" s="36">
        <f>TRUNC(G1631*$C1631,0)</f>
        <v>0</v>
      </c>
      <c r="I1631" s="36">
        <v>209130</v>
      </c>
      <c r="J1631" s="36">
        <f>TRUNC(I1631*$C1631,0)</f>
        <v>2509560</v>
      </c>
      <c r="K1631" s="36">
        <f t="shared" si="207"/>
        <v>209130</v>
      </c>
      <c r="L1631" s="36">
        <f t="shared" si="206"/>
        <v>2509560</v>
      </c>
      <c r="M1631" s="37"/>
      <c r="N1631" s="253"/>
      <c r="O1631" s="38"/>
    </row>
    <row r="1632" spans="1:15" s="63" customFormat="1" ht="24.95" customHeight="1">
      <c r="A1632" s="57" t="s">
        <v>2258</v>
      </c>
      <c r="B1632" s="58" t="s">
        <v>22</v>
      </c>
      <c r="C1632" s="59"/>
      <c r="D1632" s="60" t="s">
        <v>22</v>
      </c>
      <c r="E1632" s="60"/>
      <c r="F1632" s="61">
        <f>TRUNC(F1634+F1635+F1637+F1638+F1639+F1640+F1642+F1644+F1646+F1648+F1650+F1651,0)</f>
        <v>0</v>
      </c>
      <c r="G1632" s="60"/>
      <c r="H1632" s="61">
        <f>TRUNC(H1634+H1635+H1637+H1638+H1639+H1640+H1642+H1644+H1646+H1648+H1650+H1651,0)</f>
        <v>597370376</v>
      </c>
      <c r="I1632" s="60"/>
      <c r="J1632" s="61">
        <f>TRUNC(J1634+J1635+J1637+J1638+J1639+J1640+J1642+J1644+J1646+J1648+J1650+J1651,0)</f>
        <v>0</v>
      </c>
      <c r="K1632" s="61">
        <f t="shared" si="207"/>
        <v>0</v>
      </c>
      <c r="L1632" s="61">
        <f t="shared" si="206"/>
        <v>597370376</v>
      </c>
      <c r="M1632" s="62"/>
      <c r="N1632" s="253"/>
    </row>
    <row r="1633" spans="1:15" s="29" customFormat="1" ht="24.95" customHeight="1">
      <c r="A1633" s="31" t="s">
        <v>1253</v>
      </c>
      <c r="B1633" s="32" t="s">
        <v>22</v>
      </c>
      <c r="C1633" s="33"/>
      <c r="D1633" s="34" t="s">
        <v>22</v>
      </c>
      <c r="E1633" s="34"/>
      <c r="F1633" s="36">
        <f>TRUNC(F1634+F1635,0)</f>
        <v>0</v>
      </c>
      <c r="G1633" s="34"/>
      <c r="H1633" s="36">
        <f>TRUNC(H1634+H1635,0)</f>
        <v>192791097</v>
      </c>
      <c r="I1633" s="34"/>
      <c r="J1633" s="36">
        <f>TRUNC(J1634+J1635,0)</f>
        <v>0</v>
      </c>
      <c r="K1633" s="36">
        <f t="shared" si="207"/>
        <v>0</v>
      </c>
      <c r="L1633" s="36">
        <f t="shared" si="206"/>
        <v>192791097</v>
      </c>
      <c r="M1633" s="37"/>
      <c r="N1633" s="253"/>
    </row>
    <row r="1634" spans="1:15" s="29" customFormat="1" ht="24.95" customHeight="1">
      <c r="A1634" s="31" t="s">
        <v>1254</v>
      </c>
      <c r="B1634" s="32" t="s">
        <v>1259</v>
      </c>
      <c r="C1634" s="33">
        <v>1746</v>
      </c>
      <c r="D1634" s="34" t="s">
        <v>815</v>
      </c>
      <c r="E1634" s="36">
        <v>0</v>
      </c>
      <c r="F1634" s="36">
        <f>TRUNC(E1634*$C1634,0)</f>
        <v>0</v>
      </c>
      <c r="G1634" s="36">
        <v>81324</v>
      </c>
      <c r="H1634" s="36">
        <f>TRUNC(G1634*$C1634,0)</f>
        <v>141991704</v>
      </c>
      <c r="I1634" s="36">
        <v>0</v>
      </c>
      <c r="J1634" s="36">
        <f>TRUNC(I1634*$C1634,0)</f>
        <v>0</v>
      </c>
      <c r="K1634" s="36">
        <f t="shared" si="207"/>
        <v>81324</v>
      </c>
      <c r="L1634" s="36">
        <f t="shared" si="206"/>
        <v>141991704</v>
      </c>
      <c r="M1634" s="37"/>
      <c r="N1634" s="253"/>
      <c r="O1634" s="38"/>
    </row>
    <row r="1635" spans="1:15" s="29" customFormat="1" ht="24.95" customHeight="1">
      <c r="A1635" s="31" t="s">
        <v>1254</v>
      </c>
      <c r="B1635" s="32" t="s">
        <v>1258</v>
      </c>
      <c r="C1635" s="33">
        <v>599</v>
      </c>
      <c r="D1635" s="34" t="s">
        <v>815</v>
      </c>
      <c r="E1635" s="36">
        <v>0</v>
      </c>
      <c r="F1635" s="36">
        <f>TRUNC(E1635*$C1635,0)</f>
        <v>0</v>
      </c>
      <c r="G1635" s="36">
        <v>84807</v>
      </c>
      <c r="H1635" s="36">
        <f>TRUNC(G1635*$C1635,0)</f>
        <v>50799393</v>
      </c>
      <c r="I1635" s="36">
        <v>0</v>
      </c>
      <c r="J1635" s="36">
        <f>TRUNC(I1635*$C1635,0)</f>
        <v>0</v>
      </c>
      <c r="K1635" s="36">
        <f t="shared" si="207"/>
        <v>84807</v>
      </c>
      <c r="L1635" s="36">
        <f t="shared" si="206"/>
        <v>50799393</v>
      </c>
      <c r="M1635" s="37"/>
      <c r="N1635" s="253"/>
      <c r="O1635" s="38"/>
    </row>
    <row r="1636" spans="1:15" s="29" customFormat="1" ht="24.95" customHeight="1">
      <c r="A1636" s="31" t="s">
        <v>2259</v>
      </c>
      <c r="B1636" s="32" t="s">
        <v>22</v>
      </c>
      <c r="C1636" s="33"/>
      <c r="D1636" s="34" t="s">
        <v>22</v>
      </c>
      <c r="E1636" s="34"/>
      <c r="F1636" s="36">
        <f>TRUNC(F1637+F1638+F1639+F1640,0)</f>
        <v>0</v>
      </c>
      <c r="G1636" s="34"/>
      <c r="H1636" s="36">
        <f>TRUNC(H1637+H1638+H1639+H1640,0)</f>
        <v>60921581</v>
      </c>
      <c r="I1636" s="34"/>
      <c r="J1636" s="36">
        <f>TRUNC(J1637+J1638+J1639+J1640,0)</f>
        <v>0</v>
      </c>
      <c r="K1636" s="36">
        <f t="shared" si="207"/>
        <v>0</v>
      </c>
      <c r="L1636" s="36">
        <f t="shared" si="206"/>
        <v>60921581</v>
      </c>
      <c r="M1636" s="37"/>
      <c r="N1636" s="253"/>
    </row>
    <row r="1637" spans="1:15" s="29" customFormat="1" ht="24.95" customHeight="1">
      <c r="A1637" s="31" t="s">
        <v>2260</v>
      </c>
      <c r="B1637" s="32" t="s">
        <v>2261</v>
      </c>
      <c r="C1637" s="261">
        <v>10.340999999999999</v>
      </c>
      <c r="D1637" s="34" t="s">
        <v>1112</v>
      </c>
      <c r="E1637" s="36">
        <v>0</v>
      </c>
      <c r="F1637" s="36">
        <f>TRUNC(E1637*$C1637,0)</f>
        <v>0</v>
      </c>
      <c r="G1637" s="36">
        <v>762263</v>
      </c>
      <c r="H1637" s="36">
        <f>TRUNC(G1637*$C1637,0)</f>
        <v>7882561</v>
      </c>
      <c r="I1637" s="36">
        <v>0</v>
      </c>
      <c r="J1637" s="36">
        <f>TRUNC(I1637*$C1637,0)</f>
        <v>0</v>
      </c>
      <c r="K1637" s="36">
        <f t="shared" si="207"/>
        <v>762263</v>
      </c>
      <c r="L1637" s="36">
        <f t="shared" si="206"/>
        <v>7882561</v>
      </c>
      <c r="M1637" s="37"/>
      <c r="N1637" s="253"/>
      <c r="O1637" s="38"/>
    </row>
    <row r="1638" spans="1:15" s="29" customFormat="1" ht="24.95" customHeight="1">
      <c r="A1638" s="31" t="s">
        <v>2260</v>
      </c>
      <c r="B1638" s="32" t="s">
        <v>1596</v>
      </c>
      <c r="C1638" s="261">
        <v>22.858000000000001</v>
      </c>
      <c r="D1638" s="34" t="s">
        <v>1112</v>
      </c>
      <c r="E1638" s="36">
        <v>0</v>
      </c>
      <c r="F1638" s="36">
        <f>TRUNC(E1638*$C1638,0)</f>
        <v>0</v>
      </c>
      <c r="G1638" s="36">
        <v>762263</v>
      </c>
      <c r="H1638" s="36">
        <f>TRUNC(G1638*$C1638,0)</f>
        <v>17423807</v>
      </c>
      <c r="I1638" s="36">
        <v>0</v>
      </c>
      <c r="J1638" s="36">
        <f>TRUNC(I1638*$C1638,0)</f>
        <v>0</v>
      </c>
      <c r="K1638" s="36">
        <f t="shared" si="207"/>
        <v>762263</v>
      </c>
      <c r="L1638" s="36">
        <f t="shared" si="206"/>
        <v>17423807</v>
      </c>
      <c r="M1638" s="37"/>
      <c r="N1638" s="253"/>
      <c r="O1638" s="38"/>
    </row>
    <row r="1639" spans="1:15" s="29" customFormat="1" ht="24.95" customHeight="1">
      <c r="A1639" s="31" t="s">
        <v>2260</v>
      </c>
      <c r="B1639" s="32" t="s">
        <v>1881</v>
      </c>
      <c r="C1639" s="261">
        <v>4.6230000000000002</v>
      </c>
      <c r="D1639" s="34" t="s">
        <v>1112</v>
      </c>
      <c r="E1639" s="36">
        <v>0</v>
      </c>
      <c r="F1639" s="36">
        <f>TRUNC(E1639*$C1639,0)</f>
        <v>0</v>
      </c>
      <c r="G1639" s="36">
        <v>762263</v>
      </c>
      <c r="H1639" s="36">
        <f>TRUNC(G1639*$C1639,0)</f>
        <v>3523941</v>
      </c>
      <c r="I1639" s="36">
        <v>0</v>
      </c>
      <c r="J1639" s="36">
        <f>TRUNC(I1639*$C1639,0)</f>
        <v>0</v>
      </c>
      <c r="K1639" s="36">
        <f t="shared" si="207"/>
        <v>762263</v>
      </c>
      <c r="L1639" s="36">
        <f t="shared" si="206"/>
        <v>3523941</v>
      </c>
      <c r="M1639" s="37"/>
      <c r="N1639" s="253"/>
      <c r="O1639" s="38"/>
    </row>
    <row r="1640" spans="1:15" s="29" customFormat="1" ht="24.95" customHeight="1">
      <c r="A1640" s="31" t="s">
        <v>2260</v>
      </c>
      <c r="B1640" s="32" t="s">
        <v>2262</v>
      </c>
      <c r="C1640" s="261">
        <v>42.1</v>
      </c>
      <c r="D1640" s="34" t="s">
        <v>1112</v>
      </c>
      <c r="E1640" s="36">
        <v>0</v>
      </c>
      <c r="F1640" s="36">
        <f>TRUNC(E1640*$C1640,0)</f>
        <v>0</v>
      </c>
      <c r="G1640" s="36">
        <v>762263</v>
      </c>
      <c r="H1640" s="36">
        <f>TRUNC(G1640*$C1640,0)</f>
        <v>32091272</v>
      </c>
      <c r="I1640" s="36">
        <v>0</v>
      </c>
      <c r="J1640" s="36">
        <f>TRUNC(I1640*$C1640,0)</f>
        <v>0</v>
      </c>
      <c r="K1640" s="36">
        <f t="shared" si="207"/>
        <v>762263</v>
      </c>
      <c r="L1640" s="36">
        <f t="shared" si="206"/>
        <v>32091272</v>
      </c>
      <c r="M1640" s="37"/>
      <c r="N1640" s="253"/>
      <c r="O1640" s="38"/>
    </row>
    <row r="1641" spans="1:15" s="29" customFormat="1" ht="24.95" customHeight="1">
      <c r="A1641" s="31" t="s">
        <v>2263</v>
      </c>
      <c r="B1641" s="32" t="s">
        <v>22</v>
      </c>
      <c r="C1641" s="33"/>
      <c r="D1641" s="34" t="s">
        <v>22</v>
      </c>
      <c r="E1641" s="34"/>
      <c r="F1641" s="36">
        <f>TRUNC(F1642,0)</f>
        <v>0</v>
      </c>
      <c r="G1641" s="34"/>
      <c r="H1641" s="36">
        <f>TRUNC(H1642,0)</f>
        <v>14852406</v>
      </c>
      <c r="I1641" s="34"/>
      <c r="J1641" s="36">
        <f>TRUNC(J1642,0)</f>
        <v>0</v>
      </c>
      <c r="K1641" s="36">
        <f t="shared" si="207"/>
        <v>0</v>
      </c>
      <c r="L1641" s="36">
        <f t="shared" si="206"/>
        <v>14852406</v>
      </c>
      <c r="M1641" s="37"/>
      <c r="N1641" s="253"/>
    </row>
    <row r="1642" spans="1:15" s="29" customFormat="1" ht="24.95" customHeight="1">
      <c r="A1642" s="31" t="s">
        <v>1261</v>
      </c>
      <c r="B1642" s="32" t="s">
        <v>2264</v>
      </c>
      <c r="C1642" s="33">
        <v>849</v>
      </c>
      <c r="D1642" s="34" t="s">
        <v>815</v>
      </c>
      <c r="E1642" s="36">
        <v>0</v>
      </c>
      <c r="F1642" s="36">
        <f>TRUNC(E1642*$C1642,0)</f>
        <v>0</v>
      </c>
      <c r="G1642" s="36">
        <v>17494</v>
      </c>
      <c r="H1642" s="36">
        <f>TRUNC(G1642*$C1642,0)</f>
        <v>14852406</v>
      </c>
      <c r="I1642" s="36">
        <v>0</v>
      </c>
      <c r="J1642" s="36">
        <f>TRUNC(I1642*$C1642,0)</f>
        <v>0</v>
      </c>
      <c r="K1642" s="36">
        <f t="shared" si="207"/>
        <v>17494</v>
      </c>
      <c r="L1642" s="36">
        <f t="shared" si="206"/>
        <v>14852406</v>
      </c>
      <c r="M1642" s="37"/>
      <c r="N1642" s="253"/>
      <c r="O1642" s="38"/>
    </row>
    <row r="1643" spans="1:15" s="29" customFormat="1" ht="24.95" customHeight="1">
      <c r="A1643" s="31" t="s">
        <v>2265</v>
      </c>
      <c r="B1643" s="32" t="s">
        <v>22</v>
      </c>
      <c r="C1643" s="33"/>
      <c r="D1643" s="34" t="s">
        <v>22</v>
      </c>
      <c r="E1643" s="34"/>
      <c r="F1643" s="36">
        <f>TRUNC(F1644,0)</f>
        <v>0</v>
      </c>
      <c r="G1643" s="34"/>
      <c r="H1643" s="36">
        <f>TRUNC(H1644,0)</f>
        <v>152690068</v>
      </c>
      <c r="I1643" s="34"/>
      <c r="J1643" s="36">
        <f>TRUNC(J1644,0)</f>
        <v>0</v>
      </c>
      <c r="K1643" s="36">
        <f t="shared" si="207"/>
        <v>0</v>
      </c>
      <c r="L1643" s="36">
        <f t="shared" si="206"/>
        <v>152690068</v>
      </c>
      <c r="M1643" s="37"/>
      <c r="N1643" s="253"/>
    </row>
    <row r="1644" spans="1:15" s="29" customFormat="1" ht="24.95" customHeight="1">
      <c r="A1644" s="31" t="s">
        <v>2266</v>
      </c>
      <c r="B1644" s="32" t="s">
        <v>2267</v>
      </c>
      <c r="C1644" s="33">
        <v>5207</v>
      </c>
      <c r="D1644" s="34" t="s">
        <v>2088</v>
      </c>
      <c r="E1644" s="36">
        <v>0</v>
      </c>
      <c r="F1644" s="36">
        <f>TRUNC(E1644*$C1644,0)</f>
        <v>0</v>
      </c>
      <c r="G1644" s="36">
        <v>29324</v>
      </c>
      <c r="H1644" s="36">
        <f>TRUNC(G1644*$C1644,0)</f>
        <v>152690068</v>
      </c>
      <c r="I1644" s="36">
        <v>0</v>
      </c>
      <c r="J1644" s="36">
        <f>TRUNC(I1644*$C1644,0)</f>
        <v>0</v>
      </c>
      <c r="K1644" s="36">
        <f t="shared" si="207"/>
        <v>29324</v>
      </c>
      <c r="L1644" s="36">
        <f t="shared" si="207"/>
        <v>152690068</v>
      </c>
      <c r="M1644" s="37"/>
      <c r="N1644" s="253"/>
      <c r="O1644" s="38"/>
    </row>
    <row r="1645" spans="1:15" s="29" customFormat="1" ht="24.95" customHeight="1">
      <c r="A1645" s="31" t="s">
        <v>2268</v>
      </c>
      <c r="B1645" s="32" t="s">
        <v>22</v>
      </c>
      <c r="C1645" s="33"/>
      <c r="D1645" s="34" t="s">
        <v>22</v>
      </c>
      <c r="E1645" s="34"/>
      <c r="F1645" s="36">
        <f>TRUNC(F1646,0)</f>
        <v>0</v>
      </c>
      <c r="G1645" s="34"/>
      <c r="H1645" s="36">
        <f>TRUNC(H1646,0)</f>
        <v>3365343</v>
      </c>
      <c r="I1645" s="34"/>
      <c r="J1645" s="36">
        <f>TRUNC(J1646,0)</f>
        <v>0</v>
      </c>
      <c r="K1645" s="36">
        <f t="shared" ref="K1645:L1660" si="214">G1645+E1645+I1645</f>
        <v>0</v>
      </c>
      <c r="L1645" s="36">
        <f t="shared" si="214"/>
        <v>3365343</v>
      </c>
      <c r="M1645" s="37"/>
      <c r="N1645" s="253"/>
    </row>
    <row r="1646" spans="1:15" s="29" customFormat="1" ht="24.95" customHeight="1">
      <c r="A1646" s="31" t="s">
        <v>2269</v>
      </c>
      <c r="B1646" s="32" t="s">
        <v>22</v>
      </c>
      <c r="C1646" s="33">
        <v>603</v>
      </c>
      <c r="D1646" s="34" t="s">
        <v>1405</v>
      </c>
      <c r="E1646" s="36">
        <v>0</v>
      </c>
      <c r="F1646" s="36">
        <f>TRUNC(E1646*$C1646,0)</f>
        <v>0</v>
      </c>
      <c r="G1646" s="36">
        <v>5581</v>
      </c>
      <c r="H1646" s="36">
        <f>TRUNC(G1646*$C1646,0)</f>
        <v>3365343</v>
      </c>
      <c r="I1646" s="36">
        <v>0</v>
      </c>
      <c r="J1646" s="36">
        <f>TRUNC(I1646*$C1646,0)</f>
        <v>0</v>
      </c>
      <c r="K1646" s="36">
        <f t="shared" si="214"/>
        <v>5581</v>
      </c>
      <c r="L1646" s="36">
        <f t="shared" si="214"/>
        <v>3365343</v>
      </c>
      <c r="M1646" s="37"/>
      <c r="N1646" s="253"/>
      <c r="O1646" s="38"/>
    </row>
    <row r="1647" spans="1:15" s="29" customFormat="1" ht="24.95" customHeight="1">
      <c r="A1647" s="31" t="s">
        <v>2270</v>
      </c>
      <c r="B1647" s="32" t="s">
        <v>22</v>
      </c>
      <c r="C1647" s="33"/>
      <c r="D1647" s="34" t="s">
        <v>22</v>
      </c>
      <c r="E1647" s="34"/>
      <c r="F1647" s="36">
        <f>TRUNC(F1648,0)</f>
        <v>0</v>
      </c>
      <c r="G1647" s="34"/>
      <c r="H1647" s="36">
        <f>TRUNC(H1648,0)</f>
        <v>903875</v>
      </c>
      <c r="I1647" s="34"/>
      <c r="J1647" s="36">
        <f>TRUNC(J1648,0)</f>
        <v>0</v>
      </c>
      <c r="K1647" s="36">
        <f t="shared" si="214"/>
        <v>0</v>
      </c>
      <c r="L1647" s="36">
        <f t="shared" si="214"/>
        <v>903875</v>
      </c>
      <c r="M1647" s="37"/>
      <c r="N1647" s="253"/>
    </row>
    <row r="1648" spans="1:15" s="29" customFormat="1" ht="24.95" customHeight="1">
      <c r="A1648" s="31" t="s">
        <v>1264</v>
      </c>
      <c r="B1648" s="32" t="s">
        <v>1265</v>
      </c>
      <c r="C1648" s="33">
        <v>35</v>
      </c>
      <c r="D1648" s="34" t="s">
        <v>815</v>
      </c>
      <c r="E1648" s="36">
        <v>0</v>
      </c>
      <c r="F1648" s="36">
        <f>TRUNC(E1648*$C1648,0)</f>
        <v>0</v>
      </c>
      <c r="G1648" s="36">
        <v>25825</v>
      </c>
      <c r="H1648" s="36">
        <f>TRUNC(G1648*$C1648,0)</f>
        <v>903875</v>
      </c>
      <c r="I1648" s="36">
        <v>0</v>
      </c>
      <c r="J1648" s="36">
        <f>TRUNC(I1648*$C1648,0)</f>
        <v>0</v>
      </c>
      <c r="K1648" s="36">
        <f t="shared" si="214"/>
        <v>25825</v>
      </c>
      <c r="L1648" s="36">
        <f t="shared" si="214"/>
        <v>903875</v>
      </c>
      <c r="M1648" s="37"/>
      <c r="N1648" s="253"/>
      <c r="O1648" s="38"/>
    </row>
    <row r="1649" spans="1:15" s="29" customFormat="1" ht="24.95" customHeight="1">
      <c r="A1649" s="31" t="s">
        <v>1290</v>
      </c>
      <c r="B1649" s="32" t="s">
        <v>22</v>
      </c>
      <c r="C1649" s="33"/>
      <c r="D1649" s="34" t="s">
        <v>22</v>
      </c>
      <c r="E1649" s="34"/>
      <c r="F1649" s="36">
        <f>TRUNC(F1650+F1651,0)</f>
        <v>0</v>
      </c>
      <c r="G1649" s="34"/>
      <c r="H1649" s="36">
        <f>TRUNC(H1650+H1651,0)</f>
        <v>171846006</v>
      </c>
      <c r="I1649" s="34"/>
      <c r="J1649" s="36">
        <f>TRUNC(J1650+J1651,0)</f>
        <v>0</v>
      </c>
      <c r="K1649" s="36">
        <f t="shared" si="214"/>
        <v>0</v>
      </c>
      <c r="L1649" s="36">
        <f t="shared" si="214"/>
        <v>171846006</v>
      </c>
      <c r="M1649" s="37"/>
      <c r="N1649" s="253"/>
    </row>
    <row r="1650" spans="1:15" s="29" customFormat="1" ht="24.95" customHeight="1">
      <c r="A1650" s="31" t="s">
        <v>2271</v>
      </c>
      <c r="B1650" s="32" t="s">
        <v>1230</v>
      </c>
      <c r="C1650" s="33">
        <v>54</v>
      </c>
      <c r="D1650" s="34" t="s">
        <v>116</v>
      </c>
      <c r="E1650" s="36">
        <v>0</v>
      </c>
      <c r="F1650" s="36">
        <f>TRUNC(E1650*$C1650,0)</f>
        <v>0</v>
      </c>
      <c r="G1650" s="36">
        <v>2547647</v>
      </c>
      <c r="H1650" s="36">
        <f>TRUNC(G1650*$C1650,0)</f>
        <v>137572938</v>
      </c>
      <c r="I1650" s="36">
        <v>0</v>
      </c>
      <c r="J1650" s="36">
        <f>TRUNC(I1650*$C1650,0)</f>
        <v>0</v>
      </c>
      <c r="K1650" s="36">
        <f t="shared" si="214"/>
        <v>2547647</v>
      </c>
      <c r="L1650" s="36">
        <f t="shared" si="214"/>
        <v>137572938</v>
      </c>
      <c r="M1650" s="37"/>
      <c r="N1650" s="253"/>
      <c r="O1650" s="38"/>
    </row>
    <row r="1651" spans="1:15" s="29" customFormat="1" ht="24.95" customHeight="1">
      <c r="A1651" s="31" t="s">
        <v>2271</v>
      </c>
      <c r="B1651" s="32" t="s">
        <v>2257</v>
      </c>
      <c r="C1651" s="33">
        <v>12</v>
      </c>
      <c r="D1651" s="34" t="s">
        <v>116</v>
      </c>
      <c r="E1651" s="36">
        <v>0</v>
      </c>
      <c r="F1651" s="36">
        <f>TRUNC(E1651*$C1651,0)</f>
        <v>0</v>
      </c>
      <c r="G1651" s="36">
        <v>2856089</v>
      </c>
      <c r="H1651" s="36">
        <f>TRUNC(G1651*$C1651,0)</f>
        <v>34273068</v>
      </c>
      <c r="I1651" s="36">
        <v>0</v>
      </c>
      <c r="J1651" s="36">
        <f>TRUNC(I1651*$C1651,0)</f>
        <v>0</v>
      </c>
      <c r="K1651" s="36">
        <f t="shared" si="214"/>
        <v>2856089</v>
      </c>
      <c r="L1651" s="36">
        <f t="shared" si="214"/>
        <v>34273068</v>
      </c>
      <c r="M1651" s="37"/>
      <c r="N1651" s="253"/>
      <c r="O1651" s="38"/>
    </row>
    <row r="1652" spans="1:15" s="29" customFormat="1" ht="24.95" customHeight="1">
      <c r="A1652" s="31" t="s">
        <v>766</v>
      </c>
      <c r="B1652" s="32" t="s">
        <v>22</v>
      </c>
      <c r="C1652" s="33"/>
      <c r="D1652" s="34" t="s">
        <v>22</v>
      </c>
      <c r="E1652" s="34"/>
      <c r="F1652" s="36">
        <v>0</v>
      </c>
      <c r="G1652" s="34"/>
      <c r="H1652" s="36">
        <v>0</v>
      </c>
      <c r="I1652" s="34"/>
      <c r="J1652" s="36">
        <v>0</v>
      </c>
      <c r="K1652" s="36">
        <f t="shared" si="214"/>
        <v>0</v>
      </c>
      <c r="L1652" s="36">
        <f t="shared" si="214"/>
        <v>0</v>
      </c>
      <c r="M1652" s="37"/>
      <c r="N1652" s="253"/>
    </row>
    <row r="1653" spans="1:15" s="45" customFormat="1" ht="24.95" customHeight="1">
      <c r="A1653" s="39" t="s">
        <v>2272</v>
      </c>
      <c r="B1653" s="40" t="s">
        <v>22</v>
      </c>
      <c r="C1653" s="41">
        <v>1</v>
      </c>
      <c r="D1653" s="42" t="s">
        <v>754</v>
      </c>
      <c r="E1653" s="42"/>
      <c r="F1653" s="43">
        <f>F1654+F1657+F1664+F1667+F1672+F1675+F1677</f>
        <v>127999030</v>
      </c>
      <c r="G1653" s="42"/>
      <c r="H1653" s="43">
        <f>H1654+H1657+H1664+H1667+H1672+H1675+H1677</f>
        <v>403186048</v>
      </c>
      <c r="I1653" s="42"/>
      <c r="J1653" s="43">
        <f>J1654+J1657+J1664+J1667+J1672+J1675+J1677</f>
        <v>31570040</v>
      </c>
      <c r="K1653" s="42"/>
      <c r="L1653" s="43">
        <f t="shared" si="214"/>
        <v>562755118</v>
      </c>
      <c r="M1653" s="44"/>
      <c r="N1653" s="253"/>
    </row>
    <row r="1654" spans="1:15" s="63" customFormat="1" ht="24.95" customHeight="1">
      <c r="A1654" s="57" t="s">
        <v>2273</v>
      </c>
      <c r="B1654" s="58" t="s">
        <v>22</v>
      </c>
      <c r="C1654" s="59"/>
      <c r="D1654" s="60" t="s">
        <v>22</v>
      </c>
      <c r="E1654" s="60"/>
      <c r="F1654" s="61">
        <f>TRUNC(F1655+F1656,0)</f>
        <v>1215900</v>
      </c>
      <c r="G1654" s="60"/>
      <c r="H1654" s="61">
        <f>TRUNC(H1655+H1656,0)</f>
        <v>119392</v>
      </c>
      <c r="I1654" s="60"/>
      <c r="J1654" s="61">
        <f>TRUNC(J1655+J1656,0)</f>
        <v>122962</v>
      </c>
      <c r="K1654" s="61">
        <f t="shared" ref="K1654:L1694" si="215">G1654+E1654+I1654</f>
        <v>0</v>
      </c>
      <c r="L1654" s="61">
        <f t="shared" si="214"/>
        <v>1458254</v>
      </c>
      <c r="M1654" s="62"/>
      <c r="N1654" s="253"/>
    </row>
    <row r="1655" spans="1:15" s="29" customFormat="1" ht="24.95" customHeight="1">
      <c r="A1655" s="31" t="s">
        <v>936</v>
      </c>
      <c r="B1655" s="32" t="s">
        <v>819</v>
      </c>
      <c r="C1655" s="33">
        <v>168</v>
      </c>
      <c r="D1655" s="34" t="s">
        <v>820</v>
      </c>
      <c r="E1655" s="36">
        <v>687</v>
      </c>
      <c r="F1655" s="36">
        <f>TRUNC(E1655*$C1655,0)</f>
        <v>115416</v>
      </c>
      <c r="G1655" s="36">
        <v>278</v>
      </c>
      <c r="H1655" s="36">
        <f>TRUNC(G1655*$C1655,0)</f>
        <v>46704</v>
      </c>
      <c r="I1655" s="36">
        <v>357</v>
      </c>
      <c r="J1655" s="36">
        <f>TRUNC(I1655*$C1655,0)</f>
        <v>59976</v>
      </c>
      <c r="K1655" s="36">
        <f t="shared" si="215"/>
        <v>1322</v>
      </c>
      <c r="L1655" s="36">
        <f t="shared" si="214"/>
        <v>222096</v>
      </c>
      <c r="M1655" s="37"/>
      <c r="N1655" s="253"/>
      <c r="O1655" s="38"/>
    </row>
    <row r="1656" spans="1:15" s="29" customFormat="1" ht="24.95" customHeight="1">
      <c r="A1656" s="31" t="s">
        <v>2274</v>
      </c>
      <c r="B1656" s="32" t="s">
        <v>988</v>
      </c>
      <c r="C1656" s="33">
        <v>154</v>
      </c>
      <c r="D1656" s="34" t="s">
        <v>815</v>
      </c>
      <c r="E1656" s="36">
        <v>7146</v>
      </c>
      <c r="F1656" s="36">
        <f>TRUNC(E1656*$C1656,0)</f>
        <v>1100484</v>
      </c>
      <c r="G1656" s="36">
        <v>472</v>
      </c>
      <c r="H1656" s="36">
        <f>TRUNC(G1656*$C1656,0)</f>
        <v>72688</v>
      </c>
      <c r="I1656" s="36">
        <v>409</v>
      </c>
      <c r="J1656" s="36">
        <f>TRUNC(I1656*$C1656,0)</f>
        <v>62986</v>
      </c>
      <c r="K1656" s="36">
        <f t="shared" si="215"/>
        <v>8027</v>
      </c>
      <c r="L1656" s="36">
        <f t="shared" si="214"/>
        <v>1236158</v>
      </c>
      <c r="M1656" s="37"/>
      <c r="N1656" s="253"/>
      <c r="O1656" s="38"/>
    </row>
    <row r="1657" spans="1:15" s="63" customFormat="1" ht="24.95" customHeight="1">
      <c r="A1657" s="57" t="s">
        <v>2275</v>
      </c>
      <c r="B1657" s="58" t="s">
        <v>22</v>
      </c>
      <c r="C1657" s="59"/>
      <c r="D1657" s="60" t="s">
        <v>22</v>
      </c>
      <c r="E1657" s="60"/>
      <c r="F1657" s="61">
        <f>TRUNC(F1658+F1659+F1660+F1661+F1662+F1663,0)</f>
        <v>120717913</v>
      </c>
      <c r="G1657" s="60"/>
      <c r="H1657" s="61">
        <f>TRUNC(H1658+H1659+H1660+H1661+H1662+H1663,0)</f>
        <v>38757461</v>
      </c>
      <c r="I1657" s="60"/>
      <c r="J1657" s="61">
        <f>TRUNC(J1658+J1659+J1660+J1661+J1662+J1663,0)</f>
        <v>11660996</v>
      </c>
      <c r="K1657" s="61">
        <f t="shared" si="215"/>
        <v>0</v>
      </c>
      <c r="L1657" s="61">
        <f t="shared" si="214"/>
        <v>171136370</v>
      </c>
      <c r="M1657" s="62"/>
      <c r="N1657" s="253"/>
    </row>
    <row r="1658" spans="1:15" s="29" customFormat="1" ht="24.95" customHeight="1">
      <c r="A1658" s="31" t="s">
        <v>2276</v>
      </c>
      <c r="B1658" s="32" t="s">
        <v>1091</v>
      </c>
      <c r="C1658" s="33">
        <v>190</v>
      </c>
      <c r="D1658" s="34" t="s">
        <v>820</v>
      </c>
      <c r="E1658" s="36">
        <v>7815</v>
      </c>
      <c r="F1658" s="36">
        <f t="shared" ref="F1658:F1663" si="216">TRUNC(E1658*$C1658,0)</f>
        <v>1484850</v>
      </c>
      <c r="G1658" s="36">
        <v>1075</v>
      </c>
      <c r="H1658" s="36">
        <f t="shared" ref="H1658:H1663" si="217">TRUNC(G1658*$C1658,0)</f>
        <v>204250</v>
      </c>
      <c r="I1658" s="36">
        <v>2774</v>
      </c>
      <c r="J1658" s="36">
        <f t="shared" ref="J1658:J1663" si="218">TRUNC(I1658*$C1658,0)</f>
        <v>527060</v>
      </c>
      <c r="K1658" s="36">
        <f t="shared" si="215"/>
        <v>11664</v>
      </c>
      <c r="L1658" s="36">
        <f t="shared" si="214"/>
        <v>2216160</v>
      </c>
      <c r="M1658" s="37"/>
      <c r="N1658" s="253"/>
      <c r="O1658" s="38"/>
    </row>
    <row r="1659" spans="1:15" s="29" customFormat="1" ht="24.95" customHeight="1">
      <c r="A1659" s="31" t="s">
        <v>1159</v>
      </c>
      <c r="B1659" s="32" t="s">
        <v>1010</v>
      </c>
      <c r="C1659" s="33">
        <v>744</v>
      </c>
      <c r="D1659" s="34" t="s">
        <v>831</v>
      </c>
      <c r="E1659" s="36">
        <v>22733</v>
      </c>
      <c r="F1659" s="36">
        <f t="shared" si="216"/>
        <v>16913352</v>
      </c>
      <c r="G1659" s="36">
        <v>13934</v>
      </c>
      <c r="H1659" s="36">
        <f t="shared" si="217"/>
        <v>10366896</v>
      </c>
      <c r="I1659" s="36">
        <v>0</v>
      </c>
      <c r="J1659" s="36">
        <f t="shared" si="218"/>
        <v>0</v>
      </c>
      <c r="K1659" s="36">
        <f t="shared" si="215"/>
        <v>36667</v>
      </c>
      <c r="L1659" s="36">
        <f t="shared" si="214"/>
        <v>27280248</v>
      </c>
      <c r="M1659" s="37"/>
      <c r="N1659" s="253"/>
      <c r="O1659" s="38"/>
    </row>
    <row r="1660" spans="1:15" s="29" customFormat="1" ht="24.95" customHeight="1">
      <c r="A1660" s="31" t="s">
        <v>2277</v>
      </c>
      <c r="B1660" s="32" t="s">
        <v>2278</v>
      </c>
      <c r="C1660" s="33">
        <v>10277</v>
      </c>
      <c r="D1660" s="34" t="s">
        <v>847</v>
      </c>
      <c r="E1660" s="36">
        <v>4979</v>
      </c>
      <c r="F1660" s="36">
        <f t="shared" si="216"/>
        <v>51169183</v>
      </c>
      <c r="G1660" s="36">
        <v>1343</v>
      </c>
      <c r="H1660" s="36">
        <f t="shared" si="217"/>
        <v>13802011</v>
      </c>
      <c r="I1660" s="36">
        <v>0</v>
      </c>
      <c r="J1660" s="36">
        <f t="shared" si="218"/>
        <v>0</v>
      </c>
      <c r="K1660" s="36">
        <f t="shared" si="215"/>
        <v>6322</v>
      </c>
      <c r="L1660" s="36">
        <f t="shared" si="214"/>
        <v>64971194</v>
      </c>
      <c r="M1660" s="37"/>
      <c r="N1660" s="253"/>
      <c r="O1660" s="38"/>
    </row>
    <row r="1661" spans="1:15" s="29" customFormat="1" ht="24.95" customHeight="1">
      <c r="A1661" s="31" t="s">
        <v>2279</v>
      </c>
      <c r="B1661" s="32" t="s">
        <v>1732</v>
      </c>
      <c r="C1661" s="33">
        <v>7128</v>
      </c>
      <c r="D1661" s="34" t="s">
        <v>847</v>
      </c>
      <c r="E1661" s="36">
        <v>6642</v>
      </c>
      <c r="F1661" s="36">
        <f t="shared" si="216"/>
        <v>47344176</v>
      </c>
      <c r="G1661" s="36">
        <v>411</v>
      </c>
      <c r="H1661" s="36">
        <f t="shared" si="217"/>
        <v>2929608</v>
      </c>
      <c r="I1661" s="36">
        <v>1367</v>
      </c>
      <c r="J1661" s="36">
        <f t="shared" si="218"/>
        <v>9743976</v>
      </c>
      <c r="K1661" s="36">
        <f t="shared" si="215"/>
        <v>8420</v>
      </c>
      <c r="L1661" s="36">
        <f t="shared" si="215"/>
        <v>60017760</v>
      </c>
      <c r="M1661" s="37"/>
      <c r="N1661" s="253"/>
      <c r="O1661" s="38"/>
    </row>
    <row r="1662" spans="1:15" s="29" customFormat="1" ht="24.95" customHeight="1">
      <c r="A1662" s="31" t="s">
        <v>2280</v>
      </c>
      <c r="B1662" s="32" t="s">
        <v>804</v>
      </c>
      <c r="C1662" s="33">
        <v>7128</v>
      </c>
      <c r="D1662" s="34" t="s">
        <v>847</v>
      </c>
      <c r="E1662" s="36">
        <v>176</v>
      </c>
      <c r="F1662" s="36">
        <f t="shared" si="216"/>
        <v>1254528</v>
      </c>
      <c r="G1662" s="36">
        <v>1474</v>
      </c>
      <c r="H1662" s="36">
        <f t="shared" si="217"/>
        <v>10506672</v>
      </c>
      <c r="I1662" s="36">
        <v>11</v>
      </c>
      <c r="J1662" s="36">
        <f t="shared" si="218"/>
        <v>78408</v>
      </c>
      <c r="K1662" s="36">
        <f t="shared" si="215"/>
        <v>1661</v>
      </c>
      <c r="L1662" s="36">
        <f t="shared" si="215"/>
        <v>11839608</v>
      </c>
      <c r="M1662" s="37"/>
      <c r="N1662" s="253"/>
      <c r="O1662" s="38"/>
    </row>
    <row r="1663" spans="1:15" s="29" customFormat="1" ht="24.95" customHeight="1">
      <c r="A1663" s="31" t="s">
        <v>2281</v>
      </c>
      <c r="B1663" s="32" t="s">
        <v>826</v>
      </c>
      <c r="C1663" s="33">
        <v>7128</v>
      </c>
      <c r="D1663" s="34" t="s">
        <v>831</v>
      </c>
      <c r="E1663" s="36">
        <v>358</v>
      </c>
      <c r="F1663" s="36">
        <f t="shared" si="216"/>
        <v>2551824</v>
      </c>
      <c r="G1663" s="36">
        <v>133</v>
      </c>
      <c r="H1663" s="36">
        <f t="shared" si="217"/>
        <v>948024</v>
      </c>
      <c r="I1663" s="36">
        <v>184</v>
      </c>
      <c r="J1663" s="36">
        <f t="shared" si="218"/>
        <v>1311552</v>
      </c>
      <c r="K1663" s="36">
        <f t="shared" si="215"/>
        <v>675</v>
      </c>
      <c r="L1663" s="36">
        <f t="shared" si="215"/>
        <v>4811400</v>
      </c>
      <c r="M1663" s="37"/>
      <c r="N1663" s="253"/>
      <c r="O1663" s="38"/>
    </row>
    <row r="1664" spans="1:15" s="63" customFormat="1" ht="24.95" customHeight="1">
      <c r="A1664" s="57" t="s">
        <v>2282</v>
      </c>
      <c r="B1664" s="58" t="s">
        <v>22</v>
      </c>
      <c r="C1664" s="59"/>
      <c r="D1664" s="60" t="s">
        <v>22</v>
      </c>
      <c r="E1664" s="60"/>
      <c r="F1664" s="61">
        <f>TRUNC(F1665+F1666,0)</f>
        <v>4551027</v>
      </c>
      <c r="G1664" s="60"/>
      <c r="H1664" s="61">
        <f>TRUNC(H1665+H1666,0)</f>
        <v>2660391</v>
      </c>
      <c r="I1664" s="60"/>
      <c r="J1664" s="61">
        <f>TRUNC(J1665+J1666,0)</f>
        <v>40785</v>
      </c>
      <c r="K1664" s="61">
        <f t="shared" si="215"/>
        <v>0</v>
      </c>
      <c r="L1664" s="61">
        <f t="shared" si="215"/>
        <v>7252203</v>
      </c>
      <c r="M1664" s="62"/>
      <c r="N1664" s="253"/>
    </row>
    <row r="1665" spans="1:15" s="29" customFormat="1" ht="24.95" customHeight="1">
      <c r="A1665" s="31" t="s">
        <v>1158</v>
      </c>
      <c r="B1665" s="32" t="s">
        <v>1008</v>
      </c>
      <c r="C1665" s="33">
        <v>15</v>
      </c>
      <c r="D1665" s="34" t="s">
        <v>815</v>
      </c>
      <c r="E1665" s="36">
        <v>16966</v>
      </c>
      <c r="F1665" s="36">
        <f>TRUNC(E1665*$C1665,0)</f>
        <v>254490</v>
      </c>
      <c r="G1665" s="36">
        <v>1791</v>
      </c>
      <c r="H1665" s="36">
        <f>TRUNC(G1665*$C1665,0)</f>
        <v>26865</v>
      </c>
      <c r="I1665" s="36">
        <v>2719</v>
      </c>
      <c r="J1665" s="36">
        <f>TRUNC(I1665*$C1665,0)</f>
        <v>40785</v>
      </c>
      <c r="K1665" s="36">
        <f t="shared" si="215"/>
        <v>21476</v>
      </c>
      <c r="L1665" s="36">
        <f t="shared" si="215"/>
        <v>322140</v>
      </c>
      <c r="M1665" s="37"/>
      <c r="N1665" s="253"/>
      <c r="O1665" s="38"/>
    </row>
    <row r="1666" spans="1:15" s="29" customFormat="1" ht="24.95" customHeight="1">
      <c r="A1666" s="31" t="s">
        <v>1159</v>
      </c>
      <c r="B1666" s="32" t="s">
        <v>1010</v>
      </c>
      <c r="C1666" s="33">
        <v>189</v>
      </c>
      <c r="D1666" s="34" t="s">
        <v>831</v>
      </c>
      <c r="E1666" s="36">
        <v>22733</v>
      </c>
      <c r="F1666" s="36">
        <f>TRUNC(E1666*$C1666,0)</f>
        <v>4296537</v>
      </c>
      <c r="G1666" s="36">
        <v>13934</v>
      </c>
      <c r="H1666" s="36">
        <f>TRUNC(G1666*$C1666,0)</f>
        <v>2633526</v>
      </c>
      <c r="I1666" s="36">
        <v>0</v>
      </c>
      <c r="J1666" s="36">
        <f>TRUNC(I1666*$C1666,0)</f>
        <v>0</v>
      </c>
      <c r="K1666" s="36">
        <f t="shared" si="215"/>
        <v>36667</v>
      </c>
      <c r="L1666" s="36">
        <f t="shared" si="215"/>
        <v>6930063</v>
      </c>
      <c r="M1666" s="37"/>
      <c r="N1666" s="253"/>
      <c r="O1666" s="38"/>
    </row>
    <row r="1667" spans="1:15" s="63" customFormat="1" ht="24.95" customHeight="1">
      <c r="A1667" s="57" t="s">
        <v>2283</v>
      </c>
      <c r="B1667" s="58" t="s">
        <v>22</v>
      </c>
      <c r="C1667" s="59"/>
      <c r="D1667" s="60" t="s">
        <v>22</v>
      </c>
      <c r="E1667" s="60"/>
      <c r="F1667" s="61">
        <f>TRUNC(F1668+F1669+F1670+F1671,0)</f>
        <v>1451758</v>
      </c>
      <c r="G1667" s="60"/>
      <c r="H1667" s="61">
        <f>TRUNC(H1668+H1669+H1670+H1671,0)</f>
        <v>221526</v>
      </c>
      <c r="I1667" s="60"/>
      <c r="J1667" s="61">
        <f>TRUNC(J1668+J1669+J1670+J1671,0)</f>
        <v>74626</v>
      </c>
      <c r="K1667" s="61">
        <f t="shared" si="215"/>
        <v>0</v>
      </c>
      <c r="L1667" s="61">
        <f t="shared" si="215"/>
        <v>1747910</v>
      </c>
      <c r="M1667" s="62"/>
      <c r="N1667" s="253"/>
    </row>
    <row r="1668" spans="1:15" s="29" customFormat="1" ht="24.95" customHeight="1">
      <c r="A1668" s="31" t="s">
        <v>2284</v>
      </c>
      <c r="B1668" s="32" t="s">
        <v>2285</v>
      </c>
      <c r="C1668" s="33">
        <v>48</v>
      </c>
      <c r="D1668" s="34" t="s">
        <v>820</v>
      </c>
      <c r="E1668" s="36">
        <v>10957</v>
      </c>
      <c r="F1668" s="36">
        <f>TRUNC(E1668*$C1668,0)</f>
        <v>525936</v>
      </c>
      <c r="G1668" s="36">
        <v>339</v>
      </c>
      <c r="H1668" s="36">
        <f>TRUNC(G1668*$C1668,0)</f>
        <v>16272</v>
      </c>
      <c r="I1668" s="36">
        <v>0</v>
      </c>
      <c r="J1668" s="36">
        <f>TRUNC(I1668*$C1668,0)</f>
        <v>0</v>
      </c>
      <c r="K1668" s="36">
        <f t="shared" si="215"/>
        <v>11296</v>
      </c>
      <c r="L1668" s="36">
        <f t="shared" si="215"/>
        <v>542208</v>
      </c>
      <c r="M1668" s="37"/>
      <c r="N1668" s="253"/>
      <c r="O1668" s="38"/>
    </row>
    <row r="1669" spans="1:15" s="29" customFormat="1" ht="24.95" customHeight="1">
      <c r="A1669" s="31" t="s">
        <v>2286</v>
      </c>
      <c r="B1669" s="32" t="s">
        <v>2287</v>
      </c>
      <c r="C1669" s="33">
        <v>48</v>
      </c>
      <c r="D1669" s="34" t="s">
        <v>820</v>
      </c>
      <c r="E1669" s="36">
        <v>7624</v>
      </c>
      <c r="F1669" s="36">
        <f>TRUNC(E1669*$C1669,0)</f>
        <v>365952</v>
      </c>
      <c r="G1669" s="36">
        <v>1433</v>
      </c>
      <c r="H1669" s="36">
        <f>TRUNC(G1669*$C1669,0)</f>
        <v>68784</v>
      </c>
      <c r="I1669" s="36">
        <v>1532</v>
      </c>
      <c r="J1669" s="36">
        <f>TRUNC(I1669*$C1669,0)</f>
        <v>73536</v>
      </c>
      <c r="K1669" s="36">
        <f t="shared" si="215"/>
        <v>10589</v>
      </c>
      <c r="L1669" s="36">
        <f t="shared" si="215"/>
        <v>508272</v>
      </c>
      <c r="M1669" s="37"/>
      <c r="N1669" s="253"/>
      <c r="O1669" s="38"/>
    </row>
    <row r="1670" spans="1:15" s="29" customFormat="1" ht="24.95" customHeight="1">
      <c r="A1670" s="31" t="s">
        <v>2288</v>
      </c>
      <c r="B1670" s="32" t="s">
        <v>2289</v>
      </c>
      <c r="C1670" s="33">
        <v>120</v>
      </c>
      <c r="D1670" s="34" t="s">
        <v>116</v>
      </c>
      <c r="E1670" s="36">
        <v>4546</v>
      </c>
      <c r="F1670" s="36">
        <f>TRUNC(E1670*$C1670,0)</f>
        <v>545520</v>
      </c>
      <c r="G1670" s="36">
        <v>966</v>
      </c>
      <c r="H1670" s="36">
        <f>TRUNC(G1670*$C1670,0)</f>
        <v>115920</v>
      </c>
      <c r="I1670" s="36">
        <v>0</v>
      </c>
      <c r="J1670" s="36">
        <f>TRUNC(I1670*$C1670,0)</f>
        <v>0</v>
      </c>
      <c r="K1670" s="36">
        <f t="shared" si="215"/>
        <v>5512</v>
      </c>
      <c r="L1670" s="36">
        <f t="shared" si="215"/>
        <v>661440</v>
      </c>
      <c r="M1670" s="37"/>
      <c r="N1670" s="253"/>
      <c r="O1670" s="38"/>
    </row>
    <row r="1671" spans="1:15" s="29" customFormat="1" ht="24.95" customHeight="1">
      <c r="A1671" s="31" t="s">
        <v>2290</v>
      </c>
      <c r="B1671" s="32" t="s">
        <v>22</v>
      </c>
      <c r="C1671" s="33">
        <v>10</v>
      </c>
      <c r="D1671" s="34" t="s">
        <v>116</v>
      </c>
      <c r="E1671" s="36">
        <v>1435</v>
      </c>
      <c r="F1671" s="36">
        <f>TRUNC(E1671*$C1671,0)</f>
        <v>14350</v>
      </c>
      <c r="G1671" s="36">
        <v>2055</v>
      </c>
      <c r="H1671" s="36">
        <f>TRUNC(G1671*$C1671,0)</f>
        <v>20550</v>
      </c>
      <c r="I1671" s="36">
        <v>109</v>
      </c>
      <c r="J1671" s="36">
        <f>TRUNC(I1671*$C1671,0)</f>
        <v>1090</v>
      </c>
      <c r="K1671" s="36">
        <f t="shared" si="215"/>
        <v>3599</v>
      </c>
      <c r="L1671" s="36">
        <f t="shared" si="215"/>
        <v>35990</v>
      </c>
      <c r="M1671" s="37"/>
      <c r="N1671" s="253"/>
      <c r="O1671" s="38"/>
    </row>
    <row r="1672" spans="1:15" s="63" customFormat="1" ht="24.95" customHeight="1">
      <c r="A1672" s="57" t="s">
        <v>2291</v>
      </c>
      <c r="B1672" s="58" t="s">
        <v>22</v>
      </c>
      <c r="C1672" s="59"/>
      <c r="D1672" s="60" t="s">
        <v>22</v>
      </c>
      <c r="E1672" s="60"/>
      <c r="F1672" s="61">
        <f>TRUNC(F1673+F1674,0)</f>
        <v>62432</v>
      </c>
      <c r="G1672" s="60"/>
      <c r="H1672" s="61">
        <f>TRUNC(H1673+H1674,0)</f>
        <v>29659</v>
      </c>
      <c r="I1672" s="60"/>
      <c r="J1672" s="61">
        <f>TRUNC(J1673+J1674,0)</f>
        <v>2719</v>
      </c>
      <c r="K1672" s="61">
        <f t="shared" si="215"/>
        <v>0</v>
      </c>
      <c r="L1672" s="61">
        <f t="shared" si="215"/>
        <v>94810</v>
      </c>
      <c r="M1672" s="62"/>
      <c r="N1672" s="253"/>
    </row>
    <row r="1673" spans="1:15" s="29" customFormat="1" ht="24.95" customHeight="1">
      <c r="A1673" s="31" t="s">
        <v>1158</v>
      </c>
      <c r="B1673" s="32" t="s">
        <v>1008</v>
      </c>
      <c r="C1673" s="33">
        <v>1</v>
      </c>
      <c r="D1673" s="34" t="s">
        <v>815</v>
      </c>
      <c r="E1673" s="36">
        <v>16966</v>
      </c>
      <c r="F1673" s="36">
        <f>TRUNC(E1673*$C1673,0)</f>
        <v>16966</v>
      </c>
      <c r="G1673" s="36">
        <v>1791</v>
      </c>
      <c r="H1673" s="36">
        <f>TRUNC(G1673*$C1673,0)</f>
        <v>1791</v>
      </c>
      <c r="I1673" s="36">
        <v>2719</v>
      </c>
      <c r="J1673" s="36">
        <f>TRUNC(I1673*$C1673,0)</f>
        <v>2719</v>
      </c>
      <c r="K1673" s="36">
        <f t="shared" si="215"/>
        <v>21476</v>
      </c>
      <c r="L1673" s="36">
        <f t="shared" si="215"/>
        <v>21476</v>
      </c>
      <c r="M1673" s="37"/>
      <c r="N1673" s="253"/>
      <c r="O1673" s="38"/>
    </row>
    <row r="1674" spans="1:15" s="29" customFormat="1" ht="24.95" customHeight="1">
      <c r="A1674" s="31" t="s">
        <v>1159</v>
      </c>
      <c r="B1674" s="32" t="s">
        <v>1010</v>
      </c>
      <c r="C1674" s="33">
        <v>2</v>
      </c>
      <c r="D1674" s="34" t="s">
        <v>831</v>
      </c>
      <c r="E1674" s="36">
        <v>22733</v>
      </c>
      <c r="F1674" s="36">
        <f>TRUNC(E1674*$C1674,0)</f>
        <v>45466</v>
      </c>
      <c r="G1674" s="36">
        <v>13934</v>
      </c>
      <c r="H1674" s="36">
        <f>TRUNC(G1674*$C1674,0)</f>
        <v>27868</v>
      </c>
      <c r="I1674" s="36">
        <v>0</v>
      </c>
      <c r="J1674" s="36">
        <f>TRUNC(I1674*$C1674,0)</f>
        <v>0</v>
      </c>
      <c r="K1674" s="36">
        <f t="shared" si="215"/>
        <v>36667</v>
      </c>
      <c r="L1674" s="36">
        <f t="shared" si="215"/>
        <v>73334</v>
      </c>
      <c r="M1674" s="37"/>
      <c r="N1674" s="253"/>
      <c r="O1674" s="38"/>
    </row>
    <row r="1675" spans="1:15" s="63" customFormat="1" ht="24.95" customHeight="1">
      <c r="A1675" s="57" t="s">
        <v>2292</v>
      </c>
      <c r="B1675" s="58" t="s">
        <v>22</v>
      </c>
      <c r="C1675" s="59"/>
      <c r="D1675" s="60" t="s">
        <v>22</v>
      </c>
      <c r="E1675" s="60"/>
      <c r="F1675" s="61">
        <f>TRUNC(F1676,0)</f>
        <v>0</v>
      </c>
      <c r="G1675" s="60"/>
      <c r="H1675" s="61">
        <f>TRUNC(H1676,0)</f>
        <v>0</v>
      </c>
      <c r="I1675" s="60"/>
      <c r="J1675" s="61">
        <f>TRUNC(J1676,0)</f>
        <v>19667952</v>
      </c>
      <c r="K1675" s="61">
        <f t="shared" si="215"/>
        <v>0</v>
      </c>
      <c r="L1675" s="61">
        <f t="shared" si="215"/>
        <v>19667952</v>
      </c>
      <c r="M1675" s="62"/>
      <c r="N1675" s="253"/>
    </row>
    <row r="1676" spans="1:15" s="29" customFormat="1" ht="24.95" customHeight="1">
      <c r="A1676" s="31" t="s">
        <v>2293</v>
      </c>
      <c r="B1676" s="32" t="s">
        <v>2294</v>
      </c>
      <c r="C1676" s="33">
        <v>7484</v>
      </c>
      <c r="D1676" s="34" t="s">
        <v>166</v>
      </c>
      <c r="E1676" s="36">
        <v>0</v>
      </c>
      <c r="F1676" s="36">
        <f>TRUNC(E1676*$C1676,0)</f>
        <v>0</v>
      </c>
      <c r="G1676" s="36">
        <v>0</v>
      </c>
      <c r="H1676" s="36">
        <f>TRUNC(G1676*$C1676,0)</f>
        <v>0</v>
      </c>
      <c r="I1676" s="36">
        <v>2628</v>
      </c>
      <c r="J1676" s="36">
        <f>TRUNC(I1676*$C1676,0)</f>
        <v>19667952</v>
      </c>
      <c r="K1676" s="36">
        <f t="shared" si="215"/>
        <v>2628</v>
      </c>
      <c r="L1676" s="36">
        <f t="shared" si="215"/>
        <v>19667952</v>
      </c>
      <c r="M1676" s="37"/>
      <c r="N1676" s="253"/>
      <c r="O1676" s="38"/>
    </row>
    <row r="1677" spans="1:15" s="63" customFormat="1" ht="24.95" customHeight="1">
      <c r="A1677" s="57" t="s">
        <v>2295</v>
      </c>
      <c r="B1677" s="58" t="s">
        <v>22</v>
      </c>
      <c r="C1677" s="59"/>
      <c r="D1677" s="60" t="s">
        <v>22</v>
      </c>
      <c r="E1677" s="60"/>
      <c r="F1677" s="61">
        <f>TRUNC(F1679+F1680+F1682+F1684+F1686+F1687+F1689+F1691+F1693,0)</f>
        <v>0</v>
      </c>
      <c r="G1677" s="60"/>
      <c r="H1677" s="61">
        <f>TRUNC(H1679+H1680+H1682+H1684+H1686+H1687+H1689+H1691+H1693,0)</f>
        <v>361397619</v>
      </c>
      <c r="I1677" s="60"/>
      <c r="J1677" s="61">
        <f>TRUNC(J1679+J1680+J1682+J1684+J1686+J1687+J1689+J1691+J1693,0)</f>
        <v>0</v>
      </c>
      <c r="K1677" s="61">
        <f t="shared" si="215"/>
        <v>0</v>
      </c>
      <c r="L1677" s="61">
        <f t="shared" si="215"/>
        <v>361397619</v>
      </c>
      <c r="M1677" s="62"/>
      <c r="N1677" s="253"/>
    </row>
    <row r="1678" spans="1:15" s="70" customFormat="1" ht="24.95" customHeight="1">
      <c r="A1678" s="64" t="s">
        <v>1253</v>
      </c>
      <c r="B1678" s="65" t="s">
        <v>22</v>
      </c>
      <c r="C1678" s="66"/>
      <c r="D1678" s="67" t="s">
        <v>22</v>
      </c>
      <c r="E1678" s="67"/>
      <c r="F1678" s="68">
        <f>TRUNC(F1679+F1680,0)</f>
        <v>0</v>
      </c>
      <c r="G1678" s="67"/>
      <c r="H1678" s="68">
        <f>TRUNC(H1679+H1680,0)</f>
        <v>21152259</v>
      </c>
      <c r="I1678" s="67"/>
      <c r="J1678" s="68">
        <f>TRUNC(J1679+J1680,0)</f>
        <v>0</v>
      </c>
      <c r="K1678" s="68">
        <f t="shared" si="215"/>
        <v>0</v>
      </c>
      <c r="L1678" s="68">
        <f t="shared" si="215"/>
        <v>21152259</v>
      </c>
      <c r="M1678" s="69"/>
      <c r="N1678" s="256"/>
    </row>
    <row r="1679" spans="1:15" s="29" customFormat="1" ht="24.95" customHeight="1">
      <c r="A1679" s="31" t="s">
        <v>2296</v>
      </c>
      <c r="B1679" s="32" t="s">
        <v>1259</v>
      </c>
      <c r="C1679" s="33">
        <v>209</v>
      </c>
      <c r="D1679" s="34" t="s">
        <v>815</v>
      </c>
      <c r="E1679" s="36">
        <v>0</v>
      </c>
      <c r="F1679" s="36">
        <f>TRUNC(E1679*$C1679,0)</f>
        <v>0</v>
      </c>
      <c r="G1679" s="36">
        <v>81324</v>
      </c>
      <c r="H1679" s="36">
        <f>TRUNC(G1679*$C1679,0)</f>
        <v>16996716</v>
      </c>
      <c r="I1679" s="36">
        <v>0</v>
      </c>
      <c r="J1679" s="36">
        <f>TRUNC(I1679*$C1679,0)</f>
        <v>0</v>
      </c>
      <c r="K1679" s="36">
        <f t="shared" si="215"/>
        <v>81324</v>
      </c>
      <c r="L1679" s="36">
        <f t="shared" si="215"/>
        <v>16996716</v>
      </c>
      <c r="M1679" s="37"/>
      <c r="N1679" s="253"/>
      <c r="O1679" s="38"/>
    </row>
    <row r="1680" spans="1:15" s="29" customFormat="1" ht="24.95" customHeight="1">
      <c r="A1680" s="31" t="s">
        <v>2297</v>
      </c>
      <c r="B1680" s="32" t="s">
        <v>1258</v>
      </c>
      <c r="C1680" s="33">
        <v>49</v>
      </c>
      <c r="D1680" s="34" t="s">
        <v>815</v>
      </c>
      <c r="E1680" s="36">
        <v>0</v>
      </c>
      <c r="F1680" s="36">
        <f>TRUNC(E1680*$C1680,0)</f>
        <v>0</v>
      </c>
      <c r="G1680" s="36">
        <v>84807</v>
      </c>
      <c r="H1680" s="36">
        <f>TRUNC(G1680*$C1680,0)</f>
        <v>4155543</v>
      </c>
      <c r="I1680" s="36">
        <v>0</v>
      </c>
      <c r="J1680" s="36">
        <f>TRUNC(I1680*$C1680,0)</f>
        <v>0</v>
      </c>
      <c r="K1680" s="36">
        <f t="shared" si="215"/>
        <v>84807</v>
      </c>
      <c r="L1680" s="36">
        <f t="shared" si="215"/>
        <v>4155543</v>
      </c>
      <c r="M1680" s="37"/>
      <c r="N1680" s="253"/>
      <c r="O1680" s="38"/>
    </row>
    <row r="1681" spans="1:15" s="70" customFormat="1" ht="24.95" customHeight="1">
      <c r="A1681" s="64" t="s">
        <v>1260</v>
      </c>
      <c r="B1681" s="65" t="s">
        <v>22</v>
      </c>
      <c r="C1681" s="66"/>
      <c r="D1681" s="67" t="s">
        <v>22</v>
      </c>
      <c r="E1681" s="67"/>
      <c r="F1681" s="68">
        <f>TRUNC(F1682,0)</f>
        <v>0</v>
      </c>
      <c r="G1681" s="67"/>
      <c r="H1681" s="68">
        <f>TRUNC(H1682,0)</f>
        <v>1067134</v>
      </c>
      <c r="I1681" s="67"/>
      <c r="J1681" s="68">
        <f>TRUNC(J1682,0)</f>
        <v>0</v>
      </c>
      <c r="K1681" s="68">
        <f t="shared" si="215"/>
        <v>0</v>
      </c>
      <c r="L1681" s="68">
        <f t="shared" si="215"/>
        <v>1067134</v>
      </c>
      <c r="M1681" s="69"/>
      <c r="N1681" s="256"/>
    </row>
    <row r="1682" spans="1:15" s="29" customFormat="1" ht="24.95" customHeight="1">
      <c r="A1682" s="31" t="s">
        <v>2298</v>
      </c>
      <c r="B1682" s="32" t="s">
        <v>1831</v>
      </c>
      <c r="C1682" s="33">
        <v>61</v>
      </c>
      <c r="D1682" s="34" t="s">
        <v>815</v>
      </c>
      <c r="E1682" s="36">
        <v>0</v>
      </c>
      <c r="F1682" s="36">
        <f>TRUNC(E1682*$C1682,0)</f>
        <v>0</v>
      </c>
      <c r="G1682" s="36">
        <v>17494</v>
      </c>
      <c r="H1682" s="36">
        <f>TRUNC(G1682*$C1682,0)</f>
        <v>1067134</v>
      </c>
      <c r="I1682" s="36">
        <v>0</v>
      </c>
      <c r="J1682" s="36">
        <f>TRUNC(I1682*$C1682,0)</f>
        <v>0</v>
      </c>
      <c r="K1682" s="36">
        <f t="shared" si="215"/>
        <v>17494</v>
      </c>
      <c r="L1682" s="36">
        <f t="shared" si="215"/>
        <v>1067134</v>
      </c>
      <c r="M1682" s="37"/>
      <c r="N1682" s="253"/>
      <c r="O1682" s="38"/>
    </row>
    <row r="1683" spans="1:15" s="70" customFormat="1" ht="24.95" customHeight="1">
      <c r="A1683" s="64" t="s">
        <v>2299</v>
      </c>
      <c r="B1683" s="65" t="s">
        <v>22</v>
      </c>
      <c r="C1683" s="66"/>
      <c r="D1683" s="67" t="s">
        <v>22</v>
      </c>
      <c r="E1683" s="67"/>
      <c r="F1683" s="68">
        <f>TRUNC(F1684,0)</f>
        <v>0</v>
      </c>
      <c r="G1683" s="67"/>
      <c r="H1683" s="68">
        <f>TRUNC(H1684,0)</f>
        <v>241905332</v>
      </c>
      <c r="I1683" s="67"/>
      <c r="J1683" s="68">
        <f>TRUNC(J1684,0)</f>
        <v>0</v>
      </c>
      <c r="K1683" s="68">
        <f t="shared" si="215"/>
        <v>0</v>
      </c>
      <c r="L1683" s="68">
        <f t="shared" si="215"/>
        <v>241905332</v>
      </c>
      <c r="M1683" s="69"/>
      <c r="N1683" s="256"/>
    </row>
    <row r="1684" spans="1:15" s="29" customFormat="1" ht="24.95" customHeight="1">
      <c r="A1684" s="31" t="s">
        <v>2300</v>
      </c>
      <c r="B1684" s="32" t="s">
        <v>2301</v>
      </c>
      <c r="C1684" s="33">
        <v>7484</v>
      </c>
      <c r="D1684" s="34" t="s">
        <v>1116</v>
      </c>
      <c r="E1684" s="36">
        <v>0</v>
      </c>
      <c r="F1684" s="36">
        <f>TRUNC(E1684*$C1684,0)</f>
        <v>0</v>
      </c>
      <c r="G1684" s="36">
        <v>32323</v>
      </c>
      <c r="H1684" s="36">
        <f>TRUNC(G1684*$C1684,0)</f>
        <v>241905332</v>
      </c>
      <c r="I1684" s="36">
        <v>0</v>
      </c>
      <c r="J1684" s="36">
        <f>TRUNC(I1684*$C1684,0)</f>
        <v>0</v>
      </c>
      <c r="K1684" s="36">
        <f t="shared" si="215"/>
        <v>32323</v>
      </c>
      <c r="L1684" s="36">
        <f t="shared" si="215"/>
        <v>241905332</v>
      </c>
      <c r="M1684" s="37"/>
      <c r="N1684" s="253"/>
      <c r="O1684" s="38"/>
    </row>
    <row r="1685" spans="1:15" s="70" customFormat="1" ht="24.95" customHeight="1">
      <c r="A1685" s="64" t="s">
        <v>2302</v>
      </c>
      <c r="B1685" s="65" t="s">
        <v>22</v>
      </c>
      <c r="C1685" s="66"/>
      <c r="D1685" s="67" t="s">
        <v>22</v>
      </c>
      <c r="E1685" s="67"/>
      <c r="F1685" s="68">
        <f>TRUNC(F1686+F1687,0)</f>
        <v>0</v>
      </c>
      <c r="G1685" s="67"/>
      <c r="H1685" s="68">
        <f>TRUNC(H1686+H1687,0)</f>
        <v>92365970</v>
      </c>
      <c r="I1685" s="67"/>
      <c r="J1685" s="68">
        <f>TRUNC(J1686+J1687,0)</f>
        <v>0</v>
      </c>
      <c r="K1685" s="68">
        <f t="shared" si="215"/>
        <v>0</v>
      </c>
      <c r="L1685" s="68">
        <f t="shared" si="215"/>
        <v>92365970</v>
      </c>
      <c r="M1685" s="69"/>
      <c r="N1685" s="256"/>
    </row>
    <row r="1686" spans="1:15" s="29" customFormat="1" ht="24.95" customHeight="1">
      <c r="A1686" s="31" t="s">
        <v>2303</v>
      </c>
      <c r="B1686" s="32" t="s">
        <v>2304</v>
      </c>
      <c r="C1686" s="33">
        <v>392</v>
      </c>
      <c r="D1686" s="34" t="s">
        <v>1799</v>
      </c>
      <c r="E1686" s="36">
        <v>0</v>
      </c>
      <c r="F1686" s="36">
        <f>TRUNC(E1686*$C1686,0)</f>
        <v>0</v>
      </c>
      <c r="G1686" s="36">
        <v>229064</v>
      </c>
      <c r="H1686" s="36">
        <f>TRUNC(G1686*$C1686,0)</f>
        <v>89793088</v>
      </c>
      <c r="I1686" s="36">
        <v>0</v>
      </c>
      <c r="J1686" s="36">
        <f>TRUNC(I1686*$C1686,0)</f>
        <v>0</v>
      </c>
      <c r="K1686" s="36">
        <f t="shared" si="215"/>
        <v>229064</v>
      </c>
      <c r="L1686" s="36">
        <f t="shared" si="215"/>
        <v>89793088</v>
      </c>
      <c r="M1686" s="37"/>
      <c r="N1686" s="253"/>
      <c r="O1686" s="38"/>
    </row>
    <row r="1687" spans="1:15" s="29" customFormat="1" ht="24.95" customHeight="1">
      <c r="A1687" s="31" t="s">
        <v>2305</v>
      </c>
      <c r="B1687" s="32" t="s">
        <v>2304</v>
      </c>
      <c r="C1687" s="33">
        <v>2</v>
      </c>
      <c r="D1687" s="34" t="s">
        <v>1799</v>
      </c>
      <c r="E1687" s="36">
        <v>0</v>
      </c>
      <c r="F1687" s="36">
        <f>TRUNC(E1687*$C1687,0)</f>
        <v>0</v>
      </c>
      <c r="G1687" s="36">
        <v>1286441</v>
      </c>
      <c r="H1687" s="36">
        <f>TRUNC(G1687*$C1687,0)</f>
        <v>2572882</v>
      </c>
      <c r="I1687" s="36">
        <v>0</v>
      </c>
      <c r="J1687" s="36">
        <f>TRUNC(I1687*$C1687,0)</f>
        <v>0</v>
      </c>
      <c r="K1687" s="36">
        <f t="shared" si="215"/>
        <v>1286441</v>
      </c>
      <c r="L1687" s="36">
        <f t="shared" si="215"/>
        <v>2572882</v>
      </c>
      <c r="M1687" s="37"/>
      <c r="N1687" s="253"/>
      <c r="O1687" s="38"/>
    </row>
    <row r="1688" spans="1:15" s="70" customFormat="1" ht="24.95" customHeight="1">
      <c r="A1688" s="64" t="s">
        <v>2306</v>
      </c>
      <c r="B1688" s="65" t="s">
        <v>22</v>
      </c>
      <c r="C1688" s="66"/>
      <c r="D1688" s="67" t="s">
        <v>22</v>
      </c>
      <c r="E1688" s="67"/>
      <c r="F1688" s="68">
        <f>TRUNC(F1689,0)</f>
        <v>0</v>
      </c>
      <c r="G1688" s="67"/>
      <c r="H1688" s="68">
        <f>TRUNC(H1689,0)</f>
        <v>38304</v>
      </c>
      <c r="I1688" s="67"/>
      <c r="J1688" s="68">
        <f>TRUNC(J1689,0)</f>
        <v>0</v>
      </c>
      <c r="K1688" s="68">
        <f t="shared" si="215"/>
        <v>0</v>
      </c>
      <c r="L1688" s="68">
        <f t="shared" si="215"/>
        <v>38304</v>
      </c>
      <c r="M1688" s="69"/>
      <c r="N1688" s="256"/>
    </row>
    <row r="1689" spans="1:15" s="29" customFormat="1" ht="24.95" customHeight="1">
      <c r="A1689" s="31" t="s">
        <v>2307</v>
      </c>
      <c r="B1689" s="32" t="s">
        <v>2308</v>
      </c>
      <c r="C1689" s="33">
        <v>252</v>
      </c>
      <c r="D1689" s="34" t="s">
        <v>847</v>
      </c>
      <c r="E1689" s="36">
        <v>0</v>
      </c>
      <c r="F1689" s="36">
        <f>TRUNC(E1689*$C1689,0)</f>
        <v>0</v>
      </c>
      <c r="G1689" s="36">
        <v>152</v>
      </c>
      <c r="H1689" s="36">
        <f>TRUNC(G1689*$C1689,0)</f>
        <v>38304</v>
      </c>
      <c r="I1689" s="36">
        <v>0</v>
      </c>
      <c r="J1689" s="36">
        <f>TRUNC(I1689*$C1689,0)</f>
        <v>0</v>
      </c>
      <c r="K1689" s="36">
        <f t="shared" si="215"/>
        <v>152</v>
      </c>
      <c r="L1689" s="36">
        <f t="shared" si="215"/>
        <v>38304</v>
      </c>
      <c r="M1689" s="37"/>
      <c r="N1689" s="253"/>
      <c r="O1689" s="38"/>
    </row>
    <row r="1690" spans="1:15" s="70" customFormat="1" ht="24.95" customHeight="1">
      <c r="A1690" s="64" t="s">
        <v>2309</v>
      </c>
      <c r="B1690" s="65" t="s">
        <v>22</v>
      </c>
      <c r="C1690" s="66"/>
      <c r="D1690" s="67" t="s">
        <v>22</v>
      </c>
      <c r="E1690" s="67"/>
      <c r="F1690" s="68">
        <f>TRUNC(F1691,0)</f>
        <v>0</v>
      </c>
      <c r="G1690" s="67"/>
      <c r="H1690" s="68">
        <f>TRUNC(H1691,0)</f>
        <v>420000</v>
      </c>
      <c r="I1690" s="67"/>
      <c r="J1690" s="68">
        <f>TRUNC(J1691,0)</f>
        <v>0</v>
      </c>
      <c r="K1690" s="68">
        <f t="shared" si="215"/>
        <v>0</v>
      </c>
      <c r="L1690" s="68">
        <f t="shared" si="215"/>
        <v>420000</v>
      </c>
      <c r="M1690" s="69"/>
      <c r="N1690" s="256"/>
    </row>
    <row r="1691" spans="1:15" s="29" customFormat="1" ht="24.95" customHeight="1">
      <c r="A1691" s="31" t="s">
        <v>2310</v>
      </c>
      <c r="B1691" s="32" t="s">
        <v>2311</v>
      </c>
      <c r="C1691" s="33">
        <v>240</v>
      </c>
      <c r="D1691" s="34" t="s">
        <v>847</v>
      </c>
      <c r="E1691" s="36">
        <v>0</v>
      </c>
      <c r="F1691" s="36">
        <f>TRUNC(E1691*$C1691,0)</f>
        <v>0</v>
      </c>
      <c r="G1691" s="36">
        <v>1750</v>
      </c>
      <c r="H1691" s="36">
        <f>TRUNC(G1691*$C1691,0)</f>
        <v>420000</v>
      </c>
      <c r="I1691" s="36">
        <v>0</v>
      </c>
      <c r="J1691" s="36">
        <f>TRUNC(I1691*$C1691,0)</f>
        <v>0</v>
      </c>
      <c r="K1691" s="36">
        <f t="shared" si="215"/>
        <v>1750</v>
      </c>
      <c r="L1691" s="36">
        <f t="shared" si="215"/>
        <v>420000</v>
      </c>
      <c r="M1691" s="37"/>
      <c r="N1691" s="253"/>
      <c r="O1691" s="38"/>
    </row>
    <row r="1692" spans="1:15" s="70" customFormat="1" ht="24.95" customHeight="1">
      <c r="A1692" s="64" t="s">
        <v>2312</v>
      </c>
      <c r="B1692" s="65" t="s">
        <v>22</v>
      </c>
      <c r="C1692" s="66"/>
      <c r="D1692" s="67" t="s">
        <v>22</v>
      </c>
      <c r="E1692" s="67"/>
      <c r="F1692" s="68">
        <f>TRUNC(F1693,0)</f>
        <v>0</v>
      </c>
      <c r="G1692" s="67"/>
      <c r="H1692" s="68">
        <f>TRUNC(H1693,0)</f>
        <v>4448620</v>
      </c>
      <c r="I1692" s="67"/>
      <c r="J1692" s="68">
        <f>TRUNC(J1693,0)</f>
        <v>0</v>
      </c>
      <c r="K1692" s="68">
        <f t="shared" si="215"/>
        <v>0</v>
      </c>
      <c r="L1692" s="68">
        <f t="shared" si="215"/>
        <v>4448620</v>
      </c>
      <c r="M1692" s="69"/>
      <c r="N1692" s="256"/>
    </row>
    <row r="1693" spans="1:15" s="29" customFormat="1" ht="24.95" customHeight="1">
      <c r="A1693" s="31" t="s">
        <v>2313</v>
      </c>
      <c r="B1693" s="32" t="s">
        <v>2314</v>
      </c>
      <c r="C1693" s="33">
        <v>2</v>
      </c>
      <c r="D1693" s="34" t="s">
        <v>1116</v>
      </c>
      <c r="E1693" s="36">
        <v>0</v>
      </c>
      <c r="F1693" s="36">
        <f>TRUNC(E1693*$C1693,0)</f>
        <v>0</v>
      </c>
      <c r="G1693" s="36">
        <v>2224310</v>
      </c>
      <c r="H1693" s="36">
        <f>TRUNC(G1693*$C1693,0)</f>
        <v>4448620</v>
      </c>
      <c r="I1693" s="36">
        <v>0</v>
      </c>
      <c r="J1693" s="36">
        <f>TRUNC(I1693*$C1693,0)</f>
        <v>0</v>
      </c>
      <c r="K1693" s="36">
        <f t="shared" si="215"/>
        <v>2224310</v>
      </c>
      <c r="L1693" s="36">
        <f t="shared" si="215"/>
        <v>4448620</v>
      </c>
      <c r="M1693" s="37"/>
      <c r="N1693" s="253"/>
      <c r="O1693" s="38"/>
    </row>
    <row r="1694" spans="1:15" s="29" customFormat="1" ht="24.95" customHeight="1">
      <c r="A1694" s="31" t="s">
        <v>766</v>
      </c>
      <c r="B1694" s="32" t="s">
        <v>22</v>
      </c>
      <c r="C1694" s="33"/>
      <c r="D1694" s="34" t="s">
        <v>22</v>
      </c>
      <c r="E1694" s="34"/>
      <c r="F1694" s="36">
        <v>0</v>
      </c>
      <c r="G1694" s="34"/>
      <c r="H1694" s="36">
        <v>0</v>
      </c>
      <c r="I1694" s="34"/>
      <c r="J1694" s="36">
        <v>0</v>
      </c>
      <c r="K1694" s="36">
        <f t="shared" si="215"/>
        <v>0</v>
      </c>
      <c r="L1694" s="36">
        <f t="shared" si="215"/>
        <v>0</v>
      </c>
      <c r="M1694" s="37"/>
      <c r="N1694" s="253"/>
    </row>
    <row r="1695" spans="1:15" s="45" customFormat="1" ht="24.95" customHeight="1">
      <c r="A1695" s="39" t="s">
        <v>2315</v>
      </c>
      <c r="B1695" s="40" t="s">
        <v>22</v>
      </c>
      <c r="C1695" s="41">
        <v>1</v>
      </c>
      <c r="D1695" s="42" t="s">
        <v>754</v>
      </c>
      <c r="E1695" s="42"/>
      <c r="F1695" s="43">
        <f>F1696+F1703+F1707+F1710+F1712+F1714+F1730+F1732+F1734+F1736+F1738+F1747+F1749+F1751+F1758+F1760+F1762+F1766+F1768+F1774+F1776+F1778+F1780+F1782+F1784+F1786+F1790</f>
        <v>88549917</v>
      </c>
      <c r="G1695" s="42"/>
      <c r="H1695" s="43">
        <f>H1696+H1703+H1707+H1710+H1712+H1714+H1730+H1732+H1734+H1736+H1738+H1747+H1749+H1751+H1758+H1760+H1762+H1766+H1768+H1774+H1776+H1778+H1780+H1782+H1784+H1786+H1790</f>
        <v>677089910</v>
      </c>
      <c r="I1695" s="42"/>
      <c r="J1695" s="43">
        <f>J1696+J1703+J1707+J1710+J1712+J1714+J1730+J1732+J1734+J1736+J1738+J1747+J1749+J1751+J1758+J1760+J1762+J1766+J1768+J1774+J1776+J1778+J1780+J1782+J1784+J1786+J1790</f>
        <v>3041021193</v>
      </c>
      <c r="K1695" s="42"/>
      <c r="L1695" s="43">
        <f t="shared" ref="L1695:L1758" si="219">H1695+F1695+J1695</f>
        <v>3806661020</v>
      </c>
      <c r="M1695" s="44"/>
      <c r="N1695" s="253"/>
    </row>
    <row r="1696" spans="1:15" s="63" customFormat="1" ht="24.95" customHeight="1">
      <c r="A1696" s="57" t="s">
        <v>2316</v>
      </c>
      <c r="B1696" s="58" t="s">
        <v>22</v>
      </c>
      <c r="C1696" s="59"/>
      <c r="D1696" s="60" t="s">
        <v>22</v>
      </c>
      <c r="E1696" s="60"/>
      <c r="F1696" s="61">
        <f>TRUNC(F1697+F1698+F1699+F1700+F1702,0)</f>
        <v>0</v>
      </c>
      <c r="G1696" s="60"/>
      <c r="H1696" s="61">
        <f>TRUNC(H1697+H1698+H1699+H1700+H1702,0)</f>
        <v>0</v>
      </c>
      <c r="I1696" s="60"/>
      <c r="J1696" s="61">
        <f>TRUNC(J1697+J1698+J1699+J1700+J1702,0)</f>
        <v>743876542</v>
      </c>
      <c r="K1696" s="61">
        <f t="shared" ref="K1696:L1759" si="220">G1696+E1696+I1696</f>
        <v>0</v>
      </c>
      <c r="L1696" s="61">
        <f t="shared" si="219"/>
        <v>743876542</v>
      </c>
      <c r="M1696" s="62"/>
      <c r="N1696" s="253"/>
    </row>
    <row r="1697" spans="1:15" s="29" customFormat="1" ht="24.95" customHeight="1">
      <c r="A1697" s="31" t="s">
        <v>2317</v>
      </c>
      <c r="B1697" s="32" t="s">
        <v>2318</v>
      </c>
      <c r="C1697" s="33">
        <v>4137</v>
      </c>
      <c r="D1697" s="34" t="s">
        <v>116</v>
      </c>
      <c r="E1697" s="36">
        <v>0</v>
      </c>
      <c r="F1697" s="36">
        <f>TRUNC(E1697*$C1697,0)</f>
        <v>0</v>
      </c>
      <c r="G1697" s="36">
        <v>0</v>
      </c>
      <c r="H1697" s="36">
        <f>TRUNC(G1697*$C1697,0)</f>
        <v>0</v>
      </c>
      <c r="I1697" s="36">
        <v>61898</v>
      </c>
      <c r="J1697" s="36">
        <f>TRUNC(I1697*$C1697,0)</f>
        <v>256072026</v>
      </c>
      <c r="K1697" s="36">
        <f t="shared" si="220"/>
        <v>61898</v>
      </c>
      <c r="L1697" s="36">
        <f t="shared" si="219"/>
        <v>256072026</v>
      </c>
      <c r="M1697" s="37"/>
      <c r="N1697" s="253"/>
      <c r="O1697" s="38"/>
    </row>
    <row r="1698" spans="1:15" s="29" customFormat="1" ht="24.95" customHeight="1">
      <c r="A1698" s="31" t="s">
        <v>2319</v>
      </c>
      <c r="B1698" s="32" t="s">
        <v>2320</v>
      </c>
      <c r="C1698" s="33">
        <v>40</v>
      </c>
      <c r="D1698" s="34" t="s">
        <v>116</v>
      </c>
      <c r="E1698" s="36">
        <v>0</v>
      </c>
      <c r="F1698" s="36">
        <f>TRUNC(E1698*$C1698,0)</f>
        <v>0</v>
      </c>
      <c r="G1698" s="36">
        <v>0</v>
      </c>
      <c r="H1698" s="36">
        <f>TRUNC(G1698*$C1698,0)</f>
        <v>0</v>
      </c>
      <c r="I1698" s="36">
        <v>852443</v>
      </c>
      <c r="J1698" s="36">
        <f>TRUNC(I1698*$C1698,0)</f>
        <v>34097720</v>
      </c>
      <c r="K1698" s="36">
        <f t="shared" si="220"/>
        <v>852443</v>
      </c>
      <c r="L1698" s="36">
        <f t="shared" si="219"/>
        <v>34097720</v>
      </c>
      <c r="M1698" s="37"/>
      <c r="N1698" s="253"/>
      <c r="O1698" s="38"/>
    </row>
    <row r="1699" spans="1:15" s="29" customFormat="1" ht="24.95" customHeight="1">
      <c r="A1699" s="31" t="s">
        <v>2321</v>
      </c>
      <c r="B1699" s="32" t="s">
        <v>2322</v>
      </c>
      <c r="C1699" s="33">
        <v>5902</v>
      </c>
      <c r="D1699" s="34" t="s">
        <v>116</v>
      </c>
      <c r="E1699" s="36">
        <v>0</v>
      </c>
      <c r="F1699" s="36">
        <f>TRUNC(E1699*$C1699,0)</f>
        <v>0</v>
      </c>
      <c r="G1699" s="36">
        <v>0</v>
      </c>
      <c r="H1699" s="36">
        <f>TRUNC(G1699*$C1699,0)</f>
        <v>0</v>
      </c>
      <c r="I1699" s="36">
        <v>69883</v>
      </c>
      <c r="J1699" s="36">
        <f>TRUNC(I1699*$C1699,0)</f>
        <v>412449466</v>
      </c>
      <c r="K1699" s="36">
        <f t="shared" si="220"/>
        <v>69883</v>
      </c>
      <c r="L1699" s="36">
        <f t="shared" si="219"/>
        <v>412449466</v>
      </c>
      <c r="M1699" s="37"/>
      <c r="N1699" s="253"/>
      <c r="O1699" s="38"/>
    </row>
    <row r="1700" spans="1:15" s="29" customFormat="1" ht="24.95" customHeight="1">
      <c r="A1700" s="31" t="s">
        <v>2323</v>
      </c>
      <c r="B1700" s="32" t="s">
        <v>2324</v>
      </c>
      <c r="C1700" s="33">
        <v>20</v>
      </c>
      <c r="D1700" s="34" t="s">
        <v>116</v>
      </c>
      <c r="E1700" s="36">
        <v>0</v>
      </c>
      <c r="F1700" s="36">
        <f>TRUNC(E1700*$C1700,0)</f>
        <v>0</v>
      </c>
      <c r="G1700" s="36">
        <v>0</v>
      </c>
      <c r="H1700" s="36">
        <f>TRUNC(G1700*$C1700,0)</f>
        <v>0</v>
      </c>
      <c r="I1700" s="36">
        <v>808520</v>
      </c>
      <c r="J1700" s="36">
        <f>TRUNC(I1700*$C1700,0)</f>
        <v>16170400</v>
      </c>
      <c r="K1700" s="36">
        <f t="shared" si="220"/>
        <v>808520</v>
      </c>
      <c r="L1700" s="36">
        <f t="shared" si="219"/>
        <v>16170400</v>
      </c>
      <c r="M1700" s="37"/>
      <c r="N1700" s="253"/>
      <c r="O1700" s="38"/>
    </row>
    <row r="1701" spans="1:15" s="29" customFormat="1" ht="24.95" customHeight="1">
      <c r="A1701" s="31" t="s">
        <v>2325</v>
      </c>
      <c r="B1701" s="32" t="s">
        <v>22</v>
      </c>
      <c r="C1701" s="33"/>
      <c r="D1701" s="34" t="s">
        <v>22</v>
      </c>
      <c r="E1701" s="34"/>
      <c r="F1701" s="36">
        <f>TRUNC(F1702,0)</f>
        <v>0</v>
      </c>
      <c r="G1701" s="34"/>
      <c r="H1701" s="36">
        <f>TRUNC(H1702,0)</f>
        <v>0</v>
      </c>
      <c r="I1701" s="34"/>
      <c r="J1701" s="36">
        <f>TRUNC(J1702,0)</f>
        <v>25086930</v>
      </c>
      <c r="K1701" s="36">
        <f t="shared" si="220"/>
        <v>0</v>
      </c>
      <c r="L1701" s="36">
        <f t="shared" si="219"/>
        <v>25086930</v>
      </c>
      <c r="M1701" s="37"/>
      <c r="N1701" s="253"/>
    </row>
    <row r="1702" spans="1:15" s="29" customFormat="1" ht="24.95" customHeight="1">
      <c r="A1702" s="31" t="s">
        <v>2326</v>
      </c>
      <c r="B1702" s="32" t="s">
        <v>1005</v>
      </c>
      <c r="C1702" s="33">
        <v>165</v>
      </c>
      <c r="D1702" s="34" t="s">
        <v>116</v>
      </c>
      <c r="E1702" s="36">
        <v>0</v>
      </c>
      <c r="F1702" s="36">
        <f>TRUNC(E1702*$C1702,0)</f>
        <v>0</v>
      </c>
      <c r="G1702" s="36">
        <v>0</v>
      </c>
      <c r="H1702" s="36">
        <f>TRUNC(G1702*$C1702,0)</f>
        <v>0</v>
      </c>
      <c r="I1702" s="36">
        <v>152042</v>
      </c>
      <c r="J1702" s="36">
        <f>TRUNC(I1702*$C1702,0)</f>
        <v>25086930</v>
      </c>
      <c r="K1702" s="36">
        <f t="shared" si="220"/>
        <v>152042</v>
      </c>
      <c r="L1702" s="36">
        <f t="shared" si="219"/>
        <v>25086930</v>
      </c>
      <c r="M1702" s="37"/>
      <c r="N1702" s="253"/>
      <c r="O1702" s="38"/>
    </row>
    <row r="1703" spans="1:15" s="63" customFormat="1" ht="24.95" customHeight="1">
      <c r="A1703" s="57" t="s">
        <v>2327</v>
      </c>
      <c r="B1703" s="58" t="s">
        <v>22</v>
      </c>
      <c r="C1703" s="59"/>
      <c r="D1703" s="60" t="s">
        <v>22</v>
      </c>
      <c r="E1703" s="60"/>
      <c r="F1703" s="61">
        <f>TRUNC(F1704+F1705+F1706,0)</f>
        <v>0</v>
      </c>
      <c r="G1703" s="60"/>
      <c r="H1703" s="61">
        <f>TRUNC(H1704+H1705+H1706,0)</f>
        <v>0</v>
      </c>
      <c r="I1703" s="60"/>
      <c r="J1703" s="61">
        <f>TRUNC(J1704+J1705+J1706,0)</f>
        <v>21102258</v>
      </c>
      <c r="K1703" s="61">
        <f t="shared" si="220"/>
        <v>0</v>
      </c>
      <c r="L1703" s="61">
        <f t="shared" si="219"/>
        <v>21102258</v>
      </c>
      <c r="M1703" s="62"/>
      <c r="N1703" s="253"/>
    </row>
    <row r="1704" spans="1:15" s="29" customFormat="1" ht="24.95" customHeight="1">
      <c r="A1704" s="31" t="s">
        <v>2328</v>
      </c>
      <c r="B1704" s="32" t="s">
        <v>2329</v>
      </c>
      <c r="C1704" s="33">
        <v>1</v>
      </c>
      <c r="D1704" s="34" t="s">
        <v>1116</v>
      </c>
      <c r="E1704" s="36">
        <v>0</v>
      </c>
      <c r="F1704" s="36">
        <f>TRUNC(E1704*$C1704,0)</f>
        <v>0</v>
      </c>
      <c r="G1704" s="36">
        <v>0</v>
      </c>
      <c r="H1704" s="36">
        <f>TRUNC(G1704*$C1704,0)</f>
        <v>0</v>
      </c>
      <c r="I1704" s="36">
        <v>8873954</v>
      </c>
      <c r="J1704" s="36">
        <f>TRUNC(I1704*$C1704,0)</f>
        <v>8873954</v>
      </c>
      <c r="K1704" s="36">
        <f t="shared" si="220"/>
        <v>8873954</v>
      </c>
      <c r="L1704" s="36">
        <f t="shared" si="219"/>
        <v>8873954</v>
      </c>
      <c r="M1704" s="37"/>
      <c r="N1704" s="253"/>
      <c r="O1704" s="38"/>
    </row>
    <row r="1705" spans="1:15" s="29" customFormat="1" ht="24.95" customHeight="1">
      <c r="A1705" s="31" t="s">
        <v>2330</v>
      </c>
      <c r="B1705" s="32" t="s">
        <v>2331</v>
      </c>
      <c r="C1705" s="33">
        <v>0</v>
      </c>
      <c r="D1705" s="34" t="s">
        <v>1116</v>
      </c>
      <c r="E1705" s="36">
        <v>0</v>
      </c>
      <c r="F1705" s="36">
        <f>TRUNC(E1705*$C1705,0)</f>
        <v>0</v>
      </c>
      <c r="G1705" s="36">
        <v>0</v>
      </c>
      <c r="H1705" s="36">
        <f>TRUNC(G1705*$C1705,0)</f>
        <v>0</v>
      </c>
      <c r="I1705" s="36">
        <v>7352644</v>
      </c>
      <c r="J1705" s="36">
        <f>TRUNC(I1705*$C1705,0)</f>
        <v>0</v>
      </c>
      <c r="K1705" s="36">
        <f t="shared" si="220"/>
        <v>7352644</v>
      </c>
      <c r="L1705" s="36">
        <f t="shared" si="219"/>
        <v>0</v>
      </c>
      <c r="M1705" s="37"/>
      <c r="N1705" s="253"/>
      <c r="O1705" s="38"/>
    </row>
    <row r="1706" spans="1:15" s="29" customFormat="1" ht="24.95" customHeight="1">
      <c r="A1706" s="31" t="s">
        <v>2332</v>
      </c>
      <c r="B1706" s="32" t="s">
        <v>2333</v>
      </c>
      <c r="C1706" s="33">
        <v>1</v>
      </c>
      <c r="D1706" s="34" t="s">
        <v>1116</v>
      </c>
      <c r="E1706" s="36">
        <v>0</v>
      </c>
      <c r="F1706" s="36">
        <f>TRUNC(E1706*$C1706,0)</f>
        <v>0</v>
      </c>
      <c r="G1706" s="36">
        <v>0</v>
      </c>
      <c r="H1706" s="36">
        <f>TRUNC(G1706*$C1706,0)</f>
        <v>0</v>
      </c>
      <c r="I1706" s="36">
        <v>12228304</v>
      </c>
      <c r="J1706" s="36">
        <f>TRUNC(I1706*$C1706,0)</f>
        <v>12228304</v>
      </c>
      <c r="K1706" s="36">
        <f t="shared" si="220"/>
        <v>12228304</v>
      </c>
      <c r="L1706" s="36">
        <f t="shared" si="219"/>
        <v>12228304</v>
      </c>
      <c r="M1706" s="37"/>
      <c r="N1706" s="253"/>
      <c r="O1706" s="38"/>
    </row>
    <row r="1707" spans="1:15" s="63" customFormat="1" ht="24.95" customHeight="1">
      <c r="A1707" s="57" t="s">
        <v>2334</v>
      </c>
      <c r="B1707" s="58" t="s">
        <v>22</v>
      </c>
      <c r="C1707" s="59"/>
      <c r="D1707" s="60" t="s">
        <v>22</v>
      </c>
      <c r="E1707" s="60"/>
      <c r="F1707" s="61">
        <f>TRUNC(F1708+F1709,0)</f>
        <v>0</v>
      </c>
      <c r="G1707" s="60"/>
      <c r="H1707" s="61">
        <f>TRUNC(H1708+H1709,0)</f>
        <v>0</v>
      </c>
      <c r="I1707" s="60"/>
      <c r="J1707" s="61">
        <f>TRUNC(J1708+J1709,0)</f>
        <v>43900944</v>
      </c>
      <c r="K1707" s="61">
        <f t="shared" si="220"/>
        <v>0</v>
      </c>
      <c r="L1707" s="61">
        <f t="shared" si="219"/>
        <v>43900944</v>
      </c>
      <c r="M1707" s="62"/>
      <c r="N1707" s="253"/>
    </row>
    <row r="1708" spans="1:15" s="29" customFormat="1" ht="24.95" customHeight="1">
      <c r="A1708" s="31" t="s">
        <v>2335</v>
      </c>
      <c r="B1708" s="32" t="s">
        <v>22</v>
      </c>
      <c r="C1708" s="33">
        <v>1</v>
      </c>
      <c r="D1708" s="34" t="s">
        <v>1116</v>
      </c>
      <c r="E1708" s="36">
        <v>0</v>
      </c>
      <c r="F1708" s="36">
        <f>TRUNC(E1708*$C1708,0)</f>
        <v>0</v>
      </c>
      <c r="G1708" s="36">
        <v>0</v>
      </c>
      <c r="H1708" s="36">
        <f>TRUNC(G1708*$C1708,0)</f>
        <v>0</v>
      </c>
      <c r="I1708" s="36">
        <v>3413493</v>
      </c>
      <c r="J1708" s="36">
        <f>TRUNC(I1708*$C1708,0)</f>
        <v>3413493</v>
      </c>
      <c r="K1708" s="36">
        <f t="shared" si="220"/>
        <v>3413493</v>
      </c>
      <c r="L1708" s="36">
        <f t="shared" si="219"/>
        <v>3413493</v>
      </c>
      <c r="M1708" s="37"/>
      <c r="N1708" s="253"/>
      <c r="O1708" s="38"/>
    </row>
    <row r="1709" spans="1:15" s="29" customFormat="1" ht="24.95" customHeight="1">
      <c r="A1709" s="31" t="s">
        <v>2336</v>
      </c>
      <c r="B1709" s="32" t="s">
        <v>2337</v>
      </c>
      <c r="C1709" s="33">
        <v>1</v>
      </c>
      <c r="D1709" s="34" t="s">
        <v>1116</v>
      </c>
      <c r="E1709" s="36">
        <v>0</v>
      </c>
      <c r="F1709" s="36">
        <f>TRUNC(E1709*$C1709,0)</f>
        <v>0</v>
      </c>
      <c r="G1709" s="36">
        <v>0</v>
      </c>
      <c r="H1709" s="36">
        <f>TRUNC(G1709*$C1709,0)</f>
        <v>0</v>
      </c>
      <c r="I1709" s="36">
        <v>40487451</v>
      </c>
      <c r="J1709" s="36">
        <f>TRUNC(I1709*$C1709,0)</f>
        <v>40487451</v>
      </c>
      <c r="K1709" s="36">
        <f t="shared" si="220"/>
        <v>40487451</v>
      </c>
      <c r="L1709" s="36">
        <f t="shared" si="219"/>
        <v>40487451</v>
      </c>
      <c r="M1709" s="37"/>
      <c r="N1709" s="253"/>
      <c r="O1709" s="38"/>
    </row>
    <row r="1710" spans="1:15" s="63" customFormat="1" ht="24.95" customHeight="1">
      <c r="A1710" s="57" t="s">
        <v>2338</v>
      </c>
      <c r="B1710" s="58" t="s">
        <v>22</v>
      </c>
      <c r="C1710" s="59"/>
      <c r="D1710" s="60" t="s">
        <v>22</v>
      </c>
      <c r="E1710" s="60"/>
      <c r="F1710" s="61">
        <f>TRUNC(F1711,0)</f>
        <v>0</v>
      </c>
      <c r="G1710" s="60"/>
      <c r="H1710" s="61">
        <f>TRUNC(H1711,0)</f>
        <v>0</v>
      </c>
      <c r="I1710" s="60"/>
      <c r="J1710" s="61">
        <f>TRUNC(J1711,0)</f>
        <v>555911381</v>
      </c>
      <c r="K1710" s="61">
        <f t="shared" si="220"/>
        <v>0</v>
      </c>
      <c r="L1710" s="61">
        <f t="shared" si="219"/>
        <v>555911381</v>
      </c>
      <c r="M1710" s="62"/>
      <c r="N1710" s="253"/>
    </row>
    <row r="1711" spans="1:15" s="29" customFormat="1" ht="24.95" customHeight="1">
      <c r="A1711" s="31" t="s">
        <v>2339</v>
      </c>
      <c r="B1711" s="32" t="s">
        <v>2340</v>
      </c>
      <c r="C1711" s="33">
        <v>2437</v>
      </c>
      <c r="D1711" s="34" t="s">
        <v>116</v>
      </c>
      <c r="E1711" s="36">
        <v>0</v>
      </c>
      <c r="F1711" s="36">
        <f>TRUNC(E1711*$C1711,0)</f>
        <v>0</v>
      </c>
      <c r="G1711" s="36">
        <v>0</v>
      </c>
      <c r="H1711" s="36">
        <f>TRUNC(G1711*$C1711,0)</f>
        <v>0</v>
      </c>
      <c r="I1711" s="36">
        <v>228113</v>
      </c>
      <c r="J1711" s="36">
        <f>TRUNC(I1711*$C1711,0)</f>
        <v>555911381</v>
      </c>
      <c r="K1711" s="36">
        <f t="shared" si="220"/>
        <v>228113</v>
      </c>
      <c r="L1711" s="36">
        <f t="shared" si="219"/>
        <v>555911381</v>
      </c>
      <c r="M1711" s="37"/>
      <c r="N1711" s="253"/>
      <c r="O1711" s="38"/>
    </row>
    <row r="1712" spans="1:15" s="63" customFormat="1" ht="24.95" customHeight="1">
      <c r="A1712" s="57" t="s">
        <v>2341</v>
      </c>
      <c r="B1712" s="58" t="s">
        <v>22</v>
      </c>
      <c r="C1712" s="59"/>
      <c r="D1712" s="60" t="s">
        <v>22</v>
      </c>
      <c r="E1712" s="60"/>
      <c r="F1712" s="61">
        <f>TRUNC(F1713,0)</f>
        <v>0</v>
      </c>
      <c r="G1712" s="60"/>
      <c r="H1712" s="61">
        <f>TRUNC(H1713,0)</f>
        <v>0</v>
      </c>
      <c r="I1712" s="60"/>
      <c r="J1712" s="61">
        <f>TRUNC(J1713,0)</f>
        <v>574558335</v>
      </c>
      <c r="K1712" s="61">
        <f t="shared" si="220"/>
        <v>0</v>
      </c>
      <c r="L1712" s="61">
        <f t="shared" si="219"/>
        <v>574558335</v>
      </c>
      <c r="M1712" s="62"/>
      <c r="N1712" s="253"/>
    </row>
    <row r="1713" spans="1:15" s="29" customFormat="1" ht="24.95" customHeight="1">
      <c r="A1713" s="31" t="s">
        <v>2342</v>
      </c>
      <c r="B1713" s="32" t="s">
        <v>2343</v>
      </c>
      <c r="C1713" s="33">
        <v>982151</v>
      </c>
      <c r="D1713" s="34" t="s">
        <v>2344</v>
      </c>
      <c r="E1713" s="36">
        <v>0</v>
      </c>
      <c r="F1713" s="36">
        <f>TRUNC(E1713*$C1713,0)</f>
        <v>0</v>
      </c>
      <c r="G1713" s="36">
        <v>0</v>
      </c>
      <c r="H1713" s="36">
        <f>TRUNC(G1713*$C1713,0)</f>
        <v>0</v>
      </c>
      <c r="I1713" s="36">
        <v>585</v>
      </c>
      <c r="J1713" s="36">
        <f>TRUNC(I1713*$C1713,0)</f>
        <v>574558335</v>
      </c>
      <c r="K1713" s="36">
        <f t="shared" si="220"/>
        <v>585</v>
      </c>
      <c r="L1713" s="36">
        <f t="shared" si="219"/>
        <v>574558335</v>
      </c>
      <c r="M1713" s="37"/>
      <c r="N1713" s="253"/>
      <c r="O1713" s="38"/>
    </row>
    <row r="1714" spans="1:15" s="63" customFormat="1" ht="24.95" customHeight="1">
      <c r="A1714" s="57" t="s">
        <v>2345</v>
      </c>
      <c r="B1714" s="58" t="s">
        <v>22</v>
      </c>
      <c r="C1714" s="59"/>
      <c r="D1714" s="60" t="s">
        <v>22</v>
      </c>
      <c r="E1714" s="60"/>
      <c r="F1714" s="61">
        <f>TRUNC(F1715+F1716+F1717+F1718+F1719+F1721+F1722+F1724+F1725+F1726+F1727+F1728+F1729,0)</f>
        <v>0</v>
      </c>
      <c r="G1714" s="60"/>
      <c r="H1714" s="61">
        <f>TRUNC(H1715+H1716+H1717+H1718+H1719+H1721+H1722+H1724+H1725+H1726+H1727+H1728+H1729,0)</f>
        <v>0</v>
      </c>
      <c r="I1714" s="60"/>
      <c r="J1714" s="61">
        <f>TRUNC(J1715+J1716+J1717+J1718+J1719+J1721+J1722+J1724+J1725+J1726+J1727+J1728+J1729,0)</f>
        <v>262721338</v>
      </c>
      <c r="K1714" s="61">
        <f t="shared" si="220"/>
        <v>0</v>
      </c>
      <c r="L1714" s="61">
        <f t="shared" si="219"/>
        <v>262721338</v>
      </c>
      <c r="M1714" s="62"/>
      <c r="N1714" s="253"/>
    </row>
    <row r="1715" spans="1:15" s="29" customFormat="1" ht="24.95" customHeight="1">
      <c r="A1715" s="31" t="s">
        <v>2346</v>
      </c>
      <c r="B1715" s="32" t="s">
        <v>2347</v>
      </c>
      <c r="C1715" s="33">
        <v>300</v>
      </c>
      <c r="D1715" s="34" t="s">
        <v>847</v>
      </c>
      <c r="E1715" s="36">
        <v>0</v>
      </c>
      <c r="F1715" s="36">
        <f>TRUNC(E1715*$C1715,0)</f>
        <v>0</v>
      </c>
      <c r="G1715" s="36">
        <v>0</v>
      </c>
      <c r="H1715" s="36">
        <f>TRUNC(G1715*$C1715,0)</f>
        <v>0</v>
      </c>
      <c r="I1715" s="36">
        <v>126169</v>
      </c>
      <c r="J1715" s="36">
        <f>TRUNC(I1715*$C1715,0)</f>
        <v>37850700</v>
      </c>
      <c r="K1715" s="36">
        <f t="shared" si="220"/>
        <v>126169</v>
      </c>
      <c r="L1715" s="36">
        <f t="shared" si="219"/>
        <v>37850700</v>
      </c>
      <c r="M1715" s="37"/>
      <c r="N1715" s="253"/>
      <c r="O1715" s="38"/>
    </row>
    <row r="1716" spans="1:15" s="29" customFormat="1" ht="24.95" customHeight="1">
      <c r="A1716" s="31" t="s">
        <v>2348</v>
      </c>
      <c r="B1716" s="32" t="s">
        <v>2347</v>
      </c>
      <c r="C1716" s="33">
        <v>520</v>
      </c>
      <c r="D1716" s="34" t="s">
        <v>847</v>
      </c>
      <c r="E1716" s="36">
        <v>0</v>
      </c>
      <c r="F1716" s="36">
        <f>TRUNC(E1716*$C1716,0)</f>
        <v>0</v>
      </c>
      <c r="G1716" s="36">
        <v>0</v>
      </c>
      <c r="H1716" s="36">
        <f>TRUNC(G1716*$C1716,0)</f>
        <v>0</v>
      </c>
      <c r="I1716" s="36">
        <v>126169</v>
      </c>
      <c r="J1716" s="36">
        <f>TRUNC(I1716*$C1716,0)</f>
        <v>65607880</v>
      </c>
      <c r="K1716" s="36">
        <f t="shared" si="220"/>
        <v>126169</v>
      </c>
      <c r="L1716" s="36">
        <f t="shared" si="219"/>
        <v>65607880</v>
      </c>
      <c r="M1716" s="37"/>
      <c r="N1716" s="253"/>
      <c r="O1716" s="38"/>
    </row>
    <row r="1717" spans="1:15" s="29" customFormat="1" ht="24.95" customHeight="1">
      <c r="A1717" s="31" t="s">
        <v>2349</v>
      </c>
      <c r="B1717" s="32" t="s">
        <v>2347</v>
      </c>
      <c r="C1717" s="33">
        <v>140</v>
      </c>
      <c r="D1717" s="34" t="s">
        <v>847</v>
      </c>
      <c r="E1717" s="36">
        <v>0</v>
      </c>
      <c r="F1717" s="36">
        <f>TRUNC(E1717*$C1717,0)</f>
        <v>0</v>
      </c>
      <c r="G1717" s="36">
        <v>0</v>
      </c>
      <c r="H1717" s="36">
        <f>TRUNC(G1717*$C1717,0)</f>
        <v>0</v>
      </c>
      <c r="I1717" s="36">
        <v>126169</v>
      </c>
      <c r="J1717" s="36">
        <f>TRUNC(I1717*$C1717,0)</f>
        <v>17663660</v>
      </c>
      <c r="K1717" s="36">
        <f t="shared" si="220"/>
        <v>126169</v>
      </c>
      <c r="L1717" s="36">
        <f t="shared" si="219"/>
        <v>17663660</v>
      </c>
      <c r="M1717" s="37"/>
      <c r="N1717" s="253"/>
      <c r="O1717" s="38"/>
    </row>
    <row r="1718" spans="1:15" s="29" customFormat="1" ht="24.95" customHeight="1">
      <c r="A1718" s="31" t="s">
        <v>2350</v>
      </c>
      <c r="B1718" s="32" t="s">
        <v>2347</v>
      </c>
      <c r="C1718" s="33">
        <v>420</v>
      </c>
      <c r="D1718" s="34" t="s">
        <v>847</v>
      </c>
      <c r="E1718" s="36">
        <v>0</v>
      </c>
      <c r="F1718" s="36">
        <f>TRUNC(E1718*$C1718,0)</f>
        <v>0</v>
      </c>
      <c r="G1718" s="36">
        <v>0</v>
      </c>
      <c r="H1718" s="36">
        <f>TRUNC(G1718*$C1718,0)</f>
        <v>0</v>
      </c>
      <c r="I1718" s="36">
        <v>126169</v>
      </c>
      <c r="J1718" s="36">
        <f>TRUNC(I1718*$C1718,0)</f>
        <v>52990980</v>
      </c>
      <c r="K1718" s="36">
        <f t="shared" si="220"/>
        <v>126169</v>
      </c>
      <c r="L1718" s="36">
        <f t="shared" si="219"/>
        <v>52990980</v>
      </c>
      <c r="M1718" s="37"/>
      <c r="N1718" s="253"/>
      <c r="O1718" s="38"/>
    </row>
    <row r="1719" spans="1:15" s="29" customFormat="1" ht="24.95" customHeight="1">
      <c r="A1719" s="31" t="s">
        <v>2351</v>
      </c>
      <c r="B1719" s="32" t="s">
        <v>2347</v>
      </c>
      <c r="C1719" s="33">
        <v>50</v>
      </c>
      <c r="D1719" s="34" t="s">
        <v>847</v>
      </c>
      <c r="E1719" s="36">
        <v>0</v>
      </c>
      <c r="F1719" s="36">
        <f>TRUNC(E1719*$C1719,0)</f>
        <v>0</v>
      </c>
      <c r="G1719" s="36">
        <v>0</v>
      </c>
      <c r="H1719" s="36">
        <f>TRUNC(G1719*$C1719,0)</f>
        <v>0</v>
      </c>
      <c r="I1719" s="36">
        <v>126169</v>
      </c>
      <c r="J1719" s="36">
        <f>TRUNC(I1719*$C1719,0)</f>
        <v>6308450</v>
      </c>
      <c r="K1719" s="36">
        <f t="shared" si="220"/>
        <v>126169</v>
      </c>
      <c r="L1719" s="36">
        <f t="shared" si="219"/>
        <v>6308450</v>
      </c>
      <c r="M1719" s="37"/>
      <c r="N1719" s="253"/>
      <c r="O1719" s="38"/>
    </row>
    <row r="1720" spans="1:15" s="29" customFormat="1" ht="24.95" customHeight="1">
      <c r="A1720" s="31" t="s">
        <v>2352</v>
      </c>
      <c r="B1720" s="32" t="s">
        <v>22</v>
      </c>
      <c r="C1720" s="33"/>
      <c r="D1720" s="34" t="s">
        <v>22</v>
      </c>
      <c r="E1720" s="34"/>
      <c r="F1720" s="36">
        <f>TRUNC(F1721+F1722,0)</f>
        <v>0</v>
      </c>
      <c r="G1720" s="34"/>
      <c r="H1720" s="36">
        <f>TRUNC(H1721+H1722,0)</f>
        <v>0</v>
      </c>
      <c r="I1720" s="34"/>
      <c r="J1720" s="36">
        <f>TRUNC(J1721+J1722,0)</f>
        <v>4244587</v>
      </c>
      <c r="K1720" s="36">
        <f t="shared" si="220"/>
        <v>0</v>
      </c>
      <c r="L1720" s="36">
        <f t="shared" si="219"/>
        <v>4244587</v>
      </c>
      <c r="M1720" s="37"/>
      <c r="N1720" s="253"/>
    </row>
    <row r="1721" spans="1:15" s="29" customFormat="1" ht="24.95" customHeight="1">
      <c r="A1721" s="31" t="s">
        <v>2353</v>
      </c>
      <c r="B1721" s="32" t="s">
        <v>1008</v>
      </c>
      <c r="C1721" s="33">
        <v>143</v>
      </c>
      <c r="D1721" s="34" t="s">
        <v>815</v>
      </c>
      <c r="E1721" s="36">
        <v>0</v>
      </c>
      <c r="F1721" s="36">
        <f>TRUNC(E1721*$C1721,0)</f>
        <v>0</v>
      </c>
      <c r="G1721" s="36">
        <v>0</v>
      </c>
      <c r="H1721" s="36">
        <f>TRUNC(G1721*$C1721,0)</f>
        <v>0</v>
      </c>
      <c r="I1721" s="36">
        <v>21477</v>
      </c>
      <c r="J1721" s="36">
        <f>TRUNC(I1721*$C1721,0)</f>
        <v>3071211</v>
      </c>
      <c r="K1721" s="36">
        <f t="shared" si="220"/>
        <v>21477</v>
      </c>
      <c r="L1721" s="36">
        <f t="shared" si="219"/>
        <v>3071211</v>
      </c>
      <c r="M1721" s="37"/>
      <c r="N1721" s="253"/>
      <c r="O1721" s="38"/>
    </row>
    <row r="1722" spans="1:15" s="29" customFormat="1" ht="24.95" customHeight="1">
      <c r="A1722" s="31" t="s">
        <v>2354</v>
      </c>
      <c r="B1722" s="32" t="s">
        <v>1010</v>
      </c>
      <c r="C1722" s="33">
        <v>32</v>
      </c>
      <c r="D1722" s="34" t="s">
        <v>831</v>
      </c>
      <c r="E1722" s="36">
        <v>0</v>
      </c>
      <c r="F1722" s="36">
        <f>TRUNC(E1722*$C1722,0)</f>
        <v>0</v>
      </c>
      <c r="G1722" s="36">
        <v>0</v>
      </c>
      <c r="H1722" s="36">
        <f>TRUNC(G1722*$C1722,0)</f>
        <v>0</v>
      </c>
      <c r="I1722" s="36">
        <v>36668</v>
      </c>
      <c r="J1722" s="36">
        <f>TRUNC(I1722*$C1722,0)</f>
        <v>1173376</v>
      </c>
      <c r="K1722" s="36">
        <f t="shared" si="220"/>
        <v>36668</v>
      </c>
      <c r="L1722" s="36">
        <f t="shared" si="219"/>
        <v>1173376</v>
      </c>
      <c r="M1722" s="37"/>
      <c r="N1722" s="253"/>
      <c r="O1722" s="38"/>
    </row>
    <row r="1723" spans="1:15" s="29" customFormat="1" ht="24.95" customHeight="1">
      <c r="A1723" s="31" t="s">
        <v>2355</v>
      </c>
      <c r="B1723" s="32" t="s">
        <v>22</v>
      </c>
      <c r="C1723" s="33"/>
      <c r="D1723" s="34" t="s">
        <v>22</v>
      </c>
      <c r="E1723" s="34"/>
      <c r="F1723" s="36">
        <f>TRUNC(F1724+F1725+F1726,0)</f>
        <v>0</v>
      </c>
      <c r="G1723" s="34"/>
      <c r="H1723" s="36">
        <f>TRUNC(H1724+H1725+H1726,0)</f>
        <v>0</v>
      </c>
      <c r="I1723" s="34"/>
      <c r="J1723" s="36">
        <f>TRUNC(J1724+J1725+J1726,0)</f>
        <v>4659118</v>
      </c>
      <c r="K1723" s="36">
        <f t="shared" si="220"/>
        <v>0</v>
      </c>
      <c r="L1723" s="36">
        <f t="shared" si="219"/>
        <v>4659118</v>
      </c>
      <c r="M1723" s="37"/>
      <c r="N1723" s="253"/>
    </row>
    <row r="1724" spans="1:15" s="29" customFormat="1" ht="24.95" customHeight="1">
      <c r="A1724" s="31" t="s">
        <v>2356</v>
      </c>
      <c r="B1724" s="32" t="s">
        <v>2357</v>
      </c>
      <c r="C1724" s="33">
        <v>573</v>
      </c>
      <c r="D1724" s="34" t="s">
        <v>820</v>
      </c>
      <c r="E1724" s="36">
        <v>0</v>
      </c>
      <c r="F1724" s="36">
        <f t="shared" ref="F1724:F1729" si="221">TRUNC(E1724*$C1724,0)</f>
        <v>0</v>
      </c>
      <c r="G1724" s="36">
        <v>0</v>
      </c>
      <c r="H1724" s="36">
        <f t="shared" ref="H1724:H1729" si="222">TRUNC(G1724*$C1724,0)</f>
        <v>0</v>
      </c>
      <c r="I1724" s="36">
        <v>3693</v>
      </c>
      <c r="J1724" s="36">
        <f t="shared" ref="J1724:J1729" si="223">TRUNC(I1724*$C1724,0)</f>
        <v>2116089</v>
      </c>
      <c r="K1724" s="36">
        <f t="shared" si="220"/>
        <v>3693</v>
      </c>
      <c r="L1724" s="36">
        <f t="shared" si="219"/>
        <v>2116089</v>
      </c>
      <c r="M1724" s="37"/>
      <c r="N1724" s="253"/>
      <c r="O1724" s="38"/>
    </row>
    <row r="1725" spans="1:15" s="29" customFormat="1" ht="24.95" customHeight="1">
      <c r="A1725" s="31" t="s">
        <v>2358</v>
      </c>
      <c r="B1725" s="32" t="s">
        <v>1717</v>
      </c>
      <c r="C1725" s="33">
        <v>2867</v>
      </c>
      <c r="D1725" s="34" t="s">
        <v>831</v>
      </c>
      <c r="E1725" s="36">
        <v>0</v>
      </c>
      <c r="F1725" s="36">
        <f t="shared" si="221"/>
        <v>0</v>
      </c>
      <c r="G1725" s="36">
        <v>0</v>
      </c>
      <c r="H1725" s="36">
        <f t="shared" si="222"/>
        <v>0</v>
      </c>
      <c r="I1725" s="36">
        <v>34</v>
      </c>
      <c r="J1725" s="36">
        <f t="shared" si="223"/>
        <v>97478</v>
      </c>
      <c r="K1725" s="36">
        <f t="shared" si="220"/>
        <v>34</v>
      </c>
      <c r="L1725" s="36">
        <f t="shared" si="219"/>
        <v>97478</v>
      </c>
      <c r="M1725" s="37"/>
      <c r="N1725" s="253"/>
      <c r="O1725" s="38"/>
    </row>
    <row r="1726" spans="1:15" s="29" customFormat="1" ht="24.95" customHeight="1">
      <c r="A1726" s="31" t="s">
        <v>2359</v>
      </c>
      <c r="B1726" s="32" t="s">
        <v>1719</v>
      </c>
      <c r="C1726" s="33">
        <v>2867</v>
      </c>
      <c r="D1726" s="34" t="s">
        <v>831</v>
      </c>
      <c r="E1726" s="36">
        <v>0</v>
      </c>
      <c r="F1726" s="36">
        <f t="shared" si="221"/>
        <v>0</v>
      </c>
      <c r="G1726" s="36">
        <v>0</v>
      </c>
      <c r="H1726" s="36">
        <f t="shared" si="222"/>
        <v>0</v>
      </c>
      <c r="I1726" s="36">
        <v>853</v>
      </c>
      <c r="J1726" s="36">
        <f t="shared" si="223"/>
        <v>2445551</v>
      </c>
      <c r="K1726" s="36">
        <f t="shared" si="220"/>
        <v>853</v>
      </c>
      <c r="L1726" s="36">
        <f t="shared" si="219"/>
        <v>2445551</v>
      </c>
      <c r="M1726" s="37"/>
      <c r="N1726" s="253"/>
      <c r="O1726" s="38"/>
    </row>
    <row r="1727" spans="1:15" s="29" customFormat="1" ht="24.95" customHeight="1">
      <c r="A1727" s="31" t="s">
        <v>2360</v>
      </c>
      <c r="B1727" s="32" t="s">
        <v>2081</v>
      </c>
      <c r="C1727" s="33">
        <v>1</v>
      </c>
      <c r="D1727" s="34" t="s">
        <v>754</v>
      </c>
      <c r="E1727" s="36">
        <v>0</v>
      </c>
      <c r="F1727" s="36">
        <f t="shared" si="221"/>
        <v>0</v>
      </c>
      <c r="G1727" s="36">
        <v>0</v>
      </c>
      <c r="H1727" s="36">
        <f t="shared" si="222"/>
        <v>0</v>
      </c>
      <c r="I1727" s="36">
        <v>46860468</v>
      </c>
      <c r="J1727" s="36">
        <f t="shared" si="223"/>
        <v>46860468</v>
      </c>
      <c r="K1727" s="36">
        <f t="shared" si="220"/>
        <v>46860468</v>
      </c>
      <c r="L1727" s="36">
        <f t="shared" si="219"/>
        <v>46860468</v>
      </c>
      <c r="M1727" s="37"/>
      <c r="N1727" s="253"/>
      <c r="O1727" s="38"/>
    </row>
    <row r="1728" spans="1:15" s="29" customFormat="1" ht="24.95" customHeight="1">
      <c r="A1728" s="31" t="s">
        <v>2361</v>
      </c>
      <c r="B1728" s="32" t="s">
        <v>2081</v>
      </c>
      <c r="C1728" s="33">
        <v>1</v>
      </c>
      <c r="D1728" s="34" t="s">
        <v>754</v>
      </c>
      <c r="E1728" s="36">
        <v>0</v>
      </c>
      <c r="F1728" s="36">
        <f t="shared" si="221"/>
        <v>0</v>
      </c>
      <c r="G1728" s="36">
        <v>0</v>
      </c>
      <c r="H1728" s="36">
        <f t="shared" si="222"/>
        <v>0</v>
      </c>
      <c r="I1728" s="36">
        <v>4824045</v>
      </c>
      <c r="J1728" s="36">
        <f t="shared" si="223"/>
        <v>4824045</v>
      </c>
      <c r="K1728" s="36">
        <f t="shared" si="220"/>
        <v>4824045</v>
      </c>
      <c r="L1728" s="36">
        <f t="shared" si="219"/>
        <v>4824045</v>
      </c>
      <c r="M1728" s="37"/>
      <c r="N1728" s="253"/>
      <c r="O1728" s="38"/>
    </row>
    <row r="1729" spans="1:15" s="29" customFormat="1" ht="24.95" customHeight="1">
      <c r="A1729" s="31" t="s">
        <v>2362</v>
      </c>
      <c r="B1729" s="32" t="s">
        <v>2081</v>
      </c>
      <c r="C1729" s="33">
        <v>318</v>
      </c>
      <c r="D1729" s="34" t="s">
        <v>116</v>
      </c>
      <c r="E1729" s="36">
        <v>0</v>
      </c>
      <c r="F1729" s="36">
        <f t="shared" si="221"/>
        <v>0</v>
      </c>
      <c r="G1729" s="36">
        <v>0</v>
      </c>
      <c r="H1729" s="36">
        <f t="shared" si="222"/>
        <v>0</v>
      </c>
      <c r="I1729" s="36">
        <v>68275</v>
      </c>
      <c r="J1729" s="36">
        <f t="shared" si="223"/>
        <v>21711450</v>
      </c>
      <c r="K1729" s="36">
        <f t="shared" si="220"/>
        <v>68275</v>
      </c>
      <c r="L1729" s="36">
        <f t="shared" si="219"/>
        <v>21711450</v>
      </c>
      <c r="M1729" s="37"/>
      <c r="N1729" s="253"/>
      <c r="O1729" s="38"/>
    </row>
    <row r="1730" spans="1:15" s="63" customFormat="1" ht="24.95" customHeight="1">
      <c r="A1730" s="57" t="s">
        <v>2363</v>
      </c>
      <c r="B1730" s="58" t="s">
        <v>22</v>
      </c>
      <c r="C1730" s="59"/>
      <c r="D1730" s="60" t="s">
        <v>22</v>
      </c>
      <c r="E1730" s="60"/>
      <c r="F1730" s="61">
        <f>TRUNC(F1731,0)</f>
        <v>0</v>
      </c>
      <c r="G1730" s="60"/>
      <c r="H1730" s="61">
        <f>TRUNC(H1731,0)</f>
        <v>0</v>
      </c>
      <c r="I1730" s="60"/>
      <c r="J1730" s="61">
        <f>TRUNC(J1731,0)</f>
        <v>1532297</v>
      </c>
      <c r="K1730" s="61">
        <f t="shared" si="220"/>
        <v>0</v>
      </c>
      <c r="L1730" s="61">
        <f t="shared" si="219"/>
        <v>1532297</v>
      </c>
      <c r="M1730" s="62"/>
      <c r="N1730" s="253"/>
    </row>
    <row r="1731" spans="1:15" s="29" customFormat="1" ht="24.95" customHeight="1">
      <c r="A1731" s="31" t="s">
        <v>2364</v>
      </c>
      <c r="B1731" s="32" t="s">
        <v>22</v>
      </c>
      <c r="C1731" s="33">
        <v>1</v>
      </c>
      <c r="D1731" s="34" t="s">
        <v>2365</v>
      </c>
      <c r="E1731" s="36">
        <v>0</v>
      </c>
      <c r="F1731" s="36">
        <f>TRUNC(E1731*$C1731,0)</f>
        <v>0</v>
      </c>
      <c r="G1731" s="36">
        <v>0</v>
      </c>
      <c r="H1731" s="36">
        <f>TRUNC(G1731*$C1731,0)</f>
        <v>0</v>
      </c>
      <c r="I1731" s="36">
        <v>1532297</v>
      </c>
      <c r="J1731" s="36">
        <f>TRUNC(I1731*$C1731,0)</f>
        <v>1532297</v>
      </c>
      <c r="K1731" s="36">
        <f t="shared" si="220"/>
        <v>1532297</v>
      </c>
      <c r="L1731" s="36">
        <f t="shared" si="219"/>
        <v>1532297</v>
      </c>
      <c r="M1731" s="37"/>
      <c r="N1731" s="253"/>
      <c r="O1731" s="38"/>
    </row>
    <row r="1732" spans="1:15" s="63" customFormat="1" ht="24.95" customHeight="1">
      <c r="A1732" s="57" t="s">
        <v>2366</v>
      </c>
      <c r="B1732" s="58" t="s">
        <v>22</v>
      </c>
      <c r="C1732" s="59"/>
      <c r="D1732" s="60" t="s">
        <v>22</v>
      </c>
      <c r="E1732" s="60"/>
      <c r="F1732" s="61">
        <f>TRUNC(F1733,0)</f>
        <v>0</v>
      </c>
      <c r="G1732" s="60"/>
      <c r="H1732" s="61">
        <f>TRUNC(H1733,0)</f>
        <v>0</v>
      </c>
      <c r="I1732" s="60"/>
      <c r="J1732" s="61">
        <f>TRUNC(J1733,0)</f>
        <v>39863986</v>
      </c>
      <c r="K1732" s="61">
        <f t="shared" si="220"/>
        <v>0</v>
      </c>
      <c r="L1732" s="61">
        <f t="shared" si="219"/>
        <v>39863986</v>
      </c>
      <c r="M1732" s="62"/>
      <c r="N1732" s="253"/>
    </row>
    <row r="1733" spans="1:15" s="29" customFormat="1" ht="24.95" customHeight="1">
      <c r="A1733" s="31" t="s">
        <v>2367</v>
      </c>
      <c r="B1733" s="32" t="s">
        <v>22</v>
      </c>
      <c r="C1733" s="33">
        <v>1</v>
      </c>
      <c r="D1733" s="34" t="s">
        <v>754</v>
      </c>
      <c r="E1733" s="36">
        <v>0</v>
      </c>
      <c r="F1733" s="36">
        <f>TRUNC(E1733*$C1733,0)</f>
        <v>0</v>
      </c>
      <c r="G1733" s="36">
        <v>0</v>
      </c>
      <c r="H1733" s="36">
        <f>TRUNC(G1733*$C1733,0)</f>
        <v>0</v>
      </c>
      <c r="I1733" s="36">
        <v>39863986</v>
      </c>
      <c r="J1733" s="36">
        <f>TRUNC(I1733*$C1733,0)</f>
        <v>39863986</v>
      </c>
      <c r="K1733" s="36">
        <f t="shared" si="220"/>
        <v>39863986</v>
      </c>
      <c r="L1733" s="36">
        <f t="shared" si="219"/>
        <v>39863986</v>
      </c>
      <c r="M1733" s="37"/>
      <c r="N1733" s="253"/>
      <c r="O1733" s="38"/>
    </row>
    <row r="1734" spans="1:15" s="63" customFormat="1" ht="24.95" customHeight="1">
      <c r="A1734" s="57" t="s">
        <v>2368</v>
      </c>
      <c r="B1734" s="58" t="s">
        <v>22</v>
      </c>
      <c r="C1734" s="59"/>
      <c r="D1734" s="60" t="s">
        <v>22</v>
      </c>
      <c r="E1734" s="60"/>
      <c r="F1734" s="61">
        <f>TRUNC(F1735,0)</f>
        <v>0</v>
      </c>
      <c r="G1734" s="60"/>
      <c r="H1734" s="61">
        <f>TRUNC(H1735,0)</f>
        <v>0</v>
      </c>
      <c r="I1734" s="60"/>
      <c r="J1734" s="61">
        <f>TRUNC(J1735,0)</f>
        <v>7073905</v>
      </c>
      <c r="K1734" s="61">
        <f t="shared" si="220"/>
        <v>0</v>
      </c>
      <c r="L1734" s="61">
        <f t="shared" si="219"/>
        <v>7073905</v>
      </c>
      <c r="M1734" s="62"/>
      <c r="N1734" s="253"/>
    </row>
    <row r="1735" spans="1:15" s="29" customFormat="1" ht="24.95" customHeight="1">
      <c r="A1735" s="31" t="s">
        <v>2369</v>
      </c>
      <c r="B1735" s="32" t="s">
        <v>2370</v>
      </c>
      <c r="C1735" s="33">
        <v>1</v>
      </c>
      <c r="D1735" s="34" t="s">
        <v>1503</v>
      </c>
      <c r="E1735" s="36">
        <v>0</v>
      </c>
      <c r="F1735" s="36">
        <f>TRUNC(E1735*$C1735,0)</f>
        <v>0</v>
      </c>
      <c r="G1735" s="36">
        <v>0</v>
      </c>
      <c r="H1735" s="36">
        <f>TRUNC(G1735*$C1735,0)</f>
        <v>0</v>
      </c>
      <c r="I1735" s="36">
        <v>7073905</v>
      </c>
      <c r="J1735" s="36">
        <f>TRUNC(I1735*$C1735,0)</f>
        <v>7073905</v>
      </c>
      <c r="K1735" s="36">
        <f t="shared" si="220"/>
        <v>7073905</v>
      </c>
      <c r="L1735" s="36">
        <f t="shared" si="219"/>
        <v>7073905</v>
      </c>
      <c r="M1735" s="37"/>
      <c r="N1735" s="253"/>
      <c r="O1735" s="38"/>
    </row>
    <row r="1736" spans="1:15" s="63" customFormat="1" ht="24.95" customHeight="1">
      <c r="A1736" s="57" t="s">
        <v>2371</v>
      </c>
      <c r="B1736" s="58" t="s">
        <v>22</v>
      </c>
      <c r="C1736" s="59"/>
      <c r="D1736" s="60" t="s">
        <v>22</v>
      </c>
      <c r="E1736" s="60"/>
      <c r="F1736" s="61">
        <f>TRUNC(F1737,0)</f>
        <v>0</v>
      </c>
      <c r="G1736" s="60"/>
      <c r="H1736" s="61">
        <f>TRUNC(H1737,0)</f>
        <v>8997210</v>
      </c>
      <c r="I1736" s="60"/>
      <c r="J1736" s="61">
        <f>TRUNC(J1737,0)</f>
        <v>0</v>
      </c>
      <c r="K1736" s="61">
        <f t="shared" si="220"/>
        <v>0</v>
      </c>
      <c r="L1736" s="61">
        <f t="shared" si="219"/>
        <v>8997210</v>
      </c>
      <c r="M1736" s="62"/>
      <c r="N1736" s="253"/>
    </row>
    <row r="1737" spans="1:15" s="29" customFormat="1" ht="24.95" customHeight="1">
      <c r="A1737" s="31" t="s">
        <v>2372</v>
      </c>
      <c r="B1737" s="32" t="s">
        <v>2373</v>
      </c>
      <c r="C1737" s="33">
        <v>2</v>
      </c>
      <c r="D1737" s="34" t="s">
        <v>754</v>
      </c>
      <c r="E1737" s="36">
        <v>0</v>
      </c>
      <c r="F1737" s="36">
        <f>TRUNC(E1737*$C1737,0)</f>
        <v>0</v>
      </c>
      <c r="G1737" s="36">
        <v>4498605</v>
      </c>
      <c r="H1737" s="36">
        <f>TRUNC(G1737*$C1737,0)</f>
        <v>8997210</v>
      </c>
      <c r="I1737" s="36">
        <v>0</v>
      </c>
      <c r="J1737" s="36">
        <f>TRUNC(I1737*$C1737,0)</f>
        <v>0</v>
      </c>
      <c r="K1737" s="36">
        <f t="shared" si="220"/>
        <v>4498605</v>
      </c>
      <c r="L1737" s="36">
        <f t="shared" si="219"/>
        <v>8997210</v>
      </c>
      <c r="M1737" s="37"/>
      <c r="N1737" s="253"/>
      <c r="O1737" s="38"/>
    </row>
    <row r="1738" spans="1:15" s="63" customFormat="1" ht="24.95" customHeight="1">
      <c r="A1738" s="57" t="s">
        <v>2374</v>
      </c>
      <c r="B1738" s="58" t="s">
        <v>22</v>
      </c>
      <c r="C1738" s="59"/>
      <c r="D1738" s="60" t="s">
        <v>22</v>
      </c>
      <c r="E1738" s="60"/>
      <c r="F1738" s="61">
        <f>TRUNC(F1740+F1741+F1743+F1744+F1746,0)</f>
        <v>26344361</v>
      </c>
      <c r="G1738" s="60"/>
      <c r="H1738" s="61">
        <f>TRUNC(H1740+H1741+H1743+H1744+H1746,0)</f>
        <v>12521979</v>
      </c>
      <c r="I1738" s="60"/>
      <c r="J1738" s="61">
        <f>TRUNC(J1740+J1741+J1743+J1744+J1746,0)</f>
        <v>3400816</v>
      </c>
      <c r="K1738" s="61">
        <f t="shared" si="220"/>
        <v>0</v>
      </c>
      <c r="L1738" s="61">
        <f t="shared" si="219"/>
        <v>42267156</v>
      </c>
      <c r="M1738" s="62"/>
      <c r="N1738" s="253"/>
    </row>
    <row r="1739" spans="1:15" s="29" customFormat="1" ht="24.95" customHeight="1">
      <c r="A1739" s="31" t="s">
        <v>1087</v>
      </c>
      <c r="B1739" s="32" t="s">
        <v>22</v>
      </c>
      <c r="C1739" s="33"/>
      <c r="D1739" s="34" t="s">
        <v>22</v>
      </c>
      <c r="E1739" s="34"/>
      <c r="F1739" s="36">
        <f>TRUNC(F1740+F1741,0)</f>
        <v>7044160</v>
      </c>
      <c r="G1739" s="34"/>
      <c r="H1739" s="36">
        <f>TRUNC(H1740+H1741,0)</f>
        <v>1295400</v>
      </c>
      <c r="I1739" s="34"/>
      <c r="J1739" s="36">
        <f>TRUNC(J1740+J1741,0)</f>
        <v>3400816</v>
      </c>
      <c r="K1739" s="36">
        <f t="shared" si="220"/>
        <v>0</v>
      </c>
      <c r="L1739" s="36">
        <f t="shared" si="219"/>
        <v>11740376</v>
      </c>
      <c r="M1739" s="37"/>
      <c r="N1739" s="253"/>
    </row>
    <row r="1740" spans="1:15" s="29" customFormat="1" ht="24.95" customHeight="1">
      <c r="A1740" s="31" t="s">
        <v>1088</v>
      </c>
      <c r="B1740" s="32" t="s">
        <v>1163</v>
      </c>
      <c r="C1740" s="33">
        <v>148</v>
      </c>
      <c r="D1740" s="34" t="s">
        <v>820</v>
      </c>
      <c r="E1740" s="36">
        <v>39656</v>
      </c>
      <c r="F1740" s="36">
        <f>TRUNC(E1740*$C1740,0)</f>
        <v>5869088</v>
      </c>
      <c r="G1740" s="36">
        <v>7274</v>
      </c>
      <c r="H1740" s="36">
        <f>TRUNC(G1740*$C1740,0)</f>
        <v>1076552</v>
      </c>
      <c r="I1740" s="36">
        <v>19164</v>
      </c>
      <c r="J1740" s="36">
        <f>TRUNC(I1740*$C1740,0)</f>
        <v>2836272</v>
      </c>
      <c r="K1740" s="36">
        <f t="shared" si="220"/>
        <v>66094</v>
      </c>
      <c r="L1740" s="36">
        <f t="shared" si="219"/>
        <v>9781912</v>
      </c>
      <c r="M1740" s="37"/>
      <c r="N1740" s="253"/>
      <c r="O1740" s="38"/>
    </row>
    <row r="1741" spans="1:15" s="29" customFormat="1" ht="24.95" customHeight="1">
      <c r="A1741" s="31" t="s">
        <v>1090</v>
      </c>
      <c r="B1741" s="32" t="s">
        <v>1163</v>
      </c>
      <c r="C1741" s="33">
        <v>32</v>
      </c>
      <c r="D1741" s="34" t="s">
        <v>820</v>
      </c>
      <c r="E1741" s="36">
        <v>36721</v>
      </c>
      <c r="F1741" s="36">
        <f>TRUNC(E1741*$C1741,0)</f>
        <v>1175072</v>
      </c>
      <c r="G1741" s="36">
        <v>6839</v>
      </c>
      <c r="H1741" s="36">
        <f>TRUNC(G1741*$C1741,0)</f>
        <v>218848</v>
      </c>
      <c r="I1741" s="36">
        <v>17642</v>
      </c>
      <c r="J1741" s="36">
        <f>TRUNC(I1741*$C1741,0)</f>
        <v>564544</v>
      </c>
      <c r="K1741" s="36">
        <f t="shared" si="220"/>
        <v>61202</v>
      </c>
      <c r="L1741" s="36">
        <f t="shared" si="219"/>
        <v>1958464</v>
      </c>
      <c r="M1741" s="37"/>
      <c r="N1741" s="253"/>
      <c r="O1741" s="38"/>
    </row>
    <row r="1742" spans="1:15" s="29" customFormat="1" ht="24.95" customHeight="1">
      <c r="A1742" s="31" t="s">
        <v>1092</v>
      </c>
      <c r="B1742" s="32" t="s">
        <v>22</v>
      </c>
      <c r="C1742" s="33"/>
      <c r="D1742" s="34" t="s">
        <v>22</v>
      </c>
      <c r="E1742" s="34"/>
      <c r="F1742" s="36">
        <f>TRUNC(F1743+F1744,0)</f>
        <v>18098812</v>
      </c>
      <c r="G1742" s="34"/>
      <c r="H1742" s="36">
        <f>TRUNC(H1743+H1744,0)</f>
        <v>11093090</v>
      </c>
      <c r="I1742" s="34"/>
      <c r="J1742" s="36">
        <f>TRUNC(J1743+J1744,0)</f>
        <v>0</v>
      </c>
      <c r="K1742" s="36">
        <f t="shared" si="220"/>
        <v>0</v>
      </c>
      <c r="L1742" s="36">
        <f t="shared" si="219"/>
        <v>29191902</v>
      </c>
      <c r="M1742" s="37"/>
      <c r="N1742" s="253"/>
    </row>
    <row r="1743" spans="1:15" s="29" customFormat="1" ht="24.95" customHeight="1">
      <c r="A1743" s="31" t="s">
        <v>1149</v>
      </c>
      <c r="B1743" s="32" t="s">
        <v>1095</v>
      </c>
      <c r="C1743" s="33">
        <v>662</v>
      </c>
      <c r="D1743" s="34" t="s">
        <v>831</v>
      </c>
      <c r="E1743" s="36">
        <v>25966</v>
      </c>
      <c r="F1743" s="36">
        <f>TRUNC(E1743*$C1743,0)</f>
        <v>17189492</v>
      </c>
      <c r="G1743" s="36">
        <v>15915</v>
      </c>
      <c r="H1743" s="36">
        <f>TRUNC(G1743*$C1743,0)</f>
        <v>10535730</v>
      </c>
      <c r="I1743" s="36">
        <v>0</v>
      </c>
      <c r="J1743" s="36">
        <f>TRUNC(I1743*$C1743,0)</f>
        <v>0</v>
      </c>
      <c r="K1743" s="36">
        <f t="shared" si="220"/>
        <v>41881</v>
      </c>
      <c r="L1743" s="36">
        <f t="shared" si="219"/>
        <v>27725222</v>
      </c>
      <c r="M1743" s="37"/>
      <c r="N1743" s="253"/>
      <c r="O1743" s="38"/>
    </row>
    <row r="1744" spans="1:15" s="29" customFormat="1" ht="24.95" customHeight="1">
      <c r="A1744" s="31" t="s">
        <v>1149</v>
      </c>
      <c r="B1744" s="32" t="s">
        <v>1010</v>
      </c>
      <c r="C1744" s="33">
        <v>40</v>
      </c>
      <c r="D1744" s="34" t="s">
        <v>831</v>
      </c>
      <c r="E1744" s="36">
        <v>22733</v>
      </c>
      <c r="F1744" s="36">
        <f>TRUNC(E1744*$C1744,0)</f>
        <v>909320</v>
      </c>
      <c r="G1744" s="36">
        <v>13934</v>
      </c>
      <c r="H1744" s="36">
        <f>TRUNC(G1744*$C1744,0)</f>
        <v>557360</v>
      </c>
      <c r="I1744" s="36">
        <v>0</v>
      </c>
      <c r="J1744" s="36">
        <f>TRUNC(I1744*$C1744,0)</f>
        <v>0</v>
      </c>
      <c r="K1744" s="36">
        <f t="shared" si="220"/>
        <v>36667</v>
      </c>
      <c r="L1744" s="36">
        <f t="shared" si="219"/>
        <v>1466680</v>
      </c>
      <c r="M1744" s="37"/>
      <c r="N1744" s="253"/>
      <c r="O1744" s="38"/>
    </row>
    <row r="1745" spans="1:15" s="29" customFormat="1" ht="24.95" customHeight="1">
      <c r="A1745" s="31" t="s">
        <v>2375</v>
      </c>
      <c r="B1745" s="32" t="s">
        <v>22</v>
      </c>
      <c r="C1745" s="33"/>
      <c r="D1745" s="34" t="s">
        <v>22</v>
      </c>
      <c r="E1745" s="34"/>
      <c r="F1745" s="36">
        <f>TRUNC(F1746,0)</f>
        <v>1201389</v>
      </c>
      <c r="G1745" s="34"/>
      <c r="H1745" s="36">
        <f>TRUNC(H1746,0)</f>
        <v>133489</v>
      </c>
      <c r="I1745" s="34"/>
      <c r="J1745" s="36">
        <f>TRUNC(J1746,0)</f>
        <v>0</v>
      </c>
      <c r="K1745" s="36">
        <f t="shared" si="220"/>
        <v>0</v>
      </c>
      <c r="L1745" s="36">
        <f t="shared" si="219"/>
        <v>1334878</v>
      </c>
      <c r="M1745" s="37"/>
      <c r="N1745" s="253"/>
    </row>
    <row r="1746" spans="1:15" s="29" customFormat="1" ht="24.95" customHeight="1">
      <c r="A1746" s="31" t="s">
        <v>2376</v>
      </c>
      <c r="B1746" s="32" t="s">
        <v>1181</v>
      </c>
      <c r="C1746" s="261">
        <v>2.4369999999999998</v>
      </c>
      <c r="D1746" s="34" t="s">
        <v>1112</v>
      </c>
      <c r="E1746" s="36">
        <v>492979</v>
      </c>
      <c r="F1746" s="36">
        <f>TRUNC(E1746*$C1746,0)</f>
        <v>1201389</v>
      </c>
      <c r="G1746" s="36">
        <v>54776</v>
      </c>
      <c r="H1746" s="36">
        <f>TRUNC(G1746*$C1746,0)</f>
        <v>133489</v>
      </c>
      <c r="I1746" s="36">
        <v>0</v>
      </c>
      <c r="J1746" s="36">
        <f>TRUNC(I1746*$C1746,0)</f>
        <v>0</v>
      </c>
      <c r="K1746" s="36">
        <f t="shared" si="220"/>
        <v>547755</v>
      </c>
      <c r="L1746" s="36">
        <f t="shared" si="219"/>
        <v>1334878</v>
      </c>
      <c r="M1746" s="37"/>
      <c r="N1746" s="253"/>
      <c r="O1746" s="38"/>
    </row>
    <row r="1747" spans="1:15" s="63" customFormat="1" ht="24.95" customHeight="1">
      <c r="A1747" s="57" t="s">
        <v>2377</v>
      </c>
      <c r="B1747" s="58" t="s">
        <v>22</v>
      </c>
      <c r="C1747" s="59"/>
      <c r="D1747" s="60" t="s">
        <v>22</v>
      </c>
      <c r="E1747" s="60"/>
      <c r="F1747" s="61">
        <f>TRUNC(F1748,0)</f>
        <v>0</v>
      </c>
      <c r="G1747" s="60"/>
      <c r="H1747" s="61">
        <f>TRUNC(H1748,0)</f>
        <v>0</v>
      </c>
      <c r="I1747" s="60"/>
      <c r="J1747" s="61">
        <f>TRUNC(J1748,0)</f>
        <v>507340</v>
      </c>
      <c r="K1747" s="61">
        <f t="shared" si="220"/>
        <v>0</v>
      </c>
      <c r="L1747" s="61">
        <f t="shared" si="219"/>
        <v>507340</v>
      </c>
      <c r="M1747" s="62"/>
      <c r="N1747" s="253"/>
    </row>
    <row r="1748" spans="1:15" s="29" customFormat="1" ht="24.95" customHeight="1">
      <c r="A1748" s="31" t="s">
        <v>2378</v>
      </c>
      <c r="B1748" s="32" t="s">
        <v>2379</v>
      </c>
      <c r="C1748" s="33">
        <v>20</v>
      </c>
      <c r="D1748" s="34" t="s">
        <v>116</v>
      </c>
      <c r="E1748" s="36">
        <v>0</v>
      </c>
      <c r="F1748" s="36">
        <f>TRUNC(E1748*$C1748,0)</f>
        <v>0</v>
      </c>
      <c r="G1748" s="36">
        <v>0</v>
      </c>
      <c r="H1748" s="36">
        <f>TRUNC(G1748*$C1748,0)</f>
        <v>0</v>
      </c>
      <c r="I1748" s="36">
        <v>25367</v>
      </c>
      <c r="J1748" s="36">
        <f>TRUNC(I1748*$C1748,0)</f>
        <v>507340</v>
      </c>
      <c r="K1748" s="36">
        <f t="shared" si="220"/>
        <v>25367</v>
      </c>
      <c r="L1748" s="36">
        <f t="shared" si="219"/>
        <v>507340</v>
      </c>
      <c r="M1748" s="37"/>
      <c r="N1748" s="253"/>
      <c r="O1748" s="38"/>
    </row>
    <row r="1749" spans="1:15" s="63" customFormat="1" ht="24.95" customHeight="1">
      <c r="A1749" s="57" t="s">
        <v>2380</v>
      </c>
      <c r="B1749" s="58" t="s">
        <v>22</v>
      </c>
      <c r="C1749" s="59"/>
      <c r="D1749" s="60" t="s">
        <v>22</v>
      </c>
      <c r="E1749" s="60"/>
      <c r="F1749" s="61">
        <f>TRUNC(F1750,0)</f>
        <v>0</v>
      </c>
      <c r="G1749" s="60"/>
      <c r="H1749" s="61">
        <f>TRUNC(H1750,0)</f>
        <v>435598256</v>
      </c>
      <c r="I1749" s="60"/>
      <c r="J1749" s="61">
        <f>TRUNC(J1750,0)</f>
        <v>0</v>
      </c>
      <c r="K1749" s="61">
        <f t="shared" si="220"/>
        <v>0</v>
      </c>
      <c r="L1749" s="61">
        <f t="shared" si="219"/>
        <v>435598256</v>
      </c>
      <c r="M1749" s="62"/>
      <c r="N1749" s="253"/>
    </row>
    <row r="1750" spans="1:15" s="29" customFormat="1" ht="24.95" customHeight="1">
      <c r="A1750" s="31" t="s">
        <v>2381</v>
      </c>
      <c r="B1750" s="32" t="s">
        <v>2382</v>
      </c>
      <c r="C1750" s="33">
        <v>1634</v>
      </c>
      <c r="D1750" s="34" t="s">
        <v>1799</v>
      </c>
      <c r="E1750" s="36">
        <v>0</v>
      </c>
      <c r="F1750" s="36">
        <f>TRUNC(E1750*$C1750,0)</f>
        <v>0</v>
      </c>
      <c r="G1750" s="36">
        <v>266584</v>
      </c>
      <c r="H1750" s="36">
        <f>TRUNC(G1750*$C1750,0)</f>
        <v>435598256</v>
      </c>
      <c r="I1750" s="36">
        <v>0</v>
      </c>
      <c r="J1750" s="36">
        <f>TRUNC(I1750*$C1750,0)</f>
        <v>0</v>
      </c>
      <c r="K1750" s="36">
        <f t="shared" si="220"/>
        <v>266584</v>
      </c>
      <c r="L1750" s="36">
        <f t="shared" si="219"/>
        <v>435598256</v>
      </c>
      <c r="M1750" s="37"/>
      <c r="N1750" s="253"/>
      <c r="O1750" s="38"/>
    </row>
    <row r="1751" spans="1:15" s="63" customFormat="1" ht="24.95" customHeight="1">
      <c r="A1751" s="57" t="s">
        <v>2383</v>
      </c>
      <c r="B1751" s="58" t="s">
        <v>22</v>
      </c>
      <c r="C1751" s="59"/>
      <c r="D1751" s="60" t="s">
        <v>22</v>
      </c>
      <c r="E1751" s="60"/>
      <c r="F1751" s="61">
        <f>TRUNC(F1752+F1753+F1754+F1756+F1757,0)</f>
        <v>35629914</v>
      </c>
      <c r="G1751" s="60"/>
      <c r="H1751" s="61">
        <f>TRUNC(H1752+H1753+H1754+H1756+H1757,0)</f>
        <v>24886668</v>
      </c>
      <c r="I1751" s="60"/>
      <c r="J1751" s="61">
        <f>TRUNC(J1752+J1753+J1754+J1756+J1757,0)</f>
        <v>35415</v>
      </c>
      <c r="K1751" s="61">
        <f t="shared" si="220"/>
        <v>0</v>
      </c>
      <c r="L1751" s="61">
        <f t="shared" si="219"/>
        <v>60551997</v>
      </c>
      <c r="M1751" s="62"/>
      <c r="N1751" s="253"/>
    </row>
    <row r="1752" spans="1:15" s="29" customFormat="1" ht="24.95" customHeight="1">
      <c r="A1752" s="31" t="s">
        <v>2384</v>
      </c>
      <c r="B1752" s="32" t="s">
        <v>819</v>
      </c>
      <c r="C1752" s="33">
        <v>1</v>
      </c>
      <c r="D1752" s="34" t="s">
        <v>820</v>
      </c>
      <c r="E1752" s="36">
        <v>25890</v>
      </c>
      <c r="F1752" s="36">
        <f>TRUNC(E1752*$C1752,0)</f>
        <v>25890</v>
      </c>
      <c r="G1752" s="36">
        <v>0</v>
      </c>
      <c r="H1752" s="36">
        <f>TRUNC(G1752*$C1752,0)</f>
        <v>0</v>
      </c>
      <c r="I1752" s="36">
        <v>0</v>
      </c>
      <c r="J1752" s="36">
        <f>TRUNC(I1752*$C1752,0)</f>
        <v>0</v>
      </c>
      <c r="K1752" s="36">
        <f t="shared" si="220"/>
        <v>25890</v>
      </c>
      <c r="L1752" s="36">
        <f t="shared" si="219"/>
        <v>25890</v>
      </c>
      <c r="M1752" s="37"/>
      <c r="N1752" s="253"/>
      <c r="O1752" s="38"/>
    </row>
    <row r="1753" spans="1:15" s="29" customFormat="1" ht="24.95" customHeight="1">
      <c r="A1753" s="31" t="s">
        <v>1330</v>
      </c>
      <c r="B1753" s="32" t="s">
        <v>2385</v>
      </c>
      <c r="C1753" s="33">
        <v>1</v>
      </c>
      <c r="D1753" s="34" t="s">
        <v>815</v>
      </c>
      <c r="E1753" s="36">
        <v>35345</v>
      </c>
      <c r="F1753" s="36">
        <f>TRUNC(E1753*$C1753,0)</f>
        <v>35345</v>
      </c>
      <c r="G1753" s="36">
        <v>209</v>
      </c>
      <c r="H1753" s="36">
        <f>TRUNC(G1753*$C1753,0)</f>
        <v>209</v>
      </c>
      <c r="I1753" s="36">
        <v>93</v>
      </c>
      <c r="J1753" s="36">
        <f>TRUNC(I1753*$C1753,0)</f>
        <v>93</v>
      </c>
      <c r="K1753" s="36">
        <f t="shared" si="220"/>
        <v>35647</v>
      </c>
      <c r="L1753" s="36">
        <f t="shared" si="219"/>
        <v>35647</v>
      </c>
      <c r="M1753" s="37"/>
      <c r="N1753" s="253"/>
      <c r="O1753" s="38"/>
    </row>
    <row r="1754" spans="1:15" s="29" customFormat="1" ht="24.95" customHeight="1">
      <c r="A1754" s="31" t="s">
        <v>2386</v>
      </c>
      <c r="B1754" s="32" t="s">
        <v>1163</v>
      </c>
      <c r="C1754" s="33">
        <v>1</v>
      </c>
      <c r="D1754" s="34" t="s">
        <v>820</v>
      </c>
      <c r="E1754" s="36">
        <v>36721</v>
      </c>
      <c r="F1754" s="36">
        <f>TRUNC(E1754*$C1754,0)</f>
        <v>36721</v>
      </c>
      <c r="G1754" s="36">
        <v>6839</v>
      </c>
      <c r="H1754" s="36">
        <f>TRUNC(G1754*$C1754,0)</f>
        <v>6839</v>
      </c>
      <c r="I1754" s="36">
        <v>17642</v>
      </c>
      <c r="J1754" s="36">
        <f>TRUNC(I1754*$C1754,0)</f>
        <v>17642</v>
      </c>
      <c r="K1754" s="36">
        <f t="shared" si="220"/>
        <v>61202</v>
      </c>
      <c r="L1754" s="36">
        <f t="shared" si="219"/>
        <v>61202</v>
      </c>
      <c r="M1754" s="37"/>
      <c r="N1754" s="253"/>
      <c r="O1754" s="38"/>
    </row>
    <row r="1755" spans="1:15" s="29" customFormat="1" ht="24.95" customHeight="1">
      <c r="A1755" s="31" t="s">
        <v>2387</v>
      </c>
      <c r="B1755" s="32" t="s">
        <v>22</v>
      </c>
      <c r="C1755" s="33"/>
      <c r="D1755" s="34" t="s">
        <v>22</v>
      </c>
      <c r="E1755" s="34"/>
      <c r="F1755" s="36">
        <f>TRUNC(F1756+F1757,0)</f>
        <v>35531958</v>
      </c>
      <c r="G1755" s="34"/>
      <c r="H1755" s="36">
        <f>TRUNC(H1756+H1757,0)</f>
        <v>24879620</v>
      </c>
      <c r="I1755" s="34"/>
      <c r="J1755" s="36">
        <f>TRUNC(J1756+J1757,0)</f>
        <v>17680</v>
      </c>
      <c r="K1755" s="36">
        <f t="shared" si="220"/>
        <v>0</v>
      </c>
      <c r="L1755" s="36">
        <f t="shared" si="219"/>
        <v>60429258</v>
      </c>
      <c r="M1755" s="37"/>
      <c r="N1755" s="253"/>
    </row>
    <row r="1756" spans="1:15" s="29" customFormat="1" ht="24.95" customHeight="1">
      <c r="A1756" s="31" t="s">
        <v>2388</v>
      </c>
      <c r="B1756" s="32" t="s">
        <v>2389</v>
      </c>
      <c r="C1756" s="33">
        <v>154</v>
      </c>
      <c r="D1756" s="34" t="s">
        <v>96</v>
      </c>
      <c r="E1756" s="36">
        <v>221422</v>
      </c>
      <c r="F1756" s="36">
        <f>TRUNC(E1756*$C1756,0)</f>
        <v>34098988</v>
      </c>
      <c r="G1756" s="36">
        <v>152655</v>
      </c>
      <c r="H1756" s="36">
        <f>TRUNC(G1756*$C1756,0)</f>
        <v>23508870</v>
      </c>
      <c r="I1756" s="36">
        <v>50</v>
      </c>
      <c r="J1756" s="36">
        <f>TRUNC(I1756*$C1756,0)</f>
        <v>7700</v>
      </c>
      <c r="K1756" s="36">
        <f t="shared" si="220"/>
        <v>374127</v>
      </c>
      <c r="L1756" s="36">
        <f t="shared" si="219"/>
        <v>57615558</v>
      </c>
      <c r="M1756" s="37"/>
      <c r="N1756" s="253"/>
      <c r="O1756" s="38"/>
    </row>
    <row r="1757" spans="1:15" s="29" customFormat="1" ht="24.95" customHeight="1">
      <c r="A1757" s="31" t="s">
        <v>2388</v>
      </c>
      <c r="B1757" s="32" t="s">
        <v>2390</v>
      </c>
      <c r="C1757" s="33">
        <v>10</v>
      </c>
      <c r="D1757" s="34" t="s">
        <v>1014</v>
      </c>
      <c r="E1757" s="36">
        <v>143297</v>
      </c>
      <c r="F1757" s="36">
        <f>TRUNC(E1757*$C1757,0)</f>
        <v>1432970</v>
      </c>
      <c r="G1757" s="36">
        <v>137075</v>
      </c>
      <c r="H1757" s="36">
        <f>TRUNC(G1757*$C1757,0)</f>
        <v>1370750</v>
      </c>
      <c r="I1757" s="36">
        <v>998</v>
      </c>
      <c r="J1757" s="36">
        <f>TRUNC(I1757*$C1757,0)</f>
        <v>9980</v>
      </c>
      <c r="K1757" s="36">
        <f t="shared" si="220"/>
        <v>281370</v>
      </c>
      <c r="L1757" s="36">
        <f t="shared" si="219"/>
        <v>2813700</v>
      </c>
      <c r="M1757" s="37"/>
      <c r="N1757" s="253"/>
      <c r="O1757" s="38"/>
    </row>
    <row r="1758" spans="1:15" s="63" customFormat="1" ht="24.95" customHeight="1">
      <c r="A1758" s="57" t="s">
        <v>2391</v>
      </c>
      <c r="B1758" s="58" t="s">
        <v>22</v>
      </c>
      <c r="C1758" s="59"/>
      <c r="D1758" s="60" t="s">
        <v>22</v>
      </c>
      <c r="E1758" s="60"/>
      <c r="F1758" s="61">
        <f>TRUNC(F1759,0)</f>
        <v>4860</v>
      </c>
      <c r="G1758" s="60"/>
      <c r="H1758" s="61">
        <f>TRUNC(H1759,0)</f>
        <v>97455</v>
      </c>
      <c r="I1758" s="60"/>
      <c r="J1758" s="61">
        <f>TRUNC(J1759,0)</f>
        <v>0</v>
      </c>
      <c r="K1758" s="61">
        <f t="shared" si="220"/>
        <v>0</v>
      </c>
      <c r="L1758" s="61">
        <f t="shared" si="219"/>
        <v>102315</v>
      </c>
      <c r="M1758" s="62"/>
      <c r="N1758" s="253"/>
    </row>
    <row r="1759" spans="1:15" s="29" customFormat="1" ht="24.95" customHeight="1">
      <c r="A1759" s="31" t="s">
        <v>2392</v>
      </c>
      <c r="B1759" s="32" t="s">
        <v>22</v>
      </c>
      <c r="C1759" s="33">
        <v>15</v>
      </c>
      <c r="D1759" s="34" t="s">
        <v>1014</v>
      </c>
      <c r="E1759" s="36">
        <v>324</v>
      </c>
      <c r="F1759" s="36">
        <f>TRUNC(E1759*$C1759,0)</f>
        <v>4860</v>
      </c>
      <c r="G1759" s="36">
        <v>6497</v>
      </c>
      <c r="H1759" s="36">
        <f>TRUNC(G1759*$C1759,0)</f>
        <v>97455</v>
      </c>
      <c r="I1759" s="36">
        <v>0</v>
      </c>
      <c r="J1759" s="36">
        <f>TRUNC(I1759*$C1759,0)</f>
        <v>0</v>
      </c>
      <c r="K1759" s="36">
        <f t="shared" si="220"/>
        <v>6821</v>
      </c>
      <c r="L1759" s="36">
        <f t="shared" si="220"/>
        <v>102315</v>
      </c>
      <c r="M1759" s="37"/>
      <c r="N1759" s="253"/>
      <c r="O1759" s="38"/>
    </row>
    <row r="1760" spans="1:15" s="63" customFormat="1" ht="24.95" customHeight="1">
      <c r="A1760" s="57" t="s">
        <v>2393</v>
      </c>
      <c r="B1760" s="58" t="s">
        <v>22</v>
      </c>
      <c r="C1760" s="59"/>
      <c r="D1760" s="60" t="s">
        <v>22</v>
      </c>
      <c r="E1760" s="60"/>
      <c r="F1760" s="61">
        <f>TRUNC(F1761,0)</f>
        <v>38258</v>
      </c>
      <c r="G1760" s="60"/>
      <c r="H1760" s="61">
        <f>TRUNC(H1761,0)</f>
        <v>765435</v>
      </c>
      <c r="I1760" s="60"/>
      <c r="J1760" s="61">
        <f>TRUNC(J1761,0)</f>
        <v>0</v>
      </c>
      <c r="K1760" s="61">
        <f t="shared" ref="K1760:L1805" si="224">G1760+E1760+I1760</f>
        <v>0</v>
      </c>
      <c r="L1760" s="61">
        <f t="shared" si="224"/>
        <v>803693</v>
      </c>
      <c r="M1760" s="62"/>
      <c r="N1760" s="253"/>
    </row>
    <row r="1761" spans="1:15" s="29" customFormat="1" ht="24.95" customHeight="1">
      <c r="A1761" s="31" t="s">
        <v>2394</v>
      </c>
      <c r="B1761" s="32" t="s">
        <v>22</v>
      </c>
      <c r="C1761" s="33">
        <v>11</v>
      </c>
      <c r="D1761" s="34" t="s">
        <v>1014</v>
      </c>
      <c r="E1761" s="36">
        <v>3478</v>
      </c>
      <c r="F1761" s="36">
        <f>TRUNC(E1761*$C1761,0)</f>
        <v>38258</v>
      </c>
      <c r="G1761" s="36">
        <v>69585</v>
      </c>
      <c r="H1761" s="36">
        <f>TRUNC(G1761*$C1761,0)</f>
        <v>765435</v>
      </c>
      <c r="I1761" s="36">
        <v>0</v>
      </c>
      <c r="J1761" s="36">
        <f>TRUNC(I1761*$C1761,0)</f>
        <v>0</v>
      </c>
      <c r="K1761" s="36">
        <f t="shared" si="224"/>
        <v>73063</v>
      </c>
      <c r="L1761" s="36">
        <f t="shared" si="224"/>
        <v>803693</v>
      </c>
      <c r="M1761" s="37"/>
      <c r="N1761" s="253"/>
      <c r="O1761" s="38"/>
    </row>
    <row r="1762" spans="1:15" s="63" customFormat="1" ht="24.95" customHeight="1">
      <c r="A1762" s="57" t="s">
        <v>2395</v>
      </c>
      <c r="B1762" s="58" t="s">
        <v>22</v>
      </c>
      <c r="C1762" s="59"/>
      <c r="D1762" s="60" t="s">
        <v>22</v>
      </c>
      <c r="E1762" s="60"/>
      <c r="F1762" s="61">
        <f>TRUNC(F1763+F1764+F1765,0)</f>
        <v>10601020</v>
      </c>
      <c r="G1762" s="60"/>
      <c r="H1762" s="61">
        <f>TRUNC(H1763+H1764+H1765,0)</f>
        <v>1275067</v>
      </c>
      <c r="I1762" s="60"/>
      <c r="J1762" s="61">
        <f>TRUNC(J1763+J1764+J1765,0)</f>
        <v>213247</v>
      </c>
      <c r="K1762" s="61">
        <f t="shared" si="224"/>
        <v>0</v>
      </c>
      <c r="L1762" s="61">
        <f t="shared" si="224"/>
        <v>12089334</v>
      </c>
      <c r="M1762" s="62"/>
      <c r="N1762" s="253"/>
    </row>
    <row r="1763" spans="1:15" s="29" customFormat="1" ht="24.95" customHeight="1">
      <c r="A1763" s="31" t="s">
        <v>2396</v>
      </c>
      <c r="B1763" s="32" t="s">
        <v>2397</v>
      </c>
      <c r="C1763" s="33">
        <v>188</v>
      </c>
      <c r="D1763" s="34" t="s">
        <v>847</v>
      </c>
      <c r="E1763" s="36">
        <v>43834</v>
      </c>
      <c r="F1763" s="36">
        <f>TRUNC(E1763*$C1763,0)</f>
        <v>8240792</v>
      </c>
      <c r="G1763" s="36">
        <v>564</v>
      </c>
      <c r="H1763" s="36">
        <f>TRUNC(G1763*$C1763,0)</f>
        <v>106032</v>
      </c>
      <c r="I1763" s="36">
        <v>791</v>
      </c>
      <c r="J1763" s="36">
        <f>TRUNC(I1763*$C1763,0)</f>
        <v>148708</v>
      </c>
      <c r="K1763" s="36">
        <f t="shared" si="224"/>
        <v>45189</v>
      </c>
      <c r="L1763" s="36">
        <f t="shared" si="224"/>
        <v>8495532</v>
      </c>
      <c r="M1763" s="37"/>
      <c r="N1763" s="253"/>
      <c r="O1763" s="38"/>
    </row>
    <row r="1764" spans="1:15" s="29" customFormat="1" ht="24.95" customHeight="1">
      <c r="A1764" s="31" t="s">
        <v>2398</v>
      </c>
      <c r="B1764" s="32" t="s">
        <v>1152</v>
      </c>
      <c r="C1764" s="33">
        <v>71</v>
      </c>
      <c r="D1764" s="34" t="s">
        <v>820</v>
      </c>
      <c r="E1764" s="36">
        <v>7628</v>
      </c>
      <c r="F1764" s="36">
        <f>TRUNC(E1764*$C1764,0)</f>
        <v>541588</v>
      </c>
      <c r="G1764" s="36">
        <v>765</v>
      </c>
      <c r="H1764" s="36">
        <f>TRUNC(G1764*$C1764,0)</f>
        <v>54315</v>
      </c>
      <c r="I1764" s="36">
        <v>909</v>
      </c>
      <c r="J1764" s="36">
        <f>TRUNC(I1764*$C1764,0)</f>
        <v>64539</v>
      </c>
      <c r="K1764" s="36">
        <f t="shared" si="224"/>
        <v>9302</v>
      </c>
      <c r="L1764" s="36">
        <f t="shared" si="224"/>
        <v>660442</v>
      </c>
      <c r="M1764" s="37"/>
      <c r="N1764" s="253"/>
      <c r="O1764" s="38"/>
    </row>
    <row r="1765" spans="1:15" s="29" customFormat="1" ht="24.95" customHeight="1">
      <c r="A1765" s="31" t="s">
        <v>2235</v>
      </c>
      <c r="B1765" s="32" t="s">
        <v>1010</v>
      </c>
      <c r="C1765" s="33">
        <v>80</v>
      </c>
      <c r="D1765" s="34" t="s">
        <v>831</v>
      </c>
      <c r="E1765" s="36">
        <v>22733</v>
      </c>
      <c r="F1765" s="36">
        <f>TRUNC(E1765*$C1765,0)</f>
        <v>1818640</v>
      </c>
      <c r="G1765" s="36">
        <v>13934</v>
      </c>
      <c r="H1765" s="36">
        <f>TRUNC(G1765*$C1765,0)</f>
        <v>1114720</v>
      </c>
      <c r="I1765" s="36">
        <v>0</v>
      </c>
      <c r="J1765" s="36">
        <f>TRUNC(I1765*$C1765,0)</f>
        <v>0</v>
      </c>
      <c r="K1765" s="36">
        <f t="shared" si="224"/>
        <v>36667</v>
      </c>
      <c r="L1765" s="36">
        <f t="shared" si="224"/>
        <v>2933360</v>
      </c>
      <c r="M1765" s="37"/>
      <c r="N1765" s="253"/>
      <c r="O1765" s="38"/>
    </row>
    <row r="1766" spans="1:15" s="63" customFormat="1" ht="24.95" customHeight="1">
      <c r="A1766" s="57" t="s">
        <v>2399</v>
      </c>
      <c r="B1766" s="58" t="s">
        <v>22</v>
      </c>
      <c r="C1766" s="59"/>
      <c r="D1766" s="60" t="s">
        <v>22</v>
      </c>
      <c r="E1766" s="60"/>
      <c r="F1766" s="61">
        <f>TRUNC(F1767,0)</f>
        <v>0</v>
      </c>
      <c r="G1766" s="60"/>
      <c r="H1766" s="61">
        <f>TRUNC(H1767,0)</f>
        <v>9932272</v>
      </c>
      <c r="I1766" s="60"/>
      <c r="J1766" s="61">
        <f>TRUNC(J1767,0)</f>
        <v>16158744</v>
      </c>
      <c r="K1766" s="61">
        <f t="shared" si="224"/>
        <v>0</v>
      </c>
      <c r="L1766" s="61">
        <f t="shared" si="224"/>
        <v>26091016</v>
      </c>
      <c r="M1766" s="62"/>
      <c r="N1766" s="253"/>
    </row>
    <row r="1767" spans="1:15" s="29" customFormat="1" ht="24.95" customHeight="1">
      <c r="A1767" s="31" t="s">
        <v>2400</v>
      </c>
      <c r="B1767" s="32" t="s">
        <v>22</v>
      </c>
      <c r="C1767" s="33">
        <v>28</v>
      </c>
      <c r="D1767" s="34" t="s">
        <v>2401</v>
      </c>
      <c r="E1767" s="36">
        <v>0</v>
      </c>
      <c r="F1767" s="36">
        <f>TRUNC(E1767*$C1767,0)</f>
        <v>0</v>
      </c>
      <c r="G1767" s="36">
        <v>354724</v>
      </c>
      <c r="H1767" s="36">
        <f>TRUNC(G1767*$C1767,0)</f>
        <v>9932272</v>
      </c>
      <c r="I1767" s="36">
        <v>577098</v>
      </c>
      <c r="J1767" s="36">
        <f>TRUNC(I1767*$C1767,0)</f>
        <v>16158744</v>
      </c>
      <c r="K1767" s="36">
        <f t="shared" si="224"/>
        <v>931822</v>
      </c>
      <c r="L1767" s="36">
        <f t="shared" si="224"/>
        <v>26091016</v>
      </c>
      <c r="M1767" s="37"/>
      <c r="N1767" s="253"/>
      <c r="O1767" s="38"/>
    </row>
    <row r="1768" spans="1:15" s="63" customFormat="1" ht="24.95" customHeight="1">
      <c r="A1768" s="57" t="s">
        <v>2402</v>
      </c>
      <c r="B1768" s="58" t="s">
        <v>22</v>
      </c>
      <c r="C1768" s="59"/>
      <c r="D1768" s="60" t="s">
        <v>22</v>
      </c>
      <c r="E1768" s="60"/>
      <c r="F1768" s="61">
        <f>TRUNC(F1769+F1770+F1771+F1772+F1773,0)</f>
        <v>15767686</v>
      </c>
      <c r="G1768" s="60"/>
      <c r="H1768" s="61">
        <f>TRUNC(H1769+H1770+H1771+H1772+H1773,0)</f>
        <v>9932272</v>
      </c>
      <c r="I1768" s="60"/>
      <c r="J1768" s="61">
        <f>TRUNC(J1769+J1770+J1771+J1772+J1773,0)</f>
        <v>495676806</v>
      </c>
      <c r="K1768" s="61">
        <f t="shared" si="224"/>
        <v>0</v>
      </c>
      <c r="L1768" s="61">
        <f t="shared" si="224"/>
        <v>521376764</v>
      </c>
      <c r="M1768" s="62"/>
      <c r="N1768" s="253"/>
    </row>
    <row r="1769" spans="1:15" s="29" customFormat="1" ht="24.95" customHeight="1">
      <c r="A1769" s="31" t="s">
        <v>2403</v>
      </c>
      <c r="B1769" s="32" t="s">
        <v>22</v>
      </c>
      <c r="C1769" s="33">
        <v>1</v>
      </c>
      <c r="D1769" s="34" t="s">
        <v>754</v>
      </c>
      <c r="E1769" s="36">
        <v>0</v>
      </c>
      <c r="F1769" s="36">
        <f>TRUNC(E1769*$C1769,0)</f>
        <v>0</v>
      </c>
      <c r="G1769" s="36">
        <v>0</v>
      </c>
      <c r="H1769" s="36">
        <f>TRUNC(G1769*$C1769,0)</f>
        <v>0</v>
      </c>
      <c r="I1769" s="36">
        <v>30485546</v>
      </c>
      <c r="J1769" s="36">
        <f>TRUNC(I1769*$C1769,0)</f>
        <v>30485546</v>
      </c>
      <c r="K1769" s="36">
        <f t="shared" si="224"/>
        <v>30485546</v>
      </c>
      <c r="L1769" s="36">
        <f t="shared" si="224"/>
        <v>30485546</v>
      </c>
      <c r="M1769" s="37"/>
      <c r="N1769" s="253"/>
      <c r="O1769" s="38"/>
    </row>
    <row r="1770" spans="1:15" s="29" customFormat="1" ht="24.95" customHeight="1">
      <c r="A1770" s="31" t="s">
        <v>2404</v>
      </c>
      <c r="B1770" s="32" t="s">
        <v>22</v>
      </c>
      <c r="C1770" s="33">
        <v>1</v>
      </c>
      <c r="D1770" s="34" t="s">
        <v>754</v>
      </c>
      <c r="E1770" s="36">
        <v>0</v>
      </c>
      <c r="F1770" s="36">
        <f>TRUNC(E1770*$C1770,0)</f>
        <v>0</v>
      </c>
      <c r="G1770" s="36">
        <v>0</v>
      </c>
      <c r="H1770" s="36">
        <f>TRUNC(G1770*$C1770,0)</f>
        <v>0</v>
      </c>
      <c r="I1770" s="36">
        <v>392419528</v>
      </c>
      <c r="J1770" s="36">
        <f>TRUNC(I1770*$C1770,0)</f>
        <v>392419528</v>
      </c>
      <c r="K1770" s="36">
        <f t="shared" si="224"/>
        <v>392419528</v>
      </c>
      <c r="L1770" s="36">
        <f t="shared" si="224"/>
        <v>392419528</v>
      </c>
      <c r="M1770" s="37"/>
      <c r="N1770" s="253"/>
      <c r="O1770" s="38"/>
    </row>
    <row r="1771" spans="1:15" s="29" customFormat="1" ht="24.95" customHeight="1">
      <c r="A1771" s="31" t="s">
        <v>2405</v>
      </c>
      <c r="B1771" s="32" t="s">
        <v>2406</v>
      </c>
      <c r="C1771" s="33">
        <v>28</v>
      </c>
      <c r="D1771" s="34" t="s">
        <v>2401</v>
      </c>
      <c r="E1771" s="36">
        <v>0</v>
      </c>
      <c r="F1771" s="36">
        <f>TRUNC(E1771*$C1771,0)</f>
        <v>0</v>
      </c>
      <c r="G1771" s="36">
        <v>354724</v>
      </c>
      <c r="H1771" s="36">
        <f>TRUNC(G1771*$C1771,0)</f>
        <v>9932272</v>
      </c>
      <c r="I1771" s="36">
        <v>462802</v>
      </c>
      <c r="J1771" s="36">
        <f>TRUNC(I1771*$C1771,0)</f>
        <v>12958456</v>
      </c>
      <c r="K1771" s="36">
        <f t="shared" si="224"/>
        <v>817526</v>
      </c>
      <c r="L1771" s="36">
        <f t="shared" si="224"/>
        <v>22890728</v>
      </c>
      <c r="M1771" s="37"/>
      <c r="N1771" s="253"/>
      <c r="O1771" s="38"/>
    </row>
    <row r="1772" spans="1:15" s="29" customFormat="1" ht="24.95" customHeight="1">
      <c r="A1772" s="31" t="s">
        <v>2407</v>
      </c>
      <c r="B1772" s="32" t="s">
        <v>22</v>
      </c>
      <c r="C1772" s="33">
        <v>1</v>
      </c>
      <c r="D1772" s="34" t="s">
        <v>2408</v>
      </c>
      <c r="E1772" s="36">
        <v>0</v>
      </c>
      <c r="F1772" s="36">
        <f>TRUNC(E1772*$C1772,0)</f>
        <v>0</v>
      </c>
      <c r="G1772" s="36">
        <v>0</v>
      </c>
      <c r="H1772" s="36">
        <f>TRUNC(G1772*$C1772,0)</f>
        <v>0</v>
      </c>
      <c r="I1772" s="36">
        <v>59778287</v>
      </c>
      <c r="J1772" s="36">
        <f>TRUNC(I1772*$C1772,0)</f>
        <v>59778287</v>
      </c>
      <c r="K1772" s="36">
        <f t="shared" si="224"/>
        <v>59778287</v>
      </c>
      <c r="L1772" s="36">
        <f t="shared" si="224"/>
        <v>59778287</v>
      </c>
      <c r="M1772" s="37"/>
      <c r="N1772" s="253"/>
      <c r="O1772" s="38"/>
    </row>
    <row r="1773" spans="1:15" s="29" customFormat="1" ht="24.95" customHeight="1">
      <c r="A1773" s="31" t="s">
        <v>2409</v>
      </c>
      <c r="B1773" s="32" t="s">
        <v>22</v>
      </c>
      <c r="C1773" s="33">
        <v>1</v>
      </c>
      <c r="D1773" s="34" t="s">
        <v>754</v>
      </c>
      <c r="E1773" s="36">
        <v>15767686</v>
      </c>
      <c r="F1773" s="36">
        <f>TRUNC(E1773*$C1773,0)</f>
        <v>15767686</v>
      </c>
      <c r="G1773" s="36">
        <v>0</v>
      </c>
      <c r="H1773" s="36">
        <f>TRUNC(G1773*$C1773,0)</f>
        <v>0</v>
      </c>
      <c r="I1773" s="36">
        <v>34989</v>
      </c>
      <c r="J1773" s="36">
        <f>TRUNC(I1773*$C1773,0)</f>
        <v>34989</v>
      </c>
      <c r="K1773" s="36">
        <f t="shared" si="224"/>
        <v>15802675</v>
      </c>
      <c r="L1773" s="36">
        <f t="shared" si="224"/>
        <v>15802675</v>
      </c>
      <c r="M1773" s="37"/>
      <c r="N1773" s="253"/>
      <c r="O1773" s="38"/>
    </row>
    <row r="1774" spans="1:15" s="63" customFormat="1" ht="24.95" customHeight="1">
      <c r="A1774" s="57" t="s">
        <v>2410</v>
      </c>
      <c r="B1774" s="58" t="s">
        <v>22</v>
      </c>
      <c r="C1774" s="59"/>
      <c r="D1774" s="60" t="s">
        <v>22</v>
      </c>
      <c r="E1774" s="60"/>
      <c r="F1774" s="61">
        <f>TRUNC(F1775,0)</f>
        <v>163818</v>
      </c>
      <c r="G1774" s="60"/>
      <c r="H1774" s="61">
        <f>TRUNC(H1775,0)</f>
        <v>10121850</v>
      </c>
      <c r="I1774" s="60"/>
      <c r="J1774" s="61">
        <f>TRUNC(J1775,0)</f>
        <v>0</v>
      </c>
      <c r="K1774" s="61">
        <f t="shared" si="224"/>
        <v>0</v>
      </c>
      <c r="L1774" s="61">
        <f t="shared" si="224"/>
        <v>10285668</v>
      </c>
      <c r="M1774" s="62"/>
      <c r="N1774" s="253"/>
    </row>
    <row r="1775" spans="1:15" s="29" customFormat="1" ht="24.95" customHeight="1">
      <c r="A1775" s="31" t="s">
        <v>2411</v>
      </c>
      <c r="B1775" s="32" t="s">
        <v>2337</v>
      </c>
      <c r="C1775" s="33">
        <v>18</v>
      </c>
      <c r="D1775" s="34" t="s">
        <v>2401</v>
      </c>
      <c r="E1775" s="36">
        <v>9101</v>
      </c>
      <c r="F1775" s="36">
        <f>TRUNC(E1775*$C1775,0)</f>
        <v>163818</v>
      </c>
      <c r="G1775" s="36">
        <v>562325</v>
      </c>
      <c r="H1775" s="36">
        <f>TRUNC(G1775*$C1775,0)</f>
        <v>10121850</v>
      </c>
      <c r="I1775" s="36">
        <v>0</v>
      </c>
      <c r="J1775" s="36">
        <f>TRUNC(I1775*$C1775,0)</f>
        <v>0</v>
      </c>
      <c r="K1775" s="36">
        <f t="shared" si="224"/>
        <v>571426</v>
      </c>
      <c r="L1775" s="36">
        <f t="shared" si="224"/>
        <v>10285668</v>
      </c>
      <c r="M1775" s="37"/>
      <c r="N1775" s="253"/>
      <c r="O1775" s="38"/>
    </row>
    <row r="1776" spans="1:15" s="63" customFormat="1" ht="24.95" customHeight="1">
      <c r="A1776" s="57" t="s">
        <v>2412</v>
      </c>
      <c r="B1776" s="58" t="s">
        <v>22</v>
      </c>
      <c r="C1776" s="59"/>
      <c r="D1776" s="60" t="s">
        <v>22</v>
      </c>
      <c r="E1776" s="60"/>
      <c r="F1776" s="61">
        <f>TRUNC(F1777,0)</f>
        <v>0</v>
      </c>
      <c r="G1776" s="60"/>
      <c r="H1776" s="61">
        <f>TRUNC(H1777,0)</f>
        <v>0</v>
      </c>
      <c r="I1776" s="60"/>
      <c r="J1776" s="61">
        <f>TRUNC(J1777,0)</f>
        <v>188526084</v>
      </c>
      <c r="K1776" s="61">
        <f t="shared" si="224"/>
        <v>0</v>
      </c>
      <c r="L1776" s="61">
        <f t="shared" si="224"/>
        <v>188526084</v>
      </c>
      <c r="M1776" s="62"/>
      <c r="N1776" s="253"/>
    </row>
    <row r="1777" spans="1:15" s="29" customFormat="1" ht="24.95" customHeight="1">
      <c r="A1777" s="31" t="s">
        <v>2413</v>
      </c>
      <c r="B1777" s="32" t="s">
        <v>22</v>
      </c>
      <c r="C1777" s="33">
        <v>1</v>
      </c>
      <c r="D1777" s="34" t="s">
        <v>2408</v>
      </c>
      <c r="E1777" s="36">
        <v>0</v>
      </c>
      <c r="F1777" s="36">
        <f>TRUNC(E1777*$C1777,0)</f>
        <v>0</v>
      </c>
      <c r="G1777" s="36">
        <v>0</v>
      </c>
      <c r="H1777" s="36">
        <f>TRUNC(G1777*$C1777,0)</f>
        <v>0</v>
      </c>
      <c r="I1777" s="36">
        <v>188526084</v>
      </c>
      <c r="J1777" s="36">
        <f>TRUNC(I1777*$C1777,0)</f>
        <v>188526084</v>
      </c>
      <c r="K1777" s="36">
        <f t="shared" si="224"/>
        <v>188526084</v>
      </c>
      <c r="L1777" s="36">
        <f t="shared" si="224"/>
        <v>188526084</v>
      </c>
      <c r="M1777" s="37"/>
      <c r="N1777" s="253"/>
      <c r="O1777" s="38"/>
    </row>
    <row r="1778" spans="1:15" s="63" customFormat="1" ht="24.95" customHeight="1">
      <c r="A1778" s="57" t="s">
        <v>2414</v>
      </c>
      <c r="B1778" s="58" t="s">
        <v>22</v>
      </c>
      <c r="C1778" s="59"/>
      <c r="D1778" s="60" t="s">
        <v>22</v>
      </c>
      <c r="E1778" s="60"/>
      <c r="F1778" s="61">
        <f>TRUNC(F1779,0)</f>
        <v>0</v>
      </c>
      <c r="G1778" s="60"/>
      <c r="H1778" s="61">
        <f>TRUNC(H1779,0)</f>
        <v>0</v>
      </c>
      <c r="I1778" s="60"/>
      <c r="J1778" s="61">
        <f>TRUNC(J1779,0)</f>
        <v>49050839</v>
      </c>
      <c r="K1778" s="61">
        <f t="shared" si="224"/>
        <v>0</v>
      </c>
      <c r="L1778" s="61">
        <f t="shared" si="224"/>
        <v>49050839</v>
      </c>
      <c r="M1778" s="62"/>
      <c r="N1778" s="253"/>
    </row>
    <row r="1779" spans="1:15" s="29" customFormat="1" ht="24.95" customHeight="1">
      <c r="A1779" s="31" t="s">
        <v>2415</v>
      </c>
      <c r="B1779" s="32" t="s">
        <v>2416</v>
      </c>
      <c r="C1779" s="33">
        <v>1</v>
      </c>
      <c r="D1779" s="34" t="s">
        <v>2408</v>
      </c>
      <c r="E1779" s="36">
        <v>0</v>
      </c>
      <c r="F1779" s="36">
        <f>TRUNC(E1779*$C1779,0)</f>
        <v>0</v>
      </c>
      <c r="G1779" s="36">
        <v>0</v>
      </c>
      <c r="H1779" s="36">
        <f>TRUNC(G1779*$C1779,0)</f>
        <v>0</v>
      </c>
      <c r="I1779" s="36">
        <v>49050839</v>
      </c>
      <c r="J1779" s="36">
        <f>TRUNC(I1779*$C1779,0)</f>
        <v>49050839</v>
      </c>
      <c r="K1779" s="36">
        <f t="shared" si="224"/>
        <v>49050839</v>
      </c>
      <c r="L1779" s="36">
        <f t="shared" si="224"/>
        <v>49050839</v>
      </c>
      <c r="M1779" s="37"/>
      <c r="N1779" s="253"/>
      <c r="O1779" s="38"/>
    </row>
    <row r="1780" spans="1:15" s="63" customFormat="1" ht="24.95" customHeight="1">
      <c r="A1780" s="57" t="s">
        <v>2417</v>
      </c>
      <c r="B1780" s="58" t="s">
        <v>22</v>
      </c>
      <c r="C1780" s="59"/>
      <c r="D1780" s="60" t="s">
        <v>22</v>
      </c>
      <c r="E1780" s="60"/>
      <c r="F1780" s="61">
        <f>TRUNC(F1781,0)</f>
        <v>0</v>
      </c>
      <c r="G1780" s="60"/>
      <c r="H1780" s="61">
        <f>TRUNC(H1781,0)</f>
        <v>0</v>
      </c>
      <c r="I1780" s="60"/>
      <c r="J1780" s="61">
        <f>TRUNC(J1781,0)</f>
        <v>2540878</v>
      </c>
      <c r="K1780" s="61">
        <f t="shared" si="224"/>
        <v>0</v>
      </c>
      <c r="L1780" s="61">
        <f t="shared" si="224"/>
        <v>2540878</v>
      </c>
      <c r="M1780" s="62"/>
      <c r="N1780" s="253"/>
    </row>
    <row r="1781" spans="1:15" s="29" customFormat="1" ht="24.95" customHeight="1">
      <c r="A1781" s="31" t="s">
        <v>2418</v>
      </c>
      <c r="B1781" s="32" t="s">
        <v>2416</v>
      </c>
      <c r="C1781" s="33">
        <v>1</v>
      </c>
      <c r="D1781" s="34" t="s">
        <v>2408</v>
      </c>
      <c r="E1781" s="36">
        <v>0</v>
      </c>
      <c r="F1781" s="36">
        <f>TRUNC(E1781*$C1781,0)</f>
        <v>0</v>
      </c>
      <c r="G1781" s="36">
        <v>0</v>
      </c>
      <c r="H1781" s="36">
        <f>TRUNC(G1781*$C1781,0)</f>
        <v>0</v>
      </c>
      <c r="I1781" s="36">
        <v>2540878</v>
      </c>
      <c r="J1781" s="36">
        <f>TRUNC(I1781*$C1781,0)</f>
        <v>2540878</v>
      </c>
      <c r="K1781" s="36">
        <f t="shared" si="224"/>
        <v>2540878</v>
      </c>
      <c r="L1781" s="36">
        <f t="shared" si="224"/>
        <v>2540878</v>
      </c>
      <c r="M1781" s="37"/>
      <c r="N1781" s="253"/>
      <c r="O1781" s="38"/>
    </row>
    <row r="1782" spans="1:15" s="63" customFormat="1" ht="24.95" customHeight="1">
      <c r="A1782" s="57" t="s">
        <v>2419</v>
      </c>
      <c r="B1782" s="58" t="s">
        <v>22</v>
      </c>
      <c r="C1782" s="59"/>
      <c r="D1782" s="60" t="s">
        <v>22</v>
      </c>
      <c r="E1782" s="60"/>
      <c r="F1782" s="61">
        <f>TRUNC(F1783,0)</f>
        <v>0</v>
      </c>
      <c r="G1782" s="60"/>
      <c r="H1782" s="61">
        <f>TRUNC(H1783,0)</f>
        <v>0</v>
      </c>
      <c r="I1782" s="60"/>
      <c r="J1782" s="61">
        <f>TRUNC(J1783,0)</f>
        <v>5204709</v>
      </c>
      <c r="K1782" s="61">
        <f t="shared" si="224"/>
        <v>0</v>
      </c>
      <c r="L1782" s="61">
        <f t="shared" si="224"/>
        <v>5204709</v>
      </c>
      <c r="M1782" s="62"/>
      <c r="N1782" s="253"/>
    </row>
    <row r="1783" spans="1:15" s="29" customFormat="1" ht="24.95" customHeight="1">
      <c r="A1783" s="31" t="s">
        <v>2420</v>
      </c>
      <c r="B1783" s="32" t="s">
        <v>2416</v>
      </c>
      <c r="C1783" s="33">
        <v>1</v>
      </c>
      <c r="D1783" s="34" t="s">
        <v>2408</v>
      </c>
      <c r="E1783" s="36">
        <v>0</v>
      </c>
      <c r="F1783" s="36">
        <f>TRUNC(E1783*$C1783,0)</f>
        <v>0</v>
      </c>
      <c r="G1783" s="36">
        <v>0</v>
      </c>
      <c r="H1783" s="36">
        <f>TRUNC(G1783*$C1783,0)</f>
        <v>0</v>
      </c>
      <c r="I1783" s="36">
        <v>5204709</v>
      </c>
      <c r="J1783" s="36">
        <f>TRUNC(I1783*$C1783,0)</f>
        <v>5204709</v>
      </c>
      <c r="K1783" s="36">
        <f t="shared" si="224"/>
        <v>5204709</v>
      </c>
      <c r="L1783" s="36">
        <f t="shared" si="224"/>
        <v>5204709</v>
      </c>
      <c r="M1783" s="37"/>
      <c r="N1783" s="253"/>
      <c r="O1783" s="38"/>
    </row>
    <row r="1784" spans="1:15" s="63" customFormat="1" ht="24.95" customHeight="1">
      <c r="A1784" s="57" t="s">
        <v>2421</v>
      </c>
      <c r="B1784" s="58" t="s">
        <v>22</v>
      </c>
      <c r="C1784" s="59"/>
      <c r="D1784" s="60" t="s">
        <v>22</v>
      </c>
      <c r="E1784" s="60"/>
      <c r="F1784" s="61">
        <f>TRUNC(F1785,0)</f>
        <v>0</v>
      </c>
      <c r="G1784" s="60"/>
      <c r="H1784" s="61">
        <f>TRUNC(H1785,0)</f>
        <v>0</v>
      </c>
      <c r="I1784" s="60"/>
      <c r="J1784" s="61">
        <f>TRUNC(J1785,0)</f>
        <v>24540723</v>
      </c>
      <c r="K1784" s="61">
        <f t="shared" si="224"/>
        <v>0</v>
      </c>
      <c r="L1784" s="61">
        <f t="shared" si="224"/>
        <v>24540723</v>
      </c>
      <c r="M1784" s="62"/>
      <c r="N1784" s="253"/>
    </row>
    <row r="1785" spans="1:15" s="29" customFormat="1" ht="24.95" customHeight="1">
      <c r="A1785" s="31" t="s">
        <v>2422</v>
      </c>
      <c r="B1785" s="32" t="s">
        <v>2416</v>
      </c>
      <c r="C1785" s="33">
        <v>1</v>
      </c>
      <c r="D1785" s="34" t="s">
        <v>2408</v>
      </c>
      <c r="E1785" s="36">
        <v>0</v>
      </c>
      <c r="F1785" s="36">
        <f>TRUNC(E1785*$C1785,0)</f>
        <v>0</v>
      </c>
      <c r="G1785" s="36">
        <v>0</v>
      </c>
      <c r="H1785" s="36">
        <f>TRUNC(G1785*$C1785,0)</f>
        <v>0</v>
      </c>
      <c r="I1785" s="36">
        <v>24540723</v>
      </c>
      <c r="J1785" s="36">
        <f>TRUNC(I1785*$C1785,0)</f>
        <v>24540723</v>
      </c>
      <c r="K1785" s="36">
        <f t="shared" si="224"/>
        <v>24540723</v>
      </c>
      <c r="L1785" s="36">
        <f t="shared" si="224"/>
        <v>24540723</v>
      </c>
      <c r="M1785" s="37"/>
      <c r="N1785" s="253"/>
      <c r="O1785" s="38"/>
    </row>
    <row r="1786" spans="1:15" s="63" customFormat="1" ht="24.95" customHeight="1">
      <c r="A1786" s="57" t="s">
        <v>2423</v>
      </c>
      <c r="B1786" s="58" t="s">
        <v>22</v>
      </c>
      <c r="C1786" s="59"/>
      <c r="D1786" s="60" t="s">
        <v>22</v>
      </c>
      <c r="E1786" s="60"/>
      <c r="F1786" s="61">
        <f>TRUNC(F1787+F1788+F1789,0)</f>
        <v>0</v>
      </c>
      <c r="G1786" s="60"/>
      <c r="H1786" s="61">
        <f>TRUNC(H1787+H1788+H1789,0)</f>
        <v>0</v>
      </c>
      <c r="I1786" s="60"/>
      <c r="J1786" s="61">
        <f>TRUNC(J1787+J1788+J1789,0)</f>
        <v>4624606</v>
      </c>
      <c r="K1786" s="61">
        <f t="shared" si="224"/>
        <v>0</v>
      </c>
      <c r="L1786" s="61">
        <f t="shared" si="224"/>
        <v>4624606</v>
      </c>
      <c r="M1786" s="62"/>
      <c r="N1786" s="253"/>
    </row>
    <row r="1787" spans="1:15" s="29" customFormat="1" ht="24.95" customHeight="1">
      <c r="A1787" s="31" t="s">
        <v>2424</v>
      </c>
      <c r="B1787" s="32" t="s">
        <v>1211</v>
      </c>
      <c r="C1787" s="33">
        <v>5.3220000000000001</v>
      </c>
      <c r="D1787" s="34" t="s">
        <v>1112</v>
      </c>
      <c r="E1787" s="36">
        <v>0</v>
      </c>
      <c r="F1787" s="36">
        <f>TRUNC(E1787*$C1787,0)</f>
        <v>0</v>
      </c>
      <c r="G1787" s="36">
        <v>0</v>
      </c>
      <c r="H1787" s="36">
        <f>TRUNC(G1787*$C1787,0)</f>
        <v>0</v>
      </c>
      <c r="I1787" s="36">
        <v>9736</v>
      </c>
      <c r="J1787" s="36">
        <f>TRUNC(I1787*$C1787,0)</f>
        <v>51814</v>
      </c>
      <c r="K1787" s="36">
        <f t="shared" si="224"/>
        <v>9736</v>
      </c>
      <c r="L1787" s="36">
        <f t="shared" si="224"/>
        <v>51814</v>
      </c>
      <c r="M1787" s="37"/>
      <c r="N1787" s="253"/>
      <c r="O1787" s="38"/>
    </row>
    <row r="1788" spans="1:15" s="29" customFormat="1" ht="24.95" customHeight="1">
      <c r="A1788" s="31" t="s">
        <v>2425</v>
      </c>
      <c r="B1788" s="32" t="s">
        <v>1005</v>
      </c>
      <c r="C1788" s="33">
        <v>68</v>
      </c>
      <c r="D1788" s="34" t="s">
        <v>1192</v>
      </c>
      <c r="E1788" s="36">
        <v>0</v>
      </c>
      <c r="F1788" s="36">
        <f>TRUNC(E1788*$C1788,0)</f>
        <v>0</v>
      </c>
      <c r="G1788" s="36">
        <v>0</v>
      </c>
      <c r="H1788" s="36">
        <f>TRUNC(G1788*$C1788,0)</f>
        <v>0</v>
      </c>
      <c r="I1788" s="36">
        <v>66843</v>
      </c>
      <c r="J1788" s="36">
        <f>TRUNC(I1788*$C1788,0)</f>
        <v>4545324</v>
      </c>
      <c r="K1788" s="36">
        <f t="shared" si="224"/>
        <v>66843</v>
      </c>
      <c r="L1788" s="36">
        <f t="shared" si="224"/>
        <v>4545324</v>
      </c>
      <c r="M1788" s="37"/>
      <c r="N1788" s="253"/>
      <c r="O1788" s="38"/>
    </row>
    <row r="1789" spans="1:15" s="29" customFormat="1" ht="24.95" customHeight="1">
      <c r="A1789" s="31" t="s">
        <v>1812</v>
      </c>
      <c r="B1789" s="32" t="s">
        <v>1813</v>
      </c>
      <c r="C1789" s="33">
        <v>12</v>
      </c>
      <c r="D1789" s="34" t="s">
        <v>1814</v>
      </c>
      <c r="E1789" s="36">
        <v>0</v>
      </c>
      <c r="F1789" s="36">
        <f>TRUNC(E1789*$C1789,0)</f>
        <v>0</v>
      </c>
      <c r="G1789" s="36">
        <v>0</v>
      </c>
      <c r="H1789" s="36">
        <f>TRUNC(G1789*$C1789,0)</f>
        <v>0</v>
      </c>
      <c r="I1789" s="36">
        <v>2289</v>
      </c>
      <c r="J1789" s="36">
        <f>TRUNC(I1789*$C1789,0)</f>
        <v>27468</v>
      </c>
      <c r="K1789" s="36">
        <f t="shared" si="224"/>
        <v>2289</v>
      </c>
      <c r="L1789" s="36">
        <f t="shared" si="224"/>
        <v>27468</v>
      </c>
      <c r="M1789" s="37"/>
      <c r="N1789" s="253"/>
      <c r="O1789" s="38"/>
    </row>
    <row r="1790" spans="1:15" s="63" customFormat="1" ht="24.95" customHeight="1">
      <c r="A1790" s="57" t="s">
        <v>2426</v>
      </c>
      <c r="B1790" s="58" t="s">
        <v>22</v>
      </c>
      <c r="C1790" s="59"/>
      <c r="D1790" s="60" t="s">
        <v>22</v>
      </c>
      <c r="E1790" s="60"/>
      <c r="F1790" s="61">
        <f>TRUNC(F1792+F1793+F1795+F1796+F1798+F1800+F1802+F1804,0)</f>
        <v>0</v>
      </c>
      <c r="G1790" s="60"/>
      <c r="H1790" s="61">
        <f>TRUNC(H1792+H1793+H1795+H1796+H1798+H1800+H1802+H1804,0)</f>
        <v>162961446</v>
      </c>
      <c r="I1790" s="60"/>
      <c r="J1790" s="61">
        <f>TRUNC(J1792+J1793+J1795+J1796+J1798+J1800+J1802+J1804,0)</f>
        <v>0</v>
      </c>
      <c r="K1790" s="61">
        <f t="shared" si="224"/>
        <v>0</v>
      </c>
      <c r="L1790" s="61">
        <f t="shared" si="224"/>
        <v>162961446</v>
      </c>
      <c r="M1790" s="62"/>
      <c r="N1790" s="253"/>
    </row>
    <row r="1791" spans="1:15" s="70" customFormat="1" ht="24.95" customHeight="1">
      <c r="A1791" s="64" t="s">
        <v>1253</v>
      </c>
      <c r="B1791" s="65" t="s">
        <v>22</v>
      </c>
      <c r="C1791" s="66"/>
      <c r="D1791" s="67" t="s">
        <v>22</v>
      </c>
      <c r="E1791" s="67"/>
      <c r="F1791" s="68">
        <f>TRUNC(F1792+F1793,0)</f>
        <v>0</v>
      </c>
      <c r="G1791" s="67"/>
      <c r="H1791" s="68">
        <f>TRUNC(H1792+H1793,0)</f>
        <v>42300711</v>
      </c>
      <c r="I1791" s="67"/>
      <c r="J1791" s="68">
        <f>TRUNC(J1792+J1793,0)</f>
        <v>0</v>
      </c>
      <c r="K1791" s="68">
        <f t="shared" si="224"/>
        <v>0</v>
      </c>
      <c r="L1791" s="68">
        <f t="shared" si="224"/>
        <v>42300711</v>
      </c>
      <c r="M1791" s="69"/>
      <c r="N1791" s="256"/>
    </row>
    <row r="1792" spans="1:15" s="29" customFormat="1" ht="24.95" customHeight="1">
      <c r="A1792" s="31" t="s">
        <v>2296</v>
      </c>
      <c r="B1792" s="32" t="s">
        <v>1259</v>
      </c>
      <c r="C1792" s="33">
        <v>273</v>
      </c>
      <c r="D1792" s="34" t="s">
        <v>815</v>
      </c>
      <c r="E1792" s="36">
        <v>0</v>
      </c>
      <c r="F1792" s="36">
        <f>TRUNC(E1792*$C1792,0)</f>
        <v>0</v>
      </c>
      <c r="G1792" s="36">
        <v>81324</v>
      </c>
      <c r="H1792" s="36">
        <f>TRUNC(G1792*$C1792,0)</f>
        <v>22201452</v>
      </c>
      <c r="I1792" s="36">
        <v>0</v>
      </c>
      <c r="J1792" s="36">
        <f>TRUNC(I1792*$C1792,0)</f>
        <v>0</v>
      </c>
      <c r="K1792" s="36">
        <f t="shared" si="224"/>
        <v>81324</v>
      </c>
      <c r="L1792" s="36">
        <f t="shared" si="224"/>
        <v>22201452</v>
      </c>
      <c r="M1792" s="37"/>
      <c r="N1792" s="253"/>
      <c r="O1792" s="38"/>
    </row>
    <row r="1793" spans="1:15" s="29" customFormat="1" ht="24.95" customHeight="1">
      <c r="A1793" s="31" t="s">
        <v>2297</v>
      </c>
      <c r="B1793" s="32" t="s">
        <v>1258</v>
      </c>
      <c r="C1793" s="33">
        <v>237</v>
      </c>
      <c r="D1793" s="34" t="s">
        <v>815</v>
      </c>
      <c r="E1793" s="36">
        <v>0</v>
      </c>
      <c r="F1793" s="36">
        <f>TRUNC(E1793*$C1793,0)</f>
        <v>0</v>
      </c>
      <c r="G1793" s="36">
        <v>84807</v>
      </c>
      <c r="H1793" s="36">
        <f>TRUNC(G1793*$C1793,0)</f>
        <v>20099259</v>
      </c>
      <c r="I1793" s="36">
        <v>0</v>
      </c>
      <c r="J1793" s="36">
        <f>TRUNC(I1793*$C1793,0)</f>
        <v>0</v>
      </c>
      <c r="K1793" s="36">
        <f t="shared" si="224"/>
        <v>84807</v>
      </c>
      <c r="L1793" s="36">
        <f t="shared" si="224"/>
        <v>20099259</v>
      </c>
      <c r="M1793" s="37"/>
      <c r="N1793" s="253"/>
      <c r="O1793" s="38"/>
    </row>
    <row r="1794" spans="1:15" s="70" customFormat="1" ht="24.95" customHeight="1">
      <c r="A1794" s="64" t="s">
        <v>1260</v>
      </c>
      <c r="B1794" s="65" t="s">
        <v>22</v>
      </c>
      <c r="C1794" s="66"/>
      <c r="D1794" s="67" t="s">
        <v>22</v>
      </c>
      <c r="E1794" s="67"/>
      <c r="F1794" s="68">
        <f>TRUNC(F1795+F1796,0)</f>
        <v>0</v>
      </c>
      <c r="G1794" s="67"/>
      <c r="H1794" s="68">
        <f>TRUNC(H1795+H1796,0)</f>
        <v>25553824</v>
      </c>
      <c r="I1794" s="67"/>
      <c r="J1794" s="68">
        <f>TRUNC(J1795+J1796,0)</f>
        <v>0</v>
      </c>
      <c r="K1794" s="68">
        <f t="shared" si="224"/>
        <v>0</v>
      </c>
      <c r="L1794" s="68">
        <f t="shared" si="224"/>
        <v>25553824</v>
      </c>
      <c r="M1794" s="69"/>
      <c r="N1794" s="256"/>
    </row>
    <row r="1795" spans="1:15" s="29" customFormat="1" ht="24.95" customHeight="1">
      <c r="A1795" s="31" t="s">
        <v>1261</v>
      </c>
      <c r="B1795" s="32" t="s">
        <v>1262</v>
      </c>
      <c r="C1795" s="33">
        <v>716</v>
      </c>
      <c r="D1795" s="34" t="s">
        <v>815</v>
      </c>
      <c r="E1795" s="36">
        <v>0</v>
      </c>
      <c r="F1795" s="36">
        <f>TRUNC(E1795*$C1795,0)</f>
        <v>0</v>
      </c>
      <c r="G1795" s="36">
        <v>17494</v>
      </c>
      <c r="H1795" s="36">
        <f>TRUNC(G1795*$C1795,0)</f>
        <v>12525704</v>
      </c>
      <c r="I1795" s="36">
        <v>0</v>
      </c>
      <c r="J1795" s="36">
        <f>TRUNC(I1795*$C1795,0)</f>
        <v>0</v>
      </c>
      <c r="K1795" s="36">
        <f t="shared" si="224"/>
        <v>17494</v>
      </c>
      <c r="L1795" s="36">
        <f t="shared" si="224"/>
        <v>12525704</v>
      </c>
      <c r="M1795" s="37"/>
      <c r="N1795" s="253"/>
      <c r="O1795" s="38"/>
    </row>
    <row r="1796" spans="1:15" s="29" customFormat="1" ht="24.95" customHeight="1">
      <c r="A1796" s="31" t="s">
        <v>2427</v>
      </c>
      <c r="B1796" s="32" t="s">
        <v>2428</v>
      </c>
      <c r="C1796" s="33">
        <v>3128</v>
      </c>
      <c r="D1796" s="34" t="s">
        <v>166</v>
      </c>
      <c r="E1796" s="36">
        <v>0</v>
      </c>
      <c r="F1796" s="36">
        <f>TRUNC(E1796*$C1796,0)</f>
        <v>0</v>
      </c>
      <c r="G1796" s="36">
        <v>4165</v>
      </c>
      <c r="H1796" s="36">
        <f>TRUNC(G1796*$C1796,0)</f>
        <v>13028120</v>
      </c>
      <c r="I1796" s="36">
        <v>0</v>
      </c>
      <c r="J1796" s="36">
        <f>TRUNC(I1796*$C1796,0)</f>
        <v>0</v>
      </c>
      <c r="K1796" s="36">
        <f t="shared" si="224"/>
        <v>4165</v>
      </c>
      <c r="L1796" s="36">
        <f t="shared" si="224"/>
        <v>13028120</v>
      </c>
      <c r="M1796" s="37"/>
      <c r="N1796" s="253"/>
      <c r="O1796" s="38"/>
    </row>
    <row r="1797" spans="1:15" s="70" customFormat="1" ht="24.95" customHeight="1">
      <c r="A1797" s="64" t="s">
        <v>2429</v>
      </c>
      <c r="B1797" s="65" t="s">
        <v>22</v>
      </c>
      <c r="C1797" s="66"/>
      <c r="D1797" s="67" t="s">
        <v>22</v>
      </c>
      <c r="E1797" s="67"/>
      <c r="F1797" s="68">
        <f>TRUNC(F1798,0)</f>
        <v>0</v>
      </c>
      <c r="G1797" s="67"/>
      <c r="H1797" s="68">
        <f>TRUNC(H1798,0)</f>
        <v>4056763</v>
      </c>
      <c r="I1797" s="67"/>
      <c r="J1797" s="68">
        <f>TRUNC(J1798,0)</f>
        <v>0</v>
      </c>
      <c r="K1797" s="68">
        <f t="shared" si="224"/>
        <v>0</v>
      </c>
      <c r="L1797" s="68">
        <f t="shared" si="224"/>
        <v>4056763</v>
      </c>
      <c r="M1797" s="69"/>
      <c r="N1797" s="256"/>
    </row>
    <row r="1798" spans="1:15" s="29" customFormat="1" ht="24.95" customHeight="1">
      <c r="A1798" s="31" t="s">
        <v>2260</v>
      </c>
      <c r="B1798" s="32" t="s">
        <v>1596</v>
      </c>
      <c r="C1798" s="261">
        <v>5.3220000000000001</v>
      </c>
      <c r="D1798" s="34" t="s">
        <v>1597</v>
      </c>
      <c r="E1798" s="36">
        <v>0</v>
      </c>
      <c r="F1798" s="36">
        <f>TRUNC(E1798*$C1798,0)</f>
        <v>0</v>
      </c>
      <c r="G1798" s="36">
        <v>762263</v>
      </c>
      <c r="H1798" s="36">
        <f>TRUNC(G1798*$C1798,0)</f>
        <v>4056763</v>
      </c>
      <c r="I1798" s="36">
        <v>0</v>
      </c>
      <c r="J1798" s="36">
        <f>TRUNC(I1798*$C1798,0)</f>
        <v>0</v>
      </c>
      <c r="K1798" s="36">
        <f t="shared" si="224"/>
        <v>762263</v>
      </c>
      <c r="L1798" s="36">
        <f t="shared" si="224"/>
        <v>4056763</v>
      </c>
      <c r="M1798" s="37"/>
      <c r="N1798" s="253"/>
      <c r="O1798" s="38"/>
    </row>
    <row r="1799" spans="1:15" s="70" customFormat="1" ht="24.95" customHeight="1">
      <c r="A1799" s="64" t="s">
        <v>2430</v>
      </c>
      <c r="B1799" s="65" t="s">
        <v>22</v>
      </c>
      <c r="C1799" s="66"/>
      <c r="D1799" s="67" t="s">
        <v>22</v>
      </c>
      <c r="E1799" s="67"/>
      <c r="F1799" s="68">
        <f>TRUNC(F1800,0)</f>
        <v>0</v>
      </c>
      <c r="G1799" s="67"/>
      <c r="H1799" s="68">
        <f>TRUNC(H1800,0)</f>
        <v>38068168</v>
      </c>
      <c r="I1799" s="67"/>
      <c r="J1799" s="68">
        <f>TRUNC(J1800,0)</f>
        <v>0</v>
      </c>
      <c r="K1799" s="68">
        <f t="shared" si="224"/>
        <v>0</v>
      </c>
      <c r="L1799" s="68">
        <f t="shared" si="224"/>
        <v>38068168</v>
      </c>
      <c r="M1799" s="69"/>
      <c r="N1799" s="256"/>
    </row>
    <row r="1800" spans="1:15" s="29" customFormat="1" ht="24.95" customHeight="1">
      <c r="A1800" s="31" t="s">
        <v>1270</v>
      </c>
      <c r="B1800" s="32" t="s">
        <v>1276</v>
      </c>
      <c r="C1800" s="33">
        <v>68</v>
      </c>
      <c r="D1800" s="34" t="s">
        <v>1192</v>
      </c>
      <c r="E1800" s="36">
        <v>0</v>
      </c>
      <c r="F1800" s="36">
        <f>TRUNC(E1800*$C1800,0)</f>
        <v>0</v>
      </c>
      <c r="G1800" s="36">
        <v>559826</v>
      </c>
      <c r="H1800" s="36">
        <f>TRUNC(G1800*$C1800,0)</f>
        <v>38068168</v>
      </c>
      <c r="I1800" s="36">
        <v>0</v>
      </c>
      <c r="J1800" s="36">
        <f>TRUNC(I1800*$C1800,0)</f>
        <v>0</v>
      </c>
      <c r="K1800" s="36">
        <f t="shared" si="224"/>
        <v>559826</v>
      </c>
      <c r="L1800" s="36">
        <f t="shared" si="224"/>
        <v>38068168</v>
      </c>
      <c r="M1800" s="37"/>
      <c r="N1800" s="253"/>
      <c r="O1800" s="38"/>
    </row>
    <row r="1801" spans="1:15" s="70" customFormat="1" ht="24.95" customHeight="1">
      <c r="A1801" s="64" t="s">
        <v>2431</v>
      </c>
      <c r="B1801" s="65" t="s">
        <v>22</v>
      </c>
      <c r="C1801" s="66"/>
      <c r="D1801" s="67" t="s">
        <v>22</v>
      </c>
      <c r="E1801" s="67"/>
      <c r="F1801" s="68">
        <f>TRUNC(F1802,0)</f>
        <v>0</v>
      </c>
      <c r="G1801" s="67"/>
      <c r="H1801" s="68">
        <f>TRUNC(H1802,0)</f>
        <v>51082572</v>
      </c>
      <c r="I1801" s="67"/>
      <c r="J1801" s="68">
        <f>TRUNC(J1802,0)</f>
        <v>0</v>
      </c>
      <c r="K1801" s="68">
        <f t="shared" si="224"/>
        <v>0</v>
      </c>
      <c r="L1801" s="68">
        <f t="shared" si="224"/>
        <v>51082572</v>
      </c>
      <c r="M1801" s="69"/>
      <c r="N1801" s="256"/>
    </row>
    <row r="1802" spans="1:15" s="29" customFormat="1" ht="24.95" customHeight="1">
      <c r="A1802" s="31" t="s">
        <v>1821</v>
      </c>
      <c r="B1802" s="32" t="s">
        <v>2432</v>
      </c>
      <c r="C1802" s="33">
        <v>687</v>
      </c>
      <c r="D1802" s="34" t="s">
        <v>1112</v>
      </c>
      <c r="E1802" s="36">
        <v>0</v>
      </c>
      <c r="F1802" s="36">
        <f>TRUNC(E1802*$C1802,0)</f>
        <v>0</v>
      </c>
      <c r="G1802" s="36">
        <v>74356</v>
      </c>
      <c r="H1802" s="36">
        <f>TRUNC(G1802*$C1802,0)</f>
        <v>51082572</v>
      </c>
      <c r="I1802" s="36">
        <v>0</v>
      </c>
      <c r="J1802" s="36">
        <f>TRUNC(I1802*$C1802,0)</f>
        <v>0</v>
      </c>
      <c r="K1802" s="36">
        <f t="shared" si="224"/>
        <v>74356</v>
      </c>
      <c r="L1802" s="36">
        <f t="shared" si="224"/>
        <v>51082572</v>
      </c>
      <c r="M1802" s="37"/>
      <c r="N1802" s="253"/>
      <c r="O1802" s="38"/>
    </row>
    <row r="1803" spans="1:15" s="70" customFormat="1" ht="24.95" customHeight="1">
      <c r="A1803" s="64" t="s">
        <v>2433</v>
      </c>
      <c r="B1803" s="65" t="s">
        <v>22</v>
      </c>
      <c r="C1803" s="66"/>
      <c r="D1803" s="67" t="s">
        <v>22</v>
      </c>
      <c r="E1803" s="67"/>
      <c r="F1803" s="68">
        <f>TRUNC(F1804,0)</f>
        <v>0</v>
      </c>
      <c r="G1803" s="67"/>
      <c r="H1803" s="68">
        <f>TRUNC(H1804,0)</f>
        <v>1899408</v>
      </c>
      <c r="I1803" s="67"/>
      <c r="J1803" s="68">
        <f>TRUNC(J1804,0)</f>
        <v>0</v>
      </c>
      <c r="K1803" s="68">
        <f t="shared" si="224"/>
        <v>0</v>
      </c>
      <c r="L1803" s="68">
        <f t="shared" si="224"/>
        <v>1899408</v>
      </c>
      <c r="M1803" s="69"/>
      <c r="N1803" s="256"/>
    </row>
    <row r="1804" spans="1:15" s="29" customFormat="1" ht="24.95" customHeight="1">
      <c r="A1804" s="31" t="s">
        <v>1827</v>
      </c>
      <c r="B1804" s="32" t="s">
        <v>1828</v>
      </c>
      <c r="C1804" s="33">
        <v>12</v>
      </c>
      <c r="D1804" s="34" t="s">
        <v>1814</v>
      </c>
      <c r="E1804" s="36">
        <v>0</v>
      </c>
      <c r="F1804" s="36">
        <f>TRUNC(E1804*$C1804,0)</f>
        <v>0</v>
      </c>
      <c r="G1804" s="36">
        <v>158284</v>
      </c>
      <c r="H1804" s="36">
        <f>TRUNC(G1804*$C1804,0)</f>
        <v>1899408</v>
      </c>
      <c r="I1804" s="36">
        <v>0</v>
      </c>
      <c r="J1804" s="36">
        <f>TRUNC(I1804*$C1804,0)</f>
        <v>0</v>
      </c>
      <c r="K1804" s="36">
        <f t="shared" si="224"/>
        <v>158284</v>
      </c>
      <c r="L1804" s="36">
        <f t="shared" si="224"/>
        <v>1899408</v>
      </c>
      <c r="M1804" s="37"/>
      <c r="N1804" s="253"/>
      <c r="O1804" s="38"/>
    </row>
    <row r="1805" spans="1:15" s="29" customFormat="1" ht="24.95" customHeight="1">
      <c r="A1805" s="31" t="s">
        <v>766</v>
      </c>
      <c r="B1805" s="32" t="s">
        <v>22</v>
      </c>
      <c r="C1805" s="33"/>
      <c r="D1805" s="34" t="s">
        <v>22</v>
      </c>
      <c r="E1805" s="34"/>
      <c r="F1805" s="36">
        <v>0</v>
      </c>
      <c r="G1805" s="34"/>
      <c r="H1805" s="36">
        <v>0</v>
      </c>
      <c r="I1805" s="34"/>
      <c r="J1805" s="36">
        <v>0</v>
      </c>
      <c r="K1805" s="36">
        <f t="shared" si="224"/>
        <v>0</v>
      </c>
      <c r="L1805" s="36">
        <f t="shared" si="224"/>
        <v>0</v>
      </c>
      <c r="M1805" s="37"/>
      <c r="N1805" s="253"/>
    </row>
    <row r="1806" spans="1:15" s="45" customFormat="1" ht="24.95" customHeight="1">
      <c r="A1806" s="39" t="s">
        <v>2434</v>
      </c>
      <c r="B1806" s="40" t="s">
        <v>22</v>
      </c>
      <c r="C1806" s="41"/>
      <c r="D1806" s="42" t="s">
        <v>754</v>
      </c>
      <c r="E1806" s="42"/>
      <c r="F1806" s="43">
        <f>TRUNC(F1808+F1810+F1811+F1812+F1813+F1814+F1816+F1817+F1818,0)</f>
        <v>0</v>
      </c>
      <c r="G1806" s="42"/>
      <c r="H1806" s="43">
        <f>TRUNC(H1808+H1810+H1811+H1812+H1813+H1814+H1816+H1817+H1818,0)</f>
        <v>-161747010</v>
      </c>
      <c r="I1806" s="42"/>
      <c r="J1806" s="43">
        <f>TRUNC(J1808+J1810+J1811+J1812+J1813+J1814+J1816+J1817+J1818,0)</f>
        <v>1274756603</v>
      </c>
      <c r="K1806" s="42"/>
      <c r="L1806" s="43">
        <f t="shared" ref="L1806:L1818" si="225">H1806+F1806+J1806</f>
        <v>1113009593</v>
      </c>
      <c r="M1806" s="44"/>
      <c r="N1806" s="253"/>
    </row>
    <row r="1807" spans="1:15" s="63" customFormat="1" ht="24.95" customHeight="1">
      <c r="A1807" s="57" t="s">
        <v>2435</v>
      </c>
      <c r="B1807" s="58" t="s">
        <v>22</v>
      </c>
      <c r="C1807" s="59"/>
      <c r="D1807" s="60" t="s">
        <v>22</v>
      </c>
      <c r="E1807" s="60"/>
      <c r="F1807" s="61">
        <f>TRUNC(F1808,0)</f>
        <v>0</v>
      </c>
      <c r="G1807" s="60"/>
      <c r="H1807" s="61">
        <f>TRUNC(H1808,0)</f>
        <v>0</v>
      </c>
      <c r="I1807" s="60"/>
      <c r="J1807" s="61">
        <f>TRUNC(J1808,0)</f>
        <v>372187440</v>
      </c>
      <c r="K1807" s="61">
        <f t="shared" ref="K1807:K1818" si="226">G1807+E1807+I1807</f>
        <v>0</v>
      </c>
      <c r="L1807" s="61">
        <f t="shared" si="225"/>
        <v>372187440</v>
      </c>
      <c r="M1807" s="62"/>
      <c r="N1807" s="253"/>
    </row>
    <row r="1808" spans="1:15" s="29" customFormat="1" ht="24.95" customHeight="1">
      <c r="A1808" s="31" t="s">
        <v>2436</v>
      </c>
      <c r="B1808" s="32" t="s">
        <v>2437</v>
      </c>
      <c r="C1808" s="33">
        <v>27942</v>
      </c>
      <c r="D1808" s="34" t="s">
        <v>1112</v>
      </c>
      <c r="E1808" s="36">
        <v>0</v>
      </c>
      <c r="F1808" s="36">
        <f>TRUNC(E1808*$C1808,0)</f>
        <v>0</v>
      </c>
      <c r="G1808" s="36">
        <v>0</v>
      </c>
      <c r="H1808" s="36">
        <f>TRUNC(G1808*$C1808,0)</f>
        <v>0</v>
      </c>
      <c r="I1808" s="36">
        <v>13320</v>
      </c>
      <c r="J1808" s="36">
        <f>TRUNC(I1808*$C1808,0)</f>
        <v>372187440</v>
      </c>
      <c r="K1808" s="36">
        <f t="shared" si="226"/>
        <v>13320</v>
      </c>
      <c r="L1808" s="36">
        <f t="shared" si="225"/>
        <v>372187440</v>
      </c>
      <c r="M1808" s="37"/>
      <c r="N1808" s="253"/>
      <c r="O1808" s="38"/>
    </row>
    <row r="1809" spans="1:15" s="63" customFormat="1" ht="24.95" customHeight="1">
      <c r="A1809" s="57" t="s">
        <v>2438</v>
      </c>
      <c r="B1809" s="58" t="s">
        <v>22</v>
      </c>
      <c r="C1809" s="59"/>
      <c r="D1809" s="60" t="s">
        <v>22</v>
      </c>
      <c r="E1809" s="60"/>
      <c r="F1809" s="61">
        <f>TRUNC(F1810+F1811+F1812+F1813+F1814+F1816+F1817+F1818,0)</f>
        <v>0</v>
      </c>
      <c r="G1809" s="60"/>
      <c r="H1809" s="61">
        <f>TRUNC(H1810+H1811+H1812+H1813+H1814+H1816+H1817+H1818,0)</f>
        <v>-161747010</v>
      </c>
      <c r="I1809" s="60"/>
      <c r="J1809" s="61">
        <f>TRUNC(J1810+J1811+J1812+J1813+J1814+J1816+J1817+J1818,0)</f>
        <v>902569163</v>
      </c>
      <c r="K1809" s="61">
        <f t="shared" si="226"/>
        <v>0</v>
      </c>
      <c r="L1809" s="61">
        <f t="shared" si="225"/>
        <v>740822153</v>
      </c>
      <c r="M1809" s="62"/>
      <c r="N1809" s="253"/>
    </row>
    <row r="1810" spans="1:15" s="29" customFormat="1" ht="24.95" customHeight="1">
      <c r="A1810" s="31" t="s">
        <v>2439</v>
      </c>
      <c r="B1810" s="32" t="s">
        <v>22</v>
      </c>
      <c r="C1810" s="33">
        <v>21329</v>
      </c>
      <c r="D1810" s="34" t="s">
        <v>1112</v>
      </c>
      <c r="E1810" s="36">
        <v>0</v>
      </c>
      <c r="F1810" s="36">
        <f>TRUNC(E1810*$C1810,0)</f>
        <v>0</v>
      </c>
      <c r="G1810" s="36">
        <v>0</v>
      </c>
      <c r="H1810" s="36">
        <f>TRUNC(G1810*$C1810,0)</f>
        <v>0</v>
      </c>
      <c r="I1810" s="36">
        <v>23755</v>
      </c>
      <c r="J1810" s="36">
        <f>TRUNC(I1810*$C1810,0)</f>
        <v>506670395</v>
      </c>
      <c r="K1810" s="36">
        <f t="shared" si="226"/>
        <v>23755</v>
      </c>
      <c r="L1810" s="36">
        <f t="shared" si="225"/>
        <v>506670395</v>
      </c>
      <c r="M1810" s="37"/>
      <c r="N1810" s="253"/>
      <c r="O1810" s="38"/>
    </row>
    <row r="1811" spans="1:15" s="29" customFormat="1" ht="24.95" customHeight="1">
      <c r="A1811" s="31" t="s">
        <v>2440</v>
      </c>
      <c r="B1811" s="32" t="s">
        <v>22</v>
      </c>
      <c r="C1811" s="33">
        <v>2904</v>
      </c>
      <c r="D1811" s="34" t="s">
        <v>1112</v>
      </c>
      <c r="E1811" s="36">
        <v>0</v>
      </c>
      <c r="F1811" s="36">
        <f>TRUNC(E1811*$C1811,0)</f>
        <v>0</v>
      </c>
      <c r="G1811" s="36">
        <v>0</v>
      </c>
      <c r="H1811" s="36">
        <f>TRUNC(G1811*$C1811,0)</f>
        <v>0</v>
      </c>
      <c r="I1811" s="36">
        <v>25398</v>
      </c>
      <c r="J1811" s="36">
        <f>TRUNC(I1811*$C1811,0)</f>
        <v>73755792</v>
      </c>
      <c r="K1811" s="36">
        <f t="shared" si="226"/>
        <v>25398</v>
      </c>
      <c r="L1811" s="36">
        <f t="shared" si="225"/>
        <v>73755792</v>
      </c>
      <c r="M1811" s="37"/>
      <c r="N1811" s="253"/>
      <c r="O1811" s="38"/>
    </row>
    <row r="1812" spans="1:15" s="29" customFormat="1" ht="24.95" customHeight="1">
      <c r="A1812" s="31" t="s">
        <v>2441</v>
      </c>
      <c r="B1812" s="32" t="s">
        <v>22</v>
      </c>
      <c r="C1812" s="33">
        <v>581</v>
      </c>
      <c r="D1812" s="34" t="s">
        <v>1886</v>
      </c>
      <c r="E1812" s="36">
        <v>0</v>
      </c>
      <c r="F1812" s="36">
        <f>TRUNC(E1812*$C1812,0)</f>
        <v>0</v>
      </c>
      <c r="G1812" s="36">
        <v>0</v>
      </c>
      <c r="H1812" s="36">
        <f>TRUNC(G1812*$C1812,0)</f>
        <v>0</v>
      </c>
      <c r="I1812" s="36">
        <v>41653</v>
      </c>
      <c r="J1812" s="36">
        <f>TRUNC(I1812*$C1812,0)</f>
        <v>24200393</v>
      </c>
      <c r="K1812" s="36">
        <f t="shared" si="226"/>
        <v>41653</v>
      </c>
      <c r="L1812" s="36">
        <f t="shared" si="225"/>
        <v>24200393</v>
      </c>
      <c r="M1812" s="37"/>
      <c r="N1812" s="253"/>
      <c r="O1812" s="38"/>
    </row>
    <row r="1813" spans="1:15" s="29" customFormat="1" ht="24.95" customHeight="1">
      <c r="A1813" s="31" t="s">
        <v>2442</v>
      </c>
      <c r="B1813" s="32" t="s">
        <v>22</v>
      </c>
      <c r="C1813" s="33">
        <v>1543</v>
      </c>
      <c r="D1813" s="34" t="s">
        <v>1886</v>
      </c>
      <c r="E1813" s="36">
        <v>0</v>
      </c>
      <c r="F1813" s="36">
        <f>TRUNC(E1813*$C1813,0)</f>
        <v>0</v>
      </c>
      <c r="G1813" s="36">
        <v>0</v>
      </c>
      <c r="H1813" s="36">
        <f>TRUNC(G1813*$C1813,0)</f>
        <v>0</v>
      </c>
      <c r="I1813" s="36">
        <v>99969</v>
      </c>
      <c r="J1813" s="36">
        <f>TRUNC(I1813*$C1813,0)</f>
        <v>154252167</v>
      </c>
      <c r="K1813" s="36">
        <f t="shared" si="226"/>
        <v>99969</v>
      </c>
      <c r="L1813" s="36">
        <f t="shared" si="225"/>
        <v>154252167</v>
      </c>
      <c r="M1813" s="37"/>
      <c r="N1813" s="253"/>
      <c r="O1813" s="38"/>
    </row>
    <row r="1814" spans="1:15" s="29" customFormat="1" ht="24.95" customHeight="1">
      <c r="A1814" s="31" t="s">
        <v>2443</v>
      </c>
      <c r="B1814" s="32" t="s">
        <v>2444</v>
      </c>
      <c r="C1814" s="33">
        <v>2517</v>
      </c>
      <c r="D1814" s="34" t="s">
        <v>1112</v>
      </c>
      <c r="E1814" s="36">
        <v>0</v>
      </c>
      <c r="F1814" s="36">
        <f>TRUNC(E1814*$C1814,0)</f>
        <v>0</v>
      </c>
      <c r="G1814" s="36">
        <v>0</v>
      </c>
      <c r="H1814" s="36">
        <f>TRUNC(G1814*$C1814,0)</f>
        <v>0</v>
      </c>
      <c r="I1814" s="36">
        <v>56948</v>
      </c>
      <c r="J1814" s="36">
        <f>TRUNC(I1814*$C1814,0)</f>
        <v>143338116</v>
      </c>
      <c r="K1814" s="36">
        <f t="shared" si="226"/>
        <v>56948</v>
      </c>
      <c r="L1814" s="36">
        <f t="shared" si="225"/>
        <v>143338116</v>
      </c>
      <c r="M1814" s="37"/>
      <c r="N1814" s="253"/>
      <c r="O1814" s="38"/>
    </row>
    <row r="1815" spans="1:15" s="29" customFormat="1" ht="24.95" customHeight="1">
      <c r="A1815" s="31" t="s">
        <v>2445</v>
      </c>
      <c r="B1815" s="32" t="s">
        <v>22</v>
      </c>
      <c r="C1815" s="33"/>
      <c r="D1815" s="34" t="s">
        <v>22</v>
      </c>
      <c r="E1815" s="34"/>
      <c r="F1815" s="36">
        <f>TRUNC(F1816+F1817,0)</f>
        <v>0</v>
      </c>
      <c r="G1815" s="34"/>
      <c r="H1815" s="36">
        <f>TRUNC(H1816+H1817,0)</f>
        <v>0</v>
      </c>
      <c r="I1815" s="34"/>
      <c r="J1815" s="36">
        <f>TRUNC(J1816+J1817,0)</f>
        <v>352300</v>
      </c>
      <c r="K1815" s="36">
        <f t="shared" si="226"/>
        <v>0</v>
      </c>
      <c r="L1815" s="36">
        <f t="shared" si="225"/>
        <v>352300</v>
      </c>
      <c r="M1815" s="37"/>
      <c r="N1815" s="253"/>
    </row>
    <row r="1816" spans="1:15" s="29" customFormat="1" ht="24.95" customHeight="1">
      <c r="A1816" s="31" t="s">
        <v>2446</v>
      </c>
      <c r="B1816" s="32" t="s">
        <v>2447</v>
      </c>
      <c r="C1816" s="33">
        <v>21500</v>
      </c>
      <c r="D1816" s="34" t="s">
        <v>2448</v>
      </c>
      <c r="E1816" s="36">
        <v>0</v>
      </c>
      <c r="F1816" s="36">
        <f>TRUNC(E1816*$C1816,0)</f>
        <v>0</v>
      </c>
      <c r="G1816" s="36">
        <v>0</v>
      </c>
      <c r="H1816" s="36">
        <f>TRUNC(G1816*$C1816,0)</f>
        <v>0</v>
      </c>
      <c r="I1816" s="36">
        <v>13</v>
      </c>
      <c r="J1816" s="36">
        <f>TRUNC(I1816*$C1816,0)</f>
        <v>279500</v>
      </c>
      <c r="K1816" s="36">
        <f t="shared" si="226"/>
        <v>13</v>
      </c>
      <c r="L1816" s="36">
        <f t="shared" si="225"/>
        <v>279500</v>
      </c>
      <c r="M1816" s="37"/>
      <c r="N1816" s="253"/>
      <c r="O1816" s="38"/>
    </row>
    <row r="1817" spans="1:15" s="29" customFormat="1" ht="24.95" customHeight="1">
      <c r="A1817" s="31" t="s">
        <v>2446</v>
      </c>
      <c r="B1817" s="32" t="s">
        <v>2449</v>
      </c>
      <c r="C1817" s="33">
        <v>5600</v>
      </c>
      <c r="D1817" s="34" t="s">
        <v>2448</v>
      </c>
      <c r="E1817" s="36">
        <v>0</v>
      </c>
      <c r="F1817" s="36">
        <f>TRUNC(E1817*$C1817,0)</f>
        <v>0</v>
      </c>
      <c r="G1817" s="36">
        <v>0</v>
      </c>
      <c r="H1817" s="36">
        <f>TRUNC(G1817*$C1817,0)</f>
        <v>0</v>
      </c>
      <c r="I1817" s="36">
        <v>13</v>
      </c>
      <c r="J1817" s="36">
        <f>TRUNC(I1817*$C1817,0)</f>
        <v>72800</v>
      </c>
      <c r="K1817" s="36">
        <f t="shared" si="226"/>
        <v>13</v>
      </c>
      <c r="L1817" s="36">
        <f t="shared" si="225"/>
        <v>72800</v>
      </c>
      <c r="M1817" s="37"/>
      <c r="N1817" s="253"/>
      <c r="O1817" s="38"/>
    </row>
    <row r="1818" spans="1:15" s="29" customFormat="1" ht="24.95" customHeight="1">
      <c r="A1818" s="31" t="s">
        <v>2450</v>
      </c>
      <c r="B1818" s="32" t="s">
        <v>22</v>
      </c>
      <c r="C1818" s="261">
        <v>459</v>
      </c>
      <c r="D1818" s="34" t="s">
        <v>1112</v>
      </c>
      <c r="E1818" s="36">
        <v>0</v>
      </c>
      <c r="F1818" s="36">
        <f>TRUNC(E1818*$C1818,0)</f>
        <v>0</v>
      </c>
      <c r="G1818" s="36">
        <v>-352390</v>
      </c>
      <c r="H1818" s="36">
        <f>TRUNC(G1818*$C1818,0)</f>
        <v>-161747010</v>
      </c>
      <c r="I1818" s="36">
        <v>0</v>
      </c>
      <c r="J1818" s="36">
        <f>TRUNC(I1818*$C1818,0)</f>
        <v>0</v>
      </c>
      <c r="K1818" s="36">
        <f t="shared" si="226"/>
        <v>-352390</v>
      </c>
      <c r="L1818" s="36">
        <f t="shared" si="225"/>
        <v>-161747010</v>
      </c>
      <c r="M1818" s="37"/>
      <c r="N1818" s="253"/>
      <c r="O1818" s="38"/>
    </row>
    <row r="1819" spans="1:15" s="29" customFormat="1" ht="24.95" customHeight="1" thickBot="1">
      <c r="A1819" s="94"/>
      <c r="B1819" s="95"/>
      <c r="C1819" s="96"/>
      <c r="D1819" s="95"/>
      <c r="E1819" s="95"/>
      <c r="F1819" s="95"/>
      <c r="G1819" s="95"/>
      <c r="H1819" s="95"/>
      <c r="I1819" s="95"/>
      <c r="J1819" s="95"/>
      <c r="K1819" s="95"/>
      <c r="L1819" s="95"/>
      <c r="M1819" s="97"/>
      <c r="N1819" s="252"/>
    </row>
    <row r="1820" spans="1:15" ht="24.95" customHeight="1"/>
  </sheetData>
  <mergeCells count="10">
    <mergeCell ref="A1:M1"/>
    <mergeCell ref="A3:A4"/>
    <mergeCell ref="B3:B4"/>
    <mergeCell ref="C3:C4"/>
    <mergeCell ref="D3:D4"/>
    <mergeCell ref="E3:F3"/>
    <mergeCell ref="G3:H3"/>
    <mergeCell ref="I3:J3"/>
    <mergeCell ref="K3:L3"/>
    <mergeCell ref="M3:M4"/>
  </mergeCells>
  <phoneticPr fontId="4" type="noConversion"/>
  <printOptions horizontalCentered="1"/>
  <pageMargins left="0.59055118110236227" right="0.39370078740157483" top="0.59055118110236227" bottom="0.39370078740157483" header="0.39370078740157483" footer="0.19685039370078741"/>
  <pageSetup paperSize="9" scale="45" fitToHeight="0" orientation="portrait" r:id="rId1"/>
  <headerFooter alignWithMargins="0">
    <oddFooter>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pageSetUpPr fitToPage="1"/>
  </sheetPr>
  <dimension ref="A1:M40"/>
  <sheetViews>
    <sheetView view="pageBreakPreview" zoomScale="115" zoomScaleNormal="115" zoomScaleSheetLayoutView="115" workbookViewId="0">
      <pane xSplit="5" ySplit="5" topLeftCell="F10" activePane="bottomRight" state="frozen"/>
      <selection pane="topRight" activeCell="F1" sqref="F1"/>
      <selection pane="bottomLeft" activeCell="A6" sqref="A6"/>
      <selection pane="bottomRight" activeCell="I28" sqref="I28"/>
    </sheetView>
  </sheetViews>
  <sheetFormatPr defaultRowHeight="16.5"/>
  <cols>
    <col min="1" max="2" width="4.625" style="100" customWidth="1"/>
    <col min="3" max="3" width="2.625" style="100" customWidth="1"/>
    <col min="4" max="4" width="20.625" style="100" customWidth="1"/>
    <col min="5" max="5" width="2.625" style="100" customWidth="1"/>
    <col min="6" max="6" width="15.625" style="100" customWidth="1"/>
    <col min="7" max="7" width="36.75" style="101" customWidth="1"/>
    <col min="8" max="8" width="2.5" style="100" customWidth="1"/>
    <col min="9" max="9" width="15.5" style="100" bestFit="1" customWidth="1"/>
    <col min="10" max="10" width="12.375" style="100" customWidth="1"/>
    <col min="11" max="11" width="14.75" style="100" customWidth="1"/>
    <col min="12" max="12" width="59.25" style="100" bestFit="1" customWidth="1"/>
    <col min="13" max="16384" width="9" style="100"/>
  </cols>
  <sheetData>
    <row r="1" spans="1:13" ht="6.95" customHeight="1"/>
    <row r="2" spans="1:13" ht="29.25" customHeight="1">
      <c r="A2" s="282" t="s">
        <v>2490</v>
      </c>
      <c r="B2" s="282"/>
      <c r="C2" s="282"/>
      <c r="D2" s="282"/>
      <c r="E2" s="282"/>
      <c r="F2" s="282"/>
      <c r="G2" s="282"/>
      <c r="H2" s="102"/>
      <c r="I2" s="102"/>
      <c r="J2" s="102"/>
      <c r="K2" s="102"/>
      <c r="L2" s="102"/>
      <c r="M2" s="102"/>
    </row>
    <row r="3" spans="1:13" ht="19.5" customHeight="1">
      <c r="A3" s="103" t="s">
        <v>2533</v>
      </c>
      <c r="B3" s="103"/>
      <c r="C3" s="103"/>
      <c r="D3" s="104"/>
      <c r="E3" s="104"/>
      <c r="F3" s="104"/>
      <c r="G3" s="105"/>
      <c r="H3" s="105"/>
      <c r="I3" s="105"/>
      <c r="J3" s="105"/>
      <c r="K3" s="105"/>
      <c r="L3" s="105"/>
      <c r="M3" s="105"/>
    </row>
    <row r="4" spans="1:13" ht="4.5" customHeight="1"/>
    <row r="5" spans="1:13" s="113" customFormat="1" ht="21" customHeight="1">
      <c r="A5" s="283" t="s">
        <v>2451</v>
      </c>
      <c r="B5" s="284"/>
      <c r="C5" s="284"/>
      <c r="D5" s="284"/>
      <c r="E5" s="201"/>
      <c r="F5" s="130" t="s">
        <v>2452</v>
      </c>
      <c r="G5" s="131" t="s">
        <v>2453</v>
      </c>
      <c r="I5" s="114" t="s">
        <v>2454</v>
      </c>
      <c r="J5" s="114"/>
      <c r="K5" s="132" t="s">
        <v>2455</v>
      </c>
    </row>
    <row r="6" spans="1:13" s="115" customFormat="1" ht="21" customHeight="1">
      <c r="A6" s="285" t="s">
        <v>2456</v>
      </c>
      <c r="B6" s="287" t="s">
        <v>2457</v>
      </c>
      <c r="C6" s="205"/>
      <c r="D6" s="212" t="s">
        <v>2458</v>
      </c>
      <c r="E6" s="207"/>
      <c r="F6" s="190">
        <f>'공종별집계표(전기공사)'!F6+'공종별집계표(전기공사)'!F15</f>
        <v>1972482406</v>
      </c>
      <c r="G6" s="278" t="s">
        <v>2546</v>
      </c>
      <c r="K6" s="118"/>
    </row>
    <row r="7" spans="1:13" s="115" customFormat="1" ht="21" customHeight="1">
      <c r="A7" s="286"/>
      <c r="B7" s="288"/>
      <c r="C7" s="206"/>
      <c r="D7" s="213" t="s">
        <v>2459</v>
      </c>
      <c r="E7" s="171"/>
      <c r="F7" s="191"/>
      <c r="G7" s="229"/>
      <c r="K7" s="118"/>
    </row>
    <row r="8" spans="1:13" s="116" customFormat="1" ht="21" customHeight="1">
      <c r="A8" s="286"/>
      <c r="B8" s="288"/>
      <c r="C8" s="225"/>
      <c r="D8" s="214" t="s">
        <v>2460</v>
      </c>
      <c r="E8" s="208"/>
      <c r="F8" s="192">
        <f>SUM(F6:F7)</f>
        <v>1972482406</v>
      </c>
      <c r="G8" s="230"/>
      <c r="K8" s="138"/>
    </row>
    <row r="9" spans="1:13" s="115" customFormat="1" ht="21" customHeight="1">
      <c r="A9" s="286"/>
      <c r="B9" s="288" t="s">
        <v>2461</v>
      </c>
      <c r="C9" s="206"/>
      <c r="D9" s="213" t="s">
        <v>2462</v>
      </c>
      <c r="E9" s="171"/>
      <c r="F9" s="191">
        <f>'공종별집계표(전기공사)'!H6</f>
        <v>1037484768</v>
      </c>
      <c r="G9" s="229"/>
      <c r="K9" s="118"/>
    </row>
    <row r="10" spans="1:13" s="115" customFormat="1" ht="21" customHeight="1">
      <c r="A10" s="286"/>
      <c r="B10" s="288"/>
      <c r="C10" s="206"/>
      <c r="D10" s="213" t="s">
        <v>2463</v>
      </c>
      <c r="E10" s="171"/>
      <c r="F10" s="193">
        <f>TRUNC(($F$9)*G10%)</f>
        <v>137985474</v>
      </c>
      <c r="G10" s="231">
        <v>13.3</v>
      </c>
      <c r="K10" s="118"/>
    </row>
    <row r="11" spans="1:13" s="116" customFormat="1" ht="21" customHeight="1">
      <c r="A11" s="286"/>
      <c r="B11" s="288"/>
      <c r="C11" s="225"/>
      <c r="D11" s="214" t="s">
        <v>2460</v>
      </c>
      <c r="E11" s="208"/>
      <c r="F11" s="192">
        <f>SUM(F9:F10)</f>
        <v>1175470242</v>
      </c>
      <c r="G11" s="232"/>
      <c r="K11" s="138"/>
    </row>
    <row r="12" spans="1:13" s="115" customFormat="1" ht="21" customHeight="1">
      <c r="A12" s="286"/>
      <c r="B12" s="288" t="s">
        <v>2464</v>
      </c>
      <c r="C12" s="206"/>
      <c r="D12" s="213" t="s">
        <v>2465</v>
      </c>
      <c r="E12" s="171"/>
      <c r="F12" s="191">
        <f>'공종별집계표(전기공사)'!J6</f>
        <v>22109916</v>
      </c>
      <c r="G12" s="233"/>
      <c r="I12" s="117"/>
      <c r="J12" s="117"/>
    </row>
    <row r="13" spans="1:13" s="115" customFormat="1" ht="21" customHeight="1" thickBot="1">
      <c r="A13" s="286"/>
      <c r="B13" s="288"/>
      <c r="C13" s="206"/>
      <c r="D13" s="213" t="s">
        <v>2466</v>
      </c>
      <c r="E13" s="171"/>
      <c r="F13" s="191">
        <f>TRUNC(($F$11)*G13%)</f>
        <v>41846740</v>
      </c>
      <c r="G13" s="234">
        <v>3.56</v>
      </c>
    </row>
    <row r="14" spans="1:13" s="115" customFormat="1" ht="21" customHeight="1" thickBot="1">
      <c r="A14" s="286"/>
      <c r="B14" s="288"/>
      <c r="C14" s="206"/>
      <c r="D14" s="213" t="s">
        <v>2467</v>
      </c>
      <c r="E14" s="171"/>
      <c r="F14" s="191">
        <f>TRUNC(($F$11)*G14%)</f>
        <v>11872249</v>
      </c>
      <c r="G14" s="234">
        <v>1.01</v>
      </c>
      <c r="I14" s="144" t="s">
        <v>2468</v>
      </c>
      <c r="K14" s="118"/>
    </row>
    <row r="15" spans="1:13" s="115" customFormat="1" ht="21" customHeight="1" thickBot="1">
      <c r="A15" s="286"/>
      <c r="B15" s="288"/>
      <c r="C15" s="206"/>
      <c r="D15" s="213" t="s">
        <v>2469</v>
      </c>
      <c r="E15" s="171"/>
      <c r="F15" s="134">
        <f>TRUNC(($F$9)*G15%)*0+$I$15</f>
        <v>44336163</v>
      </c>
      <c r="G15" s="235">
        <v>3.5449999999999999</v>
      </c>
      <c r="I15" s="146">
        <v>44336163</v>
      </c>
      <c r="J15" s="117"/>
      <c r="K15" s="147"/>
    </row>
    <row r="16" spans="1:13" s="115" customFormat="1" ht="21" customHeight="1" thickBot="1">
      <c r="A16" s="286"/>
      <c r="B16" s="288"/>
      <c r="C16" s="206"/>
      <c r="D16" s="213" t="s">
        <v>2470</v>
      </c>
      <c r="E16" s="171"/>
      <c r="F16" s="134">
        <f>TRUNC(($F$9)*G16%)*0+$I$16</f>
        <v>56280038</v>
      </c>
      <c r="G16" s="236">
        <v>4.5</v>
      </c>
      <c r="I16" s="146">
        <v>56280038</v>
      </c>
      <c r="K16" s="117"/>
    </row>
    <row r="17" spans="1:13" s="115" customFormat="1" ht="21" customHeight="1" thickBot="1">
      <c r="A17" s="286"/>
      <c r="B17" s="288"/>
      <c r="C17" s="206"/>
      <c r="D17" s="213" t="s">
        <v>2471</v>
      </c>
      <c r="E17" s="171"/>
      <c r="F17" s="134">
        <f>TRUNC(($F$9)*G17%)*0+$I$17</f>
        <v>28765353</v>
      </c>
      <c r="G17" s="237">
        <v>2.2999999999999998</v>
      </c>
      <c r="I17" s="146">
        <v>28765353</v>
      </c>
      <c r="K17" s="117"/>
    </row>
    <row r="18" spans="1:13" s="115" customFormat="1" ht="21" customHeight="1" thickBot="1">
      <c r="A18" s="286"/>
      <c r="B18" s="288"/>
      <c r="C18" s="206"/>
      <c r="D18" s="213" t="s">
        <v>2472</v>
      </c>
      <c r="E18" s="171"/>
      <c r="F18" s="134">
        <f>TRUNC(($F$15)*G18%)*0+$I$18</f>
        <v>5741533</v>
      </c>
      <c r="G18" s="238">
        <v>12.95</v>
      </c>
      <c r="I18" s="146">
        <v>5741533</v>
      </c>
      <c r="K18" s="118"/>
    </row>
    <row r="19" spans="1:13" s="115" customFormat="1" ht="21" customHeight="1" thickBot="1">
      <c r="A19" s="286"/>
      <c r="B19" s="288"/>
      <c r="C19" s="216"/>
      <c r="D19" s="290" t="s">
        <v>2473</v>
      </c>
      <c r="E19" s="202"/>
      <c r="F19" s="307">
        <f>MIN(K19,K20)*0+I19</f>
        <v>86334499</v>
      </c>
      <c r="G19" s="239">
        <v>1.86</v>
      </c>
      <c r="H19" s="119"/>
      <c r="I19" s="308">
        <v>86334499</v>
      </c>
      <c r="K19" s="151"/>
      <c r="L19" s="152">
        <v>1.86</v>
      </c>
    </row>
    <row r="20" spans="1:13" s="115" customFormat="1" ht="21" customHeight="1" thickBot="1">
      <c r="A20" s="286"/>
      <c r="B20" s="288"/>
      <c r="C20" s="217"/>
      <c r="D20" s="290"/>
      <c r="E20" s="202"/>
      <c r="F20" s="307"/>
      <c r="G20" s="240">
        <v>1.86</v>
      </c>
      <c r="H20" s="119"/>
      <c r="I20" s="308"/>
      <c r="K20" s="153">
        <f>TRUNC((((F8+F9)*G20%))*1.2+5349000)</f>
        <v>72531467</v>
      </c>
      <c r="L20" s="154">
        <v>1.86</v>
      </c>
      <c r="M20" s="155"/>
    </row>
    <row r="21" spans="1:13" s="115" customFormat="1" ht="21" customHeight="1">
      <c r="A21" s="286"/>
      <c r="B21" s="288"/>
      <c r="C21" s="206"/>
      <c r="D21" s="213" t="s">
        <v>2474</v>
      </c>
      <c r="E21" s="171"/>
      <c r="F21" s="134">
        <f>TRUNC((F8+F11)*G21%)</f>
        <v>223504638</v>
      </c>
      <c r="G21" s="241">
        <v>7.1</v>
      </c>
      <c r="K21" s="117"/>
    </row>
    <row r="22" spans="1:13" s="115" customFormat="1" ht="21" customHeight="1">
      <c r="A22" s="286"/>
      <c r="B22" s="288"/>
      <c r="C22" s="206"/>
      <c r="D22" s="215" t="s">
        <v>2475</v>
      </c>
      <c r="E22" s="209"/>
      <c r="F22" s="157"/>
      <c r="G22" s="233" t="s">
        <v>2527</v>
      </c>
      <c r="I22" s="120"/>
      <c r="J22" s="120"/>
      <c r="K22" s="117"/>
    </row>
    <row r="23" spans="1:13" s="115" customFormat="1" ht="21" customHeight="1">
      <c r="A23" s="286"/>
      <c r="B23" s="288"/>
      <c r="C23" s="206"/>
      <c r="D23" s="213" t="s">
        <v>2476</v>
      </c>
      <c r="E23" s="171"/>
      <c r="F23" s="134"/>
      <c r="G23" s="242" t="s">
        <v>2528</v>
      </c>
      <c r="K23" s="117"/>
    </row>
    <row r="24" spans="1:13" s="116" customFormat="1" ht="21" customHeight="1">
      <c r="A24" s="286"/>
      <c r="B24" s="288"/>
      <c r="C24" s="225"/>
      <c r="D24" s="208" t="s">
        <v>2477</v>
      </c>
      <c r="E24" s="208"/>
      <c r="F24" s="136">
        <f>SUM(F12:F23)</f>
        <v>520791129</v>
      </c>
      <c r="G24" s="232"/>
      <c r="K24" s="121"/>
    </row>
    <row r="25" spans="1:13" s="113" customFormat="1" ht="21" customHeight="1">
      <c r="A25" s="280" t="s">
        <v>2478</v>
      </c>
      <c r="B25" s="281"/>
      <c r="C25" s="281"/>
      <c r="D25" s="281"/>
      <c r="E25" s="203"/>
      <c r="F25" s="159">
        <f>SUM(F8+F11+F24)</f>
        <v>3668743777</v>
      </c>
      <c r="G25" s="243"/>
      <c r="I25" s="122"/>
      <c r="J25" s="122"/>
      <c r="K25" s="123"/>
    </row>
    <row r="26" spans="1:13" s="115" customFormat="1" ht="21" customHeight="1">
      <c r="A26" s="170"/>
      <c r="B26" s="290" t="s">
        <v>2497</v>
      </c>
      <c r="C26" s="290"/>
      <c r="D26" s="290"/>
      <c r="E26" s="171"/>
      <c r="F26" s="134">
        <f>TRUNC(F25*G26%)</f>
        <v>201780907</v>
      </c>
      <c r="G26" s="244">
        <v>5.5</v>
      </c>
      <c r="I26" s="120"/>
      <c r="J26" s="120"/>
      <c r="K26" s="117"/>
    </row>
    <row r="27" spans="1:13" s="115" customFormat="1" ht="21" customHeight="1">
      <c r="A27" s="170"/>
      <c r="B27" s="290" t="s">
        <v>2498</v>
      </c>
      <c r="C27" s="290"/>
      <c r="D27" s="290"/>
      <c r="E27" s="171"/>
      <c r="F27" s="134">
        <f>TRUNC(((F11+F24+F26)*G27%))-INT(60128/1.1)</f>
        <v>284651680</v>
      </c>
      <c r="G27" s="245">
        <v>15</v>
      </c>
      <c r="I27" s="120"/>
      <c r="J27" s="120"/>
      <c r="K27" s="117"/>
    </row>
    <row r="28" spans="1:13" s="113" customFormat="1" ht="21" customHeight="1">
      <c r="A28" s="210"/>
      <c r="B28" s="291" t="s">
        <v>2505</v>
      </c>
      <c r="C28" s="291"/>
      <c r="D28" s="291"/>
      <c r="E28" s="203"/>
      <c r="F28" s="162">
        <f>INT(SUM(F25,F26,F27))</f>
        <v>4155176364</v>
      </c>
      <c r="G28" s="243"/>
      <c r="I28" s="122"/>
      <c r="J28" s="122"/>
      <c r="K28" s="123"/>
    </row>
    <row r="29" spans="1:13" s="115" customFormat="1" ht="21" customHeight="1">
      <c r="A29" s="170"/>
      <c r="B29" s="290" t="s">
        <v>2499</v>
      </c>
      <c r="C29" s="290"/>
      <c r="D29" s="290"/>
      <c r="E29" s="171"/>
      <c r="F29" s="157">
        <f>TRUNC(F28*0.1)</f>
        <v>415517636</v>
      </c>
      <c r="G29" s="233"/>
      <c r="I29" s="120"/>
      <c r="J29" s="120"/>
      <c r="K29" s="117"/>
    </row>
    <row r="30" spans="1:13" s="113" customFormat="1" ht="21" customHeight="1">
      <c r="A30" s="211"/>
      <c r="B30" s="292" t="s">
        <v>2504</v>
      </c>
      <c r="C30" s="292"/>
      <c r="D30" s="292"/>
      <c r="E30" s="204"/>
      <c r="F30" s="162">
        <f>SUM(F28:F29)</f>
        <v>4570694000</v>
      </c>
      <c r="G30" s="246"/>
      <c r="I30" s="122"/>
      <c r="J30" s="122"/>
      <c r="K30" s="123"/>
    </row>
    <row r="31" spans="1:13" s="115" customFormat="1" ht="21" customHeight="1">
      <c r="A31" s="174"/>
      <c r="B31" s="311" t="s">
        <v>2503</v>
      </c>
      <c r="C31" s="311"/>
      <c r="D31" s="311"/>
      <c r="E31" s="175"/>
      <c r="F31" s="134">
        <f>ROUNDDOWN(G31,-3)</f>
        <v>0</v>
      </c>
      <c r="G31" s="247"/>
      <c r="I31" s="106" t="s">
        <v>0</v>
      </c>
      <c r="J31" s="106"/>
      <c r="K31" s="125"/>
      <c r="L31" s="126"/>
    </row>
    <row r="32" spans="1:13" s="115" customFormat="1" ht="21" customHeight="1">
      <c r="A32" s="174"/>
      <c r="B32" s="311" t="s">
        <v>2500</v>
      </c>
      <c r="C32" s="311"/>
      <c r="D32" s="311"/>
      <c r="E32" s="175"/>
      <c r="F32" s="134">
        <f>ROUNDDOWN(G32,-3)</f>
        <v>0</v>
      </c>
      <c r="G32" s="247"/>
      <c r="I32" s="106" t="s">
        <v>1</v>
      </c>
      <c r="J32" s="106"/>
      <c r="K32" s="125"/>
      <c r="L32" s="125"/>
    </row>
    <row r="33" spans="1:12" s="115" customFormat="1" ht="21" customHeight="1">
      <c r="A33" s="176"/>
      <c r="B33" s="311" t="s">
        <v>2501</v>
      </c>
      <c r="C33" s="311"/>
      <c r="D33" s="311"/>
      <c r="E33" s="177"/>
      <c r="F33" s="164">
        <f>F31+F32</f>
        <v>0</v>
      </c>
      <c r="G33" s="247"/>
      <c r="I33" s="125"/>
      <c r="J33" s="125"/>
      <c r="K33" s="125"/>
      <c r="L33" s="125"/>
    </row>
    <row r="34" spans="1:12" s="115" customFormat="1" ht="21" customHeight="1">
      <c r="A34" s="176"/>
      <c r="B34" s="311" t="s">
        <v>2502</v>
      </c>
      <c r="C34" s="311"/>
      <c r="D34" s="311"/>
      <c r="E34" s="177"/>
      <c r="F34" s="164">
        <f>INT(G34/1000)*1000</f>
        <v>42000000</v>
      </c>
      <c r="G34" s="248">
        <f>'공종별집계표(전기공사)'!L23</f>
        <v>42000000</v>
      </c>
      <c r="I34" s="127">
        <f>F30/F11</f>
        <v>3.8883961811089387</v>
      </c>
      <c r="J34" s="127"/>
      <c r="K34" s="128"/>
      <c r="L34" s="129"/>
    </row>
    <row r="35" spans="1:12" s="113" customFormat="1" ht="21" customHeight="1">
      <c r="A35" s="309" t="s">
        <v>2479</v>
      </c>
      <c r="B35" s="310"/>
      <c r="C35" s="310"/>
      <c r="D35" s="310"/>
      <c r="E35" s="179"/>
      <c r="F35" s="166">
        <f>SUM(F30+F33+F34)</f>
        <v>4612694000</v>
      </c>
      <c r="G35" s="249" t="s">
        <v>2529</v>
      </c>
      <c r="K35" s="123"/>
    </row>
    <row r="36" spans="1:12">
      <c r="F36" s="107">
        <v>4611851000</v>
      </c>
      <c r="G36" s="108">
        <f>F35-F36</f>
        <v>843000</v>
      </c>
    </row>
    <row r="37" spans="1:12">
      <c r="D37" s="109"/>
      <c r="E37" s="109"/>
      <c r="F37" s="110">
        <v>0.85199999999999998</v>
      </c>
    </row>
    <row r="38" spans="1:12">
      <c r="D38" s="109"/>
      <c r="E38" s="109"/>
      <c r="F38" s="111">
        <f>F35/1.1</f>
        <v>4193358181.8181815</v>
      </c>
      <c r="G38" s="112"/>
    </row>
    <row r="39" spans="1:12">
      <c r="F39" s="111"/>
    </row>
    <row r="40" spans="1:12">
      <c r="F40" s="111"/>
    </row>
  </sheetData>
  <mergeCells count="20">
    <mergeCell ref="A35:D35"/>
    <mergeCell ref="B31:D31"/>
    <mergeCell ref="B32:D32"/>
    <mergeCell ref="B33:D33"/>
    <mergeCell ref="B34:D34"/>
    <mergeCell ref="I19:I20"/>
    <mergeCell ref="A25:D25"/>
    <mergeCell ref="B26:D26"/>
    <mergeCell ref="B27:D27"/>
    <mergeCell ref="B29:D29"/>
    <mergeCell ref="B30:D30"/>
    <mergeCell ref="B28:D28"/>
    <mergeCell ref="A2:G2"/>
    <mergeCell ref="A5:D5"/>
    <mergeCell ref="A6:A24"/>
    <mergeCell ref="B6:B8"/>
    <mergeCell ref="B9:B11"/>
    <mergeCell ref="B12:B24"/>
    <mergeCell ref="D19:D20"/>
    <mergeCell ref="F19:F20"/>
  </mergeCells>
  <phoneticPr fontId="4" type="noConversion"/>
  <printOptions horizontalCentered="1"/>
  <pageMargins left="0.47244094488188981" right="0.47244094488188981" top="0.82677165354330717" bottom="0.59055118110236227" header="0.47244094488188981" footer="0.31496062992125984"/>
  <pageSetup paperSize="9" scale="98" fitToHeight="0" orientation="portrait" r:id="rId1"/>
  <headerFooter alignWithMargins="0"/>
  <rowBreaks count="1" manualBreakCount="1">
    <brk id="35" max="5" man="1"/>
  </rowBreaks>
  <colBreaks count="1" manualBreakCount="1">
    <brk id="7" max="34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  <pageSetUpPr fitToPage="1"/>
  </sheetPr>
  <dimension ref="A1:T27"/>
  <sheetViews>
    <sheetView view="pageBreakPreview" zoomScale="85" zoomScaleNormal="100" zoomScaleSheetLayoutView="85" workbookViewId="0">
      <pane xSplit="4" ySplit="4" topLeftCell="E5" activePane="bottomRight" state="frozen"/>
      <selection activeCell="D13" sqref="D13"/>
      <selection pane="topRight" activeCell="D13" sqref="D13"/>
      <selection pane="bottomLeft" activeCell="D13" sqref="D13"/>
      <selection pane="bottomRight" activeCell="E23" sqref="E23"/>
    </sheetView>
  </sheetViews>
  <sheetFormatPr defaultRowHeight="16.5"/>
  <cols>
    <col min="1" max="1" width="40.625" customWidth="1"/>
    <col min="2" max="2" width="20.625" customWidth="1"/>
    <col min="3" max="4" width="4.625" customWidth="1"/>
    <col min="5" max="12" width="13.625" customWidth="1"/>
    <col min="13" max="13" width="12.625" customWidth="1"/>
    <col min="14" max="16" width="2.625" hidden="1" customWidth="1"/>
    <col min="17" max="19" width="1.625" hidden="1" customWidth="1"/>
    <col min="20" max="20" width="18.625" hidden="1" customWidth="1"/>
  </cols>
  <sheetData>
    <row r="1" spans="1:20" ht="30" customHeight="1">
      <c r="A1" s="313" t="s">
        <v>2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</row>
    <row r="2" spans="1:20" ht="30" customHeight="1">
      <c r="A2" s="314" t="s">
        <v>2534</v>
      </c>
      <c r="B2" s="314"/>
      <c r="C2" s="314"/>
      <c r="D2" s="314"/>
      <c r="E2" s="314"/>
      <c r="F2" s="314"/>
      <c r="G2" s="314"/>
      <c r="H2" s="314"/>
      <c r="I2" s="314"/>
      <c r="J2" s="314"/>
      <c r="K2" s="314"/>
      <c r="L2" s="314"/>
      <c r="M2" s="314"/>
    </row>
    <row r="3" spans="1:20" s="12" customFormat="1" ht="30" customHeight="1">
      <c r="A3" s="312" t="s">
        <v>3</v>
      </c>
      <c r="B3" s="312" t="s">
        <v>4</v>
      </c>
      <c r="C3" s="312" t="s">
        <v>5</v>
      </c>
      <c r="D3" s="312" t="s">
        <v>6</v>
      </c>
      <c r="E3" s="312" t="s">
        <v>7</v>
      </c>
      <c r="F3" s="312"/>
      <c r="G3" s="312" t="s">
        <v>8</v>
      </c>
      <c r="H3" s="312"/>
      <c r="I3" s="312" t="s">
        <v>9</v>
      </c>
      <c r="J3" s="312"/>
      <c r="K3" s="312" t="s">
        <v>10</v>
      </c>
      <c r="L3" s="312"/>
      <c r="M3" s="312" t="s">
        <v>11</v>
      </c>
      <c r="N3" s="316" t="s">
        <v>12</v>
      </c>
      <c r="O3" s="316" t="s">
        <v>13</v>
      </c>
      <c r="P3" s="316" t="s">
        <v>14</v>
      </c>
      <c r="Q3" s="316" t="s">
        <v>15</v>
      </c>
      <c r="R3" s="316" t="s">
        <v>16</v>
      </c>
      <c r="S3" s="316" t="s">
        <v>17</v>
      </c>
      <c r="T3" s="316" t="s">
        <v>18</v>
      </c>
    </row>
    <row r="4" spans="1:20" s="12" customFormat="1" ht="30" customHeight="1">
      <c r="A4" s="315"/>
      <c r="B4" s="315"/>
      <c r="C4" s="315"/>
      <c r="D4" s="315"/>
      <c r="E4" s="13" t="s">
        <v>19</v>
      </c>
      <c r="F4" s="13" t="s">
        <v>20</v>
      </c>
      <c r="G4" s="13" t="s">
        <v>19</v>
      </c>
      <c r="H4" s="13" t="s">
        <v>20</v>
      </c>
      <c r="I4" s="13" t="s">
        <v>19</v>
      </c>
      <c r="J4" s="13" t="s">
        <v>20</v>
      </c>
      <c r="K4" s="13" t="s">
        <v>19</v>
      </c>
      <c r="L4" s="13" t="s">
        <v>20</v>
      </c>
      <c r="M4" s="315"/>
      <c r="N4" s="316"/>
      <c r="O4" s="316"/>
      <c r="P4" s="316"/>
      <c r="Q4" s="316"/>
      <c r="R4" s="316"/>
      <c r="S4" s="316"/>
      <c r="T4" s="316"/>
    </row>
    <row r="5" spans="1:20" ht="30" customHeight="1">
      <c r="A5" s="1" t="s">
        <v>21</v>
      </c>
      <c r="B5" s="1" t="s">
        <v>22</v>
      </c>
      <c r="C5" s="1" t="s">
        <v>22</v>
      </c>
      <c r="D5" s="2">
        <v>1</v>
      </c>
      <c r="E5" s="3">
        <f>F6</f>
        <v>375822195</v>
      </c>
      <c r="F5" s="3">
        <f t="shared" ref="F5:F6" si="0">E5*$D$7</f>
        <v>375822195</v>
      </c>
      <c r="G5" s="3">
        <f>H6</f>
        <v>1037484768</v>
      </c>
      <c r="H5" s="3">
        <f t="shared" ref="H5:J23" si="1">G5*$D$7</f>
        <v>1037484768</v>
      </c>
      <c r="I5" s="3">
        <f>J6</f>
        <v>22109916</v>
      </c>
      <c r="J5" s="3">
        <f t="shared" si="1"/>
        <v>22109916</v>
      </c>
      <c r="K5" s="3">
        <f t="shared" ref="K5:K23" si="2">E5+G5+I5</f>
        <v>1435416879</v>
      </c>
      <c r="L5" s="3">
        <f t="shared" ref="L5:L23" si="3">F5+H5+J5</f>
        <v>1435416879</v>
      </c>
      <c r="M5" s="1" t="s">
        <v>22</v>
      </c>
      <c r="N5" s="4" t="s">
        <v>23</v>
      </c>
      <c r="O5" s="4" t="s">
        <v>22</v>
      </c>
      <c r="P5" s="4" t="s">
        <v>22</v>
      </c>
      <c r="Q5" s="4" t="s">
        <v>22</v>
      </c>
      <c r="R5">
        <v>1</v>
      </c>
      <c r="S5" s="4" t="s">
        <v>22</v>
      </c>
      <c r="T5" s="5"/>
    </row>
    <row r="6" spans="1:20" s="21" customFormat="1" ht="30" customHeight="1">
      <c r="A6" s="17" t="s">
        <v>24</v>
      </c>
      <c r="B6" s="17" t="s">
        <v>22</v>
      </c>
      <c r="C6" s="17" t="s">
        <v>22</v>
      </c>
      <c r="D6" s="18">
        <v>1</v>
      </c>
      <c r="E6" s="19">
        <f>F7+F8+F9+F10+F13+F14</f>
        <v>375822195</v>
      </c>
      <c r="F6" s="19">
        <f t="shared" si="0"/>
        <v>375822195</v>
      </c>
      <c r="G6" s="19">
        <f>H7+H8+H9+H10+H13+H14</f>
        <v>1037484768</v>
      </c>
      <c r="H6" s="19">
        <f t="shared" si="1"/>
        <v>1037484768</v>
      </c>
      <c r="I6" s="19">
        <f>J7+J8+J9+J10+J13+J14</f>
        <v>22109916</v>
      </c>
      <c r="J6" s="19">
        <f t="shared" si="1"/>
        <v>22109916</v>
      </c>
      <c r="K6" s="19">
        <f t="shared" si="2"/>
        <v>1435416879</v>
      </c>
      <c r="L6" s="19">
        <f t="shared" si="3"/>
        <v>1435416879</v>
      </c>
      <c r="M6" s="17" t="s">
        <v>22</v>
      </c>
      <c r="N6" s="20" t="s">
        <v>25</v>
      </c>
      <c r="O6" s="20" t="s">
        <v>22</v>
      </c>
      <c r="P6" s="20" t="s">
        <v>23</v>
      </c>
      <c r="Q6" s="20" t="s">
        <v>22</v>
      </c>
      <c r="R6" s="21">
        <v>2</v>
      </c>
      <c r="S6" s="20" t="s">
        <v>22</v>
      </c>
      <c r="T6" s="22"/>
    </row>
    <row r="7" spans="1:20" ht="30" customHeight="1">
      <c r="A7" s="1" t="s">
        <v>26</v>
      </c>
      <c r="B7" s="1" t="s">
        <v>22</v>
      </c>
      <c r="C7" s="1" t="s">
        <v>22</v>
      </c>
      <c r="D7" s="2">
        <v>1</v>
      </c>
      <c r="E7" s="3">
        <f>'내역서(전기공사)'!F51</f>
        <v>161956615</v>
      </c>
      <c r="F7" s="3">
        <f>E7*$D$7</f>
        <v>161956615</v>
      </c>
      <c r="G7" s="3">
        <f>'내역서(전기공사)'!H51</f>
        <v>592547622</v>
      </c>
      <c r="H7" s="3">
        <f t="shared" si="1"/>
        <v>592547622</v>
      </c>
      <c r="I7" s="3">
        <f>'내역서(전기공사)'!J51</f>
        <v>10430435</v>
      </c>
      <c r="J7" s="3">
        <f t="shared" si="1"/>
        <v>10430435</v>
      </c>
      <c r="K7" s="3">
        <f t="shared" si="2"/>
        <v>764934672</v>
      </c>
      <c r="L7" s="3">
        <f t="shared" si="3"/>
        <v>764934672</v>
      </c>
      <c r="M7" s="1" t="s">
        <v>22</v>
      </c>
      <c r="N7" s="4" t="s">
        <v>27</v>
      </c>
      <c r="O7" s="4" t="s">
        <v>22</v>
      </c>
      <c r="P7" s="4" t="s">
        <v>25</v>
      </c>
      <c r="Q7" s="4" t="s">
        <v>22</v>
      </c>
      <c r="R7">
        <v>3</v>
      </c>
      <c r="S7" s="4" t="s">
        <v>22</v>
      </c>
      <c r="T7" s="5"/>
    </row>
    <row r="8" spans="1:20" ht="30" customHeight="1">
      <c r="A8" s="1" t="s">
        <v>28</v>
      </c>
      <c r="B8" s="1" t="s">
        <v>22</v>
      </c>
      <c r="C8" s="1" t="s">
        <v>22</v>
      </c>
      <c r="D8" s="2">
        <v>1</v>
      </c>
      <c r="E8" s="3">
        <f>'내역서(전기공사)'!F75</f>
        <v>10127272</v>
      </c>
      <c r="F8" s="3">
        <f t="shared" ref="F8:F9" si="4">E8*$D$7</f>
        <v>10127272</v>
      </c>
      <c r="G8" s="3">
        <f>'내역서(전기공사)'!H75</f>
        <v>36954861</v>
      </c>
      <c r="H8" s="3">
        <f t="shared" si="1"/>
        <v>36954861</v>
      </c>
      <c r="I8" s="3">
        <f>'내역서(전기공사)'!J75</f>
        <v>793615</v>
      </c>
      <c r="J8" s="3">
        <f t="shared" si="1"/>
        <v>793615</v>
      </c>
      <c r="K8" s="3">
        <f t="shared" si="2"/>
        <v>47875748</v>
      </c>
      <c r="L8" s="3">
        <f t="shared" si="3"/>
        <v>47875748</v>
      </c>
      <c r="M8" s="1" t="s">
        <v>22</v>
      </c>
      <c r="N8" s="4" t="s">
        <v>29</v>
      </c>
      <c r="O8" s="4" t="s">
        <v>22</v>
      </c>
      <c r="P8" s="4" t="s">
        <v>25</v>
      </c>
      <c r="Q8" s="4" t="s">
        <v>22</v>
      </c>
      <c r="R8">
        <v>3</v>
      </c>
      <c r="S8" s="4" t="s">
        <v>22</v>
      </c>
      <c r="T8" s="5"/>
    </row>
    <row r="9" spans="1:20" ht="30" customHeight="1">
      <c r="A9" s="1" t="s">
        <v>30</v>
      </c>
      <c r="B9" s="1" t="s">
        <v>22</v>
      </c>
      <c r="C9" s="1" t="s">
        <v>22</v>
      </c>
      <c r="D9" s="2">
        <v>1</v>
      </c>
      <c r="E9" s="3">
        <f>'내역서(전기공사)'!F123</f>
        <v>153055512</v>
      </c>
      <c r="F9" s="3">
        <f t="shared" si="4"/>
        <v>153055512</v>
      </c>
      <c r="G9" s="3">
        <f>'내역서(전기공사)'!H123</f>
        <v>304464096</v>
      </c>
      <c r="H9" s="3">
        <f t="shared" si="1"/>
        <v>304464096</v>
      </c>
      <c r="I9" s="3">
        <f>'내역서(전기공사)'!J123</f>
        <v>9926186</v>
      </c>
      <c r="J9" s="3">
        <f t="shared" si="1"/>
        <v>9926186</v>
      </c>
      <c r="K9" s="3">
        <f t="shared" si="2"/>
        <v>467445794</v>
      </c>
      <c r="L9" s="3">
        <f t="shared" si="3"/>
        <v>467445794</v>
      </c>
      <c r="M9" s="1" t="s">
        <v>22</v>
      </c>
      <c r="N9" s="4" t="s">
        <v>31</v>
      </c>
      <c r="O9" s="4" t="s">
        <v>22</v>
      </c>
      <c r="P9" s="4" t="s">
        <v>25</v>
      </c>
      <c r="Q9" s="4" t="s">
        <v>22</v>
      </c>
      <c r="R9">
        <v>3</v>
      </c>
      <c r="S9" s="4" t="s">
        <v>22</v>
      </c>
      <c r="T9" s="5"/>
    </row>
    <row r="10" spans="1:20" ht="30" customHeight="1">
      <c r="A10" s="1" t="s">
        <v>32</v>
      </c>
      <c r="B10" s="1" t="s">
        <v>22</v>
      </c>
      <c r="C10" s="1" t="s">
        <v>22</v>
      </c>
      <c r="D10" s="2">
        <v>1</v>
      </c>
      <c r="E10" s="3">
        <f>F11+F12</f>
        <v>27401729</v>
      </c>
      <c r="F10" s="3">
        <f>E10*$D$7</f>
        <v>27401729</v>
      </c>
      <c r="G10" s="3">
        <f>H11+H12</f>
        <v>58350129</v>
      </c>
      <c r="H10" s="3">
        <f t="shared" si="1"/>
        <v>58350129</v>
      </c>
      <c r="I10" s="3">
        <f>J11+J12</f>
        <v>707445</v>
      </c>
      <c r="J10" s="3">
        <f t="shared" si="1"/>
        <v>707445</v>
      </c>
      <c r="K10" s="3">
        <f t="shared" si="2"/>
        <v>86459303</v>
      </c>
      <c r="L10" s="3">
        <f t="shared" si="3"/>
        <v>86459303</v>
      </c>
      <c r="M10" s="1" t="s">
        <v>22</v>
      </c>
      <c r="N10" s="4" t="s">
        <v>33</v>
      </c>
      <c r="O10" s="4" t="s">
        <v>22</v>
      </c>
      <c r="P10" s="4" t="s">
        <v>25</v>
      </c>
      <c r="Q10" s="4" t="s">
        <v>22</v>
      </c>
      <c r="R10">
        <v>3</v>
      </c>
      <c r="S10" s="4" t="s">
        <v>22</v>
      </c>
      <c r="T10" s="5"/>
    </row>
    <row r="11" spans="1:20" ht="30" customHeight="1">
      <c r="A11" s="1" t="s">
        <v>34</v>
      </c>
      <c r="B11" s="1" t="s">
        <v>22</v>
      </c>
      <c r="C11" s="1" t="s">
        <v>22</v>
      </c>
      <c r="D11" s="2">
        <v>1</v>
      </c>
      <c r="E11" s="3">
        <f>'내역서(전기공사)'!F147</f>
        <v>17832810</v>
      </c>
      <c r="F11" s="3">
        <f t="shared" ref="F11:F15" si="5">E11*$D$7</f>
        <v>17832810</v>
      </c>
      <c r="G11" s="3">
        <f>'내역서(전기공사)'!H147</f>
        <v>25877659</v>
      </c>
      <c r="H11" s="3">
        <f t="shared" si="1"/>
        <v>25877659</v>
      </c>
      <c r="I11" s="3">
        <f>'내역서(전기공사)'!J147</f>
        <v>68502</v>
      </c>
      <c r="J11" s="3">
        <f t="shared" si="1"/>
        <v>68502</v>
      </c>
      <c r="K11" s="3">
        <f t="shared" si="2"/>
        <v>43778971</v>
      </c>
      <c r="L11" s="3">
        <f t="shared" si="3"/>
        <v>43778971</v>
      </c>
      <c r="M11" s="1" t="s">
        <v>22</v>
      </c>
      <c r="N11" s="4" t="s">
        <v>35</v>
      </c>
      <c r="O11" s="4" t="s">
        <v>22</v>
      </c>
      <c r="P11" s="4" t="s">
        <v>33</v>
      </c>
      <c r="Q11" s="4" t="s">
        <v>22</v>
      </c>
      <c r="R11">
        <v>4</v>
      </c>
      <c r="S11" s="4" t="s">
        <v>22</v>
      </c>
      <c r="T11" s="5"/>
    </row>
    <row r="12" spans="1:20" ht="30" customHeight="1">
      <c r="A12" s="1" t="s">
        <v>36</v>
      </c>
      <c r="B12" s="1" t="s">
        <v>22</v>
      </c>
      <c r="C12" s="1" t="s">
        <v>22</v>
      </c>
      <c r="D12" s="2">
        <v>1</v>
      </c>
      <c r="E12" s="3">
        <f>'내역서(전기공사)'!F171</f>
        <v>9568919</v>
      </c>
      <c r="F12" s="3">
        <f t="shared" si="5"/>
        <v>9568919</v>
      </c>
      <c r="G12" s="3">
        <f>'내역서(전기공사)'!H171</f>
        <v>32472470</v>
      </c>
      <c r="H12" s="3">
        <f t="shared" si="1"/>
        <v>32472470</v>
      </c>
      <c r="I12" s="3">
        <f>'내역서(전기공사)'!J171</f>
        <v>638943</v>
      </c>
      <c r="J12" s="3">
        <f t="shared" si="1"/>
        <v>638943</v>
      </c>
      <c r="K12" s="3">
        <f t="shared" si="2"/>
        <v>42680332</v>
      </c>
      <c r="L12" s="3">
        <f t="shared" si="3"/>
        <v>42680332</v>
      </c>
      <c r="M12" s="1" t="s">
        <v>22</v>
      </c>
      <c r="N12" s="4" t="s">
        <v>37</v>
      </c>
      <c r="O12" s="4" t="s">
        <v>22</v>
      </c>
      <c r="P12" s="4" t="s">
        <v>33</v>
      </c>
      <c r="Q12" s="4" t="s">
        <v>22</v>
      </c>
      <c r="R12">
        <v>4</v>
      </c>
      <c r="S12" s="4" t="s">
        <v>22</v>
      </c>
      <c r="T12" s="5"/>
    </row>
    <row r="13" spans="1:20" ht="30" customHeight="1">
      <c r="A13" s="1" t="s">
        <v>38</v>
      </c>
      <c r="B13" s="1" t="s">
        <v>22</v>
      </c>
      <c r="C13" s="1" t="s">
        <v>22</v>
      </c>
      <c r="D13" s="2">
        <v>1</v>
      </c>
      <c r="E13" s="3">
        <f>'내역서(전기공사)'!F195</f>
        <v>19730141</v>
      </c>
      <c r="F13" s="3">
        <f t="shared" si="5"/>
        <v>19730141</v>
      </c>
      <c r="G13" s="3">
        <f>'내역서(전기공사)'!H195</f>
        <v>28559970</v>
      </c>
      <c r="H13" s="3">
        <f t="shared" si="1"/>
        <v>28559970</v>
      </c>
      <c r="I13" s="3">
        <f>'내역서(전기공사)'!J195</f>
        <v>79143</v>
      </c>
      <c r="J13" s="3">
        <f t="shared" si="1"/>
        <v>79143</v>
      </c>
      <c r="K13" s="3">
        <f t="shared" si="2"/>
        <v>48369254</v>
      </c>
      <c r="L13" s="3">
        <f t="shared" si="3"/>
        <v>48369254</v>
      </c>
      <c r="M13" s="1" t="s">
        <v>22</v>
      </c>
      <c r="N13" s="4" t="s">
        <v>39</v>
      </c>
      <c r="O13" s="4" t="s">
        <v>22</v>
      </c>
      <c r="P13" s="4" t="s">
        <v>25</v>
      </c>
      <c r="Q13" s="4" t="s">
        <v>22</v>
      </c>
      <c r="R13">
        <v>3</v>
      </c>
      <c r="S13" s="4" t="s">
        <v>22</v>
      </c>
      <c r="T13" s="5"/>
    </row>
    <row r="14" spans="1:20" ht="30" customHeight="1">
      <c r="A14" s="1" t="s">
        <v>40</v>
      </c>
      <c r="B14" s="1" t="s">
        <v>22</v>
      </c>
      <c r="C14" s="1" t="s">
        <v>22</v>
      </c>
      <c r="D14" s="2">
        <v>1</v>
      </c>
      <c r="E14" s="3">
        <f>'내역서(전기공사)'!F219</f>
        <v>3550926</v>
      </c>
      <c r="F14" s="3">
        <f t="shared" si="5"/>
        <v>3550926</v>
      </c>
      <c r="G14" s="3">
        <f>'내역서(전기공사)'!H219</f>
        <v>16608090</v>
      </c>
      <c r="H14" s="3">
        <f t="shared" si="1"/>
        <v>16608090</v>
      </c>
      <c r="I14" s="3">
        <f>'내역서(전기공사)'!J219</f>
        <v>173092</v>
      </c>
      <c r="J14" s="3">
        <f t="shared" si="1"/>
        <v>173092</v>
      </c>
      <c r="K14" s="3">
        <f t="shared" si="2"/>
        <v>20332108</v>
      </c>
      <c r="L14" s="3">
        <f t="shared" si="3"/>
        <v>20332108</v>
      </c>
      <c r="M14" s="1" t="s">
        <v>22</v>
      </c>
      <c r="N14" s="4" t="s">
        <v>41</v>
      </c>
      <c r="O14" s="4" t="s">
        <v>22</v>
      </c>
      <c r="P14" s="4" t="s">
        <v>25</v>
      </c>
      <c r="Q14" s="4" t="s">
        <v>22</v>
      </c>
      <c r="R14">
        <v>3</v>
      </c>
      <c r="S14" s="4" t="s">
        <v>22</v>
      </c>
      <c r="T14" s="5"/>
    </row>
    <row r="15" spans="1:20" s="21" customFormat="1" ht="30" customHeight="1">
      <c r="A15" s="17" t="s">
        <v>42</v>
      </c>
      <c r="B15" s="17" t="s">
        <v>22</v>
      </c>
      <c r="C15" s="17" t="s">
        <v>22</v>
      </c>
      <c r="D15" s="18">
        <v>1</v>
      </c>
      <c r="E15" s="19">
        <f>F16+F17+F18+F19+F22</f>
        <v>1596660211</v>
      </c>
      <c r="F15" s="19">
        <f t="shared" si="5"/>
        <v>1596660211</v>
      </c>
      <c r="G15" s="19">
        <f>H16+H17+H18+H19+H22</f>
        <v>0</v>
      </c>
      <c r="H15" s="19">
        <f t="shared" si="1"/>
        <v>0</v>
      </c>
      <c r="I15" s="19">
        <f>J16+J17+J18+J19+J22</f>
        <v>0</v>
      </c>
      <c r="J15" s="19">
        <f t="shared" si="1"/>
        <v>0</v>
      </c>
      <c r="K15" s="19">
        <f t="shared" si="2"/>
        <v>1596660211</v>
      </c>
      <c r="L15" s="19">
        <f t="shared" si="3"/>
        <v>1596660211</v>
      </c>
      <c r="M15" s="17" t="s">
        <v>22</v>
      </c>
      <c r="N15" s="20" t="s">
        <v>43</v>
      </c>
      <c r="O15" s="20" t="s">
        <v>22</v>
      </c>
      <c r="P15" s="20" t="s">
        <v>22</v>
      </c>
      <c r="Q15" s="20" t="s">
        <v>44</v>
      </c>
      <c r="R15" s="21">
        <v>2</v>
      </c>
      <c r="S15" s="20" t="s">
        <v>22</v>
      </c>
      <c r="T15" s="22" t="e">
        <f>#REF!*1</f>
        <v>#REF!</v>
      </c>
    </row>
    <row r="16" spans="1:20" ht="30" customHeight="1">
      <c r="A16" s="1" t="s">
        <v>45</v>
      </c>
      <c r="B16" s="1" t="s">
        <v>22</v>
      </c>
      <c r="C16" s="1" t="s">
        <v>22</v>
      </c>
      <c r="D16" s="2">
        <v>1</v>
      </c>
      <c r="E16" s="3">
        <f>'내역서(전기공사)'!F243</f>
        <v>875304679</v>
      </c>
      <c r="F16" s="3">
        <f t="shared" ref="F16:F23" si="6">E16*$D$7</f>
        <v>875304679</v>
      </c>
      <c r="G16" s="3">
        <f>'내역서(전기공사)'!H243</f>
        <v>0</v>
      </c>
      <c r="H16" s="3">
        <f t="shared" si="1"/>
        <v>0</v>
      </c>
      <c r="I16" s="3">
        <f>'내역서(전기공사)'!J243</f>
        <v>0</v>
      </c>
      <c r="J16" s="3">
        <f t="shared" si="1"/>
        <v>0</v>
      </c>
      <c r="K16" s="3">
        <f t="shared" si="2"/>
        <v>875304679</v>
      </c>
      <c r="L16" s="3">
        <f t="shared" si="3"/>
        <v>875304679</v>
      </c>
      <c r="M16" s="1" t="s">
        <v>22</v>
      </c>
      <c r="N16" s="4" t="s">
        <v>46</v>
      </c>
      <c r="O16" s="4" t="s">
        <v>22</v>
      </c>
      <c r="P16" s="4" t="s">
        <v>43</v>
      </c>
      <c r="Q16" s="4" t="s">
        <v>22</v>
      </c>
      <c r="R16">
        <v>3</v>
      </c>
      <c r="S16" s="4" t="s">
        <v>22</v>
      </c>
      <c r="T16" s="5"/>
    </row>
    <row r="17" spans="1:20" ht="30" customHeight="1">
      <c r="A17" s="1" t="s">
        <v>47</v>
      </c>
      <c r="B17" s="1" t="s">
        <v>22</v>
      </c>
      <c r="C17" s="1" t="s">
        <v>22</v>
      </c>
      <c r="D17" s="2">
        <v>1</v>
      </c>
      <c r="E17" s="3">
        <f>'내역서(전기공사)'!F267</f>
        <v>53120839</v>
      </c>
      <c r="F17" s="3">
        <f t="shared" si="6"/>
        <v>53120839</v>
      </c>
      <c r="G17" s="3">
        <f>'내역서(전기공사)'!H267</f>
        <v>0</v>
      </c>
      <c r="H17" s="3">
        <f t="shared" si="1"/>
        <v>0</v>
      </c>
      <c r="I17" s="3">
        <f>'내역서(전기공사)'!J267</f>
        <v>0</v>
      </c>
      <c r="J17" s="3">
        <f t="shared" si="1"/>
        <v>0</v>
      </c>
      <c r="K17" s="3">
        <f t="shared" si="2"/>
        <v>53120839</v>
      </c>
      <c r="L17" s="3">
        <f t="shared" si="3"/>
        <v>53120839</v>
      </c>
      <c r="M17" s="1" t="s">
        <v>22</v>
      </c>
      <c r="N17" s="4" t="s">
        <v>48</v>
      </c>
      <c r="O17" s="4" t="s">
        <v>22</v>
      </c>
      <c r="P17" s="4" t="s">
        <v>43</v>
      </c>
      <c r="Q17" s="4" t="s">
        <v>22</v>
      </c>
      <c r="R17">
        <v>3</v>
      </c>
      <c r="S17" s="4" t="s">
        <v>22</v>
      </c>
      <c r="T17" s="5"/>
    </row>
    <row r="18" spans="1:20" ht="30" customHeight="1">
      <c r="A18" s="1" t="s">
        <v>49</v>
      </c>
      <c r="B18" s="1" t="s">
        <v>22</v>
      </c>
      <c r="C18" s="1" t="s">
        <v>22</v>
      </c>
      <c r="D18" s="2">
        <v>1</v>
      </c>
      <c r="E18" s="3">
        <f>'내역서(전기공사)'!F291</f>
        <v>395688210</v>
      </c>
      <c r="F18" s="3">
        <f t="shared" si="6"/>
        <v>395688210</v>
      </c>
      <c r="G18" s="3">
        <f>'내역서(전기공사)'!H291</f>
        <v>0</v>
      </c>
      <c r="H18" s="3">
        <f t="shared" si="1"/>
        <v>0</v>
      </c>
      <c r="I18" s="3">
        <f>'내역서(전기공사)'!J291</f>
        <v>0</v>
      </c>
      <c r="J18" s="3">
        <f t="shared" si="1"/>
        <v>0</v>
      </c>
      <c r="K18" s="3">
        <f t="shared" si="2"/>
        <v>395688210</v>
      </c>
      <c r="L18" s="3">
        <f t="shared" si="3"/>
        <v>395688210</v>
      </c>
      <c r="M18" s="1" t="s">
        <v>22</v>
      </c>
      <c r="N18" s="4" t="s">
        <v>50</v>
      </c>
      <c r="O18" s="4" t="s">
        <v>22</v>
      </c>
      <c r="P18" s="4" t="s">
        <v>43</v>
      </c>
      <c r="Q18" s="4" t="s">
        <v>22</v>
      </c>
      <c r="R18">
        <v>3</v>
      </c>
      <c r="S18" s="4" t="s">
        <v>22</v>
      </c>
      <c r="T18" s="5"/>
    </row>
    <row r="19" spans="1:20" ht="30" customHeight="1">
      <c r="A19" s="1" t="s">
        <v>51</v>
      </c>
      <c r="B19" s="1" t="s">
        <v>22</v>
      </c>
      <c r="C19" s="1" t="s">
        <v>22</v>
      </c>
      <c r="D19" s="2">
        <v>1</v>
      </c>
      <c r="E19" s="3">
        <f>F20+F21</f>
        <v>135383239</v>
      </c>
      <c r="F19" s="3">
        <f t="shared" si="6"/>
        <v>135383239</v>
      </c>
      <c r="G19" s="3">
        <f>H20+H21</f>
        <v>0</v>
      </c>
      <c r="H19" s="3">
        <f t="shared" si="1"/>
        <v>0</v>
      </c>
      <c r="I19" s="3">
        <f>J20+J21</f>
        <v>0</v>
      </c>
      <c r="J19" s="3">
        <f t="shared" si="1"/>
        <v>0</v>
      </c>
      <c r="K19" s="3">
        <f t="shared" si="2"/>
        <v>135383239</v>
      </c>
      <c r="L19" s="3">
        <f t="shared" si="3"/>
        <v>135383239</v>
      </c>
      <c r="M19" s="1" t="s">
        <v>22</v>
      </c>
      <c r="N19" s="4" t="s">
        <v>52</v>
      </c>
      <c r="O19" s="4" t="s">
        <v>22</v>
      </c>
      <c r="P19" s="4" t="s">
        <v>43</v>
      </c>
      <c r="Q19" s="4" t="s">
        <v>22</v>
      </c>
      <c r="R19">
        <v>3</v>
      </c>
      <c r="S19" s="4" t="s">
        <v>22</v>
      </c>
      <c r="T19" s="5"/>
    </row>
    <row r="20" spans="1:20" ht="30" customHeight="1">
      <c r="A20" s="1" t="s">
        <v>53</v>
      </c>
      <c r="B20" s="1" t="s">
        <v>22</v>
      </c>
      <c r="C20" s="1" t="s">
        <v>22</v>
      </c>
      <c r="D20" s="2">
        <v>1</v>
      </c>
      <c r="E20" s="3">
        <f>'내역서(전기공사)'!F315</f>
        <v>84156658</v>
      </c>
      <c r="F20" s="3">
        <f t="shared" si="6"/>
        <v>84156658</v>
      </c>
      <c r="G20" s="3">
        <f>'내역서(전기공사)'!H315</f>
        <v>0</v>
      </c>
      <c r="H20" s="3">
        <f t="shared" si="1"/>
        <v>0</v>
      </c>
      <c r="I20" s="3">
        <f>'내역서(전기공사)'!J315</f>
        <v>0</v>
      </c>
      <c r="J20" s="3">
        <f t="shared" si="1"/>
        <v>0</v>
      </c>
      <c r="K20" s="3">
        <f t="shared" si="2"/>
        <v>84156658</v>
      </c>
      <c r="L20" s="3">
        <f t="shared" si="3"/>
        <v>84156658</v>
      </c>
      <c r="M20" s="1" t="s">
        <v>22</v>
      </c>
      <c r="N20" s="4" t="s">
        <v>54</v>
      </c>
      <c r="O20" s="4" t="s">
        <v>22</v>
      </c>
      <c r="P20" s="4" t="s">
        <v>52</v>
      </c>
      <c r="Q20" s="4" t="s">
        <v>22</v>
      </c>
      <c r="R20">
        <v>4</v>
      </c>
      <c r="S20" s="4" t="s">
        <v>22</v>
      </c>
      <c r="T20" s="5"/>
    </row>
    <row r="21" spans="1:20" ht="30" customHeight="1">
      <c r="A21" s="1" t="s">
        <v>55</v>
      </c>
      <c r="B21" s="1" t="s">
        <v>22</v>
      </c>
      <c r="C21" s="1" t="s">
        <v>22</v>
      </c>
      <c r="D21" s="2">
        <v>1</v>
      </c>
      <c r="E21" s="3">
        <f>'내역서(전기공사)'!F339</f>
        <v>51226581</v>
      </c>
      <c r="F21" s="3">
        <f t="shared" si="6"/>
        <v>51226581</v>
      </c>
      <c r="G21" s="3">
        <f>'내역서(전기공사)'!H339</f>
        <v>0</v>
      </c>
      <c r="H21" s="3">
        <f t="shared" si="1"/>
        <v>0</v>
      </c>
      <c r="I21" s="3">
        <f>'내역서(전기공사)'!J339</f>
        <v>0</v>
      </c>
      <c r="J21" s="3">
        <f t="shared" si="1"/>
        <v>0</v>
      </c>
      <c r="K21" s="3">
        <f t="shared" si="2"/>
        <v>51226581</v>
      </c>
      <c r="L21" s="3">
        <f t="shared" si="3"/>
        <v>51226581</v>
      </c>
      <c r="M21" s="1" t="s">
        <v>22</v>
      </c>
      <c r="N21" s="4" t="s">
        <v>56</v>
      </c>
      <c r="O21" s="4" t="s">
        <v>22</v>
      </c>
      <c r="P21" s="4" t="s">
        <v>52</v>
      </c>
      <c r="Q21" s="4" t="s">
        <v>22</v>
      </c>
      <c r="R21">
        <v>4</v>
      </c>
      <c r="S21" s="4" t="s">
        <v>22</v>
      </c>
      <c r="T21" s="5"/>
    </row>
    <row r="22" spans="1:20" ht="30" customHeight="1">
      <c r="A22" s="1" t="s">
        <v>57</v>
      </c>
      <c r="B22" s="1" t="s">
        <v>22</v>
      </c>
      <c r="C22" s="1" t="s">
        <v>22</v>
      </c>
      <c r="D22" s="2">
        <v>1</v>
      </c>
      <c r="E22" s="3">
        <f>'내역서(전기공사)'!F363</f>
        <v>137163244</v>
      </c>
      <c r="F22" s="3">
        <f t="shared" si="6"/>
        <v>137163244</v>
      </c>
      <c r="G22" s="3">
        <f>'내역서(전기공사)'!H363</f>
        <v>0</v>
      </c>
      <c r="H22" s="3">
        <f t="shared" si="1"/>
        <v>0</v>
      </c>
      <c r="I22" s="3">
        <f>'내역서(전기공사)'!J363</f>
        <v>0</v>
      </c>
      <c r="J22" s="3">
        <f t="shared" si="1"/>
        <v>0</v>
      </c>
      <c r="K22" s="3">
        <f t="shared" si="2"/>
        <v>137163244</v>
      </c>
      <c r="L22" s="3">
        <f t="shared" si="3"/>
        <v>137163244</v>
      </c>
      <c r="M22" s="1" t="s">
        <v>22</v>
      </c>
      <c r="N22" s="4" t="s">
        <v>58</v>
      </c>
      <c r="O22" s="4" t="s">
        <v>22</v>
      </c>
      <c r="P22" s="4" t="s">
        <v>43</v>
      </c>
      <c r="Q22" s="4" t="s">
        <v>22</v>
      </c>
      <c r="R22">
        <v>3</v>
      </c>
      <c r="S22" s="4" t="s">
        <v>22</v>
      </c>
      <c r="T22" s="5"/>
    </row>
    <row r="23" spans="1:20" s="21" customFormat="1" ht="30" customHeight="1">
      <c r="A23" s="17" t="s">
        <v>59</v>
      </c>
      <c r="B23" s="17" t="s">
        <v>22</v>
      </c>
      <c r="C23" s="17" t="s">
        <v>22</v>
      </c>
      <c r="D23" s="18">
        <v>1</v>
      </c>
      <c r="E23" s="19">
        <f>'내역서(전기공사)'!F387</f>
        <v>42000000</v>
      </c>
      <c r="F23" s="19">
        <f t="shared" si="6"/>
        <v>42000000</v>
      </c>
      <c r="G23" s="19">
        <f>'내역서(전기공사)'!G387</f>
        <v>0</v>
      </c>
      <c r="H23" s="19">
        <f t="shared" si="1"/>
        <v>0</v>
      </c>
      <c r="I23" s="19">
        <f>'내역서(전기공사)'!I387</f>
        <v>0</v>
      </c>
      <c r="J23" s="19">
        <f t="shared" si="1"/>
        <v>0</v>
      </c>
      <c r="K23" s="19">
        <f t="shared" si="2"/>
        <v>42000000</v>
      </c>
      <c r="L23" s="19">
        <f t="shared" si="3"/>
        <v>42000000</v>
      </c>
      <c r="M23" s="17" t="s">
        <v>22</v>
      </c>
      <c r="N23" s="20" t="s">
        <v>60</v>
      </c>
      <c r="O23" s="20" t="s">
        <v>22</v>
      </c>
      <c r="P23" s="20" t="s">
        <v>22</v>
      </c>
      <c r="Q23" s="20" t="s">
        <v>61</v>
      </c>
      <c r="R23" s="21">
        <v>2</v>
      </c>
      <c r="S23" s="20" t="s">
        <v>22</v>
      </c>
      <c r="T23" s="22" t="e">
        <f>#REF!*1</f>
        <v>#REF!</v>
      </c>
    </row>
    <row r="24" spans="1:20" ht="3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T24" s="5"/>
    </row>
    <row r="25" spans="1:20" ht="3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T25" s="5"/>
    </row>
    <row r="26" spans="1:20" ht="3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T26" s="5"/>
    </row>
    <row r="27" spans="1:20" s="12" customFormat="1" ht="30" customHeight="1">
      <c r="A27" s="14" t="s">
        <v>62</v>
      </c>
      <c r="B27" s="15"/>
      <c r="C27" s="15"/>
      <c r="D27" s="15"/>
      <c r="E27" s="15"/>
      <c r="F27" s="16">
        <f>F5</f>
        <v>375822195</v>
      </c>
      <c r="G27" s="15"/>
      <c r="H27" s="16">
        <f>H5</f>
        <v>1037484768</v>
      </c>
      <c r="I27" s="15"/>
      <c r="J27" s="16">
        <f>J5</f>
        <v>22109916</v>
      </c>
      <c r="K27" s="15"/>
      <c r="L27" s="16">
        <f>L5</f>
        <v>1435416879</v>
      </c>
      <c r="M27" s="15"/>
      <c r="T27" s="23"/>
    </row>
  </sheetData>
  <mergeCells count="18">
    <mergeCell ref="S3:S4"/>
    <mergeCell ref="T3:T4"/>
    <mergeCell ref="M3:M4"/>
    <mergeCell ref="N3:N4"/>
    <mergeCell ref="O3:O4"/>
    <mergeCell ref="P3:P4"/>
    <mergeCell ref="Q3:Q4"/>
    <mergeCell ref="R3:R4"/>
    <mergeCell ref="E3:F3"/>
    <mergeCell ref="G3:H3"/>
    <mergeCell ref="I3:J3"/>
    <mergeCell ref="K3:L3"/>
    <mergeCell ref="A1:M1"/>
    <mergeCell ref="A2:M2"/>
    <mergeCell ref="A3:A4"/>
    <mergeCell ref="B3:B4"/>
    <mergeCell ref="C3:C4"/>
    <mergeCell ref="D3:D4"/>
  </mergeCells>
  <phoneticPr fontId="4" type="noConversion"/>
  <pageMargins left="0.78740157480314954" right="0" top="0.39370078740157477" bottom="0.39370078740157477" header="0" footer="0"/>
  <pageSetup paperSize="9" scale="6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pageSetUpPr fitToPage="1"/>
  </sheetPr>
  <dimension ref="A1:AW387"/>
  <sheetViews>
    <sheetView view="pageBreakPreview" zoomScale="80" zoomScaleNormal="100" zoomScaleSheetLayoutView="80" workbookViewId="0">
      <pane xSplit="3" ySplit="3" topLeftCell="D4" activePane="bottomRight" state="frozen"/>
      <selection activeCell="D13" sqref="D13"/>
      <selection pane="topRight" activeCell="D13" sqref="D13"/>
      <selection pane="bottomLeft" activeCell="D13" sqref="D13"/>
      <selection pane="bottomRight" activeCell="B5" sqref="B5"/>
    </sheetView>
  </sheetViews>
  <sheetFormatPr defaultRowHeight="16.5"/>
  <cols>
    <col min="1" max="2" width="30.625" customWidth="1"/>
    <col min="3" max="3" width="4.625" customWidth="1"/>
    <col min="4" max="4" width="8.625" customWidth="1"/>
    <col min="5" max="12" width="13.625" customWidth="1"/>
    <col min="13" max="13" width="12.625" customWidth="1"/>
    <col min="14" max="43" width="2.625" hidden="1" customWidth="1"/>
    <col min="44" max="44" width="10.625" hidden="1" customWidth="1"/>
    <col min="45" max="46" width="1.625" hidden="1" customWidth="1"/>
    <col min="47" max="47" width="24.625" hidden="1" customWidth="1"/>
    <col min="48" max="48" width="10.625" hidden="1" customWidth="1"/>
  </cols>
  <sheetData>
    <row r="1" spans="1:49" ht="30" customHeight="1">
      <c r="A1" s="314" t="s">
        <v>2534</v>
      </c>
      <c r="B1" s="314"/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</row>
    <row r="2" spans="1:49" ht="30" customHeight="1">
      <c r="A2" s="317" t="s">
        <v>3</v>
      </c>
      <c r="B2" s="317" t="s">
        <v>4</v>
      </c>
      <c r="C2" s="317" t="s">
        <v>5</v>
      </c>
      <c r="D2" s="317" t="s">
        <v>6</v>
      </c>
      <c r="E2" s="318" t="s">
        <v>7</v>
      </c>
      <c r="F2" s="319"/>
      <c r="G2" s="318" t="s">
        <v>8</v>
      </c>
      <c r="H2" s="319"/>
      <c r="I2" s="318" t="s">
        <v>9</v>
      </c>
      <c r="J2" s="319"/>
      <c r="K2" s="318" t="s">
        <v>10</v>
      </c>
      <c r="L2" s="319"/>
      <c r="M2" s="317" t="s">
        <v>11</v>
      </c>
      <c r="N2" s="314" t="s">
        <v>63</v>
      </c>
      <c r="O2" s="314" t="s">
        <v>13</v>
      </c>
      <c r="P2" s="314" t="s">
        <v>64</v>
      </c>
      <c r="Q2" s="314" t="s">
        <v>12</v>
      </c>
      <c r="R2" s="314" t="s">
        <v>65</v>
      </c>
      <c r="S2" s="314" t="s">
        <v>66</v>
      </c>
      <c r="T2" s="314" t="s">
        <v>67</v>
      </c>
      <c r="U2" s="314" t="s">
        <v>68</v>
      </c>
      <c r="V2" s="314" t="s">
        <v>69</v>
      </c>
      <c r="W2" s="314" t="s">
        <v>70</v>
      </c>
      <c r="X2" s="314" t="s">
        <v>71</v>
      </c>
      <c r="Y2" s="314" t="s">
        <v>72</v>
      </c>
      <c r="Z2" s="314" t="s">
        <v>73</v>
      </c>
      <c r="AA2" s="314" t="s">
        <v>74</v>
      </c>
      <c r="AB2" s="314" t="s">
        <v>75</v>
      </c>
      <c r="AC2" s="314" t="s">
        <v>76</v>
      </c>
      <c r="AD2" s="314" t="s">
        <v>77</v>
      </c>
      <c r="AE2" s="314" t="s">
        <v>78</v>
      </c>
      <c r="AF2" s="314" t="s">
        <v>79</v>
      </c>
      <c r="AG2" s="314" t="s">
        <v>80</v>
      </c>
      <c r="AH2" s="314" t="s">
        <v>81</v>
      </c>
      <c r="AI2" s="314" t="s">
        <v>82</v>
      </c>
      <c r="AJ2" s="314" t="s">
        <v>83</v>
      </c>
      <c r="AK2" s="314" t="s">
        <v>84</v>
      </c>
      <c r="AL2" s="314" t="s">
        <v>85</v>
      </c>
      <c r="AM2" s="314" t="s">
        <v>86</v>
      </c>
      <c r="AN2" s="314" t="s">
        <v>87</v>
      </c>
      <c r="AO2" s="314" t="s">
        <v>88</v>
      </c>
      <c r="AP2" s="314" t="s">
        <v>89</v>
      </c>
      <c r="AQ2" s="314" t="s">
        <v>90</v>
      </c>
      <c r="AR2" s="314" t="s">
        <v>91</v>
      </c>
      <c r="AS2" s="314" t="s">
        <v>15</v>
      </c>
      <c r="AT2" s="314" t="s">
        <v>16</v>
      </c>
      <c r="AU2" s="314" t="s">
        <v>92</v>
      </c>
      <c r="AV2" s="314" t="s">
        <v>93</v>
      </c>
    </row>
    <row r="3" spans="1:49" ht="30" customHeight="1">
      <c r="A3" s="317"/>
      <c r="B3" s="317"/>
      <c r="C3" s="317"/>
      <c r="D3" s="317"/>
      <c r="E3" s="6" t="s">
        <v>19</v>
      </c>
      <c r="F3" s="6" t="s">
        <v>20</v>
      </c>
      <c r="G3" s="6" t="s">
        <v>19</v>
      </c>
      <c r="H3" s="6" t="s">
        <v>20</v>
      </c>
      <c r="I3" s="6" t="s">
        <v>19</v>
      </c>
      <c r="J3" s="6" t="s">
        <v>20</v>
      </c>
      <c r="K3" s="6" t="s">
        <v>19</v>
      </c>
      <c r="L3" s="6" t="s">
        <v>20</v>
      </c>
      <c r="M3" s="317"/>
      <c r="N3" s="314"/>
      <c r="O3" s="314"/>
      <c r="P3" s="314"/>
      <c r="Q3" s="314"/>
      <c r="R3" s="314"/>
      <c r="S3" s="314"/>
      <c r="T3" s="314"/>
      <c r="U3" s="314"/>
      <c r="V3" s="314"/>
      <c r="W3" s="314"/>
      <c r="X3" s="314"/>
      <c r="Y3" s="314"/>
      <c r="Z3" s="314"/>
      <c r="AA3" s="314"/>
      <c r="AB3" s="314"/>
      <c r="AC3" s="314"/>
      <c r="AD3" s="314"/>
      <c r="AE3" s="314"/>
      <c r="AF3" s="314"/>
      <c r="AG3" s="314"/>
      <c r="AH3" s="314"/>
      <c r="AI3" s="314"/>
      <c r="AJ3" s="314"/>
      <c r="AK3" s="314"/>
      <c r="AL3" s="314"/>
      <c r="AM3" s="314"/>
      <c r="AN3" s="314"/>
      <c r="AO3" s="314"/>
      <c r="AP3" s="314"/>
      <c r="AQ3" s="314"/>
      <c r="AR3" s="314"/>
      <c r="AS3" s="314"/>
      <c r="AT3" s="314"/>
      <c r="AU3" s="314"/>
      <c r="AV3" s="314"/>
      <c r="AW3" s="24"/>
    </row>
    <row r="4" spans="1:49" ht="30" customHeight="1">
      <c r="A4" s="1" t="s">
        <v>26</v>
      </c>
      <c r="B4" s="1" t="s">
        <v>22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Q4" s="4" t="s">
        <v>27</v>
      </c>
    </row>
    <row r="5" spans="1:49" ht="30" customHeight="1">
      <c r="A5" s="1" t="s">
        <v>94</v>
      </c>
      <c r="B5" s="1" t="s">
        <v>95</v>
      </c>
      <c r="C5" s="1" t="s">
        <v>96</v>
      </c>
      <c r="D5" s="2">
        <v>1811</v>
      </c>
      <c r="E5" s="7">
        <v>925</v>
      </c>
      <c r="F5" s="7">
        <f t="shared" ref="F5:F35" si="0">TRUNC(E5*D5, 0)</f>
        <v>1675175</v>
      </c>
      <c r="G5" s="7">
        <v>12786</v>
      </c>
      <c r="H5" s="7">
        <f t="shared" ref="H5:H35" si="1">TRUNC(G5*D5, 0)</f>
        <v>23155446</v>
      </c>
      <c r="I5" s="7">
        <v>0</v>
      </c>
      <c r="J5" s="7">
        <f t="shared" ref="J5:J35" si="2">TRUNC(I5*D5, 0)</f>
        <v>0</v>
      </c>
      <c r="K5" s="7">
        <f t="shared" ref="K5:K35" si="3">TRUNC(E5+G5+I5, 0)</f>
        <v>13711</v>
      </c>
      <c r="L5" s="7">
        <f t="shared" ref="L5:L35" si="4">TRUNC(F5+H5+J5, 0)</f>
        <v>24830621</v>
      </c>
      <c r="M5" s="1" t="s">
        <v>97</v>
      </c>
      <c r="N5" s="4" t="s">
        <v>98</v>
      </c>
      <c r="O5" s="4" t="s">
        <v>22</v>
      </c>
      <c r="P5" s="4" t="s">
        <v>22</v>
      </c>
      <c r="Q5" s="4" t="s">
        <v>27</v>
      </c>
      <c r="R5" s="4" t="s">
        <v>99</v>
      </c>
      <c r="S5" s="4" t="s">
        <v>100</v>
      </c>
      <c r="T5" s="4" t="s">
        <v>100</v>
      </c>
      <c r="AR5" s="4" t="s">
        <v>22</v>
      </c>
      <c r="AS5" s="4" t="s">
        <v>22</v>
      </c>
      <c r="AU5" s="4" t="s">
        <v>101</v>
      </c>
      <c r="AV5">
        <v>19173</v>
      </c>
    </row>
    <row r="6" spans="1:49" ht="30" customHeight="1">
      <c r="A6" s="1" t="s">
        <v>94</v>
      </c>
      <c r="B6" s="1" t="s">
        <v>102</v>
      </c>
      <c r="C6" s="1" t="s">
        <v>96</v>
      </c>
      <c r="D6" s="2">
        <v>12537</v>
      </c>
      <c r="E6" s="7">
        <v>1212</v>
      </c>
      <c r="F6" s="7">
        <f t="shared" si="0"/>
        <v>15194844</v>
      </c>
      <c r="G6" s="7">
        <v>12786</v>
      </c>
      <c r="H6" s="7">
        <f t="shared" si="1"/>
        <v>160298082</v>
      </c>
      <c r="I6" s="7">
        <v>0</v>
      </c>
      <c r="J6" s="7">
        <f t="shared" si="2"/>
        <v>0</v>
      </c>
      <c r="K6" s="7">
        <f t="shared" si="3"/>
        <v>13998</v>
      </c>
      <c r="L6" s="7">
        <f t="shared" si="4"/>
        <v>175492926</v>
      </c>
      <c r="M6" s="1" t="s">
        <v>103</v>
      </c>
      <c r="N6" s="4" t="s">
        <v>104</v>
      </c>
      <c r="O6" s="4" t="s">
        <v>22</v>
      </c>
      <c r="P6" s="4" t="s">
        <v>22</v>
      </c>
      <c r="Q6" s="4" t="s">
        <v>27</v>
      </c>
      <c r="R6" s="4" t="s">
        <v>99</v>
      </c>
      <c r="S6" s="4" t="s">
        <v>100</v>
      </c>
      <c r="T6" s="4" t="s">
        <v>100</v>
      </c>
      <c r="AR6" s="4" t="s">
        <v>22</v>
      </c>
      <c r="AS6" s="4" t="s">
        <v>22</v>
      </c>
      <c r="AU6" s="4" t="s">
        <v>105</v>
      </c>
      <c r="AV6">
        <v>11207</v>
      </c>
    </row>
    <row r="7" spans="1:49" ht="30" customHeight="1">
      <c r="A7" s="1" t="s">
        <v>94</v>
      </c>
      <c r="B7" s="1" t="s">
        <v>106</v>
      </c>
      <c r="C7" s="1" t="s">
        <v>96</v>
      </c>
      <c r="D7" s="2">
        <v>1435</v>
      </c>
      <c r="E7" s="7">
        <v>1359</v>
      </c>
      <c r="F7" s="7">
        <f t="shared" si="0"/>
        <v>1950165</v>
      </c>
      <c r="G7" s="7">
        <v>14672</v>
      </c>
      <c r="H7" s="7">
        <f t="shared" si="1"/>
        <v>21054320</v>
      </c>
      <c r="I7" s="7">
        <v>0</v>
      </c>
      <c r="J7" s="7">
        <f t="shared" si="2"/>
        <v>0</v>
      </c>
      <c r="K7" s="7">
        <f t="shared" si="3"/>
        <v>16031</v>
      </c>
      <c r="L7" s="7">
        <f t="shared" si="4"/>
        <v>23004485</v>
      </c>
      <c r="M7" s="1" t="s">
        <v>107</v>
      </c>
      <c r="N7" s="4" t="s">
        <v>108</v>
      </c>
      <c r="O7" s="4" t="s">
        <v>22</v>
      </c>
      <c r="P7" s="4" t="s">
        <v>22</v>
      </c>
      <c r="Q7" s="4" t="s">
        <v>27</v>
      </c>
      <c r="R7" s="4" t="s">
        <v>99</v>
      </c>
      <c r="S7" s="4" t="s">
        <v>100</v>
      </c>
      <c r="T7" s="4" t="s">
        <v>100</v>
      </c>
      <c r="AR7" s="4" t="s">
        <v>22</v>
      </c>
      <c r="AS7" s="4" t="s">
        <v>22</v>
      </c>
      <c r="AU7" s="4" t="s">
        <v>109</v>
      </c>
      <c r="AV7">
        <v>20591</v>
      </c>
    </row>
    <row r="8" spans="1:49" ht="30" customHeight="1">
      <c r="A8" s="1" t="s">
        <v>94</v>
      </c>
      <c r="B8" s="1" t="s">
        <v>110</v>
      </c>
      <c r="C8" s="1" t="s">
        <v>96</v>
      </c>
      <c r="D8" s="2">
        <v>351</v>
      </c>
      <c r="E8" s="7">
        <v>5489</v>
      </c>
      <c r="F8" s="7">
        <f t="shared" si="0"/>
        <v>1926639</v>
      </c>
      <c r="G8" s="7">
        <v>19902</v>
      </c>
      <c r="H8" s="7">
        <f t="shared" si="1"/>
        <v>6985602</v>
      </c>
      <c r="I8" s="7">
        <v>0</v>
      </c>
      <c r="J8" s="7">
        <f t="shared" si="2"/>
        <v>0</v>
      </c>
      <c r="K8" s="7">
        <f t="shared" si="3"/>
        <v>25391</v>
      </c>
      <c r="L8" s="7">
        <f t="shared" si="4"/>
        <v>8912241</v>
      </c>
      <c r="M8" s="1" t="s">
        <v>111</v>
      </c>
      <c r="N8" s="4" t="s">
        <v>112</v>
      </c>
      <c r="O8" s="4" t="s">
        <v>22</v>
      </c>
      <c r="P8" s="4" t="s">
        <v>22</v>
      </c>
      <c r="Q8" s="4" t="s">
        <v>27</v>
      </c>
      <c r="R8" s="4" t="s">
        <v>99</v>
      </c>
      <c r="S8" s="4" t="s">
        <v>100</v>
      </c>
      <c r="T8" s="4" t="s">
        <v>100</v>
      </c>
      <c r="AR8" s="4" t="s">
        <v>22</v>
      </c>
      <c r="AS8" s="4" t="s">
        <v>22</v>
      </c>
      <c r="AU8" s="4" t="s">
        <v>113</v>
      </c>
      <c r="AV8">
        <v>19175</v>
      </c>
    </row>
    <row r="9" spans="1:49" ht="30" customHeight="1">
      <c r="A9" s="1" t="s">
        <v>114</v>
      </c>
      <c r="B9" s="1" t="s">
        <v>115</v>
      </c>
      <c r="C9" s="1" t="s">
        <v>116</v>
      </c>
      <c r="D9" s="2">
        <v>4009</v>
      </c>
      <c r="E9" s="7">
        <v>1278</v>
      </c>
      <c r="F9" s="7">
        <f t="shared" si="0"/>
        <v>5123502</v>
      </c>
      <c r="G9" s="7">
        <v>2448</v>
      </c>
      <c r="H9" s="7">
        <f t="shared" si="1"/>
        <v>9814032</v>
      </c>
      <c r="I9" s="7">
        <v>0</v>
      </c>
      <c r="J9" s="7">
        <f t="shared" si="2"/>
        <v>0</v>
      </c>
      <c r="K9" s="7">
        <f t="shared" si="3"/>
        <v>3726</v>
      </c>
      <c r="L9" s="7">
        <f t="shared" si="4"/>
        <v>14937534</v>
      </c>
      <c r="M9" s="1" t="s">
        <v>117</v>
      </c>
      <c r="N9" s="4" t="s">
        <v>118</v>
      </c>
      <c r="O9" s="4" t="s">
        <v>22</v>
      </c>
      <c r="P9" s="4" t="s">
        <v>22</v>
      </c>
      <c r="Q9" s="4" t="s">
        <v>27</v>
      </c>
      <c r="R9" s="4" t="s">
        <v>99</v>
      </c>
      <c r="S9" s="4" t="s">
        <v>100</v>
      </c>
      <c r="T9" s="4" t="s">
        <v>100</v>
      </c>
      <c r="AR9" s="4" t="s">
        <v>22</v>
      </c>
      <c r="AS9" s="4" t="s">
        <v>22</v>
      </c>
      <c r="AU9" s="4" t="s">
        <v>119</v>
      </c>
      <c r="AV9">
        <v>20303</v>
      </c>
    </row>
    <row r="10" spans="1:49" ht="30" customHeight="1">
      <c r="A10" s="1" t="s">
        <v>120</v>
      </c>
      <c r="B10" s="1" t="s">
        <v>121</v>
      </c>
      <c r="C10" s="1" t="s">
        <v>116</v>
      </c>
      <c r="D10" s="2">
        <v>3746</v>
      </c>
      <c r="E10" s="7">
        <v>1020</v>
      </c>
      <c r="F10" s="7">
        <f t="shared" si="0"/>
        <v>3820920</v>
      </c>
      <c r="G10" s="7">
        <v>2372</v>
      </c>
      <c r="H10" s="7">
        <f t="shared" si="1"/>
        <v>8885512</v>
      </c>
      <c r="I10" s="7">
        <v>0</v>
      </c>
      <c r="J10" s="7">
        <f t="shared" si="2"/>
        <v>0</v>
      </c>
      <c r="K10" s="7">
        <f t="shared" si="3"/>
        <v>3392</v>
      </c>
      <c r="L10" s="7">
        <f t="shared" si="4"/>
        <v>12706432</v>
      </c>
      <c r="M10" s="1" t="s">
        <v>122</v>
      </c>
      <c r="N10" s="4" t="s">
        <v>123</v>
      </c>
      <c r="O10" s="4" t="s">
        <v>22</v>
      </c>
      <c r="P10" s="4" t="s">
        <v>22</v>
      </c>
      <c r="Q10" s="4" t="s">
        <v>27</v>
      </c>
      <c r="R10" s="4" t="s">
        <v>99</v>
      </c>
      <c r="S10" s="4" t="s">
        <v>100</v>
      </c>
      <c r="T10" s="4" t="s">
        <v>100</v>
      </c>
      <c r="AR10" s="4" t="s">
        <v>22</v>
      </c>
      <c r="AS10" s="4" t="s">
        <v>22</v>
      </c>
      <c r="AU10" s="4" t="s">
        <v>124</v>
      </c>
      <c r="AV10">
        <v>11211</v>
      </c>
    </row>
    <row r="11" spans="1:49" ht="30" customHeight="1">
      <c r="A11" s="1" t="s">
        <v>125</v>
      </c>
      <c r="B11" s="1" t="s">
        <v>121</v>
      </c>
      <c r="C11" s="1" t="s">
        <v>116</v>
      </c>
      <c r="D11" s="2">
        <v>49724</v>
      </c>
      <c r="E11" s="7">
        <v>1016</v>
      </c>
      <c r="F11" s="7">
        <f t="shared" si="0"/>
        <v>50519584</v>
      </c>
      <c r="G11" s="7">
        <v>2219</v>
      </c>
      <c r="H11" s="7">
        <f t="shared" si="1"/>
        <v>110337556</v>
      </c>
      <c r="I11" s="7">
        <v>0</v>
      </c>
      <c r="J11" s="7">
        <f t="shared" si="2"/>
        <v>0</v>
      </c>
      <c r="K11" s="7">
        <f t="shared" si="3"/>
        <v>3235</v>
      </c>
      <c r="L11" s="7">
        <f t="shared" si="4"/>
        <v>160857140</v>
      </c>
      <c r="M11" s="1" t="s">
        <v>126</v>
      </c>
      <c r="N11" s="4" t="s">
        <v>127</v>
      </c>
      <c r="O11" s="4" t="s">
        <v>22</v>
      </c>
      <c r="P11" s="4" t="s">
        <v>22</v>
      </c>
      <c r="Q11" s="4" t="s">
        <v>27</v>
      </c>
      <c r="R11" s="4" t="s">
        <v>99</v>
      </c>
      <c r="S11" s="4" t="s">
        <v>100</v>
      </c>
      <c r="T11" s="4" t="s">
        <v>100</v>
      </c>
      <c r="AR11" s="4" t="s">
        <v>22</v>
      </c>
      <c r="AS11" s="4" t="s">
        <v>22</v>
      </c>
      <c r="AU11" s="4" t="s">
        <v>128</v>
      </c>
      <c r="AV11">
        <v>11212</v>
      </c>
    </row>
    <row r="12" spans="1:49" ht="30" customHeight="1">
      <c r="A12" s="1" t="s">
        <v>125</v>
      </c>
      <c r="B12" s="1" t="s">
        <v>129</v>
      </c>
      <c r="C12" s="1" t="s">
        <v>116</v>
      </c>
      <c r="D12" s="2">
        <v>5580</v>
      </c>
      <c r="E12" s="7">
        <v>1596</v>
      </c>
      <c r="F12" s="7">
        <f t="shared" si="0"/>
        <v>8905680</v>
      </c>
      <c r="G12" s="7">
        <v>2334</v>
      </c>
      <c r="H12" s="7">
        <f t="shared" si="1"/>
        <v>13023720</v>
      </c>
      <c r="I12" s="7">
        <v>0</v>
      </c>
      <c r="J12" s="7">
        <f t="shared" si="2"/>
        <v>0</v>
      </c>
      <c r="K12" s="7">
        <f t="shared" si="3"/>
        <v>3930</v>
      </c>
      <c r="L12" s="7">
        <f t="shared" si="4"/>
        <v>21929400</v>
      </c>
      <c r="M12" s="1" t="s">
        <v>130</v>
      </c>
      <c r="N12" s="4" t="s">
        <v>131</v>
      </c>
      <c r="O12" s="4" t="s">
        <v>22</v>
      </c>
      <c r="P12" s="4" t="s">
        <v>22</v>
      </c>
      <c r="Q12" s="4" t="s">
        <v>27</v>
      </c>
      <c r="R12" s="4" t="s">
        <v>99</v>
      </c>
      <c r="S12" s="4" t="s">
        <v>100</v>
      </c>
      <c r="T12" s="4" t="s">
        <v>100</v>
      </c>
      <c r="AR12" s="4" t="s">
        <v>22</v>
      </c>
      <c r="AS12" s="4" t="s">
        <v>22</v>
      </c>
      <c r="AU12" s="4" t="s">
        <v>132</v>
      </c>
      <c r="AV12">
        <v>20592</v>
      </c>
    </row>
    <row r="13" spans="1:49" ht="30" customHeight="1">
      <c r="A13" s="1" t="s">
        <v>133</v>
      </c>
      <c r="B13" s="1" t="s">
        <v>134</v>
      </c>
      <c r="C13" s="1" t="s">
        <v>116</v>
      </c>
      <c r="D13" s="2">
        <v>810</v>
      </c>
      <c r="E13" s="7">
        <v>4964</v>
      </c>
      <c r="F13" s="7">
        <f t="shared" si="0"/>
        <v>4020840</v>
      </c>
      <c r="G13" s="7">
        <v>4209</v>
      </c>
      <c r="H13" s="7">
        <f t="shared" si="1"/>
        <v>3409290</v>
      </c>
      <c r="I13" s="7">
        <v>0</v>
      </c>
      <c r="J13" s="7">
        <f t="shared" si="2"/>
        <v>0</v>
      </c>
      <c r="K13" s="7">
        <f t="shared" si="3"/>
        <v>9173</v>
      </c>
      <c r="L13" s="7">
        <f t="shared" si="4"/>
        <v>7430130</v>
      </c>
      <c r="M13" s="1" t="s">
        <v>135</v>
      </c>
      <c r="N13" s="4" t="s">
        <v>136</v>
      </c>
      <c r="O13" s="4" t="s">
        <v>22</v>
      </c>
      <c r="P13" s="4" t="s">
        <v>22</v>
      </c>
      <c r="Q13" s="4" t="s">
        <v>27</v>
      </c>
      <c r="R13" s="4" t="s">
        <v>99</v>
      </c>
      <c r="S13" s="4" t="s">
        <v>100</v>
      </c>
      <c r="T13" s="4" t="s">
        <v>100</v>
      </c>
      <c r="AR13" s="4" t="s">
        <v>22</v>
      </c>
      <c r="AS13" s="4" t="s">
        <v>22</v>
      </c>
      <c r="AU13" s="4" t="s">
        <v>137</v>
      </c>
      <c r="AV13">
        <v>20460</v>
      </c>
    </row>
    <row r="14" spans="1:49" ht="30" customHeight="1">
      <c r="A14" s="1" t="s">
        <v>133</v>
      </c>
      <c r="B14" s="1" t="s">
        <v>138</v>
      </c>
      <c r="C14" s="1" t="s">
        <v>116</v>
      </c>
      <c r="D14" s="2">
        <v>108</v>
      </c>
      <c r="E14" s="7">
        <v>8148</v>
      </c>
      <c r="F14" s="7">
        <f t="shared" si="0"/>
        <v>879984</v>
      </c>
      <c r="G14" s="7">
        <v>4859</v>
      </c>
      <c r="H14" s="7">
        <f t="shared" si="1"/>
        <v>524772</v>
      </c>
      <c r="I14" s="7">
        <v>0</v>
      </c>
      <c r="J14" s="7">
        <f t="shared" si="2"/>
        <v>0</v>
      </c>
      <c r="K14" s="7">
        <f t="shared" si="3"/>
        <v>13007</v>
      </c>
      <c r="L14" s="7">
        <f t="shared" si="4"/>
        <v>1404756</v>
      </c>
      <c r="M14" s="1" t="s">
        <v>139</v>
      </c>
      <c r="N14" s="4" t="s">
        <v>140</v>
      </c>
      <c r="O14" s="4" t="s">
        <v>22</v>
      </c>
      <c r="P14" s="4" t="s">
        <v>22</v>
      </c>
      <c r="Q14" s="4" t="s">
        <v>27</v>
      </c>
      <c r="R14" s="4" t="s">
        <v>99</v>
      </c>
      <c r="S14" s="4" t="s">
        <v>100</v>
      </c>
      <c r="T14" s="4" t="s">
        <v>100</v>
      </c>
      <c r="AR14" s="4" t="s">
        <v>22</v>
      </c>
      <c r="AS14" s="4" t="s">
        <v>22</v>
      </c>
      <c r="AU14" s="4" t="s">
        <v>141</v>
      </c>
      <c r="AV14">
        <v>20593</v>
      </c>
    </row>
    <row r="15" spans="1:49" ht="30" customHeight="1">
      <c r="A15" s="1" t="s">
        <v>142</v>
      </c>
      <c r="B15" s="1" t="s">
        <v>143</v>
      </c>
      <c r="C15" s="1" t="s">
        <v>116</v>
      </c>
      <c r="D15" s="2">
        <v>15699</v>
      </c>
      <c r="E15" s="7">
        <v>836</v>
      </c>
      <c r="F15" s="7">
        <f t="shared" si="0"/>
        <v>13124364</v>
      </c>
      <c r="G15" s="7">
        <v>1344</v>
      </c>
      <c r="H15" s="7">
        <f t="shared" si="1"/>
        <v>21099456</v>
      </c>
      <c r="I15" s="7">
        <v>0</v>
      </c>
      <c r="J15" s="7">
        <f t="shared" si="2"/>
        <v>0</v>
      </c>
      <c r="K15" s="7">
        <f t="shared" si="3"/>
        <v>2180</v>
      </c>
      <c r="L15" s="7">
        <f t="shared" si="4"/>
        <v>34223820</v>
      </c>
      <c r="M15" s="1" t="s">
        <v>144</v>
      </c>
      <c r="N15" s="4" t="s">
        <v>145</v>
      </c>
      <c r="O15" s="4" t="s">
        <v>22</v>
      </c>
      <c r="P15" s="4" t="s">
        <v>22</v>
      </c>
      <c r="Q15" s="4" t="s">
        <v>27</v>
      </c>
      <c r="R15" s="4" t="s">
        <v>99</v>
      </c>
      <c r="S15" s="4" t="s">
        <v>100</v>
      </c>
      <c r="T15" s="4" t="s">
        <v>100</v>
      </c>
      <c r="AR15" s="4" t="s">
        <v>22</v>
      </c>
      <c r="AS15" s="4" t="s">
        <v>22</v>
      </c>
      <c r="AU15" s="4" t="s">
        <v>146</v>
      </c>
      <c r="AV15">
        <v>20130</v>
      </c>
    </row>
    <row r="16" spans="1:49" ht="30" customHeight="1">
      <c r="A16" s="1" t="s">
        <v>147</v>
      </c>
      <c r="B16" s="1" t="s">
        <v>148</v>
      </c>
      <c r="C16" s="1" t="s">
        <v>149</v>
      </c>
      <c r="D16" s="2">
        <v>60</v>
      </c>
      <c r="E16" s="7">
        <v>649</v>
      </c>
      <c r="F16" s="7">
        <f t="shared" si="0"/>
        <v>38940</v>
      </c>
      <c r="G16" s="7">
        <v>18159</v>
      </c>
      <c r="H16" s="7">
        <f t="shared" si="1"/>
        <v>1089540</v>
      </c>
      <c r="I16" s="7">
        <v>0</v>
      </c>
      <c r="J16" s="7">
        <f t="shared" si="2"/>
        <v>0</v>
      </c>
      <c r="K16" s="7">
        <f t="shared" si="3"/>
        <v>18808</v>
      </c>
      <c r="L16" s="7">
        <f t="shared" si="4"/>
        <v>1128480</v>
      </c>
      <c r="M16" s="1" t="s">
        <v>150</v>
      </c>
      <c r="N16" s="4" t="s">
        <v>151</v>
      </c>
      <c r="O16" s="4" t="s">
        <v>22</v>
      </c>
      <c r="P16" s="4" t="s">
        <v>22</v>
      </c>
      <c r="Q16" s="4" t="s">
        <v>27</v>
      </c>
      <c r="R16" s="4" t="s">
        <v>99</v>
      </c>
      <c r="S16" s="4" t="s">
        <v>100</v>
      </c>
      <c r="T16" s="4" t="s">
        <v>100</v>
      </c>
      <c r="AR16" s="4" t="s">
        <v>22</v>
      </c>
      <c r="AS16" s="4" t="s">
        <v>22</v>
      </c>
      <c r="AU16" s="4" t="s">
        <v>152</v>
      </c>
      <c r="AV16">
        <v>11222</v>
      </c>
    </row>
    <row r="17" spans="1:48" ht="30" customHeight="1">
      <c r="A17" s="1" t="s">
        <v>153</v>
      </c>
      <c r="B17" s="1" t="s">
        <v>154</v>
      </c>
      <c r="C17" s="1" t="s">
        <v>155</v>
      </c>
      <c r="D17" s="2">
        <v>385</v>
      </c>
      <c r="E17" s="7">
        <v>6316</v>
      </c>
      <c r="F17" s="7">
        <f t="shared" si="0"/>
        <v>2431660</v>
      </c>
      <c r="G17" s="7">
        <v>117250</v>
      </c>
      <c r="H17" s="7">
        <f t="shared" si="1"/>
        <v>45141250</v>
      </c>
      <c r="I17" s="7">
        <v>6858</v>
      </c>
      <c r="J17" s="7">
        <f t="shared" si="2"/>
        <v>2640330</v>
      </c>
      <c r="K17" s="7">
        <f t="shared" si="3"/>
        <v>130424</v>
      </c>
      <c r="L17" s="7">
        <f t="shared" si="4"/>
        <v>50213240</v>
      </c>
      <c r="M17" s="1" t="s">
        <v>156</v>
      </c>
      <c r="N17" s="4" t="s">
        <v>157</v>
      </c>
      <c r="O17" s="4" t="s">
        <v>22</v>
      </c>
      <c r="P17" s="4" t="s">
        <v>22</v>
      </c>
      <c r="Q17" s="4" t="s">
        <v>27</v>
      </c>
      <c r="R17" s="4" t="s">
        <v>99</v>
      </c>
      <c r="S17" s="4" t="s">
        <v>100</v>
      </c>
      <c r="T17" s="4" t="s">
        <v>100</v>
      </c>
      <c r="AR17" s="4" t="s">
        <v>22</v>
      </c>
      <c r="AS17" s="4" t="s">
        <v>22</v>
      </c>
      <c r="AU17" s="4" t="s">
        <v>158</v>
      </c>
      <c r="AV17">
        <v>20061</v>
      </c>
    </row>
    <row r="18" spans="1:48" ht="30" customHeight="1">
      <c r="A18" s="1" t="s">
        <v>159</v>
      </c>
      <c r="B18" s="1" t="s">
        <v>160</v>
      </c>
      <c r="C18" s="1" t="s">
        <v>155</v>
      </c>
      <c r="D18" s="2">
        <v>36</v>
      </c>
      <c r="E18" s="7">
        <v>5832</v>
      </c>
      <c r="F18" s="7">
        <f t="shared" si="0"/>
        <v>209952</v>
      </c>
      <c r="G18" s="7">
        <v>103525</v>
      </c>
      <c r="H18" s="7">
        <f t="shared" si="1"/>
        <v>3726900</v>
      </c>
      <c r="I18" s="7">
        <v>6319</v>
      </c>
      <c r="J18" s="7">
        <f t="shared" si="2"/>
        <v>227484</v>
      </c>
      <c r="K18" s="7">
        <f t="shared" si="3"/>
        <v>115676</v>
      </c>
      <c r="L18" s="7">
        <f t="shared" si="4"/>
        <v>4164336</v>
      </c>
      <c r="M18" s="1" t="s">
        <v>161</v>
      </c>
      <c r="N18" s="4" t="s">
        <v>162</v>
      </c>
      <c r="O18" s="4" t="s">
        <v>22</v>
      </c>
      <c r="P18" s="4" t="s">
        <v>22</v>
      </c>
      <c r="Q18" s="4" t="s">
        <v>27</v>
      </c>
      <c r="R18" s="4" t="s">
        <v>99</v>
      </c>
      <c r="S18" s="4" t="s">
        <v>100</v>
      </c>
      <c r="T18" s="4" t="s">
        <v>100</v>
      </c>
      <c r="AR18" s="4" t="s">
        <v>22</v>
      </c>
      <c r="AS18" s="4" t="s">
        <v>22</v>
      </c>
      <c r="AU18" s="4" t="s">
        <v>163</v>
      </c>
      <c r="AV18">
        <v>20060</v>
      </c>
    </row>
    <row r="19" spans="1:48" ht="30" customHeight="1">
      <c r="A19" s="1" t="s">
        <v>164</v>
      </c>
      <c r="B19" s="1" t="s">
        <v>165</v>
      </c>
      <c r="C19" s="1" t="s">
        <v>166</v>
      </c>
      <c r="D19" s="2">
        <v>385</v>
      </c>
      <c r="E19" s="7">
        <v>1371</v>
      </c>
      <c r="F19" s="7">
        <f t="shared" si="0"/>
        <v>527835</v>
      </c>
      <c r="G19" s="7">
        <v>45736</v>
      </c>
      <c r="H19" s="7">
        <f t="shared" si="1"/>
        <v>17608360</v>
      </c>
      <c r="I19" s="7">
        <v>0</v>
      </c>
      <c r="J19" s="7">
        <f t="shared" si="2"/>
        <v>0</v>
      </c>
      <c r="K19" s="7">
        <f t="shared" si="3"/>
        <v>47107</v>
      </c>
      <c r="L19" s="7">
        <f t="shared" si="4"/>
        <v>18136195</v>
      </c>
      <c r="M19" s="1" t="s">
        <v>167</v>
      </c>
      <c r="N19" s="4" t="s">
        <v>168</v>
      </c>
      <c r="O19" s="4" t="s">
        <v>22</v>
      </c>
      <c r="P19" s="4" t="s">
        <v>22</v>
      </c>
      <c r="Q19" s="4" t="s">
        <v>27</v>
      </c>
      <c r="R19" s="4" t="s">
        <v>99</v>
      </c>
      <c r="S19" s="4" t="s">
        <v>100</v>
      </c>
      <c r="T19" s="4" t="s">
        <v>100</v>
      </c>
      <c r="AR19" s="4" t="s">
        <v>22</v>
      </c>
      <c r="AS19" s="4" t="s">
        <v>22</v>
      </c>
      <c r="AU19" s="4" t="s">
        <v>169</v>
      </c>
      <c r="AV19">
        <v>20062</v>
      </c>
    </row>
    <row r="20" spans="1:48" ht="30" customHeight="1">
      <c r="A20" s="1" t="s">
        <v>170</v>
      </c>
      <c r="B20" s="1" t="s">
        <v>171</v>
      </c>
      <c r="C20" s="1" t="s">
        <v>166</v>
      </c>
      <c r="D20" s="2">
        <v>36</v>
      </c>
      <c r="E20" s="7">
        <v>1230</v>
      </c>
      <c r="F20" s="7">
        <f t="shared" si="0"/>
        <v>44280</v>
      </c>
      <c r="G20" s="7">
        <v>41027</v>
      </c>
      <c r="H20" s="7">
        <f t="shared" si="1"/>
        <v>1476972</v>
      </c>
      <c r="I20" s="7">
        <v>0</v>
      </c>
      <c r="J20" s="7">
        <f t="shared" si="2"/>
        <v>0</v>
      </c>
      <c r="K20" s="7">
        <f t="shared" si="3"/>
        <v>42257</v>
      </c>
      <c r="L20" s="7">
        <f t="shared" si="4"/>
        <v>1521252</v>
      </c>
      <c r="M20" s="1" t="s">
        <v>172</v>
      </c>
      <c r="N20" s="4" t="s">
        <v>173</v>
      </c>
      <c r="O20" s="4" t="s">
        <v>22</v>
      </c>
      <c r="P20" s="4" t="s">
        <v>22</v>
      </c>
      <c r="Q20" s="4" t="s">
        <v>27</v>
      </c>
      <c r="R20" s="4" t="s">
        <v>99</v>
      </c>
      <c r="S20" s="4" t="s">
        <v>100</v>
      </c>
      <c r="T20" s="4" t="s">
        <v>100</v>
      </c>
      <c r="AR20" s="4" t="s">
        <v>22</v>
      </c>
      <c r="AS20" s="4" t="s">
        <v>22</v>
      </c>
      <c r="AU20" s="4" t="s">
        <v>174</v>
      </c>
      <c r="AV20">
        <v>20063</v>
      </c>
    </row>
    <row r="21" spans="1:48" ht="30" customHeight="1">
      <c r="A21" s="1" t="s">
        <v>175</v>
      </c>
      <c r="B21" s="1" t="s">
        <v>171</v>
      </c>
      <c r="C21" s="1" t="s">
        <v>166</v>
      </c>
      <c r="D21" s="2">
        <v>53</v>
      </c>
      <c r="E21" s="7">
        <v>1230</v>
      </c>
      <c r="F21" s="7">
        <f t="shared" si="0"/>
        <v>65190</v>
      </c>
      <c r="G21" s="7">
        <v>41027</v>
      </c>
      <c r="H21" s="7">
        <f t="shared" si="1"/>
        <v>2174431</v>
      </c>
      <c r="I21" s="7">
        <v>0</v>
      </c>
      <c r="J21" s="7">
        <f t="shared" si="2"/>
        <v>0</v>
      </c>
      <c r="K21" s="7">
        <f t="shared" si="3"/>
        <v>42257</v>
      </c>
      <c r="L21" s="7">
        <f t="shared" si="4"/>
        <v>2239621</v>
      </c>
      <c r="M21" s="1" t="s">
        <v>176</v>
      </c>
      <c r="N21" s="4" t="s">
        <v>177</v>
      </c>
      <c r="O21" s="4" t="s">
        <v>22</v>
      </c>
      <c r="P21" s="4" t="s">
        <v>22</v>
      </c>
      <c r="Q21" s="4" t="s">
        <v>27</v>
      </c>
      <c r="R21" s="4" t="s">
        <v>99</v>
      </c>
      <c r="S21" s="4" t="s">
        <v>100</v>
      </c>
      <c r="T21" s="4" t="s">
        <v>100</v>
      </c>
      <c r="AR21" s="4" t="s">
        <v>22</v>
      </c>
      <c r="AS21" s="4" t="s">
        <v>22</v>
      </c>
      <c r="AU21" s="4" t="s">
        <v>178</v>
      </c>
      <c r="AV21">
        <v>20304</v>
      </c>
    </row>
    <row r="22" spans="1:48" ht="30" customHeight="1">
      <c r="A22" s="1" t="s">
        <v>179</v>
      </c>
      <c r="B22" s="1" t="s">
        <v>180</v>
      </c>
      <c r="C22" s="1" t="s">
        <v>155</v>
      </c>
      <c r="D22" s="2">
        <v>385</v>
      </c>
      <c r="E22" s="7">
        <v>9374</v>
      </c>
      <c r="F22" s="7">
        <f t="shared" si="0"/>
        <v>3608990</v>
      </c>
      <c r="G22" s="7">
        <v>74534</v>
      </c>
      <c r="H22" s="7">
        <f t="shared" si="1"/>
        <v>28695590</v>
      </c>
      <c r="I22" s="7">
        <v>11266</v>
      </c>
      <c r="J22" s="7">
        <f t="shared" si="2"/>
        <v>4337410</v>
      </c>
      <c r="K22" s="7">
        <f t="shared" si="3"/>
        <v>95174</v>
      </c>
      <c r="L22" s="7">
        <f t="shared" si="4"/>
        <v>36641990</v>
      </c>
      <c r="M22" s="1" t="s">
        <v>181</v>
      </c>
      <c r="N22" s="4" t="s">
        <v>182</v>
      </c>
      <c r="O22" s="4" t="s">
        <v>22</v>
      </c>
      <c r="P22" s="4" t="s">
        <v>22</v>
      </c>
      <c r="Q22" s="4" t="s">
        <v>27</v>
      </c>
      <c r="R22" s="4" t="s">
        <v>99</v>
      </c>
      <c r="S22" s="4" t="s">
        <v>100</v>
      </c>
      <c r="T22" s="4" t="s">
        <v>100</v>
      </c>
      <c r="AR22" s="4" t="s">
        <v>22</v>
      </c>
      <c r="AS22" s="4" t="s">
        <v>22</v>
      </c>
      <c r="AU22" s="4" t="s">
        <v>183</v>
      </c>
      <c r="AV22">
        <v>20134</v>
      </c>
    </row>
    <row r="23" spans="1:48" ht="30" customHeight="1">
      <c r="A23" s="1" t="s">
        <v>184</v>
      </c>
      <c r="B23" s="1" t="s">
        <v>185</v>
      </c>
      <c r="C23" s="1" t="s">
        <v>155</v>
      </c>
      <c r="D23" s="2">
        <v>22</v>
      </c>
      <c r="E23" s="7">
        <v>9374</v>
      </c>
      <c r="F23" s="7">
        <f t="shared" si="0"/>
        <v>206228</v>
      </c>
      <c r="G23" s="7">
        <v>74534</v>
      </c>
      <c r="H23" s="7">
        <f t="shared" si="1"/>
        <v>1639748</v>
      </c>
      <c r="I23" s="7">
        <v>11266</v>
      </c>
      <c r="J23" s="7">
        <f t="shared" si="2"/>
        <v>247852</v>
      </c>
      <c r="K23" s="7">
        <f t="shared" si="3"/>
        <v>95174</v>
      </c>
      <c r="L23" s="7">
        <f t="shared" si="4"/>
        <v>2093828</v>
      </c>
      <c r="M23" s="1" t="s">
        <v>186</v>
      </c>
      <c r="N23" s="4" t="s">
        <v>187</v>
      </c>
      <c r="O23" s="4" t="s">
        <v>22</v>
      </c>
      <c r="P23" s="4" t="s">
        <v>22</v>
      </c>
      <c r="Q23" s="4" t="s">
        <v>27</v>
      </c>
      <c r="R23" s="4" t="s">
        <v>99</v>
      </c>
      <c r="S23" s="4" t="s">
        <v>100</v>
      </c>
      <c r="T23" s="4" t="s">
        <v>100</v>
      </c>
      <c r="AR23" s="4" t="s">
        <v>22</v>
      </c>
      <c r="AS23" s="4" t="s">
        <v>22</v>
      </c>
      <c r="AU23" s="4" t="s">
        <v>188</v>
      </c>
      <c r="AV23">
        <v>20135</v>
      </c>
    </row>
    <row r="24" spans="1:48" ht="30" customHeight="1">
      <c r="A24" s="1" t="s">
        <v>189</v>
      </c>
      <c r="B24" s="1" t="s">
        <v>190</v>
      </c>
      <c r="C24" s="1" t="s">
        <v>155</v>
      </c>
      <c r="D24" s="2">
        <v>14</v>
      </c>
      <c r="E24" s="7">
        <v>30399</v>
      </c>
      <c r="F24" s="7">
        <f t="shared" si="0"/>
        <v>425586</v>
      </c>
      <c r="G24" s="7">
        <v>188694</v>
      </c>
      <c r="H24" s="7">
        <f t="shared" si="1"/>
        <v>2641716</v>
      </c>
      <c r="I24" s="7">
        <v>79</v>
      </c>
      <c r="J24" s="7">
        <f t="shared" si="2"/>
        <v>1106</v>
      </c>
      <c r="K24" s="7">
        <f t="shared" si="3"/>
        <v>219172</v>
      </c>
      <c r="L24" s="7">
        <f t="shared" si="4"/>
        <v>3068408</v>
      </c>
      <c r="M24" s="1" t="s">
        <v>191</v>
      </c>
      <c r="N24" s="4" t="s">
        <v>192</v>
      </c>
      <c r="O24" s="4" t="s">
        <v>22</v>
      </c>
      <c r="P24" s="4" t="s">
        <v>22</v>
      </c>
      <c r="Q24" s="4" t="s">
        <v>27</v>
      </c>
      <c r="R24" s="4" t="s">
        <v>99</v>
      </c>
      <c r="S24" s="4" t="s">
        <v>100</v>
      </c>
      <c r="T24" s="4" t="s">
        <v>100</v>
      </c>
      <c r="AR24" s="4" t="s">
        <v>22</v>
      </c>
      <c r="AS24" s="4" t="s">
        <v>22</v>
      </c>
      <c r="AU24" s="4" t="s">
        <v>193</v>
      </c>
      <c r="AV24">
        <v>20573</v>
      </c>
    </row>
    <row r="25" spans="1:48" ht="30" customHeight="1">
      <c r="A25" s="1" t="s">
        <v>194</v>
      </c>
      <c r="B25" s="1" t="s">
        <v>195</v>
      </c>
      <c r="C25" s="1" t="s">
        <v>155</v>
      </c>
      <c r="D25" s="2">
        <v>17</v>
      </c>
      <c r="E25" s="7">
        <v>13726</v>
      </c>
      <c r="F25" s="7">
        <f t="shared" si="0"/>
        <v>233342</v>
      </c>
      <c r="G25" s="7">
        <v>457561</v>
      </c>
      <c r="H25" s="7">
        <f t="shared" si="1"/>
        <v>7778537</v>
      </c>
      <c r="I25" s="7">
        <v>0</v>
      </c>
      <c r="J25" s="7">
        <f t="shared" si="2"/>
        <v>0</v>
      </c>
      <c r="K25" s="7">
        <f t="shared" si="3"/>
        <v>471287</v>
      </c>
      <c r="L25" s="7">
        <f t="shared" si="4"/>
        <v>8011879</v>
      </c>
      <c r="M25" s="1" t="s">
        <v>196</v>
      </c>
      <c r="N25" s="4" t="s">
        <v>197</v>
      </c>
      <c r="O25" s="4" t="s">
        <v>22</v>
      </c>
      <c r="P25" s="4" t="s">
        <v>22</v>
      </c>
      <c r="Q25" s="4" t="s">
        <v>27</v>
      </c>
      <c r="R25" s="4" t="s">
        <v>99</v>
      </c>
      <c r="S25" s="4" t="s">
        <v>100</v>
      </c>
      <c r="T25" s="4" t="s">
        <v>100</v>
      </c>
      <c r="AR25" s="4" t="s">
        <v>22</v>
      </c>
      <c r="AS25" s="4" t="s">
        <v>22</v>
      </c>
      <c r="AU25" s="4" t="s">
        <v>198</v>
      </c>
      <c r="AV25">
        <v>20302</v>
      </c>
    </row>
    <row r="26" spans="1:48" ht="30" customHeight="1">
      <c r="A26" s="1" t="s">
        <v>199</v>
      </c>
      <c r="B26" s="1" t="s">
        <v>200</v>
      </c>
      <c r="C26" s="1" t="s">
        <v>166</v>
      </c>
      <c r="D26" s="2">
        <v>17</v>
      </c>
      <c r="E26" s="7">
        <v>107385</v>
      </c>
      <c r="F26" s="7">
        <f t="shared" si="0"/>
        <v>1825545</v>
      </c>
      <c r="G26" s="7">
        <v>258032</v>
      </c>
      <c r="H26" s="7">
        <f t="shared" si="1"/>
        <v>4386544</v>
      </c>
      <c r="I26" s="7">
        <v>12515</v>
      </c>
      <c r="J26" s="7">
        <f t="shared" si="2"/>
        <v>212755</v>
      </c>
      <c r="K26" s="7">
        <f t="shared" si="3"/>
        <v>377932</v>
      </c>
      <c r="L26" s="7">
        <f t="shared" si="4"/>
        <v>6424844</v>
      </c>
      <c r="M26" s="1" t="s">
        <v>201</v>
      </c>
      <c r="N26" s="4" t="s">
        <v>202</v>
      </c>
      <c r="O26" s="4" t="s">
        <v>22</v>
      </c>
      <c r="P26" s="4" t="s">
        <v>22</v>
      </c>
      <c r="Q26" s="4" t="s">
        <v>27</v>
      </c>
      <c r="R26" s="4" t="s">
        <v>99</v>
      </c>
      <c r="S26" s="4" t="s">
        <v>100</v>
      </c>
      <c r="T26" s="4" t="s">
        <v>100</v>
      </c>
      <c r="AR26" s="4" t="s">
        <v>22</v>
      </c>
      <c r="AS26" s="4" t="s">
        <v>22</v>
      </c>
      <c r="AU26" s="4" t="s">
        <v>203</v>
      </c>
      <c r="AV26">
        <v>20564</v>
      </c>
    </row>
    <row r="27" spans="1:48" ht="30" customHeight="1">
      <c r="A27" s="1" t="s">
        <v>204</v>
      </c>
      <c r="B27" s="1" t="s">
        <v>205</v>
      </c>
      <c r="C27" s="1" t="s">
        <v>96</v>
      </c>
      <c r="D27" s="2">
        <v>14907</v>
      </c>
      <c r="E27" s="7">
        <v>399</v>
      </c>
      <c r="F27" s="7">
        <f t="shared" si="0"/>
        <v>5947893</v>
      </c>
      <c r="G27" s="7">
        <v>3839</v>
      </c>
      <c r="H27" s="7">
        <f t="shared" si="1"/>
        <v>57227973</v>
      </c>
      <c r="I27" s="7">
        <v>178</v>
      </c>
      <c r="J27" s="7">
        <f t="shared" si="2"/>
        <v>2653446</v>
      </c>
      <c r="K27" s="7">
        <f t="shared" si="3"/>
        <v>4416</v>
      </c>
      <c r="L27" s="7">
        <f t="shared" si="4"/>
        <v>65829312</v>
      </c>
      <c r="M27" s="1" t="s">
        <v>206</v>
      </c>
      <c r="N27" s="4" t="s">
        <v>207</v>
      </c>
      <c r="O27" s="4" t="s">
        <v>22</v>
      </c>
      <c r="P27" s="4" t="s">
        <v>22</v>
      </c>
      <c r="Q27" s="4" t="s">
        <v>27</v>
      </c>
      <c r="R27" s="4" t="s">
        <v>99</v>
      </c>
      <c r="S27" s="4" t="s">
        <v>100</v>
      </c>
      <c r="T27" s="4" t="s">
        <v>100</v>
      </c>
      <c r="AR27" s="4" t="s">
        <v>22</v>
      </c>
      <c r="AS27" s="4" t="s">
        <v>22</v>
      </c>
      <c r="AU27" s="4" t="s">
        <v>208</v>
      </c>
      <c r="AV27">
        <v>11242</v>
      </c>
    </row>
    <row r="28" spans="1:48" ht="30" customHeight="1">
      <c r="A28" s="1" t="s">
        <v>209</v>
      </c>
      <c r="B28" s="1" t="s">
        <v>210</v>
      </c>
      <c r="C28" s="1" t="s">
        <v>96</v>
      </c>
      <c r="D28" s="2">
        <v>351</v>
      </c>
      <c r="E28" s="7">
        <v>482</v>
      </c>
      <c r="F28" s="7">
        <f t="shared" si="0"/>
        <v>169182</v>
      </c>
      <c r="G28" s="7">
        <v>5441</v>
      </c>
      <c r="H28" s="7">
        <f t="shared" si="1"/>
        <v>1909791</v>
      </c>
      <c r="I28" s="7">
        <v>258</v>
      </c>
      <c r="J28" s="7">
        <f t="shared" si="2"/>
        <v>90558</v>
      </c>
      <c r="K28" s="7">
        <f t="shared" si="3"/>
        <v>6181</v>
      </c>
      <c r="L28" s="7">
        <f t="shared" si="4"/>
        <v>2169531</v>
      </c>
      <c r="M28" s="1" t="s">
        <v>211</v>
      </c>
      <c r="N28" s="4" t="s">
        <v>212</v>
      </c>
      <c r="O28" s="4" t="s">
        <v>22</v>
      </c>
      <c r="P28" s="4" t="s">
        <v>22</v>
      </c>
      <c r="Q28" s="4" t="s">
        <v>27</v>
      </c>
      <c r="R28" s="4" t="s">
        <v>99</v>
      </c>
      <c r="S28" s="4" t="s">
        <v>100</v>
      </c>
      <c r="T28" s="4" t="s">
        <v>100</v>
      </c>
      <c r="AR28" s="4" t="s">
        <v>22</v>
      </c>
      <c r="AS28" s="4" t="s">
        <v>22</v>
      </c>
      <c r="AU28" s="4" t="s">
        <v>213</v>
      </c>
      <c r="AV28">
        <v>19206</v>
      </c>
    </row>
    <row r="29" spans="1:48" ht="30" customHeight="1">
      <c r="A29" s="1" t="s">
        <v>214</v>
      </c>
      <c r="B29" s="1" t="s">
        <v>215</v>
      </c>
      <c r="C29" s="1" t="s">
        <v>155</v>
      </c>
      <c r="D29" s="2">
        <v>18</v>
      </c>
      <c r="E29" s="7">
        <v>291413</v>
      </c>
      <c r="F29" s="7">
        <f t="shared" si="0"/>
        <v>5245434</v>
      </c>
      <c r="G29" s="7">
        <v>65550</v>
      </c>
      <c r="H29" s="7">
        <f t="shared" si="1"/>
        <v>1179900</v>
      </c>
      <c r="I29" s="7">
        <v>1083</v>
      </c>
      <c r="J29" s="7">
        <f t="shared" si="2"/>
        <v>19494</v>
      </c>
      <c r="K29" s="7">
        <f t="shared" si="3"/>
        <v>358046</v>
      </c>
      <c r="L29" s="7">
        <f t="shared" si="4"/>
        <v>6444828</v>
      </c>
      <c r="M29" s="1" t="s">
        <v>216</v>
      </c>
      <c r="N29" s="4" t="s">
        <v>217</v>
      </c>
      <c r="O29" s="4" t="s">
        <v>22</v>
      </c>
      <c r="P29" s="4" t="s">
        <v>22</v>
      </c>
      <c r="Q29" s="4" t="s">
        <v>27</v>
      </c>
      <c r="R29" s="4" t="s">
        <v>99</v>
      </c>
      <c r="S29" s="4" t="s">
        <v>100</v>
      </c>
      <c r="T29" s="4" t="s">
        <v>100</v>
      </c>
      <c r="AR29" s="4" t="s">
        <v>22</v>
      </c>
      <c r="AS29" s="4" t="s">
        <v>22</v>
      </c>
      <c r="AU29" s="4" t="s">
        <v>218</v>
      </c>
      <c r="AV29">
        <v>20141</v>
      </c>
    </row>
    <row r="30" spans="1:48" ht="30" customHeight="1">
      <c r="A30" s="1" t="s">
        <v>219</v>
      </c>
      <c r="B30" s="1" t="s">
        <v>220</v>
      </c>
      <c r="C30" s="1" t="s">
        <v>149</v>
      </c>
      <c r="D30" s="2">
        <v>17</v>
      </c>
      <c r="E30" s="7">
        <v>16041</v>
      </c>
      <c r="F30" s="7">
        <f t="shared" si="0"/>
        <v>272697</v>
      </c>
      <c r="G30" s="7">
        <v>9338</v>
      </c>
      <c r="H30" s="7">
        <f t="shared" si="1"/>
        <v>158746</v>
      </c>
      <c r="I30" s="7">
        <v>0</v>
      </c>
      <c r="J30" s="7">
        <f t="shared" si="2"/>
        <v>0</v>
      </c>
      <c r="K30" s="7">
        <f t="shared" si="3"/>
        <v>25379</v>
      </c>
      <c r="L30" s="7">
        <f t="shared" si="4"/>
        <v>431443</v>
      </c>
      <c r="M30" s="1" t="s">
        <v>221</v>
      </c>
      <c r="N30" s="4" t="s">
        <v>222</v>
      </c>
      <c r="O30" s="4" t="s">
        <v>22</v>
      </c>
      <c r="P30" s="4" t="s">
        <v>22</v>
      </c>
      <c r="Q30" s="4" t="s">
        <v>27</v>
      </c>
      <c r="R30" s="4" t="s">
        <v>99</v>
      </c>
      <c r="S30" s="4" t="s">
        <v>100</v>
      </c>
      <c r="T30" s="4" t="s">
        <v>100</v>
      </c>
      <c r="AR30" s="4" t="s">
        <v>22</v>
      </c>
      <c r="AS30" s="4" t="s">
        <v>22</v>
      </c>
      <c r="AU30" s="4" t="s">
        <v>223</v>
      </c>
      <c r="AV30">
        <v>20068</v>
      </c>
    </row>
    <row r="31" spans="1:48" ht="30" customHeight="1">
      <c r="A31" s="1" t="s">
        <v>224</v>
      </c>
      <c r="B31" s="1" t="s">
        <v>225</v>
      </c>
      <c r="C31" s="1" t="s">
        <v>149</v>
      </c>
      <c r="D31" s="2">
        <v>421</v>
      </c>
      <c r="E31" s="7">
        <v>16041</v>
      </c>
      <c r="F31" s="7">
        <f t="shared" si="0"/>
        <v>6753261</v>
      </c>
      <c r="G31" s="7">
        <v>9338</v>
      </c>
      <c r="H31" s="7">
        <f t="shared" si="1"/>
        <v>3931298</v>
      </c>
      <c r="I31" s="7">
        <v>0</v>
      </c>
      <c r="J31" s="7">
        <f t="shared" si="2"/>
        <v>0</v>
      </c>
      <c r="K31" s="7">
        <f t="shared" si="3"/>
        <v>25379</v>
      </c>
      <c r="L31" s="7">
        <f t="shared" si="4"/>
        <v>10684559</v>
      </c>
      <c r="M31" s="1" t="s">
        <v>226</v>
      </c>
      <c r="N31" s="4" t="s">
        <v>227</v>
      </c>
      <c r="O31" s="4" t="s">
        <v>22</v>
      </c>
      <c r="P31" s="4" t="s">
        <v>22</v>
      </c>
      <c r="Q31" s="4" t="s">
        <v>27</v>
      </c>
      <c r="R31" s="4" t="s">
        <v>99</v>
      </c>
      <c r="S31" s="4" t="s">
        <v>100</v>
      </c>
      <c r="T31" s="4" t="s">
        <v>100</v>
      </c>
      <c r="AR31" s="4" t="s">
        <v>22</v>
      </c>
      <c r="AS31" s="4" t="s">
        <v>22</v>
      </c>
      <c r="AU31" s="4" t="s">
        <v>228</v>
      </c>
      <c r="AV31">
        <v>20475</v>
      </c>
    </row>
    <row r="32" spans="1:48" ht="30" customHeight="1">
      <c r="A32" s="1" t="s">
        <v>229</v>
      </c>
      <c r="B32" s="1" t="s">
        <v>230</v>
      </c>
      <c r="C32" s="1" t="s">
        <v>149</v>
      </c>
      <c r="D32" s="2">
        <v>421</v>
      </c>
      <c r="E32" s="7">
        <v>690</v>
      </c>
      <c r="F32" s="7">
        <f t="shared" si="0"/>
        <v>290490</v>
      </c>
      <c r="G32" s="7">
        <v>23017</v>
      </c>
      <c r="H32" s="7">
        <f t="shared" si="1"/>
        <v>9690157</v>
      </c>
      <c r="I32" s="7">
        <v>0</v>
      </c>
      <c r="J32" s="7">
        <f t="shared" si="2"/>
        <v>0</v>
      </c>
      <c r="K32" s="7">
        <f t="shared" si="3"/>
        <v>23707</v>
      </c>
      <c r="L32" s="7">
        <f t="shared" si="4"/>
        <v>9980647</v>
      </c>
      <c r="M32" s="1" t="s">
        <v>231</v>
      </c>
      <c r="N32" s="4" t="s">
        <v>232</v>
      </c>
      <c r="O32" s="4" t="s">
        <v>22</v>
      </c>
      <c r="P32" s="4" t="s">
        <v>22</v>
      </c>
      <c r="Q32" s="4" t="s">
        <v>27</v>
      </c>
      <c r="R32" s="4" t="s">
        <v>99</v>
      </c>
      <c r="S32" s="4" t="s">
        <v>100</v>
      </c>
      <c r="T32" s="4" t="s">
        <v>100</v>
      </c>
      <c r="AR32" s="4" t="s">
        <v>22</v>
      </c>
      <c r="AS32" s="4" t="s">
        <v>22</v>
      </c>
      <c r="AU32" s="4" t="s">
        <v>233</v>
      </c>
      <c r="AV32">
        <v>20301</v>
      </c>
    </row>
    <row r="33" spans="1:48" ht="30" customHeight="1">
      <c r="A33" s="1" t="s">
        <v>234</v>
      </c>
      <c r="B33" s="1" t="s">
        <v>235</v>
      </c>
      <c r="C33" s="1" t="s">
        <v>149</v>
      </c>
      <c r="D33" s="2">
        <v>421</v>
      </c>
      <c r="E33" s="7">
        <v>46522</v>
      </c>
      <c r="F33" s="7">
        <f t="shared" si="0"/>
        <v>19585762</v>
      </c>
      <c r="G33" s="7">
        <v>29818</v>
      </c>
      <c r="H33" s="7">
        <f t="shared" si="1"/>
        <v>12553378</v>
      </c>
      <c r="I33" s="7">
        <v>0</v>
      </c>
      <c r="J33" s="7">
        <f t="shared" si="2"/>
        <v>0</v>
      </c>
      <c r="K33" s="7">
        <f t="shared" si="3"/>
        <v>76340</v>
      </c>
      <c r="L33" s="7">
        <f t="shared" si="4"/>
        <v>32139140</v>
      </c>
      <c r="M33" s="1" t="s">
        <v>236</v>
      </c>
      <c r="N33" s="4" t="s">
        <v>237</v>
      </c>
      <c r="O33" s="4" t="s">
        <v>22</v>
      </c>
      <c r="P33" s="4" t="s">
        <v>22</v>
      </c>
      <c r="Q33" s="4" t="s">
        <v>27</v>
      </c>
      <c r="R33" s="4" t="s">
        <v>99</v>
      </c>
      <c r="S33" s="4" t="s">
        <v>100</v>
      </c>
      <c r="T33" s="4" t="s">
        <v>100</v>
      </c>
      <c r="AR33" s="4" t="s">
        <v>22</v>
      </c>
      <c r="AS33" s="4" t="s">
        <v>22</v>
      </c>
      <c r="AU33" s="4" t="s">
        <v>238</v>
      </c>
      <c r="AV33">
        <v>11235</v>
      </c>
    </row>
    <row r="34" spans="1:48" ht="30" customHeight="1">
      <c r="A34" s="1" t="s">
        <v>234</v>
      </c>
      <c r="B34" s="1" t="s">
        <v>239</v>
      </c>
      <c r="C34" s="1" t="s">
        <v>149</v>
      </c>
      <c r="D34" s="2">
        <v>369</v>
      </c>
      <c r="E34" s="7">
        <v>12444</v>
      </c>
      <c r="F34" s="7">
        <f t="shared" si="0"/>
        <v>4591836</v>
      </c>
      <c r="G34" s="7">
        <v>0</v>
      </c>
      <c r="H34" s="7">
        <f t="shared" si="1"/>
        <v>0</v>
      </c>
      <c r="I34" s="7">
        <v>0</v>
      </c>
      <c r="J34" s="7">
        <f t="shared" si="2"/>
        <v>0</v>
      </c>
      <c r="K34" s="7">
        <f t="shared" si="3"/>
        <v>12444</v>
      </c>
      <c r="L34" s="7">
        <f t="shared" si="4"/>
        <v>4591836</v>
      </c>
      <c r="M34" s="1" t="s">
        <v>22</v>
      </c>
      <c r="N34" s="4" t="s">
        <v>240</v>
      </c>
      <c r="O34" s="4" t="s">
        <v>22</v>
      </c>
      <c r="P34" s="4" t="s">
        <v>22</v>
      </c>
      <c r="Q34" s="4" t="s">
        <v>27</v>
      </c>
      <c r="R34" s="4" t="s">
        <v>100</v>
      </c>
      <c r="S34" s="4" t="s">
        <v>100</v>
      </c>
      <c r="T34" s="4" t="s">
        <v>99</v>
      </c>
      <c r="AR34" s="4" t="s">
        <v>22</v>
      </c>
      <c r="AS34" s="4" t="s">
        <v>22</v>
      </c>
      <c r="AU34" s="4" t="s">
        <v>241</v>
      </c>
      <c r="AV34">
        <v>11236</v>
      </c>
    </row>
    <row r="35" spans="1:48" ht="30" customHeight="1">
      <c r="A35" s="1" t="s">
        <v>242</v>
      </c>
      <c r="B35" s="1" t="s">
        <v>243</v>
      </c>
      <c r="C35" s="1" t="s">
        <v>166</v>
      </c>
      <c r="D35" s="2">
        <v>17</v>
      </c>
      <c r="E35" s="7">
        <v>137695</v>
      </c>
      <c r="F35" s="7">
        <f t="shared" si="0"/>
        <v>2340815</v>
      </c>
      <c r="G35" s="7">
        <v>644059</v>
      </c>
      <c r="H35" s="7">
        <f t="shared" si="1"/>
        <v>10949003</v>
      </c>
      <c r="I35" s="7">
        <v>0</v>
      </c>
      <c r="J35" s="7">
        <f t="shared" si="2"/>
        <v>0</v>
      </c>
      <c r="K35" s="7">
        <f t="shared" si="3"/>
        <v>781754</v>
      </c>
      <c r="L35" s="7">
        <f t="shared" si="4"/>
        <v>13289818</v>
      </c>
      <c r="M35" s="1" t="s">
        <v>244</v>
      </c>
      <c r="N35" s="4" t="s">
        <v>245</v>
      </c>
      <c r="O35" s="4" t="s">
        <v>22</v>
      </c>
      <c r="P35" s="4" t="s">
        <v>22</v>
      </c>
      <c r="Q35" s="4" t="s">
        <v>27</v>
      </c>
      <c r="R35" s="4" t="s">
        <v>99</v>
      </c>
      <c r="S35" s="4" t="s">
        <v>100</v>
      </c>
      <c r="T35" s="4" t="s">
        <v>100</v>
      </c>
      <c r="AR35" s="4" t="s">
        <v>22</v>
      </c>
      <c r="AS35" s="4" t="s">
        <v>22</v>
      </c>
      <c r="AU35" s="4" t="s">
        <v>246</v>
      </c>
      <c r="AV35">
        <v>20070</v>
      </c>
    </row>
    <row r="36" spans="1:48" ht="3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48" ht="3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48" ht="3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48" ht="3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48" ht="3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48" ht="3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48" ht="3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48" ht="3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48" ht="3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48" ht="3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48" ht="3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48" ht="3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48" ht="3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48" ht="3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48" ht="3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48" ht="30" customHeight="1">
      <c r="A51" s="1" t="s">
        <v>62</v>
      </c>
      <c r="B51" s="2"/>
      <c r="C51" s="2"/>
      <c r="D51" s="2"/>
      <c r="E51" s="2"/>
      <c r="F51" s="7">
        <f>SUM(F5:F50)</f>
        <v>161956615</v>
      </c>
      <c r="G51" s="2"/>
      <c r="H51" s="7">
        <f>SUM(H5:H50)</f>
        <v>592547622</v>
      </c>
      <c r="I51" s="2"/>
      <c r="J51" s="7">
        <f>SUM(J5:J50)</f>
        <v>10430435</v>
      </c>
      <c r="K51" s="2"/>
      <c r="L51" s="7">
        <f>SUM(L5:L50)</f>
        <v>764934672</v>
      </c>
      <c r="M51" s="2"/>
      <c r="N51" t="s">
        <v>247</v>
      </c>
    </row>
    <row r="52" spans="1:48" ht="30" customHeight="1">
      <c r="A52" s="1" t="s">
        <v>28</v>
      </c>
      <c r="B52" s="1" t="s">
        <v>22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Q52" s="4" t="s">
        <v>29</v>
      </c>
    </row>
    <row r="53" spans="1:48" ht="30" customHeight="1">
      <c r="A53" s="1" t="s">
        <v>94</v>
      </c>
      <c r="B53" s="1" t="s">
        <v>95</v>
      </c>
      <c r="C53" s="1" t="s">
        <v>96</v>
      </c>
      <c r="D53" s="2">
        <v>191</v>
      </c>
      <c r="E53" s="7">
        <v>925</v>
      </c>
      <c r="F53" s="7">
        <f t="shared" ref="F53:F73" si="5">TRUNC(E53*D53, 0)</f>
        <v>176675</v>
      </c>
      <c r="G53" s="7">
        <v>12786</v>
      </c>
      <c r="H53" s="7">
        <f t="shared" ref="H53:H73" si="6">TRUNC(G53*D53, 0)</f>
        <v>2442126</v>
      </c>
      <c r="I53" s="7">
        <v>0</v>
      </c>
      <c r="J53" s="7">
        <f t="shared" ref="J53:J73" si="7">TRUNC(I53*D53, 0)</f>
        <v>0</v>
      </c>
      <c r="K53" s="7">
        <f t="shared" ref="K53:K73" si="8">TRUNC(E53+G53+I53, 0)</f>
        <v>13711</v>
      </c>
      <c r="L53" s="7">
        <f t="shared" ref="L53:L73" si="9">TRUNC(F53+H53+J53, 0)</f>
        <v>2618801</v>
      </c>
      <c r="M53" s="1" t="s">
        <v>97</v>
      </c>
      <c r="N53" s="4" t="s">
        <v>98</v>
      </c>
      <c r="O53" s="4" t="s">
        <v>22</v>
      </c>
      <c r="P53" s="4" t="s">
        <v>22</v>
      </c>
      <c r="Q53" s="4" t="s">
        <v>29</v>
      </c>
      <c r="R53" s="4" t="s">
        <v>99</v>
      </c>
      <c r="S53" s="4" t="s">
        <v>100</v>
      </c>
      <c r="T53" s="4" t="s">
        <v>100</v>
      </c>
      <c r="AR53" s="4" t="s">
        <v>22</v>
      </c>
      <c r="AS53" s="4" t="s">
        <v>22</v>
      </c>
      <c r="AU53" s="4" t="s">
        <v>248</v>
      </c>
      <c r="AV53">
        <v>19399</v>
      </c>
    </row>
    <row r="54" spans="1:48" ht="30" customHeight="1">
      <c r="A54" s="1" t="s">
        <v>94</v>
      </c>
      <c r="B54" s="1" t="s">
        <v>102</v>
      </c>
      <c r="C54" s="1" t="s">
        <v>96</v>
      </c>
      <c r="D54" s="2">
        <v>733</v>
      </c>
      <c r="E54" s="7">
        <v>1212</v>
      </c>
      <c r="F54" s="7">
        <f t="shared" si="5"/>
        <v>888396</v>
      </c>
      <c r="G54" s="7">
        <v>12786</v>
      </c>
      <c r="H54" s="7">
        <f t="shared" si="6"/>
        <v>9372138</v>
      </c>
      <c r="I54" s="7">
        <v>0</v>
      </c>
      <c r="J54" s="7">
        <f t="shared" si="7"/>
        <v>0</v>
      </c>
      <c r="K54" s="7">
        <f t="shared" si="8"/>
        <v>13998</v>
      </c>
      <c r="L54" s="7">
        <f t="shared" si="9"/>
        <v>10260534</v>
      </c>
      <c r="M54" s="1" t="s">
        <v>103</v>
      </c>
      <c r="N54" s="4" t="s">
        <v>104</v>
      </c>
      <c r="O54" s="4" t="s">
        <v>22</v>
      </c>
      <c r="P54" s="4" t="s">
        <v>22</v>
      </c>
      <c r="Q54" s="4" t="s">
        <v>29</v>
      </c>
      <c r="R54" s="4" t="s">
        <v>99</v>
      </c>
      <c r="S54" s="4" t="s">
        <v>100</v>
      </c>
      <c r="T54" s="4" t="s">
        <v>100</v>
      </c>
      <c r="AR54" s="4" t="s">
        <v>22</v>
      </c>
      <c r="AS54" s="4" t="s">
        <v>22</v>
      </c>
      <c r="AU54" s="4" t="s">
        <v>249</v>
      </c>
      <c r="AV54">
        <v>19371</v>
      </c>
    </row>
    <row r="55" spans="1:48" ht="30" customHeight="1">
      <c r="A55" s="1" t="s">
        <v>114</v>
      </c>
      <c r="B55" s="1" t="s">
        <v>115</v>
      </c>
      <c r="C55" s="1" t="s">
        <v>116</v>
      </c>
      <c r="D55" s="2">
        <v>193</v>
      </c>
      <c r="E55" s="7">
        <v>1278</v>
      </c>
      <c r="F55" s="7">
        <f t="shared" si="5"/>
        <v>246654</v>
      </c>
      <c r="G55" s="7">
        <v>2448</v>
      </c>
      <c r="H55" s="7">
        <f t="shared" si="6"/>
        <v>472464</v>
      </c>
      <c r="I55" s="7">
        <v>0</v>
      </c>
      <c r="J55" s="7">
        <f t="shared" si="7"/>
        <v>0</v>
      </c>
      <c r="K55" s="7">
        <f t="shared" si="8"/>
        <v>3726</v>
      </c>
      <c r="L55" s="7">
        <f t="shared" si="9"/>
        <v>719118</v>
      </c>
      <c r="M55" s="1" t="s">
        <v>117</v>
      </c>
      <c r="N55" s="4" t="s">
        <v>118</v>
      </c>
      <c r="O55" s="4" t="s">
        <v>22</v>
      </c>
      <c r="P55" s="4" t="s">
        <v>22</v>
      </c>
      <c r="Q55" s="4" t="s">
        <v>29</v>
      </c>
      <c r="R55" s="4" t="s">
        <v>99</v>
      </c>
      <c r="S55" s="4" t="s">
        <v>100</v>
      </c>
      <c r="T55" s="4" t="s">
        <v>100</v>
      </c>
      <c r="AR55" s="4" t="s">
        <v>22</v>
      </c>
      <c r="AS55" s="4" t="s">
        <v>22</v>
      </c>
      <c r="AU55" s="4" t="s">
        <v>250</v>
      </c>
      <c r="AV55">
        <v>20305</v>
      </c>
    </row>
    <row r="56" spans="1:48" ht="30" customHeight="1">
      <c r="A56" s="1" t="s">
        <v>120</v>
      </c>
      <c r="B56" s="1" t="s">
        <v>121</v>
      </c>
      <c r="C56" s="1" t="s">
        <v>116</v>
      </c>
      <c r="D56" s="2">
        <v>414</v>
      </c>
      <c r="E56" s="7">
        <v>1020</v>
      </c>
      <c r="F56" s="7">
        <f t="shared" si="5"/>
        <v>422280</v>
      </c>
      <c r="G56" s="7">
        <v>2372</v>
      </c>
      <c r="H56" s="7">
        <f t="shared" si="6"/>
        <v>982008</v>
      </c>
      <c r="I56" s="7">
        <v>0</v>
      </c>
      <c r="J56" s="7">
        <f t="shared" si="7"/>
        <v>0</v>
      </c>
      <c r="K56" s="7">
        <f t="shared" si="8"/>
        <v>3392</v>
      </c>
      <c r="L56" s="7">
        <f t="shared" si="9"/>
        <v>1404288</v>
      </c>
      <c r="M56" s="1" t="s">
        <v>122</v>
      </c>
      <c r="N56" s="4" t="s">
        <v>123</v>
      </c>
      <c r="O56" s="4" t="s">
        <v>22</v>
      </c>
      <c r="P56" s="4" t="s">
        <v>22</v>
      </c>
      <c r="Q56" s="4" t="s">
        <v>29</v>
      </c>
      <c r="R56" s="4" t="s">
        <v>99</v>
      </c>
      <c r="S56" s="4" t="s">
        <v>100</v>
      </c>
      <c r="T56" s="4" t="s">
        <v>100</v>
      </c>
      <c r="AR56" s="4" t="s">
        <v>22</v>
      </c>
      <c r="AS56" s="4" t="s">
        <v>22</v>
      </c>
      <c r="AU56" s="4" t="s">
        <v>251</v>
      </c>
      <c r="AV56">
        <v>19373</v>
      </c>
    </row>
    <row r="57" spans="1:48" ht="30" customHeight="1">
      <c r="A57" s="1" t="s">
        <v>125</v>
      </c>
      <c r="B57" s="1" t="s">
        <v>121</v>
      </c>
      <c r="C57" s="1" t="s">
        <v>116</v>
      </c>
      <c r="D57" s="2">
        <v>2740</v>
      </c>
      <c r="E57" s="7">
        <v>1016</v>
      </c>
      <c r="F57" s="7">
        <f t="shared" si="5"/>
        <v>2783840</v>
      </c>
      <c r="G57" s="7">
        <v>2219</v>
      </c>
      <c r="H57" s="7">
        <f t="shared" si="6"/>
        <v>6080060</v>
      </c>
      <c r="I57" s="7">
        <v>0</v>
      </c>
      <c r="J57" s="7">
        <f t="shared" si="7"/>
        <v>0</v>
      </c>
      <c r="K57" s="7">
        <f t="shared" si="8"/>
        <v>3235</v>
      </c>
      <c r="L57" s="7">
        <f t="shared" si="9"/>
        <v>8863900</v>
      </c>
      <c r="M57" s="1" t="s">
        <v>126</v>
      </c>
      <c r="N57" s="4" t="s">
        <v>127</v>
      </c>
      <c r="O57" s="4" t="s">
        <v>22</v>
      </c>
      <c r="P57" s="4" t="s">
        <v>22</v>
      </c>
      <c r="Q57" s="4" t="s">
        <v>29</v>
      </c>
      <c r="R57" s="4" t="s">
        <v>99</v>
      </c>
      <c r="S57" s="4" t="s">
        <v>100</v>
      </c>
      <c r="T57" s="4" t="s">
        <v>100</v>
      </c>
      <c r="AR57" s="4" t="s">
        <v>22</v>
      </c>
      <c r="AS57" s="4" t="s">
        <v>22</v>
      </c>
      <c r="AU57" s="4" t="s">
        <v>252</v>
      </c>
      <c r="AV57">
        <v>19374</v>
      </c>
    </row>
    <row r="58" spans="1:48" ht="30" customHeight="1">
      <c r="A58" s="1" t="s">
        <v>120</v>
      </c>
      <c r="B58" s="1" t="s">
        <v>253</v>
      </c>
      <c r="C58" s="1" t="s">
        <v>116</v>
      </c>
      <c r="D58" s="2">
        <v>108</v>
      </c>
      <c r="E58" s="7">
        <v>2431</v>
      </c>
      <c r="F58" s="7">
        <f t="shared" si="5"/>
        <v>262548</v>
      </c>
      <c r="G58" s="7">
        <v>2716</v>
      </c>
      <c r="H58" s="7">
        <f t="shared" si="6"/>
        <v>293328</v>
      </c>
      <c r="I58" s="7">
        <v>0</v>
      </c>
      <c r="J58" s="7">
        <f t="shared" si="7"/>
        <v>0</v>
      </c>
      <c r="K58" s="7">
        <f t="shared" si="8"/>
        <v>5147</v>
      </c>
      <c r="L58" s="7">
        <f t="shared" si="9"/>
        <v>555876</v>
      </c>
      <c r="M58" s="1" t="s">
        <v>254</v>
      </c>
      <c r="N58" s="4" t="s">
        <v>255</v>
      </c>
      <c r="O58" s="4" t="s">
        <v>22</v>
      </c>
      <c r="P58" s="4" t="s">
        <v>22</v>
      </c>
      <c r="Q58" s="4" t="s">
        <v>29</v>
      </c>
      <c r="R58" s="4" t="s">
        <v>99</v>
      </c>
      <c r="S58" s="4" t="s">
        <v>100</v>
      </c>
      <c r="T58" s="4" t="s">
        <v>100</v>
      </c>
      <c r="AR58" s="4" t="s">
        <v>22</v>
      </c>
      <c r="AS58" s="4" t="s">
        <v>22</v>
      </c>
      <c r="AU58" s="4" t="s">
        <v>256</v>
      </c>
      <c r="AV58">
        <v>20082</v>
      </c>
    </row>
    <row r="59" spans="1:48" ht="30" customHeight="1">
      <c r="A59" s="1" t="s">
        <v>142</v>
      </c>
      <c r="B59" s="1" t="s">
        <v>143</v>
      </c>
      <c r="C59" s="1" t="s">
        <v>116</v>
      </c>
      <c r="D59" s="2">
        <v>892</v>
      </c>
      <c r="E59" s="7">
        <v>836</v>
      </c>
      <c r="F59" s="7">
        <f t="shared" si="5"/>
        <v>745712</v>
      </c>
      <c r="G59" s="7">
        <v>1344</v>
      </c>
      <c r="H59" s="7">
        <f t="shared" si="6"/>
        <v>1198848</v>
      </c>
      <c r="I59" s="7">
        <v>0</v>
      </c>
      <c r="J59" s="7">
        <f t="shared" si="7"/>
        <v>0</v>
      </c>
      <c r="K59" s="7">
        <f t="shared" si="8"/>
        <v>2180</v>
      </c>
      <c r="L59" s="7">
        <f t="shared" si="9"/>
        <v>1944560</v>
      </c>
      <c r="M59" s="1" t="s">
        <v>144</v>
      </c>
      <c r="N59" s="4" t="s">
        <v>145</v>
      </c>
      <c r="O59" s="4" t="s">
        <v>22</v>
      </c>
      <c r="P59" s="4" t="s">
        <v>22</v>
      </c>
      <c r="Q59" s="4" t="s">
        <v>29</v>
      </c>
      <c r="R59" s="4" t="s">
        <v>99</v>
      </c>
      <c r="S59" s="4" t="s">
        <v>100</v>
      </c>
      <c r="T59" s="4" t="s">
        <v>100</v>
      </c>
      <c r="AR59" s="4" t="s">
        <v>22</v>
      </c>
      <c r="AS59" s="4" t="s">
        <v>22</v>
      </c>
      <c r="AU59" s="4" t="s">
        <v>257</v>
      </c>
      <c r="AV59">
        <v>20131</v>
      </c>
    </row>
    <row r="60" spans="1:48" ht="30" customHeight="1">
      <c r="A60" s="1" t="s">
        <v>147</v>
      </c>
      <c r="B60" s="1" t="s">
        <v>148</v>
      </c>
      <c r="C60" s="1" t="s">
        <v>149</v>
      </c>
      <c r="D60" s="2">
        <v>8</v>
      </c>
      <c r="E60" s="7">
        <v>649</v>
      </c>
      <c r="F60" s="7">
        <f t="shared" si="5"/>
        <v>5192</v>
      </c>
      <c r="G60" s="7">
        <v>18159</v>
      </c>
      <c r="H60" s="7">
        <f t="shared" si="6"/>
        <v>145272</v>
      </c>
      <c r="I60" s="7">
        <v>0</v>
      </c>
      <c r="J60" s="7">
        <f t="shared" si="7"/>
        <v>0</v>
      </c>
      <c r="K60" s="7">
        <f t="shared" si="8"/>
        <v>18808</v>
      </c>
      <c r="L60" s="7">
        <f t="shared" si="9"/>
        <v>150464</v>
      </c>
      <c r="M60" s="1" t="s">
        <v>150</v>
      </c>
      <c r="N60" s="4" t="s">
        <v>151</v>
      </c>
      <c r="O60" s="4" t="s">
        <v>22</v>
      </c>
      <c r="P60" s="4" t="s">
        <v>22</v>
      </c>
      <c r="Q60" s="4" t="s">
        <v>29</v>
      </c>
      <c r="R60" s="4" t="s">
        <v>99</v>
      </c>
      <c r="S60" s="4" t="s">
        <v>100</v>
      </c>
      <c r="T60" s="4" t="s">
        <v>100</v>
      </c>
      <c r="AR60" s="4" t="s">
        <v>22</v>
      </c>
      <c r="AS60" s="4" t="s">
        <v>22</v>
      </c>
      <c r="AU60" s="4" t="s">
        <v>258</v>
      </c>
      <c r="AV60">
        <v>19378</v>
      </c>
    </row>
    <row r="61" spans="1:48" ht="30" customHeight="1">
      <c r="A61" s="1" t="s">
        <v>259</v>
      </c>
      <c r="B61" s="1" t="s">
        <v>260</v>
      </c>
      <c r="C61" s="1" t="s">
        <v>155</v>
      </c>
      <c r="D61" s="2">
        <v>35</v>
      </c>
      <c r="E61" s="7">
        <v>5832</v>
      </c>
      <c r="F61" s="7">
        <f t="shared" si="5"/>
        <v>204120</v>
      </c>
      <c r="G61" s="7">
        <v>103525</v>
      </c>
      <c r="H61" s="7">
        <f t="shared" si="6"/>
        <v>3623375</v>
      </c>
      <c r="I61" s="7">
        <v>6319</v>
      </c>
      <c r="J61" s="7">
        <f t="shared" si="7"/>
        <v>221165</v>
      </c>
      <c r="K61" s="7">
        <f t="shared" si="8"/>
        <v>115676</v>
      </c>
      <c r="L61" s="7">
        <f t="shared" si="9"/>
        <v>4048660</v>
      </c>
      <c r="M61" s="1" t="s">
        <v>261</v>
      </c>
      <c r="N61" s="4" t="s">
        <v>262</v>
      </c>
      <c r="O61" s="4" t="s">
        <v>22</v>
      </c>
      <c r="P61" s="4" t="s">
        <v>22</v>
      </c>
      <c r="Q61" s="4" t="s">
        <v>29</v>
      </c>
      <c r="R61" s="4" t="s">
        <v>99</v>
      </c>
      <c r="S61" s="4" t="s">
        <v>100</v>
      </c>
      <c r="T61" s="4" t="s">
        <v>100</v>
      </c>
      <c r="AR61" s="4" t="s">
        <v>22</v>
      </c>
      <c r="AS61" s="4" t="s">
        <v>22</v>
      </c>
      <c r="AU61" s="4" t="s">
        <v>263</v>
      </c>
      <c r="AV61">
        <v>20072</v>
      </c>
    </row>
    <row r="62" spans="1:48" ht="30" customHeight="1">
      <c r="A62" s="1" t="s">
        <v>264</v>
      </c>
      <c r="B62" s="1" t="s">
        <v>171</v>
      </c>
      <c r="C62" s="1" t="s">
        <v>166</v>
      </c>
      <c r="D62" s="2">
        <v>35</v>
      </c>
      <c r="E62" s="7">
        <v>1230</v>
      </c>
      <c r="F62" s="7">
        <f t="shared" si="5"/>
        <v>43050</v>
      </c>
      <c r="G62" s="7">
        <v>41027</v>
      </c>
      <c r="H62" s="7">
        <f t="shared" si="6"/>
        <v>1435945</v>
      </c>
      <c r="I62" s="7">
        <v>0</v>
      </c>
      <c r="J62" s="7">
        <f t="shared" si="7"/>
        <v>0</v>
      </c>
      <c r="K62" s="7">
        <f t="shared" si="8"/>
        <v>42257</v>
      </c>
      <c r="L62" s="7">
        <f t="shared" si="9"/>
        <v>1478995</v>
      </c>
      <c r="M62" s="1" t="s">
        <v>265</v>
      </c>
      <c r="N62" s="4" t="s">
        <v>266</v>
      </c>
      <c r="O62" s="4" t="s">
        <v>22</v>
      </c>
      <c r="P62" s="4" t="s">
        <v>22</v>
      </c>
      <c r="Q62" s="4" t="s">
        <v>29</v>
      </c>
      <c r="R62" s="4" t="s">
        <v>99</v>
      </c>
      <c r="S62" s="4" t="s">
        <v>100</v>
      </c>
      <c r="T62" s="4" t="s">
        <v>100</v>
      </c>
      <c r="AR62" s="4" t="s">
        <v>22</v>
      </c>
      <c r="AS62" s="4" t="s">
        <v>22</v>
      </c>
      <c r="AU62" s="4" t="s">
        <v>267</v>
      </c>
      <c r="AV62">
        <v>20075</v>
      </c>
    </row>
    <row r="63" spans="1:48" ht="30" customHeight="1">
      <c r="A63" s="1" t="s">
        <v>268</v>
      </c>
      <c r="B63" s="1" t="s">
        <v>185</v>
      </c>
      <c r="C63" s="1" t="s">
        <v>155</v>
      </c>
      <c r="D63" s="2">
        <v>35</v>
      </c>
      <c r="E63" s="7">
        <v>9374</v>
      </c>
      <c r="F63" s="7">
        <f t="shared" si="5"/>
        <v>328090</v>
      </c>
      <c r="G63" s="7">
        <v>74534</v>
      </c>
      <c r="H63" s="7">
        <f t="shared" si="6"/>
        <v>2608690</v>
      </c>
      <c r="I63" s="7">
        <v>11266</v>
      </c>
      <c r="J63" s="7">
        <f t="shared" si="7"/>
        <v>394310</v>
      </c>
      <c r="K63" s="7">
        <f t="shared" si="8"/>
        <v>95174</v>
      </c>
      <c r="L63" s="7">
        <f t="shared" si="9"/>
        <v>3331090</v>
      </c>
      <c r="M63" s="1" t="s">
        <v>269</v>
      </c>
      <c r="N63" s="4" t="s">
        <v>270</v>
      </c>
      <c r="O63" s="4" t="s">
        <v>22</v>
      </c>
      <c r="P63" s="4" t="s">
        <v>22</v>
      </c>
      <c r="Q63" s="4" t="s">
        <v>29</v>
      </c>
      <c r="R63" s="4" t="s">
        <v>99</v>
      </c>
      <c r="S63" s="4" t="s">
        <v>100</v>
      </c>
      <c r="T63" s="4" t="s">
        <v>100</v>
      </c>
      <c r="AR63" s="4" t="s">
        <v>22</v>
      </c>
      <c r="AS63" s="4" t="s">
        <v>22</v>
      </c>
      <c r="AU63" s="4" t="s">
        <v>271</v>
      </c>
      <c r="AV63">
        <v>20454</v>
      </c>
    </row>
    <row r="64" spans="1:48" ht="30" customHeight="1">
      <c r="A64" s="1" t="s">
        <v>194</v>
      </c>
      <c r="B64" s="1" t="s">
        <v>195</v>
      </c>
      <c r="C64" s="1" t="s">
        <v>155</v>
      </c>
      <c r="D64" s="2">
        <v>2</v>
      </c>
      <c r="E64" s="7">
        <v>13726</v>
      </c>
      <c r="F64" s="7">
        <f t="shared" si="5"/>
        <v>27452</v>
      </c>
      <c r="G64" s="7">
        <v>457561</v>
      </c>
      <c r="H64" s="7">
        <f t="shared" si="6"/>
        <v>915122</v>
      </c>
      <c r="I64" s="7">
        <v>0</v>
      </c>
      <c r="J64" s="7">
        <f t="shared" si="7"/>
        <v>0</v>
      </c>
      <c r="K64" s="7">
        <f t="shared" si="8"/>
        <v>471287</v>
      </c>
      <c r="L64" s="7">
        <f t="shared" si="9"/>
        <v>942574</v>
      </c>
      <c r="M64" s="1" t="s">
        <v>196</v>
      </c>
      <c r="N64" s="4" t="s">
        <v>197</v>
      </c>
      <c r="O64" s="4" t="s">
        <v>22</v>
      </c>
      <c r="P64" s="4" t="s">
        <v>22</v>
      </c>
      <c r="Q64" s="4" t="s">
        <v>29</v>
      </c>
      <c r="R64" s="4" t="s">
        <v>99</v>
      </c>
      <c r="S64" s="4" t="s">
        <v>100</v>
      </c>
      <c r="T64" s="4" t="s">
        <v>100</v>
      </c>
      <c r="AR64" s="4" t="s">
        <v>22</v>
      </c>
      <c r="AS64" s="4" t="s">
        <v>22</v>
      </c>
      <c r="AU64" s="4" t="s">
        <v>272</v>
      </c>
      <c r="AV64">
        <v>20329</v>
      </c>
    </row>
    <row r="65" spans="1:48" ht="30" customHeight="1">
      <c r="A65" s="1" t="s">
        <v>199</v>
      </c>
      <c r="B65" s="1" t="s">
        <v>200</v>
      </c>
      <c r="C65" s="1" t="s">
        <v>166</v>
      </c>
      <c r="D65" s="2">
        <v>2</v>
      </c>
      <c r="E65" s="7">
        <v>107385</v>
      </c>
      <c r="F65" s="7">
        <f t="shared" si="5"/>
        <v>214770</v>
      </c>
      <c r="G65" s="7">
        <v>258032</v>
      </c>
      <c r="H65" s="7">
        <f t="shared" si="6"/>
        <v>516064</v>
      </c>
      <c r="I65" s="7">
        <v>12515</v>
      </c>
      <c r="J65" s="7">
        <f t="shared" si="7"/>
        <v>25030</v>
      </c>
      <c r="K65" s="7">
        <f t="shared" si="8"/>
        <v>377932</v>
      </c>
      <c r="L65" s="7">
        <f t="shared" si="9"/>
        <v>755864</v>
      </c>
      <c r="M65" s="1" t="s">
        <v>201</v>
      </c>
      <c r="N65" s="4" t="s">
        <v>202</v>
      </c>
      <c r="O65" s="4" t="s">
        <v>22</v>
      </c>
      <c r="P65" s="4" t="s">
        <v>22</v>
      </c>
      <c r="Q65" s="4" t="s">
        <v>29</v>
      </c>
      <c r="R65" s="4" t="s">
        <v>99</v>
      </c>
      <c r="S65" s="4" t="s">
        <v>100</v>
      </c>
      <c r="T65" s="4" t="s">
        <v>100</v>
      </c>
      <c r="AR65" s="4" t="s">
        <v>22</v>
      </c>
      <c r="AS65" s="4" t="s">
        <v>22</v>
      </c>
      <c r="AU65" s="4" t="s">
        <v>273</v>
      </c>
      <c r="AV65">
        <v>20565</v>
      </c>
    </row>
    <row r="66" spans="1:48" ht="30" customHeight="1">
      <c r="A66" s="1" t="s">
        <v>204</v>
      </c>
      <c r="B66" s="1" t="s">
        <v>205</v>
      </c>
      <c r="C66" s="1" t="s">
        <v>96</v>
      </c>
      <c r="D66" s="2">
        <v>848</v>
      </c>
      <c r="E66" s="7">
        <v>399</v>
      </c>
      <c r="F66" s="7">
        <f t="shared" si="5"/>
        <v>338352</v>
      </c>
      <c r="G66" s="7">
        <v>3839</v>
      </c>
      <c r="H66" s="7">
        <f t="shared" si="6"/>
        <v>3255472</v>
      </c>
      <c r="I66" s="7">
        <v>178</v>
      </c>
      <c r="J66" s="7">
        <f t="shared" si="7"/>
        <v>150944</v>
      </c>
      <c r="K66" s="7">
        <f t="shared" si="8"/>
        <v>4416</v>
      </c>
      <c r="L66" s="7">
        <f t="shared" si="9"/>
        <v>3744768</v>
      </c>
      <c r="M66" s="1" t="s">
        <v>206</v>
      </c>
      <c r="N66" s="4" t="s">
        <v>207</v>
      </c>
      <c r="O66" s="4" t="s">
        <v>22</v>
      </c>
      <c r="P66" s="4" t="s">
        <v>22</v>
      </c>
      <c r="Q66" s="4" t="s">
        <v>29</v>
      </c>
      <c r="R66" s="4" t="s">
        <v>99</v>
      </c>
      <c r="S66" s="4" t="s">
        <v>100</v>
      </c>
      <c r="T66" s="4" t="s">
        <v>100</v>
      </c>
      <c r="AR66" s="4" t="s">
        <v>22</v>
      </c>
      <c r="AS66" s="4" t="s">
        <v>22</v>
      </c>
      <c r="AU66" s="4" t="s">
        <v>274</v>
      </c>
      <c r="AV66">
        <v>19388</v>
      </c>
    </row>
    <row r="67" spans="1:48" ht="30" customHeight="1">
      <c r="A67" s="1" t="s">
        <v>214</v>
      </c>
      <c r="B67" s="1" t="s">
        <v>215</v>
      </c>
      <c r="C67" s="1" t="s">
        <v>155</v>
      </c>
      <c r="D67" s="2">
        <v>2</v>
      </c>
      <c r="E67" s="7">
        <v>291413</v>
      </c>
      <c r="F67" s="7">
        <f t="shared" si="5"/>
        <v>582826</v>
      </c>
      <c r="G67" s="7">
        <v>65550</v>
      </c>
      <c r="H67" s="7">
        <f t="shared" si="6"/>
        <v>131100</v>
      </c>
      <c r="I67" s="7">
        <v>1083</v>
      </c>
      <c r="J67" s="7">
        <f t="shared" si="7"/>
        <v>2166</v>
      </c>
      <c r="K67" s="7">
        <f t="shared" si="8"/>
        <v>358046</v>
      </c>
      <c r="L67" s="7">
        <f t="shared" si="9"/>
        <v>716092</v>
      </c>
      <c r="M67" s="1" t="s">
        <v>216</v>
      </c>
      <c r="N67" s="4" t="s">
        <v>217</v>
      </c>
      <c r="O67" s="4" t="s">
        <v>22</v>
      </c>
      <c r="P67" s="4" t="s">
        <v>22</v>
      </c>
      <c r="Q67" s="4" t="s">
        <v>29</v>
      </c>
      <c r="R67" s="4" t="s">
        <v>99</v>
      </c>
      <c r="S67" s="4" t="s">
        <v>100</v>
      </c>
      <c r="T67" s="4" t="s">
        <v>100</v>
      </c>
      <c r="AR67" s="4" t="s">
        <v>22</v>
      </c>
      <c r="AS67" s="4" t="s">
        <v>22</v>
      </c>
      <c r="AU67" s="4" t="s">
        <v>275</v>
      </c>
      <c r="AV67">
        <v>20140</v>
      </c>
    </row>
    <row r="68" spans="1:48" ht="30" customHeight="1">
      <c r="A68" s="1" t="s">
        <v>219</v>
      </c>
      <c r="B68" s="1" t="s">
        <v>220</v>
      </c>
      <c r="C68" s="1" t="s">
        <v>149</v>
      </c>
      <c r="D68" s="2">
        <v>2</v>
      </c>
      <c r="E68" s="7">
        <v>16041</v>
      </c>
      <c r="F68" s="7">
        <f t="shared" si="5"/>
        <v>32082</v>
      </c>
      <c r="G68" s="7">
        <v>9338</v>
      </c>
      <c r="H68" s="7">
        <f t="shared" si="6"/>
        <v>18676</v>
      </c>
      <c r="I68" s="7">
        <v>0</v>
      </c>
      <c r="J68" s="7">
        <f t="shared" si="7"/>
        <v>0</v>
      </c>
      <c r="K68" s="7">
        <f t="shared" si="8"/>
        <v>25379</v>
      </c>
      <c r="L68" s="7">
        <f t="shared" si="9"/>
        <v>50758</v>
      </c>
      <c r="M68" s="1" t="s">
        <v>221</v>
      </c>
      <c r="N68" s="4" t="s">
        <v>222</v>
      </c>
      <c r="O68" s="4" t="s">
        <v>22</v>
      </c>
      <c r="P68" s="4" t="s">
        <v>22</v>
      </c>
      <c r="Q68" s="4" t="s">
        <v>29</v>
      </c>
      <c r="R68" s="4" t="s">
        <v>99</v>
      </c>
      <c r="S68" s="4" t="s">
        <v>100</v>
      </c>
      <c r="T68" s="4" t="s">
        <v>100</v>
      </c>
      <c r="AR68" s="4" t="s">
        <v>22</v>
      </c>
      <c r="AS68" s="4" t="s">
        <v>22</v>
      </c>
      <c r="AU68" s="4" t="s">
        <v>276</v>
      </c>
      <c r="AV68">
        <v>20077</v>
      </c>
    </row>
    <row r="69" spans="1:48" ht="30" customHeight="1">
      <c r="A69" s="1" t="s">
        <v>277</v>
      </c>
      <c r="B69" s="1" t="s">
        <v>225</v>
      </c>
      <c r="C69" s="1" t="s">
        <v>149</v>
      </c>
      <c r="D69" s="2">
        <v>35</v>
      </c>
      <c r="E69" s="7">
        <v>16041</v>
      </c>
      <c r="F69" s="7">
        <f t="shared" si="5"/>
        <v>561435</v>
      </c>
      <c r="G69" s="7">
        <v>9338</v>
      </c>
      <c r="H69" s="7">
        <f t="shared" si="6"/>
        <v>326830</v>
      </c>
      <c r="I69" s="7">
        <v>0</v>
      </c>
      <c r="J69" s="7">
        <f t="shared" si="7"/>
        <v>0</v>
      </c>
      <c r="K69" s="7">
        <f t="shared" si="8"/>
        <v>25379</v>
      </c>
      <c r="L69" s="7">
        <f t="shared" si="9"/>
        <v>888265</v>
      </c>
      <c r="M69" s="1" t="s">
        <v>278</v>
      </c>
      <c r="N69" s="4" t="s">
        <v>279</v>
      </c>
      <c r="O69" s="4" t="s">
        <v>22</v>
      </c>
      <c r="P69" s="4" t="s">
        <v>22</v>
      </c>
      <c r="Q69" s="4" t="s">
        <v>29</v>
      </c>
      <c r="R69" s="4" t="s">
        <v>99</v>
      </c>
      <c r="S69" s="4" t="s">
        <v>100</v>
      </c>
      <c r="T69" s="4" t="s">
        <v>100</v>
      </c>
      <c r="AR69" s="4" t="s">
        <v>22</v>
      </c>
      <c r="AS69" s="4" t="s">
        <v>22</v>
      </c>
      <c r="AU69" s="4" t="s">
        <v>280</v>
      </c>
      <c r="AV69">
        <v>20479</v>
      </c>
    </row>
    <row r="70" spans="1:48" ht="30" customHeight="1">
      <c r="A70" s="1" t="s">
        <v>229</v>
      </c>
      <c r="B70" s="1" t="s">
        <v>230</v>
      </c>
      <c r="C70" s="1" t="s">
        <v>149</v>
      </c>
      <c r="D70" s="2">
        <v>35</v>
      </c>
      <c r="E70" s="7">
        <v>690</v>
      </c>
      <c r="F70" s="7">
        <f t="shared" si="5"/>
        <v>24150</v>
      </c>
      <c r="G70" s="7">
        <v>23017</v>
      </c>
      <c r="H70" s="7">
        <f t="shared" si="6"/>
        <v>805595</v>
      </c>
      <c r="I70" s="7">
        <v>0</v>
      </c>
      <c r="J70" s="7">
        <f t="shared" si="7"/>
        <v>0</v>
      </c>
      <c r="K70" s="7">
        <f t="shared" si="8"/>
        <v>23707</v>
      </c>
      <c r="L70" s="7">
        <f t="shared" si="9"/>
        <v>829745</v>
      </c>
      <c r="M70" s="1" t="s">
        <v>231</v>
      </c>
      <c r="N70" s="4" t="s">
        <v>232</v>
      </c>
      <c r="O70" s="4" t="s">
        <v>22</v>
      </c>
      <c r="P70" s="4" t="s">
        <v>22</v>
      </c>
      <c r="Q70" s="4" t="s">
        <v>29</v>
      </c>
      <c r="R70" s="4" t="s">
        <v>99</v>
      </c>
      <c r="S70" s="4" t="s">
        <v>100</v>
      </c>
      <c r="T70" s="4" t="s">
        <v>100</v>
      </c>
      <c r="AR70" s="4" t="s">
        <v>22</v>
      </c>
      <c r="AS70" s="4" t="s">
        <v>22</v>
      </c>
      <c r="AU70" s="4" t="s">
        <v>281</v>
      </c>
      <c r="AV70">
        <v>20328</v>
      </c>
    </row>
    <row r="71" spans="1:48" ht="30" customHeight="1">
      <c r="A71" s="1" t="s">
        <v>234</v>
      </c>
      <c r="B71" s="1" t="s">
        <v>235</v>
      </c>
      <c r="C71" s="1" t="s">
        <v>149</v>
      </c>
      <c r="D71" s="2">
        <v>35</v>
      </c>
      <c r="E71" s="7">
        <v>46522</v>
      </c>
      <c r="F71" s="7">
        <f t="shared" si="5"/>
        <v>1628270</v>
      </c>
      <c r="G71" s="7">
        <v>29818</v>
      </c>
      <c r="H71" s="7">
        <f t="shared" si="6"/>
        <v>1043630</v>
      </c>
      <c r="I71" s="7">
        <v>0</v>
      </c>
      <c r="J71" s="7">
        <f t="shared" si="7"/>
        <v>0</v>
      </c>
      <c r="K71" s="7">
        <f t="shared" si="8"/>
        <v>76340</v>
      </c>
      <c r="L71" s="7">
        <f t="shared" si="9"/>
        <v>2671900</v>
      </c>
      <c r="M71" s="1" t="s">
        <v>236</v>
      </c>
      <c r="N71" s="4" t="s">
        <v>237</v>
      </c>
      <c r="O71" s="4" t="s">
        <v>22</v>
      </c>
      <c r="P71" s="4" t="s">
        <v>22</v>
      </c>
      <c r="Q71" s="4" t="s">
        <v>29</v>
      </c>
      <c r="R71" s="4" t="s">
        <v>99</v>
      </c>
      <c r="S71" s="4" t="s">
        <v>100</v>
      </c>
      <c r="T71" s="4" t="s">
        <v>100</v>
      </c>
      <c r="AR71" s="4" t="s">
        <v>22</v>
      </c>
      <c r="AS71" s="4" t="s">
        <v>22</v>
      </c>
      <c r="AU71" s="4" t="s">
        <v>282</v>
      </c>
      <c r="AV71">
        <v>19384</v>
      </c>
    </row>
    <row r="72" spans="1:48" ht="30" customHeight="1">
      <c r="A72" s="1" t="s">
        <v>234</v>
      </c>
      <c r="B72" s="1" t="s">
        <v>239</v>
      </c>
      <c r="C72" s="1" t="s">
        <v>149</v>
      </c>
      <c r="D72" s="2">
        <v>27</v>
      </c>
      <c r="E72" s="7">
        <v>12444</v>
      </c>
      <c r="F72" s="7">
        <f t="shared" si="5"/>
        <v>335988</v>
      </c>
      <c r="G72" s="7">
        <v>0</v>
      </c>
      <c r="H72" s="7">
        <f t="shared" si="6"/>
        <v>0</v>
      </c>
      <c r="I72" s="7">
        <v>0</v>
      </c>
      <c r="J72" s="7">
        <f t="shared" si="7"/>
        <v>0</v>
      </c>
      <c r="K72" s="7">
        <f t="shared" si="8"/>
        <v>12444</v>
      </c>
      <c r="L72" s="7">
        <f t="shared" si="9"/>
        <v>335988</v>
      </c>
      <c r="M72" s="1" t="s">
        <v>22</v>
      </c>
      <c r="N72" s="4" t="s">
        <v>240</v>
      </c>
      <c r="O72" s="4" t="s">
        <v>22</v>
      </c>
      <c r="P72" s="4" t="s">
        <v>22</v>
      </c>
      <c r="Q72" s="4" t="s">
        <v>29</v>
      </c>
      <c r="R72" s="4" t="s">
        <v>100</v>
      </c>
      <c r="S72" s="4" t="s">
        <v>100</v>
      </c>
      <c r="T72" s="4" t="s">
        <v>99</v>
      </c>
      <c r="AR72" s="4" t="s">
        <v>22</v>
      </c>
      <c r="AS72" s="4" t="s">
        <v>22</v>
      </c>
      <c r="AU72" s="4" t="s">
        <v>283</v>
      </c>
      <c r="AV72">
        <v>19385</v>
      </c>
    </row>
    <row r="73" spans="1:48" ht="30" customHeight="1">
      <c r="A73" s="1" t="s">
        <v>242</v>
      </c>
      <c r="B73" s="1" t="s">
        <v>243</v>
      </c>
      <c r="C73" s="1" t="s">
        <v>166</v>
      </c>
      <c r="D73" s="2">
        <v>2</v>
      </c>
      <c r="E73" s="7">
        <v>137695</v>
      </c>
      <c r="F73" s="7">
        <f t="shared" si="5"/>
        <v>275390</v>
      </c>
      <c r="G73" s="7">
        <v>644059</v>
      </c>
      <c r="H73" s="7">
        <f t="shared" si="6"/>
        <v>1288118</v>
      </c>
      <c r="I73" s="7">
        <v>0</v>
      </c>
      <c r="J73" s="7">
        <f t="shared" si="7"/>
        <v>0</v>
      </c>
      <c r="K73" s="7">
        <f t="shared" si="8"/>
        <v>781754</v>
      </c>
      <c r="L73" s="7">
        <f t="shared" si="9"/>
        <v>1563508</v>
      </c>
      <c r="M73" s="1" t="s">
        <v>244</v>
      </c>
      <c r="N73" s="4" t="s">
        <v>245</v>
      </c>
      <c r="O73" s="4" t="s">
        <v>22</v>
      </c>
      <c r="P73" s="4" t="s">
        <v>22</v>
      </c>
      <c r="Q73" s="4" t="s">
        <v>29</v>
      </c>
      <c r="R73" s="4" t="s">
        <v>99</v>
      </c>
      <c r="S73" s="4" t="s">
        <v>100</v>
      </c>
      <c r="T73" s="4" t="s">
        <v>100</v>
      </c>
      <c r="AR73" s="4" t="s">
        <v>22</v>
      </c>
      <c r="AS73" s="4" t="s">
        <v>22</v>
      </c>
      <c r="AU73" s="4" t="s">
        <v>284</v>
      </c>
      <c r="AV73">
        <v>20078</v>
      </c>
    </row>
    <row r="74" spans="1:48" ht="3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48" ht="30" customHeight="1">
      <c r="A75" s="1" t="s">
        <v>62</v>
      </c>
      <c r="B75" s="2"/>
      <c r="C75" s="2"/>
      <c r="D75" s="2"/>
      <c r="E75" s="2"/>
      <c r="F75" s="7">
        <f>SUM(F53:F74)</f>
        <v>10127272</v>
      </c>
      <c r="G75" s="2"/>
      <c r="H75" s="7">
        <f>SUM(H53:H74)</f>
        <v>36954861</v>
      </c>
      <c r="I75" s="2"/>
      <c r="J75" s="7">
        <f>SUM(J53:J74)</f>
        <v>793615</v>
      </c>
      <c r="K75" s="2"/>
      <c r="L75" s="7">
        <f>SUM(L53:L74)</f>
        <v>47875748</v>
      </c>
      <c r="M75" s="2"/>
      <c r="N75" t="s">
        <v>247</v>
      </c>
    </row>
    <row r="76" spans="1:48" ht="30" customHeight="1">
      <c r="A76" s="1" t="s">
        <v>30</v>
      </c>
      <c r="B76" s="1" t="s">
        <v>22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Q76" s="4" t="s">
        <v>31</v>
      </c>
    </row>
    <row r="77" spans="1:48" ht="30" customHeight="1">
      <c r="A77" s="1" t="s">
        <v>94</v>
      </c>
      <c r="B77" s="1" t="s">
        <v>95</v>
      </c>
      <c r="C77" s="1" t="s">
        <v>96</v>
      </c>
      <c r="D77" s="2">
        <v>1695</v>
      </c>
      <c r="E77" s="7">
        <v>925</v>
      </c>
      <c r="F77" s="7">
        <f t="shared" ref="F77:F109" si="10">TRUNC(E77*D77, 0)</f>
        <v>1567875</v>
      </c>
      <c r="G77" s="7">
        <v>12786</v>
      </c>
      <c r="H77" s="7">
        <f t="shared" ref="H77:H109" si="11">TRUNC(G77*D77, 0)</f>
        <v>21672270</v>
      </c>
      <c r="I77" s="7">
        <v>0</v>
      </c>
      <c r="J77" s="7">
        <f t="shared" ref="J77:J109" si="12">TRUNC(I77*D77, 0)</f>
        <v>0</v>
      </c>
      <c r="K77" s="7">
        <f t="shared" ref="K77:K109" si="13">TRUNC(E77+G77+I77, 0)</f>
        <v>13711</v>
      </c>
      <c r="L77" s="7">
        <f t="shared" ref="L77:L109" si="14">TRUNC(F77+H77+J77, 0)</f>
        <v>23240145</v>
      </c>
      <c r="M77" s="1" t="s">
        <v>97</v>
      </c>
      <c r="N77" s="4" t="s">
        <v>98</v>
      </c>
      <c r="O77" s="4" t="s">
        <v>22</v>
      </c>
      <c r="P77" s="4" t="s">
        <v>22</v>
      </c>
      <c r="Q77" s="4" t="s">
        <v>31</v>
      </c>
      <c r="R77" s="4" t="s">
        <v>99</v>
      </c>
      <c r="S77" s="4" t="s">
        <v>100</v>
      </c>
      <c r="T77" s="4" t="s">
        <v>100</v>
      </c>
      <c r="AR77" s="4" t="s">
        <v>22</v>
      </c>
      <c r="AS77" s="4" t="s">
        <v>22</v>
      </c>
      <c r="AU77" s="4" t="s">
        <v>285</v>
      </c>
      <c r="AV77">
        <v>19417</v>
      </c>
    </row>
    <row r="78" spans="1:48" ht="30" customHeight="1">
      <c r="A78" s="1" t="s">
        <v>94</v>
      </c>
      <c r="B78" s="1" t="s">
        <v>102</v>
      </c>
      <c r="C78" s="1" t="s">
        <v>96</v>
      </c>
      <c r="D78" s="2">
        <v>1004</v>
      </c>
      <c r="E78" s="7">
        <v>1212</v>
      </c>
      <c r="F78" s="7">
        <f t="shared" si="10"/>
        <v>1216848</v>
      </c>
      <c r="G78" s="7">
        <v>12786</v>
      </c>
      <c r="H78" s="7">
        <f t="shared" si="11"/>
        <v>12837144</v>
      </c>
      <c r="I78" s="7">
        <v>0</v>
      </c>
      <c r="J78" s="7">
        <f t="shared" si="12"/>
        <v>0</v>
      </c>
      <c r="K78" s="7">
        <f t="shared" si="13"/>
        <v>13998</v>
      </c>
      <c r="L78" s="7">
        <f t="shared" si="14"/>
        <v>14053992</v>
      </c>
      <c r="M78" s="1" t="s">
        <v>103</v>
      </c>
      <c r="N78" s="4" t="s">
        <v>104</v>
      </c>
      <c r="O78" s="4" t="s">
        <v>22</v>
      </c>
      <c r="P78" s="4" t="s">
        <v>22</v>
      </c>
      <c r="Q78" s="4" t="s">
        <v>31</v>
      </c>
      <c r="R78" s="4" t="s">
        <v>99</v>
      </c>
      <c r="S78" s="4" t="s">
        <v>100</v>
      </c>
      <c r="T78" s="4" t="s">
        <v>100</v>
      </c>
      <c r="AR78" s="4" t="s">
        <v>22</v>
      </c>
      <c r="AS78" s="4" t="s">
        <v>22</v>
      </c>
      <c r="AU78" s="4" t="s">
        <v>286</v>
      </c>
      <c r="AV78">
        <v>19207</v>
      </c>
    </row>
    <row r="79" spans="1:48" ht="30" customHeight="1">
      <c r="A79" s="1" t="s">
        <v>94</v>
      </c>
      <c r="B79" s="1" t="s">
        <v>287</v>
      </c>
      <c r="C79" s="1" t="s">
        <v>96</v>
      </c>
      <c r="D79" s="2">
        <v>1287</v>
      </c>
      <c r="E79" s="7">
        <v>1937</v>
      </c>
      <c r="F79" s="7">
        <f t="shared" si="10"/>
        <v>2492919</v>
      </c>
      <c r="G79" s="7">
        <v>14672</v>
      </c>
      <c r="H79" s="7">
        <f t="shared" si="11"/>
        <v>18882864</v>
      </c>
      <c r="I79" s="7">
        <v>0</v>
      </c>
      <c r="J79" s="7">
        <f t="shared" si="12"/>
        <v>0</v>
      </c>
      <c r="K79" s="7">
        <f t="shared" si="13"/>
        <v>16609</v>
      </c>
      <c r="L79" s="7">
        <f t="shared" si="14"/>
        <v>21375783</v>
      </c>
      <c r="M79" s="1" t="s">
        <v>288</v>
      </c>
      <c r="N79" s="4" t="s">
        <v>289</v>
      </c>
      <c r="O79" s="4" t="s">
        <v>22</v>
      </c>
      <c r="P79" s="4" t="s">
        <v>22</v>
      </c>
      <c r="Q79" s="4" t="s">
        <v>31</v>
      </c>
      <c r="R79" s="4" t="s">
        <v>99</v>
      </c>
      <c r="S79" s="4" t="s">
        <v>100</v>
      </c>
      <c r="T79" s="4" t="s">
        <v>100</v>
      </c>
      <c r="AR79" s="4" t="s">
        <v>22</v>
      </c>
      <c r="AS79" s="4" t="s">
        <v>22</v>
      </c>
      <c r="AU79" s="4" t="s">
        <v>290</v>
      </c>
      <c r="AV79">
        <v>19208</v>
      </c>
    </row>
    <row r="80" spans="1:48" ht="30" customHeight="1">
      <c r="A80" s="1" t="s">
        <v>94</v>
      </c>
      <c r="B80" s="1" t="s">
        <v>291</v>
      </c>
      <c r="C80" s="1" t="s">
        <v>96</v>
      </c>
      <c r="D80" s="2">
        <v>52</v>
      </c>
      <c r="E80" s="7">
        <v>3133</v>
      </c>
      <c r="F80" s="7">
        <f t="shared" si="10"/>
        <v>162916</v>
      </c>
      <c r="G80" s="7">
        <v>17044</v>
      </c>
      <c r="H80" s="7">
        <f t="shared" si="11"/>
        <v>886288</v>
      </c>
      <c r="I80" s="7">
        <v>0</v>
      </c>
      <c r="J80" s="7">
        <f t="shared" si="12"/>
        <v>0</v>
      </c>
      <c r="K80" s="7">
        <f t="shared" si="13"/>
        <v>20177</v>
      </c>
      <c r="L80" s="7">
        <f t="shared" si="14"/>
        <v>1049204</v>
      </c>
      <c r="M80" s="1" t="s">
        <v>292</v>
      </c>
      <c r="N80" s="4" t="s">
        <v>293</v>
      </c>
      <c r="O80" s="4" t="s">
        <v>22</v>
      </c>
      <c r="P80" s="4" t="s">
        <v>22</v>
      </c>
      <c r="Q80" s="4" t="s">
        <v>31</v>
      </c>
      <c r="R80" s="4" t="s">
        <v>99</v>
      </c>
      <c r="S80" s="4" t="s">
        <v>100</v>
      </c>
      <c r="T80" s="4" t="s">
        <v>100</v>
      </c>
      <c r="AR80" s="4" t="s">
        <v>22</v>
      </c>
      <c r="AS80" s="4" t="s">
        <v>22</v>
      </c>
      <c r="AU80" s="4" t="s">
        <v>294</v>
      </c>
      <c r="AV80">
        <v>20080</v>
      </c>
    </row>
    <row r="81" spans="1:48" ht="30" customHeight="1">
      <c r="A81" s="1" t="s">
        <v>94</v>
      </c>
      <c r="B81" s="1" t="s">
        <v>295</v>
      </c>
      <c r="C81" s="1" t="s">
        <v>96</v>
      </c>
      <c r="D81" s="2">
        <v>131</v>
      </c>
      <c r="E81" s="7">
        <v>3888</v>
      </c>
      <c r="F81" s="7">
        <f t="shared" si="10"/>
        <v>509328</v>
      </c>
      <c r="G81" s="7">
        <v>19902</v>
      </c>
      <c r="H81" s="7">
        <f t="shared" si="11"/>
        <v>2607162</v>
      </c>
      <c r="I81" s="7">
        <v>0</v>
      </c>
      <c r="J81" s="7">
        <f t="shared" si="12"/>
        <v>0</v>
      </c>
      <c r="K81" s="7">
        <f t="shared" si="13"/>
        <v>23790</v>
      </c>
      <c r="L81" s="7">
        <f t="shared" si="14"/>
        <v>3116490</v>
      </c>
      <c r="M81" s="1" t="s">
        <v>296</v>
      </c>
      <c r="N81" s="4" t="s">
        <v>297</v>
      </c>
      <c r="O81" s="4" t="s">
        <v>22</v>
      </c>
      <c r="P81" s="4" t="s">
        <v>22</v>
      </c>
      <c r="Q81" s="4" t="s">
        <v>31</v>
      </c>
      <c r="R81" s="4" t="s">
        <v>99</v>
      </c>
      <c r="S81" s="4" t="s">
        <v>100</v>
      </c>
      <c r="T81" s="4" t="s">
        <v>100</v>
      </c>
      <c r="AR81" s="4" t="s">
        <v>22</v>
      </c>
      <c r="AS81" s="4" t="s">
        <v>22</v>
      </c>
      <c r="AU81" s="4" t="s">
        <v>298</v>
      </c>
      <c r="AV81">
        <v>19391</v>
      </c>
    </row>
    <row r="82" spans="1:48" ht="30" customHeight="1">
      <c r="A82" s="1" t="s">
        <v>94</v>
      </c>
      <c r="B82" s="1" t="s">
        <v>110</v>
      </c>
      <c r="C82" s="1" t="s">
        <v>96</v>
      </c>
      <c r="D82" s="2">
        <v>1107</v>
      </c>
      <c r="E82" s="7">
        <v>5489</v>
      </c>
      <c r="F82" s="7">
        <f t="shared" si="10"/>
        <v>6076323</v>
      </c>
      <c r="G82" s="7">
        <v>19902</v>
      </c>
      <c r="H82" s="7">
        <f t="shared" si="11"/>
        <v>22031514</v>
      </c>
      <c r="I82" s="7">
        <v>0</v>
      </c>
      <c r="J82" s="7">
        <f t="shared" si="12"/>
        <v>0</v>
      </c>
      <c r="K82" s="7">
        <f t="shared" si="13"/>
        <v>25391</v>
      </c>
      <c r="L82" s="7">
        <f t="shared" si="14"/>
        <v>28107837</v>
      </c>
      <c r="M82" s="1" t="s">
        <v>111</v>
      </c>
      <c r="N82" s="4" t="s">
        <v>112</v>
      </c>
      <c r="O82" s="4" t="s">
        <v>22</v>
      </c>
      <c r="P82" s="4" t="s">
        <v>22</v>
      </c>
      <c r="Q82" s="4" t="s">
        <v>31</v>
      </c>
      <c r="R82" s="4" t="s">
        <v>99</v>
      </c>
      <c r="S82" s="4" t="s">
        <v>100</v>
      </c>
      <c r="T82" s="4" t="s">
        <v>100</v>
      </c>
      <c r="AR82" s="4" t="s">
        <v>22</v>
      </c>
      <c r="AS82" s="4" t="s">
        <v>22</v>
      </c>
      <c r="AU82" s="4" t="s">
        <v>299</v>
      </c>
      <c r="AV82">
        <v>19209</v>
      </c>
    </row>
    <row r="83" spans="1:48" ht="30" customHeight="1">
      <c r="A83" s="1" t="s">
        <v>114</v>
      </c>
      <c r="B83" s="1" t="s">
        <v>115</v>
      </c>
      <c r="C83" s="1" t="s">
        <v>116</v>
      </c>
      <c r="D83" s="2">
        <v>5385</v>
      </c>
      <c r="E83" s="7">
        <v>1278</v>
      </c>
      <c r="F83" s="7">
        <f t="shared" si="10"/>
        <v>6882030</v>
      </c>
      <c r="G83" s="7">
        <v>2448</v>
      </c>
      <c r="H83" s="7">
        <f t="shared" si="11"/>
        <v>13182480</v>
      </c>
      <c r="I83" s="7">
        <v>0</v>
      </c>
      <c r="J83" s="7">
        <f t="shared" si="12"/>
        <v>0</v>
      </c>
      <c r="K83" s="7">
        <f t="shared" si="13"/>
        <v>3726</v>
      </c>
      <c r="L83" s="7">
        <f t="shared" si="14"/>
        <v>20064510</v>
      </c>
      <c r="M83" s="1" t="s">
        <v>117</v>
      </c>
      <c r="N83" s="4" t="s">
        <v>118</v>
      </c>
      <c r="O83" s="4" t="s">
        <v>22</v>
      </c>
      <c r="P83" s="4" t="s">
        <v>22</v>
      </c>
      <c r="Q83" s="4" t="s">
        <v>31</v>
      </c>
      <c r="R83" s="4" t="s">
        <v>99</v>
      </c>
      <c r="S83" s="4" t="s">
        <v>100</v>
      </c>
      <c r="T83" s="4" t="s">
        <v>100</v>
      </c>
      <c r="AR83" s="4" t="s">
        <v>22</v>
      </c>
      <c r="AS83" s="4" t="s">
        <v>22</v>
      </c>
      <c r="AU83" s="4" t="s">
        <v>300</v>
      </c>
      <c r="AV83">
        <v>20308</v>
      </c>
    </row>
    <row r="84" spans="1:48" ht="30" customHeight="1">
      <c r="A84" s="1" t="s">
        <v>301</v>
      </c>
      <c r="B84" s="1" t="s">
        <v>302</v>
      </c>
      <c r="C84" s="1" t="s">
        <v>96</v>
      </c>
      <c r="D84" s="2">
        <v>891</v>
      </c>
      <c r="E84" s="7">
        <v>1959</v>
      </c>
      <c r="F84" s="7">
        <f t="shared" si="10"/>
        <v>1745469</v>
      </c>
      <c r="G84" s="7">
        <v>7852</v>
      </c>
      <c r="H84" s="7">
        <f t="shared" si="11"/>
        <v>6996132</v>
      </c>
      <c r="I84" s="7">
        <v>234</v>
      </c>
      <c r="J84" s="7">
        <f t="shared" si="12"/>
        <v>208494</v>
      </c>
      <c r="K84" s="7">
        <f t="shared" si="13"/>
        <v>10045</v>
      </c>
      <c r="L84" s="7">
        <f t="shared" si="14"/>
        <v>8950095</v>
      </c>
      <c r="M84" s="1" t="s">
        <v>303</v>
      </c>
      <c r="N84" s="4" t="s">
        <v>304</v>
      </c>
      <c r="O84" s="4" t="s">
        <v>22</v>
      </c>
      <c r="P84" s="4" t="s">
        <v>22</v>
      </c>
      <c r="Q84" s="4" t="s">
        <v>31</v>
      </c>
      <c r="R84" s="4" t="s">
        <v>99</v>
      </c>
      <c r="S84" s="4" t="s">
        <v>100</v>
      </c>
      <c r="T84" s="4" t="s">
        <v>100</v>
      </c>
      <c r="AR84" s="4" t="s">
        <v>22</v>
      </c>
      <c r="AS84" s="4" t="s">
        <v>22</v>
      </c>
      <c r="AU84" s="4" t="s">
        <v>305</v>
      </c>
      <c r="AV84">
        <v>20306</v>
      </c>
    </row>
    <row r="85" spans="1:48" ht="30" customHeight="1">
      <c r="A85" s="1" t="s">
        <v>120</v>
      </c>
      <c r="B85" s="1" t="s">
        <v>121</v>
      </c>
      <c r="C85" s="1" t="s">
        <v>116</v>
      </c>
      <c r="D85" s="2">
        <v>2156</v>
      </c>
      <c r="E85" s="7">
        <v>1020</v>
      </c>
      <c r="F85" s="7">
        <f t="shared" si="10"/>
        <v>2199120</v>
      </c>
      <c r="G85" s="7">
        <v>2372</v>
      </c>
      <c r="H85" s="7">
        <f t="shared" si="11"/>
        <v>5114032</v>
      </c>
      <c r="I85" s="7">
        <v>0</v>
      </c>
      <c r="J85" s="7">
        <f t="shared" si="12"/>
        <v>0</v>
      </c>
      <c r="K85" s="7">
        <f t="shared" si="13"/>
        <v>3392</v>
      </c>
      <c r="L85" s="7">
        <f t="shared" si="14"/>
        <v>7313152</v>
      </c>
      <c r="M85" s="1" t="s">
        <v>122</v>
      </c>
      <c r="N85" s="4" t="s">
        <v>123</v>
      </c>
      <c r="O85" s="4" t="s">
        <v>22</v>
      </c>
      <c r="P85" s="4" t="s">
        <v>22</v>
      </c>
      <c r="Q85" s="4" t="s">
        <v>31</v>
      </c>
      <c r="R85" s="4" t="s">
        <v>99</v>
      </c>
      <c r="S85" s="4" t="s">
        <v>100</v>
      </c>
      <c r="T85" s="4" t="s">
        <v>100</v>
      </c>
      <c r="AR85" s="4" t="s">
        <v>22</v>
      </c>
      <c r="AS85" s="4" t="s">
        <v>22</v>
      </c>
      <c r="AU85" s="4" t="s">
        <v>306</v>
      </c>
      <c r="AV85">
        <v>20083</v>
      </c>
    </row>
    <row r="86" spans="1:48" ht="30" customHeight="1">
      <c r="A86" s="1" t="s">
        <v>125</v>
      </c>
      <c r="B86" s="1" t="s">
        <v>121</v>
      </c>
      <c r="C86" s="1" t="s">
        <v>116</v>
      </c>
      <c r="D86" s="2">
        <v>1620</v>
      </c>
      <c r="E86" s="7">
        <v>1016</v>
      </c>
      <c r="F86" s="7">
        <f t="shared" si="10"/>
        <v>1645920</v>
      </c>
      <c r="G86" s="7">
        <v>2219</v>
      </c>
      <c r="H86" s="7">
        <f t="shared" si="11"/>
        <v>3594780</v>
      </c>
      <c r="I86" s="7">
        <v>0</v>
      </c>
      <c r="J86" s="7">
        <f t="shared" si="12"/>
        <v>0</v>
      </c>
      <c r="K86" s="7">
        <f t="shared" si="13"/>
        <v>3235</v>
      </c>
      <c r="L86" s="7">
        <f t="shared" si="14"/>
        <v>5240700</v>
      </c>
      <c r="M86" s="1" t="s">
        <v>126</v>
      </c>
      <c r="N86" s="4" t="s">
        <v>127</v>
      </c>
      <c r="O86" s="4" t="s">
        <v>22</v>
      </c>
      <c r="P86" s="4" t="s">
        <v>22</v>
      </c>
      <c r="Q86" s="4" t="s">
        <v>31</v>
      </c>
      <c r="R86" s="4" t="s">
        <v>99</v>
      </c>
      <c r="S86" s="4" t="s">
        <v>100</v>
      </c>
      <c r="T86" s="4" t="s">
        <v>100</v>
      </c>
      <c r="AR86" s="4" t="s">
        <v>22</v>
      </c>
      <c r="AS86" s="4" t="s">
        <v>22</v>
      </c>
      <c r="AU86" s="4" t="s">
        <v>307</v>
      </c>
      <c r="AV86">
        <v>20307</v>
      </c>
    </row>
    <row r="87" spans="1:48" ht="30" customHeight="1">
      <c r="A87" s="1" t="s">
        <v>133</v>
      </c>
      <c r="B87" s="1" t="s">
        <v>134</v>
      </c>
      <c r="C87" s="1" t="s">
        <v>116</v>
      </c>
      <c r="D87" s="2">
        <v>676</v>
      </c>
      <c r="E87" s="7">
        <v>4964</v>
      </c>
      <c r="F87" s="7">
        <f t="shared" si="10"/>
        <v>3355664</v>
      </c>
      <c r="G87" s="7">
        <v>4209</v>
      </c>
      <c r="H87" s="7">
        <f t="shared" si="11"/>
        <v>2845284</v>
      </c>
      <c r="I87" s="7">
        <v>0</v>
      </c>
      <c r="J87" s="7">
        <f t="shared" si="12"/>
        <v>0</v>
      </c>
      <c r="K87" s="7">
        <f t="shared" si="13"/>
        <v>9173</v>
      </c>
      <c r="L87" s="7">
        <f t="shared" si="14"/>
        <v>6200948</v>
      </c>
      <c r="M87" s="1" t="s">
        <v>135</v>
      </c>
      <c r="N87" s="4" t="s">
        <v>136</v>
      </c>
      <c r="O87" s="4" t="s">
        <v>22</v>
      </c>
      <c r="P87" s="4" t="s">
        <v>22</v>
      </c>
      <c r="Q87" s="4" t="s">
        <v>31</v>
      </c>
      <c r="R87" s="4" t="s">
        <v>99</v>
      </c>
      <c r="S87" s="4" t="s">
        <v>100</v>
      </c>
      <c r="T87" s="4" t="s">
        <v>100</v>
      </c>
      <c r="AR87" s="4" t="s">
        <v>22</v>
      </c>
      <c r="AS87" s="4" t="s">
        <v>22</v>
      </c>
      <c r="AU87" s="4" t="s">
        <v>308</v>
      </c>
      <c r="AV87">
        <v>20595</v>
      </c>
    </row>
    <row r="88" spans="1:48" ht="30" customHeight="1">
      <c r="A88" s="1" t="s">
        <v>309</v>
      </c>
      <c r="B88" s="1" t="s">
        <v>310</v>
      </c>
      <c r="C88" s="1" t="s">
        <v>96</v>
      </c>
      <c r="D88" s="2">
        <v>676</v>
      </c>
      <c r="E88" s="7">
        <v>419</v>
      </c>
      <c r="F88" s="7">
        <f t="shared" si="10"/>
        <v>283244</v>
      </c>
      <c r="G88" s="7">
        <v>5163</v>
      </c>
      <c r="H88" s="7">
        <f t="shared" si="11"/>
        <v>3490188</v>
      </c>
      <c r="I88" s="7">
        <v>0</v>
      </c>
      <c r="J88" s="7">
        <f t="shared" si="12"/>
        <v>0</v>
      </c>
      <c r="K88" s="7">
        <f t="shared" si="13"/>
        <v>5582</v>
      </c>
      <c r="L88" s="7">
        <f t="shared" si="14"/>
        <v>3773432</v>
      </c>
      <c r="M88" s="1" t="s">
        <v>311</v>
      </c>
      <c r="N88" s="4" t="s">
        <v>312</v>
      </c>
      <c r="O88" s="4" t="s">
        <v>22</v>
      </c>
      <c r="P88" s="4" t="s">
        <v>22</v>
      </c>
      <c r="Q88" s="4" t="s">
        <v>31</v>
      </c>
      <c r="R88" s="4" t="s">
        <v>99</v>
      </c>
      <c r="S88" s="4" t="s">
        <v>100</v>
      </c>
      <c r="T88" s="4" t="s">
        <v>100</v>
      </c>
      <c r="AR88" s="4" t="s">
        <v>22</v>
      </c>
      <c r="AS88" s="4" t="s">
        <v>22</v>
      </c>
      <c r="AU88" s="4" t="s">
        <v>313</v>
      </c>
      <c r="AV88">
        <v>19415</v>
      </c>
    </row>
    <row r="89" spans="1:48" ht="30" customHeight="1">
      <c r="A89" s="1" t="s">
        <v>142</v>
      </c>
      <c r="B89" s="1" t="s">
        <v>143</v>
      </c>
      <c r="C89" s="1" t="s">
        <v>116</v>
      </c>
      <c r="D89" s="2">
        <v>1470</v>
      </c>
      <c r="E89" s="7">
        <v>836</v>
      </c>
      <c r="F89" s="7">
        <f t="shared" si="10"/>
        <v>1228920</v>
      </c>
      <c r="G89" s="7">
        <v>1344</v>
      </c>
      <c r="H89" s="7">
        <f t="shared" si="11"/>
        <v>1975680</v>
      </c>
      <c r="I89" s="7">
        <v>0</v>
      </c>
      <c r="J89" s="7">
        <f t="shared" si="12"/>
        <v>0</v>
      </c>
      <c r="K89" s="7">
        <f t="shared" si="13"/>
        <v>2180</v>
      </c>
      <c r="L89" s="7">
        <f t="shared" si="14"/>
        <v>3204600</v>
      </c>
      <c r="M89" s="1" t="s">
        <v>144</v>
      </c>
      <c r="N89" s="4" t="s">
        <v>145</v>
      </c>
      <c r="O89" s="4" t="s">
        <v>22</v>
      </c>
      <c r="P89" s="4" t="s">
        <v>22</v>
      </c>
      <c r="Q89" s="4" t="s">
        <v>31</v>
      </c>
      <c r="R89" s="4" t="s">
        <v>99</v>
      </c>
      <c r="S89" s="4" t="s">
        <v>100</v>
      </c>
      <c r="T89" s="4" t="s">
        <v>100</v>
      </c>
      <c r="AR89" s="4" t="s">
        <v>22</v>
      </c>
      <c r="AS89" s="4" t="s">
        <v>22</v>
      </c>
      <c r="AU89" s="4" t="s">
        <v>314</v>
      </c>
      <c r="AV89">
        <v>20132</v>
      </c>
    </row>
    <row r="90" spans="1:48" ht="30" customHeight="1">
      <c r="A90" s="1" t="s">
        <v>204</v>
      </c>
      <c r="B90" s="1" t="s">
        <v>205</v>
      </c>
      <c r="C90" s="1" t="s">
        <v>96</v>
      </c>
      <c r="D90" s="2">
        <v>1968</v>
      </c>
      <c r="E90" s="7">
        <v>399</v>
      </c>
      <c r="F90" s="7">
        <f t="shared" si="10"/>
        <v>785232</v>
      </c>
      <c r="G90" s="7">
        <v>3839</v>
      </c>
      <c r="H90" s="7">
        <f t="shared" si="11"/>
        <v>7555152</v>
      </c>
      <c r="I90" s="7">
        <v>178</v>
      </c>
      <c r="J90" s="7">
        <f t="shared" si="12"/>
        <v>350304</v>
      </c>
      <c r="K90" s="7">
        <f t="shared" si="13"/>
        <v>4416</v>
      </c>
      <c r="L90" s="7">
        <f t="shared" si="14"/>
        <v>8690688</v>
      </c>
      <c r="M90" s="1" t="s">
        <v>206</v>
      </c>
      <c r="N90" s="4" t="s">
        <v>207</v>
      </c>
      <c r="O90" s="4" t="s">
        <v>22</v>
      </c>
      <c r="P90" s="4" t="s">
        <v>22</v>
      </c>
      <c r="Q90" s="4" t="s">
        <v>31</v>
      </c>
      <c r="R90" s="4" t="s">
        <v>99</v>
      </c>
      <c r="S90" s="4" t="s">
        <v>100</v>
      </c>
      <c r="T90" s="4" t="s">
        <v>100</v>
      </c>
      <c r="AR90" s="4" t="s">
        <v>22</v>
      </c>
      <c r="AS90" s="4" t="s">
        <v>22</v>
      </c>
      <c r="AU90" s="4" t="s">
        <v>315</v>
      </c>
      <c r="AV90">
        <v>13696</v>
      </c>
    </row>
    <row r="91" spans="1:48" ht="30" customHeight="1">
      <c r="A91" s="1" t="s">
        <v>209</v>
      </c>
      <c r="B91" s="1" t="s">
        <v>210</v>
      </c>
      <c r="C91" s="1" t="s">
        <v>96</v>
      </c>
      <c r="D91" s="2">
        <v>1013</v>
      </c>
      <c r="E91" s="7">
        <v>482</v>
      </c>
      <c r="F91" s="7">
        <f t="shared" si="10"/>
        <v>488266</v>
      </c>
      <c r="G91" s="7">
        <v>5441</v>
      </c>
      <c r="H91" s="7">
        <f t="shared" si="11"/>
        <v>5511733</v>
      </c>
      <c r="I91" s="7">
        <v>258</v>
      </c>
      <c r="J91" s="7">
        <f t="shared" si="12"/>
        <v>261354</v>
      </c>
      <c r="K91" s="7">
        <f t="shared" si="13"/>
        <v>6181</v>
      </c>
      <c r="L91" s="7">
        <f t="shared" si="14"/>
        <v>6261353</v>
      </c>
      <c r="M91" s="1" t="s">
        <v>211</v>
      </c>
      <c r="N91" s="4" t="s">
        <v>212</v>
      </c>
      <c r="O91" s="4" t="s">
        <v>22</v>
      </c>
      <c r="P91" s="4" t="s">
        <v>22</v>
      </c>
      <c r="Q91" s="4" t="s">
        <v>31</v>
      </c>
      <c r="R91" s="4" t="s">
        <v>99</v>
      </c>
      <c r="S91" s="4" t="s">
        <v>100</v>
      </c>
      <c r="T91" s="4" t="s">
        <v>100</v>
      </c>
      <c r="AR91" s="4" t="s">
        <v>22</v>
      </c>
      <c r="AS91" s="4" t="s">
        <v>22</v>
      </c>
      <c r="AU91" s="4" t="s">
        <v>316</v>
      </c>
      <c r="AV91">
        <v>13697</v>
      </c>
    </row>
    <row r="92" spans="1:48" ht="30" customHeight="1">
      <c r="A92" s="1" t="s">
        <v>317</v>
      </c>
      <c r="B92" s="1" t="s">
        <v>318</v>
      </c>
      <c r="C92" s="1" t="s">
        <v>319</v>
      </c>
      <c r="D92" s="2">
        <v>1</v>
      </c>
      <c r="E92" s="7">
        <v>11367</v>
      </c>
      <c r="F92" s="7">
        <f t="shared" si="10"/>
        <v>11367</v>
      </c>
      <c r="G92" s="7">
        <v>378909</v>
      </c>
      <c r="H92" s="7">
        <f t="shared" si="11"/>
        <v>378909</v>
      </c>
      <c r="I92" s="7">
        <v>0</v>
      </c>
      <c r="J92" s="7">
        <f t="shared" si="12"/>
        <v>0</v>
      </c>
      <c r="K92" s="7">
        <f t="shared" si="13"/>
        <v>390276</v>
      </c>
      <c r="L92" s="7">
        <f t="shared" si="14"/>
        <v>390276</v>
      </c>
      <c r="M92" s="1" t="s">
        <v>320</v>
      </c>
      <c r="N92" s="4" t="s">
        <v>321</v>
      </c>
      <c r="O92" s="4" t="s">
        <v>22</v>
      </c>
      <c r="P92" s="4" t="s">
        <v>22</v>
      </c>
      <c r="Q92" s="4" t="s">
        <v>31</v>
      </c>
      <c r="R92" s="4" t="s">
        <v>99</v>
      </c>
      <c r="S92" s="4" t="s">
        <v>100</v>
      </c>
      <c r="T92" s="4" t="s">
        <v>100</v>
      </c>
      <c r="AR92" s="4" t="s">
        <v>22</v>
      </c>
      <c r="AS92" s="4" t="s">
        <v>22</v>
      </c>
      <c r="AU92" s="4" t="s">
        <v>322</v>
      </c>
      <c r="AV92">
        <v>20596</v>
      </c>
    </row>
    <row r="93" spans="1:48" ht="30" customHeight="1">
      <c r="A93" s="1" t="s">
        <v>323</v>
      </c>
      <c r="B93" s="1" t="s">
        <v>324</v>
      </c>
      <c r="C93" s="1" t="s">
        <v>319</v>
      </c>
      <c r="D93" s="2">
        <v>66</v>
      </c>
      <c r="E93" s="7">
        <v>62415</v>
      </c>
      <c r="F93" s="7">
        <f t="shared" si="10"/>
        <v>4119390</v>
      </c>
      <c r="G93" s="7">
        <v>533904</v>
      </c>
      <c r="H93" s="7">
        <f t="shared" si="11"/>
        <v>35237664</v>
      </c>
      <c r="I93" s="7">
        <v>99982</v>
      </c>
      <c r="J93" s="7">
        <f t="shared" si="12"/>
        <v>6598812</v>
      </c>
      <c r="K93" s="7">
        <f t="shared" si="13"/>
        <v>696301</v>
      </c>
      <c r="L93" s="7">
        <f t="shared" si="14"/>
        <v>45955866</v>
      </c>
      <c r="M93" s="1" t="s">
        <v>325</v>
      </c>
      <c r="N93" s="4" t="s">
        <v>326</v>
      </c>
      <c r="O93" s="4" t="s">
        <v>22</v>
      </c>
      <c r="P93" s="4" t="s">
        <v>22</v>
      </c>
      <c r="Q93" s="4" t="s">
        <v>31</v>
      </c>
      <c r="R93" s="4" t="s">
        <v>99</v>
      </c>
      <c r="S93" s="4" t="s">
        <v>100</v>
      </c>
      <c r="T93" s="4" t="s">
        <v>100</v>
      </c>
      <c r="AR93" s="4" t="s">
        <v>22</v>
      </c>
      <c r="AS93" s="4" t="s">
        <v>22</v>
      </c>
      <c r="AU93" s="4" t="s">
        <v>327</v>
      </c>
      <c r="AV93">
        <v>20142</v>
      </c>
    </row>
    <row r="94" spans="1:48" ht="30" customHeight="1">
      <c r="A94" s="1" t="s">
        <v>323</v>
      </c>
      <c r="B94" s="1" t="s">
        <v>328</v>
      </c>
      <c r="C94" s="1" t="s">
        <v>319</v>
      </c>
      <c r="D94" s="2">
        <v>12</v>
      </c>
      <c r="E94" s="7">
        <v>65335</v>
      </c>
      <c r="F94" s="7">
        <f t="shared" si="10"/>
        <v>784020</v>
      </c>
      <c r="G94" s="7">
        <v>533904</v>
      </c>
      <c r="H94" s="7">
        <f t="shared" si="11"/>
        <v>6406848</v>
      </c>
      <c r="I94" s="7">
        <v>99982</v>
      </c>
      <c r="J94" s="7">
        <f t="shared" si="12"/>
        <v>1199784</v>
      </c>
      <c r="K94" s="7">
        <f t="shared" si="13"/>
        <v>699221</v>
      </c>
      <c r="L94" s="7">
        <f t="shared" si="14"/>
        <v>8390652</v>
      </c>
      <c r="M94" s="1" t="s">
        <v>329</v>
      </c>
      <c r="N94" s="4" t="s">
        <v>330</v>
      </c>
      <c r="O94" s="4" t="s">
        <v>22</v>
      </c>
      <c r="P94" s="4" t="s">
        <v>22</v>
      </c>
      <c r="Q94" s="4" t="s">
        <v>31</v>
      </c>
      <c r="R94" s="4" t="s">
        <v>99</v>
      </c>
      <c r="S94" s="4" t="s">
        <v>100</v>
      </c>
      <c r="T94" s="4" t="s">
        <v>100</v>
      </c>
      <c r="AR94" s="4" t="s">
        <v>22</v>
      </c>
      <c r="AS94" s="4" t="s">
        <v>22</v>
      </c>
      <c r="AU94" s="4" t="s">
        <v>331</v>
      </c>
      <c r="AV94">
        <v>20309</v>
      </c>
    </row>
    <row r="95" spans="1:48" ht="30" customHeight="1">
      <c r="A95" s="1" t="s">
        <v>323</v>
      </c>
      <c r="B95" s="1" t="s">
        <v>332</v>
      </c>
      <c r="C95" s="1" t="s">
        <v>319</v>
      </c>
      <c r="D95" s="2">
        <v>2</v>
      </c>
      <c r="E95" s="7">
        <v>70192</v>
      </c>
      <c r="F95" s="7">
        <f t="shared" si="10"/>
        <v>140384</v>
      </c>
      <c r="G95" s="7">
        <v>598447</v>
      </c>
      <c r="H95" s="7">
        <f t="shared" si="11"/>
        <v>1196894</v>
      </c>
      <c r="I95" s="7">
        <v>99982</v>
      </c>
      <c r="J95" s="7">
        <f t="shared" si="12"/>
        <v>199964</v>
      </c>
      <c r="K95" s="7">
        <f t="shared" si="13"/>
        <v>768621</v>
      </c>
      <c r="L95" s="7">
        <f t="shared" si="14"/>
        <v>1537242</v>
      </c>
      <c r="M95" s="1" t="s">
        <v>333</v>
      </c>
      <c r="N95" s="4" t="s">
        <v>334</v>
      </c>
      <c r="O95" s="4" t="s">
        <v>22</v>
      </c>
      <c r="P95" s="4" t="s">
        <v>22</v>
      </c>
      <c r="Q95" s="4" t="s">
        <v>31</v>
      </c>
      <c r="R95" s="4" t="s">
        <v>99</v>
      </c>
      <c r="S95" s="4" t="s">
        <v>100</v>
      </c>
      <c r="T95" s="4" t="s">
        <v>100</v>
      </c>
      <c r="AR95" s="4" t="s">
        <v>22</v>
      </c>
      <c r="AS95" s="4" t="s">
        <v>22</v>
      </c>
      <c r="AU95" s="4" t="s">
        <v>335</v>
      </c>
      <c r="AV95">
        <v>20598</v>
      </c>
    </row>
    <row r="96" spans="1:48" ht="30" customHeight="1">
      <c r="A96" s="1" t="s">
        <v>336</v>
      </c>
      <c r="B96" s="1" t="s">
        <v>337</v>
      </c>
      <c r="C96" s="1" t="s">
        <v>166</v>
      </c>
      <c r="D96" s="2">
        <v>1</v>
      </c>
      <c r="E96" s="7">
        <v>247628</v>
      </c>
      <c r="F96" s="7">
        <f t="shared" si="10"/>
        <v>247628</v>
      </c>
      <c r="G96" s="7">
        <v>204801</v>
      </c>
      <c r="H96" s="7">
        <f t="shared" si="11"/>
        <v>204801</v>
      </c>
      <c r="I96" s="7">
        <v>783</v>
      </c>
      <c r="J96" s="7">
        <f t="shared" si="12"/>
        <v>783</v>
      </c>
      <c r="K96" s="7">
        <f t="shared" si="13"/>
        <v>453212</v>
      </c>
      <c r="L96" s="7">
        <f t="shared" si="14"/>
        <v>453212</v>
      </c>
      <c r="M96" s="1" t="s">
        <v>338</v>
      </c>
      <c r="N96" s="4" t="s">
        <v>339</v>
      </c>
      <c r="O96" s="4" t="s">
        <v>22</v>
      </c>
      <c r="P96" s="4" t="s">
        <v>22</v>
      </c>
      <c r="Q96" s="4" t="s">
        <v>31</v>
      </c>
      <c r="R96" s="4" t="s">
        <v>99</v>
      </c>
      <c r="S96" s="4" t="s">
        <v>100</v>
      </c>
      <c r="T96" s="4" t="s">
        <v>100</v>
      </c>
      <c r="AR96" s="4" t="s">
        <v>22</v>
      </c>
      <c r="AS96" s="4" t="s">
        <v>22</v>
      </c>
      <c r="AU96" s="4" t="s">
        <v>340</v>
      </c>
      <c r="AV96">
        <v>20597</v>
      </c>
    </row>
    <row r="97" spans="1:48" ht="30" customHeight="1">
      <c r="A97" s="1" t="s">
        <v>341</v>
      </c>
      <c r="B97" s="1" t="s">
        <v>342</v>
      </c>
      <c r="C97" s="1" t="s">
        <v>166</v>
      </c>
      <c r="D97" s="2">
        <v>80</v>
      </c>
      <c r="E97" s="7">
        <v>672871</v>
      </c>
      <c r="F97" s="7">
        <f t="shared" si="10"/>
        <v>53829680</v>
      </c>
      <c r="G97" s="7">
        <v>577430</v>
      </c>
      <c r="H97" s="7">
        <f t="shared" si="11"/>
        <v>46194400</v>
      </c>
      <c r="I97" s="7">
        <v>3701</v>
      </c>
      <c r="J97" s="7">
        <f t="shared" si="12"/>
        <v>296080</v>
      </c>
      <c r="K97" s="7">
        <f t="shared" si="13"/>
        <v>1254002</v>
      </c>
      <c r="L97" s="7">
        <f t="shared" si="14"/>
        <v>100320160</v>
      </c>
      <c r="M97" s="1" t="s">
        <v>343</v>
      </c>
      <c r="N97" s="4" t="s">
        <v>344</v>
      </c>
      <c r="O97" s="4" t="s">
        <v>22</v>
      </c>
      <c r="P97" s="4" t="s">
        <v>22</v>
      </c>
      <c r="Q97" s="4" t="s">
        <v>31</v>
      </c>
      <c r="R97" s="4" t="s">
        <v>99</v>
      </c>
      <c r="S97" s="4" t="s">
        <v>100</v>
      </c>
      <c r="T97" s="4" t="s">
        <v>100</v>
      </c>
      <c r="AR97" s="4" t="s">
        <v>22</v>
      </c>
      <c r="AS97" s="4" t="s">
        <v>22</v>
      </c>
      <c r="AU97" s="4" t="s">
        <v>345</v>
      </c>
      <c r="AV97">
        <v>20093</v>
      </c>
    </row>
    <row r="98" spans="1:48" ht="30" customHeight="1">
      <c r="A98" s="1" t="s">
        <v>346</v>
      </c>
      <c r="B98" s="1" t="s">
        <v>347</v>
      </c>
      <c r="C98" s="1" t="s">
        <v>319</v>
      </c>
      <c r="D98" s="2">
        <v>36</v>
      </c>
      <c r="E98" s="7">
        <v>38384</v>
      </c>
      <c r="F98" s="7">
        <f t="shared" si="10"/>
        <v>1381824</v>
      </c>
      <c r="G98" s="7">
        <v>311648</v>
      </c>
      <c r="H98" s="7">
        <f t="shared" si="11"/>
        <v>11219328</v>
      </c>
      <c r="I98" s="7">
        <v>0</v>
      </c>
      <c r="J98" s="7">
        <f t="shared" si="12"/>
        <v>0</v>
      </c>
      <c r="K98" s="7">
        <f t="shared" si="13"/>
        <v>350032</v>
      </c>
      <c r="L98" s="7">
        <f t="shared" si="14"/>
        <v>12601152</v>
      </c>
      <c r="M98" s="1" t="s">
        <v>348</v>
      </c>
      <c r="N98" s="4" t="s">
        <v>349</v>
      </c>
      <c r="O98" s="4" t="s">
        <v>22</v>
      </c>
      <c r="P98" s="4" t="s">
        <v>22</v>
      </c>
      <c r="Q98" s="4" t="s">
        <v>31</v>
      </c>
      <c r="R98" s="4" t="s">
        <v>99</v>
      </c>
      <c r="S98" s="4" t="s">
        <v>100</v>
      </c>
      <c r="T98" s="4" t="s">
        <v>100</v>
      </c>
      <c r="AR98" s="4" t="s">
        <v>22</v>
      </c>
      <c r="AS98" s="4" t="s">
        <v>22</v>
      </c>
      <c r="AU98" s="4" t="s">
        <v>350</v>
      </c>
      <c r="AV98">
        <v>13708</v>
      </c>
    </row>
    <row r="99" spans="1:48" ht="30" customHeight="1">
      <c r="A99" s="1" t="s">
        <v>346</v>
      </c>
      <c r="B99" s="1" t="s">
        <v>351</v>
      </c>
      <c r="C99" s="1" t="s">
        <v>319</v>
      </c>
      <c r="D99" s="2">
        <v>46</v>
      </c>
      <c r="E99" s="7">
        <v>38384</v>
      </c>
      <c r="F99" s="7">
        <f t="shared" si="10"/>
        <v>1765664</v>
      </c>
      <c r="G99" s="7">
        <v>311648</v>
      </c>
      <c r="H99" s="7">
        <f t="shared" si="11"/>
        <v>14335808</v>
      </c>
      <c r="I99" s="7">
        <v>0</v>
      </c>
      <c r="J99" s="7">
        <f t="shared" si="12"/>
        <v>0</v>
      </c>
      <c r="K99" s="7">
        <f t="shared" si="13"/>
        <v>350032</v>
      </c>
      <c r="L99" s="7">
        <f t="shared" si="14"/>
        <v>16101472</v>
      </c>
      <c r="M99" s="1" t="s">
        <v>352</v>
      </c>
      <c r="N99" s="4" t="s">
        <v>353</v>
      </c>
      <c r="O99" s="4" t="s">
        <v>22</v>
      </c>
      <c r="P99" s="4" t="s">
        <v>22</v>
      </c>
      <c r="Q99" s="4" t="s">
        <v>31</v>
      </c>
      <c r="R99" s="4" t="s">
        <v>99</v>
      </c>
      <c r="S99" s="4" t="s">
        <v>100</v>
      </c>
      <c r="T99" s="4" t="s">
        <v>100</v>
      </c>
      <c r="AR99" s="4" t="s">
        <v>22</v>
      </c>
      <c r="AS99" s="4" t="s">
        <v>22</v>
      </c>
      <c r="AU99" s="4" t="s">
        <v>354</v>
      </c>
      <c r="AV99">
        <v>20092</v>
      </c>
    </row>
    <row r="100" spans="1:48" ht="30" customHeight="1">
      <c r="A100" s="1" t="s">
        <v>346</v>
      </c>
      <c r="B100" s="1" t="s">
        <v>355</v>
      </c>
      <c r="C100" s="1" t="s">
        <v>319</v>
      </c>
      <c r="D100" s="2">
        <v>44</v>
      </c>
      <c r="E100" s="7">
        <v>35195</v>
      </c>
      <c r="F100" s="7">
        <f t="shared" si="10"/>
        <v>1548580</v>
      </c>
      <c r="G100" s="7">
        <v>94727</v>
      </c>
      <c r="H100" s="7">
        <f t="shared" si="11"/>
        <v>4167988</v>
      </c>
      <c r="I100" s="7">
        <v>0</v>
      </c>
      <c r="J100" s="7">
        <f t="shared" si="12"/>
        <v>0</v>
      </c>
      <c r="K100" s="7">
        <f t="shared" si="13"/>
        <v>129922</v>
      </c>
      <c r="L100" s="7">
        <f t="shared" si="14"/>
        <v>5716568</v>
      </c>
      <c r="M100" s="1" t="s">
        <v>356</v>
      </c>
      <c r="N100" s="4" t="s">
        <v>357</v>
      </c>
      <c r="O100" s="4" t="s">
        <v>22</v>
      </c>
      <c r="P100" s="4" t="s">
        <v>22</v>
      </c>
      <c r="Q100" s="4" t="s">
        <v>31</v>
      </c>
      <c r="R100" s="4" t="s">
        <v>99</v>
      </c>
      <c r="S100" s="4" t="s">
        <v>100</v>
      </c>
      <c r="T100" s="4" t="s">
        <v>100</v>
      </c>
      <c r="AR100" s="4" t="s">
        <v>22</v>
      </c>
      <c r="AS100" s="4" t="s">
        <v>22</v>
      </c>
      <c r="AU100" s="4" t="s">
        <v>358</v>
      </c>
      <c r="AV100">
        <v>13709</v>
      </c>
    </row>
    <row r="101" spans="1:48" ht="30" customHeight="1">
      <c r="A101" s="1" t="s">
        <v>359</v>
      </c>
      <c r="B101" s="1" t="s">
        <v>22</v>
      </c>
      <c r="C101" s="1" t="s">
        <v>360</v>
      </c>
      <c r="D101" s="2">
        <v>44</v>
      </c>
      <c r="E101" s="7">
        <v>708001</v>
      </c>
      <c r="F101" s="7">
        <f t="shared" si="10"/>
        <v>31152044</v>
      </c>
      <c r="G101" s="7">
        <v>94727</v>
      </c>
      <c r="H101" s="7">
        <f t="shared" si="11"/>
        <v>4167988</v>
      </c>
      <c r="I101" s="7">
        <v>0</v>
      </c>
      <c r="J101" s="7">
        <f t="shared" si="12"/>
        <v>0</v>
      </c>
      <c r="K101" s="7">
        <f t="shared" si="13"/>
        <v>802728</v>
      </c>
      <c r="L101" s="7">
        <f t="shared" si="14"/>
        <v>35320032</v>
      </c>
      <c r="M101" s="1" t="s">
        <v>361</v>
      </c>
      <c r="N101" s="4" t="s">
        <v>362</v>
      </c>
      <c r="O101" s="4" t="s">
        <v>22</v>
      </c>
      <c r="P101" s="4" t="s">
        <v>22</v>
      </c>
      <c r="Q101" s="4" t="s">
        <v>31</v>
      </c>
      <c r="R101" s="4" t="s">
        <v>99</v>
      </c>
      <c r="S101" s="4" t="s">
        <v>100</v>
      </c>
      <c r="T101" s="4" t="s">
        <v>100</v>
      </c>
      <c r="AR101" s="4" t="s">
        <v>22</v>
      </c>
      <c r="AS101" s="4" t="s">
        <v>22</v>
      </c>
      <c r="AU101" s="4" t="s">
        <v>363</v>
      </c>
      <c r="AV101">
        <v>20312</v>
      </c>
    </row>
    <row r="102" spans="1:48" ht="30" customHeight="1">
      <c r="A102" s="1" t="s">
        <v>364</v>
      </c>
      <c r="B102" s="1" t="s">
        <v>365</v>
      </c>
      <c r="C102" s="1" t="s">
        <v>360</v>
      </c>
      <c r="D102" s="2">
        <v>44</v>
      </c>
      <c r="E102" s="7">
        <v>2841</v>
      </c>
      <c r="F102" s="7">
        <f t="shared" si="10"/>
        <v>125004</v>
      </c>
      <c r="G102" s="7">
        <v>94727</v>
      </c>
      <c r="H102" s="7">
        <f t="shared" si="11"/>
        <v>4167988</v>
      </c>
      <c r="I102" s="7">
        <v>0</v>
      </c>
      <c r="J102" s="7">
        <f t="shared" si="12"/>
        <v>0</v>
      </c>
      <c r="K102" s="7">
        <f t="shared" si="13"/>
        <v>97568</v>
      </c>
      <c r="L102" s="7">
        <f t="shared" si="14"/>
        <v>4292992</v>
      </c>
      <c r="M102" s="1" t="s">
        <v>366</v>
      </c>
      <c r="N102" s="4" t="s">
        <v>367</v>
      </c>
      <c r="O102" s="4" t="s">
        <v>22</v>
      </c>
      <c r="P102" s="4" t="s">
        <v>22</v>
      </c>
      <c r="Q102" s="4" t="s">
        <v>31</v>
      </c>
      <c r="R102" s="4" t="s">
        <v>99</v>
      </c>
      <c r="S102" s="4" t="s">
        <v>100</v>
      </c>
      <c r="T102" s="4" t="s">
        <v>100</v>
      </c>
      <c r="AR102" s="4" t="s">
        <v>22</v>
      </c>
      <c r="AS102" s="4" t="s">
        <v>22</v>
      </c>
      <c r="AU102" s="4" t="s">
        <v>368</v>
      </c>
      <c r="AV102">
        <v>19500</v>
      </c>
    </row>
    <row r="103" spans="1:48" ht="30" customHeight="1">
      <c r="A103" s="1" t="s">
        <v>369</v>
      </c>
      <c r="B103" s="1" t="s">
        <v>22</v>
      </c>
      <c r="C103" s="1" t="s">
        <v>155</v>
      </c>
      <c r="D103" s="2">
        <v>13</v>
      </c>
      <c r="E103" s="7">
        <v>23189</v>
      </c>
      <c r="F103" s="7">
        <f t="shared" si="10"/>
        <v>301457</v>
      </c>
      <c r="G103" s="7">
        <v>773018</v>
      </c>
      <c r="H103" s="7">
        <f t="shared" si="11"/>
        <v>10049234</v>
      </c>
      <c r="I103" s="7">
        <v>0</v>
      </c>
      <c r="J103" s="7">
        <f t="shared" si="12"/>
        <v>0</v>
      </c>
      <c r="K103" s="7">
        <f t="shared" si="13"/>
        <v>796207</v>
      </c>
      <c r="L103" s="7">
        <f t="shared" si="14"/>
        <v>10350691</v>
      </c>
      <c r="M103" s="1" t="s">
        <v>370</v>
      </c>
      <c r="N103" s="4" t="s">
        <v>371</v>
      </c>
      <c r="O103" s="4" t="s">
        <v>22</v>
      </c>
      <c r="P103" s="4" t="s">
        <v>22</v>
      </c>
      <c r="Q103" s="4" t="s">
        <v>31</v>
      </c>
      <c r="R103" s="4" t="s">
        <v>99</v>
      </c>
      <c r="S103" s="4" t="s">
        <v>100</v>
      </c>
      <c r="T103" s="4" t="s">
        <v>100</v>
      </c>
      <c r="AR103" s="4" t="s">
        <v>22</v>
      </c>
      <c r="AS103" s="4" t="s">
        <v>22</v>
      </c>
      <c r="AU103" s="4" t="s">
        <v>372</v>
      </c>
      <c r="AV103">
        <v>13698</v>
      </c>
    </row>
    <row r="104" spans="1:48" ht="30" customHeight="1">
      <c r="A104" s="1" t="s">
        <v>199</v>
      </c>
      <c r="B104" s="1" t="s">
        <v>200</v>
      </c>
      <c r="C104" s="1" t="s">
        <v>166</v>
      </c>
      <c r="D104" s="2">
        <v>13</v>
      </c>
      <c r="E104" s="7">
        <v>107385</v>
      </c>
      <c r="F104" s="7">
        <f t="shared" si="10"/>
        <v>1396005</v>
      </c>
      <c r="G104" s="7">
        <v>258032</v>
      </c>
      <c r="H104" s="7">
        <f t="shared" si="11"/>
        <v>3354416</v>
      </c>
      <c r="I104" s="7">
        <v>12515</v>
      </c>
      <c r="J104" s="7">
        <f t="shared" si="12"/>
        <v>162695</v>
      </c>
      <c r="K104" s="7">
        <f t="shared" si="13"/>
        <v>377932</v>
      </c>
      <c r="L104" s="7">
        <f t="shared" si="14"/>
        <v>4913116</v>
      </c>
      <c r="M104" s="1" t="s">
        <v>201</v>
      </c>
      <c r="N104" s="4" t="s">
        <v>202</v>
      </c>
      <c r="O104" s="4" t="s">
        <v>22</v>
      </c>
      <c r="P104" s="4" t="s">
        <v>22</v>
      </c>
      <c r="Q104" s="4" t="s">
        <v>31</v>
      </c>
      <c r="R104" s="4" t="s">
        <v>99</v>
      </c>
      <c r="S104" s="4" t="s">
        <v>100</v>
      </c>
      <c r="T104" s="4" t="s">
        <v>100</v>
      </c>
      <c r="AR104" s="4" t="s">
        <v>22</v>
      </c>
      <c r="AS104" s="4" t="s">
        <v>22</v>
      </c>
      <c r="AU104" s="4" t="s">
        <v>373</v>
      </c>
      <c r="AV104">
        <v>20566</v>
      </c>
    </row>
    <row r="105" spans="1:48" ht="30" customHeight="1">
      <c r="A105" s="1" t="s">
        <v>374</v>
      </c>
      <c r="B105" s="1" t="s">
        <v>215</v>
      </c>
      <c r="C105" s="1" t="s">
        <v>155</v>
      </c>
      <c r="D105" s="2">
        <v>52</v>
      </c>
      <c r="E105" s="7">
        <v>291413</v>
      </c>
      <c r="F105" s="7">
        <f t="shared" si="10"/>
        <v>15153476</v>
      </c>
      <c r="G105" s="7">
        <v>65550</v>
      </c>
      <c r="H105" s="7">
        <f t="shared" si="11"/>
        <v>3408600</v>
      </c>
      <c r="I105" s="7">
        <v>1083</v>
      </c>
      <c r="J105" s="7">
        <f t="shared" si="12"/>
        <v>56316</v>
      </c>
      <c r="K105" s="7">
        <f t="shared" si="13"/>
        <v>358046</v>
      </c>
      <c r="L105" s="7">
        <f t="shared" si="14"/>
        <v>18618392</v>
      </c>
      <c r="M105" s="1" t="s">
        <v>375</v>
      </c>
      <c r="N105" s="4" t="s">
        <v>376</v>
      </c>
      <c r="O105" s="4" t="s">
        <v>22</v>
      </c>
      <c r="P105" s="4" t="s">
        <v>22</v>
      </c>
      <c r="Q105" s="4" t="s">
        <v>31</v>
      </c>
      <c r="R105" s="4" t="s">
        <v>99</v>
      </c>
      <c r="S105" s="4" t="s">
        <v>100</v>
      </c>
      <c r="T105" s="4" t="s">
        <v>100</v>
      </c>
      <c r="AR105" s="4" t="s">
        <v>22</v>
      </c>
      <c r="AS105" s="4" t="s">
        <v>22</v>
      </c>
      <c r="AU105" s="4" t="s">
        <v>377</v>
      </c>
      <c r="AV105">
        <v>20086</v>
      </c>
    </row>
    <row r="106" spans="1:48" ht="30" customHeight="1">
      <c r="A106" s="1" t="s">
        <v>378</v>
      </c>
      <c r="B106" s="1" t="s">
        <v>22</v>
      </c>
      <c r="C106" s="1" t="s">
        <v>155</v>
      </c>
      <c r="D106" s="2">
        <v>80</v>
      </c>
      <c r="E106" s="7">
        <v>22195</v>
      </c>
      <c r="F106" s="7">
        <f t="shared" si="10"/>
        <v>1775600</v>
      </c>
      <c r="G106" s="7">
        <v>173280</v>
      </c>
      <c r="H106" s="7">
        <f t="shared" si="11"/>
        <v>13862400</v>
      </c>
      <c r="I106" s="7">
        <v>7395</v>
      </c>
      <c r="J106" s="7">
        <f t="shared" si="12"/>
        <v>591600</v>
      </c>
      <c r="K106" s="7">
        <f t="shared" si="13"/>
        <v>202870</v>
      </c>
      <c r="L106" s="7">
        <f t="shared" si="14"/>
        <v>16229600</v>
      </c>
      <c r="M106" s="1" t="s">
        <v>379</v>
      </c>
      <c r="N106" s="4" t="s">
        <v>380</v>
      </c>
      <c r="O106" s="4" t="s">
        <v>22</v>
      </c>
      <c r="P106" s="4" t="s">
        <v>22</v>
      </c>
      <c r="Q106" s="4" t="s">
        <v>31</v>
      </c>
      <c r="R106" s="4" t="s">
        <v>99</v>
      </c>
      <c r="S106" s="4" t="s">
        <v>100</v>
      </c>
      <c r="T106" s="4" t="s">
        <v>100</v>
      </c>
      <c r="AR106" s="4" t="s">
        <v>22</v>
      </c>
      <c r="AS106" s="4" t="s">
        <v>22</v>
      </c>
      <c r="AU106" s="4" t="s">
        <v>381</v>
      </c>
      <c r="AV106">
        <v>19192</v>
      </c>
    </row>
    <row r="107" spans="1:48" ht="30" customHeight="1">
      <c r="A107" s="1" t="s">
        <v>382</v>
      </c>
      <c r="B107" s="1" t="s">
        <v>383</v>
      </c>
      <c r="C107" s="1" t="s">
        <v>155</v>
      </c>
      <c r="D107" s="2">
        <v>80</v>
      </c>
      <c r="E107" s="7">
        <v>84795</v>
      </c>
      <c r="F107" s="7">
        <f t="shared" si="10"/>
        <v>6783600</v>
      </c>
      <c r="G107" s="7">
        <v>61206</v>
      </c>
      <c r="H107" s="7">
        <f t="shared" si="11"/>
        <v>4896480</v>
      </c>
      <c r="I107" s="7">
        <v>0</v>
      </c>
      <c r="J107" s="7">
        <f t="shared" si="12"/>
        <v>0</v>
      </c>
      <c r="K107" s="7">
        <f t="shared" si="13"/>
        <v>146001</v>
      </c>
      <c r="L107" s="7">
        <f t="shared" si="14"/>
        <v>11680080</v>
      </c>
      <c r="M107" s="1" t="s">
        <v>384</v>
      </c>
      <c r="N107" s="4" t="s">
        <v>385</v>
      </c>
      <c r="O107" s="4" t="s">
        <v>22</v>
      </c>
      <c r="P107" s="4" t="s">
        <v>22</v>
      </c>
      <c r="Q107" s="4" t="s">
        <v>31</v>
      </c>
      <c r="R107" s="4" t="s">
        <v>99</v>
      </c>
      <c r="S107" s="4" t="s">
        <v>100</v>
      </c>
      <c r="T107" s="4" t="s">
        <v>100</v>
      </c>
      <c r="AR107" s="4" t="s">
        <v>22</v>
      </c>
      <c r="AS107" s="4" t="s">
        <v>22</v>
      </c>
      <c r="AU107" s="4" t="s">
        <v>386</v>
      </c>
      <c r="AV107">
        <v>19419</v>
      </c>
    </row>
    <row r="108" spans="1:48" ht="30" customHeight="1">
      <c r="A108" s="1" t="s">
        <v>164</v>
      </c>
      <c r="B108" s="1" t="s">
        <v>165</v>
      </c>
      <c r="C108" s="1" t="s">
        <v>166</v>
      </c>
      <c r="D108" s="2">
        <v>80</v>
      </c>
      <c r="E108" s="7">
        <v>1371</v>
      </c>
      <c r="F108" s="7">
        <f t="shared" si="10"/>
        <v>109680</v>
      </c>
      <c r="G108" s="7">
        <v>45736</v>
      </c>
      <c r="H108" s="7">
        <f t="shared" si="11"/>
        <v>3658880</v>
      </c>
      <c r="I108" s="7">
        <v>0</v>
      </c>
      <c r="J108" s="7">
        <f t="shared" si="12"/>
        <v>0</v>
      </c>
      <c r="K108" s="7">
        <f t="shared" si="13"/>
        <v>47107</v>
      </c>
      <c r="L108" s="7">
        <f t="shared" si="14"/>
        <v>3768560</v>
      </c>
      <c r="M108" s="1" t="s">
        <v>167</v>
      </c>
      <c r="N108" s="4" t="s">
        <v>168</v>
      </c>
      <c r="O108" s="4" t="s">
        <v>22</v>
      </c>
      <c r="P108" s="4" t="s">
        <v>22</v>
      </c>
      <c r="Q108" s="4" t="s">
        <v>31</v>
      </c>
      <c r="R108" s="4" t="s">
        <v>99</v>
      </c>
      <c r="S108" s="4" t="s">
        <v>100</v>
      </c>
      <c r="T108" s="4" t="s">
        <v>100</v>
      </c>
      <c r="AR108" s="4" t="s">
        <v>22</v>
      </c>
      <c r="AS108" s="4" t="s">
        <v>22</v>
      </c>
      <c r="AU108" s="4" t="s">
        <v>387</v>
      </c>
      <c r="AV108">
        <v>20091</v>
      </c>
    </row>
    <row r="109" spans="1:48" ht="30" customHeight="1">
      <c r="A109" s="1" t="s">
        <v>242</v>
      </c>
      <c r="B109" s="1" t="s">
        <v>243</v>
      </c>
      <c r="C109" s="1" t="s">
        <v>166</v>
      </c>
      <c r="D109" s="2">
        <v>13</v>
      </c>
      <c r="E109" s="7">
        <v>137695</v>
      </c>
      <c r="F109" s="7">
        <f t="shared" si="10"/>
        <v>1790035</v>
      </c>
      <c r="G109" s="7">
        <v>644059</v>
      </c>
      <c r="H109" s="7">
        <f t="shared" si="11"/>
        <v>8372767</v>
      </c>
      <c r="I109" s="7">
        <v>0</v>
      </c>
      <c r="J109" s="7">
        <f t="shared" si="12"/>
        <v>0</v>
      </c>
      <c r="K109" s="7">
        <f t="shared" si="13"/>
        <v>781754</v>
      </c>
      <c r="L109" s="7">
        <f t="shared" si="14"/>
        <v>10162802</v>
      </c>
      <c r="M109" s="1" t="s">
        <v>244</v>
      </c>
      <c r="N109" s="4" t="s">
        <v>245</v>
      </c>
      <c r="O109" s="4" t="s">
        <v>22</v>
      </c>
      <c r="P109" s="4" t="s">
        <v>22</v>
      </c>
      <c r="Q109" s="4" t="s">
        <v>31</v>
      </c>
      <c r="R109" s="4" t="s">
        <v>99</v>
      </c>
      <c r="S109" s="4" t="s">
        <v>100</v>
      </c>
      <c r="T109" s="4" t="s">
        <v>100</v>
      </c>
      <c r="AR109" s="4" t="s">
        <v>22</v>
      </c>
      <c r="AS109" s="4" t="s">
        <v>22</v>
      </c>
      <c r="AU109" s="4" t="s">
        <v>388</v>
      </c>
      <c r="AV109">
        <v>20146</v>
      </c>
    </row>
    <row r="110" spans="1:48" ht="3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48" ht="3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48" ht="3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48" ht="3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48" ht="3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48" ht="3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48" ht="3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48" ht="3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48" ht="3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48" ht="3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48" ht="3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48" ht="3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48" ht="3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48" ht="30" customHeight="1">
      <c r="A123" s="1" t="s">
        <v>62</v>
      </c>
      <c r="B123" s="2"/>
      <c r="C123" s="2"/>
      <c r="D123" s="2"/>
      <c r="E123" s="2"/>
      <c r="F123" s="7">
        <f>SUM(F77:F122)</f>
        <v>153055512</v>
      </c>
      <c r="G123" s="2"/>
      <c r="H123" s="7">
        <f>SUM(H77:H122)</f>
        <v>304464096</v>
      </c>
      <c r="I123" s="2"/>
      <c r="J123" s="7">
        <f>SUM(J77:J122)</f>
        <v>9926186</v>
      </c>
      <c r="K123" s="2"/>
      <c r="L123" s="7">
        <f>SUM(L77:L122)</f>
        <v>467445794</v>
      </c>
      <c r="M123" s="2"/>
      <c r="N123" t="s">
        <v>247</v>
      </c>
    </row>
    <row r="124" spans="1:48" ht="30" customHeight="1">
      <c r="A124" s="1" t="s">
        <v>34</v>
      </c>
      <c r="B124" s="1" t="s">
        <v>22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Q124" s="4" t="s">
        <v>35</v>
      </c>
    </row>
    <row r="125" spans="1:48" ht="30" customHeight="1">
      <c r="A125" s="1" t="s">
        <v>389</v>
      </c>
      <c r="B125" s="1" t="s">
        <v>95</v>
      </c>
      <c r="C125" s="1" t="s">
        <v>96</v>
      </c>
      <c r="D125" s="2">
        <v>176</v>
      </c>
      <c r="E125" s="7">
        <v>864</v>
      </c>
      <c r="F125" s="7">
        <f t="shared" ref="F125:F146" si="15">TRUNC(E125*D125, 0)</f>
        <v>152064</v>
      </c>
      <c r="G125" s="7">
        <v>9853</v>
      </c>
      <c r="H125" s="7">
        <f t="shared" ref="H125:H146" si="16">TRUNC(G125*D125, 0)</f>
        <v>1734128</v>
      </c>
      <c r="I125" s="7">
        <v>0</v>
      </c>
      <c r="J125" s="7">
        <f t="shared" ref="J125:J146" si="17">TRUNC(I125*D125, 0)</f>
        <v>0</v>
      </c>
      <c r="K125" s="7">
        <f t="shared" ref="K125:K146" si="18">TRUNC(E125+G125+I125, 0)</f>
        <v>10717</v>
      </c>
      <c r="L125" s="7">
        <f t="shared" ref="L125:L146" si="19">TRUNC(F125+H125+J125, 0)</f>
        <v>1886192</v>
      </c>
      <c r="M125" s="1" t="s">
        <v>390</v>
      </c>
      <c r="N125" s="4" t="s">
        <v>391</v>
      </c>
      <c r="O125" s="4" t="s">
        <v>22</v>
      </c>
      <c r="P125" s="4" t="s">
        <v>22</v>
      </c>
      <c r="Q125" s="4" t="s">
        <v>35</v>
      </c>
      <c r="R125" s="4" t="s">
        <v>99</v>
      </c>
      <c r="S125" s="4" t="s">
        <v>100</v>
      </c>
      <c r="T125" s="4" t="s">
        <v>100</v>
      </c>
      <c r="AR125" s="4" t="s">
        <v>22</v>
      </c>
      <c r="AS125" s="4" t="s">
        <v>22</v>
      </c>
      <c r="AU125" s="4" t="s">
        <v>392</v>
      </c>
      <c r="AV125">
        <v>20624</v>
      </c>
    </row>
    <row r="126" spans="1:48" ht="30" customHeight="1">
      <c r="A126" s="1" t="s">
        <v>389</v>
      </c>
      <c r="B126" s="1" t="s">
        <v>287</v>
      </c>
      <c r="C126" s="1" t="s">
        <v>96</v>
      </c>
      <c r="D126" s="2">
        <v>121</v>
      </c>
      <c r="E126" s="7">
        <v>1908</v>
      </c>
      <c r="F126" s="7">
        <f t="shared" si="15"/>
        <v>230868</v>
      </c>
      <c r="G126" s="7">
        <v>11312</v>
      </c>
      <c r="H126" s="7">
        <f t="shared" si="16"/>
        <v>1368752</v>
      </c>
      <c r="I126" s="7">
        <v>0</v>
      </c>
      <c r="J126" s="7">
        <f t="shared" si="17"/>
        <v>0</v>
      </c>
      <c r="K126" s="7">
        <f t="shared" si="18"/>
        <v>13220</v>
      </c>
      <c r="L126" s="7">
        <f t="shared" si="19"/>
        <v>1599620</v>
      </c>
      <c r="M126" s="1" t="s">
        <v>393</v>
      </c>
      <c r="N126" s="4" t="s">
        <v>394</v>
      </c>
      <c r="O126" s="4" t="s">
        <v>22</v>
      </c>
      <c r="P126" s="4" t="s">
        <v>22</v>
      </c>
      <c r="Q126" s="4" t="s">
        <v>35</v>
      </c>
      <c r="R126" s="4" t="s">
        <v>99</v>
      </c>
      <c r="S126" s="4" t="s">
        <v>100</v>
      </c>
      <c r="T126" s="4" t="s">
        <v>100</v>
      </c>
      <c r="AR126" s="4" t="s">
        <v>22</v>
      </c>
      <c r="AS126" s="4" t="s">
        <v>22</v>
      </c>
      <c r="AU126" s="4" t="s">
        <v>395</v>
      </c>
      <c r="AV126">
        <v>20625</v>
      </c>
    </row>
    <row r="127" spans="1:48" ht="30" customHeight="1">
      <c r="A127" s="1" t="s">
        <v>389</v>
      </c>
      <c r="B127" s="1" t="s">
        <v>110</v>
      </c>
      <c r="C127" s="1" t="s">
        <v>96</v>
      </c>
      <c r="D127" s="2">
        <v>102</v>
      </c>
      <c r="E127" s="7">
        <v>5585</v>
      </c>
      <c r="F127" s="7">
        <f t="shared" si="15"/>
        <v>569670</v>
      </c>
      <c r="G127" s="7">
        <v>15326</v>
      </c>
      <c r="H127" s="7">
        <f t="shared" si="16"/>
        <v>1563252</v>
      </c>
      <c r="I127" s="7">
        <v>0</v>
      </c>
      <c r="J127" s="7">
        <f t="shared" si="17"/>
        <v>0</v>
      </c>
      <c r="K127" s="7">
        <f t="shared" si="18"/>
        <v>20911</v>
      </c>
      <c r="L127" s="7">
        <f t="shared" si="19"/>
        <v>2132922</v>
      </c>
      <c r="M127" s="1" t="s">
        <v>396</v>
      </c>
      <c r="N127" s="4" t="s">
        <v>397</v>
      </c>
      <c r="O127" s="4" t="s">
        <v>22</v>
      </c>
      <c r="P127" s="4" t="s">
        <v>22</v>
      </c>
      <c r="Q127" s="4" t="s">
        <v>35</v>
      </c>
      <c r="R127" s="4" t="s">
        <v>99</v>
      </c>
      <c r="S127" s="4" t="s">
        <v>100</v>
      </c>
      <c r="T127" s="4" t="s">
        <v>100</v>
      </c>
      <c r="AR127" s="4" t="s">
        <v>22</v>
      </c>
      <c r="AS127" s="4" t="s">
        <v>22</v>
      </c>
      <c r="AU127" s="4" t="s">
        <v>398</v>
      </c>
      <c r="AV127">
        <v>20626</v>
      </c>
    </row>
    <row r="128" spans="1:48" ht="30" customHeight="1">
      <c r="A128" s="1" t="s">
        <v>399</v>
      </c>
      <c r="B128" s="1" t="s">
        <v>121</v>
      </c>
      <c r="C128" s="1" t="s">
        <v>116</v>
      </c>
      <c r="D128" s="2">
        <v>396</v>
      </c>
      <c r="E128" s="7">
        <v>1063</v>
      </c>
      <c r="F128" s="7">
        <f t="shared" si="15"/>
        <v>420948</v>
      </c>
      <c r="G128" s="7">
        <v>3176</v>
      </c>
      <c r="H128" s="7">
        <f t="shared" si="16"/>
        <v>1257696</v>
      </c>
      <c r="I128" s="7">
        <v>0</v>
      </c>
      <c r="J128" s="7">
        <f t="shared" si="17"/>
        <v>0</v>
      </c>
      <c r="K128" s="7">
        <f t="shared" si="18"/>
        <v>4239</v>
      </c>
      <c r="L128" s="7">
        <f t="shared" si="19"/>
        <v>1678644</v>
      </c>
      <c r="M128" s="1" t="s">
        <v>400</v>
      </c>
      <c r="N128" s="4" t="s">
        <v>401</v>
      </c>
      <c r="O128" s="4" t="s">
        <v>22</v>
      </c>
      <c r="P128" s="4" t="s">
        <v>22</v>
      </c>
      <c r="Q128" s="4" t="s">
        <v>35</v>
      </c>
      <c r="R128" s="4" t="s">
        <v>99</v>
      </c>
      <c r="S128" s="4" t="s">
        <v>100</v>
      </c>
      <c r="T128" s="4" t="s">
        <v>100</v>
      </c>
      <c r="AR128" s="4" t="s">
        <v>22</v>
      </c>
      <c r="AS128" s="4" t="s">
        <v>22</v>
      </c>
      <c r="AU128" s="4" t="s">
        <v>402</v>
      </c>
      <c r="AV128">
        <v>20627</v>
      </c>
    </row>
    <row r="129" spans="1:48" ht="30" customHeight="1">
      <c r="A129" s="1" t="s">
        <v>399</v>
      </c>
      <c r="B129" s="1" t="s">
        <v>253</v>
      </c>
      <c r="C129" s="1" t="s">
        <v>116</v>
      </c>
      <c r="D129" s="2">
        <v>208</v>
      </c>
      <c r="E129" s="7">
        <v>2504</v>
      </c>
      <c r="F129" s="7">
        <f t="shared" si="15"/>
        <v>520832</v>
      </c>
      <c r="G129" s="7">
        <v>3635</v>
      </c>
      <c r="H129" s="7">
        <f t="shared" si="16"/>
        <v>756080</v>
      </c>
      <c r="I129" s="7">
        <v>0</v>
      </c>
      <c r="J129" s="7">
        <f t="shared" si="17"/>
        <v>0</v>
      </c>
      <c r="K129" s="7">
        <f t="shared" si="18"/>
        <v>6139</v>
      </c>
      <c r="L129" s="7">
        <f t="shared" si="19"/>
        <v>1276912</v>
      </c>
      <c r="M129" s="1" t="s">
        <v>403</v>
      </c>
      <c r="N129" s="4" t="s">
        <v>404</v>
      </c>
      <c r="O129" s="4" t="s">
        <v>22</v>
      </c>
      <c r="P129" s="4" t="s">
        <v>22</v>
      </c>
      <c r="Q129" s="4" t="s">
        <v>35</v>
      </c>
      <c r="R129" s="4" t="s">
        <v>99</v>
      </c>
      <c r="S129" s="4" t="s">
        <v>100</v>
      </c>
      <c r="T129" s="4" t="s">
        <v>100</v>
      </c>
      <c r="AR129" s="4" t="s">
        <v>22</v>
      </c>
      <c r="AS129" s="4" t="s">
        <v>22</v>
      </c>
      <c r="AU129" s="4" t="s">
        <v>405</v>
      </c>
      <c r="AV129">
        <v>20628</v>
      </c>
    </row>
    <row r="130" spans="1:48" ht="30" customHeight="1">
      <c r="A130" s="1" t="s">
        <v>406</v>
      </c>
      <c r="B130" s="1" t="s">
        <v>407</v>
      </c>
      <c r="C130" s="1" t="s">
        <v>116</v>
      </c>
      <c r="D130" s="2">
        <v>92</v>
      </c>
      <c r="E130" s="7">
        <v>4242</v>
      </c>
      <c r="F130" s="7">
        <f t="shared" si="15"/>
        <v>390264</v>
      </c>
      <c r="G130" s="7">
        <v>8534</v>
      </c>
      <c r="H130" s="7">
        <f t="shared" si="16"/>
        <v>785128</v>
      </c>
      <c r="I130" s="7">
        <v>0</v>
      </c>
      <c r="J130" s="7">
        <f t="shared" si="17"/>
        <v>0</v>
      </c>
      <c r="K130" s="7">
        <f t="shared" si="18"/>
        <v>12776</v>
      </c>
      <c r="L130" s="7">
        <f t="shared" si="19"/>
        <v>1175392</v>
      </c>
      <c r="M130" s="1" t="s">
        <v>408</v>
      </c>
      <c r="N130" s="4" t="s">
        <v>409</v>
      </c>
      <c r="O130" s="4" t="s">
        <v>22</v>
      </c>
      <c r="P130" s="4" t="s">
        <v>22</v>
      </c>
      <c r="Q130" s="4" t="s">
        <v>35</v>
      </c>
      <c r="R130" s="4" t="s">
        <v>99</v>
      </c>
      <c r="S130" s="4" t="s">
        <v>100</v>
      </c>
      <c r="T130" s="4" t="s">
        <v>100</v>
      </c>
      <c r="AR130" s="4" t="s">
        <v>22</v>
      </c>
      <c r="AS130" s="4" t="s">
        <v>22</v>
      </c>
      <c r="AU130" s="4" t="s">
        <v>410</v>
      </c>
      <c r="AV130">
        <v>20629</v>
      </c>
    </row>
    <row r="131" spans="1:48" ht="30" customHeight="1">
      <c r="A131" s="1" t="s">
        <v>406</v>
      </c>
      <c r="B131" s="1" t="s">
        <v>411</v>
      </c>
      <c r="C131" s="1" t="s">
        <v>116</v>
      </c>
      <c r="D131" s="2">
        <v>416</v>
      </c>
      <c r="E131" s="7">
        <v>32148</v>
      </c>
      <c r="F131" s="7">
        <f t="shared" si="15"/>
        <v>13373568</v>
      </c>
      <c r="G131" s="7">
        <v>24072</v>
      </c>
      <c r="H131" s="7">
        <f t="shared" si="16"/>
        <v>10013952</v>
      </c>
      <c r="I131" s="7">
        <v>0</v>
      </c>
      <c r="J131" s="7">
        <f t="shared" si="17"/>
        <v>0</v>
      </c>
      <c r="K131" s="7">
        <f t="shared" si="18"/>
        <v>56220</v>
      </c>
      <c r="L131" s="7">
        <f t="shared" si="19"/>
        <v>23387520</v>
      </c>
      <c r="M131" s="1" t="s">
        <v>412</v>
      </c>
      <c r="N131" s="4" t="s">
        <v>413</v>
      </c>
      <c r="O131" s="4" t="s">
        <v>22</v>
      </c>
      <c r="P131" s="4" t="s">
        <v>22</v>
      </c>
      <c r="Q131" s="4" t="s">
        <v>35</v>
      </c>
      <c r="R131" s="4" t="s">
        <v>99</v>
      </c>
      <c r="S131" s="4" t="s">
        <v>100</v>
      </c>
      <c r="T131" s="4" t="s">
        <v>100</v>
      </c>
      <c r="AR131" s="4" t="s">
        <v>22</v>
      </c>
      <c r="AS131" s="4" t="s">
        <v>22</v>
      </c>
      <c r="AU131" s="4" t="s">
        <v>414</v>
      </c>
      <c r="AV131">
        <v>20630</v>
      </c>
    </row>
    <row r="132" spans="1:48" ht="30" customHeight="1">
      <c r="A132" s="1" t="s">
        <v>142</v>
      </c>
      <c r="B132" s="1" t="s">
        <v>143</v>
      </c>
      <c r="C132" s="1" t="s">
        <v>116</v>
      </c>
      <c r="D132" s="2">
        <v>198</v>
      </c>
      <c r="E132" s="7">
        <v>836</v>
      </c>
      <c r="F132" s="7">
        <f t="shared" si="15"/>
        <v>165528</v>
      </c>
      <c r="G132" s="7">
        <v>1344</v>
      </c>
      <c r="H132" s="7">
        <f t="shared" si="16"/>
        <v>266112</v>
      </c>
      <c r="I132" s="7">
        <v>0</v>
      </c>
      <c r="J132" s="7">
        <f t="shared" si="17"/>
        <v>0</v>
      </c>
      <c r="K132" s="7">
        <f t="shared" si="18"/>
        <v>2180</v>
      </c>
      <c r="L132" s="7">
        <f t="shared" si="19"/>
        <v>431640</v>
      </c>
      <c r="M132" s="1" t="s">
        <v>144</v>
      </c>
      <c r="N132" s="4" t="s">
        <v>145</v>
      </c>
      <c r="O132" s="4" t="s">
        <v>22</v>
      </c>
      <c r="P132" s="4" t="s">
        <v>22</v>
      </c>
      <c r="Q132" s="4" t="s">
        <v>35</v>
      </c>
      <c r="R132" s="4" t="s">
        <v>99</v>
      </c>
      <c r="S132" s="4" t="s">
        <v>100</v>
      </c>
      <c r="T132" s="4" t="s">
        <v>100</v>
      </c>
      <c r="AR132" s="4" t="s">
        <v>22</v>
      </c>
      <c r="AS132" s="4" t="s">
        <v>22</v>
      </c>
      <c r="AU132" s="4" t="s">
        <v>415</v>
      </c>
      <c r="AV132">
        <v>20631</v>
      </c>
    </row>
    <row r="133" spans="1:48" ht="30" customHeight="1">
      <c r="A133" s="1" t="s">
        <v>142</v>
      </c>
      <c r="B133" s="1" t="s">
        <v>416</v>
      </c>
      <c r="C133" s="1" t="s">
        <v>116</v>
      </c>
      <c r="D133" s="2">
        <v>23</v>
      </c>
      <c r="E133" s="7">
        <v>2324</v>
      </c>
      <c r="F133" s="7">
        <f t="shared" si="15"/>
        <v>53452</v>
      </c>
      <c r="G133" s="7">
        <v>1568</v>
      </c>
      <c r="H133" s="7">
        <f t="shared" si="16"/>
        <v>36064</v>
      </c>
      <c r="I133" s="7">
        <v>0</v>
      </c>
      <c r="J133" s="7">
        <f t="shared" si="17"/>
        <v>0</v>
      </c>
      <c r="K133" s="7">
        <f t="shared" si="18"/>
        <v>3892</v>
      </c>
      <c r="L133" s="7">
        <f t="shared" si="19"/>
        <v>89516</v>
      </c>
      <c r="M133" s="1" t="s">
        <v>417</v>
      </c>
      <c r="N133" s="4" t="s">
        <v>418</v>
      </c>
      <c r="O133" s="4" t="s">
        <v>22</v>
      </c>
      <c r="P133" s="4" t="s">
        <v>22</v>
      </c>
      <c r="Q133" s="4" t="s">
        <v>35</v>
      </c>
      <c r="R133" s="4" t="s">
        <v>99</v>
      </c>
      <c r="S133" s="4" t="s">
        <v>100</v>
      </c>
      <c r="T133" s="4" t="s">
        <v>100</v>
      </c>
      <c r="AR133" s="4" t="s">
        <v>22</v>
      </c>
      <c r="AS133" s="4" t="s">
        <v>22</v>
      </c>
      <c r="AU133" s="4" t="s">
        <v>419</v>
      </c>
      <c r="AV133">
        <v>20632</v>
      </c>
    </row>
    <row r="134" spans="1:48" ht="30" customHeight="1">
      <c r="A134" s="1" t="s">
        <v>147</v>
      </c>
      <c r="B134" s="1" t="s">
        <v>148</v>
      </c>
      <c r="C134" s="1" t="s">
        <v>149</v>
      </c>
      <c r="D134" s="2">
        <v>4</v>
      </c>
      <c r="E134" s="7">
        <v>649</v>
      </c>
      <c r="F134" s="7">
        <f t="shared" si="15"/>
        <v>2596</v>
      </c>
      <c r="G134" s="7">
        <v>18159</v>
      </c>
      <c r="H134" s="7">
        <f t="shared" si="16"/>
        <v>72636</v>
      </c>
      <c r="I134" s="7">
        <v>0</v>
      </c>
      <c r="J134" s="7">
        <f t="shared" si="17"/>
        <v>0</v>
      </c>
      <c r="K134" s="7">
        <f t="shared" si="18"/>
        <v>18808</v>
      </c>
      <c r="L134" s="7">
        <f t="shared" si="19"/>
        <v>75232</v>
      </c>
      <c r="M134" s="1" t="s">
        <v>150</v>
      </c>
      <c r="N134" s="4" t="s">
        <v>151</v>
      </c>
      <c r="O134" s="4" t="s">
        <v>22</v>
      </c>
      <c r="P134" s="4" t="s">
        <v>22</v>
      </c>
      <c r="Q134" s="4" t="s">
        <v>35</v>
      </c>
      <c r="R134" s="4" t="s">
        <v>99</v>
      </c>
      <c r="S134" s="4" t="s">
        <v>100</v>
      </c>
      <c r="T134" s="4" t="s">
        <v>100</v>
      </c>
      <c r="AR134" s="4" t="s">
        <v>22</v>
      </c>
      <c r="AS134" s="4" t="s">
        <v>22</v>
      </c>
      <c r="AU134" s="4" t="s">
        <v>420</v>
      </c>
      <c r="AV134">
        <v>20634</v>
      </c>
    </row>
    <row r="135" spans="1:48" ht="30" customHeight="1">
      <c r="A135" s="1" t="s">
        <v>147</v>
      </c>
      <c r="B135" s="1" t="s">
        <v>421</v>
      </c>
      <c r="C135" s="1" t="s">
        <v>149</v>
      </c>
      <c r="D135" s="2">
        <v>16</v>
      </c>
      <c r="E135" s="7">
        <v>926</v>
      </c>
      <c r="F135" s="7">
        <f t="shared" si="15"/>
        <v>14816</v>
      </c>
      <c r="G135" s="7">
        <v>24213</v>
      </c>
      <c r="H135" s="7">
        <f t="shared" si="16"/>
        <v>387408</v>
      </c>
      <c r="I135" s="7">
        <v>0</v>
      </c>
      <c r="J135" s="7">
        <f t="shared" si="17"/>
        <v>0</v>
      </c>
      <c r="K135" s="7">
        <f t="shared" si="18"/>
        <v>25139</v>
      </c>
      <c r="L135" s="7">
        <f t="shared" si="19"/>
        <v>402224</v>
      </c>
      <c r="M135" s="1" t="s">
        <v>422</v>
      </c>
      <c r="N135" s="4" t="s">
        <v>423</v>
      </c>
      <c r="O135" s="4" t="s">
        <v>22</v>
      </c>
      <c r="P135" s="4" t="s">
        <v>22</v>
      </c>
      <c r="Q135" s="4" t="s">
        <v>35</v>
      </c>
      <c r="R135" s="4" t="s">
        <v>99</v>
      </c>
      <c r="S135" s="4" t="s">
        <v>100</v>
      </c>
      <c r="T135" s="4" t="s">
        <v>100</v>
      </c>
      <c r="AR135" s="4" t="s">
        <v>22</v>
      </c>
      <c r="AS135" s="4" t="s">
        <v>22</v>
      </c>
      <c r="AU135" s="4" t="s">
        <v>424</v>
      </c>
      <c r="AV135">
        <v>20635</v>
      </c>
    </row>
    <row r="136" spans="1:48" ht="30" customHeight="1">
      <c r="A136" s="1" t="s">
        <v>147</v>
      </c>
      <c r="B136" s="1" t="s">
        <v>425</v>
      </c>
      <c r="C136" s="1" t="s">
        <v>149</v>
      </c>
      <c r="D136" s="2">
        <v>8</v>
      </c>
      <c r="E136" s="7">
        <v>4138</v>
      </c>
      <c r="F136" s="7">
        <f t="shared" si="15"/>
        <v>33104</v>
      </c>
      <c r="G136" s="7">
        <v>56683</v>
      </c>
      <c r="H136" s="7">
        <f t="shared" si="16"/>
        <v>453464</v>
      </c>
      <c r="I136" s="7">
        <v>0</v>
      </c>
      <c r="J136" s="7">
        <f t="shared" si="17"/>
        <v>0</v>
      </c>
      <c r="K136" s="7">
        <f t="shared" si="18"/>
        <v>60821</v>
      </c>
      <c r="L136" s="7">
        <f t="shared" si="19"/>
        <v>486568</v>
      </c>
      <c r="M136" s="1" t="s">
        <v>426</v>
      </c>
      <c r="N136" s="4" t="s">
        <v>427</v>
      </c>
      <c r="O136" s="4" t="s">
        <v>22</v>
      </c>
      <c r="P136" s="4" t="s">
        <v>22</v>
      </c>
      <c r="Q136" s="4" t="s">
        <v>35</v>
      </c>
      <c r="R136" s="4" t="s">
        <v>99</v>
      </c>
      <c r="S136" s="4" t="s">
        <v>100</v>
      </c>
      <c r="T136" s="4" t="s">
        <v>100</v>
      </c>
      <c r="AR136" s="4" t="s">
        <v>22</v>
      </c>
      <c r="AS136" s="4" t="s">
        <v>22</v>
      </c>
      <c r="AU136" s="4" t="s">
        <v>428</v>
      </c>
      <c r="AV136">
        <v>20633</v>
      </c>
    </row>
    <row r="137" spans="1:48" ht="30" customHeight="1">
      <c r="A137" s="1" t="s">
        <v>429</v>
      </c>
      <c r="B137" s="1" t="s">
        <v>22</v>
      </c>
      <c r="C137" s="1" t="s">
        <v>155</v>
      </c>
      <c r="D137" s="2">
        <v>2</v>
      </c>
      <c r="E137" s="7">
        <v>283</v>
      </c>
      <c r="F137" s="7">
        <f t="shared" si="15"/>
        <v>566</v>
      </c>
      <c r="G137" s="7">
        <v>9472</v>
      </c>
      <c r="H137" s="7">
        <f t="shared" si="16"/>
        <v>18944</v>
      </c>
      <c r="I137" s="7">
        <v>0</v>
      </c>
      <c r="J137" s="7">
        <f t="shared" si="17"/>
        <v>0</v>
      </c>
      <c r="K137" s="7">
        <f t="shared" si="18"/>
        <v>9755</v>
      </c>
      <c r="L137" s="7">
        <f t="shared" si="19"/>
        <v>19510</v>
      </c>
      <c r="M137" s="1" t="s">
        <v>430</v>
      </c>
      <c r="N137" s="4" t="s">
        <v>431</v>
      </c>
      <c r="O137" s="4" t="s">
        <v>22</v>
      </c>
      <c r="P137" s="4" t="s">
        <v>22</v>
      </c>
      <c r="Q137" s="4" t="s">
        <v>35</v>
      </c>
      <c r="R137" s="4" t="s">
        <v>99</v>
      </c>
      <c r="S137" s="4" t="s">
        <v>100</v>
      </c>
      <c r="T137" s="4" t="s">
        <v>100</v>
      </c>
      <c r="AR137" s="4" t="s">
        <v>22</v>
      </c>
      <c r="AS137" s="4" t="s">
        <v>22</v>
      </c>
      <c r="AU137" s="4" t="s">
        <v>432</v>
      </c>
      <c r="AV137">
        <v>20636</v>
      </c>
    </row>
    <row r="138" spans="1:48" ht="30" customHeight="1">
      <c r="A138" s="1" t="s">
        <v>433</v>
      </c>
      <c r="B138" s="1" t="s">
        <v>434</v>
      </c>
      <c r="C138" s="1" t="s">
        <v>166</v>
      </c>
      <c r="D138" s="2">
        <v>2</v>
      </c>
      <c r="E138" s="7">
        <v>25557</v>
      </c>
      <c r="F138" s="7">
        <f t="shared" si="15"/>
        <v>51114</v>
      </c>
      <c r="G138" s="7">
        <v>78447</v>
      </c>
      <c r="H138" s="7">
        <f t="shared" si="16"/>
        <v>156894</v>
      </c>
      <c r="I138" s="7">
        <v>68</v>
      </c>
      <c r="J138" s="7">
        <f t="shared" si="17"/>
        <v>136</v>
      </c>
      <c r="K138" s="7">
        <f t="shared" si="18"/>
        <v>104072</v>
      </c>
      <c r="L138" s="7">
        <f t="shared" si="19"/>
        <v>208144</v>
      </c>
      <c r="M138" s="1" t="s">
        <v>435</v>
      </c>
      <c r="N138" s="4" t="s">
        <v>436</v>
      </c>
      <c r="O138" s="4" t="s">
        <v>22</v>
      </c>
      <c r="P138" s="4" t="s">
        <v>22</v>
      </c>
      <c r="Q138" s="4" t="s">
        <v>35</v>
      </c>
      <c r="R138" s="4" t="s">
        <v>99</v>
      </c>
      <c r="S138" s="4" t="s">
        <v>100</v>
      </c>
      <c r="T138" s="4" t="s">
        <v>100</v>
      </c>
      <c r="AR138" s="4" t="s">
        <v>22</v>
      </c>
      <c r="AS138" s="4" t="s">
        <v>22</v>
      </c>
      <c r="AU138" s="4" t="s">
        <v>437</v>
      </c>
      <c r="AV138">
        <v>20637</v>
      </c>
    </row>
    <row r="139" spans="1:48" ht="30" customHeight="1">
      <c r="A139" s="1" t="s">
        <v>438</v>
      </c>
      <c r="B139" s="1" t="s">
        <v>439</v>
      </c>
      <c r="C139" s="1" t="s">
        <v>166</v>
      </c>
      <c r="D139" s="2">
        <v>2</v>
      </c>
      <c r="E139" s="7">
        <v>123724</v>
      </c>
      <c r="F139" s="7">
        <f t="shared" si="15"/>
        <v>247448</v>
      </c>
      <c r="G139" s="7">
        <v>209178</v>
      </c>
      <c r="H139" s="7">
        <f t="shared" si="16"/>
        <v>418356</v>
      </c>
      <c r="I139" s="7">
        <v>352</v>
      </c>
      <c r="J139" s="7">
        <f t="shared" si="17"/>
        <v>704</v>
      </c>
      <c r="K139" s="7">
        <f t="shared" si="18"/>
        <v>333254</v>
      </c>
      <c r="L139" s="7">
        <f t="shared" si="19"/>
        <v>666508</v>
      </c>
      <c r="M139" s="1" t="s">
        <v>440</v>
      </c>
      <c r="N139" s="4" t="s">
        <v>441</v>
      </c>
      <c r="O139" s="4" t="s">
        <v>22</v>
      </c>
      <c r="P139" s="4" t="s">
        <v>22</v>
      </c>
      <c r="Q139" s="4" t="s">
        <v>35</v>
      </c>
      <c r="R139" s="4" t="s">
        <v>99</v>
      </c>
      <c r="S139" s="4" t="s">
        <v>100</v>
      </c>
      <c r="T139" s="4" t="s">
        <v>100</v>
      </c>
      <c r="AR139" s="4" t="s">
        <v>22</v>
      </c>
      <c r="AS139" s="4" t="s">
        <v>22</v>
      </c>
      <c r="AU139" s="4" t="s">
        <v>442</v>
      </c>
      <c r="AV139">
        <v>20638</v>
      </c>
    </row>
    <row r="140" spans="1:48" ht="30" customHeight="1">
      <c r="A140" s="1" t="s">
        <v>443</v>
      </c>
      <c r="B140" s="1" t="s">
        <v>444</v>
      </c>
      <c r="C140" s="1" t="s">
        <v>166</v>
      </c>
      <c r="D140" s="2">
        <v>11</v>
      </c>
      <c r="E140" s="7">
        <v>41341</v>
      </c>
      <c r="F140" s="7">
        <f t="shared" si="15"/>
        <v>454751</v>
      </c>
      <c r="G140" s="7">
        <v>100841</v>
      </c>
      <c r="H140" s="7">
        <f t="shared" si="16"/>
        <v>1109251</v>
      </c>
      <c r="I140" s="7">
        <v>108</v>
      </c>
      <c r="J140" s="7">
        <f t="shared" si="17"/>
        <v>1188</v>
      </c>
      <c r="K140" s="7">
        <f t="shared" si="18"/>
        <v>142290</v>
      </c>
      <c r="L140" s="7">
        <f t="shared" si="19"/>
        <v>1565190</v>
      </c>
      <c r="M140" s="1" t="s">
        <v>445</v>
      </c>
      <c r="N140" s="4" t="s">
        <v>446</v>
      </c>
      <c r="O140" s="4" t="s">
        <v>22</v>
      </c>
      <c r="P140" s="4" t="s">
        <v>22</v>
      </c>
      <c r="Q140" s="4" t="s">
        <v>35</v>
      </c>
      <c r="R140" s="4" t="s">
        <v>99</v>
      </c>
      <c r="S140" s="4" t="s">
        <v>100</v>
      </c>
      <c r="T140" s="4" t="s">
        <v>100</v>
      </c>
      <c r="AR140" s="4" t="s">
        <v>22</v>
      </c>
      <c r="AS140" s="4" t="s">
        <v>22</v>
      </c>
      <c r="AU140" s="4" t="s">
        <v>447</v>
      </c>
      <c r="AV140">
        <v>20639</v>
      </c>
    </row>
    <row r="141" spans="1:48" ht="30" customHeight="1">
      <c r="A141" s="1" t="s">
        <v>219</v>
      </c>
      <c r="B141" s="1" t="s">
        <v>220</v>
      </c>
      <c r="C141" s="1" t="s">
        <v>149</v>
      </c>
      <c r="D141" s="2">
        <v>2</v>
      </c>
      <c r="E141" s="7">
        <v>16041</v>
      </c>
      <c r="F141" s="7">
        <f t="shared" si="15"/>
        <v>32082</v>
      </c>
      <c r="G141" s="7">
        <v>9338</v>
      </c>
      <c r="H141" s="7">
        <f t="shared" si="16"/>
        <v>18676</v>
      </c>
      <c r="I141" s="7">
        <v>0</v>
      </c>
      <c r="J141" s="7">
        <f t="shared" si="17"/>
        <v>0</v>
      </c>
      <c r="K141" s="7">
        <f t="shared" si="18"/>
        <v>25379</v>
      </c>
      <c r="L141" s="7">
        <f t="shared" si="19"/>
        <v>50758</v>
      </c>
      <c r="M141" s="1" t="s">
        <v>221</v>
      </c>
      <c r="N141" s="4" t="s">
        <v>222</v>
      </c>
      <c r="O141" s="4" t="s">
        <v>22</v>
      </c>
      <c r="P141" s="4" t="s">
        <v>22</v>
      </c>
      <c r="Q141" s="4" t="s">
        <v>35</v>
      </c>
      <c r="R141" s="4" t="s">
        <v>99</v>
      </c>
      <c r="S141" s="4" t="s">
        <v>100</v>
      </c>
      <c r="T141" s="4" t="s">
        <v>100</v>
      </c>
      <c r="AR141" s="4" t="s">
        <v>22</v>
      </c>
      <c r="AS141" s="4" t="s">
        <v>22</v>
      </c>
      <c r="AU141" s="4" t="s">
        <v>448</v>
      </c>
      <c r="AV141">
        <v>20645</v>
      </c>
    </row>
    <row r="142" spans="1:48" ht="30" customHeight="1">
      <c r="A142" s="1" t="s">
        <v>449</v>
      </c>
      <c r="B142" s="1" t="s">
        <v>450</v>
      </c>
      <c r="C142" s="1" t="s">
        <v>149</v>
      </c>
      <c r="D142" s="2">
        <v>11</v>
      </c>
      <c r="E142" s="7">
        <v>6806</v>
      </c>
      <c r="F142" s="7">
        <f t="shared" si="15"/>
        <v>74866</v>
      </c>
      <c r="G142" s="7">
        <v>147971</v>
      </c>
      <c r="H142" s="7">
        <f t="shared" si="16"/>
        <v>1627681</v>
      </c>
      <c r="I142" s="7">
        <v>0</v>
      </c>
      <c r="J142" s="7">
        <f t="shared" si="17"/>
        <v>0</v>
      </c>
      <c r="K142" s="7">
        <f t="shared" si="18"/>
        <v>154777</v>
      </c>
      <c r="L142" s="7">
        <f t="shared" si="19"/>
        <v>1702547</v>
      </c>
      <c r="M142" s="1" t="s">
        <v>451</v>
      </c>
      <c r="N142" s="4" t="s">
        <v>452</v>
      </c>
      <c r="O142" s="4" t="s">
        <v>22</v>
      </c>
      <c r="P142" s="4" t="s">
        <v>22</v>
      </c>
      <c r="Q142" s="4" t="s">
        <v>35</v>
      </c>
      <c r="R142" s="4" t="s">
        <v>99</v>
      </c>
      <c r="S142" s="4" t="s">
        <v>100</v>
      </c>
      <c r="T142" s="4" t="s">
        <v>100</v>
      </c>
      <c r="AR142" s="4" t="s">
        <v>22</v>
      </c>
      <c r="AS142" s="4" t="s">
        <v>22</v>
      </c>
      <c r="AU142" s="4" t="s">
        <v>453</v>
      </c>
      <c r="AV142">
        <v>20640</v>
      </c>
    </row>
    <row r="143" spans="1:48" ht="30" customHeight="1">
      <c r="A143" s="1" t="s">
        <v>449</v>
      </c>
      <c r="B143" s="1" t="s">
        <v>454</v>
      </c>
      <c r="C143" s="1" t="s">
        <v>149</v>
      </c>
      <c r="D143" s="2">
        <v>2</v>
      </c>
      <c r="E143" s="7">
        <v>19464</v>
      </c>
      <c r="F143" s="7">
        <f t="shared" si="15"/>
        <v>38928</v>
      </c>
      <c r="G143" s="7">
        <v>177565</v>
      </c>
      <c r="H143" s="7">
        <f t="shared" si="16"/>
        <v>355130</v>
      </c>
      <c r="I143" s="7">
        <v>0</v>
      </c>
      <c r="J143" s="7">
        <f t="shared" si="17"/>
        <v>0</v>
      </c>
      <c r="K143" s="7">
        <f t="shared" si="18"/>
        <v>197029</v>
      </c>
      <c r="L143" s="7">
        <f t="shared" si="19"/>
        <v>394058</v>
      </c>
      <c r="M143" s="1" t="s">
        <v>455</v>
      </c>
      <c r="N143" s="4" t="s">
        <v>456</v>
      </c>
      <c r="O143" s="4" t="s">
        <v>22</v>
      </c>
      <c r="P143" s="4" t="s">
        <v>22</v>
      </c>
      <c r="Q143" s="4" t="s">
        <v>35</v>
      </c>
      <c r="R143" s="4" t="s">
        <v>99</v>
      </c>
      <c r="S143" s="4" t="s">
        <v>100</v>
      </c>
      <c r="T143" s="4" t="s">
        <v>100</v>
      </c>
      <c r="AR143" s="4" t="s">
        <v>22</v>
      </c>
      <c r="AS143" s="4" t="s">
        <v>22</v>
      </c>
      <c r="AU143" s="4" t="s">
        <v>457</v>
      </c>
      <c r="AV143">
        <v>20641</v>
      </c>
    </row>
    <row r="144" spans="1:48" ht="30" customHeight="1">
      <c r="A144" s="1" t="s">
        <v>204</v>
      </c>
      <c r="B144" s="1" t="s">
        <v>205</v>
      </c>
      <c r="C144" s="1" t="s">
        <v>96</v>
      </c>
      <c r="D144" s="2">
        <v>369</v>
      </c>
      <c r="E144" s="7">
        <v>399</v>
      </c>
      <c r="F144" s="7">
        <f t="shared" si="15"/>
        <v>147231</v>
      </c>
      <c r="G144" s="7">
        <v>3839</v>
      </c>
      <c r="H144" s="7">
        <f t="shared" si="16"/>
        <v>1416591</v>
      </c>
      <c r="I144" s="7">
        <v>178</v>
      </c>
      <c r="J144" s="7">
        <f t="shared" si="17"/>
        <v>65682</v>
      </c>
      <c r="K144" s="7">
        <f t="shared" si="18"/>
        <v>4416</v>
      </c>
      <c r="L144" s="7">
        <f t="shared" si="19"/>
        <v>1629504</v>
      </c>
      <c r="M144" s="1" t="s">
        <v>206</v>
      </c>
      <c r="N144" s="4" t="s">
        <v>207</v>
      </c>
      <c r="O144" s="4" t="s">
        <v>22</v>
      </c>
      <c r="P144" s="4" t="s">
        <v>22</v>
      </c>
      <c r="Q144" s="4" t="s">
        <v>35</v>
      </c>
      <c r="R144" s="4" t="s">
        <v>99</v>
      </c>
      <c r="S144" s="4" t="s">
        <v>100</v>
      </c>
      <c r="T144" s="4" t="s">
        <v>100</v>
      </c>
      <c r="AR144" s="4" t="s">
        <v>22</v>
      </c>
      <c r="AS144" s="4" t="s">
        <v>22</v>
      </c>
      <c r="AU144" s="4" t="s">
        <v>458</v>
      </c>
      <c r="AV144">
        <v>20642</v>
      </c>
    </row>
    <row r="145" spans="1:48" ht="30" customHeight="1">
      <c r="A145" s="1" t="s">
        <v>459</v>
      </c>
      <c r="B145" s="1" t="s">
        <v>460</v>
      </c>
      <c r="C145" s="1" t="s">
        <v>155</v>
      </c>
      <c r="D145" s="2">
        <v>2</v>
      </c>
      <c r="E145" s="7">
        <v>291362</v>
      </c>
      <c r="F145" s="7">
        <f t="shared" si="15"/>
        <v>582724</v>
      </c>
      <c r="G145" s="7">
        <v>386673</v>
      </c>
      <c r="H145" s="7">
        <f t="shared" si="16"/>
        <v>773346</v>
      </c>
      <c r="I145" s="7">
        <v>396</v>
      </c>
      <c r="J145" s="7">
        <f t="shared" si="17"/>
        <v>792</v>
      </c>
      <c r="K145" s="7">
        <f t="shared" si="18"/>
        <v>678431</v>
      </c>
      <c r="L145" s="7">
        <f t="shared" si="19"/>
        <v>1356862</v>
      </c>
      <c r="M145" s="1" t="s">
        <v>461</v>
      </c>
      <c r="N145" s="4" t="s">
        <v>462</v>
      </c>
      <c r="O145" s="4" t="s">
        <v>22</v>
      </c>
      <c r="P145" s="4" t="s">
        <v>22</v>
      </c>
      <c r="Q145" s="4" t="s">
        <v>35</v>
      </c>
      <c r="R145" s="4" t="s">
        <v>99</v>
      </c>
      <c r="S145" s="4" t="s">
        <v>100</v>
      </c>
      <c r="T145" s="4" t="s">
        <v>100</v>
      </c>
      <c r="AR145" s="4" t="s">
        <v>22</v>
      </c>
      <c r="AS145" s="4" t="s">
        <v>22</v>
      </c>
      <c r="AU145" s="4" t="s">
        <v>463</v>
      </c>
      <c r="AV145">
        <v>20643</v>
      </c>
    </row>
    <row r="146" spans="1:48" ht="30" customHeight="1">
      <c r="A146" s="1" t="s">
        <v>242</v>
      </c>
      <c r="B146" s="1" t="s">
        <v>243</v>
      </c>
      <c r="C146" s="1" t="s">
        <v>166</v>
      </c>
      <c r="D146" s="2">
        <v>2</v>
      </c>
      <c r="E146" s="7">
        <v>137695</v>
      </c>
      <c r="F146" s="7">
        <f t="shared" si="15"/>
        <v>275390</v>
      </c>
      <c r="G146" s="7">
        <v>644059</v>
      </c>
      <c r="H146" s="7">
        <f t="shared" si="16"/>
        <v>1288118</v>
      </c>
      <c r="I146" s="7">
        <v>0</v>
      </c>
      <c r="J146" s="7">
        <f t="shared" si="17"/>
        <v>0</v>
      </c>
      <c r="K146" s="7">
        <f t="shared" si="18"/>
        <v>781754</v>
      </c>
      <c r="L146" s="7">
        <f t="shared" si="19"/>
        <v>1563508</v>
      </c>
      <c r="M146" s="1" t="s">
        <v>244</v>
      </c>
      <c r="N146" s="4" t="s">
        <v>245</v>
      </c>
      <c r="O146" s="4" t="s">
        <v>22</v>
      </c>
      <c r="P146" s="4" t="s">
        <v>22</v>
      </c>
      <c r="Q146" s="4" t="s">
        <v>35</v>
      </c>
      <c r="R146" s="4" t="s">
        <v>99</v>
      </c>
      <c r="S146" s="4" t="s">
        <v>100</v>
      </c>
      <c r="T146" s="4" t="s">
        <v>100</v>
      </c>
      <c r="AR146" s="4" t="s">
        <v>22</v>
      </c>
      <c r="AS146" s="4" t="s">
        <v>22</v>
      </c>
      <c r="AU146" s="4" t="s">
        <v>464</v>
      </c>
      <c r="AV146">
        <v>20644</v>
      </c>
    </row>
    <row r="147" spans="1:48" ht="30" customHeight="1">
      <c r="A147" s="1" t="s">
        <v>62</v>
      </c>
      <c r="B147" s="2"/>
      <c r="C147" s="2"/>
      <c r="D147" s="2"/>
      <c r="E147" s="7">
        <v>0</v>
      </c>
      <c r="F147" s="7">
        <f>SUM(F125:F146)</f>
        <v>17832810</v>
      </c>
      <c r="G147" s="7">
        <v>0</v>
      </c>
      <c r="H147" s="7">
        <f>SUM(H125:H146)</f>
        <v>25877659</v>
      </c>
      <c r="I147" s="7">
        <v>0</v>
      </c>
      <c r="J147" s="7">
        <f>SUM(J125:J146)</f>
        <v>68502</v>
      </c>
      <c r="K147" s="2"/>
      <c r="L147" s="7">
        <f>SUM(L125:L146)</f>
        <v>43778971</v>
      </c>
      <c r="M147" s="2"/>
      <c r="N147" t="s">
        <v>247</v>
      </c>
    </row>
    <row r="148" spans="1:48" ht="30" customHeight="1">
      <c r="A148" s="1" t="s">
        <v>36</v>
      </c>
      <c r="B148" s="1" t="s">
        <v>22</v>
      </c>
      <c r="C148" s="2"/>
      <c r="D148" s="2"/>
      <c r="E148" s="7">
        <v>0</v>
      </c>
      <c r="F148" s="2"/>
      <c r="G148" s="7">
        <v>0</v>
      </c>
      <c r="H148" s="2"/>
      <c r="I148" s="7">
        <v>0</v>
      </c>
      <c r="J148" s="2"/>
      <c r="K148" s="2"/>
      <c r="L148" s="2"/>
      <c r="M148" s="2"/>
      <c r="Q148" s="4" t="s">
        <v>37</v>
      </c>
    </row>
    <row r="149" spans="1:48" ht="30" customHeight="1">
      <c r="A149" s="1" t="s">
        <v>94</v>
      </c>
      <c r="B149" s="1" t="s">
        <v>95</v>
      </c>
      <c r="C149" s="1" t="s">
        <v>96</v>
      </c>
      <c r="D149" s="2">
        <v>147</v>
      </c>
      <c r="E149" s="7">
        <v>925</v>
      </c>
      <c r="F149" s="7">
        <f t="shared" ref="F149:F170" si="20">TRUNC(E149*D149, 0)</f>
        <v>135975</v>
      </c>
      <c r="G149" s="7">
        <v>12786</v>
      </c>
      <c r="H149" s="7">
        <f t="shared" ref="H149:H170" si="21">TRUNC(G149*D149, 0)</f>
        <v>1879542</v>
      </c>
      <c r="I149" s="7">
        <v>0</v>
      </c>
      <c r="J149" s="7">
        <f t="shared" ref="J149:J170" si="22">TRUNC(I149*D149, 0)</f>
        <v>0</v>
      </c>
      <c r="K149" s="7">
        <f t="shared" ref="K149:K170" si="23">TRUNC(E149+G149+I149, 0)</f>
        <v>13711</v>
      </c>
      <c r="L149" s="7">
        <f t="shared" ref="L149:L170" si="24">TRUNC(F149+H149+J149, 0)</f>
        <v>2015517</v>
      </c>
      <c r="M149" s="1" t="s">
        <v>97</v>
      </c>
      <c r="N149" s="4" t="s">
        <v>98</v>
      </c>
      <c r="O149" s="4" t="s">
        <v>22</v>
      </c>
      <c r="P149" s="4" t="s">
        <v>22</v>
      </c>
      <c r="Q149" s="4" t="s">
        <v>37</v>
      </c>
      <c r="R149" s="4" t="s">
        <v>99</v>
      </c>
      <c r="S149" s="4" t="s">
        <v>100</v>
      </c>
      <c r="T149" s="4" t="s">
        <v>100</v>
      </c>
      <c r="AR149" s="4" t="s">
        <v>22</v>
      </c>
      <c r="AS149" s="4" t="s">
        <v>22</v>
      </c>
      <c r="AU149" s="4" t="s">
        <v>465</v>
      </c>
      <c r="AV149">
        <v>20601</v>
      </c>
    </row>
    <row r="150" spans="1:48" ht="30" customHeight="1">
      <c r="A150" s="1" t="s">
        <v>94</v>
      </c>
      <c r="B150" s="1" t="s">
        <v>102</v>
      </c>
      <c r="C150" s="1" t="s">
        <v>96</v>
      </c>
      <c r="D150" s="2">
        <v>614</v>
      </c>
      <c r="E150" s="7">
        <v>1212</v>
      </c>
      <c r="F150" s="7">
        <f t="shared" si="20"/>
        <v>744168</v>
      </c>
      <c r="G150" s="7">
        <v>12786</v>
      </c>
      <c r="H150" s="7">
        <f t="shared" si="21"/>
        <v>7850604</v>
      </c>
      <c r="I150" s="7">
        <v>0</v>
      </c>
      <c r="J150" s="7">
        <f t="shared" si="22"/>
        <v>0</v>
      </c>
      <c r="K150" s="7">
        <f t="shared" si="23"/>
        <v>13998</v>
      </c>
      <c r="L150" s="7">
        <f t="shared" si="24"/>
        <v>8594772</v>
      </c>
      <c r="M150" s="1" t="s">
        <v>103</v>
      </c>
      <c r="N150" s="4" t="s">
        <v>104</v>
      </c>
      <c r="O150" s="4" t="s">
        <v>22</v>
      </c>
      <c r="P150" s="4" t="s">
        <v>22</v>
      </c>
      <c r="Q150" s="4" t="s">
        <v>37</v>
      </c>
      <c r="R150" s="4" t="s">
        <v>99</v>
      </c>
      <c r="S150" s="4" t="s">
        <v>100</v>
      </c>
      <c r="T150" s="4" t="s">
        <v>100</v>
      </c>
      <c r="AR150" s="4" t="s">
        <v>22</v>
      </c>
      <c r="AS150" s="4" t="s">
        <v>22</v>
      </c>
      <c r="AU150" s="4" t="s">
        <v>466</v>
      </c>
      <c r="AV150">
        <v>20602</v>
      </c>
    </row>
    <row r="151" spans="1:48" ht="30" customHeight="1">
      <c r="A151" s="1" t="s">
        <v>114</v>
      </c>
      <c r="B151" s="1" t="s">
        <v>115</v>
      </c>
      <c r="C151" s="1" t="s">
        <v>116</v>
      </c>
      <c r="D151" s="2">
        <v>171</v>
      </c>
      <c r="E151" s="7">
        <v>1278</v>
      </c>
      <c r="F151" s="7">
        <f t="shared" si="20"/>
        <v>218538</v>
      </c>
      <c r="G151" s="7">
        <v>2448</v>
      </c>
      <c r="H151" s="7">
        <f t="shared" si="21"/>
        <v>418608</v>
      </c>
      <c r="I151" s="7">
        <v>0</v>
      </c>
      <c r="J151" s="7">
        <f t="shared" si="22"/>
        <v>0</v>
      </c>
      <c r="K151" s="7">
        <f t="shared" si="23"/>
        <v>3726</v>
      </c>
      <c r="L151" s="7">
        <f t="shared" si="24"/>
        <v>637146</v>
      </c>
      <c r="M151" s="1" t="s">
        <v>117</v>
      </c>
      <c r="N151" s="4" t="s">
        <v>118</v>
      </c>
      <c r="O151" s="4" t="s">
        <v>22</v>
      </c>
      <c r="P151" s="4" t="s">
        <v>22</v>
      </c>
      <c r="Q151" s="4" t="s">
        <v>37</v>
      </c>
      <c r="R151" s="4" t="s">
        <v>99</v>
      </c>
      <c r="S151" s="4" t="s">
        <v>100</v>
      </c>
      <c r="T151" s="4" t="s">
        <v>100</v>
      </c>
      <c r="AR151" s="4" t="s">
        <v>22</v>
      </c>
      <c r="AS151" s="4" t="s">
        <v>22</v>
      </c>
      <c r="AU151" s="4" t="s">
        <v>467</v>
      </c>
      <c r="AV151">
        <v>20603</v>
      </c>
    </row>
    <row r="152" spans="1:48" ht="30" customHeight="1">
      <c r="A152" s="1" t="s">
        <v>120</v>
      </c>
      <c r="B152" s="1" t="s">
        <v>121</v>
      </c>
      <c r="C152" s="1" t="s">
        <v>116</v>
      </c>
      <c r="D152" s="2">
        <v>356</v>
      </c>
      <c r="E152" s="7">
        <v>1020</v>
      </c>
      <c r="F152" s="7">
        <f t="shared" si="20"/>
        <v>363120</v>
      </c>
      <c r="G152" s="7">
        <v>2372</v>
      </c>
      <c r="H152" s="7">
        <f t="shared" si="21"/>
        <v>844432</v>
      </c>
      <c r="I152" s="7">
        <v>0</v>
      </c>
      <c r="J152" s="7">
        <f t="shared" si="22"/>
        <v>0</v>
      </c>
      <c r="K152" s="7">
        <f t="shared" si="23"/>
        <v>3392</v>
      </c>
      <c r="L152" s="7">
        <f t="shared" si="24"/>
        <v>1207552</v>
      </c>
      <c r="M152" s="1" t="s">
        <v>122</v>
      </c>
      <c r="N152" s="4" t="s">
        <v>123</v>
      </c>
      <c r="O152" s="4" t="s">
        <v>22</v>
      </c>
      <c r="P152" s="4" t="s">
        <v>22</v>
      </c>
      <c r="Q152" s="4" t="s">
        <v>37</v>
      </c>
      <c r="R152" s="4" t="s">
        <v>99</v>
      </c>
      <c r="S152" s="4" t="s">
        <v>100</v>
      </c>
      <c r="T152" s="4" t="s">
        <v>100</v>
      </c>
      <c r="AR152" s="4" t="s">
        <v>22</v>
      </c>
      <c r="AS152" s="4" t="s">
        <v>22</v>
      </c>
      <c r="AU152" s="4" t="s">
        <v>468</v>
      </c>
      <c r="AV152">
        <v>20604</v>
      </c>
    </row>
    <row r="153" spans="1:48" ht="30" customHeight="1">
      <c r="A153" s="1" t="s">
        <v>125</v>
      </c>
      <c r="B153" s="1" t="s">
        <v>121</v>
      </c>
      <c r="C153" s="1" t="s">
        <v>116</v>
      </c>
      <c r="D153" s="2">
        <v>2024</v>
      </c>
      <c r="E153" s="7">
        <v>1016</v>
      </c>
      <c r="F153" s="7">
        <f t="shared" si="20"/>
        <v>2056384</v>
      </c>
      <c r="G153" s="7">
        <v>2219</v>
      </c>
      <c r="H153" s="7">
        <f t="shared" si="21"/>
        <v>4491256</v>
      </c>
      <c r="I153" s="7">
        <v>0</v>
      </c>
      <c r="J153" s="7">
        <f t="shared" si="22"/>
        <v>0</v>
      </c>
      <c r="K153" s="7">
        <f t="shared" si="23"/>
        <v>3235</v>
      </c>
      <c r="L153" s="7">
        <f t="shared" si="24"/>
        <v>6547640</v>
      </c>
      <c r="M153" s="1" t="s">
        <v>126</v>
      </c>
      <c r="N153" s="4" t="s">
        <v>127</v>
      </c>
      <c r="O153" s="4" t="s">
        <v>22</v>
      </c>
      <c r="P153" s="4" t="s">
        <v>22</v>
      </c>
      <c r="Q153" s="4" t="s">
        <v>37</v>
      </c>
      <c r="R153" s="4" t="s">
        <v>99</v>
      </c>
      <c r="S153" s="4" t="s">
        <v>100</v>
      </c>
      <c r="T153" s="4" t="s">
        <v>100</v>
      </c>
      <c r="AR153" s="4" t="s">
        <v>22</v>
      </c>
      <c r="AS153" s="4" t="s">
        <v>22</v>
      </c>
      <c r="AU153" s="4" t="s">
        <v>469</v>
      </c>
      <c r="AV153">
        <v>20605</v>
      </c>
    </row>
    <row r="154" spans="1:48" ht="30" customHeight="1">
      <c r="A154" s="1" t="s">
        <v>120</v>
      </c>
      <c r="B154" s="1" t="s">
        <v>253</v>
      </c>
      <c r="C154" s="1" t="s">
        <v>116</v>
      </c>
      <c r="D154" s="2">
        <v>324</v>
      </c>
      <c r="E154" s="7">
        <v>2431</v>
      </c>
      <c r="F154" s="7">
        <f t="shared" si="20"/>
        <v>787644</v>
      </c>
      <c r="G154" s="7">
        <v>2716</v>
      </c>
      <c r="H154" s="7">
        <f t="shared" si="21"/>
        <v>879984</v>
      </c>
      <c r="I154" s="7">
        <v>0</v>
      </c>
      <c r="J154" s="7">
        <f t="shared" si="22"/>
        <v>0</v>
      </c>
      <c r="K154" s="7">
        <f t="shared" si="23"/>
        <v>5147</v>
      </c>
      <c r="L154" s="7">
        <f t="shared" si="24"/>
        <v>1667628</v>
      </c>
      <c r="M154" s="1" t="s">
        <v>254</v>
      </c>
      <c r="N154" s="4" t="s">
        <v>255</v>
      </c>
      <c r="O154" s="4" t="s">
        <v>22</v>
      </c>
      <c r="P154" s="4" t="s">
        <v>22</v>
      </c>
      <c r="Q154" s="4" t="s">
        <v>37</v>
      </c>
      <c r="R154" s="4" t="s">
        <v>99</v>
      </c>
      <c r="S154" s="4" t="s">
        <v>100</v>
      </c>
      <c r="T154" s="4" t="s">
        <v>100</v>
      </c>
      <c r="AR154" s="4" t="s">
        <v>22</v>
      </c>
      <c r="AS154" s="4" t="s">
        <v>22</v>
      </c>
      <c r="AU154" s="4" t="s">
        <v>470</v>
      </c>
      <c r="AV154">
        <v>20606</v>
      </c>
    </row>
    <row r="155" spans="1:48" ht="30" customHeight="1">
      <c r="A155" s="1" t="s">
        <v>142</v>
      </c>
      <c r="B155" s="1" t="s">
        <v>143</v>
      </c>
      <c r="C155" s="1" t="s">
        <v>116</v>
      </c>
      <c r="D155" s="2">
        <v>684</v>
      </c>
      <c r="E155" s="7">
        <v>836</v>
      </c>
      <c r="F155" s="7">
        <f t="shared" si="20"/>
        <v>571824</v>
      </c>
      <c r="G155" s="7">
        <v>1344</v>
      </c>
      <c r="H155" s="7">
        <f t="shared" si="21"/>
        <v>919296</v>
      </c>
      <c r="I155" s="7">
        <v>0</v>
      </c>
      <c r="J155" s="7">
        <f t="shared" si="22"/>
        <v>0</v>
      </c>
      <c r="K155" s="7">
        <f t="shared" si="23"/>
        <v>2180</v>
      </c>
      <c r="L155" s="7">
        <f t="shared" si="24"/>
        <v>1491120</v>
      </c>
      <c r="M155" s="1" t="s">
        <v>144</v>
      </c>
      <c r="N155" s="4" t="s">
        <v>145</v>
      </c>
      <c r="O155" s="4" t="s">
        <v>22</v>
      </c>
      <c r="P155" s="4" t="s">
        <v>22</v>
      </c>
      <c r="Q155" s="4" t="s">
        <v>37</v>
      </c>
      <c r="R155" s="4" t="s">
        <v>99</v>
      </c>
      <c r="S155" s="4" t="s">
        <v>100</v>
      </c>
      <c r="T155" s="4" t="s">
        <v>100</v>
      </c>
      <c r="AR155" s="4" t="s">
        <v>22</v>
      </c>
      <c r="AS155" s="4" t="s">
        <v>22</v>
      </c>
      <c r="AU155" s="4" t="s">
        <v>471</v>
      </c>
      <c r="AV155">
        <v>20607</v>
      </c>
    </row>
    <row r="156" spans="1:48" ht="30" customHeight="1">
      <c r="A156" s="1" t="s">
        <v>147</v>
      </c>
      <c r="B156" s="1" t="s">
        <v>148</v>
      </c>
      <c r="C156" s="1" t="s">
        <v>149</v>
      </c>
      <c r="D156" s="2">
        <v>12</v>
      </c>
      <c r="E156" s="7">
        <v>649</v>
      </c>
      <c r="F156" s="7">
        <f t="shared" si="20"/>
        <v>7788</v>
      </c>
      <c r="G156" s="7">
        <v>18159</v>
      </c>
      <c r="H156" s="7">
        <f t="shared" si="21"/>
        <v>217908</v>
      </c>
      <c r="I156" s="7">
        <v>0</v>
      </c>
      <c r="J156" s="7">
        <f t="shared" si="22"/>
        <v>0</v>
      </c>
      <c r="K156" s="7">
        <f t="shared" si="23"/>
        <v>18808</v>
      </c>
      <c r="L156" s="7">
        <f t="shared" si="24"/>
        <v>225696</v>
      </c>
      <c r="M156" s="1" t="s">
        <v>150</v>
      </c>
      <c r="N156" s="4" t="s">
        <v>151</v>
      </c>
      <c r="O156" s="4" t="s">
        <v>22</v>
      </c>
      <c r="P156" s="4" t="s">
        <v>22</v>
      </c>
      <c r="Q156" s="4" t="s">
        <v>37</v>
      </c>
      <c r="R156" s="4" t="s">
        <v>99</v>
      </c>
      <c r="S156" s="4" t="s">
        <v>100</v>
      </c>
      <c r="T156" s="4" t="s">
        <v>100</v>
      </c>
      <c r="AR156" s="4" t="s">
        <v>22</v>
      </c>
      <c r="AS156" s="4" t="s">
        <v>22</v>
      </c>
      <c r="AU156" s="4" t="s">
        <v>472</v>
      </c>
      <c r="AV156">
        <v>20608</v>
      </c>
    </row>
    <row r="157" spans="1:48" ht="30" customHeight="1">
      <c r="A157" s="1" t="s">
        <v>259</v>
      </c>
      <c r="B157" s="1" t="s">
        <v>260</v>
      </c>
      <c r="C157" s="1" t="s">
        <v>155</v>
      </c>
      <c r="D157" s="2">
        <v>23</v>
      </c>
      <c r="E157" s="7">
        <v>5832</v>
      </c>
      <c r="F157" s="7">
        <f t="shared" si="20"/>
        <v>134136</v>
      </c>
      <c r="G157" s="7">
        <v>103525</v>
      </c>
      <c r="H157" s="7">
        <f t="shared" si="21"/>
        <v>2381075</v>
      </c>
      <c r="I157" s="7">
        <v>6319</v>
      </c>
      <c r="J157" s="7">
        <f t="shared" si="22"/>
        <v>145337</v>
      </c>
      <c r="K157" s="7">
        <f t="shared" si="23"/>
        <v>115676</v>
      </c>
      <c r="L157" s="7">
        <f t="shared" si="24"/>
        <v>2660548</v>
      </c>
      <c r="M157" s="1" t="s">
        <v>261</v>
      </c>
      <c r="N157" s="4" t="s">
        <v>262</v>
      </c>
      <c r="O157" s="4" t="s">
        <v>22</v>
      </c>
      <c r="P157" s="4" t="s">
        <v>22</v>
      </c>
      <c r="Q157" s="4" t="s">
        <v>37</v>
      </c>
      <c r="R157" s="4" t="s">
        <v>99</v>
      </c>
      <c r="S157" s="4" t="s">
        <v>100</v>
      </c>
      <c r="T157" s="4" t="s">
        <v>100</v>
      </c>
      <c r="AR157" s="4" t="s">
        <v>22</v>
      </c>
      <c r="AS157" s="4" t="s">
        <v>22</v>
      </c>
      <c r="AU157" s="4" t="s">
        <v>473</v>
      </c>
      <c r="AV157">
        <v>20609</v>
      </c>
    </row>
    <row r="158" spans="1:48" ht="30" customHeight="1">
      <c r="A158" s="1" t="s">
        <v>259</v>
      </c>
      <c r="B158" s="1" t="s">
        <v>474</v>
      </c>
      <c r="C158" s="1" t="s">
        <v>155</v>
      </c>
      <c r="D158" s="2">
        <v>4</v>
      </c>
      <c r="E158" s="7">
        <v>5832</v>
      </c>
      <c r="F158" s="7">
        <f t="shared" si="20"/>
        <v>23328</v>
      </c>
      <c r="G158" s="7">
        <v>103525</v>
      </c>
      <c r="H158" s="7">
        <f t="shared" si="21"/>
        <v>414100</v>
      </c>
      <c r="I158" s="7">
        <v>6319</v>
      </c>
      <c r="J158" s="7">
        <f t="shared" si="22"/>
        <v>25276</v>
      </c>
      <c r="K158" s="7">
        <f t="shared" si="23"/>
        <v>115676</v>
      </c>
      <c r="L158" s="7">
        <f t="shared" si="24"/>
        <v>462704</v>
      </c>
      <c r="M158" s="1" t="s">
        <v>475</v>
      </c>
      <c r="N158" s="4" t="s">
        <v>476</v>
      </c>
      <c r="O158" s="4" t="s">
        <v>22</v>
      </c>
      <c r="P158" s="4" t="s">
        <v>22</v>
      </c>
      <c r="Q158" s="4" t="s">
        <v>37</v>
      </c>
      <c r="R158" s="4" t="s">
        <v>99</v>
      </c>
      <c r="S158" s="4" t="s">
        <v>100</v>
      </c>
      <c r="T158" s="4" t="s">
        <v>100</v>
      </c>
      <c r="AR158" s="4" t="s">
        <v>22</v>
      </c>
      <c r="AS158" s="4" t="s">
        <v>22</v>
      </c>
      <c r="AU158" s="4" t="s">
        <v>477</v>
      </c>
      <c r="AV158">
        <v>20646</v>
      </c>
    </row>
    <row r="159" spans="1:48" ht="30" customHeight="1">
      <c r="A159" s="1" t="s">
        <v>264</v>
      </c>
      <c r="B159" s="1" t="s">
        <v>171</v>
      </c>
      <c r="C159" s="1" t="s">
        <v>166</v>
      </c>
      <c r="D159" s="2">
        <v>31</v>
      </c>
      <c r="E159" s="7">
        <v>1230</v>
      </c>
      <c r="F159" s="7">
        <f t="shared" si="20"/>
        <v>38130</v>
      </c>
      <c r="G159" s="7">
        <v>41027</v>
      </c>
      <c r="H159" s="7">
        <f t="shared" si="21"/>
        <v>1271837</v>
      </c>
      <c r="I159" s="7">
        <v>0</v>
      </c>
      <c r="J159" s="7">
        <f t="shared" si="22"/>
        <v>0</v>
      </c>
      <c r="K159" s="7">
        <f t="shared" si="23"/>
        <v>42257</v>
      </c>
      <c r="L159" s="7">
        <f t="shared" si="24"/>
        <v>1309967</v>
      </c>
      <c r="M159" s="1" t="s">
        <v>265</v>
      </c>
      <c r="N159" s="4" t="s">
        <v>266</v>
      </c>
      <c r="O159" s="4" t="s">
        <v>22</v>
      </c>
      <c r="P159" s="4" t="s">
        <v>22</v>
      </c>
      <c r="Q159" s="4" t="s">
        <v>37</v>
      </c>
      <c r="R159" s="4" t="s">
        <v>99</v>
      </c>
      <c r="S159" s="4" t="s">
        <v>100</v>
      </c>
      <c r="T159" s="4" t="s">
        <v>100</v>
      </c>
      <c r="AR159" s="4" t="s">
        <v>22</v>
      </c>
      <c r="AS159" s="4" t="s">
        <v>22</v>
      </c>
      <c r="AU159" s="4" t="s">
        <v>478</v>
      </c>
      <c r="AV159">
        <v>20610</v>
      </c>
    </row>
    <row r="160" spans="1:48" ht="30" customHeight="1">
      <c r="A160" s="1" t="s">
        <v>268</v>
      </c>
      <c r="B160" s="1" t="s">
        <v>185</v>
      </c>
      <c r="C160" s="1" t="s">
        <v>155</v>
      </c>
      <c r="D160" s="2">
        <v>27</v>
      </c>
      <c r="E160" s="7">
        <v>9374</v>
      </c>
      <c r="F160" s="7">
        <f t="shared" si="20"/>
        <v>253098</v>
      </c>
      <c r="G160" s="7">
        <v>74534</v>
      </c>
      <c r="H160" s="7">
        <f t="shared" si="21"/>
        <v>2012418</v>
      </c>
      <c r="I160" s="7">
        <v>11266</v>
      </c>
      <c r="J160" s="7">
        <f t="shared" si="22"/>
        <v>304182</v>
      </c>
      <c r="K160" s="7">
        <f t="shared" si="23"/>
        <v>95174</v>
      </c>
      <c r="L160" s="7">
        <f t="shared" si="24"/>
        <v>2569698</v>
      </c>
      <c r="M160" s="1" t="s">
        <v>269</v>
      </c>
      <c r="N160" s="4" t="s">
        <v>270</v>
      </c>
      <c r="O160" s="4" t="s">
        <v>22</v>
      </c>
      <c r="P160" s="4" t="s">
        <v>22</v>
      </c>
      <c r="Q160" s="4" t="s">
        <v>37</v>
      </c>
      <c r="R160" s="4" t="s">
        <v>99</v>
      </c>
      <c r="S160" s="4" t="s">
        <v>100</v>
      </c>
      <c r="T160" s="4" t="s">
        <v>100</v>
      </c>
      <c r="AR160" s="4" t="s">
        <v>22</v>
      </c>
      <c r="AS160" s="4" t="s">
        <v>22</v>
      </c>
      <c r="AU160" s="4" t="s">
        <v>479</v>
      </c>
      <c r="AV160">
        <v>20611</v>
      </c>
    </row>
    <row r="161" spans="1:48" ht="30" customHeight="1">
      <c r="A161" s="1" t="s">
        <v>194</v>
      </c>
      <c r="B161" s="1" t="s">
        <v>195</v>
      </c>
      <c r="C161" s="1" t="s">
        <v>155</v>
      </c>
      <c r="D161" s="2">
        <v>3</v>
      </c>
      <c r="E161" s="7">
        <v>13726</v>
      </c>
      <c r="F161" s="7">
        <f t="shared" si="20"/>
        <v>41178</v>
      </c>
      <c r="G161" s="7">
        <v>457561</v>
      </c>
      <c r="H161" s="7">
        <f t="shared" si="21"/>
        <v>1372683</v>
      </c>
      <c r="I161" s="7">
        <v>0</v>
      </c>
      <c r="J161" s="7">
        <f t="shared" si="22"/>
        <v>0</v>
      </c>
      <c r="K161" s="7">
        <f t="shared" si="23"/>
        <v>471287</v>
      </c>
      <c r="L161" s="7">
        <f t="shared" si="24"/>
        <v>1413861</v>
      </c>
      <c r="M161" s="1" t="s">
        <v>196</v>
      </c>
      <c r="N161" s="4" t="s">
        <v>197</v>
      </c>
      <c r="O161" s="4" t="s">
        <v>22</v>
      </c>
      <c r="P161" s="4" t="s">
        <v>22</v>
      </c>
      <c r="Q161" s="4" t="s">
        <v>37</v>
      </c>
      <c r="R161" s="4" t="s">
        <v>99</v>
      </c>
      <c r="S161" s="4" t="s">
        <v>100</v>
      </c>
      <c r="T161" s="4" t="s">
        <v>100</v>
      </c>
      <c r="AR161" s="4" t="s">
        <v>22</v>
      </c>
      <c r="AS161" s="4" t="s">
        <v>22</v>
      </c>
      <c r="AU161" s="4" t="s">
        <v>480</v>
      </c>
      <c r="AV161">
        <v>20612</v>
      </c>
    </row>
    <row r="162" spans="1:48" ht="30" customHeight="1">
      <c r="A162" s="1" t="s">
        <v>199</v>
      </c>
      <c r="B162" s="1" t="s">
        <v>200</v>
      </c>
      <c r="C162" s="1" t="s">
        <v>166</v>
      </c>
      <c r="D162" s="2">
        <v>3</v>
      </c>
      <c r="E162" s="7">
        <v>107385</v>
      </c>
      <c r="F162" s="7">
        <f t="shared" si="20"/>
        <v>322155</v>
      </c>
      <c r="G162" s="7">
        <v>258032</v>
      </c>
      <c r="H162" s="7">
        <f t="shared" si="21"/>
        <v>774096</v>
      </c>
      <c r="I162" s="7">
        <v>12515</v>
      </c>
      <c r="J162" s="7">
        <f t="shared" si="22"/>
        <v>37545</v>
      </c>
      <c r="K162" s="7">
        <f t="shared" si="23"/>
        <v>377932</v>
      </c>
      <c r="L162" s="7">
        <f t="shared" si="24"/>
        <v>1133796</v>
      </c>
      <c r="M162" s="1" t="s">
        <v>201</v>
      </c>
      <c r="N162" s="4" t="s">
        <v>202</v>
      </c>
      <c r="O162" s="4" t="s">
        <v>22</v>
      </c>
      <c r="P162" s="4" t="s">
        <v>22</v>
      </c>
      <c r="Q162" s="4" t="s">
        <v>37</v>
      </c>
      <c r="R162" s="4" t="s">
        <v>99</v>
      </c>
      <c r="S162" s="4" t="s">
        <v>100</v>
      </c>
      <c r="T162" s="4" t="s">
        <v>100</v>
      </c>
      <c r="AR162" s="4" t="s">
        <v>22</v>
      </c>
      <c r="AS162" s="4" t="s">
        <v>22</v>
      </c>
      <c r="AU162" s="4" t="s">
        <v>481</v>
      </c>
      <c r="AV162">
        <v>20613</v>
      </c>
    </row>
    <row r="163" spans="1:48" ht="30" customHeight="1">
      <c r="A163" s="1" t="s">
        <v>204</v>
      </c>
      <c r="B163" s="1" t="s">
        <v>205</v>
      </c>
      <c r="C163" s="1" t="s">
        <v>96</v>
      </c>
      <c r="D163" s="2">
        <v>693</v>
      </c>
      <c r="E163" s="7">
        <v>399</v>
      </c>
      <c r="F163" s="7">
        <f t="shared" si="20"/>
        <v>276507</v>
      </c>
      <c r="G163" s="7">
        <v>3839</v>
      </c>
      <c r="H163" s="7">
        <f t="shared" si="21"/>
        <v>2660427</v>
      </c>
      <c r="I163" s="7">
        <v>178</v>
      </c>
      <c r="J163" s="7">
        <f t="shared" si="22"/>
        <v>123354</v>
      </c>
      <c r="K163" s="7">
        <f t="shared" si="23"/>
        <v>4416</v>
      </c>
      <c r="L163" s="7">
        <f t="shared" si="24"/>
        <v>3060288</v>
      </c>
      <c r="M163" s="1" t="s">
        <v>206</v>
      </c>
      <c r="N163" s="4" t="s">
        <v>207</v>
      </c>
      <c r="O163" s="4" t="s">
        <v>22</v>
      </c>
      <c r="P163" s="4" t="s">
        <v>22</v>
      </c>
      <c r="Q163" s="4" t="s">
        <v>37</v>
      </c>
      <c r="R163" s="4" t="s">
        <v>99</v>
      </c>
      <c r="S163" s="4" t="s">
        <v>100</v>
      </c>
      <c r="T163" s="4" t="s">
        <v>100</v>
      </c>
      <c r="AR163" s="4" t="s">
        <v>22</v>
      </c>
      <c r="AS163" s="4" t="s">
        <v>22</v>
      </c>
      <c r="AU163" s="4" t="s">
        <v>482</v>
      </c>
      <c r="AV163">
        <v>20614</v>
      </c>
    </row>
    <row r="164" spans="1:48" ht="30" customHeight="1">
      <c r="A164" s="1" t="s">
        <v>214</v>
      </c>
      <c r="B164" s="1" t="s">
        <v>215</v>
      </c>
      <c r="C164" s="1" t="s">
        <v>155</v>
      </c>
      <c r="D164" s="2">
        <v>3</v>
      </c>
      <c r="E164" s="7">
        <v>291413</v>
      </c>
      <c r="F164" s="7">
        <f t="shared" si="20"/>
        <v>874239</v>
      </c>
      <c r="G164" s="7">
        <v>65550</v>
      </c>
      <c r="H164" s="7">
        <f t="shared" si="21"/>
        <v>196650</v>
      </c>
      <c r="I164" s="7">
        <v>1083</v>
      </c>
      <c r="J164" s="7">
        <f t="shared" si="22"/>
        <v>3249</v>
      </c>
      <c r="K164" s="7">
        <f t="shared" si="23"/>
        <v>358046</v>
      </c>
      <c r="L164" s="7">
        <f t="shared" si="24"/>
        <v>1074138</v>
      </c>
      <c r="M164" s="1" t="s">
        <v>216</v>
      </c>
      <c r="N164" s="4" t="s">
        <v>217</v>
      </c>
      <c r="O164" s="4" t="s">
        <v>22</v>
      </c>
      <c r="P164" s="4" t="s">
        <v>22</v>
      </c>
      <c r="Q164" s="4" t="s">
        <v>37</v>
      </c>
      <c r="R164" s="4" t="s">
        <v>99</v>
      </c>
      <c r="S164" s="4" t="s">
        <v>100</v>
      </c>
      <c r="T164" s="4" t="s">
        <v>100</v>
      </c>
      <c r="AR164" s="4" t="s">
        <v>22</v>
      </c>
      <c r="AS164" s="4" t="s">
        <v>22</v>
      </c>
      <c r="AU164" s="4" t="s">
        <v>483</v>
      </c>
      <c r="AV164">
        <v>20615</v>
      </c>
    </row>
    <row r="165" spans="1:48" ht="30" customHeight="1">
      <c r="A165" s="1" t="s">
        <v>219</v>
      </c>
      <c r="B165" s="1" t="s">
        <v>220</v>
      </c>
      <c r="C165" s="1" t="s">
        <v>149</v>
      </c>
      <c r="D165" s="2">
        <v>3</v>
      </c>
      <c r="E165" s="7">
        <v>16041</v>
      </c>
      <c r="F165" s="7">
        <f t="shared" si="20"/>
        <v>48123</v>
      </c>
      <c r="G165" s="7">
        <v>9338</v>
      </c>
      <c r="H165" s="7">
        <f t="shared" si="21"/>
        <v>28014</v>
      </c>
      <c r="I165" s="7">
        <v>0</v>
      </c>
      <c r="J165" s="7">
        <f t="shared" si="22"/>
        <v>0</v>
      </c>
      <c r="K165" s="7">
        <f t="shared" si="23"/>
        <v>25379</v>
      </c>
      <c r="L165" s="7">
        <f t="shared" si="24"/>
        <v>76137</v>
      </c>
      <c r="M165" s="1" t="s">
        <v>221</v>
      </c>
      <c r="N165" s="4" t="s">
        <v>222</v>
      </c>
      <c r="O165" s="4" t="s">
        <v>22</v>
      </c>
      <c r="P165" s="4" t="s">
        <v>22</v>
      </c>
      <c r="Q165" s="4" t="s">
        <v>37</v>
      </c>
      <c r="R165" s="4" t="s">
        <v>99</v>
      </c>
      <c r="S165" s="4" t="s">
        <v>100</v>
      </c>
      <c r="T165" s="4" t="s">
        <v>100</v>
      </c>
      <c r="AR165" s="4" t="s">
        <v>22</v>
      </c>
      <c r="AS165" s="4" t="s">
        <v>22</v>
      </c>
      <c r="AU165" s="4" t="s">
        <v>484</v>
      </c>
      <c r="AV165">
        <v>20616</v>
      </c>
    </row>
    <row r="166" spans="1:48" ht="30" customHeight="1">
      <c r="A166" s="1" t="s">
        <v>229</v>
      </c>
      <c r="B166" s="1" t="s">
        <v>230</v>
      </c>
      <c r="C166" s="1" t="s">
        <v>149</v>
      </c>
      <c r="D166" s="2">
        <v>31</v>
      </c>
      <c r="E166" s="7">
        <v>690</v>
      </c>
      <c r="F166" s="7">
        <f t="shared" si="20"/>
        <v>21390</v>
      </c>
      <c r="G166" s="7">
        <v>23017</v>
      </c>
      <c r="H166" s="7">
        <f t="shared" si="21"/>
        <v>713527</v>
      </c>
      <c r="I166" s="7">
        <v>0</v>
      </c>
      <c r="J166" s="7">
        <f t="shared" si="22"/>
        <v>0</v>
      </c>
      <c r="K166" s="7">
        <f t="shared" si="23"/>
        <v>23707</v>
      </c>
      <c r="L166" s="7">
        <f t="shared" si="24"/>
        <v>734917</v>
      </c>
      <c r="M166" s="1" t="s">
        <v>231</v>
      </c>
      <c r="N166" s="4" t="s">
        <v>232</v>
      </c>
      <c r="O166" s="4" t="s">
        <v>22</v>
      </c>
      <c r="P166" s="4" t="s">
        <v>22</v>
      </c>
      <c r="Q166" s="4" t="s">
        <v>37</v>
      </c>
      <c r="R166" s="4" t="s">
        <v>99</v>
      </c>
      <c r="S166" s="4" t="s">
        <v>100</v>
      </c>
      <c r="T166" s="4" t="s">
        <v>100</v>
      </c>
      <c r="AR166" s="4" t="s">
        <v>22</v>
      </c>
      <c r="AS166" s="4" t="s">
        <v>22</v>
      </c>
      <c r="AU166" s="4" t="s">
        <v>485</v>
      </c>
      <c r="AV166">
        <v>20618</v>
      </c>
    </row>
    <row r="167" spans="1:48" ht="30" customHeight="1">
      <c r="A167" s="1" t="s">
        <v>277</v>
      </c>
      <c r="B167" s="1" t="s">
        <v>225</v>
      </c>
      <c r="C167" s="1" t="s">
        <v>149</v>
      </c>
      <c r="D167" s="2">
        <v>31</v>
      </c>
      <c r="E167" s="7">
        <v>16041</v>
      </c>
      <c r="F167" s="7">
        <f t="shared" si="20"/>
        <v>497271</v>
      </c>
      <c r="G167" s="7">
        <v>9338</v>
      </c>
      <c r="H167" s="7">
        <f t="shared" si="21"/>
        <v>289478</v>
      </c>
      <c r="I167" s="7">
        <v>0</v>
      </c>
      <c r="J167" s="7">
        <f t="shared" si="22"/>
        <v>0</v>
      </c>
      <c r="K167" s="7">
        <f t="shared" si="23"/>
        <v>25379</v>
      </c>
      <c r="L167" s="7">
        <f t="shared" si="24"/>
        <v>786749</v>
      </c>
      <c r="M167" s="1" t="s">
        <v>278</v>
      </c>
      <c r="N167" s="4" t="s">
        <v>279</v>
      </c>
      <c r="O167" s="4" t="s">
        <v>22</v>
      </c>
      <c r="P167" s="4" t="s">
        <v>22</v>
      </c>
      <c r="Q167" s="4" t="s">
        <v>37</v>
      </c>
      <c r="R167" s="4" t="s">
        <v>99</v>
      </c>
      <c r="S167" s="4" t="s">
        <v>100</v>
      </c>
      <c r="T167" s="4" t="s">
        <v>100</v>
      </c>
      <c r="AR167" s="4" t="s">
        <v>22</v>
      </c>
      <c r="AS167" s="4" t="s">
        <v>22</v>
      </c>
      <c r="AU167" s="4" t="s">
        <v>486</v>
      </c>
      <c r="AV167">
        <v>20617</v>
      </c>
    </row>
    <row r="168" spans="1:48" ht="30" customHeight="1">
      <c r="A168" s="1" t="s">
        <v>234</v>
      </c>
      <c r="B168" s="1" t="s">
        <v>235</v>
      </c>
      <c r="C168" s="1" t="s">
        <v>149</v>
      </c>
      <c r="D168" s="2">
        <v>31</v>
      </c>
      <c r="E168" s="7">
        <v>46522</v>
      </c>
      <c r="F168" s="7">
        <f t="shared" si="20"/>
        <v>1442182</v>
      </c>
      <c r="G168" s="7">
        <v>29818</v>
      </c>
      <c r="H168" s="7">
        <f t="shared" si="21"/>
        <v>924358</v>
      </c>
      <c r="I168" s="7">
        <v>0</v>
      </c>
      <c r="J168" s="7">
        <f t="shared" si="22"/>
        <v>0</v>
      </c>
      <c r="K168" s="7">
        <f t="shared" si="23"/>
        <v>76340</v>
      </c>
      <c r="L168" s="7">
        <f t="shared" si="24"/>
        <v>2366540</v>
      </c>
      <c r="M168" s="1" t="s">
        <v>236</v>
      </c>
      <c r="N168" s="4" t="s">
        <v>237</v>
      </c>
      <c r="O168" s="4" t="s">
        <v>22</v>
      </c>
      <c r="P168" s="4" t="s">
        <v>22</v>
      </c>
      <c r="Q168" s="4" t="s">
        <v>37</v>
      </c>
      <c r="R168" s="4" t="s">
        <v>99</v>
      </c>
      <c r="S168" s="4" t="s">
        <v>100</v>
      </c>
      <c r="T168" s="4" t="s">
        <v>100</v>
      </c>
      <c r="AR168" s="4" t="s">
        <v>22</v>
      </c>
      <c r="AS168" s="4" t="s">
        <v>22</v>
      </c>
      <c r="AU168" s="4" t="s">
        <v>487</v>
      </c>
      <c r="AV168">
        <v>20619</v>
      </c>
    </row>
    <row r="169" spans="1:48" ht="30" customHeight="1">
      <c r="A169" s="1" t="s">
        <v>234</v>
      </c>
      <c r="B169" s="1" t="s">
        <v>239</v>
      </c>
      <c r="C169" s="1" t="s">
        <v>149</v>
      </c>
      <c r="D169" s="2">
        <v>24</v>
      </c>
      <c r="E169" s="7">
        <v>12444</v>
      </c>
      <c r="F169" s="7">
        <f t="shared" si="20"/>
        <v>298656</v>
      </c>
      <c r="G169" s="7">
        <v>0</v>
      </c>
      <c r="H169" s="7">
        <f t="shared" si="21"/>
        <v>0</v>
      </c>
      <c r="I169" s="7">
        <v>0</v>
      </c>
      <c r="J169" s="7">
        <f t="shared" si="22"/>
        <v>0</v>
      </c>
      <c r="K169" s="7">
        <f t="shared" si="23"/>
        <v>12444</v>
      </c>
      <c r="L169" s="7">
        <f t="shared" si="24"/>
        <v>298656</v>
      </c>
      <c r="M169" s="1" t="s">
        <v>22</v>
      </c>
      <c r="N169" s="4" t="s">
        <v>240</v>
      </c>
      <c r="O169" s="4" t="s">
        <v>22</v>
      </c>
      <c r="P169" s="4" t="s">
        <v>22</v>
      </c>
      <c r="Q169" s="4" t="s">
        <v>37</v>
      </c>
      <c r="R169" s="4" t="s">
        <v>100</v>
      </c>
      <c r="S169" s="4" t="s">
        <v>100</v>
      </c>
      <c r="T169" s="4" t="s">
        <v>99</v>
      </c>
      <c r="AR169" s="4" t="s">
        <v>22</v>
      </c>
      <c r="AS169" s="4" t="s">
        <v>22</v>
      </c>
      <c r="AU169" s="4" t="s">
        <v>488</v>
      </c>
      <c r="AV169">
        <v>20620</v>
      </c>
    </row>
    <row r="170" spans="1:48" ht="30" customHeight="1">
      <c r="A170" s="1" t="s">
        <v>242</v>
      </c>
      <c r="B170" s="1" t="s">
        <v>243</v>
      </c>
      <c r="C170" s="1" t="s">
        <v>166</v>
      </c>
      <c r="D170" s="2">
        <v>3</v>
      </c>
      <c r="E170" s="7">
        <v>137695</v>
      </c>
      <c r="F170" s="7">
        <f t="shared" si="20"/>
        <v>413085</v>
      </c>
      <c r="G170" s="7">
        <v>644059</v>
      </c>
      <c r="H170" s="7">
        <f t="shared" si="21"/>
        <v>1932177</v>
      </c>
      <c r="I170" s="7">
        <v>0</v>
      </c>
      <c r="J170" s="7">
        <f t="shared" si="22"/>
        <v>0</v>
      </c>
      <c r="K170" s="7">
        <f t="shared" si="23"/>
        <v>781754</v>
      </c>
      <c r="L170" s="7">
        <f t="shared" si="24"/>
        <v>2345262</v>
      </c>
      <c r="M170" s="1" t="s">
        <v>244</v>
      </c>
      <c r="N170" s="4" t="s">
        <v>245</v>
      </c>
      <c r="O170" s="4" t="s">
        <v>22</v>
      </c>
      <c r="P170" s="4" t="s">
        <v>22</v>
      </c>
      <c r="Q170" s="4" t="s">
        <v>37</v>
      </c>
      <c r="R170" s="4" t="s">
        <v>99</v>
      </c>
      <c r="S170" s="4" t="s">
        <v>100</v>
      </c>
      <c r="T170" s="4" t="s">
        <v>100</v>
      </c>
      <c r="AR170" s="4" t="s">
        <v>22</v>
      </c>
      <c r="AS170" s="4" t="s">
        <v>22</v>
      </c>
      <c r="AU170" s="4" t="s">
        <v>489</v>
      </c>
      <c r="AV170">
        <v>20621</v>
      </c>
    </row>
    <row r="171" spans="1:48" ht="30" customHeight="1">
      <c r="A171" s="1" t="s">
        <v>62</v>
      </c>
      <c r="B171" s="2"/>
      <c r="C171" s="2"/>
      <c r="D171" s="2"/>
      <c r="E171" s="7">
        <v>0</v>
      </c>
      <c r="F171" s="7">
        <f>SUM(F149:F170)</f>
        <v>9568919</v>
      </c>
      <c r="G171" s="7">
        <v>0</v>
      </c>
      <c r="H171" s="7">
        <f>SUM(H149:H170)</f>
        <v>32472470</v>
      </c>
      <c r="I171" s="7">
        <v>0</v>
      </c>
      <c r="J171" s="7">
        <f>SUM(J149:J170)</f>
        <v>638943</v>
      </c>
      <c r="K171" s="2"/>
      <c r="L171" s="7">
        <f>SUM(L149:L170)</f>
        <v>42680332</v>
      </c>
      <c r="M171" s="2"/>
      <c r="N171" t="s">
        <v>247</v>
      </c>
    </row>
    <row r="172" spans="1:48" ht="30" customHeight="1">
      <c r="A172" s="1" t="s">
        <v>38</v>
      </c>
      <c r="B172" s="1" t="s">
        <v>22</v>
      </c>
      <c r="C172" s="2"/>
      <c r="D172" s="2"/>
      <c r="E172" s="7">
        <v>0</v>
      </c>
      <c r="F172" s="2"/>
      <c r="G172" s="7">
        <v>0</v>
      </c>
      <c r="H172" s="2"/>
      <c r="I172" s="7">
        <v>0</v>
      </c>
      <c r="J172" s="2"/>
      <c r="K172" s="2"/>
      <c r="L172" s="2"/>
      <c r="M172" s="2"/>
      <c r="Q172" s="4" t="s">
        <v>39</v>
      </c>
    </row>
    <row r="173" spans="1:48" ht="30" customHeight="1">
      <c r="A173" s="1" t="s">
        <v>490</v>
      </c>
      <c r="B173" s="1" t="s">
        <v>491</v>
      </c>
      <c r="C173" s="1" t="s">
        <v>492</v>
      </c>
      <c r="D173" s="2">
        <v>13</v>
      </c>
      <c r="E173" s="7">
        <v>3559</v>
      </c>
      <c r="F173" s="7">
        <f>TRUNC(E173*D173, 0)</f>
        <v>46267</v>
      </c>
      <c r="G173" s="7">
        <v>118680</v>
      </c>
      <c r="H173" s="7">
        <f>TRUNC(G173*D173, 0)</f>
        <v>1542840</v>
      </c>
      <c r="I173" s="7">
        <v>0</v>
      </c>
      <c r="J173" s="7">
        <f>TRUNC(I173*D173, 0)</f>
        <v>0</v>
      </c>
      <c r="K173" s="7">
        <f t="shared" ref="K173:K177" si="25">TRUNC(E173+G173+I173, 0)</f>
        <v>122239</v>
      </c>
      <c r="L173" s="7">
        <f t="shared" ref="L173:L177" si="26">TRUNC(F173+H173+J173, 0)</f>
        <v>1589107</v>
      </c>
      <c r="M173" s="1" t="s">
        <v>493</v>
      </c>
      <c r="N173" s="4" t="s">
        <v>494</v>
      </c>
      <c r="O173" s="4" t="s">
        <v>22</v>
      </c>
      <c r="P173" s="4" t="s">
        <v>22</v>
      </c>
      <c r="Q173" s="4" t="s">
        <v>39</v>
      </c>
      <c r="R173" s="4" t="s">
        <v>99</v>
      </c>
      <c r="S173" s="4" t="s">
        <v>100</v>
      </c>
      <c r="T173" s="4" t="s">
        <v>100</v>
      </c>
      <c r="AR173" s="4" t="s">
        <v>22</v>
      </c>
      <c r="AS173" s="4" t="s">
        <v>22</v>
      </c>
      <c r="AU173" s="4" t="s">
        <v>495</v>
      </c>
      <c r="AV173">
        <v>20491</v>
      </c>
    </row>
    <row r="174" spans="1:48" ht="30" customHeight="1">
      <c r="A174" s="1" t="s">
        <v>496</v>
      </c>
      <c r="B174" s="1" t="s">
        <v>497</v>
      </c>
      <c r="C174" s="1" t="s">
        <v>492</v>
      </c>
      <c r="D174" s="2">
        <v>13</v>
      </c>
      <c r="E174" s="7">
        <v>1468871</v>
      </c>
      <c r="F174" s="7">
        <f>TRUNC(E174*D174, 0)</f>
        <v>19095323</v>
      </c>
      <c r="G174" s="7">
        <v>569066</v>
      </c>
      <c r="H174" s="7">
        <f>TRUNC(G174*D174, 0)</f>
        <v>7397858</v>
      </c>
      <c r="I174" s="7">
        <v>0</v>
      </c>
      <c r="J174" s="7">
        <f>TRUNC(I174*D174, 0)</f>
        <v>0</v>
      </c>
      <c r="K174" s="7">
        <f t="shared" si="25"/>
        <v>2037937</v>
      </c>
      <c r="L174" s="7">
        <f t="shared" si="26"/>
        <v>26493181</v>
      </c>
      <c r="M174" s="1" t="s">
        <v>498</v>
      </c>
      <c r="N174" s="4" t="s">
        <v>499</v>
      </c>
      <c r="O174" s="4" t="s">
        <v>22</v>
      </c>
      <c r="P174" s="4" t="s">
        <v>22</v>
      </c>
      <c r="Q174" s="4" t="s">
        <v>39</v>
      </c>
      <c r="R174" s="4" t="s">
        <v>99</v>
      </c>
      <c r="S174" s="4" t="s">
        <v>100</v>
      </c>
      <c r="T174" s="4" t="s">
        <v>100</v>
      </c>
      <c r="AR174" s="4" t="s">
        <v>22</v>
      </c>
      <c r="AS174" s="4" t="s">
        <v>22</v>
      </c>
      <c r="AU174" s="4" t="s">
        <v>500</v>
      </c>
      <c r="AV174">
        <v>20490</v>
      </c>
    </row>
    <row r="175" spans="1:48" ht="30" customHeight="1">
      <c r="A175" s="1" t="s">
        <v>501</v>
      </c>
      <c r="B175" s="1" t="s">
        <v>502</v>
      </c>
      <c r="C175" s="1" t="s">
        <v>492</v>
      </c>
      <c r="D175" s="2">
        <v>1</v>
      </c>
      <c r="E175" s="7">
        <v>85836</v>
      </c>
      <c r="F175" s="7">
        <f>TRUNC(E175*D175, 0)</f>
        <v>85836</v>
      </c>
      <c r="G175" s="7">
        <v>2861209</v>
      </c>
      <c r="H175" s="7">
        <f>TRUNC(G175*D175, 0)</f>
        <v>2861209</v>
      </c>
      <c r="I175" s="7">
        <v>0</v>
      </c>
      <c r="J175" s="7">
        <f>TRUNC(I175*D175, 0)</f>
        <v>0</v>
      </c>
      <c r="K175" s="7">
        <f t="shared" si="25"/>
        <v>2947045</v>
      </c>
      <c r="L175" s="7">
        <f t="shared" si="26"/>
        <v>2947045</v>
      </c>
      <c r="M175" s="1" t="s">
        <v>503</v>
      </c>
      <c r="N175" s="4" t="s">
        <v>504</v>
      </c>
      <c r="O175" s="4" t="s">
        <v>22</v>
      </c>
      <c r="P175" s="4" t="s">
        <v>22</v>
      </c>
      <c r="Q175" s="4" t="s">
        <v>39</v>
      </c>
      <c r="R175" s="4" t="s">
        <v>99</v>
      </c>
      <c r="S175" s="4" t="s">
        <v>100</v>
      </c>
      <c r="T175" s="4" t="s">
        <v>100</v>
      </c>
      <c r="AR175" s="4" t="s">
        <v>22</v>
      </c>
      <c r="AS175" s="4" t="s">
        <v>22</v>
      </c>
      <c r="AU175" s="4" t="s">
        <v>505</v>
      </c>
      <c r="AV175">
        <v>20492</v>
      </c>
    </row>
    <row r="176" spans="1:48" ht="30" customHeight="1">
      <c r="A176" s="1" t="s">
        <v>506</v>
      </c>
      <c r="B176" s="1" t="s">
        <v>507</v>
      </c>
      <c r="C176" s="1" t="s">
        <v>492</v>
      </c>
      <c r="D176" s="2">
        <v>13</v>
      </c>
      <c r="E176" s="7">
        <v>32816</v>
      </c>
      <c r="F176" s="7">
        <f>TRUNC(E176*D176, 0)</f>
        <v>426608</v>
      </c>
      <c r="G176" s="7">
        <v>1093902</v>
      </c>
      <c r="H176" s="7">
        <f>TRUNC(G176*D176, 0)</f>
        <v>14220726</v>
      </c>
      <c r="I176" s="7">
        <v>0</v>
      </c>
      <c r="J176" s="7">
        <f>TRUNC(I176*D176, 0)</f>
        <v>0</v>
      </c>
      <c r="K176" s="7">
        <f t="shared" si="25"/>
        <v>1126718</v>
      </c>
      <c r="L176" s="7">
        <f t="shared" si="26"/>
        <v>14647334</v>
      </c>
      <c r="M176" s="1" t="s">
        <v>508</v>
      </c>
      <c r="N176" s="4" t="s">
        <v>509</v>
      </c>
      <c r="O176" s="4" t="s">
        <v>22</v>
      </c>
      <c r="P176" s="4" t="s">
        <v>22</v>
      </c>
      <c r="Q176" s="4" t="s">
        <v>39</v>
      </c>
      <c r="R176" s="4" t="s">
        <v>99</v>
      </c>
      <c r="S176" s="4" t="s">
        <v>100</v>
      </c>
      <c r="T176" s="4" t="s">
        <v>100</v>
      </c>
      <c r="AR176" s="4" t="s">
        <v>22</v>
      </c>
      <c r="AS176" s="4" t="s">
        <v>22</v>
      </c>
      <c r="AU176" s="4" t="s">
        <v>510</v>
      </c>
      <c r="AV176">
        <v>20493</v>
      </c>
    </row>
    <row r="177" spans="1:48" ht="30" customHeight="1">
      <c r="A177" s="1" t="s">
        <v>511</v>
      </c>
      <c r="B177" s="1" t="s">
        <v>512</v>
      </c>
      <c r="C177" s="1" t="s">
        <v>513</v>
      </c>
      <c r="D177" s="2">
        <v>8.6999999999999993</v>
      </c>
      <c r="E177" s="7">
        <v>8748</v>
      </c>
      <c r="F177" s="7">
        <f>TRUNC(E177*D177, 0)</f>
        <v>76107</v>
      </c>
      <c r="G177" s="7">
        <v>291648</v>
      </c>
      <c r="H177" s="7">
        <f>TRUNC(G177*D177, 0)</f>
        <v>2537337</v>
      </c>
      <c r="I177" s="7">
        <v>9097</v>
      </c>
      <c r="J177" s="7">
        <f>TRUNC(I177*D177, 0)</f>
        <v>79143</v>
      </c>
      <c r="K177" s="7">
        <f t="shared" si="25"/>
        <v>309493</v>
      </c>
      <c r="L177" s="7">
        <f t="shared" si="26"/>
        <v>2692587</v>
      </c>
      <c r="M177" s="1" t="s">
        <v>514</v>
      </c>
      <c r="N177" s="4" t="s">
        <v>515</v>
      </c>
      <c r="O177" s="4" t="s">
        <v>22</v>
      </c>
      <c r="P177" s="4" t="s">
        <v>22</v>
      </c>
      <c r="Q177" s="4" t="s">
        <v>39</v>
      </c>
      <c r="R177" s="4" t="s">
        <v>99</v>
      </c>
      <c r="S177" s="4" t="s">
        <v>100</v>
      </c>
      <c r="T177" s="4" t="s">
        <v>100</v>
      </c>
      <c r="AR177" s="4" t="s">
        <v>22</v>
      </c>
      <c r="AS177" s="4" t="s">
        <v>22</v>
      </c>
      <c r="AU177" s="4" t="s">
        <v>516</v>
      </c>
      <c r="AV177">
        <v>20580</v>
      </c>
    </row>
    <row r="178" spans="1:48" ht="30" customHeight="1">
      <c r="A178" s="2"/>
      <c r="B178" s="2"/>
      <c r="C178" s="2"/>
      <c r="D178" s="2"/>
      <c r="E178" s="7">
        <v>0</v>
      </c>
      <c r="F178" s="2"/>
      <c r="G178" s="7">
        <v>0</v>
      </c>
      <c r="H178" s="2"/>
      <c r="I178" s="7">
        <v>0</v>
      </c>
      <c r="J178" s="2"/>
      <c r="K178" s="2"/>
      <c r="L178" s="2"/>
      <c r="M178" s="2"/>
    </row>
    <row r="179" spans="1:48" ht="30" customHeight="1">
      <c r="A179" s="2"/>
      <c r="B179" s="2"/>
      <c r="C179" s="2"/>
      <c r="D179" s="2"/>
      <c r="E179" s="7">
        <v>0</v>
      </c>
      <c r="F179" s="2"/>
      <c r="G179" s="7">
        <v>0</v>
      </c>
      <c r="H179" s="2"/>
      <c r="I179" s="7">
        <v>0</v>
      </c>
      <c r="J179" s="2"/>
      <c r="K179" s="2"/>
      <c r="L179" s="2"/>
      <c r="M179" s="2"/>
    </row>
    <row r="180" spans="1:48" ht="30" customHeight="1">
      <c r="A180" s="2"/>
      <c r="B180" s="2"/>
      <c r="C180" s="2"/>
      <c r="D180" s="2"/>
      <c r="E180" s="7">
        <v>0</v>
      </c>
      <c r="F180" s="2"/>
      <c r="G180" s="7">
        <v>0</v>
      </c>
      <c r="H180" s="2"/>
      <c r="I180" s="7">
        <v>0</v>
      </c>
      <c r="J180" s="2"/>
      <c r="K180" s="2"/>
      <c r="L180" s="2"/>
      <c r="M180" s="2"/>
    </row>
    <row r="181" spans="1:48" ht="30" customHeight="1">
      <c r="A181" s="2"/>
      <c r="B181" s="2"/>
      <c r="C181" s="2"/>
      <c r="D181" s="2"/>
      <c r="E181" s="7">
        <v>0</v>
      </c>
      <c r="F181" s="2"/>
      <c r="G181" s="7">
        <v>0</v>
      </c>
      <c r="H181" s="2"/>
      <c r="I181" s="7">
        <v>0</v>
      </c>
      <c r="J181" s="2"/>
      <c r="K181" s="2"/>
      <c r="L181" s="2"/>
      <c r="M181" s="2"/>
    </row>
    <row r="182" spans="1:48" ht="30" customHeight="1">
      <c r="A182" s="2"/>
      <c r="B182" s="2"/>
      <c r="C182" s="2"/>
      <c r="D182" s="2"/>
      <c r="E182" s="7">
        <v>0</v>
      </c>
      <c r="F182" s="2"/>
      <c r="G182" s="7">
        <v>0</v>
      </c>
      <c r="H182" s="2"/>
      <c r="I182" s="7">
        <v>0</v>
      </c>
      <c r="J182" s="2"/>
      <c r="K182" s="2"/>
      <c r="L182" s="2"/>
      <c r="M182" s="2"/>
    </row>
    <row r="183" spans="1:48" ht="30" customHeight="1">
      <c r="A183" s="2"/>
      <c r="B183" s="2"/>
      <c r="C183" s="2"/>
      <c r="D183" s="2"/>
      <c r="E183" s="7">
        <v>0</v>
      </c>
      <c r="F183" s="2"/>
      <c r="G183" s="7">
        <v>0</v>
      </c>
      <c r="H183" s="2"/>
      <c r="I183" s="7">
        <v>0</v>
      </c>
      <c r="J183" s="2"/>
      <c r="K183" s="2"/>
      <c r="L183" s="2"/>
      <c r="M183" s="2"/>
    </row>
    <row r="184" spans="1:48" ht="30" customHeight="1">
      <c r="A184" s="2"/>
      <c r="B184" s="2"/>
      <c r="C184" s="2"/>
      <c r="D184" s="2"/>
      <c r="E184" s="7">
        <v>0</v>
      </c>
      <c r="F184" s="2"/>
      <c r="G184" s="7">
        <v>0</v>
      </c>
      <c r="H184" s="2"/>
      <c r="I184" s="7">
        <v>0</v>
      </c>
      <c r="J184" s="2"/>
      <c r="K184" s="2"/>
      <c r="L184" s="2"/>
      <c r="M184" s="2"/>
    </row>
    <row r="185" spans="1:48" ht="30" customHeight="1">
      <c r="A185" s="2"/>
      <c r="B185" s="2"/>
      <c r="C185" s="2"/>
      <c r="D185" s="2"/>
      <c r="E185" s="7">
        <v>0</v>
      </c>
      <c r="F185" s="2"/>
      <c r="G185" s="7">
        <v>0</v>
      </c>
      <c r="H185" s="2"/>
      <c r="I185" s="7">
        <v>0</v>
      </c>
      <c r="J185" s="2"/>
      <c r="K185" s="2"/>
      <c r="L185" s="2"/>
      <c r="M185" s="2"/>
    </row>
    <row r="186" spans="1:48" ht="30" customHeight="1">
      <c r="A186" s="2"/>
      <c r="B186" s="2"/>
      <c r="C186" s="2"/>
      <c r="D186" s="2"/>
      <c r="E186" s="7">
        <v>0</v>
      </c>
      <c r="F186" s="2"/>
      <c r="G186" s="7">
        <v>0</v>
      </c>
      <c r="H186" s="2"/>
      <c r="I186" s="7">
        <v>0</v>
      </c>
      <c r="J186" s="2"/>
      <c r="K186" s="2"/>
      <c r="L186" s="2"/>
      <c r="M186" s="2"/>
    </row>
    <row r="187" spans="1:48" ht="30" customHeight="1">
      <c r="A187" s="2"/>
      <c r="B187" s="2"/>
      <c r="C187" s="2"/>
      <c r="D187" s="2"/>
      <c r="E187" s="7">
        <v>0</v>
      </c>
      <c r="F187" s="2"/>
      <c r="G187" s="7">
        <v>0</v>
      </c>
      <c r="H187" s="2"/>
      <c r="I187" s="7">
        <v>0</v>
      </c>
      <c r="J187" s="2"/>
      <c r="K187" s="2"/>
      <c r="L187" s="2"/>
      <c r="M187" s="2"/>
    </row>
    <row r="188" spans="1:48" ht="30" customHeight="1">
      <c r="A188" s="2"/>
      <c r="B188" s="2"/>
      <c r="C188" s="2"/>
      <c r="D188" s="2"/>
      <c r="E188" s="7">
        <v>0</v>
      </c>
      <c r="F188" s="2"/>
      <c r="G188" s="7">
        <v>0</v>
      </c>
      <c r="H188" s="2"/>
      <c r="I188" s="7">
        <v>0</v>
      </c>
      <c r="J188" s="2"/>
      <c r="K188" s="2"/>
      <c r="L188" s="2"/>
      <c r="M188" s="2"/>
    </row>
    <row r="189" spans="1:48" ht="30" customHeight="1">
      <c r="A189" s="2"/>
      <c r="B189" s="2"/>
      <c r="C189" s="2"/>
      <c r="D189" s="2"/>
      <c r="E189" s="7">
        <v>0</v>
      </c>
      <c r="F189" s="2"/>
      <c r="G189" s="7">
        <v>0</v>
      </c>
      <c r="H189" s="2"/>
      <c r="I189" s="7">
        <v>0</v>
      </c>
      <c r="J189" s="2"/>
      <c r="K189" s="2"/>
      <c r="L189" s="2"/>
      <c r="M189" s="2"/>
    </row>
    <row r="190" spans="1:48" ht="30" customHeight="1">
      <c r="A190" s="2"/>
      <c r="B190" s="2"/>
      <c r="C190" s="2"/>
      <c r="D190" s="2"/>
      <c r="E190" s="7">
        <v>0</v>
      </c>
      <c r="F190" s="2"/>
      <c r="G190" s="7">
        <v>0</v>
      </c>
      <c r="H190" s="2"/>
      <c r="I190" s="7">
        <v>0</v>
      </c>
      <c r="J190" s="2"/>
      <c r="K190" s="2"/>
      <c r="L190" s="2"/>
      <c r="M190" s="2"/>
    </row>
    <row r="191" spans="1:48" ht="30" customHeight="1">
      <c r="A191" s="2"/>
      <c r="B191" s="2"/>
      <c r="C191" s="2"/>
      <c r="D191" s="2"/>
      <c r="E191" s="7">
        <v>0</v>
      </c>
      <c r="F191" s="2"/>
      <c r="G191" s="7">
        <v>0</v>
      </c>
      <c r="H191" s="2"/>
      <c r="I191" s="7">
        <v>0</v>
      </c>
      <c r="J191" s="2"/>
      <c r="K191" s="2"/>
      <c r="L191" s="2"/>
      <c r="M191" s="2"/>
    </row>
    <row r="192" spans="1:48" ht="30" customHeight="1">
      <c r="A192" s="2"/>
      <c r="B192" s="2"/>
      <c r="C192" s="2"/>
      <c r="D192" s="2"/>
      <c r="E192" s="7">
        <v>0</v>
      </c>
      <c r="F192" s="2"/>
      <c r="G192" s="7">
        <v>0</v>
      </c>
      <c r="H192" s="2"/>
      <c r="I192" s="7">
        <v>0</v>
      </c>
      <c r="J192" s="2"/>
      <c r="K192" s="2"/>
      <c r="L192" s="2"/>
      <c r="M192" s="2"/>
    </row>
    <row r="193" spans="1:48" ht="30" customHeight="1">
      <c r="A193" s="2"/>
      <c r="B193" s="2"/>
      <c r="C193" s="2"/>
      <c r="D193" s="2"/>
      <c r="E193" s="7">
        <v>0</v>
      </c>
      <c r="F193" s="2"/>
      <c r="G193" s="7">
        <v>0</v>
      </c>
      <c r="H193" s="2"/>
      <c r="I193" s="7">
        <v>0</v>
      </c>
      <c r="J193" s="2"/>
      <c r="K193" s="2"/>
      <c r="L193" s="2"/>
      <c r="M193" s="2"/>
    </row>
    <row r="194" spans="1:48" ht="30" customHeight="1">
      <c r="A194" s="2"/>
      <c r="B194" s="2"/>
      <c r="C194" s="2"/>
      <c r="D194" s="2"/>
      <c r="E194" s="7">
        <v>0</v>
      </c>
      <c r="F194" s="2"/>
      <c r="G194" s="7">
        <v>0</v>
      </c>
      <c r="H194" s="2"/>
      <c r="I194" s="7">
        <v>0</v>
      </c>
      <c r="J194" s="2"/>
      <c r="K194" s="2"/>
      <c r="L194" s="2"/>
      <c r="M194" s="2"/>
    </row>
    <row r="195" spans="1:48" ht="30" customHeight="1">
      <c r="A195" s="1" t="s">
        <v>62</v>
      </c>
      <c r="B195" s="2"/>
      <c r="C195" s="2"/>
      <c r="D195" s="2"/>
      <c r="E195" s="7">
        <v>0</v>
      </c>
      <c r="F195" s="7">
        <f>SUM(F173:F194)</f>
        <v>19730141</v>
      </c>
      <c r="G195" s="7">
        <v>0</v>
      </c>
      <c r="H195" s="7">
        <f>SUM(H173:H194)</f>
        <v>28559970</v>
      </c>
      <c r="I195" s="7">
        <v>0</v>
      </c>
      <c r="J195" s="7">
        <f>SUM(J173:J194)</f>
        <v>79143</v>
      </c>
      <c r="K195" s="2"/>
      <c r="L195" s="7">
        <f>SUM(L173:L194)</f>
        <v>48369254</v>
      </c>
      <c r="M195" s="2"/>
      <c r="N195" t="s">
        <v>247</v>
      </c>
    </row>
    <row r="196" spans="1:48" ht="30" customHeight="1">
      <c r="A196" s="1" t="s">
        <v>40</v>
      </c>
      <c r="B196" s="1" t="s">
        <v>22</v>
      </c>
      <c r="C196" s="2"/>
      <c r="D196" s="2"/>
      <c r="E196" s="7">
        <v>0</v>
      </c>
      <c r="F196" s="2"/>
      <c r="G196" s="7">
        <v>0</v>
      </c>
      <c r="H196" s="2"/>
      <c r="I196" s="7">
        <v>0</v>
      </c>
      <c r="J196" s="2"/>
      <c r="K196" s="2"/>
      <c r="L196" s="2"/>
      <c r="M196" s="2"/>
      <c r="Q196" s="4" t="s">
        <v>41</v>
      </c>
    </row>
    <row r="197" spans="1:48" ht="30" customHeight="1">
      <c r="A197" s="1" t="s">
        <v>389</v>
      </c>
      <c r="B197" s="1" t="s">
        <v>95</v>
      </c>
      <c r="C197" s="1" t="s">
        <v>96</v>
      </c>
      <c r="D197" s="2">
        <v>832</v>
      </c>
      <c r="E197" s="7">
        <v>864</v>
      </c>
      <c r="F197" s="7">
        <f t="shared" ref="F197:F203" si="27">TRUNC(E197*D197, 0)</f>
        <v>718848</v>
      </c>
      <c r="G197" s="7">
        <v>9853</v>
      </c>
      <c r="H197" s="7">
        <f t="shared" ref="H197:H203" si="28">TRUNC(G197*D197, 0)</f>
        <v>8197696</v>
      </c>
      <c r="I197" s="7">
        <v>0</v>
      </c>
      <c r="J197" s="7">
        <f t="shared" ref="J197:J203" si="29">TRUNC(I197*D197, 0)</f>
        <v>0</v>
      </c>
      <c r="K197" s="7">
        <f t="shared" ref="K197:K203" si="30">TRUNC(E197+G197+I197, 0)</f>
        <v>10717</v>
      </c>
      <c r="L197" s="7">
        <f t="shared" ref="L197:L203" si="31">TRUNC(F197+H197+J197, 0)</f>
        <v>8916544</v>
      </c>
      <c r="M197" s="1" t="s">
        <v>390</v>
      </c>
      <c r="N197" s="4" t="s">
        <v>391</v>
      </c>
      <c r="O197" s="4" t="s">
        <v>22</v>
      </c>
      <c r="P197" s="4" t="s">
        <v>22</v>
      </c>
      <c r="Q197" s="4" t="s">
        <v>41</v>
      </c>
      <c r="R197" s="4" t="s">
        <v>99</v>
      </c>
      <c r="S197" s="4" t="s">
        <v>100</v>
      </c>
      <c r="T197" s="4" t="s">
        <v>100</v>
      </c>
      <c r="AR197" s="4" t="s">
        <v>22</v>
      </c>
      <c r="AS197" s="4" t="s">
        <v>22</v>
      </c>
      <c r="AU197" s="4" t="s">
        <v>517</v>
      </c>
      <c r="AV197">
        <v>20665</v>
      </c>
    </row>
    <row r="198" spans="1:48" ht="30" customHeight="1">
      <c r="A198" s="1" t="s">
        <v>518</v>
      </c>
      <c r="B198" s="1" t="s">
        <v>519</v>
      </c>
      <c r="C198" s="1" t="s">
        <v>116</v>
      </c>
      <c r="D198" s="2">
        <v>428</v>
      </c>
      <c r="E198" s="7">
        <v>2196</v>
      </c>
      <c r="F198" s="7">
        <f t="shared" si="27"/>
        <v>939888</v>
      </c>
      <c r="G198" s="7">
        <v>2448</v>
      </c>
      <c r="H198" s="7">
        <f t="shared" si="28"/>
        <v>1047744</v>
      </c>
      <c r="I198" s="7">
        <v>0</v>
      </c>
      <c r="J198" s="7">
        <f t="shared" si="29"/>
        <v>0</v>
      </c>
      <c r="K198" s="7">
        <f t="shared" si="30"/>
        <v>4644</v>
      </c>
      <c r="L198" s="7">
        <f t="shared" si="31"/>
        <v>1987632</v>
      </c>
      <c r="M198" s="1" t="s">
        <v>520</v>
      </c>
      <c r="N198" s="4" t="s">
        <v>521</v>
      </c>
      <c r="O198" s="4" t="s">
        <v>22</v>
      </c>
      <c r="P198" s="4" t="s">
        <v>22</v>
      </c>
      <c r="Q198" s="4" t="s">
        <v>41</v>
      </c>
      <c r="R198" s="4" t="s">
        <v>99</v>
      </c>
      <c r="S198" s="4" t="s">
        <v>100</v>
      </c>
      <c r="T198" s="4" t="s">
        <v>100</v>
      </c>
      <c r="AR198" s="4" t="s">
        <v>22</v>
      </c>
      <c r="AS198" s="4" t="s">
        <v>22</v>
      </c>
      <c r="AU198" s="4" t="s">
        <v>522</v>
      </c>
      <c r="AV198">
        <v>20666</v>
      </c>
    </row>
    <row r="199" spans="1:48" ht="30" customHeight="1">
      <c r="A199" s="1" t="s">
        <v>142</v>
      </c>
      <c r="B199" s="1" t="s">
        <v>143</v>
      </c>
      <c r="C199" s="1" t="s">
        <v>116</v>
      </c>
      <c r="D199" s="2">
        <v>428</v>
      </c>
      <c r="E199" s="7">
        <v>836</v>
      </c>
      <c r="F199" s="7">
        <f t="shared" si="27"/>
        <v>357808</v>
      </c>
      <c r="G199" s="7">
        <v>1344</v>
      </c>
      <c r="H199" s="7">
        <f t="shared" si="28"/>
        <v>575232</v>
      </c>
      <c r="I199" s="7">
        <v>0</v>
      </c>
      <c r="J199" s="7">
        <f t="shared" si="29"/>
        <v>0</v>
      </c>
      <c r="K199" s="7">
        <f t="shared" si="30"/>
        <v>2180</v>
      </c>
      <c r="L199" s="7">
        <f t="shared" si="31"/>
        <v>933040</v>
      </c>
      <c r="M199" s="1" t="s">
        <v>144</v>
      </c>
      <c r="N199" s="4" t="s">
        <v>145</v>
      </c>
      <c r="O199" s="4" t="s">
        <v>22</v>
      </c>
      <c r="P199" s="4" t="s">
        <v>22</v>
      </c>
      <c r="Q199" s="4" t="s">
        <v>41</v>
      </c>
      <c r="R199" s="4" t="s">
        <v>99</v>
      </c>
      <c r="S199" s="4" t="s">
        <v>100</v>
      </c>
      <c r="T199" s="4" t="s">
        <v>100</v>
      </c>
      <c r="AR199" s="4" t="s">
        <v>22</v>
      </c>
      <c r="AS199" s="4" t="s">
        <v>22</v>
      </c>
      <c r="AU199" s="4" t="s">
        <v>523</v>
      </c>
      <c r="AV199">
        <v>20667</v>
      </c>
    </row>
    <row r="200" spans="1:48" ht="30" customHeight="1">
      <c r="A200" s="1" t="s">
        <v>524</v>
      </c>
      <c r="B200" s="1" t="s">
        <v>525</v>
      </c>
      <c r="C200" s="1" t="s">
        <v>96</v>
      </c>
      <c r="D200" s="2">
        <v>428</v>
      </c>
      <c r="E200" s="7">
        <v>1182</v>
      </c>
      <c r="F200" s="7">
        <f t="shared" si="27"/>
        <v>505896</v>
      </c>
      <c r="G200" s="7">
        <v>6053</v>
      </c>
      <c r="H200" s="7">
        <f t="shared" si="28"/>
        <v>2590684</v>
      </c>
      <c r="I200" s="7">
        <v>0</v>
      </c>
      <c r="J200" s="7">
        <f t="shared" si="29"/>
        <v>0</v>
      </c>
      <c r="K200" s="7">
        <f t="shared" si="30"/>
        <v>7235</v>
      </c>
      <c r="L200" s="7">
        <f t="shared" si="31"/>
        <v>3096580</v>
      </c>
      <c r="M200" s="1" t="s">
        <v>526</v>
      </c>
      <c r="N200" s="4" t="s">
        <v>527</v>
      </c>
      <c r="O200" s="4" t="s">
        <v>22</v>
      </c>
      <c r="P200" s="4" t="s">
        <v>22</v>
      </c>
      <c r="Q200" s="4" t="s">
        <v>41</v>
      </c>
      <c r="R200" s="4" t="s">
        <v>99</v>
      </c>
      <c r="S200" s="4" t="s">
        <v>100</v>
      </c>
      <c r="T200" s="4" t="s">
        <v>100</v>
      </c>
      <c r="AR200" s="4" t="s">
        <v>22</v>
      </c>
      <c r="AS200" s="4" t="s">
        <v>22</v>
      </c>
      <c r="AU200" s="4" t="s">
        <v>528</v>
      </c>
      <c r="AV200">
        <v>20668</v>
      </c>
    </row>
    <row r="201" spans="1:48" ht="30" customHeight="1">
      <c r="A201" s="1" t="s">
        <v>204</v>
      </c>
      <c r="B201" s="1" t="s">
        <v>205</v>
      </c>
      <c r="C201" s="1" t="s">
        <v>96</v>
      </c>
      <c r="D201" s="2">
        <v>410</v>
      </c>
      <c r="E201" s="7">
        <v>399</v>
      </c>
      <c r="F201" s="7">
        <f t="shared" si="27"/>
        <v>163590</v>
      </c>
      <c r="G201" s="7">
        <v>3839</v>
      </c>
      <c r="H201" s="7">
        <f t="shared" si="28"/>
        <v>1573990</v>
      </c>
      <c r="I201" s="7">
        <v>178</v>
      </c>
      <c r="J201" s="7">
        <f t="shared" si="29"/>
        <v>72980</v>
      </c>
      <c r="K201" s="7">
        <f t="shared" si="30"/>
        <v>4416</v>
      </c>
      <c r="L201" s="7">
        <f t="shared" si="31"/>
        <v>1810560</v>
      </c>
      <c r="M201" s="1" t="s">
        <v>206</v>
      </c>
      <c r="N201" s="4" t="s">
        <v>207</v>
      </c>
      <c r="O201" s="4" t="s">
        <v>22</v>
      </c>
      <c r="P201" s="4" t="s">
        <v>22</v>
      </c>
      <c r="Q201" s="4" t="s">
        <v>41</v>
      </c>
      <c r="R201" s="4" t="s">
        <v>99</v>
      </c>
      <c r="S201" s="4" t="s">
        <v>100</v>
      </c>
      <c r="T201" s="4" t="s">
        <v>100</v>
      </c>
      <c r="AR201" s="4" t="s">
        <v>22</v>
      </c>
      <c r="AS201" s="4" t="s">
        <v>22</v>
      </c>
      <c r="AU201" s="4" t="s">
        <v>529</v>
      </c>
      <c r="AV201">
        <v>20669</v>
      </c>
    </row>
    <row r="202" spans="1:48" ht="30" customHeight="1">
      <c r="A202" s="1" t="s">
        <v>530</v>
      </c>
      <c r="B202" s="1" t="s">
        <v>531</v>
      </c>
      <c r="C202" s="1" t="s">
        <v>155</v>
      </c>
      <c r="D202" s="2">
        <v>8</v>
      </c>
      <c r="E202" s="7">
        <v>17103</v>
      </c>
      <c r="F202" s="7">
        <f t="shared" si="27"/>
        <v>136824</v>
      </c>
      <c r="G202" s="7">
        <v>171801</v>
      </c>
      <c r="H202" s="7">
        <f t="shared" si="28"/>
        <v>1374408</v>
      </c>
      <c r="I202" s="7">
        <v>11266</v>
      </c>
      <c r="J202" s="7">
        <f t="shared" si="29"/>
        <v>90128</v>
      </c>
      <c r="K202" s="7">
        <f t="shared" si="30"/>
        <v>200170</v>
      </c>
      <c r="L202" s="7">
        <f t="shared" si="31"/>
        <v>1601360</v>
      </c>
      <c r="M202" s="1" t="s">
        <v>532</v>
      </c>
      <c r="N202" s="4" t="s">
        <v>533</v>
      </c>
      <c r="O202" s="4" t="s">
        <v>22</v>
      </c>
      <c r="P202" s="4" t="s">
        <v>22</v>
      </c>
      <c r="Q202" s="4" t="s">
        <v>41</v>
      </c>
      <c r="R202" s="4" t="s">
        <v>99</v>
      </c>
      <c r="S202" s="4" t="s">
        <v>100</v>
      </c>
      <c r="T202" s="4" t="s">
        <v>100</v>
      </c>
      <c r="AR202" s="4" t="s">
        <v>22</v>
      </c>
      <c r="AS202" s="4" t="s">
        <v>22</v>
      </c>
      <c r="AU202" s="4" t="s">
        <v>534</v>
      </c>
      <c r="AV202">
        <v>20670</v>
      </c>
    </row>
    <row r="203" spans="1:48" ht="30" customHeight="1">
      <c r="A203" s="1" t="s">
        <v>535</v>
      </c>
      <c r="B203" s="1" t="s">
        <v>536</v>
      </c>
      <c r="C203" s="1" t="s">
        <v>155</v>
      </c>
      <c r="D203" s="2">
        <v>8</v>
      </c>
      <c r="E203" s="7">
        <v>91009</v>
      </c>
      <c r="F203" s="7">
        <f t="shared" si="27"/>
        <v>728072</v>
      </c>
      <c r="G203" s="7">
        <v>156042</v>
      </c>
      <c r="H203" s="7">
        <f t="shared" si="28"/>
        <v>1248336</v>
      </c>
      <c r="I203" s="7">
        <v>1248</v>
      </c>
      <c r="J203" s="7">
        <f t="shared" si="29"/>
        <v>9984</v>
      </c>
      <c r="K203" s="7">
        <f t="shared" si="30"/>
        <v>248299</v>
      </c>
      <c r="L203" s="7">
        <f t="shared" si="31"/>
        <v>1986392</v>
      </c>
      <c r="M203" s="1" t="s">
        <v>537</v>
      </c>
      <c r="N203" s="4" t="s">
        <v>538</v>
      </c>
      <c r="O203" s="4" t="s">
        <v>22</v>
      </c>
      <c r="P203" s="4" t="s">
        <v>22</v>
      </c>
      <c r="Q203" s="4" t="s">
        <v>41</v>
      </c>
      <c r="R203" s="4" t="s">
        <v>99</v>
      </c>
      <c r="S203" s="4" t="s">
        <v>100</v>
      </c>
      <c r="T203" s="4" t="s">
        <v>100</v>
      </c>
      <c r="AR203" s="4" t="s">
        <v>22</v>
      </c>
      <c r="AS203" s="4" t="s">
        <v>22</v>
      </c>
      <c r="AU203" s="4" t="s">
        <v>539</v>
      </c>
      <c r="AV203">
        <v>20671</v>
      </c>
    </row>
    <row r="204" spans="1:48" ht="30" customHeight="1">
      <c r="A204" s="2"/>
      <c r="B204" s="2"/>
      <c r="C204" s="2"/>
      <c r="D204" s="2"/>
      <c r="E204" s="7">
        <v>0</v>
      </c>
      <c r="F204" s="2"/>
      <c r="G204" s="7">
        <v>0</v>
      </c>
      <c r="H204" s="2"/>
      <c r="I204" s="7">
        <v>0</v>
      </c>
      <c r="J204" s="2"/>
      <c r="K204" s="2"/>
      <c r="L204" s="2"/>
      <c r="M204" s="2"/>
    </row>
    <row r="205" spans="1:48" ht="30" customHeight="1">
      <c r="A205" s="2"/>
      <c r="B205" s="2"/>
      <c r="C205" s="2"/>
      <c r="D205" s="2"/>
      <c r="E205" s="7">
        <v>0</v>
      </c>
      <c r="F205" s="2"/>
      <c r="G205" s="7">
        <v>0</v>
      </c>
      <c r="H205" s="2"/>
      <c r="I205" s="7">
        <v>0</v>
      </c>
      <c r="J205" s="2"/>
      <c r="K205" s="2"/>
      <c r="L205" s="2"/>
      <c r="M205" s="2"/>
    </row>
    <row r="206" spans="1:48" ht="30" customHeight="1">
      <c r="A206" s="2"/>
      <c r="B206" s="2"/>
      <c r="C206" s="2"/>
      <c r="D206" s="2"/>
      <c r="E206" s="7">
        <v>0</v>
      </c>
      <c r="F206" s="2"/>
      <c r="G206" s="7">
        <v>0</v>
      </c>
      <c r="H206" s="2"/>
      <c r="I206" s="7">
        <v>0</v>
      </c>
      <c r="J206" s="2"/>
      <c r="K206" s="2"/>
      <c r="L206" s="2"/>
      <c r="M206" s="2"/>
    </row>
    <row r="207" spans="1:48" ht="30" customHeight="1">
      <c r="A207" s="2"/>
      <c r="B207" s="2"/>
      <c r="C207" s="2"/>
      <c r="D207" s="2"/>
      <c r="E207" s="7">
        <v>0</v>
      </c>
      <c r="F207" s="2"/>
      <c r="G207" s="7">
        <v>0</v>
      </c>
      <c r="H207" s="2"/>
      <c r="I207" s="7">
        <v>0</v>
      </c>
      <c r="J207" s="2"/>
      <c r="K207" s="2"/>
      <c r="L207" s="2"/>
      <c r="M207" s="2"/>
    </row>
    <row r="208" spans="1:48" ht="30" customHeight="1">
      <c r="A208" s="2"/>
      <c r="B208" s="2"/>
      <c r="C208" s="2"/>
      <c r="D208" s="2"/>
      <c r="E208" s="7">
        <v>0</v>
      </c>
      <c r="F208" s="2"/>
      <c r="G208" s="7">
        <v>0</v>
      </c>
      <c r="H208" s="2"/>
      <c r="I208" s="7">
        <v>0</v>
      </c>
      <c r="J208" s="2"/>
      <c r="K208" s="2"/>
      <c r="L208" s="2"/>
      <c r="M208" s="2"/>
    </row>
    <row r="209" spans="1:48" ht="30" customHeight="1">
      <c r="A209" s="2"/>
      <c r="B209" s="2"/>
      <c r="C209" s="2"/>
      <c r="D209" s="2"/>
      <c r="E209" s="7">
        <v>0</v>
      </c>
      <c r="F209" s="2"/>
      <c r="G209" s="7">
        <v>0</v>
      </c>
      <c r="H209" s="2"/>
      <c r="I209" s="7">
        <v>0</v>
      </c>
      <c r="J209" s="2"/>
      <c r="K209" s="2"/>
      <c r="L209" s="2"/>
      <c r="M209" s="2"/>
    </row>
    <row r="210" spans="1:48" ht="30" customHeight="1">
      <c r="A210" s="2"/>
      <c r="B210" s="2"/>
      <c r="C210" s="2"/>
      <c r="D210" s="2"/>
      <c r="E210" s="7">
        <v>0</v>
      </c>
      <c r="F210" s="2"/>
      <c r="G210" s="7">
        <v>0</v>
      </c>
      <c r="H210" s="2"/>
      <c r="I210" s="7">
        <v>0</v>
      </c>
      <c r="J210" s="2"/>
      <c r="K210" s="2"/>
      <c r="L210" s="2"/>
      <c r="M210" s="2"/>
    </row>
    <row r="211" spans="1:48" ht="30" customHeight="1">
      <c r="A211" s="2"/>
      <c r="B211" s="2"/>
      <c r="C211" s="2"/>
      <c r="D211" s="2"/>
      <c r="E211" s="7">
        <v>0</v>
      </c>
      <c r="F211" s="2"/>
      <c r="G211" s="7">
        <v>0</v>
      </c>
      <c r="H211" s="2"/>
      <c r="I211" s="7">
        <v>0</v>
      </c>
      <c r="J211" s="2"/>
      <c r="K211" s="2"/>
      <c r="L211" s="2"/>
      <c r="M211" s="2"/>
    </row>
    <row r="212" spans="1:48" ht="30" customHeight="1">
      <c r="A212" s="2"/>
      <c r="B212" s="2"/>
      <c r="C212" s="2"/>
      <c r="D212" s="2"/>
      <c r="E212" s="7">
        <v>0</v>
      </c>
      <c r="F212" s="2"/>
      <c r="G212" s="7">
        <v>0</v>
      </c>
      <c r="H212" s="2"/>
      <c r="I212" s="7">
        <v>0</v>
      </c>
      <c r="J212" s="2"/>
      <c r="K212" s="2"/>
      <c r="L212" s="2"/>
      <c r="M212" s="2"/>
    </row>
    <row r="213" spans="1:48" ht="30" customHeight="1">
      <c r="A213" s="2"/>
      <c r="B213" s="2"/>
      <c r="C213" s="2"/>
      <c r="D213" s="2"/>
      <c r="E213" s="7">
        <v>0</v>
      </c>
      <c r="F213" s="2"/>
      <c r="G213" s="7">
        <v>0</v>
      </c>
      <c r="H213" s="2"/>
      <c r="I213" s="7">
        <v>0</v>
      </c>
      <c r="J213" s="2"/>
      <c r="K213" s="2"/>
      <c r="L213" s="2"/>
      <c r="M213" s="2"/>
    </row>
    <row r="214" spans="1:48" ht="30" customHeight="1">
      <c r="A214" s="2"/>
      <c r="B214" s="2"/>
      <c r="C214" s="2"/>
      <c r="D214" s="2"/>
      <c r="E214" s="7">
        <v>0</v>
      </c>
      <c r="F214" s="2"/>
      <c r="G214" s="7">
        <v>0</v>
      </c>
      <c r="H214" s="2"/>
      <c r="I214" s="7">
        <v>0</v>
      </c>
      <c r="J214" s="2"/>
      <c r="K214" s="2"/>
      <c r="L214" s="2"/>
      <c r="M214" s="2"/>
    </row>
    <row r="215" spans="1:48" ht="30" customHeight="1">
      <c r="A215" s="2"/>
      <c r="B215" s="2"/>
      <c r="C215" s="2"/>
      <c r="D215" s="2"/>
      <c r="E215" s="7">
        <v>0</v>
      </c>
      <c r="F215" s="2"/>
      <c r="G215" s="7">
        <v>0</v>
      </c>
      <c r="H215" s="2"/>
      <c r="I215" s="7">
        <v>0</v>
      </c>
      <c r="J215" s="2"/>
      <c r="K215" s="2"/>
      <c r="L215" s="2"/>
      <c r="M215" s="2"/>
    </row>
    <row r="216" spans="1:48" ht="30" customHeight="1">
      <c r="A216" s="2"/>
      <c r="B216" s="2"/>
      <c r="C216" s="2"/>
      <c r="D216" s="2"/>
      <c r="E216" s="7">
        <v>0</v>
      </c>
      <c r="F216" s="2"/>
      <c r="G216" s="7">
        <v>0</v>
      </c>
      <c r="H216" s="2"/>
      <c r="I216" s="7">
        <v>0</v>
      </c>
      <c r="J216" s="2"/>
      <c r="K216" s="2"/>
      <c r="L216" s="2"/>
      <c r="M216" s="2"/>
    </row>
    <row r="217" spans="1:48" ht="30" customHeight="1">
      <c r="A217" s="2"/>
      <c r="B217" s="2"/>
      <c r="C217" s="2"/>
      <c r="D217" s="2"/>
      <c r="E217" s="7">
        <v>0</v>
      </c>
      <c r="F217" s="2"/>
      <c r="G217" s="7">
        <v>0</v>
      </c>
      <c r="H217" s="2"/>
      <c r="I217" s="7">
        <v>0</v>
      </c>
      <c r="J217" s="2"/>
      <c r="K217" s="2"/>
      <c r="L217" s="2"/>
      <c r="M217" s="2"/>
    </row>
    <row r="218" spans="1:48" ht="30" customHeight="1">
      <c r="A218" s="2"/>
      <c r="B218" s="2"/>
      <c r="C218" s="2"/>
      <c r="D218" s="2"/>
      <c r="E218" s="7">
        <v>0</v>
      </c>
      <c r="F218" s="2"/>
      <c r="G218" s="7">
        <v>0</v>
      </c>
      <c r="H218" s="2"/>
      <c r="I218" s="7">
        <v>0</v>
      </c>
      <c r="J218" s="2"/>
      <c r="K218" s="2"/>
      <c r="L218" s="2"/>
      <c r="M218" s="2"/>
    </row>
    <row r="219" spans="1:48" ht="30" customHeight="1">
      <c r="A219" s="1" t="s">
        <v>62</v>
      </c>
      <c r="B219" s="2"/>
      <c r="C219" s="2"/>
      <c r="D219" s="2"/>
      <c r="E219" s="7">
        <v>0</v>
      </c>
      <c r="F219" s="7">
        <f>SUM(F197:F218)</f>
        <v>3550926</v>
      </c>
      <c r="G219" s="7">
        <v>0</v>
      </c>
      <c r="H219" s="7">
        <f>SUM(H197:H218)</f>
        <v>16608090</v>
      </c>
      <c r="I219" s="7">
        <v>0</v>
      </c>
      <c r="J219" s="7">
        <f>SUM(J197:J218)</f>
        <v>173092</v>
      </c>
      <c r="K219" s="2"/>
      <c r="L219" s="7">
        <f>SUM(L197:L218)</f>
        <v>20332108</v>
      </c>
      <c r="M219" s="2"/>
      <c r="N219" t="s">
        <v>247</v>
      </c>
    </row>
    <row r="220" spans="1:48" ht="30" customHeight="1">
      <c r="A220" s="1" t="s">
        <v>45</v>
      </c>
      <c r="B220" s="1" t="s">
        <v>22</v>
      </c>
      <c r="C220" s="2"/>
      <c r="D220" s="2"/>
      <c r="E220" s="7">
        <v>0</v>
      </c>
      <c r="F220" s="2"/>
      <c r="G220" s="7">
        <v>0</v>
      </c>
      <c r="H220" s="2"/>
      <c r="I220" s="7">
        <v>0</v>
      </c>
      <c r="J220" s="2"/>
      <c r="K220" s="2"/>
      <c r="L220" s="2"/>
      <c r="M220" s="2"/>
      <c r="Q220" s="4" t="s">
        <v>46</v>
      </c>
    </row>
    <row r="221" spans="1:48" ht="30" customHeight="1">
      <c r="A221" s="1" t="s">
        <v>540</v>
      </c>
      <c r="B221" s="1" t="s">
        <v>541</v>
      </c>
      <c r="C221" s="1" t="s">
        <v>149</v>
      </c>
      <c r="D221" s="2">
        <v>385</v>
      </c>
      <c r="E221" s="7">
        <v>886917</v>
      </c>
      <c r="F221" s="7">
        <f t="shared" ref="F221:F234" si="32">TRUNC(E221*D221, 0)</f>
        <v>341463045</v>
      </c>
      <c r="G221" s="7">
        <v>0</v>
      </c>
      <c r="H221" s="7">
        <f t="shared" ref="H221:H234" si="33">TRUNC(G221*D221, 0)</f>
        <v>0</v>
      </c>
      <c r="I221" s="7">
        <v>0</v>
      </c>
      <c r="J221" s="7">
        <f t="shared" ref="J221:J234" si="34">TRUNC(I221*D221, 0)</f>
        <v>0</v>
      </c>
      <c r="K221" s="7">
        <f t="shared" ref="K221:K234" si="35">TRUNC(E221+G221+I221, 0)</f>
        <v>886917</v>
      </c>
      <c r="L221" s="7">
        <f t="shared" ref="L221:L234" si="36">TRUNC(F221+H221+J221, 0)</f>
        <v>341463045</v>
      </c>
      <c r="M221" s="1" t="s">
        <v>22</v>
      </c>
      <c r="N221" s="4" t="s">
        <v>542</v>
      </c>
      <c r="O221" s="4" t="s">
        <v>22</v>
      </c>
      <c r="P221" s="4" t="s">
        <v>22</v>
      </c>
      <c r="Q221" s="4" t="s">
        <v>46</v>
      </c>
      <c r="R221" s="4" t="s">
        <v>100</v>
      </c>
      <c r="S221" s="4" t="s">
        <v>100</v>
      </c>
      <c r="T221" s="4" t="s">
        <v>99</v>
      </c>
      <c r="AR221" s="4" t="s">
        <v>22</v>
      </c>
      <c r="AS221" s="4" t="s">
        <v>22</v>
      </c>
      <c r="AU221" s="4" t="s">
        <v>543</v>
      </c>
      <c r="AV221">
        <v>20537</v>
      </c>
    </row>
    <row r="222" spans="1:48" ht="30" customHeight="1">
      <c r="A222" s="1" t="s">
        <v>544</v>
      </c>
      <c r="B222" s="1" t="s">
        <v>545</v>
      </c>
      <c r="C222" s="1" t="s">
        <v>149</v>
      </c>
      <c r="D222" s="2">
        <v>53</v>
      </c>
      <c r="E222" s="7">
        <v>221728</v>
      </c>
      <c r="F222" s="7">
        <f t="shared" si="32"/>
        <v>11751584</v>
      </c>
      <c r="G222" s="7">
        <v>0</v>
      </c>
      <c r="H222" s="7">
        <f t="shared" si="33"/>
        <v>0</v>
      </c>
      <c r="I222" s="7">
        <v>0</v>
      </c>
      <c r="J222" s="7">
        <f t="shared" si="34"/>
        <v>0</v>
      </c>
      <c r="K222" s="7">
        <f t="shared" si="35"/>
        <v>221728</v>
      </c>
      <c r="L222" s="7">
        <f t="shared" si="36"/>
        <v>11751584</v>
      </c>
      <c r="M222" s="1" t="s">
        <v>22</v>
      </c>
      <c r="N222" s="4" t="s">
        <v>546</v>
      </c>
      <c r="O222" s="4" t="s">
        <v>22</v>
      </c>
      <c r="P222" s="4" t="s">
        <v>22</v>
      </c>
      <c r="Q222" s="4" t="s">
        <v>46</v>
      </c>
      <c r="R222" s="4" t="s">
        <v>100</v>
      </c>
      <c r="S222" s="4" t="s">
        <v>100</v>
      </c>
      <c r="T222" s="4" t="s">
        <v>99</v>
      </c>
      <c r="AR222" s="4" t="s">
        <v>22</v>
      </c>
      <c r="AS222" s="4" t="s">
        <v>22</v>
      </c>
      <c r="AU222" s="4" t="s">
        <v>547</v>
      </c>
      <c r="AV222">
        <v>20538</v>
      </c>
    </row>
    <row r="223" spans="1:48" ht="30" customHeight="1">
      <c r="A223" s="1" t="s">
        <v>548</v>
      </c>
      <c r="B223" s="1" t="s">
        <v>549</v>
      </c>
      <c r="C223" s="1" t="s">
        <v>149</v>
      </c>
      <c r="D223" s="2">
        <v>36</v>
      </c>
      <c r="E223" s="7">
        <v>506810</v>
      </c>
      <c r="F223" s="7">
        <f t="shared" si="32"/>
        <v>18245160</v>
      </c>
      <c r="G223" s="7">
        <v>0</v>
      </c>
      <c r="H223" s="7">
        <f t="shared" si="33"/>
        <v>0</v>
      </c>
      <c r="I223" s="7">
        <v>0</v>
      </c>
      <c r="J223" s="7">
        <f t="shared" si="34"/>
        <v>0</v>
      </c>
      <c r="K223" s="7">
        <f t="shared" si="35"/>
        <v>506810</v>
      </c>
      <c r="L223" s="7">
        <f t="shared" si="36"/>
        <v>18245160</v>
      </c>
      <c r="M223" s="1" t="s">
        <v>22</v>
      </c>
      <c r="N223" s="4" t="s">
        <v>550</v>
      </c>
      <c r="O223" s="4" t="s">
        <v>22</v>
      </c>
      <c r="P223" s="4" t="s">
        <v>22</v>
      </c>
      <c r="Q223" s="4" t="s">
        <v>46</v>
      </c>
      <c r="R223" s="4" t="s">
        <v>100</v>
      </c>
      <c r="S223" s="4" t="s">
        <v>100</v>
      </c>
      <c r="T223" s="4" t="s">
        <v>99</v>
      </c>
      <c r="AR223" s="4" t="s">
        <v>22</v>
      </c>
      <c r="AS223" s="4" t="s">
        <v>22</v>
      </c>
      <c r="AU223" s="4" t="s">
        <v>551</v>
      </c>
      <c r="AV223">
        <v>20539</v>
      </c>
    </row>
    <row r="224" spans="1:48" ht="30" customHeight="1">
      <c r="A224" s="1" t="s">
        <v>552</v>
      </c>
      <c r="B224" s="1" t="s">
        <v>553</v>
      </c>
      <c r="C224" s="1" t="s">
        <v>149</v>
      </c>
      <c r="D224" s="2">
        <v>385</v>
      </c>
      <c r="E224" s="7">
        <v>50680</v>
      </c>
      <c r="F224" s="7">
        <f t="shared" si="32"/>
        <v>19511800</v>
      </c>
      <c r="G224" s="7">
        <v>0</v>
      </c>
      <c r="H224" s="7">
        <f t="shared" si="33"/>
        <v>0</v>
      </c>
      <c r="I224" s="7">
        <v>0</v>
      </c>
      <c r="J224" s="7">
        <f t="shared" si="34"/>
        <v>0</v>
      </c>
      <c r="K224" s="7">
        <f t="shared" si="35"/>
        <v>50680</v>
      </c>
      <c r="L224" s="7">
        <f t="shared" si="36"/>
        <v>19511800</v>
      </c>
      <c r="M224" s="1" t="s">
        <v>22</v>
      </c>
      <c r="N224" s="4" t="s">
        <v>554</v>
      </c>
      <c r="O224" s="4" t="s">
        <v>22</v>
      </c>
      <c r="P224" s="4" t="s">
        <v>22</v>
      </c>
      <c r="Q224" s="4" t="s">
        <v>46</v>
      </c>
      <c r="R224" s="4" t="s">
        <v>100</v>
      </c>
      <c r="S224" s="4" t="s">
        <v>100</v>
      </c>
      <c r="T224" s="4" t="s">
        <v>99</v>
      </c>
      <c r="AR224" s="4" t="s">
        <v>22</v>
      </c>
      <c r="AS224" s="4" t="s">
        <v>22</v>
      </c>
      <c r="AU224" s="4" t="s">
        <v>555</v>
      </c>
      <c r="AV224">
        <v>20540</v>
      </c>
    </row>
    <row r="225" spans="1:48" ht="30" customHeight="1">
      <c r="A225" s="1" t="s">
        <v>552</v>
      </c>
      <c r="B225" s="1" t="s">
        <v>556</v>
      </c>
      <c r="C225" s="1" t="s">
        <v>149</v>
      </c>
      <c r="D225" s="2">
        <v>36</v>
      </c>
      <c r="E225" s="7">
        <v>33787</v>
      </c>
      <c r="F225" s="7">
        <f t="shared" si="32"/>
        <v>1216332</v>
      </c>
      <c r="G225" s="7">
        <v>0</v>
      </c>
      <c r="H225" s="7">
        <f t="shared" si="33"/>
        <v>0</v>
      </c>
      <c r="I225" s="7">
        <v>0</v>
      </c>
      <c r="J225" s="7">
        <f t="shared" si="34"/>
        <v>0</v>
      </c>
      <c r="K225" s="7">
        <f t="shared" si="35"/>
        <v>33787</v>
      </c>
      <c r="L225" s="7">
        <f t="shared" si="36"/>
        <v>1216332</v>
      </c>
      <c r="M225" s="1" t="s">
        <v>22</v>
      </c>
      <c r="N225" s="4" t="s">
        <v>557</v>
      </c>
      <c r="O225" s="4" t="s">
        <v>22</v>
      </c>
      <c r="P225" s="4" t="s">
        <v>22</v>
      </c>
      <c r="Q225" s="4" t="s">
        <v>46</v>
      </c>
      <c r="R225" s="4" t="s">
        <v>100</v>
      </c>
      <c r="S225" s="4" t="s">
        <v>100</v>
      </c>
      <c r="T225" s="4" t="s">
        <v>99</v>
      </c>
      <c r="AR225" s="4" t="s">
        <v>22</v>
      </c>
      <c r="AS225" s="4" t="s">
        <v>22</v>
      </c>
      <c r="AU225" s="4" t="s">
        <v>558</v>
      </c>
      <c r="AV225">
        <v>20541</v>
      </c>
    </row>
    <row r="226" spans="1:48" ht="30" customHeight="1">
      <c r="A226" s="1" t="s">
        <v>559</v>
      </c>
      <c r="B226" s="1" t="s">
        <v>22</v>
      </c>
      <c r="C226" s="1" t="s">
        <v>149</v>
      </c>
      <c r="D226" s="2">
        <v>385</v>
      </c>
      <c r="E226" s="7">
        <v>52792</v>
      </c>
      <c r="F226" s="7">
        <f t="shared" si="32"/>
        <v>20324920</v>
      </c>
      <c r="G226" s="7">
        <v>0</v>
      </c>
      <c r="H226" s="7">
        <f t="shared" si="33"/>
        <v>0</v>
      </c>
      <c r="I226" s="7">
        <v>0</v>
      </c>
      <c r="J226" s="7">
        <f t="shared" si="34"/>
        <v>0</v>
      </c>
      <c r="K226" s="7">
        <f t="shared" si="35"/>
        <v>52792</v>
      </c>
      <c r="L226" s="7">
        <f t="shared" si="36"/>
        <v>20324920</v>
      </c>
      <c r="M226" s="1" t="s">
        <v>22</v>
      </c>
      <c r="N226" s="4" t="s">
        <v>560</v>
      </c>
      <c r="O226" s="4" t="s">
        <v>22</v>
      </c>
      <c r="P226" s="4" t="s">
        <v>22</v>
      </c>
      <c r="Q226" s="4" t="s">
        <v>46</v>
      </c>
      <c r="R226" s="4" t="s">
        <v>100</v>
      </c>
      <c r="S226" s="4" t="s">
        <v>100</v>
      </c>
      <c r="T226" s="4" t="s">
        <v>99</v>
      </c>
      <c r="AR226" s="4" t="s">
        <v>22</v>
      </c>
      <c r="AS226" s="4" t="s">
        <v>22</v>
      </c>
      <c r="AU226" s="4" t="s">
        <v>561</v>
      </c>
      <c r="AV226">
        <v>20545</v>
      </c>
    </row>
    <row r="227" spans="1:48" ht="30" customHeight="1">
      <c r="A227" s="1" t="s">
        <v>562</v>
      </c>
      <c r="B227" s="1" t="s">
        <v>165</v>
      </c>
      <c r="C227" s="1" t="s">
        <v>166</v>
      </c>
      <c r="D227" s="2">
        <v>385</v>
      </c>
      <c r="E227" s="7">
        <v>365024</v>
      </c>
      <c r="F227" s="7">
        <f t="shared" si="32"/>
        <v>140534240</v>
      </c>
      <c r="G227" s="7">
        <v>0</v>
      </c>
      <c r="H227" s="7">
        <f t="shared" si="33"/>
        <v>0</v>
      </c>
      <c r="I227" s="7">
        <v>0</v>
      </c>
      <c r="J227" s="7">
        <f t="shared" si="34"/>
        <v>0</v>
      </c>
      <c r="K227" s="7">
        <f t="shared" si="35"/>
        <v>365024</v>
      </c>
      <c r="L227" s="7">
        <f t="shared" si="36"/>
        <v>140534240</v>
      </c>
      <c r="M227" s="1" t="s">
        <v>22</v>
      </c>
      <c r="N227" s="4" t="s">
        <v>563</v>
      </c>
      <c r="O227" s="4" t="s">
        <v>22</v>
      </c>
      <c r="P227" s="4" t="s">
        <v>22</v>
      </c>
      <c r="Q227" s="4" t="s">
        <v>46</v>
      </c>
      <c r="R227" s="4" t="s">
        <v>100</v>
      </c>
      <c r="S227" s="4" t="s">
        <v>100</v>
      </c>
      <c r="T227" s="4" t="s">
        <v>99</v>
      </c>
      <c r="AR227" s="4" t="s">
        <v>22</v>
      </c>
      <c r="AS227" s="4" t="s">
        <v>22</v>
      </c>
      <c r="AU227" s="4" t="s">
        <v>564</v>
      </c>
      <c r="AV227">
        <v>20542</v>
      </c>
    </row>
    <row r="228" spans="1:48" ht="30" customHeight="1">
      <c r="A228" s="1" t="s">
        <v>565</v>
      </c>
      <c r="B228" s="1" t="s">
        <v>171</v>
      </c>
      <c r="C228" s="1" t="s">
        <v>166</v>
      </c>
      <c r="D228" s="2">
        <v>89</v>
      </c>
      <c r="E228" s="7">
        <v>240584</v>
      </c>
      <c r="F228" s="7">
        <f t="shared" si="32"/>
        <v>21411976</v>
      </c>
      <c r="G228" s="7">
        <v>0</v>
      </c>
      <c r="H228" s="7">
        <f t="shared" si="33"/>
        <v>0</v>
      </c>
      <c r="I228" s="7">
        <v>0</v>
      </c>
      <c r="J228" s="7">
        <f t="shared" si="34"/>
        <v>0</v>
      </c>
      <c r="K228" s="7">
        <f t="shared" si="35"/>
        <v>240584</v>
      </c>
      <c r="L228" s="7">
        <f t="shared" si="36"/>
        <v>21411976</v>
      </c>
      <c r="M228" s="1" t="s">
        <v>22</v>
      </c>
      <c r="N228" s="4" t="s">
        <v>566</v>
      </c>
      <c r="O228" s="4" t="s">
        <v>22</v>
      </c>
      <c r="P228" s="4" t="s">
        <v>22</v>
      </c>
      <c r="Q228" s="4" t="s">
        <v>46</v>
      </c>
      <c r="R228" s="4" t="s">
        <v>100</v>
      </c>
      <c r="S228" s="4" t="s">
        <v>100</v>
      </c>
      <c r="T228" s="4" t="s">
        <v>99</v>
      </c>
      <c r="AR228" s="4" t="s">
        <v>22</v>
      </c>
      <c r="AS228" s="4" t="s">
        <v>22</v>
      </c>
      <c r="AU228" s="4" t="s">
        <v>567</v>
      </c>
      <c r="AV228">
        <v>20543</v>
      </c>
    </row>
    <row r="229" spans="1:48" ht="30" customHeight="1">
      <c r="A229" s="1" t="s">
        <v>179</v>
      </c>
      <c r="B229" s="1" t="s">
        <v>568</v>
      </c>
      <c r="C229" s="1" t="s">
        <v>166</v>
      </c>
      <c r="D229" s="2">
        <v>385</v>
      </c>
      <c r="E229" s="7">
        <v>243072</v>
      </c>
      <c r="F229" s="7">
        <f t="shared" si="32"/>
        <v>93582720</v>
      </c>
      <c r="G229" s="7">
        <v>0</v>
      </c>
      <c r="H229" s="7">
        <f t="shared" si="33"/>
        <v>0</v>
      </c>
      <c r="I229" s="7">
        <v>0</v>
      </c>
      <c r="J229" s="7">
        <f t="shared" si="34"/>
        <v>0</v>
      </c>
      <c r="K229" s="7">
        <f t="shared" si="35"/>
        <v>243072</v>
      </c>
      <c r="L229" s="7">
        <f t="shared" si="36"/>
        <v>93582720</v>
      </c>
      <c r="M229" s="1" t="s">
        <v>22</v>
      </c>
      <c r="N229" s="4" t="s">
        <v>569</v>
      </c>
      <c r="O229" s="4" t="s">
        <v>22</v>
      </c>
      <c r="P229" s="4" t="s">
        <v>22</v>
      </c>
      <c r="Q229" s="4" t="s">
        <v>46</v>
      </c>
      <c r="R229" s="4" t="s">
        <v>100</v>
      </c>
      <c r="S229" s="4" t="s">
        <v>100</v>
      </c>
      <c r="T229" s="4" t="s">
        <v>99</v>
      </c>
      <c r="AR229" s="4" t="s">
        <v>22</v>
      </c>
      <c r="AS229" s="4" t="s">
        <v>22</v>
      </c>
      <c r="AU229" s="4" t="s">
        <v>570</v>
      </c>
      <c r="AV229">
        <v>20546</v>
      </c>
    </row>
    <row r="230" spans="1:48" ht="30" customHeight="1">
      <c r="A230" s="1" t="s">
        <v>184</v>
      </c>
      <c r="B230" s="1" t="s">
        <v>571</v>
      </c>
      <c r="C230" s="1" t="s">
        <v>166</v>
      </c>
      <c r="D230" s="2">
        <v>36</v>
      </c>
      <c r="E230" s="7">
        <v>201343</v>
      </c>
      <c r="F230" s="7">
        <f t="shared" si="32"/>
        <v>7248348</v>
      </c>
      <c r="G230" s="7">
        <v>0</v>
      </c>
      <c r="H230" s="7">
        <f t="shared" si="33"/>
        <v>0</v>
      </c>
      <c r="I230" s="7">
        <v>0</v>
      </c>
      <c r="J230" s="7">
        <f t="shared" si="34"/>
        <v>0</v>
      </c>
      <c r="K230" s="7">
        <f t="shared" si="35"/>
        <v>201343</v>
      </c>
      <c r="L230" s="7">
        <f t="shared" si="36"/>
        <v>7248348</v>
      </c>
      <c r="M230" s="1" t="s">
        <v>22</v>
      </c>
      <c r="N230" s="4" t="s">
        <v>572</v>
      </c>
      <c r="O230" s="4" t="s">
        <v>22</v>
      </c>
      <c r="P230" s="4" t="s">
        <v>22</v>
      </c>
      <c r="Q230" s="4" t="s">
        <v>46</v>
      </c>
      <c r="R230" s="4" t="s">
        <v>100</v>
      </c>
      <c r="S230" s="4" t="s">
        <v>100</v>
      </c>
      <c r="T230" s="4" t="s">
        <v>99</v>
      </c>
      <c r="AR230" s="4" t="s">
        <v>22</v>
      </c>
      <c r="AS230" s="4" t="s">
        <v>22</v>
      </c>
      <c r="AU230" s="4" t="s">
        <v>573</v>
      </c>
      <c r="AV230">
        <v>20547</v>
      </c>
    </row>
    <row r="231" spans="1:48" ht="30" customHeight="1">
      <c r="A231" s="1" t="s">
        <v>199</v>
      </c>
      <c r="B231" s="1" t="s">
        <v>574</v>
      </c>
      <c r="C231" s="1" t="s">
        <v>166</v>
      </c>
      <c r="D231" s="2">
        <v>17</v>
      </c>
      <c r="E231" s="7">
        <v>209722</v>
      </c>
      <c r="F231" s="7">
        <f t="shared" si="32"/>
        <v>3565274</v>
      </c>
      <c r="G231" s="7">
        <v>0</v>
      </c>
      <c r="H231" s="7">
        <f t="shared" si="33"/>
        <v>0</v>
      </c>
      <c r="I231" s="7">
        <v>0</v>
      </c>
      <c r="J231" s="7">
        <f t="shared" si="34"/>
        <v>0</v>
      </c>
      <c r="K231" s="7">
        <f t="shared" si="35"/>
        <v>209722</v>
      </c>
      <c r="L231" s="7">
        <f t="shared" si="36"/>
        <v>3565274</v>
      </c>
      <c r="M231" s="1" t="s">
        <v>22</v>
      </c>
      <c r="N231" s="4" t="s">
        <v>575</v>
      </c>
      <c r="O231" s="4" t="s">
        <v>22</v>
      </c>
      <c r="P231" s="4" t="s">
        <v>22</v>
      </c>
      <c r="Q231" s="4" t="s">
        <v>46</v>
      </c>
      <c r="R231" s="4" t="s">
        <v>100</v>
      </c>
      <c r="S231" s="4" t="s">
        <v>100</v>
      </c>
      <c r="T231" s="4" t="s">
        <v>99</v>
      </c>
      <c r="AR231" s="4" t="s">
        <v>22</v>
      </c>
      <c r="AS231" s="4" t="s">
        <v>22</v>
      </c>
      <c r="AU231" s="4" t="s">
        <v>576</v>
      </c>
      <c r="AV231">
        <v>20567</v>
      </c>
    </row>
    <row r="232" spans="1:48" ht="30" customHeight="1">
      <c r="A232" s="1" t="s">
        <v>577</v>
      </c>
      <c r="B232" s="1" t="s">
        <v>195</v>
      </c>
      <c r="C232" s="1" t="s">
        <v>578</v>
      </c>
      <c r="D232" s="2">
        <v>17</v>
      </c>
      <c r="E232" s="7">
        <v>3318400</v>
      </c>
      <c r="F232" s="7">
        <f t="shared" si="32"/>
        <v>56412800</v>
      </c>
      <c r="G232" s="7">
        <v>0</v>
      </c>
      <c r="H232" s="7">
        <f t="shared" si="33"/>
        <v>0</v>
      </c>
      <c r="I232" s="7">
        <v>0</v>
      </c>
      <c r="J232" s="7">
        <f t="shared" si="34"/>
        <v>0</v>
      </c>
      <c r="K232" s="7">
        <f t="shared" si="35"/>
        <v>3318400</v>
      </c>
      <c r="L232" s="7">
        <f t="shared" si="36"/>
        <v>56412800</v>
      </c>
      <c r="M232" s="1" t="s">
        <v>22</v>
      </c>
      <c r="N232" s="4" t="s">
        <v>579</v>
      </c>
      <c r="O232" s="4" t="s">
        <v>22</v>
      </c>
      <c r="P232" s="4" t="s">
        <v>22</v>
      </c>
      <c r="Q232" s="4" t="s">
        <v>46</v>
      </c>
      <c r="R232" s="4" t="s">
        <v>100</v>
      </c>
      <c r="S232" s="4" t="s">
        <v>100</v>
      </c>
      <c r="T232" s="4" t="s">
        <v>99</v>
      </c>
      <c r="AR232" s="4" t="s">
        <v>22</v>
      </c>
      <c r="AS232" s="4" t="s">
        <v>22</v>
      </c>
      <c r="AU232" s="4" t="s">
        <v>580</v>
      </c>
      <c r="AV232">
        <v>20548</v>
      </c>
    </row>
    <row r="233" spans="1:48" ht="30" customHeight="1">
      <c r="A233" s="1" t="s">
        <v>581</v>
      </c>
      <c r="B233" s="1" t="s">
        <v>582</v>
      </c>
      <c r="C233" s="1" t="s">
        <v>166</v>
      </c>
      <c r="D233" s="2">
        <v>17</v>
      </c>
      <c r="E233" s="7">
        <v>2074000</v>
      </c>
      <c r="F233" s="7">
        <f t="shared" si="32"/>
        <v>35258000</v>
      </c>
      <c r="G233" s="7">
        <v>0</v>
      </c>
      <c r="H233" s="7">
        <f t="shared" si="33"/>
        <v>0</v>
      </c>
      <c r="I233" s="7">
        <v>0</v>
      </c>
      <c r="J233" s="7">
        <f t="shared" si="34"/>
        <v>0</v>
      </c>
      <c r="K233" s="7">
        <f t="shared" si="35"/>
        <v>2074000</v>
      </c>
      <c r="L233" s="7">
        <f t="shared" si="36"/>
        <v>35258000</v>
      </c>
      <c r="M233" s="1" t="s">
        <v>22</v>
      </c>
      <c r="N233" s="4" t="s">
        <v>583</v>
      </c>
      <c r="O233" s="4" t="s">
        <v>22</v>
      </c>
      <c r="P233" s="4" t="s">
        <v>22</v>
      </c>
      <c r="Q233" s="4" t="s">
        <v>46</v>
      </c>
      <c r="R233" s="4" t="s">
        <v>100</v>
      </c>
      <c r="S233" s="4" t="s">
        <v>100</v>
      </c>
      <c r="T233" s="4" t="s">
        <v>99</v>
      </c>
      <c r="AR233" s="4" t="s">
        <v>22</v>
      </c>
      <c r="AS233" s="4" t="s">
        <v>22</v>
      </c>
      <c r="AU233" s="4" t="s">
        <v>584</v>
      </c>
      <c r="AV233">
        <v>20549</v>
      </c>
    </row>
    <row r="234" spans="1:48" ht="30" customHeight="1">
      <c r="A234" s="1" t="s">
        <v>585</v>
      </c>
      <c r="B234" s="1" t="s">
        <v>230</v>
      </c>
      <c r="C234" s="1" t="s">
        <v>166</v>
      </c>
      <c r="D234" s="2">
        <v>421</v>
      </c>
      <c r="E234" s="7">
        <v>248880</v>
      </c>
      <c r="F234" s="7">
        <f t="shared" si="32"/>
        <v>104778480</v>
      </c>
      <c r="G234" s="7">
        <v>0</v>
      </c>
      <c r="H234" s="7">
        <f t="shared" si="33"/>
        <v>0</v>
      </c>
      <c r="I234" s="7">
        <v>0</v>
      </c>
      <c r="J234" s="7">
        <f t="shared" si="34"/>
        <v>0</v>
      </c>
      <c r="K234" s="7">
        <f t="shared" si="35"/>
        <v>248880</v>
      </c>
      <c r="L234" s="7">
        <f t="shared" si="36"/>
        <v>104778480</v>
      </c>
      <c r="M234" s="1" t="s">
        <v>22</v>
      </c>
      <c r="N234" s="4" t="s">
        <v>586</v>
      </c>
      <c r="O234" s="4" t="s">
        <v>22</v>
      </c>
      <c r="P234" s="4" t="s">
        <v>22</v>
      </c>
      <c r="Q234" s="4" t="s">
        <v>46</v>
      </c>
      <c r="R234" s="4" t="s">
        <v>100</v>
      </c>
      <c r="S234" s="4" t="s">
        <v>100</v>
      </c>
      <c r="T234" s="4" t="s">
        <v>99</v>
      </c>
      <c r="AR234" s="4" t="s">
        <v>22</v>
      </c>
      <c r="AS234" s="4" t="s">
        <v>22</v>
      </c>
      <c r="AU234" s="4" t="s">
        <v>587</v>
      </c>
      <c r="AV234">
        <v>20550</v>
      </c>
    </row>
    <row r="235" spans="1:48" ht="30" customHeight="1">
      <c r="A235" s="2"/>
      <c r="B235" s="2"/>
      <c r="C235" s="2"/>
      <c r="D235" s="2"/>
      <c r="E235" s="7">
        <v>0</v>
      </c>
      <c r="F235" s="2"/>
      <c r="G235" s="7">
        <v>0</v>
      </c>
      <c r="H235" s="2"/>
      <c r="I235" s="7">
        <v>0</v>
      </c>
      <c r="J235" s="2"/>
      <c r="K235" s="2"/>
      <c r="L235" s="2"/>
      <c r="M235" s="2"/>
    </row>
    <row r="236" spans="1:48" ht="30" customHeight="1">
      <c r="A236" s="2"/>
      <c r="B236" s="2"/>
      <c r="C236" s="2"/>
      <c r="D236" s="2"/>
      <c r="E236" s="7">
        <v>0</v>
      </c>
      <c r="F236" s="2"/>
      <c r="G236" s="7">
        <v>0</v>
      </c>
      <c r="H236" s="2"/>
      <c r="I236" s="7">
        <v>0</v>
      </c>
      <c r="J236" s="2"/>
      <c r="K236" s="2"/>
      <c r="L236" s="2"/>
      <c r="M236" s="2"/>
    </row>
    <row r="237" spans="1:48" ht="30" customHeight="1">
      <c r="A237" s="2"/>
      <c r="B237" s="2"/>
      <c r="C237" s="2"/>
      <c r="D237" s="2"/>
      <c r="E237" s="7">
        <v>0</v>
      </c>
      <c r="F237" s="2"/>
      <c r="G237" s="7">
        <v>0</v>
      </c>
      <c r="H237" s="2"/>
      <c r="I237" s="7">
        <v>0</v>
      </c>
      <c r="J237" s="2"/>
      <c r="K237" s="2"/>
      <c r="L237" s="2"/>
      <c r="M237" s="2"/>
    </row>
    <row r="238" spans="1:48" ht="30" customHeight="1">
      <c r="A238" s="2"/>
      <c r="B238" s="2"/>
      <c r="C238" s="2"/>
      <c r="D238" s="2"/>
      <c r="E238" s="7">
        <v>0</v>
      </c>
      <c r="F238" s="2"/>
      <c r="G238" s="7">
        <v>0</v>
      </c>
      <c r="H238" s="2"/>
      <c r="I238" s="7">
        <v>0</v>
      </c>
      <c r="J238" s="2"/>
      <c r="K238" s="2"/>
      <c r="L238" s="2"/>
      <c r="M238" s="2"/>
    </row>
    <row r="239" spans="1:48" ht="30" customHeight="1">
      <c r="A239" s="2"/>
      <c r="B239" s="2"/>
      <c r="C239" s="2"/>
      <c r="D239" s="2"/>
      <c r="E239" s="7">
        <v>0</v>
      </c>
      <c r="F239" s="2"/>
      <c r="G239" s="7">
        <v>0</v>
      </c>
      <c r="H239" s="2"/>
      <c r="I239" s="7">
        <v>0</v>
      </c>
      <c r="J239" s="2"/>
      <c r="K239" s="2"/>
      <c r="L239" s="2"/>
      <c r="M239" s="2"/>
    </row>
    <row r="240" spans="1:48" ht="30" customHeight="1">
      <c r="A240" s="2"/>
      <c r="B240" s="2"/>
      <c r="C240" s="2"/>
      <c r="D240" s="2"/>
      <c r="E240" s="7">
        <v>0</v>
      </c>
      <c r="F240" s="2"/>
      <c r="G240" s="7">
        <v>0</v>
      </c>
      <c r="H240" s="2"/>
      <c r="I240" s="7">
        <v>0</v>
      </c>
      <c r="J240" s="2"/>
      <c r="K240" s="2"/>
      <c r="L240" s="2"/>
      <c r="M240" s="2"/>
    </row>
    <row r="241" spans="1:48" ht="30" customHeight="1">
      <c r="A241" s="2"/>
      <c r="B241" s="2"/>
      <c r="C241" s="2"/>
      <c r="D241" s="2"/>
      <c r="E241" s="7">
        <v>0</v>
      </c>
      <c r="F241" s="2"/>
      <c r="G241" s="7">
        <v>0</v>
      </c>
      <c r="H241" s="2"/>
      <c r="I241" s="7">
        <v>0</v>
      </c>
      <c r="J241" s="2"/>
      <c r="K241" s="2"/>
      <c r="L241" s="2"/>
      <c r="M241" s="2"/>
    </row>
    <row r="242" spans="1:48" ht="30" customHeight="1">
      <c r="A242" s="2"/>
      <c r="B242" s="2"/>
      <c r="C242" s="2"/>
      <c r="D242" s="2"/>
      <c r="E242" s="7">
        <v>0</v>
      </c>
      <c r="F242" s="2"/>
      <c r="G242" s="7">
        <v>0</v>
      </c>
      <c r="H242" s="2"/>
      <c r="I242" s="7">
        <v>0</v>
      </c>
      <c r="J242" s="2"/>
      <c r="K242" s="2"/>
      <c r="L242" s="2"/>
      <c r="M242" s="2"/>
    </row>
    <row r="243" spans="1:48" ht="30" customHeight="1">
      <c r="A243" s="1" t="s">
        <v>62</v>
      </c>
      <c r="B243" s="2"/>
      <c r="C243" s="2"/>
      <c r="D243" s="2"/>
      <c r="E243" s="7">
        <v>0</v>
      </c>
      <c r="F243" s="7">
        <f>SUM(F221:F242)</f>
        <v>875304679</v>
      </c>
      <c r="G243" s="7">
        <v>0</v>
      </c>
      <c r="H243" s="7">
        <f>SUM(H221:H242)</f>
        <v>0</v>
      </c>
      <c r="I243" s="7">
        <v>0</v>
      </c>
      <c r="J243" s="7">
        <f>SUM(J221:J242)</f>
        <v>0</v>
      </c>
      <c r="K243" s="2"/>
      <c r="L243" s="7">
        <f>SUM(L221:L242)</f>
        <v>875304679</v>
      </c>
      <c r="M243" s="2"/>
      <c r="N243" t="s">
        <v>247</v>
      </c>
    </row>
    <row r="244" spans="1:48" ht="30" customHeight="1">
      <c r="A244" s="1" t="s">
        <v>47</v>
      </c>
      <c r="B244" s="1" t="s">
        <v>22</v>
      </c>
      <c r="C244" s="2"/>
      <c r="D244" s="2"/>
      <c r="E244" s="7">
        <v>0</v>
      </c>
      <c r="F244" s="2"/>
      <c r="G244" s="7">
        <v>0</v>
      </c>
      <c r="H244" s="2"/>
      <c r="I244" s="7">
        <v>0</v>
      </c>
      <c r="J244" s="2"/>
      <c r="K244" s="2"/>
      <c r="L244" s="2"/>
      <c r="M244" s="2"/>
      <c r="Q244" s="4" t="s">
        <v>48</v>
      </c>
    </row>
    <row r="245" spans="1:48" ht="30" customHeight="1">
      <c r="A245" s="1" t="s">
        <v>548</v>
      </c>
      <c r="B245" s="1" t="s">
        <v>549</v>
      </c>
      <c r="C245" s="1" t="s">
        <v>149</v>
      </c>
      <c r="D245" s="2">
        <v>35</v>
      </c>
      <c r="E245" s="7">
        <v>506810</v>
      </c>
      <c r="F245" s="7">
        <f t="shared" ref="F245:F251" si="37">TRUNC(E245*D245, 0)</f>
        <v>17738350</v>
      </c>
      <c r="G245" s="7">
        <v>0</v>
      </c>
      <c r="H245" s="7">
        <f t="shared" ref="H245:H251" si="38">TRUNC(G245*D245, 0)</f>
        <v>0</v>
      </c>
      <c r="I245" s="7">
        <v>0</v>
      </c>
      <c r="J245" s="7">
        <f t="shared" ref="J245:J251" si="39">TRUNC(I245*D245, 0)</f>
        <v>0</v>
      </c>
      <c r="K245" s="7">
        <f t="shared" ref="K245:K251" si="40">TRUNC(E245+G245+I245, 0)</f>
        <v>506810</v>
      </c>
      <c r="L245" s="7">
        <f t="shared" ref="L245:L251" si="41">TRUNC(F245+H245+J245, 0)</f>
        <v>17738350</v>
      </c>
      <c r="M245" s="1" t="s">
        <v>22</v>
      </c>
      <c r="N245" s="4" t="s">
        <v>550</v>
      </c>
      <c r="O245" s="4" t="s">
        <v>22</v>
      </c>
      <c r="P245" s="4" t="s">
        <v>22</v>
      </c>
      <c r="Q245" s="4" t="s">
        <v>48</v>
      </c>
      <c r="R245" s="4" t="s">
        <v>100</v>
      </c>
      <c r="S245" s="4" t="s">
        <v>100</v>
      </c>
      <c r="T245" s="4" t="s">
        <v>99</v>
      </c>
      <c r="AR245" s="4" t="s">
        <v>22</v>
      </c>
      <c r="AS245" s="4" t="s">
        <v>22</v>
      </c>
      <c r="AU245" s="4" t="s">
        <v>588</v>
      </c>
      <c r="AV245">
        <v>20332</v>
      </c>
    </row>
    <row r="246" spans="1:48" ht="30" customHeight="1">
      <c r="A246" s="1" t="s">
        <v>565</v>
      </c>
      <c r="B246" s="1" t="s">
        <v>171</v>
      </c>
      <c r="C246" s="1" t="s">
        <v>166</v>
      </c>
      <c r="D246" s="2">
        <v>35</v>
      </c>
      <c r="E246" s="7">
        <v>240584</v>
      </c>
      <c r="F246" s="7">
        <f t="shared" si="37"/>
        <v>8420440</v>
      </c>
      <c r="G246" s="7">
        <v>0</v>
      </c>
      <c r="H246" s="7">
        <f t="shared" si="38"/>
        <v>0</v>
      </c>
      <c r="I246" s="7">
        <v>0</v>
      </c>
      <c r="J246" s="7">
        <f t="shared" si="39"/>
        <v>0</v>
      </c>
      <c r="K246" s="7">
        <f t="shared" si="40"/>
        <v>240584</v>
      </c>
      <c r="L246" s="7">
        <f t="shared" si="41"/>
        <v>8420440</v>
      </c>
      <c r="M246" s="1" t="s">
        <v>22</v>
      </c>
      <c r="N246" s="4" t="s">
        <v>566</v>
      </c>
      <c r="O246" s="4" t="s">
        <v>22</v>
      </c>
      <c r="P246" s="4" t="s">
        <v>22</v>
      </c>
      <c r="Q246" s="4" t="s">
        <v>48</v>
      </c>
      <c r="R246" s="4" t="s">
        <v>100</v>
      </c>
      <c r="S246" s="4" t="s">
        <v>100</v>
      </c>
      <c r="T246" s="4" t="s">
        <v>99</v>
      </c>
      <c r="AR246" s="4" t="s">
        <v>22</v>
      </c>
      <c r="AS246" s="4" t="s">
        <v>22</v>
      </c>
      <c r="AU246" s="4" t="s">
        <v>589</v>
      </c>
      <c r="AV246">
        <v>20108</v>
      </c>
    </row>
    <row r="247" spans="1:48" ht="30" customHeight="1">
      <c r="A247" s="1" t="s">
        <v>184</v>
      </c>
      <c r="B247" s="1" t="s">
        <v>571</v>
      </c>
      <c r="C247" s="1" t="s">
        <v>166</v>
      </c>
      <c r="D247" s="2">
        <v>35</v>
      </c>
      <c r="E247" s="7">
        <v>201343</v>
      </c>
      <c r="F247" s="7">
        <f t="shared" si="37"/>
        <v>7047005</v>
      </c>
      <c r="G247" s="7">
        <v>0</v>
      </c>
      <c r="H247" s="7">
        <f t="shared" si="38"/>
        <v>0</v>
      </c>
      <c r="I247" s="7">
        <v>0</v>
      </c>
      <c r="J247" s="7">
        <f t="shared" si="39"/>
        <v>0</v>
      </c>
      <c r="K247" s="7">
        <f t="shared" si="40"/>
        <v>201343</v>
      </c>
      <c r="L247" s="7">
        <f t="shared" si="41"/>
        <v>7047005</v>
      </c>
      <c r="M247" s="1" t="s">
        <v>22</v>
      </c>
      <c r="N247" s="4" t="s">
        <v>572</v>
      </c>
      <c r="O247" s="4" t="s">
        <v>22</v>
      </c>
      <c r="P247" s="4" t="s">
        <v>22</v>
      </c>
      <c r="Q247" s="4" t="s">
        <v>48</v>
      </c>
      <c r="R247" s="4" t="s">
        <v>100</v>
      </c>
      <c r="S247" s="4" t="s">
        <v>100</v>
      </c>
      <c r="T247" s="4" t="s">
        <v>99</v>
      </c>
      <c r="AR247" s="4" t="s">
        <v>22</v>
      </c>
      <c r="AS247" s="4" t="s">
        <v>22</v>
      </c>
      <c r="AU247" s="4" t="s">
        <v>590</v>
      </c>
      <c r="AV247">
        <v>20455</v>
      </c>
    </row>
    <row r="248" spans="1:48" ht="30" customHeight="1">
      <c r="A248" s="1" t="s">
        <v>199</v>
      </c>
      <c r="B248" s="1" t="s">
        <v>574</v>
      </c>
      <c r="C248" s="1" t="s">
        <v>166</v>
      </c>
      <c r="D248" s="2">
        <v>2</v>
      </c>
      <c r="E248" s="7">
        <v>209722</v>
      </c>
      <c r="F248" s="7">
        <f t="shared" si="37"/>
        <v>419444</v>
      </c>
      <c r="G248" s="7">
        <v>0</v>
      </c>
      <c r="H248" s="7">
        <f t="shared" si="38"/>
        <v>0</v>
      </c>
      <c r="I248" s="7">
        <v>0</v>
      </c>
      <c r="J248" s="7">
        <f t="shared" si="39"/>
        <v>0</v>
      </c>
      <c r="K248" s="7">
        <f t="shared" si="40"/>
        <v>209722</v>
      </c>
      <c r="L248" s="7">
        <f t="shared" si="41"/>
        <v>419444</v>
      </c>
      <c r="M248" s="1" t="s">
        <v>22</v>
      </c>
      <c r="N248" s="4" t="s">
        <v>575</v>
      </c>
      <c r="O248" s="4" t="s">
        <v>22</v>
      </c>
      <c r="P248" s="4" t="s">
        <v>22</v>
      </c>
      <c r="Q248" s="4" t="s">
        <v>48</v>
      </c>
      <c r="R248" s="4" t="s">
        <v>100</v>
      </c>
      <c r="S248" s="4" t="s">
        <v>100</v>
      </c>
      <c r="T248" s="4" t="s">
        <v>99</v>
      </c>
      <c r="AR248" s="4" t="s">
        <v>22</v>
      </c>
      <c r="AS248" s="4" t="s">
        <v>22</v>
      </c>
      <c r="AU248" s="4" t="s">
        <v>591</v>
      </c>
      <c r="AV248">
        <v>20568</v>
      </c>
    </row>
    <row r="249" spans="1:48" ht="30" customHeight="1">
      <c r="A249" s="1" t="s">
        <v>577</v>
      </c>
      <c r="B249" s="1" t="s">
        <v>195</v>
      </c>
      <c r="C249" s="1" t="s">
        <v>578</v>
      </c>
      <c r="D249" s="2">
        <v>2</v>
      </c>
      <c r="E249" s="7">
        <v>3318400</v>
      </c>
      <c r="F249" s="7">
        <f t="shared" si="37"/>
        <v>6636800</v>
      </c>
      <c r="G249" s="7">
        <v>0</v>
      </c>
      <c r="H249" s="7">
        <f t="shared" si="38"/>
        <v>0</v>
      </c>
      <c r="I249" s="7">
        <v>0</v>
      </c>
      <c r="J249" s="7">
        <f t="shared" si="39"/>
        <v>0</v>
      </c>
      <c r="K249" s="7">
        <f t="shared" si="40"/>
        <v>3318400</v>
      </c>
      <c r="L249" s="7">
        <f t="shared" si="41"/>
        <v>6636800</v>
      </c>
      <c r="M249" s="1" t="s">
        <v>22</v>
      </c>
      <c r="N249" s="4" t="s">
        <v>579</v>
      </c>
      <c r="O249" s="4" t="s">
        <v>22</v>
      </c>
      <c r="P249" s="4" t="s">
        <v>22</v>
      </c>
      <c r="Q249" s="4" t="s">
        <v>48</v>
      </c>
      <c r="R249" s="4" t="s">
        <v>100</v>
      </c>
      <c r="S249" s="4" t="s">
        <v>100</v>
      </c>
      <c r="T249" s="4" t="s">
        <v>99</v>
      </c>
      <c r="AR249" s="4" t="s">
        <v>22</v>
      </c>
      <c r="AS249" s="4" t="s">
        <v>22</v>
      </c>
      <c r="AU249" s="4" t="s">
        <v>592</v>
      </c>
      <c r="AV249">
        <v>20333</v>
      </c>
    </row>
    <row r="250" spans="1:48" ht="30" customHeight="1">
      <c r="A250" s="1" t="s">
        <v>581</v>
      </c>
      <c r="B250" s="1" t="s">
        <v>582</v>
      </c>
      <c r="C250" s="1" t="s">
        <v>166</v>
      </c>
      <c r="D250" s="2">
        <v>2</v>
      </c>
      <c r="E250" s="7">
        <v>2074000</v>
      </c>
      <c r="F250" s="7">
        <f t="shared" si="37"/>
        <v>4148000</v>
      </c>
      <c r="G250" s="7">
        <v>0</v>
      </c>
      <c r="H250" s="7">
        <f t="shared" si="38"/>
        <v>0</v>
      </c>
      <c r="I250" s="7">
        <v>0</v>
      </c>
      <c r="J250" s="7">
        <f t="shared" si="39"/>
        <v>0</v>
      </c>
      <c r="K250" s="7">
        <f t="shared" si="40"/>
        <v>2074000</v>
      </c>
      <c r="L250" s="7">
        <f t="shared" si="41"/>
        <v>4148000</v>
      </c>
      <c r="M250" s="1" t="s">
        <v>22</v>
      </c>
      <c r="N250" s="4" t="s">
        <v>583</v>
      </c>
      <c r="O250" s="4" t="s">
        <v>22</v>
      </c>
      <c r="P250" s="4" t="s">
        <v>22</v>
      </c>
      <c r="Q250" s="4" t="s">
        <v>48</v>
      </c>
      <c r="R250" s="4" t="s">
        <v>100</v>
      </c>
      <c r="S250" s="4" t="s">
        <v>100</v>
      </c>
      <c r="T250" s="4" t="s">
        <v>99</v>
      </c>
      <c r="AR250" s="4" t="s">
        <v>22</v>
      </c>
      <c r="AS250" s="4" t="s">
        <v>22</v>
      </c>
      <c r="AU250" s="4" t="s">
        <v>593</v>
      </c>
      <c r="AV250">
        <v>20334</v>
      </c>
    </row>
    <row r="251" spans="1:48" ht="30" customHeight="1">
      <c r="A251" s="1" t="s">
        <v>585</v>
      </c>
      <c r="B251" s="1" t="s">
        <v>230</v>
      </c>
      <c r="C251" s="1" t="s">
        <v>166</v>
      </c>
      <c r="D251" s="2">
        <v>35</v>
      </c>
      <c r="E251" s="7">
        <v>248880</v>
      </c>
      <c r="F251" s="7">
        <f t="shared" si="37"/>
        <v>8710800</v>
      </c>
      <c r="G251" s="7">
        <v>0</v>
      </c>
      <c r="H251" s="7">
        <f t="shared" si="38"/>
        <v>0</v>
      </c>
      <c r="I251" s="7">
        <v>0</v>
      </c>
      <c r="J251" s="7">
        <f t="shared" si="39"/>
        <v>0</v>
      </c>
      <c r="K251" s="7">
        <f t="shared" si="40"/>
        <v>248880</v>
      </c>
      <c r="L251" s="7">
        <f t="shared" si="41"/>
        <v>8710800</v>
      </c>
      <c r="M251" s="1" t="s">
        <v>22</v>
      </c>
      <c r="N251" s="4" t="s">
        <v>586</v>
      </c>
      <c r="O251" s="4" t="s">
        <v>22</v>
      </c>
      <c r="P251" s="4" t="s">
        <v>22</v>
      </c>
      <c r="Q251" s="4" t="s">
        <v>48</v>
      </c>
      <c r="R251" s="4" t="s">
        <v>100</v>
      </c>
      <c r="S251" s="4" t="s">
        <v>100</v>
      </c>
      <c r="T251" s="4" t="s">
        <v>99</v>
      </c>
      <c r="AR251" s="4" t="s">
        <v>22</v>
      </c>
      <c r="AS251" s="4" t="s">
        <v>22</v>
      </c>
      <c r="AU251" s="4" t="s">
        <v>594</v>
      </c>
      <c r="AV251">
        <v>20335</v>
      </c>
    </row>
    <row r="252" spans="1:48" ht="30" customHeight="1">
      <c r="A252" s="2"/>
      <c r="B252" s="2"/>
      <c r="C252" s="2"/>
      <c r="D252" s="2"/>
      <c r="E252" s="7">
        <v>0</v>
      </c>
      <c r="F252" s="2"/>
      <c r="G252" s="7">
        <v>0</v>
      </c>
      <c r="H252" s="2"/>
      <c r="I252" s="7">
        <v>0</v>
      </c>
      <c r="J252" s="2"/>
      <c r="K252" s="2"/>
      <c r="L252" s="2"/>
      <c r="M252" s="2"/>
    </row>
    <row r="253" spans="1:48" ht="30" customHeight="1">
      <c r="A253" s="2"/>
      <c r="B253" s="2"/>
      <c r="C253" s="2"/>
      <c r="D253" s="2"/>
      <c r="E253" s="7">
        <v>0</v>
      </c>
      <c r="F253" s="2"/>
      <c r="G253" s="7">
        <v>0</v>
      </c>
      <c r="H253" s="2"/>
      <c r="I253" s="7">
        <v>0</v>
      </c>
      <c r="J253" s="2"/>
      <c r="K253" s="2"/>
      <c r="L253" s="2"/>
      <c r="M253" s="2"/>
    </row>
    <row r="254" spans="1:48" ht="30" customHeight="1">
      <c r="A254" s="2"/>
      <c r="B254" s="2"/>
      <c r="C254" s="2"/>
      <c r="D254" s="2"/>
      <c r="E254" s="7">
        <v>0</v>
      </c>
      <c r="F254" s="2"/>
      <c r="G254" s="7">
        <v>0</v>
      </c>
      <c r="H254" s="2"/>
      <c r="I254" s="7">
        <v>0</v>
      </c>
      <c r="J254" s="2"/>
      <c r="K254" s="2"/>
      <c r="L254" s="2"/>
      <c r="M254" s="2"/>
    </row>
    <row r="255" spans="1:48" ht="30" customHeight="1">
      <c r="A255" s="2"/>
      <c r="B255" s="2"/>
      <c r="C255" s="2"/>
      <c r="D255" s="2"/>
      <c r="E255" s="7">
        <v>0</v>
      </c>
      <c r="F255" s="2"/>
      <c r="G255" s="7">
        <v>0</v>
      </c>
      <c r="H255" s="2"/>
      <c r="I255" s="7">
        <v>0</v>
      </c>
      <c r="J255" s="2"/>
      <c r="K255" s="2"/>
      <c r="L255" s="2"/>
      <c r="M255" s="2"/>
    </row>
    <row r="256" spans="1:48" ht="30" customHeight="1">
      <c r="A256" s="2"/>
      <c r="B256" s="2"/>
      <c r="C256" s="2"/>
      <c r="D256" s="2"/>
      <c r="E256" s="7">
        <v>0</v>
      </c>
      <c r="F256" s="2"/>
      <c r="G256" s="7">
        <v>0</v>
      </c>
      <c r="H256" s="2"/>
      <c r="I256" s="7">
        <v>0</v>
      </c>
      <c r="J256" s="2"/>
      <c r="K256" s="2"/>
      <c r="L256" s="2"/>
      <c r="M256" s="2"/>
    </row>
    <row r="257" spans="1:48" ht="30" customHeight="1">
      <c r="A257" s="2"/>
      <c r="B257" s="2"/>
      <c r="C257" s="2"/>
      <c r="D257" s="2"/>
      <c r="E257" s="7">
        <v>0</v>
      </c>
      <c r="F257" s="2"/>
      <c r="G257" s="7">
        <v>0</v>
      </c>
      <c r="H257" s="2"/>
      <c r="I257" s="7">
        <v>0</v>
      </c>
      <c r="J257" s="2"/>
      <c r="K257" s="2"/>
      <c r="L257" s="2"/>
      <c r="M257" s="2"/>
    </row>
    <row r="258" spans="1:48" ht="30" customHeight="1">
      <c r="A258" s="2"/>
      <c r="B258" s="2"/>
      <c r="C258" s="2"/>
      <c r="D258" s="2"/>
      <c r="E258" s="7">
        <v>0</v>
      </c>
      <c r="F258" s="2"/>
      <c r="G258" s="7">
        <v>0</v>
      </c>
      <c r="H258" s="2"/>
      <c r="I258" s="7">
        <v>0</v>
      </c>
      <c r="J258" s="2"/>
      <c r="K258" s="2"/>
      <c r="L258" s="2"/>
      <c r="M258" s="2"/>
    </row>
    <row r="259" spans="1:48" ht="30" customHeight="1">
      <c r="A259" s="2"/>
      <c r="B259" s="2"/>
      <c r="C259" s="2"/>
      <c r="D259" s="2"/>
      <c r="E259" s="7">
        <v>0</v>
      </c>
      <c r="F259" s="2"/>
      <c r="G259" s="7">
        <v>0</v>
      </c>
      <c r="H259" s="2"/>
      <c r="I259" s="7">
        <v>0</v>
      </c>
      <c r="J259" s="2"/>
      <c r="K259" s="2"/>
      <c r="L259" s="2"/>
      <c r="M259" s="2"/>
    </row>
    <row r="260" spans="1:48" ht="30" customHeight="1">
      <c r="A260" s="2"/>
      <c r="B260" s="2"/>
      <c r="C260" s="2"/>
      <c r="D260" s="2"/>
      <c r="E260" s="7">
        <v>0</v>
      </c>
      <c r="F260" s="2"/>
      <c r="G260" s="7">
        <v>0</v>
      </c>
      <c r="H260" s="2"/>
      <c r="I260" s="7">
        <v>0</v>
      </c>
      <c r="J260" s="2"/>
      <c r="K260" s="2"/>
      <c r="L260" s="2"/>
      <c r="M260" s="2"/>
    </row>
    <row r="261" spans="1:48" ht="30" customHeight="1">
      <c r="A261" s="2"/>
      <c r="B261" s="2"/>
      <c r="C261" s="2"/>
      <c r="D261" s="2"/>
      <c r="E261" s="7">
        <v>0</v>
      </c>
      <c r="F261" s="2"/>
      <c r="G261" s="7">
        <v>0</v>
      </c>
      <c r="H261" s="2"/>
      <c r="I261" s="7">
        <v>0</v>
      </c>
      <c r="J261" s="2"/>
      <c r="K261" s="2"/>
      <c r="L261" s="2"/>
      <c r="M261" s="2"/>
    </row>
    <row r="262" spans="1:48" ht="30" customHeight="1">
      <c r="A262" s="2"/>
      <c r="B262" s="2"/>
      <c r="C262" s="2"/>
      <c r="D262" s="2"/>
      <c r="E262" s="7">
        <v>0</v>
      </c>
      <c r="F262" s="2"/>
      <c r="G262" s="7">
        <v>0</v>
      </c>
      <c r="H262" s="2"/>
      <c r="I262" s="7">
        <v>0</v>
      </c>
      <c r="J262" s="2"/>
      <c r="K262" s="2"/>
      <c r="L262" s="2"/>
      <c r="M262" s="2"/>
    </row>
    <row r="263" spans="1:48" ht="30" customHeight="1">
      <c r="A263" s="2"/>
      <c r="B263" s="2"/>
      <c r="C263" s="2"/>
      <c r="D263" s="2"/>
      <c r="E263" s="7">
        <v>0</v>
      </c>
      <c r="F263" s="2"/>
      <c r="G263" s="7">
        <v>0</v>
      </c>
      <c r="H263" s="2"/>
      <c r="I263" s="7">
        <v>0</v>
      </c>
      <c r="J263" s="2"/>
      <c r="K263" s="2"/>
      <c r="L263" s="2"/>
      <c r="M263" s="2"/>
    </row>
    <row r="264" spans="1:48" ht="30" customHeight="1">
      <c r="A264" s="2"/>
      <c r="B264" s="2"/>
      <c r="C264" s="2"/>
      <c r="D264" s="2"/>
      <c r="E264" s="7">
        <v>0</v>
      </c>
      <c r="F264" s="2"/>
      <c r="G264" s="7">
        <v>0</v>
      </c>
      <c r="H264" s="2"/>
      <c r="I264" s="7">
        <v>0</v>
      </c>
      <c r="J264" s="2"/>
      <c r="K264" s="2"/>
      <c r="L264" s="2"/>
      <c r="M264" s="2"/>
    </row>
    <row r="265" spans="1:48" ht="30" customHeight="1">
      <c r="A265" s="2"/>
      <c r="B265" s="2"/>
      <c r="C265" s="2"/>
      <c r="D265" s="2"/>
      <c r="E265" s="7">
        <v>0</v>
      </c>
      <c r="F265" s="2"/>
      <c r="G265" s="7">
        <v>0</v>
      </c>
      <c r="H265" s="2"/>
      <c r="I265" s="7">
        <v>0</v>
      </c>
      <c r="J265" s="2"/>
      <c r="K265" s="2"/>
      <c r="L265" s="2"/>
      <c r="M265" s="2"/>
    </row>
    <row r="266" spans="1:48" ht="30" customHeight="1">
      <c r="A266" s="2"/>
      <c r="B266" s="2"/>
      <c r="C266" s="2"/>
      <c r="D266" s="2"/>
      <c r="E266" s="7">
        <v>0</v>
      </c>
      <c r="F266" s="2"/>
      <c r="G266" s="7">
        <v>0</v>
      </c>
      <c r="H266" s="2"/>
      <c r="I266" s="7">
        <v>0</v>
      </c>
      <c r="J266" s="2"/>
      <c r="K266" s="2"/>
      <c r="L266" s="2"/>
      <c r="M266" s="2"/>
    </row>
    <row r="267" spans="1:48" ht="30" customHeight="1">
      <c r="A267" s="1" t="s">
        <v>62</v>
      </c>
      <c r="B267" s="2"/>
      <c r="C267" s="2"/>
      <c r="D267" s="2"/>
      <c r="E267" s="7">
        <v>0</v>
      </c>
      <c r="F267" s="7">
        <f>SUM(F245:F266)</f>
        <v>53120839</v>
      </c>
      <c r="G267" s="7">
        <v>0</v>
      </c>
      <c r="H267" s="7">
        <f>SUM(H245:H266)</f>
        <v>0</v>
      </c>
      <c r="I267" s="7">
        <v>0</v>
      </c>
      <c r="J267" s="7">
        <f>SUM(J245:J266)</f>
        <v>0</v>
      </c>
      <c r="K267" s="2"/>
      <c r="L267" s="7">
        <f>SUM(L245:L266)</f>
        <v>53120839</v>
      </c>
      <c r="M267" s="2"/>
      <c r="N267" t="s">
        <v>247</v>
      </c>
    </row>
    <row r="268" spans="1:48" ht="30" customHeight="1">
      <c r="A268" s="1" t="s">
        <v>49</v>
      </c>
      <c r="B268" s="1" t="s">
        <v>22</v>
      </c>
      <c r="C268" s="2"/>
      <c r="D268" s="2"/>
      <c r="E268" s="7">
        <v>0</v>
      </c>
      <c r="F268" s="2"/>
      <c r="G268" s="7">
        <v>0</v>
      </c>
      <c r="H268" s="2"/>
      <c r="I268" s="7">
        <v>0</v>
      </c>
      <c r="J268" s="2"/>
      <c r="K268" s="2"/>
      <c r="L268" s="2"/>
      <c r="M268" s="2"/>
      <c r="Q268" s="4" t="s">
        <v>50</v>
      </c>
    </row>
    <row r="269" spans="1:48" ht="30" customHeight="1">
      <c r="A269" s="1" t="s">
        <v>595</v>
      </c>
      <c r="B269" s="1" t="s">
        <v>596</v>
      </c>
      <c r="C269" s="1" t="s">
        <v>319</v>
      </c>
      <c r="D269" s="2">
        <v>1</v>
      </c>
      <c r="E269" s="7">
        <v>331840</v>
      </c>
      <c r="F269" s="7">
        <f t="shared" ref="F269:F281" si="42">TRUNC(E269*D269, 0)</f>
        <v>331840</v>
      </c>
      <c r="G269" s="7">
        <v>0</v>
      </c>
      <c r="H269" s="7">
        <f t="shared" ref="H269:H281" si="43">TRUNC(G269*D269, 0)</f>
        <v>0</v>
      </c>
      <c r="I269" s="7">
        <v>0</v>
      </c>
      <c r="J269" s="7">
        <f t="shared" ref="J269:J281" si="44">TRUNC(I269*D269, 0)</f>
        <v>0</v>
      </c>
      <c r="K269" s="7">
        <f t="shared" ref="K269:K281" si="45">TRUNC(E269+G269+I269, 0)</f>
        <v>331840</v>
      </c>
      <c r="L269" s="7">
        <f t="shared" ref="L269:L281" si="46">TRUNC(F269+H269+J269, 0)</f>
        <v>331840</v>
      </c>
      <c r="M269" s="1" t="s">
        <v>22</v>
      </c>
      <c r="N269" s="4" t="s">
        <v>597</v>
      </c>
      <c r="O269" s="4" t="s">
        <v>22</v>
      </c>
      <c r="P269" s="4" t="s">
        <v>22</v>
      </c>
      <c r="Q269" s="4" t="s">
        <v>50</v>
      </c>
      <c r="R269" s="4" t="s">
        <v>100</v>
      </c>
      <c r="S269" s="4" t="s">
        <v>100</v>
      </c>
      <c r="T269" s="4" t="s">
        <v>99</v>
      </c>
      <c r="AR269" s="4" t="s">
        <v>22</v>
      </c>
      <c r="AS269" s="4" t="s">
        <v>22</v>
      </c>
      <c r="AU269" s="4" t="s">
        <v>598</v>
      </c>
      <c r="AV269">
        <v>20599</v>
      </c>
    </row>
    <row r="270" spans="1:48" ht="30" customHeight="1">
      <c r="A270" s="1" t="s">
        <v>595</v>
      </c>
      <c r="B270" s="1" t="s">
        <v>599</v>
      </c>
      <c r="C270" s="1" t="s">
        <v>319</v>
      </c>
      <c r="D270" s="2">
        <v>86</v>
      </c>
      <c r="E270" s="7">
        <v>2015928</v>
      </c>
      <c r="F270" s="7">
        <f t="shared" si="42"/>
        <v>173369808</v>
      </c>
      <c r="G270" s="7">
        <v>0</v>
      </c>
      <c r="H270" s="7">
        <f t="shared" si="43"/>
        <v>0</v>
      </c>
      <c r="I270" s="7">
        <v>0</v>
      </c>
      <c r="J270" s="7">
        <f t="shared" si="44"/>
        <v>0</v>
      </c>
      <c r="K270" s="7">
        <f t="shared" si="45"/>
        <v>2015928</v>
      </c>
      <c r="L270" s="7">
        <f t="shared" si="46"/>
        <v>173369808</v>
      </c>
      <c r="M270" s="1" t="s">
        <v>22</v>
      </c>
      <c r="N270" s="4" t="s">
        <v>600</v>
      </c>
      <c r="O270" s="4" t="s">
        <v>22</v>
      </c>
      <c r="P270" s="4" t="s">
        <v>22</v>
      </c>
      <c r="Q270" s="4" t="s">
        <v>50</v>
      </c>
      <c r="R270" s="4" t="s">
        <v>100</v>
      </c>
      <c r="S270" s="4" t="s">
        <v>100</v>
      </c>
      <c r="T270" s="4" t="s">
        <v>99</v>
      </c>
      <c r="AR270" s="4" t="s">
        <v>22</v>
      </c>
      <c r="AS270" s="4" t="s">
        <v>22</v>
      </c>
      <c r="AU270" s="4" t="s">
        <v>601</v>
      </c>
      <c r="AV270">
        <v>19392</v>
      </c>
    </row>
    <row r="271" spans="1:48" ht="30" customHeight="1">
      <c r="A271" s="1" t="s">
        <v>602</v>
      </c>
      <c r="B271" s="1" t="s">
        <v>603</v>
      </c>
      <c r="C271" s="1" t="s">
        <v>149</v>
      </c>
      <c r="D271" s="2">
        <v>66</v>
      </c>
      <c r="E271" s="7">
        <v>423096</v>
      </c>
      <c r="F271" s="7">
        <f t="shared" si="42"/>
        <v>27924336</v>
      </c>
      <c r="G271" s="7">
        <v>0</v>
      </c>
      <c r="H271" s="7">
        <f t="shared" si="43"/>
        <v>0</v>
      </c>
      <c r="I271" s="7">
        <v>0</v>
      </c>
      <c r="J271" s="7">
        <f t="shared" si="44"/>
        <v>0</v>
      </c>
      <c r="K271" s="7">
        <f t="shared" si="45"/>
        <v>423096</v>
      </c>
      <c r="L271" s="7">
        <f t="shared" si="46"/>
        <v>27924336</v>
      </c>
      <c r="M271" s="1" t="s">
        <v>22</v>
      </c>
      <c r="N271" s="4" t="s">
        <v>604</v>
      </c>
      <c r="O271" s="4" t="s">
        <v>22</v>
      </c>
      <c r="P271" s="4" t="s">
        <v>22</v>
      </c>
      <c r="Q271" s="4" t="s">
        <v>50</v>
      </c>
      <c r="R271" s="4" t="s">
        <v>100</v>
      </c>
      <c r="S271" s="4" t="s">
        <v>100</v>
      </c>
      <c r="T271" s="4" t="s">
        <v>99</v>
      </c>
      <c r="AR271" s="4" t="s">
        <v>22</v>
      </c>
      <c r="AS271" s="4" t="s">
        <v>22</v>
      </c>
      <c r="AU271" s="4" t="s">
        <v>605</v>
      </c>
      <c r="AV271">
        <v>20577</v>
      </c>
    </row>
    <row r="272" spans="1:48" ht="30" customHeight="1">
      <c r="A272" s="1" t="s">
        <v>602</v>
      </c>
      <c r="B272" s="1" t="s">
        <v>606</v>
      </c>
      <c r="C272" s="1" t="s">
        <v>149</v>
      </c>
      <c r="D272" s="2">
        <v>12</v>
      </c>
      <c r="E272" s="7">
        <v>522648</v>
      </c>
      <c r="F272" s="7">
        <f t="shared" si="42"/>
        <v>6271776</v>
      </c>
      <c r="G272" s="7">
        <v>0</v>
      </c>
      <c r="H272" s="7">
        <f t="shared" si="43"/>
        <v>0</v>
      </c>
      <c r="I272" s="7">
        <v>0</v>
      </c>
      <c r="J272" s="7">
        <f t="shared" si="44"/>
        <v>0</v>
      </c>
      <c r="K272" s="7">
        <f t="shared" si="45"/>
        <v>522648</v>
      </c>
      <c r="L272" s="7">
        <f t="shared" si="46"/>
        <v>6271776</v>
      </c>
      <c r="M272" s="1" t="s">
        <v>22</v>
      </c>
      <c r="N272" s="4" t="s">
        <v>607</v>
      </c>
      <c r="O272" s="4" t="s">
        <v>22</v>
      </c>
      <c r="P272" s="4" t="s">
        <v>22</v>
      </c>
      <c r="Q272" s="4" t="s">
        <v>50</v>
      </c>
      <c r="R272" s="4" t="s">
        <v>100</v>
      </c>
      <c r="S272" s="4" t="s">
        <v>100</v>
      </c>
      <c r="T272" s="4" t="s">
        <v>99</v>
      </c>
      <c r="AR272" s="4" t="s">
        <v>22</v>
      </c>
      <c r="AS272" s="4" t="s">
        <v>22</v>
      </c>
      <c r="AU272" s="4" t="s">
        <v>608</v>
      </c>
      <c r="AV272">
        <v>20578</v>
      </c>
    </row>
    <row r="273" spans="1:48" ht="30" customHeight="1">
      <c r="A273" s="1" t="s">
        <v>602</v>
      </c>
      <c r="B273" s="1" t="s">
        <v>609</v>
      </c>
      <c r="C273" s="1" t="s">
        <v>149</v>
      </c>
      <c r="D273" s="2">
        <v>2</v>
      </c>
      <c r="E273" s="7">
        <v>613904</v>
      </c>
      <c r="F273" s="7">
        <f t="shared" si="42"/>
        <v>1227808</v>
      </c>
      <c r="G273" s="7">
        <v>0</v>
      </c>
      <c r="H273" s="7">
        <f t="shared" si="43"/>
        <v>0</v>
      </c>
      <c r="I273" s="7">
        <v>0</v>
      </c>
      <c r="J273" s="7">
        <f t="shared" si="44"/>
        <v>0</v>
      </c>
      <c r="K273" s="7">
        <f t="shared" si="45"/>
        <v>613904</v>
      </c>
      <c r="L273" s="7">
        <f t="shared" si="46"/>
        <v>1227808</v>
      </c>
      <c r="M273" s="1" t="s">
        <v>22</v>
      </c>
      <c r="N273" s="4" t="s">
        <v>610</v>
      </c>
      <c r="O273" s="4" t="s">
        <v>22</v>
      </c>
      <c r="P273" s="4" t="s">
        <v>22</v>
      </c>
      <c r="Q273" s="4" t="s">
        <v>50</v>
      </c>
      <c r="R273" s="4" t="s">
        <v>100</v>
      </c>
      <c r="S273" s="4" t="s">
        <v>100</v>
      </c>
      <c r="T273" s="4" t="s">
        <v>99</v>
      </c>
      <c r="AR273" s="4" t="s">
        <v>22</v>
      </c>
      <c r="AS273" s="4" t="s">
        <v>22</v>
      </c>
      <c r="AU273" s="4" t="s">
        <v>611</v>
      </c>
      <c r="AV273">
        <v>20579</v>
      </c>
    </row>
    <row r="274" spans="1:48" ht="30" customHeight="1">
      <c r="A274" s="1" t="s">
        <v>602</v>
      </c>
      <c r="B274" s="1" t="s">
        <v>612</v>
      </c>
      <c r="C274" s="1" t="s">
        <v>360</v>
      </c>
      <c r="D274" s="2">
        <v>36</v>
      </c>
      <c r="E274" s="7">
        <v>497760</v>
      </c>
      <c r="F274" s="7">
        <f t="shared" si="42"/>
        <v>17919360</v>
      </c>
      <c r="G274" s="7">
        <v>0</v>
      </c>
      <c r="H274" s="7">
        <f t="shared" si="43"/>
        <v>0</v>
      </c>
      <c r="I274" s="7">
        <v>0</v>
      </c>
      <c r="J274" s="7">
        <f t="shared" si="44"/>
        <v>0</v>
      </c>
      <c r="K274" s="7">
        <f t="shared" si="45"/>
        <v>497760</v>
      </c>
      <c r="L274" s="7">
        <f t="shared" si="46"/>
        <v>17919360</v>
      </c>
      <c r="M274" s="1" t="s">
        <v>22</v>
      </c>
      <c r="N274" s="4" t="s">
        <v>613</v>
      </c>
      <c r="O274" s="4" t="s">
        <v>22</v>
      </c>
      <c r="P274" s="4" t="s">
        <v>22</v>
      </c>
      <c r="Q274" s="4" t="s">
        <v>50</v>
      </c>
      <c r="R274" s="4" t="s">
        <v>100</v>
      </c>
      <c r="S274" s="4" t="s">
        <v>100</v>
      </c>
      <c r="T274" s="4" t="s">
        <v>99</v>
      </c>
      <c r="AR274" s="4" t="s">
        <v>22</v>
      </c>
      <c r="AS274" s="4" t="s">
        <v>22</v>
      </c>
      <c r="AU274" s="4" t="s">
        <v>614</v>
      </c>
      <c r="AV274">
        <v>19279</v>
      </c>
    </row>
    <row r="275" spans="1:48" ht="30" customHeight="1">
      <c r="A275" s="1" t="s">
        <v>602</v>
      </c>
      <c r="B275" s="1" t="s">
        <v>615</v>
      </c>
      <c r="C275" s="1" t="s">
        <v>360</v>
      </c>
      <c r="D275" s="2">
        <v>46</v>
      </c>
      <c r="E275" s="7">
        <v>373320</v>
      </c>
      <c r="F275" s="7">
        <f t="shared" si="42"/>
        <v>17172720</v>
      </c>
      <c r="G275" s="7">
        <v>0</v>
      </c>
      <c r="H275" s="7">
        <f t="shared" si="43"/>
        <v>0</v>
      </c>
      <c r="I275" s="7">
        <v>0</v>
      </c>
      <c r="J275" s="7">
        <f t="shared" si="44"/>
        <v>0</v>
      </c>
      <c r="K275" s="7">
        <f t="shared" si="45"/>
        <v>373320</v>
      </c>
      <c r="L275" s="7">
        <f t="shared" si="46"/>
        <v>17172720</v>
      </c>
      <c r="M275" s="1" t="s">
        <v>22</v>
      </c>
      <c r="N275" s="4" t="s">
        <v>616</v>
      </c>
      <c r="O275" s="4" t="s">
        <v>22</v>
      </c>
      <c r="P275" s="4" t="s">
        <v>22</v>
      </c>
      <c r="Q275" s="4" t="s">
        <v>50</v>
      </c>
      <c r="R275" s="4" t="s">
        <v>100</v>
      </c>
      <c r="S275" s="4" t="s">
        <v>100</v>
      </c>
      <c r="T275" s="4" t="s">
        <v>99</v>
      </c>
      <c r="AR275" s="4" t="s">
        <v>22</v>
      </c>
      <c r="AS275" s="4" t="s">
        <v>22</v>
      </c>
      <c r="AU275" s="4" t="s">
        <v>617</v>
      </c>
      <c r="AV275">
        <v>20116</v>
      </c>
    </row>
    <row r="276" spans="1:48" ht="30" customHeight="1">
      <c r="A276" s="1" t="s">
        <v>602</v>
      </c>
      <c r="B276" s="1" t="s">
        <v>618</v>
      </c>
      <c r="C276" s="1" t="s">
        <v>360</v>
      </c>
      <c r="D276" s="2">
        <v>44</v>
      </c>
      <c r="E276" s="7">
        <v>248880</v>
      </c>
      <c r="F276" s="7">
        <f t="shared" si="42"/>
        <v>10950720</v>
      </c>
      <c r="G276" s="7">
        <v>0</v>
      </c>
      <c r="H276" s="7">
        <f t="shared" si="43"/>
        <v>0</v>
      </c>
      <c r="I276" s="7">
        <v>0</v>
      </c>
      <c r="J276" s="7">
        <f t="shared" si="44"/>
        <v>0</v>
      </c>
      <c r="K276" s="7">
        <f t="shared" si="45"/>
        <v>248880</v>
      </c>
      <c r="L276" s="7">
        <f t="shared" si="46"/>
        <v>10950720</v>
      </c>
      <c r="M276" s="1" t="s">
        <v>22</v>
      </c>
      <c r="N276" s="4" t="s">
        <v>619</v>
      </c>
      <c r="O276" s="4" t="s">
        <v>22</v>
      </c>
      <c r="P276" s="4" t="s">
        <v>22</v>
      </c>
      <c r="Q276" s="4" t="s">
        <v>50</v>
      </c>
      <c r="R276" s="4" t="s">
        <v>100</v>
      </c>
      <c r="S276" s="4" t="s">
        <v>100</v>
      </c>
      <c r="T276" s="4" t="s">
        <v>99</v>
      </c>
      <c r="AR276" s="4" t="s">
        <v>22</v>
      </c>
      <c r="AS276" s="4" t="s">
        <v>22</v>
      </c>
      <c r="AU276" s="4" t="s">
        <v>620</v>
      </c>
      <c r="AV276">
        <v>19280</v>
      </c>
    </row>
    <row r="277" spans="1:48" ht="30" customHeight="1">
      <c r="A277" s="1" t="s">
        <v>621</v>
      </c>
      <c r="B277" s="1" t="s">
        <v>365</v>
      </c>
      <c r="C277" s="1" t="s">
        <v>166</v>
      </c>
      <c r="D277" s="2">
        <v>24</v>
      </c>
      <c r="E277" s="7">
        <v>282064</v>
      </c>
      <c r="F277" s="7">
        <f t="shared" si="42"/>
        <v>6769536</v>
      </c>
      <c r="G277" s="7">
        <v>0</v>
      </c>
      <c r="H277" s="7">
        <f t="shared" si="43"/>
        <v>0</v>
      </c>
      <c r="I277" s="7">
        <v>0</v>
      </c>
      <c r="J277" s="7">
        <f t="shared" si="44"/>
        <v>0</v>
      </c>
      <c r="K277" s="7">
        <f t="shared" si="45"/>
        <v>282064</v>
      </c>
      <c r="L277" s="7">
        <f t="shared" si="46"/>
        <v>6769536</v>
      </c>
      <c r="M277" s="1" t="s">
        <v>22</v>
      </c>
      <c r="N277" s="4" t="s">
        <v>622</v>
      </c>
      <c r="O277" s="4" t="s">
        <v>22</v>
      </c>
      <c r="P277" s="4" t="s">
        <v>22</v>
      </c>
      <c r="Q277" s="4" t="s">
        <v>50</v>
      </c>
      <c r="R277" s="4" t="s">
        <v>100</v>
      </c>
      <c r="S277" s="4" t="s">
        <v>100</v>
      </c>
      <c r="T277" s="4" t="s">
        <v>99</v>
      </c>
      <c r="AR277" s="4" t="s">
        <v>22</v>
      </c>
      <c r="AS277" s="4" t="s">
        <v>22</v>
      </c>
      <c r="AU277" s="4" t="s">
        <v>623</v>
      </c>
      <c r="AV277">
        <v>19501</v>
      </c>
    </row>
    <row r="278" spans="1:48" ht="30" customHeight="1">
      <c r="A278" s="1" t="s">
        <v>624</v>
      </c>
      <c r="B278" s="1" t="s">
        <v>625</v>
      </c>
      <c r="C278" s="1" t="s">
        <v>360</v>
      </c>
      <c r="D278" s="2">
        <v>13</v>
      </c>
      <c r="E278" s="7">
        <v>5558320</v>
      </c>
      <c r="F278" s="7">
        <f t="shared" si="42"/>
        <v>72258160</v>
      </c>
      <c r="G278" s="7">
        <v>0</v>
      </c>
      <c r="H278" s="7">
        <f t="shared" si="43"/>
        <v>0</v>
      </c>
      <c r="I278" s="7">
        <v>0</v>
      </c>
      <c r="J278" s="7">
        <f t="shared" si="44"/>
        <v>0</v>
      </c>
      <c r="K278" s="7">
        <f t="shared" si="45"/>
        <v>5558320</v>
      </c>
      <c r="L278" s="7">
        <f t="shared" si="46"/>
        <v>72258160</v>
      </c>
      <c r="M278" s="1" t="s">
        <v>22</v>
      </c>
      <c r="N278" s="4" t="s">
        <v>626</v>
      </c>
      <c r="O278" s="4" t="s">
        <v>22</v>
      </c>
      <c r="P278" s="4" t="s">
        <v>22</v>
      </c>
      <c r="Q278" s="4" t="s">
        <v>50</v>
      </c>
      <c r="R278" s="4" t="s">
        <v>100</v>
      </c>
      <c r="S278" s="4" t="s">
        <v>100</v>
      </c>
      <c r="T278" s="4" t="s">
        <v>99</v>
      </c>
      <c r="AR278" s="4" t="s">
        <v>22</v>
      </c>
      <c r="AS278" s="4" t="s">
        <v>22</v>
      </c>
      <c r="AU278" s="4" t="s">
        <v>627</v>
      </c>
      <c r="AV278">
        <v>19270</v>
      </c>
    </row>
    <row r="279" spans="1:48" ht="30" customHeight="1">
      <c r="A279" s="1" t="s">
        <v>628</v>
      </c>
      <c r="B279" s="1" t="s">
        <v>629</v>
      </c>
      <c r="C279" s="1" t="s">
        <v>149</v>
      </c>
      <c r="D279" s="2">
        <v>80</v>
      </c>
      <c r="E279" s="7">
        <v>369548</v>
      </c>
      <c r="F279" s="7">
        <f t="shared" si="42"/>
        <v>29563840</v>
      </c>
      <c r="G279" s="7">
        <v>0</v>
      </c>
      <c r="H279" s="7">
        <f t="shared" si="43"/>
        <v>0</v>
      </c>
      <c r="I279" s="7">
        <v>0</v>
      </c>
      <c r="J279" s="7">
        <f t="shared" si="44"/>
        <v>0</v>
      </c>
      <c r="K279" s="7">
        <f t="shared" si="45"/>
        <v>369548</v>
      </c>
      <c r="L279" s="7">
        <f t="shared" si="46"/>
        <v>29563840</v>
      </c>
      <c r="M279" s="1" t="s">
        <v>22</v>
      </c>
      <c r="N279" s="4" t="s">
        <v>630</v>
      </c>
      <c r="O279" s="4" t="s">
        <v>22</v>
      </c>
      <c r="P279" s="4" t="s">
        <v>22</v>
      </c>
      <c r="Q279" s="4" t="s">
        <v>50</v>
      </c>
      <c r="R279" s="4" t="s">
        <v>100</v>
      </c>
      <c r="S279" s="4" t="s">
        <v>100</v>
      </c>
      <c r="T279" s="4" t="s">
        <v>99</v>
      </c>
      <c r="AR279" s="4" t="s">
        <v>22</v>
      </c>
      <c r="AS279" s="4" t="s">
        <v>22</v>
      </c>
      <c r="AU279" s="4" t="s">
        <v>631</v>
      </c>
      <c r="AV279">
        <v>20057</v>
      </c>
    </row>
    <row r="280" spans="1:48" ht="30" customHeight="1">
      <c r="A280" s="1" t="s">
        <v>562</v>
      </c>
      <c r="B280" s="1" t="s">
        <v>165</v>
      </c>
      <c r="C280" s="1" t="s">
        <v>166</v>
      </c>
      <c r="D280" s="2">
        <v>80</v>
      </c>
      <c r="E280" s="7">
        <v>365024</v>
      </c>
      <c r="F280" s="7">
        <f t="shared" si="42"/>
        <v>29201920</v>
      </c>
      <c r="G280" s="7">
        <v>0</v>
      </c>
      <c r="H280" s="7">
        <f t="shared" si="43"/>
        <v>0</v>
      </c>
      <c r="I280" s="7">
        <v>0</v>
      </c>
      <c r="J280" s="7">
        <f t="shared" si="44"/>
        <v>0</v>
      </c>
      <c r="K280" s="7">
        <f t="shared" si="45"/>
        <v>365024</v>
      </c>
      <c r="L280" s="7">
        <f t="shared" si="46"/>
        <v>29201920</v>
      </c>
      <c r="M280" s="1" t="s">
        <v>22</v>
      </c>
      <c r="N280" s="4" t="s">
        <v>563</v>
      </c>
      <c r="O280" s="4" t="s">
        <v>22</v>
      </c>
      <c r="P280" s="4" t="s">
        <v>22</v>
      </c>
      <c r="Q280" s="4" t="s">
        <v>50</v>
      </c>
      <c r="R280" s="4" t="s">
        <v>100</v>
      </c>
      <c r="S280" s="4" t="s">
        <v>100</v>
      </c>
      <c r="T280" s="4" t="s">
        <v>99</v>
      </c>
      <c r="AR280" s="4" t="s">
        <v>22</v>
      </c>
      <c r="AS280" s="4" t="s">
        <v>22</v>
      </c>
      <c r="AU280" s="4" t="s">
        <v>632</v>
      </c>
      <c r="AV280">
        <v>20114</v>
      </c>
    </row>
    <row r="281" spans="1:48" ht="30" customHeight="1">
      <c r="A281" s="1" t="s">
        <v>199</v>
      </c>
      <c r="B281" s="1" t="s">
        <v>574</v>
      </c>
      <c r="C281" s="1" t="s">
        <v>166</v>
      </c>
      <c r="D281" s="2">
        <v>13</v>
      </c>
      <c r="E281" s="7">
        <v>209722</v>
      </c>
      <c r="F281" s="7">
        <f t="shared" si="42"/>
        <v>2726386</v>
      </c>
      <c r="G281" s="7">
        <v>0</v>
      </c>
      <c r="H281" s="7">
        <f t="shared" si="43"/>
        <v>0</v>
      </c>
      <c r="I281" s="7">
        <v>0</v>
      </c>
      <c r="J281" s="7">
        <f t="shared" si="44"/>
        <v>0</v>
      </c>
      <c r="K281" s="7">
        <f t="shared" si="45"/>
        <v>209722</v>
      </c>
      <c r="L281" s="7">
        <f t="shared" si="46"/>
        <v>2726386</v>
      </c>
      <c r="M281" s="1" t="s">
        <v>22</v>
      </c>
      <c r="N281" s="4" t="s">
        <v>575</v>
      </c>
      <c r="O281" s="4" t="s">
        <v>22</v>
      </c>
      <c r="P281" s="4" t="s">
        <v>22</v>
      </c>
      <c r="Q281" s="4" t="s">
        <v>50</v>
      </c>
      <c r="R281" s="4" t="s">
        <v>100</v>
      </c>
      <c r="S281" s="4" t="s">
        <v>100</v>
      </c>
      <c r="T281" s="4" t="s">
        <v>99</v>
      </c>
      <c r="AR281" s="4" t="s">
        <v>22</v>
      </c>
      <c r="AS281" s="4" t="s">
        <v>22</v>
      </c>
      <c r="AU281" s="4" t="s">
        <v>633</v>
      </c>
      <c r="AV281">
        <v>20569</v>
      </c>
    </row>
    <row r="282" spans="1:48" ht="30" customHeight="1">
      <c r="A282" s="2"/>
      <c r="B282" s="2"/>
      <c r="C282" s="2"/>
      <c r="D282" s="2"/>
      <c r="E282" s="7">
        <v>0</v>
      </c>
      <c r="F282" s="2"/>
      <c r="G282" s="7">
        <v>0</v>
      </c>
      <c r="H282" s="2"/>
      <c r="I282" s="7">
        <v>0</v>
      </c>
      <c r="J282" s="2"/>
      <c r="K282" s="2"/>
      <c r="L282" s="2"/>
      <c r="M282" s="2"/>
    </row>
    <row r="283" spans="1:48" ht="30" customHeight="1">
      <c r="A283" s="2"/>
      <c r="B283" s="2"/>
      <c r="C283" s="2"/>
      <c r="D283" s="2"/>
      <c r="E283" s="7">
        <v>0</v>
      </c>
      <c r="F283" s="2"/>
      <c r="G283" s="7">
        <v>0</v>
      </c>
      <c r="H283" s="2"/>
      <c r="I283" s="7">
        <v>0</v>
      </c>
      <c r="J283" s="2"/>
      <c r="K283" s="2"/>
      <c r="L283" s="2"/>
      <c r="M283" s="2"/>
    </row>
    <row r="284" spans="1:48" ht="30" customHeight="1">
      <c r="A284" s="2"/>
      <c r="B284" s="2"/>
      <c r="C284" s="2"/>
      <c r="D284" s="2"/>
      <c r="E284" s="7">
        <v>0</v>
      </c>
      <c r="F284" s="2"/>
      <c r="G284" s="7">
        <v>0</v>
      </c>
      <c r="H284" s="2"/>
      <c r="I284" s="7">
        <v>0</v>
      </c>
      <c r="J284" s="2"/>
      <c r="K284" s="2"/>
      <c r="L284" s="2"/>
      <c r="M284" s="2"/>
    </row>
    <row r="285" spans="1:48" ht="30" customHeight="1">
      <c r="A285" s="2"/>
      <c r="B285" s="2"/>
      <c r="C285" s="2"/>
      <c r="D285" s="2"/>
      <c r="E285" s="7">
        <v>0</v>
      </c>
      <c r="F285" s="2"/>
      <c r="G285" s="7">
        <v>0</v>
      </c>
      <c r="H285" s="2"/>
      <c r="I285" s="7">
        <v>0</v>
      </c>
      <c r="J285" s="2"/>
      <c r="K285" s="2"/>
      <c r="L285" s="2"/>
      <c r="M285" s="2"/>
    </row>
    <row r="286" spans="1:48" ht="30" customHeight="1">
      <c r="A286" s="2"/>
      <c r="B286" s="2"/>
      <c r="C286" s="2"/>
      <c r="D286" s="2"/>
      <c r="E286" s="7">
        <v>0</v>
      </c>
      <c r="F286" s="2"/>
      <c r="G286" s="7">
        <v>0</v>
      </c>
      <c r="H286" s="2"/>
      <c r="I286" s="7">
        <v>0</v>
      </c>
      <c r="J286" s="2"/>
      <c r="K286" s="2"/>
      <c r="L286" s="2"/>
      <c r="M286" s="2"/>
    </row>
    <row r="287" spans="1:48" ht="30" customHeight="1">
      <c r="A287" s="2"/>
      <c r="B287" s="2"/>
      <c r="C287" s="2"/>
      <c r="D287" s="2"/>
      <c r="E287" s="7">
        <v>0</v>
      </c>
      <c r="F287" s="2"/>
      <c r="G287" s="7">
        <v>0</v>
      </c>
      <c r="H287" s="2"/>
      <c r="I287" s="7">
        <v>0</v>
      </c>
      <c r="J287" s="2"/>
      <c r="K287" s="2"/>
      <c r="L287" s="2"/>
      <c r="M287" s="2"/>
    </row>
    <row r="288" spans="1:48" ht="30" customHeight="1">
      <c r="A288" s="2"/>
      <c r="B288" s="2"/>
      <c r="C288" s="2"/>
      <c r="D288" s="2"/>
      <c r="E288" s="7">
        <v>0</v>
      </c>
      <c r="F288" s="2"/>
      <c r="G288" s="7">
        <v>0</v>
      </c>
      <c r="H288" s="2"/>
      <c r="I288" s="7">
        <v>0</v>
      </c>
      <c r="J288" s="2"/>
      <c r="K288" s="2"/>
      <c r="L288" s="2"/>
      <c r="M288" s="2"/>
    </row>
    <row r="289" spans="1:48" ht="30" customHeight="1">
      <c r="A289" s="2"/>
      <c r="B289" s="2"/>
      <c r="C289" s="2"/>
      <c r="D289" s="2"/>
      <c r="E289" s="7">
        <v>0</v>
      </c>
      <c r="F289" s="2"/>
      <c r="G289" s="7">
        <v>0</v>
      </c>
      <c r="H289" s="2"/>
      <c r="I289" s="7">
        <v>0</v>
      </c>
      <c r="J289" s="2"/>
      <c r="K289" s="2"/>
      <c r="L289" s="2"/>
      <c r="M289" s="2"/>
    </row>
    <row r="290" spans="1:48" ht="30" customHeight="1">
      <c r="A290" s="2"/>
      <c r="B290" s="2"/>
      <c r="C290" s="2"/>
      <c r="D290" s="2"/>
      <c r="E290" s="7">
        <v>0</v>
      </c>
      <c r="F290" s="2"/>
      <c r="G290" s="7">
        <v>0</v>
      </c>
      <c r="H290" s="2"/>
      <c r="I290" s="7">
        <v>0</v>
      </c>
      <c r="J290" s="2"/>
      <c r="K290" s="2"/>
      <c r="L290" s="2"/>
      <c r="M290" s="2"/>
    </row>
    <row r="291" spans="1:48" ht="30" customHeight="1">
      <c r="A291" s="1" t="s">
        <v>62</v>
      </c>
      <c r="B291" s="2"/>
      <c r="C291" s="2"/>
      <c r="D291" s="2"/>
      <c r="E291" s="7">
        <v>0</v>
      </c>
      <c r="F291" s="7">
        <f>SUM(F269:F290)</f>
        <v>395688210</v>
      </c>
      <c r="G291" s="7">
        <v>0</v>
      </c>
      <c r="H291" s="7">
        <f>SUM(H269:H290)</f>
        <v>0</v>
      </c>
      <c r="I291" s="7">
        <v>0</v>
      </c>
      <c r="J291" s="7">
        <f>SUM(J269:J290)</f>
        <v>0</v>
      </c>
      <c r="K291" s="2"/>
      <c r="L291" s="7">
        <f>SUM(L269:L290)</f>
        <v>395688210</v>
      </c>
      <c r="M291" s="2"/>
      <c r="N291" t="s">
        <v>247</v>
      </c>
    </row>
    <row r="292" spans="1:48" ht="30" customHeight="1">
      <c r="A292" s="8" t="s">
        <v>53</v>
      </c>
      <c r="B292" s="8" t="s">
        <v>22</v>
      </c>
      <c r="C292" s="9"/>
      <c r="D292" s="9"/>
      <c r="E292" s="7">
        <v>0</v>
      </c>
      <c r="F292" s="9"/>
      <c r="G292" s="7">
        <v>0</v>
      </c>
      <c r="H292" s="9"/>
      <c r="I292" s="7">
        <v>0</v>
      </c>
      <c r="J292" s="9"/>
      <c r="K292" s="9"/>
      <c r="L292" s="9"/>
      <c r="M292" s="9"/>
      <c r="N292" s="10"/>
      <c r="O292" s="10"/>
      <c r="P292" s="10"/>
      <c r="Q292" s="11" t="s">
        <v>54</v>
      </c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</row>
    <row r="293" spans="1:48" ht="30" customHeight="1">
      <c r="A293" s="1" t="s">
        <v>634</v>
      </c>
      <c r="B293" s="1" t="s">
        <v>635</v>
      </c>
      <c r="C293" s="1" t="s">
        <v>578</v>
      </c>
      <c r="D293" s="2">
        <v>1</v>
      </c>
      <c r="E293" s="7">
        <v>6933796</v>
      </c>
      <c r="F293" s="7">
        <f t="shared" ref="F293:F298" si="47">TRUNC(E293*D293, 0)</f>
        <v>6933796</v>
      </c>
      <c r="G293" s="7">
        <v>0</v>
      </c>
      <c r="H293" s="7">
        <f t="shared" ref="H293:H298" si="48">TRUNC(G293*D293, 0)</f>
        <v>0</v>
      </c>
      <c r="I293" s="7">
        <v>0</v>
      </c>
      <c r="J293" s="7">
        <f t="shared" ref="J293:J298" si="49">TRUNC(I293*D293, 0)</f>
        <v>0</v>
      </c>
      <c r="K293" s="7">
        <f t="shared" ref="K293:K298" si="50">TRUNC(E293+G293+I293, 0)</f>
        <v>6933796</v>
      </c>
      <c r="L293" s="7">
        <f t="shared" ref="L293:L298" si="51">TRUNC(F293+H293+J293, 0)</f>
        <v>6933796</v>
      </c>
      <c r="M293" s="1" t="s">
        <v>22</v>
      </c>
      <c r="N293" s="4" t="s">
        <v>636</v>
      </c>
      <c r="O293" s="4" t="s">
        <v>22</v>
      </c>
      <c r="P293" s="4" t="s">
        <v>22</v>
      </c>
      <c r="Q293" s="4" t="s">
        <v>54</v>
      </c>
      <c r="R293" s="4" t="s">
        <v>100</v>
      </c>
      <c r="S293" s="4" t="s">
        <v>100</v>
      </c>
      <c r="T293" s="4" t="s">
        <v>99</v>
      </c>
      <c r="AR293" s="4" t="s">
        <v>22</v>
      </c>
      <c r="AS293" s="4" t="s">
        <v>22</v>
      </c>
      <c r="AU293" s="4" t="s">
        <v>637</v>
      </c>
      <c r="AV293">
        <v>20658</v>
      </c>
    </row>
    <row r="294" spans="1:48" ht="30" customHeight="1">
      <c r="A294" s="1" t="s">
        <v>634</v>
      </c>
      <c r="B294" s="1" t="s">
        <v>638</v>
      </c>
      <c r="C294" s="1" t="s">
        <v>578</v>
      </c>
      <c r="D294" s="2">
        <v>1</v>
      </c>
      <c r="E294" s="7">
        <v>4180354</v>
      </c>
      <c r="F294" s="7">
        <f t="shared" si="47"/>
        <v>4180354</v>
      </c>
      <c r="G294" s="7">
        <v>0</v>
      </c>
      <c r="H294" s="7">
        <f t="shared" si="48"/>
        <v>0</v>
      </c>
      <c r="I294" s="7">
        <v>0</v>
      </c>
      <c r="J294" s="7">
        <f t="shared" si="49"/>
        <v>0</v>
      </c>
      <c r="K294" s="7">
        <f t="shared" si="50"/>
        <v>4180354</v>
      </c>
      <c r="L294" s="7">
        <f t="shared" si="51"/>
        <v>4180354</v>
      </c>
      <c r="M294" s="1" t="s">
        <v>22</v>
      </c>
      <c r="N294" s="4" t="s">
        <v>639</v>
      </c>
      <c r="O294" s="4" t="s">
        <v>22</v>
      </c>
      <c r="P294" s="4" t="s">
        <v>22</v>
      </c>
      <c r="Q294" s="4" t="s">
        <v>54</v>
      </c>
      <c r="R294" s="4" t="s">
        <v>100</v>
      </c>
      <c r="S294" s="4" t="s">
        <v>100</v>
      </c>
      <c r="T294" s="4" t="s">
        <v>99</v>
      </c>
      <c r="AR294" s="4" t="s">
        <v>22</v>
      </c>
      <c r="AS294" s="4" t="s">
        <v>22</v>
      </c>
      <c r="AU294" s="4" t="s">
        <v>640</v>
      </c>
      <c r="AV294">
        <v>20659</v>
      </c>
    </row>
    <row r="295" spans="1:48" ht="30" customHeight="1">
      <c r="A295" s="1" t="s">
        <v>641</v>
      </c>
      <c r="B295" s="1" t="s">
        <v>642</v>
      </c>
      <c r="C295" s="1" t="s">
        <v>166</v>
      </c>
      <c r="D295" s="2">
        <v>2</v>
      </c>
      <c r="E295" s="7">
        <v>12172494</v>
      </c>
      <c r="F295" s="7">
        <f t="shared" si="47"/>
        <v>24344988</v>
      </c>
      <c r="G295" s="7">
        <v>0</v>
      </c>
      <c r="H295" s="7">
        <f t="shared" si="48"/>
        <v>0</v>
      </c>
      <c r="I295" s="7">
        <v>0</v>
      </c>
      <c r="J295" s="7">
        <f t="shared" si="49"/>
        <v>0</v>
      </c>
      <c r="K295" s="7">
        <f t="shared" si="50"/>
        <v>12172494</v>
      </c>
      <c r="L295" s="7">
        <f t="shared" si="51"/>
        <v>24344988</v>
      </c>
      <c r="M295" s="1" t="s">
        <v>22</v>
      </c>
      <c r="N295" s="4" t="s">
        <v>643</v>
      </c>
      <c r="O295" s="4" t="s">
        <v>22</v>
      </c>
      <c r="P295" s="4" t="s">
        <v>22</v>
      </c>
      <c r="Q295" s="4" t="s">
        <v>54</v>
      </c>
      <c r="R295" s="4" t="s">
        <v>100</v>
      </c>
      <c r="S295" s="4" t="s">
        <v>100</v>
      </c>
      <c r="T295" s="4" t="s">
        <v>99</v>
      </c>
      <c r="AR295" s="4" t="s">
        <v>22</v>
      </c>
      <c r="AS295" s="4" t="s">
        <v>22</v>
      </c>
      <c r="AU295" s="4" t="s">
        <v>644</v>
      </c>
      <c r="AV295">
        <v>20660</v>
      </c>
    </row>
    <row r="296" spans="1:48" ht="30" customHeight="1">
      <c r="A296" s="1" t="s">
        <v>645</v>
      </c>
      <c r="B296" s="1" t="s">
        <v>642</v>
      </c>
      <c r="C296" s="1" t="s">
        <v>166</v>
      </c>
      <c r="D296" s="2">
        <v>11</v>
      </c>
      <c r="E296" s="7">
        <v>2239920</v>
      </c>
      <c r="F296" s="7">
        <f t="shared" si="47"/>
        <v>24639120</v>
      </c>
      <c r="G296" s="7">
        <v>0</v>
      </c>
      <c r="H296" s="7">
        <f t="shared" si="48"/>
        <v>0</v>
      </c>
      <c r="I296" s="7">
        <v>0</v>
      </c>
      <c r="J296" s="7">
        <f t="shared" si="49"/>
        <v>0</v>
      </c>
      <c r="K296" s="7">
        <f t="shared" si="50"/>
        <v>2239920</v>
      </c>
      <c r="L296" s="7">
        <f t="shared" si="51"/>
        <v>24639120</v>
      </c>
      <c r="M296" s="1" t="s">
        <v>22</v>
      </c>
      <c r="N296" s="4" t="s">
        <v>646</v>
      </c>
      <c r="O296" s="4" t="s">
        <v>22</v>
      </c>
      <c r="P296" s="4" t="s">
        <v>22</v>
      </c>
      <c r="Q296" s="4" t="s">
        <v>54</v>
      </c>
      <c r="R296" s="4" t="s">
        <v>100</v>
      </c>
      <c r="S296" s="4" t="s">
        <v>100</v>
      </c>
      <c r="T296" s="4" t="s">
        <v>99</v>
      </c>
      <c r="AR296" s="4" t="s">
        <v>22</v>
      </c>
      <c r="AS296" s="4" t="s">
        <v>22</v>
      </c>
      <c r="AU296" s="4" t="s">
        <v>647</v>
      </c>
      <c r="AV296">
        <v>20661</v>
      </c>
    </row>
    <row r="297" spans="1:48" ht="30" customHeight="1">
      <c r="A297" s="1" t="s">
        <v>648</v>
      </c>
      <c r="B297" s="1" t="s">
        <v>649</v>
      </c>
      <c r="C297" s="1" t="s">
        <v>166</v>
      </c>
      <c r="D297" s="2">
        <v>2</v>
      </c>
      <c r="E297" s="7">
        <v>2903600</v>
      </c>
      <c r="F297" s="7">
        <f t="shared" si="47"/>
        <v>5807200</v>
      </c>
      <c r="G297" s="7">
        <v>0</v>
      </c>
      <c r="H297" s="7">
        <f t="shared" si="48"/>
        <v>0</v>
      </c>
      <c r="I297" s="7">
        <v>0</v>
      </c>
      <c r="J297" s="7">
        <f t="shared" si="49"/>
        <v>0</v>
      </c>
      <c r="K297" s="7">
        <f t="shared" si="50"/>
        <v>2903600</v>
      </c>
      <c r="L297" s="7">
        <f t="shared" si="51"/>
        <v>5807200</v>
      </c>
      <c r="M297" s="1" t="s">
        <v>22</v>
      </c>
      <c r="N297" s="4" t="s">
        <v>650</v>
      </c>
      <c r="O297" s="4" t="s">
        <v>22</v>
      </c>
      <c r="P297" s="4" t="s">
        <v>22</v>
      </c>
      <c r="Q297" s="4" t="s">
        <v>54</v>
      </c>
      <c r="R297" s="4" t="s">
        <v>100</v>
      </c>
      <c r="S297" s="4" t="s">
        <v>100</v>
      </c>
      <c r="T297" s="4" t="s">
        <v>99</v>
      </c>
      <c r="AR297" s="4" t="s">
        <v>22</v>
      </c>
      <c r="AS297" s="4" t="s">
        <v>22</v>
      </c>
      <c r="AU297" s="4" t="s">
        <v>651</v>
      </c>
      <c r="AV297">
        <v>20662</v>
      </c>
    </row>
    <row r="298" spans="1:48" ht="30" customHeight="1">
      <c r="A298" s="1" t="s">
        <v>648</v>
      </c>
      <c r="B298" s="1" t="s">
        <v>652</v>
      </c>
      <c r="C298" s="1" t="s">
        <v>166</v>
      </c>
      <c r="D298" s="2">
        <v>11</v>
      </c>
      <c r="E298" s="7">
        <v>1659200</v>
      </c>
      <c r="F298" s="7">
        <f t="shared" si="47"/>
        <v>18251200</v>
      </c>
      <c r="G298" s="7">
        <v>0</v>
      </c>
      <c r="H298" s="7">
        <f t="shared" si="48"/>
        <v>0</v>
      </c>
      <c r="I298" s="7">
        <v>0</v>
      </c>
      <c r="J298" s="7">
        <f t="shared" si="49"/>
        <v>0</v>
      </c>
      <c r="K298" s="7">
        <f t="shared" si="50"/>
        <v>1659200</v>
      </c>
      <c r="L298" s="7">
        <f t="shared" si="51"/>
        <v>18251200</v>
      </c>
      <c r="M298" s="1" t="s">
        <v>22</v>
      </c>
      <c r="N298" s="4" t="s">
        <v>653</v>
      </c>
      <c r="O298" s="4" t="s">
        <v>22</v>
      </c>
      <c r="P298" s="4" t="s">
        <v>22</v>
      </c>
      <c r="Q298" s="4" t="s">
        <v>54</v>
      </c>
      <c r="R298" s="4" t="s">
        <v>100</v>
      </c>
      <c r="S298" s="4" t="s">
        <v>100</v>
      </c>
      <c r="T298" s="4" t="s">
        <v>99</v>
      </c>
      <c r="AR298" s="4" t="s">
        <v>22</v>
      </c>
      <c r="AS298" s="4" t="s">
        <v>22</v>
      </c>
      <c r="AU298" s="4" t="s">
        <v>654</v>
      </c>
      <c r="AV298">
        <v>20663</v>
      </c>
    </row>
    <row r="299" spans="1:48" ht="30" customHeight="1">
      <c r="A299" s="2"/>
      <c r="B299" s="2"/>
      <c r="C299" s="2"/>
      <c r="D299" s="2"/>
      <c r="E299" s="7">
        <v>0</v>
      </c>
      <c r="F299" s="2"/>
      <c r="G299" s="7">
        <v>0</v>
      </c>
      <c r="H299" s="2"/>
      <c r="I299" s="7">
        <v>0</v>
      </c>
      <c r="J299" s="2"/>
      <c r="K299" s="2"/>
      <c r="L299" s="2"/>
      <c r="M299" s="2"/>
    </row>
    <row r="300" spans="1:48" ht="30" customHeight="1">
      <c r="A300" s="2"/>
      <c r="B300" s="2"/>
      <c r="C300" s="2"/>
      <c r="D300" s="2"/>
      <c r="E300" s="7">
        <v>0</v>
      </c>
      <c r="F300" s="2"/>
      <c r="G300" s="7">
        <v>0</v>
      </c>
      <c r="H300" s="2"/>
      <c r="I300" s="7">
        <v>0</v>
      </c>
      <c r="J300" s="2"/>
      <c r="K300" s="2"/>
      <c r="L300" s="2"/>
      <c r="M300" s="2"/>
    </row>
    <row r="301" spans="1:48" ht="30" customHeight="1">
      <c r="A301" s="2"/>
      <c r="B301" s="2"/>
      <c r="C301" s="2"/>
      <c r="D301" s="2"/>
      <c r="E301" s="7">
        <v>0</v>
      </c>
      <c r="F301" s="2"/>
      <c r="G301" s="7">
        <v>0</v>
      </c>
      <c r="H301" s="2"/>
      <c r="I301" s="7">
        <v>0</v>
      </c>
      <c r="J301" s="2"/>
      <c r="K301" s="2"/>
      <c r="L301" s="2"/>
      <c r="M301" s="2"/>
    </row>
    <row r="302" spans="1:48" ht="30" customHeight="1">
      <c r="A302" s="2"/>
      <c r="B302" s="2"/>
      <c r="C302" s="2"/>
      <c r="D302" s="2"/>
      <c r="E302" s="7">
        <v>0</v>
      </c>
      <c r="F302" s="2"/>
      <c r="G302" s="7">
        <v>0</v>
      </c>
      <c r="H302" s="2"/>
      <c r="I302" s="7">
        <v>0</v>
      </c>
      <c r="J302" s="2"/>
      <c r="K302" s="2"/>
      <c r="L302" s="2"/>
      <c r="M302" s="2"/>
    </row>
    <row r="303" spans="1:48" ht="30" customHeight="1">
      <c r="A303" s="2"/>
      <c r="B303" s="2"/>
      <c r="C303" s="2"/>
      <c r="D303" s="2"/>
      <c r="E303" s="7">
        <v>0</v>
      </c>
      <c r="F303" s="2"/>
      <c r="G303" s="7">
        <v>0</v>
      </c>
      <c r="H303" s="2"/>
      <c r="I303" s="7">
        <v>0</v>
      </c>
      <c r="J303" s="2"/>
      <c r="K303" s="2"/>
      <c r="L303" s="2"/>
      <c r="M303" s="2"/>
    </row>
    <row r="304" spans="1:48" ht="30" customHeight="1">
      <c r="A304" s="2"/>
      <c r="B304" s="2"/>
      <c r="C304" s="2"/>
      <c r="D304" s="2"/>
      <c r="E304" s="7">
        <v>0</v>
      </c>
      <c r="F304" s="2"/>
      <c r="G304" s="7">
        <v>0</v>
      </c>
      <c r="H304" s="2"/>
      <c r="I304" s="7">
        <v>0</v>
      </c>
      <c r="J304" s="2"/>
      <c r="K304" s="2"/>
      <c r="L304" s="2"/>
      <c r="M304" s="2"/>
    </row>
    <row r="305" spans="1:48" ht="30" customHeight="1">
      <c r="A305" s="2"/>
      <c r="B305" s="2"/>
      <c r="C305" s="2"/>
      <c r="D305" s="2"/>
      <c r="E305" s="7">
        <v>0</v>
      </c>
      <c r="F305" s="2"/>
      <c r="G305" s="7">
        <v>0</v>
      </c>
      <c r="H305" s="2"/>
      <c r="I305" s="7">
        <v>0</v>
      </c>
      <c r="J305" s="2"/>
      <c r="K305" s="2"/>
      <c r="L305" s="2"/>
      <c r="M305" s="2"/>
    </row>
    <row r="306" spans="1:48" ht="30" customHeight="1">
      <c r="A306" s="2"/>
      <c r="B306" s="2"/>
      <c r="C306" s="2"/>
      <c r="D306" s="2"/>
      <c r="E306" s="7">
        <v>0</v>
      </c>
      <c r="F306" s="2"/>
      <c r="G306" s="7">
        <v>0</v>
      </c>
      <c r="H306" s="2"/>
      <c r="I306" s="7">
        <v>0</v>
      </c>
      <c r="J306" s="2"/>
      <c r="K306" s="2"/>
      <c r="L306" s="2"/>
      <c r="M306" s="2"/>
    </row>
    <row r="307" spans="1:48" ht="30" customHeight="1">
      <c r="A307" s="2"/>
      <c r="B307" s="2"/>
      <c r="C307" s="2"/>
      <c r="D307" s="2"/>
      <c r="E307" s="7">
        <v>0</v>
      </c>
      <c r="F307" s="2"/>
      <c r="G307" s="7">
        <v>0</v>
      </c>
      <c r="H307" s="2"/>
      <c r="I307" s="7">
        <v>0</v>
      </c>
      <c r="J307" s="2"/>
      <c r="K307" s="2"/>
      <c r="L307" s="2"/>
      <c r="M307" s="2"/>
    </row>
    <row r="308" spans="1:48" ht="30" customHeight="1">
      <c r="A308" s="2"/>
      <c r="B308" s="2"/>
      <c r="C308" s="2"/>
      <c r="D308" s="2"/>
      <c r="E308" s="7">
        <v>0</v>
      </c>
      <c r="F308" s="2"/>
      <c r="G308" s="7">
        <v>0</v>
      </c>
      <c r="H308" s="2"/>
      <c r="I308" s="7">
        <v>0</v>
      </c>
      <c r="J308" s="2"/>
      <c r="K308" s="2"/>
      <c r="L308" s="2"/>
      <c r="M308" s="2"/>
    </row>
    <row r="309" spans="1:48" ht="30" customHeight="1">
      <c r="A309" s="2"/>
      <c r="B309" s="2"/>
      <c r="C309" s="2"/>
      <c r="D309" s="2"/>
      <c r="E309" s="7">
        <v>0</v>
      </c>
      <c r="F309" s="2"/>
      <c r="G309" s="7">
        <v>0</v>
      </c>
      <c r="H309" s="2"/>
      <c r="I309" s="7">
        <v>0</v>
      </c>
      <c r="J309" s="2"/>
      <c r="K309" s="2"/>
      <c r="L309" s="2"/>
      <c r="M309" s="2"/>
    </row>
    <row r="310" spans="1:48" ht="30" customHeight="1">
      <c r="A310" s="2"/>
      <c r="B310" s="2"/>
      <c r="C310" s="2"/>
      <c r="D310" s="2"/>
      <c r="E310" s="7">
        <v>0</v>
      </c>
      <c r="F310" s="2"/>
      <c r="G310" s="7">
        <v>0</v>
      </c>
      <c r="H310" s="2"/>
      <c r="I310" s="7">
        <v>0</v>
      </c>
      <c r="J310" s="2"/>
      <c r="K310" s="2"/>
      <c r="L310" s="2"/>
      <c r="M310" s="2"/>
    </row>
    <row r="311" spans="1:48" ht="30" customHeight="1">
      <c r="A311" s="2"/>
      <c r="B311" s="2"/>
      <c r="C311" s="2"/>
      <c r="D311" s="2"/>
      <c r="E311" s="7">
        <v>0</v>
      </c>
      <c r="F311" s="2"/>
      <c r="G311" s="7">
        <v>0</v>
      </c>
      <c r="H311" s="2"/>
      <c r="I311" s="7">
        <v>0</v>
      </c>
      <c r="J311" s="2"/>
      <c r="K311" s="2"/>
      <c r="L311" s="2"/>
      <c r="M311" s="2"/>
    </row>
    <row r="312" spans="1:48" ht="30" customHeight="1">
      <c r="A312" s="2"/>
      <c r="B312" s="2"/>
      <c r="C312" s="2"/>
      <c r="D312" s="2"/>
      <c r="E312" s="7">
        <v>0</v>
      </c>
      <c r="F312" s="2"/>
      <c r="G312" s="7">
        <v>0</v>
      </c>
      <c r="H312" s="2"/>
      <c r="I312" s="7">
        <v>0</v>
      </c>
      <c r="J312" s="2"/>
      <c r="K312" s="2"/>
      <c r="L312" s="2"/>
      <c r="M312" s="2"/>
    </row>
    <row r="313" spans="1:48" ht="30" customHeight="1">
      <c r="A313" s="2"/>
      <c r="B313" s="2"/>
      <c r="C313" s="2"/>
      <c r="D313" s="2"/>
      <c r="E313" s="7">
        <v>0</v>
      </c>
      <c r="F313" s="2"/>
      <c r="G313" s="7">
        <v>0</v>
      </c>
      <c r="H313" s="2"/>
      <c r="I313" s="7">
        <v>0</v>
      </c>
      <c r="J313" s="2"/>
      <c r="K313" s="2"/>
      <c r="L313" s="2"/>
      <c r="M313" s="2"/>
    </row>
    <row r="314" spans="1:48" ht="30" customHeight="1">
      <c r="A314" s="2"/>
      <c r="B314" s="2"/>
      <c r="C314" s="2"/>
      <c r="D314" s="2"/>
      <c r="E314" s="7">
        <v>0</v>
      </c>
      <c r="F314" s="2"/>
      <c r="G314" s="7">
        <v>0</v>
      </c>
      <c r="H314" s="2"/>
      <c r="I314" s="7">
        <v>0</v>
      </c>
      <c r="J314" s="2"/>
      <c r="K314" s="2"/>
      <c r="L314" s="2"/>
      <c r="M314" s="2"/>
    </row>
    <row r="315" spans="1:48" ht="30" customHeight="1">
      <c r="A315" s="1" t="s">
        <v>62</v>
      </c>
      <c r="B315" s="2"/>
      <c r="C315" s="2"/>
      <c r="D315" s="2"/>
      <c r="E315" s="7">
        <v>0</v>
      </c>
      <c r="F315" s="7">
        <f>SUM(F293:F314)</f>
        <v>84156658</v>
      </c>
      <c r="G315" s="7">
        <v>0</v>
      </c>
      <c r="H315" s="7">
        <f>SUM(H293:H314)</f>
        <v>0</v>
      </c>
      <c r="I315" s="7">
        <v>0</v>
      </c>
      <c r="J315" s="7">
        <f>SUM(J293:J314)</f>
        <v>0</v>
      </c>
      <c r="K315" s="2"/>
      <c r="L315" s="7">
        <f>SUM(L293:L314)</f>
        <v>84156658</v>
      </c>
      <c r="M315" s="2"/>
      <c r="N315" t="s">
        <v>247</v>
      </c>
    </row>
    <row r="316" spans="1:48" ht="30" customHeight="1">
      <c r="A316" s="1" t="s">
        <v>55</v>
      </c>
      <c r="B316" s="1" t="s">
        <v>22</v>
      </c>
      <c r="C316" s="2"/>
      <c r="D316" s="2"/>
      <c r="E316" s="7">
        <v>0</v>
      </c>
      <c r="F316" s="2"/>
      <c r="G316" s="7">
        <v>0</v>
      </c>
      <c r="H316" s="2"/>
      <c r="I316" s="7">
        <v>0</v>
      </c>
      <c r="J316" s="2"/>
      <c r="K316" s="2"/>
      <c r="L316" s="2"/>
      <c r="M316" s="2"/>
      <c r="Q316" s="4" t="s">
        <v>56</v>
      </c>
    </row>
    <row r="317" spans="1:48" ht="30" customHeight="1">
      <c r="A317" s="1" t="s">
        <v>548</v>
      </c>
      <c r="B317" s="1" t="s">
        <v>549</v>
      </c>
      <c r="C317" s="1" t="s">
        <v>149</v>
      </c>
      <c r="D317" s="2">
        <v>23</v>
      </c>
      <c r="E317" s="7">
        <v>506810</v>
      </c>
      <c r="F317" s="7">
        <f t="shared" ref="F317:F324" si="52">TRUNC(E317*D317, 0)</f>
        <v>11656630</v>
      </c>
      <c r="G317" s="7">
        <v>0</v>
      </c>
      <c r="H317" s="7">
        <f t="shared" ref="H317:H324" si="53">TRUNC(G317*D317, 0)</f>
        <v>0</v>
      </c>
      <c r="I317" s="7">
        <v>0</v>
      </c>
      <c r="J317" s="7">
        <f t="shared" ref="J317:J324" si="54">TRUNC(I317*D317, 0)</f>
        <v>0</v>
      </c>
      <c r="K317" s="7">
        <f t="shared" ref="K317:K324" si="55">TRUNC(E317+G317+I317, 0)</f>
        <v>506810</v>
      </c>
      <c r="L317" s="7">
        <f t="shared" ref="L317:L324" si="56">TRUNC(F317+H317+J317, 0)</f>
        <v>11656630</v>
      </c>
      <c r="M317" s="1" t="s">
        <v>22</v>
      </c>
      <c r="N317" s="4" t="s">
        <v>550</v>
      </c>
      <c r="O317" s="4" t="s">
        <v>22</v>
      </c>
      <c r="P317" s="4" t="s">
        <v>22</v>
      </c>
      <c r="Q317" s="4" t="s">
        <v>56</v>
      </c>
      <c r="R317" s="4" t="s">
        <v>100</v>
      </c>
      <c r="S317" s="4" t="s">
        <v>100</v>
      </c>
      <c r="T317" s="4" t="s">
        <v>99</v>
      </c>
      <c r="AR317" s="4" t="s">
        <v>22</v>
      </c>
      <c r="AS317" s="4" t="s">
        <v>22</v>
      </c>
      <c r="AU317" s="4" t="s">
        <v>655</v>
      </c>
      <c r="AV317">
        <v>20648</v>
      </c>
    </row>
    <row r="318" spans="1:48" ht="30" customHeight="1">
      <c r="A318" s="1" t="s">
        <v>548</v>
      </c>
      <c r="B318" s="1" t="s">
        <v>656</v>
      </c>
      <c r="C318" s="1" t="s">
        <v>149</v>
      </c>
      <c r="D318" s="2">
        <v>4</v>
      </c>
      <c r="E318" s="7">
        <v>538485</v>
      </c>
      <c r="F318" s="7">
        <f t="shared" si="52"/>
        <v>2153940</v>
      </c>
      <c r="G318" s="7">
        <v>0</v>
      </c>
      <c r="H318" s="7">
        <f t="shared" si="53"/>
        <v>0</v>
      </c>
      <c r="I318" s="7">
        <v>0</v>
      </c>
      <c r="J318" s="7">
        <f t="shared" si="54"/>
        <v>0</v>
      </c>
      <c r="K318" s="7">
        <f t="shared" si="55"/>
        <v>538485</v>
      </c>
      <c r="L318" s="7">
        <f t="shared" si="56"/>
        <v>2153940</v>
      </c>
      <c r="M318" s="1" t="s">
        <v>22</v>
      </c>
      <c r="N318" s="4" t="s">
        <v>657</v>
      </c>
      <c r="O318" s="4" t="s">
        <v>22</v>
      </c>
      <c r="P318" s="4" t="s">
        <v>22</v>
      </c>
      <c r="Q318" s="4" t="s">
        <v>56</v>
      </c>
      <c r="R318" s="4" t="s">
        <v>100</v>
      </c>
      <c r="S318" s="4" t="s">
        <v>100</v>
      </c>
      <c r="T318" s="4" t="s">
        <v>99</v>
      </c>
      <c r="AR318" s="4" t="s">
        <v>22</v>
      </c>
      <c r="AS318" s="4" t="s">
        <v>22</v>
      </c>
      <c r="AU318" s="4" t="s">
        <v>658</v>
      </c>
      <c r="AV318">
        <v>20657</v>
      </c>
    </row>
    <row r="319" spans="1:48" ht="30" customHeight="1">
      <c r="A319" s="1" t="s">
        <v>565</v>
      </c>
      <c r="B319" s="1" t="s">
        <v>171</v>
      </c>
      <c r="C319" s="1" t="s">
        <v>166</v>
      </c>
      <c r="D319" s="2">
        <v>31</v>
      </c>
      <c r="E319" s="7">
        <v>240584</v>
      </c>
      <c r="F319" s="7">
        <f t="shared" si="52"/>
        <v>7458104</v>
      </c>
      <c r="G319" s="7">
        <v>0</v>
      </c>
      <c r="H319" s="7">
        <f t="shared" si="53"/>
        <v>0</v>
      </c>
      <c r="I319" s="7">
        <v>0</v>
      </c>
      <c r="J319" s="7">
        <f t="shared" si="54"/>
        <v>0</v>
      </c>
      <c r="K319" s="7">
        <f t="shared" si="55"/>
        <v>240584</v>
      </c>
      <c r="L319" s="7">
        <f t="shared" si="56"/>
        <v>7458104</v>
      </c>
      <c r="M319" s="1" t="s">
        <v>22</v>
      </c>
      <c r="N319" s="4" t="s">
        <v>566</v>
      </c>
      <c r="O319" s="4" t="s">
        <v>22</v>
      </c>
      <c r="P319" s="4" t="s">
        <v>22</v>
      </c>
      <c r="Q319" s="4" t="s">
        <v>56</v>
      </c>
      <c r="R319" s="4" t="s">
        <v>100</v>
      </c>
      <c r="S319" s="4" t="s">
        <v>100</v>
      </c>
      <c r="T319" s="4" t="s">
        <v>99</v>
      </c>
      <c r="AR319" s="4" t="s">
        <v>22</v>
      </c>
      <c r="AS319" s="4" t="s">
        <v>22</v>
      </c>
      <c r="AU319" s="4" t="s">
        <v>659</v>
      </c>
      <c r="AV319">
        <v>20649</v>
      </c>
    </row>
    <row r="320" spans="1:48" ht="30" customHeight="1">
      <c r="A320" s="1" t="s">
        <v>184</v>
      </c>
      <c r="B320" s="1" t="s">
        <v>571</v>
      </c>
      <c r="C320" s="1" t="s">
        <v>166</v>
      </c>
      <c r="D320" s="2">
        <v>27</v>
      </c>
      <c r="E320" s="7">
        <v>201343</v>
      </c>
      <c r="F320" s="7">
        <f t="shared" si="52"/>
        <v>5436261</v>
      </c>
      <c r="G320" s="7">
        <v>0</v>
      </c>
      <c r="H320" s="7">
        <f t="shared" si="53"/>
        <v>0</v>
      </c>
      <c r="I320" s="7">
        <v>0</v>
      </c>
      <c r="J320" s="7">
        <f t="shared" si="54"/>
        <v>0</v>
      </c>
      <c r="K320" s="7">
        <f t="shared" si="55"/>
        <v>201343</v>
      </c>
      <c r="L320" s="7">
        <f t="shared" si="56"/>
        <v>5436261</v>
      </c>
      <c r="M320" s="1" t="s">
        <v>22</v>
      </c>
      <c r="N320" s="4" t="s">
        <v>572</v>
      </c>
      <c r="O320" s="4" t="s">
        <v>22</v>
      </c>
      <c r="P320" s="4" t="s">
        <v>22</v>
      </c>
      <c r="Q320" s="4" t="s">
        <v>56</v>
      </c>
      <c r="R320" s="4" t="s">
        <v>100</v>
      </c>
      <c r="S320" s="4" t="s">
        <v>100</v>
      </c>
      <c r="T320" s="4" t="s">
        <v>99</v>
      </c>
      <c r="AR320" s="4" t="s">
        <v>22</v>
      </c>
      <c r="AS320" s="4" t="s">
        <v>22</v>
      </c>
      <c r="AU320" s="4" t="s">
        <v>660</v>
      </c>
      <c r="AV320">
        <v>20650</v>
      </c>
    </row>
    <row r="321" spans="1:48" ht="30" customHeight="1">
      <c r="A321" s="1" t="s">
        <v>199</v>
      </c>
      <c r="B321" s="1" t="s">
        <v>574</v>
      </c>
      <c r="C321" s="1" t="s">
        <v>166</v>
      </c>
      <c r="D321" s="2">
        <v>3</v>
      </c>
      <c r="E321" s="7">
        <v>209722</v>
      </c>
      <c r="F321" s="7">
        <f t="shared" si="52"/>
        <v>629166</v>
      </c>
      <c r="G321" s="7">
        <v>0</v>
      </c>
      <c r="H321" s="7">
        <f t="shared" si="53"/>
        <v>0</v>
      </c>
      <c r="I321" s="7">
        <v>0</v>
      </c>
      <c r="J321" s="7">
        <f t="shared" si="54"/>
        <v>0</v>
      </c>
      <c r="K321" s="7">
        <f t="shared" si="55"/>
        <v>209722</v>
      </c>
      <c r="L321" s="7">
        <f t="shared" si="56"/>
        <v>629166</v>
      </c>
      <c r="M321" s="1" t="s">
        <v>22</v>
      </c>
      <c r="N321" s="4" t="s">
        <v>575</v>
      </c>
      <c r="O321" s="4" t="s">
        <v>22</v>
      </c>
      <c r="P321" s="4" t="s">
        <v>22</v>
      </c>
      <c r="Q321" s="4" t="s">
        <v>56</v>
      </c>
      <c r="R321" s="4" t="s">
        <v>100</v>
      </c>
      <c r="S321" s="4" t="s">
        <v>100</v>
      </c>
      <c r="T321" s="4" t="s">
        <v>99</v>
      </c>
      <c r="AR321" s="4" t="s">
        <v>22</v>
      </c>
      <c r="AS321" s="4" t="s">
        <v>22</v>
      </c>
      <c r="AU321" s="4" t="s">
        <v>661</v>
      </c>
      <c r="AV321">
        <v>20651</v>
      </c>
    </row>
    <row r="322" spans="1:48" ht="30" customHeight="1">
      <c r="A322" s="1" t="s">
        <v>577</v>
      </c>
      <c r="B322" s="1" t="s">
        <v>195</v>
      </c>
      <c r="C322" s="1" t="s">
        <v>578</v>
      </c>
      <c r="D322" s="2">
        <v>3</v>
      </c>
      <c r="E322" s="7">
        <v>3318400</v>
      </c>
      <c r="F322" s="7">
        <f t="shared" si="52"/>
        <v>9955200</v>
      </c>
      <c r="G322" s="7">
        <v>0</v>
      </c>
      <c r="H322" s="7">
        <f t="shared" si="53"/>
        <v>0</v>
      </c>
      <c r="I322" s="7">
        <v>0</v>
      </c>
      <c r="J322" s="7">
        <f t="shared" si="54"/>
        <v>0</v>
      </c>
      <c r="K322" s="7">
        <f t="shared" si="55"/>
        <v>3318400</v>
      </c>
      <c r="L322" s="7">
        <f t="shared" si="56"/>
        <v>9955200</v>
      </c>
      <c r="M322" s="1" t="s">
        <v>22</v>
      </c>
      <c r="N322" s="4" t="s">
        <v>579</v>
      </c>
      <c r="O322" s="4" t="s">
        <v>22</v>
      </c>
      <c r="P322" s="4" t="s">
        <v>22</v>
      </c>
      <c r="Q322" s="4" t="s">
        <v>56</v>
      </c>
      <c r="R322" s="4" t="s">
        <v>100</v>
      </c>
      <c r="S322" s="4" t="s">
        <v>100</v>
      </c>
      <c r="T322" s="4" t="s">
        <v>99</v>
      </c>
      <c r="AR322" s="4" t="s">
        <v>22</v>
      </c>
      <c r="AS322" s="4" t="s">
        <v>22</v>
      </c>
      <c r="AU322" s="4" t="s">
        <v>662</v>
      </c>
      <c r="AV322">
        <v>20652</v>
      </c>
    </row>
    <row r="323" spans="1:48" ht="30" customHeight="1">
      <c r="A323" s="1" t="s">
        <v>581</v>
      </c>
      <c r="B323" s="1" t="s">
        <v>582</v>
      </c>
      <c r="C323" s="1" t="s">
        <v>166</v>
      </c>
      <c r="D323" s="2">
        <v>3</v>
      </c>
      <c r="E323" s="7">
        <v>2074000</v>
      </c>
      <c r="F323" s="7">
        <f t="shared" si="52"/>
        <v>6222000</v>
      </c>
      <c r="G323" s="7">
        <v>0</v>
      </c>
      <c r="H323" s="7">
        <f t="shared" si="53"/>
        <v>0</v>
      </c>
      <c r="I323" s="7">
        <v>0</v>
      </c>
      <c r="J323" s="7">
        <f t="shared" si="54"/>
        <v>0</v>
      </c>
      <c r="K323" s="7">
        <f t="shared" si="55"/>
        <v>2074000</v>
      </c>
      <c r="L323" s="7">
        <f t="shared" si="56"/>
        <v>6222000</v>
      </c>
      <c r="M323" s="1" t="s">
        <v>22</v>
      </c>
      <c r="N323" s="4" t="s">
        <v>583</v>
      </c>
      <c r="O323" s="4" t="s">
        <v>22</v>
      </c>
      <c r="P323" s="4" t="s">
        <v>22</v>
      </c>
      <c r="Q323" s="4" t="s">
        <v>56</v>
      </c>
      <c r="R323" s="4" t="s">
        <v>100</v>
      </c>
      <c r="S323" s="4" t="s">
        <v>100</v>
      </c>
      <c r="T323" s="4" t="s">
        <v>99</v>
      </c>
      <c r="AR323" s="4" t="s">
        <v>22</v>
      </c>
      <c r="AS323" s="4" t="s">
        <v>22</v>
      </c>
      <c r="AU323" s="4" t="s">
        <v>663</v>
      </c>
      <c r="AV323">
        <v>20653</v>
      </c>
    </row>
    <row r="324" spans="1:48" ht="30" customHeight="1">
      <c r="A324" s="1" t="s">
        <v>585</v>
      </c>
      <c r="B324" s="1" t="s">
        <v>230</v>
      </c>
      <c r="C324" s="1" t="s">
        <v>166</v>
      </c>
      <c r="D324" s="2">
        <v>31</v>
      </c>
      <c r="E324" s="7">
        <v>248880</v>
      </c>
      <c r="F324" s="7">
        <f t="shared" si="52"/>
        <v>7715280</v>
      </c>
      <c r="G324" s="7">
        <v>0</v>
      </c>
      <c r="H324" s="7">
        <f t="shared" si="53"/>
        <v>0</v>
      </c>
      <c r="I324" s="7">
        <v>0</v>
      </c>
      <c r="J324" s="7">
        <f t="shared" si="54"/>
        <v>0</v>
      </c>
      <c r="K324" s="7">
        <f t="shared" si="55"/>
        <v>248880</v>
      </c>
      <c r="L324" s="7">
        <f t="shared" si="56"/>
        <v>7715280</v>
      </c>
      <c r="M324" s="1" t="s">
        <v>22</v>
      </c>
      <c r="N324" s="4" t="s">
        <v>586</v>
      </c>
      <c r="O324" s="4" t="s">
        <v>22</v>
      </c>
      <c r="P324" s="4" t="s">
        <v>22</v>
      </c>
      <c r="Q324" s="4" t="s">
        <v>56</v>
      </c>
      <c r="R324" s="4" t="s">
        <v>100</v>
      </c>
      <c r="S324" s="4" t="s">
        <v>100</v>
      </c>
      <c r="T324" s="4" t="s">
        <v>99</v>
      </c>
      <c r="AR324" s="4" t="s">
        <v>22</v>
      </c>
      <c r="AS324" s="4" t="s">
        <v>22</v>
      </c>
      <c r="AU324" s="4" t="s">
        <v>664</v>
      </c>
      <c r="AV324">
        <v>20654</v>
      </c>
    </row>
    <row r="325" spans="1:48" ht="30" customHeight="1">
      <c r="A325" s="2"/>
      <c r="B325" s="2"/>
      <c r="C325" s="2"/>
      <c r="D325" s="2"/>
      <c r="E325" s="7">
        <v>0</v>
      </c>
      <c r="F325" s="2"/>
      <c r="G325" s="7">
        <v>0</v>
      </c>
      <c r="H325" s="2"/>
      <c r="I325" s="7">
        <v>0</v>
      </c>
      <c r="J325" s="2"/>
      <c r="K325" s="2"/>
      <c r="L325" s="2"/>
      <c r="M325" s="2"/>
    </row>
    <row r="326" spans="1:48" ht="30" customHeight="1">
      <c r="A326" s="2"/>
      <c r="B326" s="2"/>
      <c r="C326" s="2"/>
      <c r="D326" s="2"/>
      <c r="E326" s="7">
        <v>0</v>
      </c>
      <c r="F326" s="2"/>
      <c r="G326" s="7">
        <v>0</v>
      </c>
      <c r="H326" s="2"/>
      <c r="I326" s="7">
        <v>0</v>
      </c>
      <c r="J326" s="2"/>
      <c r="K326" s="2"/>
      <c r="L326" s="2"/>
      <c r="M326" s="2"/>
    </row>
    <row r="327" spans="1:48" ht="30" customHeight="1">
      <c r="A327" s="2"/>
      <c r="B327" s="2"/>
      <c r="C327" s="2"/>
      <c r="D327" s="2"/>
      <c r="E327" s="7">
        <v>0</v>
      </c>
      <c r="F327" s="2"/>
      <c r="G327" s="7">
        <v>0</v>
      </c>
      <c r="H327" s="2"/>
      <c r="I327" s="7">
        <v>0</v>
      </c>
      <c r="J327" s="2"/>
      <c r="K327" s="2"/>
      <c r="L327" s="2"/>
      <c r="M327" s="2"/>
    </row>
    <row r="328" spans="1:48" ht="30" customHeight="1">
      <c r="A328" s="2"/>
      <c r="B328" s="2"/>
      <c r="C328" s="2"/>
      <c r="D328" s="2"/>
      <c r="E328" s="7">
        <v>0</v>
      </c>
      <c r="F328" s="2"/>
      <c r="G328" s="7">
        <v>0</v>
      </c>
      <c r="H328" s="2"/>
      <c r="I328" s="7">
        <v>0</v>
      </c>
      <c r="J328" s="2"/>
      <c r="K328" s="2"/>
      <c r="L328" s="2"/>
      <c r="M328" s="2"/>
    </row>
    <row r="329" spans="1:48" ht="30" customHeight="1">
      <c r="A329" s="2"/>
      <c r="B329" s="2"/>
      <c r="C329" s="2"/>
      <c r="D329" s="2"/>
      <c r="E329" s="7">
        <v>0</v>
      </c>
      <c r="F329" s="2"/>
      <c r="G329" s="7">
        <v>0</v>
      </c>
      <c r="H329" s="2"/>
      <c r="I329" s="7">
        <v>0</v>
      </c>
      <c r="J329" s="2"/>
      <c r="K329" s="2"/>
      <c r="L329" s="2"/>
      <c r="M329" s="2"/>
    </row>
    <row r="330" spans="1:48" ht="30" customHeight="1">
      <c r="A330" s="2"/>
      <c r="B330" s="2"/>
      <c r="C330" s="2"/>
      <c r="D330" s="2"/>
      <c r="E330" s="7">
        <v>0</v>
      </c>
      <c r="F330" s="2"/>
      <c r="G330" s="7">
        <v>0</v>
      </c>
      <c r="H330" s="2"/>
      <c r="I330" s="7">
        <v>0</v>
      </c>
      <c r="J330" s="2"/>
      <c r="K330" s="2"/>
      <c r="L330" s="2"/>
      <c r="M330" s="2"/>
    </row>
    <row r="331" spans="1:48" ht="30" customHeight="1">
      <c r="A331" s="2"/>
      <c r="B331" s="2"/>
      <c r="C331" s="2"/>
      <c r="D331" s="2"/>
      <c r="E331" s="7">
        <v>0</v>
      </c>
      <c r="F331" s="2"/>
      <c r="G331" s="7">
        <v>0</v>
      </c>
      <c r="H331" s="2"/>
      <c r="I331" s="7">
        <v>0</v>
      </c>
      <c r="J331" s="2"/>
      <c r="K331" s="2"/>
      <c r="L331" s="2"/>
      <c r="M331" s="2"/>
    </row>
    <row r="332" spans="1:48" ht="30" customHeight="1">
      <c r="A332" s="2"/>
      <c r="B332" s="2"/>
      <c r="C332" s="2"/>
      <c r="D332" s="2"/>
      <c r="E332" s="7">
        <v>0</v>
      </c>
      <c r="F332" s="2"/>
      <c r="G332" s="7">
        <v>0</v>
      </c>
      <c r="H332" s="2"/>
      <c r="I332" s="7">
        <v>0</v>
      </c>
      <c r="J332" s="2"/>
      <c r="K332" s="2"/>
      <c r="L332" s="2"/>
      <c r="M332" s="2"/>
    </row>
    <row r="333" spans="1:48" ht="30" customHeight="1">
      <c r="A333" s="2"/>
      <c r="B333" s="2"/>
      <c r="C333" s="2"/>
      <c r="D333" s="2"/>
      <c r="E333" s="7">
        <v>0</v>
      </c>
      <c r="F333" s="2"/>
      <c r="G333" s="7">
        <v>0</v>
      </c>
      <c r="H333" s="2"/>
      <c r="I333" s="7">
        <v>0</v>
      </c>
      <c r="J333" s="2"/>
      <c r="K333" s="2"/>
      <c r="L333" s="2"/>
      <c r="M333" s="2"/>
    </row>
    <row r="334" spans="1:48" ht="30" customHeight="1">
      <c r="A334" s="2"/>
      <c r="B334" s="2"/>
      <c r="C334" s="2"/>
      <c r="D334" s="2"/>
      <c r="E334" s="7">
        <v>0</v>
      </c>
      <c r="F334" s="2"/>
      <c r="G334" s="7">
        <v>0</v>
      </c>
      <c r="H334" s="2"/>
      <c r="I334" s="7">
        <v>0</v>
      </c>
      <c r="J334" s="2"/>
      <c r="K334" s="2"/>
      <c r="L334" s="2"/>
      <c r="M334" s="2"/>
    </row>
    <row r="335" spans="1:48" ht="30" customHeight="1">
      <c r="A335" s="2"/>
      <c r="B335" s="2"/>
      <c r="C335" s="2"/>
      <c r="D335" s="2"/>
      <c r="E335" s="7">
        <v>0</v>
      </c>
      <c r="F335" s="2"/>
      <c r="G335" s="7">
        <v>0</v>
      </c>
      <c r="H335" s="2"/>
      <c r="I335" s="7">
        <v>0</v>
      </c>
      <c r="J335" s="2"/>
      <c r="K335" s="2"/>
      <c r="L335" s="2"/>
      <c r="M335" s="2"/>
    </row>
    <row r="336" spans="1:48" ht="30" customHeight="1">
      <c r="A336" s="2"/>
      <c r="B336" s="2"/>
      <c r="C336" s="2"/>
      <c r="D336" s="2"/>
      <c r="E336" s="7">
        <v>0</v>
      </c>
      <c r="F336" s="2"/>
      <c r="G336" s="7">
        <v>0</v>
      </c>
      <c r="H336" s="2"/>
      <c r="I336" s="7">
        <v>0</v>
      </c>
      <c r="J336" s="2"/>
      <c r="K336" s="2"/>
      <c r="L336" s="2"/>
      <c r="M336" s="2"/>
    </row>
    <row r="337" spans="1:48" ht="30" customHeight="1">
      <c r="A337" s="2"/>
      <c r="B337" s="2"/>
      <c r="C337" s="2"/>
      <c r="D337" s="2"/>
      <c r="E337" s="7">
        <v>0</v>
      </c>
      <c r="F337" s="2"/>
      <c r="G337" s="7">
        <v>0</v>
      </c>
      <c r="H337" s="2"/>
      <c r="I337" s="7">
        <v>0</v>
      </c>
      <c r="J337" s="2"/>
      <c r="K337" s="2"/>
      <c r="L337" s="2"/>
      <c r="M337" s="2"/>
    </row>
    <row r="338" spans="1:48" ht="30" customHeight="1">
      <c r="A338" s="2"/>
      <c r="B338" s="2"/>
      <c r="C338" s="2"/>
      <c r="D338" s="2"/>
      <c r="E338" s="7">
        <v>0</v>
      </c>
      <c r="F338" s="2"/>
      <c r="G338" s="7">
        <v>0</v>
      </c>
      <c r="H338" s="2"/>
      <c r="I338" s="7">
        <v>0</v>
      </c>
      <c r="J338" s="2"/>
      <c r="K338" s="2"/>
      <c r="L338" s="2"/>
      <c r="M338" s="2"/>
    </row>
    <row r="339" spans="1:48" ht="30" customHeight="1">
      <c r="A339" s="1" t="s">
        <v>62</v>
      </c>
      <c r="B339" s="2"/>
      <c r="C339" s="2"/>
      <c r="D339" s="2"/>
      <c r="E339" s="7">
        <v>0</v>
      </c>
      <c r="F339" s="7">
        <f>SUM(F317:F338)</f>
        <v>51226581</v>
      </c>
      <c r="G339" s="7">
        <v>0</v>
      </c>
      <c r="H339" s="7">
        <f>SUM(H317:H338)</f>
        <v>0</v>
      </c>
      <c r="I339" s="7">
        <v>0</v>
      </c>
      <c r="J339" s="7">
        <f>SUM(J317:J338)</f>
        <v>0</v>
      </c>
      <c r="K339" s="2"/>
      <c r="L339" s="7">
        <f>SUM(L317:L338)</f>
        <v>51226581</v>
      </c>
      <c r="M339" s="2"/>
      <c r="N339" t="s">
        <v>247</v>
      </c>
    </row>
    <row r="340" spans="1:48" ht="30" customHeight="1">
      <c r="A340" s="1" t="s">
        <v>57</v>
      </c>
      <c r="B340" s="1" t="s">
        <v>22</v>
      </c>
      <c r="C340" s="2"/>
      <c r="D340" s="2"/>
      <c r="E340" s="7">
        <v>0</v>
      </c>
      <c r="F340" s="2"/>
      <c r="G340" s="7">
        <v>0</v>
      </c>
      <c r="H340" s="2"/>
      <c r="I340" s="7">
        <v>0</v>
      </c>
      <c r="J340" s="2"/>
      <c r="K340" s="2"/>
      <c r="L340" s="2"/>
      <c r="M340" s="2"/>
      <c r="Q340" s="4" t="s">
        <v>58</v>
      </c>
    </row>
    <row r="341" spans="1:48" ht="30" customHeight="1">
      <c r="A341" s="1" t="s">
        <v>665</v>
      </c>
      <c r="B341" s="1" t="s">
        <v>666</v>
      </c>
      <c r="C341" s="1" t="s">
        <v>166</v>
      </c>
      <c r="D341" s="2">
        <v>2</v>
      </c>
      <c r="E341" s="7">
        <v>18315079</v>
      </c>
      <c r="F341" s="7">
        <f t="shared" ref="F341:F358" si="57">TRUNC(E341*D341, 0)</f>
        <v>36630158</v>
      </c>
      <c r="G341" s="7">
        <v>0</v>
      </c>
      <c r="H341" s="7">
        <f t="shared" ref="H341:H358" si="58">TRUNC(G341*D341, 0)</f>
        <v>0</v>
      </c>
      <c r="I341" s="7">
        <v>0</v>
      </c>
      <c r="J341" s="7">
        <f t="shared" ref="J341:J358" si="59">TRUNC(I341*D341, 0)</f>
        <v>0</v>
      </c>
      <c r="K341" s="7">
        <f t="shared" ref="K341:K358" si="60">TRUNC(E341+G341+I341, 0)</f>
        <v>18315079</v>
      </c>
      <c r="L341" s="7">
        <f t="shared" ref="L341:L358" si="61">TRUNC(F341+H341+J341, 0)</f>
        <v>36630158</v>
      </c>
      <c r="M341" s="1" t="s">
        <v>22</v>
      </c>
      <c r="N341" s="4" t="s">
        <v>667</v>
      </c>
      <c r="O341" s="4" t="s">
        <v>22</v>
      </c>
      <c r="P341" s="4" t="s">
        <v>22</v>
      </c>
      <c r="Q341" s="4" t="s">
        <v>58</v>
      </c>
      <c r="R341" s="4" t="s">
        <v>100</v>
      </c>
      <c r="S341" s="4" t="s">
        <v>100</v>
      </c>
      <c r="T341" s="4" t="s">
        <v>99</v>
      </c>
      <c r="AR341" s="4" t="s">
        <v>22</v>
      </c>
      <c r="AS341" s="4" t="s">
        <v>22</v>
      </c>
      <c r="AU341" s="4" t="s">
        <v>668</v>
      </c>
      <c r="AV341">
        <v>20673</v>
      </c>
    </row>
    <row r="342" spans="1:48" ht="30" customHeight="1">
      <c r="A342" s="1" t="s">
        <v>669</v>
      </c>
      <c r="B342" s="1" t="s">
        <v>670</v>
      </c>
      <c r="C342" s="1" t="s">
        <v>166</v>
      </c>
      <c r="D342" s="2">
        <v>16</v>
      </c>
      <c r="E342" s="7">
        <v>1375476</v>
      </c>
      <c r="F342" s="7">
        <f t="shared" si="57"/>
        <v>22007616</v>
      </c>
      <c r="G342" s="7">
        <v>0</v>
      </c>
      <c r="H342" s="7">
        <f t="shared" si="58"/>
        <v>0</v>
      </c>
      <c r="I342" s="7">
        <v>0</v>
      </c>
      <c r="J342" s="7">
        <f t="shared" si="59"/>
        <v>0</v>
      </c>
      <c r="K342" s="7">
        <f t="shared" si="60"/>
        <v>1375476</v>
      </c>
      <c r="L342" s="7">
        <f t="shared" si="61"/>
        <v>22007616</v>
      </c>
      <c r="M342" s="1" t="s">
        <v>22</v>
      </c>
      <c r="N342" s="4" t="s">
        <v>671</v>
      </c>
      <c r="O342" s="4" t="s">
        <v>22</v>
      </c>
      <c r="P342" s="4" t="s">
        <v>22</v>
      </c>
      <c r="Q342" s="4" t="s">
        <v>58</v>
      </c>
      <c r="R342" s="4" t="s">
        <v>100</v>
      </c>
      <c r="S342" s="4" t="s">
        <v>100</v>
      </c>
      <c r="T342" s="4" t="s">
        <v>99</v>
      </c>
      <c r="AR342" s="4" t="s">
        <v>22</v>
      </c>
      <c r="AS342" s="4" t="s">
        <v>22</v>
      </c>
      <c r="AU342" s="4" t="s">
        <v>672</v>
      </c>
      <c r="AV342">
        <v>20674</v>
      </c>
    </row>
    <row r="343" spans="1:48" ht="30" customHeight="1">
      <c r="A343" s="1" t="s">
        <v>669</v>
      </c>
      <c r="B343" s="1" t="s">
        <v>673</v>
      </c>
      <c r="C343" s="1" t="s">
        <v>166</v>
      </c>
      <c r="D343" s="2">
        <v>6</v>
      </c>
      <c r="E343" s="7">
        <v>5281233</v>
      </c>
      <c r="F343" s="7">
        <f t="shared" si="57"/>
        <v>31687398</v>
      </c>
      <c r="G343" s="7">
        <v>0</v>
      </c>
      <c r="H343" s="7">
        <f t="shared" si="58"/>
        <v>0</v>
      </c>
      <c r="I343" s="7">
        <v>0</v>
      </c>
      <c r="J343" s="7">
        <f t="shared" si="59"/>
        <v>0</v>
      </c>
      <c r="K343" s="7">
        <f t="shared" si="60"/>
        <v>5281233</v>
      </c>
      <c r="L343" s="7">
        <f t="shared" si="61"/>
        <v>31687398</v>
      </c>
      <c r="M343" s="1" t="s">
        <v>22</v>
      </c>
      <c r="N343" s="4" t="s">
        <v>674</v>
      </c>
      <c r="O343" s="4" t="s">
        <v>22</v>
      </c>
      <c r="P343" s="4" t="s">
        <v>22</v>
      </c>
      <c r="Q343" s="4" t="s">
        <v>58</v>
      </c>
      <c r="R343" s="4" t="s">
        <v>100</v>
      </c>
      <c r="S343" s="4" t="s">
        <v>100</v>
      </c>
      <c r="T343" s="4" t="s">
        <v>99</v>
      </c>
      <c r="AR343" s="4" t="s">
        <v>22</v>
      </c>
      <c r="AS343" s="4" t="s">
        <v>22</v>
      </c>
      <c r="AU343" s="4" t="s">
        <v>675</v>
      </c>
      <c r="AV343">
        <v>20675</v>
      </c>
    </row>
    <row r="344" spans="1:48" ht="30" customHeight="1">
      <c r="A344" s="1" t="s">
        <v>676</v>
      </c>
      <c r="B344" s="1" t="s">
        <v>677</v>
      </c>
      <c r="C344" s="1" t="s">
        <v>166</v>
      </c>
      <c r="D344" s="2">
        <v>3</v>
      </c>
      <c r="E344" s="7">
        <v>671146</v>
      </c>
      <c r="F344" s="7">
        <f t="shared" si="57"/>
        <v>2013438</v>
      </c>
      <c r="G344" s="7">
        <v>0</v>
      </c>
      <c r="H344" s="7">
        <f t="shared" si="58"/>
        <v>0</v>
      </c>
      <c r="I344" s="7">
        <v>0</v>
      </c>
      <c r="J344" s="7">
        <f t="shared" si="59"/>
        <v>0</v>
      </c>
      <c r="K344" s="7">
        <f t="shared" si="60"/>
        <v>671146</v>
      </c>
      <c r="L344" s="7">
        <f t="shared" si="61"/>
        <v>2013438</v>
      </c>
      <c r="M344" s="1" t="s">
        <v>22</v>
      </c>
      <c r="N344" s="4" t="s">
        <v>678</v>
      </c>
      <c r="O344" s="4" t="s">
        <v>22</v>
      </c>
      <c r="P344" s="4" t="s">
        <v>22</v>
      </c>
      <c r="Q344" s="4" t="s">
        <v>58</v>
      </c>
      <c r="R344" s="4" t="s">
        <v>100</v>
      </c>
      <c r="S344" s="4" t="s">
        <v>100</v>
      </c>
      <c r="T344" s="4" t="s">
        <v>99</v>
      </c>
      <c r="AR344" s="4" t="s">
        <v>22</v>
      </c>
      <c r="AS344" s="4" t="s">
        <v>22</v>
      </c>
      <c r="AU344" s="4" t="s">
        <v>679</v>
      </c>
      <c r="AV344">
        <v>20676</v>
      </c>
    </row>
    <row r="345" spans="1:48" ht="30" customHeight="1">
      <c r="A345" s="1" t="s">
        <v>680</v>
      </c>
      <c r="B345" s="1" t="s">
        <v>681</v>
      </c>
      <c r="C345" s="1" t="s">
        <v>166</v>
      </c>
      <c r="D345" s="2">
        <v>1</v>
      </c>
      <c r="E345" s="7">
        <v>747469</v>
      </c>
      <c r="F345" s="7">
        <f t="shared" si="57"/>
        <v>747469</v>
      </c>
      <c r="G345" s="7">
        <v>0</v>
      </c>
      <c r="H345" s="7">
        <f t="shared" si="58"/>
        <v>0</v>
      </c>
      <c r="I345" s="7">
        <v>0</v>
      </c>
      <c r="J345" s="7">
        <f t="shared" si="59"/>
        <v>0</v>
      </c>
      <c r="K345" s="7">
        <f t="shared" si="60"/>
        <v>747469</v>
      </c>
      <c r="L345" s="7">
        <f t="shared" si="61"/>
        <v>747469</v>
      </c>
      <c r="M345" s="1" t="s">
        <v>22</v>
      </c>
      <c r="N345" s="4" t="s">
        <v>682</v>
      </c>
      <c r="O345" s="4" t="s">
        <v>22</v>
      </c>
      <c r="P345" s="4" t="s">
        <v>22</v>
      </c>
      <c r="Q345" s="4" t="s">
        <v>58</v>
      </c>
      <c r="R345" s="4" t="s">
        <v>100</v>
      </c>
      <c r="S345" s="4" t="s">
        <v>100</v>
      </c>
      <c r="T345" s="4" t="s">
        <v>99</v>
      </c>
      <c r="AR345" s="4" t="s">
        <v>22</v>
      </c>
      <c r="AS345" s="4" t="s">
        <v>22</v>
      </c>
      <c r="AU345" s="4" t="s">
        <v>683</v>
      </c>
      <c r="AV345">
        <v>20677</v>
      </c>
    </row>
    <row r="346" spans="1:48" ht="30" customHeight="1">
      <c r="A346" s="1" t="s">
        <v>680</v>
      </c>
      <c r="B346" s="1" t="s">
        <v>684</v>
      </c>
      <c r="C346" s="1" t="s">
        <v>166</v>
      </c>
      <c r="D346" s="2">
        <v>1</v>
      </c>
      <c r="E346" s="7">
        <v>1472540</v>
      </c>
      <c r="F346" s="7">
        <f t="shared" si="57"/>
        <v>1472540</v>
      </c>
      <c r="G346" s="7">
        <v>0</v>
      </c>
      <c r="H346" s="7">
        <f t="shared" si="58"/>
        <v>0</v>
      </c>
      <c r="I346" s="7">
        <v>0</v>
      </c>
      <c r="J346" s="7">
        <f t="shared" si="59"/>
        <v>0</v>
      </c>
      <c r="K346" s="7">
        <f t="shared" si="60"/>
        <v>1472540</v>
      </c>
      <c r="L346" s="7">
        <f t="shared" si="61"/>
        <v>1472540</v>
      </c>
      <c r="M346" s="1" t="s">
        <v>22</v>
      </c>
      <c r="N346" s="4" t="s">
        <v>685</v>
      </c>
      <c r="O346" s="4" t="s">
        <v>22</v>
      </c>
      <c r="P346" s="4" t="s">
        <v>22</v>
      </c>
      <c r="Q346" s="4" t="s">
        <v>58</v>
      </c>
      <c r="R346" s="4" t="s">
        <v>100</v>
      </c>
      <c r="S346" s="4" t="s">
        <v>100</v>
      </c>
      <c r="T346" s="4" t="s">
        <v>99</v>
      </c>
      <c r="AR346" s="4" t="s">
        <v>22</v>
      </c>
      <c r="AS346" s="4" t="s">
        <v>22</v>
      </c>
      <c r="AU346" s="4" t="s">
        <v>686</v>
      </c>
      <c r="AV346">
        <v>20678</v>
      </c>
    </row>
    <row r="347" spans="1:48" ht="30" customHeight="1">
      <c r="A347" s="1" t="s">
        <v>680</v>
      </c>
      <c r="B347" s="1" t="s">
        <v>687</v>
      </c>
      <c r="C347" s="1" t="s">
        <v>166</v>
      </c>
      <c r="D347" s="2">
        <v>8</v>
      </c>
      <c r="E347" s="7">
        <v>1408660</v>
      </c>
      <c r="F347" s="7">
        <f t="shared" si="57"/>
        <v>11269280</v>
      </c>
      <c r="G347" s="7">
        <v>0</v>
      </c>
      <c r="H347" s="7">
        <f t="shared" si="58"/>
        <v>0</v>
      </c>
      <c r="I347" s="7">
        <v>0</v>
      </c>
      <c r="J347" s="7">
        <f t="shared" si="59"/>
        <v>0</v>
      </c>
      <c r="K347" s="7">
        <f t="shared" si="60"/>
        <v>1408660</v>
      </c>
      <c r="L347" s="7">
        <f t="shared" si="61"/>
        <v>11269280</v>
      </c>
      <c r="M347" s="1" t="s">
        <v>22</v>
      </c>
      <c r="N347" s="4" t="s">
        <v>688</v>
      </c>
      <c r="O347" s="4" t="s">
        <v>22</v>
      </c>
      <c r="P347" s="4" t="s">
        <v>22</v>
      </c>
      <c r="Q347" s="4" t="s">
        <v>58</v>
      </c>
      <c r="R347" s="4" t="s">
        <v>100</v>
      </c>
      <c r="S347" s="4" t="s">
        <v>100</v>
      </c>
      <c r="T347" s="4" t="s">
        <v>99</v>
      </c>
      <c r="AR347" s="4" t="s">
        <v>22</v>
      </c>
      <c r="AS347" s="4" t="s">
        <v>22</v>
      </c>
      <c r="AU347" s="4" t="s">
        <v>689</v>
      </c>
      <c r="AV347">
        <v>20679</v>
      </c>
    </row>
    <row r="348" spans="1:48" ht="30" customHeight="1">
      <c r="A348" s="1" t="s">
        <v>680</v>
      </c>
      <c r="B348" s="1" t="s">
        <v>690</v>
      </c>
      <c r="C348" s="1" t="s">
        <v>166</v>
      </c>
      <c r="D348" s="2">
        <v>16</v>
      </c>
      <c r="E348" s="7">
        <v>123610</v>
      </c>
      <c r="F348" s="7">
        <f t="shared" si="57"/>
        <v>1977760</v>
      </c>
      <c r="G348" s="7">
        <v>0</v>
      </c>
      <c r="H348" s="7">
        <f t="shared" si="58"/>
        <v>0</v>
      </c>
      <c r="I348" s="7">
        <v>0</v>
      </c>
      <c r="J348" s="7">
        <f t="shared" si="59"/>
        <v>0</v>
      </c>
      <c r="K348" s="7">
        <f t="shared" si="60"/>
        <v>123610</v>
      </c>
      <c r="L348" s="7">
        <f t="shared" si="61"/>
        <v>1977760</v>
      </c>
      <c r="M348" s="1" t="s">
        <v>22</v>
      </c>
      <c r="N348" s="4" t="s">
        <v>691</v>
      </c>
      <c r="O348" s="4" t="s">
        <v>22</v>
      </c>
      <c r="P348" s="4" t="s">
        <v>22</v>
      </c>
      <c r="Q348" s="4" t="s">
        <v>58</v>
      </c>
      <c r="R348" s="4" t="s">
        <v>100</v>
      </c>
      <c r="S348" s="4" t="s">
        <v>100</v>
      </c>
      <c r="T348" s="4" t="s">
        <v>99</v>
      </c>
      <c r="AR348" s="4" t="s">
        <v>22</v>
      </c>
      <c r="AS348" s="4" t="s">
        <v>22</v>
      </c>
      <c r="AU348" s="4" t="s">
        <v>692</v>
      </c>
      <c r="AV348">
        <v>20680</v>
      </c>
    </row>
    <row r="349" spans="1:48" ht="30" customHeight="1">
      <c r="A349" s="1" t="s">
        <v>693</v>
      </c>
      <c r="B349" s="1" t="s">
        <v>694</v>
      </c>
      <c r="C349" s="1" t="s">
        <v>166</v>
      </c>
      <c r="D349" s="2">
        <v>1</v>
      </c>
      <c r="E349" s="7">
        <v>209805</v>
      </c>
      <c r="F349" s="7">
        <f t="shared" si="57"/>
        <v>209805</v>
      </c>
      <c r="G349" s="7">
        <v>0</v>
      </c>
      <c r="H349" s="7">
        <f t="shared" si="58"/>
        <v>0</v>
      </c>
      <c r="I349" s="7">
        <v>0</v>
      </c>
      <c r="J349" s="7">
        <f t="shared" si="59"/>
        <v>0</v>
      </c>
      <c r="K349" s="7">
        <f t="shared" si="60"/>
        <v>209805</v>
      </c>
      <c r="L349" s="7">
        <f t="shared" si="61"/>
        <v>209805</v>
      </c>
      <c r="M349" s="1" t="s">
        <v>22</v>
      </c>
      <c r="N349" s="4" t="s">
        <v>695</v>
      </c>
      <c r="O349" s="4" t="s">
        <v>22</v>
      </c>
      <c r="P349" s="4" t="s">
        <v>22</v>
      </c>
      <c r="Q349" s="4" t="s">
        <v>58</v>
      </c>
      <c r="R349" s="4" t="s">
        <v>100</v>
      </c>
      <c r="S349" s="4" t="s">
        <v>100</v>
      </c>
      <c r="T349" s="4" t="s">
        <v>99</v>
      </c>
      <c r="AR349" s="4" t="s">
        <v>22</v>
      </c>
      <c r="AS349" s="4" t="s">
        <v>22</v>
      </c>
      <c r="AU349" s="4" t="s">
        <v>696</v>
      </c>
      <c r="AV349">
        <v>20681</v>
      </c>
    </row>
    <row r="350" spans="1:48" ht="30" customHeight="1">
      <c r="A350" s="1" t="s">
        <v>693</v>
      </c>
      <c r="B350" s="1" t="s">
        <v>697</v>
      </c>
      <c r="C350" s="1" t="s">
        <v>166</v>
      </c>
      <c r="D350" s="2">
        <v>8</v>
      </c>
      <c r="E350" s="7">
        <v>40318</v>
      </c>
      <c r="F350" s="7">
        <f t="shared" si="57"/>
        <v>322544</v>
      </c>
      <c r="G350" s="7">
        <v>0</v>
      </c>
      <c r="H350" s="7">
        <f t="shared" si="58"/>
        <v>0</v>
      </c>
      <c r="I350" s="7">
        <v>0</v>
      </c>
      <c r="J350" s="7">
        <f t="shared" si="59"/>
        <v>0</v>
      </c>
      <c r="K350" s="7">
        <f t="shared" si="60"/>
        <v>40318</v>
      </c>
      <c r="L350" s="7">
        <f t="shared" si="61"/>
        <v>322544</v>
      </c>
      <c r="M350" s="1" t="s">
        <v>22</v>
      </c>
      <c r="N350" s="4" t="s">
        <v>698</v>
      </c>
      <c r="O350" s="4" t="s">
        <v>22</v>
      </c>
      <c r="P350" s="4" t="s">
        <v>22</v>
      </c>
      <c r="Q350" s="4" t="s">
        <v>58</v>
      </c>
      <c r="R350" s="4" t="s">
        <v>100</v>
      </c>
      <c r="S350" s="4" t="s">
        <v>100</v>
      </c>
      <c r="T350" s="4" t="s">
        <v>99</v>
      </c>
      <c r="AR350" s="4" t="s">
        <v>22</v>
      </c>
      <c r="AS350" s="4" t="s">
        <v>22</v>
      </c>
      <c r="AU350" s="4" t="s">
        <v>699</v>
      </c>
      <c r="AV350">
        <v>20682</v>
      </c>
    </row>
    <row r="351" spans="1:48" ht="30" customHeight="1">
      <c r="A351" s="1" t="s">
        <v>700</v>
      </c>
      <c r="B351" s="1" t="s">
        <v>701</v>
      </c>
      <c r="C351" s="1" t="s">
        <v>166</v>
      </c>
      <c r="D351" s="2">
        <v>16</v>
      </c>
      <c r="E351" s="7">
        <v>11282</v>
      </c>
      <c r="F351" s="7">
        <f t="shared" si="57"/>
        <v>180512</v>
      </c>
      <c r="G351" s="7">
        <v>0</v>
      </c>
      <c r="H351" s="7">
        <f t="shared" si="58"/>
        <v>0</v>
      </c>
      <c r="I351" s="7">
        <v>0</v>
      </c>
      <c r="J351" s="7">
        <f t="shared" si="59"/>
        <v>0</v>
      </c>
      <c r="K351" s="7">
        <f t="shared" si="60"/>
        <v>11282</v>
      </c>
      <c r="L351" s="7">
        <f t="shared" si="61"/>
        <v>180512</v>
      </c>
      <c r="M351" s="1" t="s">
        <v>22</v>
      </c>
      <c r="N351" s="4" t="s">
        <v>702</v>
      </c>
      <c r="O351" s="4" t="s">
        <v>22</v>
      </c>
      <c r="P351" s="4" t="s">
        <v>22</v>
      </c>
      <c r="Q351" s="4" t="s">
        <v>58</v>
      </c>
      <c r="R351" s="4" t="s">
        <v>100</v>
      </c>
      <c r="S351" s="4" t="s">
        <v>100</v>
      </c>
      <c r="T351" s="4" t="s">
        <v>99</v>
      </c>
      <c r="AR351" s="4" t="s">
        <v>22</v>
      </c>
      <c r="AS351" s="4" t="s">
        <v>22</v>
      </c>
      <c r="AU351" s="4" t="s">
        <v>703</v>
      </c>
      <c r="AV351">
        <v>20683</v>
      </c>
    </row>
    <row r="352" spans="1:48" ht="30" customHeight="1">
      <c r="A352" s="1" t="s">
        <v>704</v>
      </c>
      <c r="B352" s="1" t="s">
        <v>705</v>
      </c>
      <c r="C352" s="1" t="s">
        <v>166</v>
      </c>
      <c r="D352" s="2">
        <v>24</v>
      </c>
      <c r="E352" s="7">
        <v>176538</v>
      </c>
      <c r="F352" s="7">
        <f t="shared" si="57"/>
        <v>4236912</v>
      </c>
      <c r="G352" s="7">
        <v>0</v>
      </c>
      <c r="H352" s="7">
        <f t="shared" si="58"/>
        <v>0</v>
      </c>
      <c r="I352" s="7">
        <v>0</v>
      </c>
      <c r="J352" s="7">
        <f t="shared" si="59"/>
        <v>0</v>
      </c>
      <c r="K352" s="7">
        <f t="shared" si="60"/>
        <v>176538</v>
      </c>
      <c r="L352" s="7">
        <f t="shared" si="61"/>
        <v>4236912</v>
      </c>
      <c r="M352" s="1" t="s">
        <v>22</v>
      </c>
      <c r="N352" s="4" t="s">
        <v>706</v>
      </c>
      <c r="O352" s="4" t="s">
        <v>22</v>
      </c>
      <c r="P352" s="4" t="s">
        <v>22</v>
      </c>
      <c r="Q352" s="4" t="s">
        <v>58</v>
      </c>
      <c r="R352" s="4" t="s">
        <v>100</v>
      </c>
      <c r="S352" s="4" t="s">
        <v>100</v>
      </c>
      <c r="T352" s="4" t="s">
        <v>99</v>
      </c>
      <c r="AR352" s="4" t="s">
        <v>22</v>
      </c>
      <c r="AS352" s="4" t="s">
        <v>22</v>
      </c>
      <c r="AU352" s="4" t="s">
        <v>707</v>
      </c>
      <c r="AV352">
        <v>20684</v>
      </c>
    </row>
    <row r="353" spans="1:48" ht="30" customHeight="1">
      <c r="A353" s="1" t="s">
        <v>708</v>
      </c>
      <c r="B353" s="1" t="s">
        <v>709</v>
      </c>
      <c r="C353" s="1" t="s">
        <v>166</v>
      </c>
      <c r="D353" s="2">
        <v>8</v>
      </c>
      <c r="E353" s="7">
        <v>120623</v>
      </c>
      <c r="F353" s="7">
        <f t="shared" si="57"/>
        <v>964984</v>
      </c>
      <c r="G353" s="7">
        <v>0</v>
      </c>
      <c r="H353" s="7">
        <f t="shared" si="58"/>
        <v>0</v>
      </c>
      <c r="I353" s="7">
        <v>0</v>
      </c>
      <c r="J353" s="7">
        <f t="shared" si="59"/>
        <v>0</v>
      </c>
      <c r="K353" s="7">
        <f t="shared" si="60"/>
        <v>120623</v>
      </c>
      <c r="L353" s="7">
        <f t="shared" si="61"/>
        <v>964984</v>
      </c>
      <c r="M353" s="1" t="s">
        <v>22</v>
      </c>
      <c r="N353" s="4" t="s">
        <v>710</v>
      </c>
      <c r="O353" s="4" t="s">
        <v>22</v>
      </c>
      <c r="P353" s="4" t="s">
        <v>22</v>
      </c>
      <c r="Q353" s="4" t="s">
        <v>58</v>
      </c>
      <c r="R353" s="4" t="s">
        <v>100</v>
      </c>
      <c r="S353" s="4" t="s">
        <v>100</v>
      </c>
      <c r="T353" s="4" t="s">
        <v>99</v>
      </c>
      <c r="AR353" s="4" t="s">
        <v>22</v>
      </c>
      <c r="AS353" s="4" t="s">
        <v>22</v>
      </c>
      <c r="AU353" s="4" t="s">
        <v>711</v>
      </c>
      <c r="AV353">
        <v>20685</v>
      </c>
    </row>
    <row r="354" spans="1:48" ht="30" customHeight="1">
      <c r="A354" s="1" t="s">
        <v>712</v>
      </c>
      <c r="B354" s="1" t="s">
        <v>713</v>
      </c>
      <c r="C354" s="1" t="s">
        <v>166</v>
      </c>
      <c r="D354" s="2">
        <v>4</v>
      </c>
      <c r="E354" s="7">
        <v>331010</v>
      </c>
      <c r="F354" s="7">
        <f t="shared" si="57"/>
        <v>1324040</v>
      </c>
      <c r="G354" s="7">
        <v>0</v>
      </c>
      <c r="H354" s="7">
        <f t="shared" si="58"/>
        <v>0</v>
      </c>
      <c r="I354" s="7">
        <v>0</v>
      </c>
      <c r="J354" s="7">
        <f t="shared" si="59"/>
        <v>0</v>
      </c>
      <c r="K354" s="7">
        <f t="shared" si="60"/>
        <v>331010</v>
      </c>
      <c r="L354" s="7">
        <f t="shared" si="61"/>
        <v>1324040</v>
      </c>
      <c r="M354" s="1" t="s">
        <v>22</v>
      </c>
      <c r="N354" s="4" t="s">
        <v>714</v>
      </c>
      <c r="O354" s="4" t="s">
        <v>22</v>
      </c>
      <c r="P354" s="4" t="s">
        <v>22</v>
      </c>
      <c r="Q354" s="4" t="s">
        <v>58</v>
      </c>
      <c r="R354" s="4" t="s">
        <v>100</v>
      </c>
      <c r="S354" s="4" t="s">
        <v>100</v>
      </c>
      <c r="T354" s="4" t="s">
        <v>99</v>
      </c>
      <c r="AR354" s="4" t="s">
        <v>22</v>
      </c>
      <c r="AS354" s="4" t="s">
        <v>22</v>
      </c>
      <c r="AU354" s="4" t="s">
        <v>715</v>
      </c>
      <c r="AV354">
        <v>20686</v>
      </c>
    </row>
    <row r="355" spans="1:48" ht="30" customHeight="1">
      <c r="A355" s="1" t="s">
        <v>716</v>
      </c>
      <c r="B355" s="1" t="s">
        <v>717</v>
      </c>
      <c r="C355" s="1" t="s">
        <v>166</v>
      </c>
      <c r="D355" s="2">
        <v>2</v>
      </c>
      <c r="E355" s="7">
        <v>911730</v>
      </c>
      <c r="F355" s="7">
        <f t="shared" si="57"/>
        <v>1823460</v>
      </c>
      <c r="G355" s="7">
        <v>0</v>
      </c>
      <c r="H355" s="7">
        <f t="shared" si="58"/>
        <v>0</v>
      </c>
      <c r="I355" s="7">
        <v>0</v>
      </c>
      <c r="J355" s="7">
        <f t="shared" si="59"/>
        <v>0</v>
      </c>
      <c r="K355" s="7">
        <f t="shared" si="60"/>
        <v>911730</v>
      </c>
      <c r="L355" s="7">
        <f t="shared" si="61"/>
        <v>1823460</v>
      </c>
      <c r="M355" s="1" t="s">
        <v>22</v>
      </c>
      <c r="N355" s="4" t="s">
        <v>718</v>
      </c>
      <c r="O355" s="4" t="s">
        <v>22</v>
      </c>
      <c r="P355" s="4" t="s">
        <v>22</v>
      </c>
      <c r="Q355" s="4" t="s">
        <v>58</v>
      </c>
      <c r="R355" s="4" t="s">
        <v>100</v>
      </c>
      <c r="S355" s="4" t="s">
        <v>100</v>
      </c>
      <c r="T355" s="4" t="s">
        <v>99</v>
      </c>
      <c r="AR355" s="4" t="s">
        <v>22</v>
      </c>
      <c r="AS355" s="4" t="s">
        <v>22</v>
      </c>
      <c r="AU355" s="4" t="s">
        <v>719</v>
      </c>
      <c r="AV355">
        <v>20687</v>
      </c>
    </row>
    <row r="356" spans="1:48" ht="30" customHeight="1">
      <c r="A356" s="1" t="s">
        <v>720</v>
      </c>
      <c r="B356" s="1" t="s">
        <v>721</v>
      </c>
      <c r="C356" s="1" t="s">
        <v>166</v>
      </c>
      <c r="D356" s="2">
        <v>2</v>
      </c>
      <c r="E356" s="7">
        <v>454620</v>
      </c>
      <c r="F356" s="7">
        <f t="shared" si="57"/>
        <v>909240</v>
      </c>
      <c r="G356" s="7">
        <v>0</v>
      </c>
      <c r="H356" s="7">
        <f t="shared" si="58"/>
        <v>0</v>
      </c>
      <c r="I356" s="7">
        <v>0</v>
      </c>
      <c r="J356" s="7">
        <f t="shared" si="59"/>
        <v>0</v>
      </c>
      <c r="K356" s="7">
        <f t="shared" si="60"/>
        <v>454620</v>
      </c>
      <c r="L356" s="7">
        <f t="shared" si="61"/>
        <v>909240</v>
      </c>
      <c r="M356" s="1" t="s">
        <v>22</v>
      </c>
      <c r="N356" s="4" t="s">
        <v>722</v>
      </c>
      <c r="O356" s="4" t="s">
        <v>22</v>
      </c>
      <c r="P356" s="4" t="s">
        <v>22</v>
      </c>
      <c r="Q356" s="4" t="s">
        <v>58</v>
      </c>
      <c r="R356" s="4" t="s">
        <v>100</v>
      </c>
      <c r="S356" s="4" t="s">
        <v>100</v>
      </c>
      <c r="T356" s="4" t="s">
        <v>99</v>
      </c>
      <c r="AR356" s="4" t="s">
        <v>22</v>
      </c>
      <c r="AS356" s="4" t="s">
        <v>22</v>
      </c>
      <c r="AU356" s="4" t="s">
        <v>723</v>
      </c>
      <c r="AV356">
        <v>20688</v>
      </c>
    </row>
    <row r="357" spans="1:48" ht="30" customHeight="1">
      <c r="A357" s="1" t="s">
        <v>724</v>
      </c>
      <c r="B357" s="1" t="s">
        <v>725</v>
      </c>
      <c r="C357" s="1" t="s">
        <v>166</v>
      </c>
      <c r="D357" s="2">
        <v>24</v>
      </c>
      <c r="E357" s="7">
        <v>130247</v>
      </c>
      <c r="F357" s="7">
        <f t="shared" si="57"/>
        <v>3125928</v>
      </c>
      <c r="G357" s="7">
        <v>0</v>
      </c>
      <c r="H357" s="7">
        <f t="shared" si="58"/>
        <v>0</v>
      </c>
      <c r="I357" s="7">
        <v>0</v>
      </c>
      <c r="J357" s="7">
        <f t="shared" si="59"/>
        <v>0</v>
      </c>
      <c r="K357" s="7">
        <f t="shared" si="60"/>
        <v>130247</v>
      </c>
      <c r="L357" s="7">
        <f t="shared" si="61"/>
        <v>3125928</v>
      </c>
      <c r="M357" s="1" t="s">
        <v>22</v>
      </c>
      <c r="N357" s="4" t="s">
        <v>726</v>
      </c>
      <c r="O357" s="4" t="s">
        <v>22</v>
      </c>
      <c r="P357" s="4" t="s">
        <v>22</v>
      </c>
      <c r="Q357" s="4" t="s">
        <v>58</v>
      </c>
      <c r="R357" s="4" t="s">
        <v>100</v>
      </c>
      <c r="S357" s="4" t="s">
        <v>100</v>
      </c>
      <c r="T357" s="4" t="s">
        <v>99</v>
      </c>
      <c r="AR357" s="4" t="s">
        <v>22</v>
      </c>
      <c r="AS357" s="4" t="s">
        <v>22</v>
      </c>
      <c r="AU357" s="4" t="s">
        <v>727</v>
      </c>
      <c r="AV357">
        <v>20689</v>
      </c>
    </row>
    <row r="358" spans="1:48" ht="30" customHeight="1">
      <c r="A358" s="1" t="s">
        <v>728</v>
      </c>
      <c r="B358" s="1" t="s">
        <v>729</v>
      </c>
      <c r="C358" s="1" t="s">
        <v>166</v>
      </c>
      <c r="D358" s="2">
        <v>8</v>
      </c>
      <c r="E358" s="7">
        <v>2032520</v>
      </c>
      <c r="F358" s="7">
        <f t="shared" si="57"/>
        <v>16260160</v>
      </c>
      <c r="G358" s="7">
        <v>0</v>
      </c>
      <c r="H358" s="7">
        <f t="shared" si="58"/>
        <v>0</v>
      </c>
      <c r="I358" s="7">
        <v>0</v>
      </c>
      <c r="J358" s="7">
        <f t="shared" si="59"/>
        <v>0</v>
      </c>
      <c r="K358" s="7">
        <f t="shared" si="60"/>
        <v>2032520</v>
      </c>
      <c r="L358" s="7">
        <f t="shared" si="61"/>
        <v>16260160</v>
      </c>
      <c r="M358" s="1" t="s">
        <v>22</v>
      </c>
      <c r="N358" s="4" t="s">
        <v>730</v>
      </c>
      <c r="O358" s="4" t="s">
        <v>22</v>
      </c>
      <c r="P358" s="4" t="s">
        <v>22</v>
      </c>
      <c r="Q358" s="4" t="s">
        <v>58</v>
      </c>
      <c r="R358" s="4" t="s">
        <v>100</v>
      </c>
      <c r="S358" s="4" t="s">
        <v>100</v>
      </c>
      <c r="T358" s="4" t="s">
        <v>99</v>
      </c>
      <c r="AR358" s="4" t="s">
        <v>22</v>
      </c>
      <c r="AS358" s="4" t="s">
        <v>22</v>
      </c>
      <c r="AU358" s="4" t="s">
        <v>731</v>
      </c>
      <c r="AV358">
        <v>20690</v>
      </c>
    </row>
    <row r="359" spans="1:48" ht="30" customHeight="1">
      <c r="A359" s="2"/>
      <c r="B359" s="2"/>
      <c r="C359" s="2"/>
      <c r="D359" s="2"/>
      <c r="E359" s="7">
        <v>0</v>
      </c>
      <c r="F359" s="2"/>
      <c r="G359" s="7">
        <v>0</v>
      </c>
      <c r="H359" s="2"/>
      <c r="I359" s="7">
        <v>0</v>
      </c>
      <c r="J359" s="2"/>
      <c r="K359" s="2"/>
      <c r="L359" s="2"/>
      <c r="M359" s="2"/>
    </row>
    <row r="360" spans="1:48" ht="30" customHeight="1">
      <c r="A360" s="2"/>
      <c r="B360" s="2"/>
      <c r="C360" s="2"/>
      <c r="D360" s="2"/>
      <c r="E360" s="7">
        <v>0</v>
      </c>
      <c r="F360" s="2"/>
      <c r="G360" s="7">
        <v>0</v>
      </c>
      <c r="H360" s="2"/>
      <c r="I360" s="7">
        <v>0</v>
      </c>
      <c r="J360" s="2"/>
      <c r="K360" s="2"/>
      <c r="L360" s="2"/>
      <c r="M360" s="2"/>
    </row>
    <row r="361" spans="1:48" ht="30" customHeight="1">
      <c r="A361" s="2"/>
      <c r="B361" s="2"/>
      <c r="C361" s="2"/>
      <c r="D361" s="2"/>
      <c r="E361" s="7">
        <v>0</v>
      </c>
      <c r="F361" s="2"/>
      <c r="G361" s="7">
        <v>0</v>
      </c>
      <c r="H361" s="2"/>
      <c r="I361" s="7">
        <v>0</v>
      </c>
      <c r="J361" s="2"/>
      <c r="K361" s="2"/>
      <c r="L361" s="2"/>
      <c r="M361" s="2"/>
    </row>
    <row r="362" spans="1:48" ht="30" customHeight="1">
      <c r="A362" s="2"/>
      <c r="B362" s="2"/>
      <c r="C362" s="2"/>
      <c r="D362" s="2"/>
      <c r="E362" s="7">
        <v>0</v>
      </c>
      <c r="F362" s="2"/>
      <c r="G362" s="7">
        <v>0</v>
      </c>
      <c r="H362" s="2"/>
      <c r="I362" s="7">
        <v>0</v>
      </c>
      <c r="J362" s="2"/>
      <c r="K362" s="2"/>
      <c r="L362" s="2"/>
      <c r="M362" s="2"/>
    </row>
    <row r="363" spans="1:48" ht="30" customHeight="1">
      <c r="A363" s="1" t="s">
        <v>62</v>
      </c>
      <c r="B363" s="2"/>
      <c r="C363" s="2"/>
      <c r="D363" s="2"/>
      <c r="E363" s="7">
        <v>0</v>
      </c>
      <c r="F363" s="7">
        <f>SUM(F341:F362)</f>
        <v>137163244</v>
      </c>
      <c r="G363" s="7">
        <v>0</v>
      </c>
      <c r="H363" s="7">
        <f>SUM(H341:H362)</f>
        <v>0</v>
      </c>
      <c r="I363" s="7">
        <v>0</v>
      </c>
      <c r="J363" s="7">
        <f>SUM(J341:J362)</f>
        <v>0</v>
      </c>
      <c r="K363" s="2"/>
      <c r="L363" s="7">
        <f>SUM(L341:L362)</f>
        <v>137163244</v>
      </c>
      <c r="M363" s="2"/>
      <c r="N363" t="s">
        <v>247</v>
      </c>
    </row>
    <row r="364" spans="1:48" ht="30" customHeight="1">
      <c r="A364" s="1" t="s">
        <v>59</v>
      </c>
      <c r="B364" s="1" t="s">
        <v>22</v>
      </c>
      <c r="C364" s="2"/>
      <c r="D364" s="2"/>
      <c r="E364" s="7">
        <v>0</v>
      </c>
      <c r="F364" s="2"/>
      <c r="G364" s="7">
        <v>0</v>
      </c>
      <c r="H364" s="2"/>
      <c r="I364" s="7">
        <v>0</v>
      </c>
      <c r="J364" s="2"/>
      <c r="K364" s="2"/>
      <c r="L364" s="2"/>
      <c r="M364" s="2"/>
      <c r="Q364" s="4" t="s">
        <v>60</v>
      </c>
    </row>
    <row r="365" spans="1:48" ht="30" customHeight="1">
      <c r="A365" s="1" t="s">
        <v>732</v>
      </c>
      <c r="B365" s="1" t="s">
        <v>22</v>
      </c>
      <c r="C365" s="1" t="s">
        <v>492</v>
      </c>
      <c r="D365" s="2">
        <v>1</v>
      </c>
      <c r="E365" s="7">
        <v>29665000</v>
      </c>
      <c r="F365" s="7">
        <f>TRUNC(E365*D365, 0)</f>
        <v>29665000</v>
      </c>
      <c r="G365" s="7">
        <v>0</v>
      </c>
      <c r="H365" s="7">
        <f>TRUNC(G365*D365, 0)</f>
        <v>0</v>
      </c>
      <c r="I365" s="7">
        <v>0</v>
      </c>
      <c r="J365" s="7">
        <f>TRUNC(I365*D365, 0)</f>
        <v>0</v>
      </c>
      <c r="K365" s="7">
        <f t="shared" ref="K365:K367" si="62">TRUNC(E365+G365+I365, 0)</f>
        <v>29665000</v>
      </c>
      <c r="L365" s="7">
        <f t="shared" ref="L365:L367" si="63">TRUNC(F365+H365+J365, 0)</f>
        <v>29665000</v>
      </c>
      <c r="M365" s="1" t="s">
        <v>22</v>
      </c>
      <c r="N365" s="4" t="s">
        <v>733</v>
      </c>
      <c r="O365" s="4" t="s">
        <v>22</v>
      </c>
      <c r="P365" s="4" t="s">
        <v>22</v>
      </c>
      <c r="Q365" s="4" t="s">
        <v>60</v>
      </c>
      <c r="R365" s="4" t="s">
        <v>100</v>
      </c>
      <c r="S365" s="4" t="s">
        <v>100</v>
      </c>
      <c r="T365" s="4" t="s">
        <v>99</v>
      </c>
      <c r="AR365" s="4" t="s">
        <v>22</v>
      </c>
      <c r="AS365" s="4" t="s">
        <v>22</v>
      </c>
      <c r="AU365" s="4" t="s">
        <v>734</v>
      </c>
      <c r="AV365">
        <v>20300</v>
      </c>
    </row>
    <row r="366" spans="1:48" ht="30" customHeight="1">
      <c r="A366" s="1" t="s">
        <v>735</v>
      </c>
      <c r="B366" s="1" t="s">
        <v>22</v>
      </c>
      <c r="C366" s="1" t="s">
        <v>492</v>
      </c>
      <c r="D366" s="2">
        <v>1</v>
      </c>
      <c r="E366" s="7">
        <v>10172000</v>
      </c>
      <c r="F366" s="7">
        <f>TRUNC(E366*D366, 0)</f>
        <v>10172000</v>
      </c>
      <c r="G366" s="7">
        <v>0</v>
      </c>
      <c r="H366" s="7">
        <f>TRUNC(G366*D366, 0)</f>
        <v>0</v>
      </c>
      <c r="I366" s="7">
        <v>0</v>
      </c>
      <c r="J366" s="7">
        <f>TRUNC(I366*D366, 0)</f>
        <v>0</v>
      </c>
      <c r="K366" s="7">
        <f t="shared" si="62"/>
        <v>10172000</v>
      </c>
      <c r="L366" s="7">
        <f t="shared" si="63"/>
        <v>10172000</v>
      </c>
      <c r="M366" s="1" t="s">
        <v>22</v>
      </c>
      <c r="N366" s="4" t="s">
        <v>736</v>
      </c>
      <c r="O366" s="4" t="s">
        <v>22</v>
      </c>
      <c r="P366" s="4" t="s">
        <v>22</v>
      </c>
      <c r="Q366" s="4" t="s">
        <v>60</v>
      </c>
      <c r="R366" s="4" t="s">
        <v>100</v>
      </c>
      <c r="S366" s="4" t="s">
        <v>100</v>
      </c>
      <c r="T366" s="4" t="s">
        <v>99</v>
      </c>
      <c r="AR366" s="4" t="s">
        <v>22</v>
      </c>
      <c r="AS366" s="4" t="s">
        <v>22</v>
      </c>
      <c r="AU366" s="4" t="s">
        <v>737</v>
      </c>
      <c r="AV366">
        <v>20299</v>
      </c>
    </row>
    <row r="367" spans="1:48" ht="30" customHeight="1">
      <c r="A367" s="1" t="s">
        <v>738</v>
      </c>
      <c r="B367" s="1" t="s">
        <v>22</v>
      </c>
      <c r="C367" s="1" t="s">
        <v>492</v>
      </c>
      <c r="D367" s="2">
        <v>1</v>
      </c>
      <c r="E367" s="7">
        <v>1320000</v>
      </c>
      <c r="F367" s="7">
        <f>TRUNC(E367*D367, 0)</f>
        <v>1320000</v>
      </c>
      <c r="G367" s="7">
        <v>0</v>
      </c>
      <c r="H367" s="7">
        <f>TRUNC(G367*D367, 0)</f>
        <v>0</v>
      </c>
      <c r="I367" s="7">
        <v>0</v>
      </c>
      <c r="J367" s="7">
        <f>TRUNC(I367*D367, 0)</f>
        <v>0</v>
      </c>
      <c r="K367" s="7">
        <f t="shared" si="62"/>
        <v>1320000</v>
      </c>
      <c r="L367" s="7">
        <f t="shared" si="63"/>
        <v>1320000</v>
      </c>
      <c r="M367" s="1" t="s">
        <v>22</v>
      </c>
      <c r="N367" s="4" t="s">
        <v>739</v>
      </c>
      <c r="O367" s="4" t="s">
        <v>22</v>
      </c>
      <c r="P367" s="4" t="s">
        <v>22</v>
      </c>
      <c r="Q367" s="4" t="s">
        <v>60</v>
      </c>
      <c r="R367" s="4" t="s">
        <v>100</v>
      </c>
      <c r="S367" s="4" t="s">
        <v>100</v>
      </c>
      <c r="T367" s="4" t="s">
        <v>99</v>
      </c>
      <c r="AR367" s="4" t="s">
        <v>22</v>
      </c>
      <c r="AS367" s="4" t="s">
        <v>22</v>
      </c>
      <c r="AU367" s="4" t="s">
        <v>740</v>
      </c>
      <c r="AV367">
        <v>20298</v>
      </c>
    </row>
    <row r="368" spans="1:48" ht="30" customHeight="1">
      <c r="A368" s="264" t="s">
        <v>2539</v>
      </c>
      <c r="B368" s="264"/>
      <c r="C368" s="264" t="s">
        <v>2540</v>
      </c>
      <c r="D368" s="264">
        <v>1</v>
      </c>
      <c r="E368" s="265">
        <v>843000</v>
      </c>
      <c r="F368" s="265">
        <f>TRUNC(E368*D368, 0)</f>
        <v>843000</v>
      </c>
      <c r="G368" s="265"/>
      <c r="H368" s="265"/>
      <c r="I368" s="265"/>
      <c r="J368" s="265"/>
      <c r="K368" s="265">
        <f t="shared" ref="K368" si="64">TRUNC(E368+G368+I368, 0)</f>
        <v>843000</v>
      </c>
      <c r="L368" s="265">
        <f t="shared" ref="L368" si="65">TRUNC(F368+H368+J368, 0)</f>
        <v>843000</v>
      </c>
      <c r="M368" s="264"/>
    </row>
    <row r="369" spans="1:13" ht="3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3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3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3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3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3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3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3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3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3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3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3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3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3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3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3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4" ht="3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4" ht="3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4" ht="30" customHeight="1">
      <c r="A387" s="1" t="s">
        <v>62</v>
      </c>
      <c r="B387" s="2"/>
      <c r="C387" s="2"/>
      <c r="D387" s="2"/>
      <c r="E387" s="2"/>
      <c r="F387" s="7">
        <f>SUM(F365:F386)</f>
        <v>42000000</v>
      </c>
      <c r="G387" s="2"/>
      <c r="H387" s="7">
        <f>SUM(H365:H386)</f>
        <v>0</v>
      </c>
      <c r="I387" s="2"/>
      <c r="J387" s="7">
        <f>SUM(J365:J386)</f>
        <v>0</v>
      </c>
      <c r="K387" s="2"/>
      <c r="L387" s="7">
        <f>SUM(L365:L386)</f>
        <v>42000000</v>
      </c>
      <c r="M387" s="2"/>
      <c r="N387" t="s">
        <v>247</v>
      </c>
    </row>
  </sheetData>
  <mergeCells count="45">
    <mergeCell ref="AU2:AU3"/>
    <mergeCell ref="AE2:AE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V2:AV3"/>
    <mergeCell ref="AQ2:AQ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R2:AR3"/>
    <mergeCell ref="AS2:AS3"/>
    <mergeCell ref="AT2:AT3"/>
    <mergeCell ref="A1:M1"/>
    <mergeCell ref="A2:A3"/>
    <mergeCell ref="B2:B3"/>
    <mergeCell ref="C2:C3"/>
    <mergeCell ref="M2:M3"/>
    <mergeCell ref="D2:D3"/>
    <mergeCell ref="G2:H2"/>
    <mergeCell ref="E2:F2"/>
    <mergeCell ref="I2:J2"/>
    <mergeCell ref="K2:L2"/>
    <mergeCell ref="S2:S3"/>
    <mergeCell ref="N2:N3"/>
    <mergeCell ref="O2:O3"/>
    <mergeCell ref="P2:P3"/>
    <mergeCell ref="Q2:Q3"/>
    <mergeCell ref="R2:R3"/>
  </mergeCells>
  <phoneticPr fontId="4" type="noConversion"/>
  <pageMargins left="0.78740157480314965" right="0" top="0.39370078740157483" bottom="0.39370078740157483" header="0" footer="0"/>
  <pageSetup paperSize="9" scale="64" fitToHeight="0" orientation="landscape" r:id="rId1"/>
  <rowBreaks count="14" manualBreakCount="14">
    <brk id="51" max="16383" man="1"/>
    <brk id="75" max="16383" man="1"/>
    <brk id="123" max="16383" man="1"/>
    <brk id="147" max="16383" man="1"/>
    <brk id="171" max="16383" man="1"/>
    <brk id="195" max="16383" man="1"/>
    <brk id="219" max="16383" man="1"/>
    <brk id="243" max="16383" man="1"/>
    <brk id="267" max="16383" man="1"/>
    <brk id="291" max="16383" man="1"/>
    <brk id="315" max="16383" man="1"/>
    <brk id="339" max="16383" man="1"/>
    <brk id="363" max="16383" man="1"/>
    <brk id="38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12:G17"/>
  <sheetViews>
    <sheetView view="pageBreakPreview" zoomScale="60" zoomScaleNormal="100" workbookViewId="0">
      <selection activeCell="L18" sqref="L18"/>
    </sheetView>
  </sheetViews>
  <sheetFormatPr defaultRowHeight="16.5"/>
  <cols>
    <col min="5" max="5" width="17" bestFit="1" customWidth="1"/>
  </cols>
  <sheetData>
    <row r="12" spans="5:5" ht="31.5">
      <c r="E12" s="279"/>
    </row>
    <row r="17" spans="3:7" ht="32.25">
      <c r="C17" s="320" t="s">
        <v>2547</v>
      </c>
      <c r="D17" s="320"/>
      <c r="E17" s="320"/>
      <c r="F17" s="320"/>
      <c r="G17" s="320"/>
    </row>
  </sheetData>
  <mergeCells count="1">
    <mergeCell ref="C17:G17"/>
  </mergeCells>
  <phoneticPr fontId="4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12</vt:i4>
      </vt:variant>
    </vt:vector>
  </HeadingPairs>
  <TitlesOfParts>
    <vt:vector size="20" baseType="lpstr">
      <vt:lpstr>원가계산서(총괄)</vt:lpstr>
      <vt:lpstr>공사비총괄표</vt:lpstr>
      <vt:lpstr>원가계산서(토목공사)</vt:lpstr>
      <vt:lpstr>내역서(토목공사)</vt:lpstr>
      <vt:lpstr>원가계산서(전기공사)</vt:lpstr>
      <vt:lpstr>공종별집계표(전기공사)</vt:lpstr>
      <vt:lpstr>내역서(전기공사)</vt:lpstr>
      <vt:lpstr>Sheet4</vt:lpstr>
      <vt:lpstr>Sheet4!Print_Area</vt:lpstr>
      <vt:lpstr>공사비총괄표!Print_Area</vt:lpstr>
      <vt:lpstr>'공종별집계표(전기공사)'!Print_Area</vt:lpstr>
      <vt:lpstr>'내역서(전기공사)'!Print_Area</vt:lpstr>
      <vt:lpstr>'내역서(토목공사)'!Print_Area</vt:lpstr>
      <vt:lpstr>'원가계산서(전기공사)'!Print_Area</vt:lpstr>
      <vt:lpstr>'원가계산서(총괄)'!Print_Area</vt:lpstr>
      <vt:lpstr>'원가계산서(토목공사)'!Print_Area</vt:lpstr>
      <vt:lpstr>공사비총괄표!Print_Titles</vt:lpstr>
      <vt:lpstr>'공종별집계표(전기공사)'!Print_Titles</vt:lpstr>
      <vt:lpstr>'내역서(전기공사)'!Print_Titles</vt:lpstr>
      <vt:lpstr>'내역서(토목공사)'!Print_Titles</vt:lpstr>
    </vt:vector>
  </TitlesOfParts>
  <Company>KUH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진홍</cp:lastModifiedBy>
  <cp:lastPrinted>2026-01-08T02:09:37Z</cp:lastPrinted>
  <dcterms:created xsi:type="dcterms:W3CDTF">2024-03-07T06:27:16Z</dcterms:created>
  <dcterms:modified xsi:type="dcterms:W3CDTF">2026-06-03T05:45:34Z</dcterms:modified>
</cp:coreProperties>
</file>