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:\★업무관련★\★공무업무앱★\진천메가산업단지\기초자료\"/>
    </mc:Choice>
  </mc:AlternateContent>
  <xr:revisionPtr revIDLastSave="0" documentId="13_ncr:1_{6B68F2CE-4E64-4EF8-B037-F8100EACE7A9}" xr6:coauthVersionLast="47" xr6:coauthVersionMax="47" xr10:uidLastSave="{00000000-0000-0000-0000-000000000000}"/>
  <bookViews>
    <workbookView xWindow="-28920" yWindow="-120" windowWidth="29040" windowHeight="15840" tabRatio="522" xr2:uid="{00000000-000D-0000-FFFF-FFFF00000000}"/>
  </bookViews>
  <sheets>
    <sheet name="전체예정공정표" sheetId="13" r:id="rId1"/>
  </sheets>
  <definedNames>
    <definedName name="_xlnm._FilterDatabase" localSheetId="0" hidden="1">전체예정공정표!$H$26:$H$261</definedName>
    <definedName name="_xlnm.Print_Area" localSheetId="0">전체예정공정표!$L$18:$NE$261</definedName>
    <definedName name="_xlnm.Print_Titles" localSheetId="0">전체예정공정표!$18:$23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A250" i="13" l="1"/>
  <c r="JB250" i="13" s="1"/>
  <c r="JC250" i="13" s="1"/>
  <c r="JD250" i="13" s="1"/>
  <c r="JE250" i="13" s="1"/>
  <c r="JF250" i="13" s="1"/>
  <c r="JG250" i="13" s="1"/>
  <c r="JH250" i="13" s="1"/>
  <c r="JI250" i="13" s="1"/>
  <c r="JJ250" i="13" s="1"/>
  <c r="JK250" i="13" s="1"/>
  <c r="JL250" i="13" s="1"/>
  <c r="JM250" i="13" s="1"/>
  <c r="JN250" i="13" s="1"/>
  <c r="JO250" i="13" s="1"/>
  <c r="JP250" i="13" s="1"/>
  <c r="JQ250" i="13" s="1"/>
  <c r="JR250" i="13" s="1"/>
  <c r="JS250" i="13" s="1"/>
  <c r="JT250" i="13" s="1"/>
  <c r="JU250" i="13" s="1"/>
  <c r="JV250" i="13" s="1"/>
  <c r="JW250" i="13" s="1"/>
  <c r="JX250" i="13" s="1"/>
  <c r="JY250" i="13" s="1"/>
  <c r="JZ250" i="13" s="1"/>
  <c r="KA250" i="13" s="1"/>
  <c r="KB250" i="13" s="1"/>
  <c r="JA242" i="13"/>
  <c r="JB242" i="13" s="1"/>
  <c r="JC242" i="13" s="1"/>
  <c r="JD242" i="13" s="1"/>
  <c r="JE242" i="13" s="1"/>
  <c r="JF242" i="13" s="1"/>
  <c r="JG242" i="13" s="1"/>
  <c r="JH242" i="13" s="1"/>
  <c r="JI242" i="13" s="1"/>
  <c r="JJ242" i="13" s="1"/>
  <c r="JK242" i="13" s="1"/>
  <c r="JL242" i="13" s="1"/>
  <c r="JM242" i="13" s="1"/>
  <c r="JN242" i="13" s="1"/>
  <c r="JO242" i="13" s="1"/>
  <c r="JP242" i="13" s="1"/>
  <c r="JQ242" i="13" s="1"/>
  <c r="JR242" i="13" s="1"/>
  <c r="JS242" i="13" s="1"/>
  <c r="JT242" i="13" s="1"/>
  <c r="JU242" i="13" s="1"/>
  <c r="JV242" i="13" s="1"/>
  <c r="JW242" i="13" s="1"/>
  <c r="JX242" i="13" s="1"/>
  <c r="JY242" i="13" s="1"/>
  <c r="JZ242" i="13" s="1"/>
  <c r="KA242" i="13" s="1"/>
  <c r="KB242" i="13" s="1"/>
  <c r="JC238" i="13"/>
  <c r="JD238" i="13" s="1"/>
  <c r="JE238" i="13" s="1"/>
  <c r="JF238" i="13" s="1"/>
  <c r="JG238" i="13" s="1"/>
  <c r="JH238" i="13" s="1"/>
  <c r="JI238" i="13" s="1"/>
  <c r="JJ238" i="13" s="1"/>
  <c r="JK238" i="13" s="1"/>
  <c r="JL238" i="13" s="1"/>
  <c r="JM238" i="13" s="1"/>
  <c r="JN238" i="13" s="1"/>
  <c r="JO238" i="13" s="1"/>
  <c r="JP238" i="13" s="1"/>
  <c r="JQ238" i="13" s="1"/>
  <c r="JR238" i="13" s="1"/>
  <c r="JS238" i="13" s="1"/>
  <c r="JT238" i="13" s="1"/>
  <c r="JU238" i="13" s="1"/>
  <c r="JV238" i="13" s="1"/>
  <c r="JW238" i="13" s="1"/>
  <c r="JX238" i="13" s="1"/>
  <c r="JY238" i="13" s="1"/>
  <c r="JZ238" i="13" s="1"/>
  <c r="KA238" i="13" s="1"/>
  <c r="KB238" i="13" s="1"/>
  <c r="JB238" i="13"/>
  <c r="JA238" i="13"/>
  <c r="JA234" i="13"/>
  <c r="JB234" i="13" s="1"/>
  <c r="JC234" i="13" s="1"/>
  <c r="JD234" i="13" s="1"/>
  <c r="JE234" i="13" s="1"/>
  <c r="JF234" i="13" s="1"/>
  <c r="JG234" i="13" s="1"/>
  <c r="JH234" i="13" s="1"/>
  <c r="JI234" i="13" s="1"/>
  <c r="JJ234" i="13" s="1"/>
  <c r="JK234" i="13" s="1"/>
  <c r="JL234" i="13" s="1"/>
  <c r="JM234" i="13" s="1"/>
  <c r="JN234" i="13" s="1"/>
  <c r="JO234" i="13" s="1"/>
  <c r="JP234" i="13" s="1"/>
  <c r="JQ234" i="13" s="1"/>
  <c r="JR234" i="13" s="1"/>
  <c r="JS234" i="13" s="1"/>
  <c r="JT234" i="13" s="1"/>
  <c r="JU234" i="13" s="1"/>
  <c r="JV234" i="13" s="1"/>
  <c r="JW234" i="13" s="1"/>
  <c r="JX234" i="13" s="1"/>
  <c r="JY234" i="13" s="1"/>
  <c r="JZ234" i="13" s="1"/>
  <c r="KA234" i="13" s="1"/>
  <c r="KB234" i="13" s="1"/>
  <c r="JA232" i="13"/>
  <c r="JB232" i="13" s="1"/>
  <c r="JC232" i="13" s="1"/>
  <c r="JD232" i="13" s="1"/>
  <c r="JE232" i="13" s="1"/>
  <c r="JF232" i="13" s="1"/>
  <c r="JG232" i="13" s="1"/>
  <c r="JH232" i="13" s="1"/>
  <c r="JI232" i="13" s="1"/>
  <c r="JJ232" i="13" s="1"/>
  <c r="JK232" i="13" s="1"/>
  <c r="JL232" i="13" s="1"/>
  <c r="JM232" i="13" s="1"/>
  <c r="JN232" i="13" s="1"/>
  <c r="JO232" i="13" s="1"/>
  <c r="JP232" i="13" s="1"/>
  <c r="JQ232" i="13" s="1"/>
  <c r="JR232" i="13" s="1"/>
  <c r="JS232" i="13" s="1"/>
  <c r="JT232" i="13" s="1"/>
  <c r="JU232" i="13" s="1"/>
  <c r="JV232" i="13" s="1"/>
  <c r="JW232" i="13" s="1"/>
  <c r="JX232" i="13" s="1"/>
  <c r="JY232" i="13" s="1"/>
  <c r="JZ232" i="13" s="1"/>
  <c r="KA232" i="13" s="1"/>
  <c r="KB232" i="13" s="1"/>
  <c r="JB230" i="13"/>
  <c r="JC230" i="13" s="1"/>
  <c r="JD230" i="13" s="1"/>
  <c r="JE230" i="13" s="1"/>
  <c r="JF230" i="13" s="1"/>
  <c r="JG230" i="13" s="1"/>
  <c r="JH230" i="13" s="1"/>
  <c r="JI230" i="13" s="1"/>
  <c r="JJ230" i="13" s="1"/>
  <c r="JK230" i="13" s="1"/>
  <c r="JL230" i="13" s="1"/>
  <c r="JM230" i="13" s="1"/>
  <c r="JN230" i="13" s="1"/>
  <c r="JO230" i="13" s="1"/>
  <c r="JP230" i="13" s="1"/>
  <c r="JQ230" i="13" s="1"/>
  <c r="JR230" i="13" s="1"/>
  <c r="JS230" i="13" s="1"/>
  <c r="JT230" i="13" s="1"/>
  <c r="JU230" i="13" s="1"/>
  <c r="JV230" i="13" s="1"/>
  <c r="JW230" i="13" s="1"/>
  <c r="JX230" i="13" s="1"/>
  <c r="JY230" i="13" s="1"/>
  <c r="JZ230" i="13" s="1"/>
  <c r="KA230" i="13" s="1"/>
  <c r="KB230" i="13" s="1"/>
  <c r="JA230" i="13"/>
  <c r="JA228" i="13"/>
  <c r="JB228" i="13" s="1"/>
  <c r="JC228" i="13" s="1"/>
  <c r="JD228" i="13" s="1"/>
  <c r="JE228" i="13" s="1"/>
  <c r="JF228" i="13" s="1"/>
  <c r="JG228" i="13" s="1"/>
  <c r="JH228" i="13" s="1"/>
  <c r="JI228" i="13" s="1"/>
  <c r="JJ228" i="13" s="1"/>
  <c r="JK228" i="13" s="1"/>
  <c r="JL228" i="13" s="1"/>
  <c r="JM228" i="13" s="1"/>
  <c r="JN228" i="13" s="1"/>
  <c r="JO228" i="13" s="1"/>
  <c r="JP228" i="13" s="1"/>
  <c r="JQ228" i="13" s="1"/>
  <c r="JR228" i="13" s="1"/>
  <c r="JS228" i="13" s="1"/>
  <c r="JT228" i="13" s="1"/>
  <c r="JU228" i="13" s="1"/>
  <c r="JV228" i="13" s="1"/>
  <c r="JW228" i="13" s="1"/>
  <c r="JX228" i="13" s="1"/>
  <c r="JY228" i="13" s="1"/>
  <c r="JZ228" i="13" s="1"/>
  <c r="KA228" i="13" s="1"/>
  <c r="KB228" i="13" s="1"/>
  <c r="JA226" i="13"/>
  <c r="JB226" i="13" s="1"/>
  <c r="JC226" i="13" s="1"/>
  <c r="JD226" i="13" s="1"/>
  <c r="JE226" i="13" s="1"/>
  <c r="JF226" i="13" s="1"/>
  <c r="JG226" i="13" s="1"/>
  <c r="JH226" i="13" s="1"/>
  <c r="JI226" i="13" s="1"/>
  <c r="JJ226" i="13" s="1"/>
  <c r="JK226" i="13" s="1"/>
  <c r="JL226" i="13" s="1"/>
  <c r="JM226" i="13" s="1"/>
  <c r="JN226" i="13" s="1"/>
  <c r="JO226" i="13" s="1"/>
  <c r="JP226" i="13" s="1"/>
  <c r="JQ226" i="13" s="1"/>
  <c r="JR226" i="13" s="1"/>
  <c r="JS226" i="13" s="1"/>
  <c r="JT226" i="13" s="1"/>
  <c r="JU226" i="13" s="1"/>
  <c r="JV226" i="13" s="1"/>
  <c r="JW226" i="13" s="1"/>
  <c r="JX226" i="13" s="1"/>
  <c r="JY226" i="13" s="1"/>
  <c r="JZ226" i="13" s="1"/>
  <c r="KA226" i="13" s="1"/>
  <c r="KB226" i="13" s="1"/>
  <c r="JC174" i="13"/>
  <c r="JD174" i="13" s="1"/>
  <c r="JE174" i="13" s="1"/>
  <c r="JF174" i="13" s="1"/>
  <c r="JG174" i="13" s="1"/>
  <c r="JH174" i="13" s="1"/>
  <c r="JI174" i="13" s="1"/>
  <c r="JJ174" i="13" s="1"/>
  <c r="JK174" i="13" s="1"/>
  <c r="JL174" i="13" s="1"/>
  <c r="JM174" i="13" s="1"/>
  <c r="JN174" i="13" s="1"/>
  <c r="JO174" i="13" s="1"/>
  <c r="JP174" i="13" s="1"/>
  <c r="JQ174" i="13" s="1"/>
  <c r="JR174" i="13" s="1"/>
  <c r="JS174" i="13" s="1"/>
  <c r="JT174" i="13" s="1"/>
  <c r="JU174" i="13" s="1"/>
  <c r="JV174" i="13" s="1"/>
  <c r="JW174" i="13" s="1"/>
  <c r="JX174" i="13" s="1"/>
  <c r="JY174" i="13" s="1"/>
  <c r="JZ174" i="13" s="1"/>
  <c r="KA174" i="13" s="1"/>
  <c r="KB174" i="13" s="1"/>
  <c r="JB174" i="13"/>
  <c r="JA174" i="13"/>
  <c r="JA92" i="13"/>
  <c r="JB92" i="13" s="1"/>
  <c r="JC92" i="13" s="1"/>
  <c r="JD92" i="13" s="1"/>
  <c r="JE92" i="13" s="1"/>
  <c r="JF92" i="13" s="1"/>
  <c r="JG92" i="13" s="1"/>
  <c r="JH92" i="13" s="1"/>
  <c r="JI92" i="13" s="1"/>
  <c r="JJ92" i="13" s="1"/>
  <c r="JK92" i="13" s="1"/>
  <c r="JL92" i="13" s="1"/>
  <c r="JM92" i="13" s="1"/>
  <c r="JN92" i="13" s="1"/>
  <c r="JO92" i="13" s="1"/>
  <c r="JP92" i="13" s="1"/>
  <c r="JQ92" i="13" s="1"/>
  <c r="JR92" i="13" s="1"/>
  <c r="JS92" i="13" s="1"/>
  <c r="JT92" i="13" s="1"/>
  <c r="JU92" i="13" s="1"/>
  <c r="JV92" i="13" s="1"/>
  <c r="JW92" i="13" s="1"/>
  <c r="JX92" i="13" s="1"/>
  <c r="JY92" i="13" s="1"/>
  <c r="JZ92" i="13" s="1"/>
  <c r="KA92" i="13" s="1"/>
  <c r="KB92" i="13" s="1"/>
  <c r="JA90" i="13"/>
  <c r="JB90" i="13" s="1"/>
  <c r="JC90" i="13" s="1"/>
  <c r="JD90" i="13" s="1"/>
  <c r="JE90" i="13" s="1"/>
  <c r="JF90" i="13" s="1"/>
  <c r="JG90" i="13" s="1"/>
  <c r="JH90" i="13" s="1"/>
  <c r="JI90" i="13" s="1"/>
  <c r="JJ90" i="13" s="1"/>
  <c r="JK90" i="13" s="1"/>
  <c r="JL90" i="13" s="1"/>
  <c r="JM90" i="13" s="1"/>
  <c r="JN90" i="13" s="1"/>
  <c r="JO90" i="13" s="1"/>
  <c r="JP90" i="13" s="1"/>
  <c r="JQ90" i="13" s="1"/>
  <c r="JR90" i="13" s="1"/>
  <c r="JS90" i="13" s="1"/>
  <c r="JT90" i="13" s="1"/>
  <c r="JU90" i="13" s="1"/>
  <c r="JV90" i="13" s="1"/>
  <c r="JW90" i="13" s="1"/>
  <c r="JX90" i="13" s="1"/>
  <c r="JY90" i="13" s="1"/>
  <c r="JZ90" i="13" s="1"/>
  <c r="KA90" i="13" s="1"/>
  <c r="KB90" i="13" s="1"/>
  <c r="JC86" i="13"/>
  <c r="JD86" i="13" s="1"/>
  <c r="JE86" i="13" s="1"/>
  <c r="JF86" i="13" s="1"/>
  <c r="JG86" i="13" s="1"/>
  <c r="JH86" i="13" s="1"/>
  <c r="JI86" i="13" s="1"/>
  <c r="JJ86" i="13" s="1"/>
  <c r="JK86" i="13" s="1"/>
  <c r="JL86" i="13" s="1"/>
  <c r="JM86" i="13" s="1"/>
  <c r="JN86" i="13" s="1"/>
  <c r="JO86" i="13" s="1"/>
  <c r="JP86" i="13" s="1"/>
  <c r="JQ86" i="13" s="1"/>
  <c r="JR86" i="13" s="1"/>
  <c r="JS86" i="13" s="1"/>
  <c r="JT86" i="13" s="1"/>
  <c r="JU86" i="13" s="1"/>
  <c r="JV86" i="13" s="1"/>
  <c r="JW86" i="13" s="1"/>
  <c r="JX86" i="13" s="1"/>
  <c r="JY86" i="13" s="1"/>
  <c r="JZ86" i="13" s="1"/>
  <c r="KA86" i="13" s="1"/>
  <c r="KB86" i="13" s="1"/>
  <c r="JB86" i="13"/>
  <c r="JA86" i="13"/>
  <c r="JA70" i="13"/>
  <c r="JB70" i="13" s="1"/>
  <c r="JC70" i="13" s="1"/>
  <c r="JD70" i="13" s="1"/>
  <c r="JE70" i="13" s="1"/>
  <c r="JF70" i="13" s="1"/>
  <c r="JG70" i="13" s="1"/>
  <c r="JH70" i="13" s="1"/>
  <c r="JI70" i="13" s="1"/>
  <c r="JJ70" i="13" s="1"/>
  <c r="JK70" i="13" s="1"/>
  <c r="JL70" i="13" s="1"/>
  <c r="JM70" i="13" s="1"/>
  <c r="JN70" i="13" s="1"/>
  <c r="JO70" i="13" s="1"/>
  <c r="JP70" i="13" s="1"/>
  <c r="JQ70" i="13" s="1"/>
  <c r="JR70" i="13" s="1"/>
  <c r="JS70" i="13" s="1"/>
  <c r="JT70" i="13" s="1"/>
  <c r="JU70" i="13" s="1"/>
  <c r="JV70" i="13" s="1"/>
  <c r="JW70" i="13" s="1"/>
  <c r="JX70" i="13" s="1"/>
  <c r="JY70" i="13" s="1"/>
  <c r="JZ70" i="13" s="1"/>
  <c r="KA70" i="13" s="1"/>
  <c r="KB70" i="13" s="1"/>
  <c r="JA62" i="13"/>
  <c r="JB62" i="13" s="1"/>
  <c r="JC62" i="13" s="1"/>
  <c r="JD62" i="13" s="1"/>
  <c r="JE62" i="13" s="1"/>
  <c r="JF62" i="13" s="1"/>
  <c r="JG62" i="13" s="1"/>
  <c r="JH62" i="13" s="1"/>
  <c r="JI62" i="13" s="1"/>
  <c r="JJ62" i="13" s="1"/>
  <c r="JK62" i="13" s="1"/>
  <c r="JL62" i="13" s="1"/>
  <c r="JM62" i="13" s="1"/>
  <c r="JN62" i="13" s="1"/>
  <c r="JO62" i="13" s="1"/>
  <c r="JP62" i="13" s="1"/>
  <c r="JQ62" i="13" s="1"/>
  <c r="JR62" i="13" s="1"/>
  <c r="JS62" i="13" s="1"/>
  <c r="JT62" i="13" s="1"/>
  <c r="JU62" i="13" s="1"/>
  <c r="JV62" i="13" s="1"/>
  <c r="JW62" i="13" s="1"/>
  <c r="JX62" i="13" s="1"/>
  <c r="JY62" i="13" s="1"/>
  <c r="JZ62" i="13" s="1"/>
  <c r="KA62" i="13" s="1"/>
  <c r="KB62" i="13" s="1"/>
  <c r="JB58" i="13"/>
  <c r="JC58" i="13" s="1"/>
  <c r="JD58" i="13" s="1"/>
  <c r="JE58" i="13" s="1"/>
  <c r="JF58" i="13" s="1"/>
  <c r="JG58" i="13" s="1"/>
  <c r="JH58" i="13" s="1"/>
  <c r="JI58" i="13" s="1"/>
  <c r="JJ58" i="13" s="1"/>
  <c r="JK58" i="13" s="1"/>
  <c r="JL58" i="13" s="1"/>
  <c r="JM58" i="13" s="1"/>
  <c r="JN58" i="13" s="1"/>
  <c r="JO58" i="13" s="1"/>
  <c r="JP58" i="13" s="1"/>
  <c r="JQ58" i="13" s="1"/>
  <c r="JR58" i="13" s="1"/>
  <c r="JS58" i="13" s="1"/>
  <c r="JT58" i="13" s="1"/>
  <c r="JU58" i="13" s="1"/>
  <c r="JV58" i="13" s="1"/>
  <c r="JW58" i="13" s="1"/>
  <c r="JX58" i="13" s="1"/>
  <c r="JY58" i="13" s="1"/>
  <c r="JZ58" i="13" s="1"/>
  <c r="KA58" i="13" s="1"/>
  <c r="KB58" i="13" s="1"/>
  <c r="JA58" i="13"/>
  <c r="JA52" i="13"/>
  <c r="JB52" i="13" s="1"/>
  <c r="JC52" i="13" s="1"/>
  <c r="JD52" i="13" s="1"/>
  <c r="JE52" i="13" s="1"/>
  <c r="JF52" i="13" s="1"/>
  <c r="JG52" i="13" s="1"/>
  <c r="JH52" i="13" s="1"/>
  <c r="JI52" i="13" s="1"/>
  <c r="JJ52" i="13" s="1"/>
  <c r="JK52" i="13" s="1"/>
  <c r="JL52" i="13" s="1"/>
  <c r="JM52" i="13" s="1"/>
  <c r="JN52" i="13" s="1"/>
  <c r="JO52" i="13" s="1"/>
  <c r="JP52" i="13" s="1"/>
  <c r="JQ52" i="13" s="1"/>
  <c r="JR52" i="13" s="1"/>
  <c r="JS52" i="13" s="1"/>
  <c r="JT52" i="13" s="1"/>
  <c r="JU52" i="13" s="1"/>
  <c r="JV52" i="13" s="1"/>
  <c r="JW52" i="13" s="1"/>
  <c r="JX52" i="13" s="1"/>
  <c r="JY52" i="13" s="1"/>
  <c r="JZ52" i="13" s="1"/>
  <c r="KA52" i="13" s="1"/>
  <c r="KB52" i="13" s="1"/>
  <c r="JA50" i="13"/>
  <c r="JB50" i="13" s="1"/>
  <c r="JC50" i="13" s="1"/>
  <c r="JD50" i="13" s="1"/>
  <c r="JE50" i="13" s="1"/>
  <c r="JF50" i="13" s="1"/>
  <c r="JG50" i="13" s="1"/>
  <c r="JH50" i="13" s="1"/>
  <c r="JI50" i="13" s="1"/>
  <c r="JJ50" i="13" s="1"/>
  <c r="JK50" i="13" s="1"/>
  <c r="JL50" i="13" s="1"/>
  <c r="JM50" i="13" s="1"/>
  <c r="JN50" i="13" s="1"/>
  <c r="JO50" i="13" s="1"/>
  <c r="JP50" i="13" s="1"/>
  <c r="JQ50" i="13" s="1"/>
  <c r="JR50" i="13" s="1"/>
  <c r="JS50" i="13" s="1"/>
  <c r="JT50" i="13" s="1"/>
  <c r="JU50" i="13" s="1"/>
  <c r="JV50" i="13" s="1"/>
  <c r="JW50" i="13" s="1"/>
  <c r="JX50" i="13" s="1"/>
  <c r="JY50" i="13" s="1"/>
  <c r="JZ50" i="13" s="1"/>
  <c r="KA50" i="13" s="1"/>
  <c r="KB50" i="13" s="1"/>
  <c r="JC48" i="13"/>
  <c r="JD48" i="13" s="1"/>
  <c r="JE48" i="13" s="1"/>
  <c r="JF48" i="13" s="1"/>
  <c r="JG48" i="13" s="1"/>
  <c r="JH48" i="13" s="1"/>
  <c r="JI48" i="13" s="1"/>
  <c r="JJ48" i="13" s="1"/>
  <c r="JK48" i="13" s="1"/>
  <c r="JL48" i="13" s="1"/>
  <c r="JM48" i="13" s="1"/>
  <c r="JN48" i="13" s="1"/>
  <c r="JO48" i="13" s="1"/>
  <c r="JP48" i="13" s="1"/>
  <c r="JQ48" i="13" s="1"/>
  <c r="JR48" i="13" s="1"/>
  <c r="JS48" i="13" s="1"/>
  <c r="JT48" i="13" s="1"/>
  <c r="JU48" i="13" s="1"/>
  <c r="JV48" i="13" s="1"/>
  <c r="JW48" i="13" s="1"/>
  <c r="JX48" i="13" s="1"/>
  <c r="JY48" i="13" s="1"/>
  <c r="JZ48" i="13" s="1"/>
  <c r="KA48" i="13" s="1"/>
  <c r="KB48" i="13" s="1"/>
  <c r="JB48" i="13"/>
  <c r="JA48" i="13"/>
  <c r="JB46" i="13"/>
  <c r="JC46" i="13" s="1"/>
  <c r="JD46" i="13" s="1"/>
  <c r="JE46" i="13" s="1"/>
  <c r="JF46" i="13" s="1"/>
  <c r="JG46" i="13" s="1"/>
  <c r="JH46" i="13" s="1"/>
  <c r="JI46" i="13" s="1"/>
  <c r="JJ46" i="13" s="1"/>
  <c r="JK46" i="13" s="1"/>
  <c r="JL46" i="13" s="1"/>
  <c r="JM46" i="13" s="1"/>
  <c r="JN46" i="13" s="1"/>
  <c r="JO46" i="13" s="1"/>
  <c r="JP46" i="13" s="1"/>
  <c r="JQ46" i="13" s="1"/>
  <c r="JR46" i="13" s="1"/>
  <c r="JS46" i="13" s="1"/>
  <c r="JT46" i="13" s="1"/>
  <c r="JU46" i="13" s="1"/>
  <c r="JV46" i="13" s="1"/>
  <c r="JW46" i="13" s="1"/>
  <c r="JX46" i="13" s="1"/>
  <c r="JY46" i="13" s="1"/>
  <c r="JZ46" i="13" s="1"/>
  <c r="KA46" i="13" s="1"/>
  <c r="KB46" i="13" s="1"/>
  <c r="JA46" i="13"/>
  <c r="JA44" i="13"/>
  <c r="JB44" i="13" s="1"/>
  <c r="JC44" i="13" s="1"/>
  <c r="JD44" i="13" s="1"/>
  <c r="JE44" i="13" s="1"/>
  <c r="JF44" i="13" s="1"/>
  <c r="JG44" i="13" s="1"/>
  <c r="JH44" i="13" s="1"/>
  <c r="JI44" i="13" s="1"/>
  <c r="JJ44" i="13" s="1"/>
  <c r="JK44" i="13" s="1"/>
  <c r="JL44" i="13" s="1"/>
  <c r="JM44" i="13" s="1"/>
  <c r="JN44" i="13" s="1"/>
  <c r="JO44" i="13" s="1"/>
  <c r="JP44" i="13" s="1"/>
  <c r="JQ44" i="13" s="1"/>
  <c r="JR44" i="13" s="1"/>
  <c r="JS44" i="13" s="1"/>
  <c r="JT44" i="13" s="1"/>
  <c r="JU44" i="13" s="1"/>
  <c r="JV44" i="13" s="1"/>
  <c r="JW44" i="13" s="1"/>
  <c r="JX44" i="13" s="1"/>
  <c r="JY44" i="13" s="1"/>
  <c r="JZ44" i="13" s="1"/>
  <c r="KA44" i="13" s="1"/>
  <c r="KB44" i="13" s="1"/>
  <c r="JB42" i="13"/>
  <c r="JC42" i="13" s="1"/>
  <c r="JD42" i="13" s="1"/>
  <c r="JE42" i="13" s="1"/>
  <c r="JF42" i="13" s="1"/>
  <c r="JG42" i="13" s="1"/>
  <c r="JH42" i="13" s="1"/>
  <c r="JI42" i="13" s="1"/>
  <c r="JJ42" i="13" s="1"/>
  <c r="JK42" i="13" s="1"/>
  <c r="JL42" i="13" s="1"/>
  <c r="JM42" i="13" s="1"/>
  <c r="JN42" i="13" s="1"/>
  <c r="JO42" i="13" s="1"/>
  <c r="JP42" i="13" s="1"/>
  <c r="JQ42" i="13" s="1"/>
  <c r="JR42" i="13" s="1"/>
  <c r="JS42" i="13" s="1"/>
  <c r="JT42" i="13" s="1"/>
  <c r="JU42" i="13" s="1"/>
  <c r="JV42" i="13" s="1"/>
  <c r="JW42" i="13" s="1"/>
  <c r="JX42" i="13" s="1"/>
  <c r="JY42" i="13" s="1"/>
  <c r="JZ42" i="13" s="1"/>
  <c r="KA42" i="13" s="1"/>
  <c r="KB42" i="13" s="1"/>
  <c r="JA42" i="13"/>
  <c r="JB40" i="13"/>
  <c r="JC40" i="13" s="1"/>
  <c r="JD40" i="13" s="1"/>
  <c r="JE40" i="13" s="1"/>
  <c r="JF40" i="13" s="1"/>
  <c r="JG40" i="13" s="1"/>
  <c r="JH40" i="13" s="1"/>
  <c r="JI40" i="13" s="1"/>
  <c r="JJ40" i="13" s="1"/>
  <c r="JK40" i="13" s="1"/>
  <c r="JL40" i="13" s="1"/>
  <c r="JM40" i="13" s="1"/>
  <c r="JN40" i="13" s="1"/>
  <c r="JO40" i="13" s="1"/>
  <c r="JP40" i="13" s="1"/>
  <c r="JQ40" i="13" s="1"/>
  <c r="JR40" i="13" s="1"/>
  <c r="JS40" i="13" s="1"/>
  <c r="JT40" i="13" s="1"/>
  <c r="JU40" i="13" s="1"/>
  <c r="JV40" i="13" s="1"/>
  <c r="JW40" i="13" s="1"/>
  <c r="JX40" i="13" s="1"/>
  <c r="JY40" i="13" s="1"/>
  <c r="JZ40" i="13" s="1"/>
  <c r="KA40" i="13" s="1"/>
  <c r="KB40" i="13" s="1"/>
  <c r="JA40" i="13"/>
  <c r="JA38" i="13"/>
  <c r="JB38" i="13" s="1"/>
  <c r="JB36" i="13"/>
  <c r="JC36" i="13" s="1"/>
  <c r="JD36" i="13" s="1"/>
  <c r="JE36" i="13" s="1"/>
  <c r="JF36" i="13" s="1"/>
  <c r="JG36" i="13" s="1"/>
  <c r="JH36" i="13" s="1"/>
  <c r="JI36" i="13" s="1"/>
  <c r="JJ36" i="13" s="1"/>
  <c r="JK36" i="13" s="1"/>
  <c r="JL36" i="13" s="1"/>
  <c r="JM36" i="13" s="1"/>
  <c r="JN36" i="13" s="1"/>
  <c r="JO36" i="13" s="1"/>
  <c r="JP36" i="13" s="1"/>
  <c r="JQ36" i="13" s="1"/>
  <c r="JR36" i="13" s="1"/>
  <c r="JS36" i="13" s="1"/>
  <c r="JT36" i="13" s="1"/>
  <c r="JU36" i="13" s="1"/>
  <c r="JV36" i="13" s="1"/>
  <c r="JW36" i="13" s="1"/>
  <c r="JX36" i="13" s="1"/>
  <c r="JY36" i="13" s="1"/>
  <c r="JZ36" i="13" s="1"/>
  <c r="KA36" i="13" s="1"/>
  <c r="KB36" i="13" s="1"/>
  <c r="JA36" i="13"/>
  <c r="JB34" i="13"/>
  <c r="JC34" i="13" s="1"/>
  <c r="JA34" i="13"/>
  <c r="IZ250" i="13"/>
  <c r="IZ242" i="13"/>
  <c r="IZ238" i="13"/>
  <c r="IZ234" i="13"/>
  <c r="IZ232" i="13"/>
  <c r="IZ230" i="13"/>
  <c r="IZ228" i="13"/>
  <c r="IZ226" i="13"/>
  <c r="IZ174" i="13"/>
  <c r="IZ92" i="13"/>
  <c r="IZ90" i="13"/>
  <c r="IZ86" i="13"/>
  <c r="IZ70" i="13"/>
  <c r="IZ62" i="13"/>
  <c r="IZ58" i="13"/>
  <c r="IZ52" i="13"/>
  <c r="IZ50" i="13"/>
  <c r="IZ48" i="13"/>
  <c r="IZ46" i="13"/>
  <c r="IZ44" i="13"/>
  <c r="IZ42" i="13"/>
  <c r="IZ40" i="13"/>
  <c r="IZ38" i="13"/>
  <c r="IZ36" i="13"/>
  <c r="IZ34" i="13"/>
  <c r="IY242" i="13"/>
  <c r="IY238" i="13"/>
  <c r="IY234" i="13"/>
  <c r="IY232" i="13"/>
  <c r="IY230" i="13"/>
  <c r="IY228" i="13"/>
  <c r="IY226" i="13"/>
  <c r="IY174" i="13"/>
  <c r="IY92" i="13"/>
  <c r="IY90" i="13"/>
  <c r="IY86" i="13"/>
  <c r="IY70" i="13"/>
  <c r="IY62" i="13"/>
  <c r="IY58" i="13"/>
  <c r="IY52" i="13"/>
  <c r="IY50" i="13"/>
  <c r="IY48" i="13"/>
  <c r="IY46" i="13"/>
  <c r="IY44" i="13"/>
  <c r="IY42" i="13"/>
  <c r="IY40" i="13"/>
  <c r="IY38" i="13"/>
  <c r="IY36" i="13"/>
  <c r="IY34" i="13"/>
  <c r="JA264" i="13"/>
  <c r="IZ23" i="13"/>
  <c r="JA23" i="13" s="1"/>
  <c r="JB23" i="13" s="1"/>
  <c r="JC23" i="13" s="1"/>
  <c r="JD23" i="13" s="1"/>
  <c r="JE23" i="13" s="1"/>
  <c r="JF23" i="13" s="1"/>
  <c r="JG23" i="13" s="1"/>
  <c r="JH23" i="13" s="1"/>
  <c r="JI23" i="13" s="1"/>
  <c r="JJ23" i="13" s="1"/>
  <c r="JK23" i="13" s="1"/>
  <c r="JL23" i="13" s="1"/>
  <c r="JM23" i="13" s="1"/>
  <c r="JN23" i="13" s="1"/>
  <c r="JO23" i="13" s="1"/>
  <c r="JP23" i="13" s="1"/>
  <c r="JQ23" i="13" s="1"/>
  <c r="JR23" i="13" s="1"/>
  <c r="JS23" i="13" s="1"/>
  <c r="JT23" i="13" s="1"/>
  <c r="JV23" i="13" s="1"/>
  <c r="JW23" i="13" s="1"/>
  <c r="JX23" i="13" s="1"/>
  <c r="JY23" i="13" s="1"/>
  <c r="JZ23" i="13" s="1"/>
  <c r="KA23" i="13" s="1"/>
  <c r="KB23" i="13" s="1"/>
  <c r="HU238" i="13"/>
  <c r="HV238" i="13" s="1"/>
  <c r="HW238" i="13" s="1"/>
  <c r="HX238" i="13" s="1"/>
  <c r="HY238" i="13" s="1"/>
  <c r="HZ238" i="13" s="1"/>
  <c r="IA238" i="13" s="1"/>
  <c r="IB238" i="13" s="1"/>
  <c r="IC238" i="13" s="1"/>
  <c r="ID238" i="13" s="1"/>
  <c r="IE238" i="13" s="1"/>
  <c r="IF238" i="13" s="1"/>
  <c r="IG238" i="13" s="1"/>
  <c r="IH238" i="13" s="1"/>
  <c r="II238" i="13" s="1"/>
  <c r="IJ238" i="13" s="1"/>
  <c r="IK238" i="13" s="1"/>
  <c r="IL238" i="13" s="1"/>
  <c r="IM238" i="13" s="1"/>
  <c r="IN238" i="13" s="1"/>
  <c r="IO238" i="13" s="1"/>
  <c r="IP238" i="13" s="1"/>
  <c r="IQ238" i="13" s="1"/>
  <c r="IR238" i="13" s="1"/>
  <c r="IS238" i="13" s="1"/>
  <c r="IT238" i="13" s="1"/>
  <c r="IU238" i="13" s="1"/>
  <c r="IV238" i="13" s="1"/>
  <c r="IW238" i="13" s="1"/>
  <c r="IX238" i="13" s="1"/>
  <c r="HU234" i="13"/>
  <c r="HV234" i="13" s="1"/>
  <c r="HW234" i="13" s="1"/>
  <c r="HX234" i="13" s="1"/>
  <c r="HY234" i="13" s="1"/>
  <c r="HZ234" i="13" s="1"/>
  <c r="IA234" i="13" s="1"/>
  <c r="IB234" i="13" s="1"/>
  <c r="IC234" i="13" s="1"/>
  <c r="ID234" i="13" s="1"/>
  <c r="IE234" i="13" s="1"/>
  <c r="IF234" i="13" s="1"/>
  <c r="IG234" i="13" s="1"/>
  <c r="IH234" i="13" s="1"/>
  <c r="II234" i="13" s="1"/>
  <c r="IJ234" i="13" s="1"/>
  <c r="IK234" i="13" s="1"/>
  <c r="IL234" i="13" s="1"/>
  <c r="IM234" i="13" s="1"/>
  <c r="IN234" i="13" s="1"/>
  <c r="IO234" i="13" s="1"/>
  <c r="IP234" i="13" s="1"/>
  <c r="IQ234" i="13" s="1"/>
  <c r="IR234" i="13" s="1"/>
  <c r="IS234" i="13" s="1"/>
  <c r="IT234" i="13" s="1"/>
  <c r="IU234" i="13" s="1"/>
  <c r="IV234" i="13" s="1"/>
  <c r="IW234" i="13" s="1"/>
  <c r="IX234" i="13" s="1"/>
  <c r="HU232" i="13"/>
  <c r="HV232" i="13" s="1"/>
  <c r="HW232" i="13" s="1"/>
  <c r="HX232" i="13" s="1"/>
  <c r="HY232" i="13" s="1"/>
  <c r="HZ232" i="13" s="1"/>
  <c r="IA232" i="13" s="1"/>
  <c r="IB232" i="13" s="1"/>
  <c r="IC232" i="13" s="1"/>
  <c r="ID232" i="13" s="1"/>
  <c r="IE232" i="13" s="1"/>
  <c r="IF232" i="13" s="1"/>
  <c r="IG232" i="13" s="1"/>
  <c r="IH232" i="13" s="1"/>
  <c r="II232" i="13" s="1"/>
  <c r="IJ232" i="13" s="1"/>
  <c r="IK232" i="13" s="1"/>
  <c r="IL232" i="13" s="1"/>
  <c r="IM232" i="13" s="1"/>
  <c r="IN232" i="13" s="1"/>
  <c r="IO232" i="13" s="1"/>
  <c r="IP232" i="13" s="1"/>
  <c r="IQ232" i="13" s="1"/>
  <c r="IR232" i="13" s="1"/>
  <c r="IS232" i="13" s="1"/>
  <c r="IT232" i="13" s="1"/>
  <c r="IU232" i="13" s="1"/>
  <c r="IV232" i="13" s="1"/>
  <c r="IW232" i="13" s="1"/>
  <c r="IX232" i="13" s="1"/>
  <c r="HU230" i="13"/>
  <c r="HV230" i="13" s="1"/>
  <c r="HW230" i="13" s="1"/>
  <c r="HX230" i="13" s="1"/>
  <c r="HY230" i="13" s="1"/>
  <c r="HZ230" i="13" s="1"/>
  <c r="IA230" i="13" s="1"/>
  <c r="IB230" i="13" s="1"/>
  <c r="IC230" i="13" s="1"/>
  <c r="ID230" i="13" s="1"/>
  <c r="IE230" i="13" s="1"/>
  <c r="IF230" i="13" s="1"/>
  <c r="IG230" i="13" s="1"/>
  <c r="IH230" i="13" s="1"/>
  <c r="II230" i="13" s="1"/>
  <c r="IJ230" i="13" s="1"/>
  <c r="IK230" i="13" s="1"/>
  <c r="IL230" i="13" s="1"/>
  <c r="IM230" i="13" s="1"/>
  <c r="IN230" i="13" s="1"/>
  <c r="IO230" i="13" s="1"/>
  <c r="IP230" i="13" s="1"/>
  <c r="IQ230" i="13" s="1"/>
  <c r="IR230" i="13" s="1"/>
  <c r="IS230" i="13" s="1"/>
  <c r="IT230" i="13" s="1"/>
  <c r="IU230" i="13" s="1"/>
  <c r="IV230" i="13" s="1"/>
  <c r="IW230" i="13" s="1"/>
  <c r="IX230" i="13" s="1"/>
  <c r="HU228" i="13"/>
  <c r="HV228" i="13" s="1"/>
  <c r="HW228" i="13" s="1"/>
  <c r="HX228" i="13" s="1"/>
  <c r="HY228" i="13" s="1"/>
  <c r="HZ228" i="13" s="1"/>
  <c r="IA228" i="13" s="1"/>
  <c r="IB228" i="13" s="1"/>
  <c r="IC228" i="13" s="1"/>
  <c r="ID228" i="13" s="1"/>
  <c r="IE228" i="13" s="1"/>
  <c r="IF228" i="13" s="1"/>
  <c r="IG228" i="13" s="1"/>
  <c r="IH228" i="13" s="1"/>
  <c r="II228" i="13" s="1"/>
  <c r="IJ228" i="13" s="1"/>
  <c r="IK228" i="13" s="1"/>
  <c r="IL228" i="13" s="1"/>
  <c r="IM228" i="13" s="1"/>
  <c r="IN228" i="13" s="1"/>
  <c r="IO228" i="13" s="1"/>
  <c r="IP228" i="13" s="1"/>
  <c r="IQ228" i="13" s="1"/>
  <c r="IR228" i="13" s="1"/>
  <c r="IS228" i="13" s="1"/>
  <c r="IT228" i="13" s="1"/>
  <c r="IU228" i="13" s="1"/>
  <c r="IV228" i="13" s="1"/>
  <c r="IW228" i="13" s="1"/>
  <c r="IX228" i="13" s="1"/>
  <c r="HU226" i="13"/>
  <c r="HV226" i="13" s="1"/>
  <c r="HW226" i="13" s="1"/>
  <c r="HX226" i="13" s="1"/>
  <c r="HY226" i="13" s="1"/>
  <c r="HZ226" i="13" s="1"/>
  <c r="IA226" i="13" s="1"/>
  <c r="IB226" i="13" s="1"/>
  <c r="IC226" i="13" s="1"/>
  <c r="ID226" i="13" s="1"/>
  <c r="IE226" i="13" s="1"/>
  <c r="IF226" i="13" s="1"/>
  <c r="IG226" i="13" s="1"/>
  <c r="IH226" i="13" s="1"/>
  <c r="II226" i="13" s="1"/>
  <c r="IJ226" i="13" s="1"/>
  <c r="IK226" i="13" s="1"/>
  <c r="IL226" i="13" s="1"/>
  <c r="IM226" i="13" s="1"/>
  <c r="IN226" i="13" s="1"/>
  <c r="IO226" i="13" s="1"/>
  <c r="IP226" i="13" s="1"/>
  <c r="IQ226" i="13" s="1"/>
  <c r="IR226" i="13" s="1"/>
  <c r="IS226" i="13" s="1"/>
  <c r="IT226" i="13" s="1"/>
  <c r="IU226" i="13" s="1"/>
  <c r="IV226" i="13" s="1"/>
  <c r="IW226" i="13" s="1"/>
  <c r="IX226" i="13" s="1"/>
  <c r="HU174" i="13"/>
  <c r="HV174" i="13" s="1"/>
  <c r="HW174" i="13" s="1"/>
  <c r="HX174" i="13" s="1"/>
  <c r="HY174" i="13" s="1"/>
  <c r="HZ174" i="13" s="1"/>
  <c r="IA174" i="13" s="1"/>
  <c r="IB174" i="13" s="1"/>
  <c r="IC174" i="13" s="1"/>
  <c r="ID174" i="13" s="1"/>
  <c r="IE174" i="13" s="1"/>
  <c r="IF174" i="13" s="1"/>
  <c r="IG174" i="13" s="1"/>
  <c r="IH174" i="13" s="1"/>
  <c r="II174" i="13" s="1"/>
  <c r="IJ174" i="13" s="1"/>
  <c r="IK174" i="13" s="1"/>
  <c r="IL174" i="13" s="1"/>
  <c r="IM174" i="13" s="1"/>
  <c r="IN174" i="13" s="1"/>
  <c r="IO174" i="13" s="1"/>
  <c r="IP174" i="13" s="1"/>
  <c r="IQ174" i="13" s="1"/>
  <c r="IR174" i="13" s="1"/>
  <c r="IS174" i="13" s="1"/>
  <c r="IT174" i="13" s="1"/>
  <c r="IU174" i="13" s="1"/>
  <c r="IV174" i="13" s="1"/>
  <c r="IW174" i="13" s="1"/>
  <c r="IX174" i="13" s="1"/>
  <c r="HU92" i="13"/>
  <c r="HV92" i="13" s="1"/>
  <c r="HW92" i="13" s="1"/>
  <c r="HX92" i="13" s="1"/>
  <c r="HY92" i="13" s="1"/>
  <c r="HZ92" i="13" s="1"/>
  <c r="IA92" i="13" s="1"/>
  <c r="IB92" i="13" s="1"/>
  <c r="IC92" i="13" s="1"/>
  <c r="ID92" i="13" s="1"/>
  <c r="IE92" i="13" s="1"/>
  <c r="IF92" i="13" s="1"/>
  <c r="IG92" i="13" s="1"/>
  <c r="IH92" i="13" s="1"/>
  <c r="II92" i="13" s="1"/>
  <c r="IJ92" i="13" s="1"/>
  <c r="IK92" i="13" s="1"/>
  <c r="IL92" i="13" s="1"/>
  <c r="IM92" i="13" s="1"/>
  <c r="IN92" i="13" s="1"/>
  <c r="IO92" i="13" s="1"/>
  <c r="IP92" i="13" s="1"/>
  <c r="IQ92" i="13" s="1"/>
  <c r="IR92" i="13" s="1"/>
  <c r="IS92" i="13" s="1"/>
  <c r="IT92" i="13" s="1"/>
  <c r="IU92" i="13" s="1"/>
  <c r="IV92" i="13" s="1"/>
  <c r="IW92" i="13" s="1"/>
  <c r="IX92" i="13" s="1"/>
  <c r="HU90" i="13"/>
  <c r="HV90" i="13" s="1"/>
  <c r="HW90" i="13" s="1"/>
  <c r="HX90" i="13" s="1"/>
  <c r="HY90" i="13" s="1"/>
  <c r="HZ90" i="13" s="1"/>
  <c r="IA90" i="13" s="1"/>
  <c r="IB90" i="13" s="1"/>
  <c r="IC90" i="13" s="1"/>
  <c r="ID90" i="13" s="1"/>
  <c r="IE90" i="13" s="1"/>
  <c r="IF90" i="13" s="1"/>
  <c r="IG90" i="13" s="1"/>
  <c r="IH90" i="13" s="1"/>
  <c r="II90" i="13" s="1"/>
  <c r="IJ90" i="13" s="1"/>
  <c r="IK90" i="13" s="1"/>
  <c r="IL90" i="13" s="1"/>
  <c r="IM90" i="13" s="1"/>
  <c r="IN90" i="13" s="1"/>
  <c r="IO90" i="13" s="1"/>
  <c r="IP90" i="13" s="1"/>
  <c r="IQ90" i="13" s="1"/>
  <c r="IR90" i="13" s="1"/>
  <c r="IS90" i="13" s="1"/>
  <c r="IT90" i="13" s="1"/>
  <c r="IU90" i="13" s="1"/>
  <c r="IV90" i="13" s="1"/>
  <c r="IW90" i="13" s="1"/>
  <c r="IX90" i="13" s="1"/>
  <c r="HU70" i="13"/>
  <c r="HV70" i="13" s="1"/>
  <c r="HW70" i="13" s="1"/>
  <c r="HX70" i="13" s="1"/>
  <c r="HY70" i="13" s="1"/>
  <c r="HZ70" i="13" s="1"/>
  <c r="IA70" i="13" s="1"/>
  <c r="IB70" i="13" s="1"/>
  <c r="IC70" i="13" s="1"/>
  <c r="ID70" i="13" s="1"/>
  <c r="IE70" i="13" s="1"/>
  <c r="IF70" i="13" s="1"/>
  <c r="IG70" i="13" s="1"/>
  <c r="IH70" i="13" s="1"/>
  <c r="II70" i="13" s="1"/>
  <c r="IJ70" i="13" s="1"/>
  <c r="IK70" i="13" s="1"/>
  <c r="IL70" i="13" s="1"/>
  <c r="IM70" i="13" s="1"/>
  <c r="IN70" i="13" s="1"/>
  <c r="IO70" i="13" s="1"/>
  <c r="IP70" i="13" s="1"/>
  <c r="IQ70" i="13" s="1"/>
  <c r="IR70" i="13" s="1"/>
  <c r="IS70" i="13" s="1"/>
  <c r="IT70" i="13" s="1"/>
  <c r="IU70" i="13" s="1"/>
  <c r="IV70" i="13" s="1"/>
  <c r="IW70" i="13" s="1"/>
  <c r="IX70" i="13" s="1"/>
  <c r="HU62" i="13"/>
  <c r="HV62" i="13" s="1"/>
  <c r="HW62" i="13" s="1"/>
  <c r="HX62" i="13" s="1"/>
  <c r="HY62" i="13" s="1"/>
  <c r="HZ62" i="13" s="1"/>
  <c r="IA62" i="13" s="1"/>
  <c r="IB62" i="13" s="1"/>
  <c r="IC62" i="13" s="1"/>
  <c r="ID62" i="13" s="1"/>
  <c r="IE62" i="13" s="1"/>
  <c r="IF62" i="13" s="1"/>
  <c r="IG62" i="13" s="1"/>
  <c r="IH62" i="13" s="1"/>
  <c r="II62" i="13" s="1"/>
  <c r="IJ62" i="13" s="1"/>
  <c r="IK62" i="13" s="1"/>
  <c r="IL62" i="13" s="1"/>
  <c r="IM62" i="13" s="1"/>
  <c r="IN62" i="13" s="1"/>
  <c r="IO62" i="13" s="1"/>
  <c r="IP62" i="13" s="1"/>
  <c r="IQ62" i="13" s="1"/>
  <c r="IR62" i="13" s="1"/>
  <c r="IS62" i="13" s="1"/>
  <c r="IT62" i="13" s="1"/>
  <c r="IU62" i="13" s="1"/>
  <c r="IV62" i="13" s="1"/>
  <c r="IW62" i="13" s="1"/>
  <c r="IX62" i="13" s="1"/>
  <c r="HU52" i="13"/>
  <c r="HV52" i="13" s="1"/>
  <c r="HW52" i="13" s="1"/>
  <c r="HX52" i="13" s="1"/>
  <c r="HY52" i="13" s="1"/>
  <c r="HZ52" i="13" s="1"/>
  <c r="IA52" i="13" s="1"/>
  <c r="IB52" i="13" s="1"/>
  <c r="IC52" i="13" s="1"/>
  <c r="ID52" i="13" s="1"/>
  <c r="IE52" i="13" s="1"/>
  <c r="IF52" i="13" s="1"/>
  <c r="IG52" i="13" s="1"/>
  <c r="IH52" i="13" s="1"/>
  <c r="II52" i="13" s="1"/>
  <c r="IJ52" i="13" s="1"/>
  <c r="IK52" i="13" s="1"/>
  <c r="IL52" i="13" s="1"/>
  <c r="IM52" i="13" s="1"/>
  <c r="IN52" i="13" s="1"/>
  <c r="IO52" i="13" s="1"/>
  <c r="IP52" i="13" s="1"/>
  <c r="IQ52" i="13" s="1"/>
  <c r="IR52" i="13" s="1"/>
  <c r="IS52" i="13" s="1"/>
  <c r="IT52" i="13" s="1"/>
  <c r="IU52" i="13" s="1"/>
  <c r="IV52" i="13" s="1"/>
  <c r="IW52" i="13" s="1"/>
  <c r="IX52" i="13" s="1"/>
  <c r="HU50" i="13"/>
  <c r="HV50" i="13" s="1"/>
  <c r="HW50" i="13" s="1"/>
  <c r="HX50" i="13" s="1"/>
  <c r="HY50" i="13" s="1"/>
  <c r="HZ50" i="13" s="1"/>
  <c r="IA50" i="13" s="1"/>
  <c r="IB50" i="13" s="1"/>
  <c r="IC50" i="13" s="1"/>
  <c r="ID50" i="13" s="1"/>
  <c r="IE50" i="13" s="1"/>
  <c r="IF50" i="13" s="1"/>
  <c r="IG50" i="13" s="1"/>
  <c r="IH50" i="13" s="1"/>
  <c r="II50" i="13" s="1"/>
  <c r="IJ50" i="13" s="1"/>
  <c r="IK50" i="13" s="1"/>
  <c r="IL50" i="13" s="1"/>
  <c r="IM50" i="13" s="1"/>
  <c r="IN50" i="13" s="1"/>
  <c r="IO50" i="13" s="1"/>
  <c r="IP50" i="13" s="1"/>
  <c r="IQ50" i="13" s="1"/>
  <c r="IR50" i="13" s="1"/>
  <c r="IS50" i="13" s="1"/>
  <c r="IT50" i="13" s="1"/>
  <c r="IU50" i="13" s="1"/>
  <c r="IV50" i="13" s="1"/>
  <c r="IW50" i="13" s="1"/>
  <c r="IX50" i="13" s="1"/>
  <c r="HU48" i="13"/>
  <c r="HV48" i="13" s="1"/>
  <c r="HW48" i="13" s="1"/>
  <c r="HX48" i="13" s="1"/>
  <c r="HY48" i="13" s="1"/>
  <c r="HZ48" i="13" s="1"/>
  <c r="IA48" i="13" s="1"/>
  <c r="IB48" i="13" s="1"/>
  <c r="IC48" i="13" s="1"/>
  <c r="ID48" i="13" s="1"/>
  <c r="IE48" i="13" s="1"/>
  <c r="IF48" i="13" s="1"/>
  <c r="IG48" i="13" s="1"/>
  <c r="IH48" i="13" s="1"/>
  <c r="II48" i="13" s="1"/>
  <c r="IJ48" i="13" s="1"/>
  <c r="IK48" i="13" s="1"/>
  <c r="IL48" i="13" s="1"/>
  <c r="IM48" i="13" s="1"/>
  <c r="IN48" i="13" s="1"/>
  <c r="IO48" i="13" s="1"/>
  <c r="IP48" i="13" s="1"/>
  <c r="IQ48" i="13" s="1"/>
  <c r="IR48" i="13" s="1"/>
  <c r="IS48" i="13" s="1"/>
  <c r="IT48" i="13" s="1"/>
  <c r="IU48" i="13" s="1"/>
  <c r="IV48" i="13" s="1"/>
  <c r="IW48" i="13" s="1"/>
  <c r="IX48" i="13" s="1"/>
  <c r="HU46" i="13"/>
  <c r="HV46" i="13" s="1"/>
  <c r="HW46" i="13" s="1"/>
  <c r="HX46" i="13" s="1"/>
  <c r="HY46" i="13" s="1"/>
  <c r="HZ46" i="13" s="1"/>
  <c r="IA46" i="13" s="1"/>
  <c r="IB46" i="13" s="1"/>
  <c r="IC46" i="13" s="1"/>
  <c r="ID46" i="13" s="1"/>
  <c r="IE46" i="13" s="1"/>
  <c r="IF46" i="13" s="1"/>
  <c r="IG46" i="13" s="1"/>
  <c r="IH46" i="13" s="1"/>
  <c r="II46" i="13" s="1"/>
  <c r="IJ46" i="13" s="1"/>
  <c r="IK46" i="13" s="1"/>
  <c r="IL46" i="13" s="1"/>
  <c r="IM46" i="13" s="1"/>
  <c r="IN46" i="13" s="1"/>
  <c r="IO46" i="13" s="1"/>
  <c r="IP46" i="13" s="1"/>
  <c r="IQ46" i="13" s="1"/>
  <c r="IR46" i="13" s="1"/>
  <c r="IS46" i="13" s="1"/>
  <c r="IT46" i="13" s="1"/>
  <c r="IU46" i="13" s="1"/>
  <c r="IV46" i="13" s="1"/>
  <c r="IW46" i="13" s="1"/>
  <c r="IX46" i="13" s="1"/>
  <c r="HU44" i="13"/>
  <c r="HV44" i="13" s="1"/>
  <c r="HW44" i="13" s="1"/>
  <c r="HX44" i="13" s="1"/>
  <c r="HY44" i="13" s="1"/>
  <c r="HZ44" i="13" s="1"/>
  <c r="IA44" i="13" s="1"/>
  <c r="IB44" i="13" s="1"/>
  <c r="IC44" i="13" s="1"/>
  <c r="ID44" i="13" s="1"/>
  <c r="IE44" i="13" s="1"/>
  <c r="IF44" i="13" s="1"/>
  <c r="IG44" i="13" s="1"/>
  <c r="IH44" i="13" s="1"/>
  <c r="II44" i="13" s="1"/>
  <c r="IJ44" i="13" s="1"/>
  <c r="IK44" i="13" s="1"/>
  <c r="IL44" i="13" s="1"/>
  <c r="IM44" i="13" s="1"/>
  <c r="IN44" i="13" s="1"/>
  <c r="IO44" i="13" s="1"/>
  <c r="IP44" i="13" s="1"/>
  <c r="IQ44" i="13" s="1"/>
  <c r="IR44" i="13" s="1"/>
  <c r="IS44" i="13" s="1"/>
  <c r="IT44" i="13" s="1"/>
  <c r="IU44" i="13" s="1"/>
  <c r="IV44" i="13" s="1"/>
  <c r="IW44" i="13" s="1"/>
  <c r="IX44" i="13" s="1"/>
  <c r="HU42" i="13"/>
  <c r="HV42" i="13" s="1"/>
  <c r="HW42" i="13" s="1"/>
  <c r="HX42" i="13" s="1"/>
  <c r="HY42" i="13" s="1"/>
  <c r="HZ42" i="13" s="1"/>
  <c r="IA42" i="13" s="1"/>
  <c r="IB42" i="13" s="1"/>
  <c r="IC42" i="13" s="1"/>
  <c r="ID42" i="13" s="1"/>
  <c r="IE42" i="13" s="1"/>
  <c r="IF42" i="13" s="1"/>
  <c r="IG42" i="13" s="1"/>
  <c r="IH42" i="13" s="1"/>
  <c r="II42" i="13" s="1"/>
  <c r="IJ42" i="13" s="1"/>
  <c r="IK42" i="13" s="1"/>
  <c r="IL42" i="13" s="1"/>
  <c r="IM42" i="13" s="1"/>
  <c r="IN42" i="13" s="1"/>
  <c r="IO42" i="13" s="1"/>
  <c r="IP42" i="13" s="1"/>
  <c r="IQ42" i="13" s="1"/>
  <c r="IR42" i="13" s="1"/>
  <c r="IS42" i="13" s="1"/>
  <c r="IT42" i="13" s="1"/>
  <c r="IU42" i="13" s="1"/>
  <c r="IV42" i="13" s="1"/>
  <c r="IW42" i="13" s="1"/>
  <c r="IX42" i="13" s="1"/>
  <c r="HU40" i="13"/>
  <c r="HV40" i="13" s="1"/>
  <c r="HW40" i="13" s="1"/>
  <c r="HX40" i="13" s="1"/>
  <c r="HY40" i="13" s="1"/>
  <c r="HZ40" i="13" s="1"/>
  <c r="IA40" i="13" s="1"/>
  <c r="IB40" i="13" s="1"/>
  <c r="IC40" i="13" s="1"/>
  <c r="ID40" i="13" s="1"/>
  <c r="IE40" i="13" s="1"/>
  <c r="IF40" i="13" s="1"/>
  <c r="IG40" i="13" s="1"/>
  <c r="IH40" i="13" s="1"/>
  <c r="II40" i="13" s="1"/>
  <c r="IJ40" i="13" s="1"/>
  <c r="IK40" i="13" s="1"/>
  <c r="IL40" i="13" s="1"/>
  <c r="IM40" i="13" s="1"/>
  <c r="IN40" i="13" s="1"/>
  <c r="IO40" i="13" s="1"/>
  <c r="IP40" i="13" s="1"/>
  <c r="IQ40" i="13" s="1"/>
  <c r="IR40" i="13" s="1"/>
  <c r="IS40" i="13" s="1"/>
  <c r="IT40" i="13" s="1"/>
  <c r="IU40" i="13" s="1"/>
  <c r="IV40" i="13" s="1"/>
  <c r="IW40" i="13" s="1"/>
  <c r="IX40" i="13" s="1"/>
  <c r="HU38" i="13"/>
  <c r="HV38" i="13" s="1"/>
  <c r="HW38" i="13" s="1"/>
  <c r="HX38" i="13" s="1"/>
  <c r="HY38" i="13" s="1"/>
  <c r="HZ38" i="13" s="1"/>
  <c r="IA38" i="13" s="1"/>
  <c r="IB38" i="13" s="1"/>
  <c r="IC38" i="13" s="1"/>
  <c r="ID38" i="13" s="1"/>
  <c r="IE38" i="13" s="1"/>
  <c r="IF38" i="13" s="1"/>
  <c r="IG38" i="13" s="1"/>
  <c r="IH38" i="13" s="1"/>
  <c r="II38" i="13" s="1"/>
  <c r="IJ38" i="13" s="1"/>
  <c r="IK38" i="13" s="1"/>
  <c r="IL38" i="13" s="1"/>
  <c r="IM38" i="13" s="1"/>
  <c r="IN38" i="13" s="1"/>
  <c r="IO38" i="13" s="1"/>
  <c r="IP38" i="13" s="1"/>
  <c r="IQ38" i="13" s="1"/>
  <c r="IR38" i="13" s="1"/>
  <c r="IS38" i="13" s="1"/>
  <c r="IT38" i="13" s="1"/>
  <c r="IU38" i="13" s="1"/>
  <c r="IV38" i="13" s="1"/>
  <c r="IW38" i="13" s="1"/>
  <c r="IX38" i="13" s="1"/>
  <c r="HU36" i="13"/>
  <c r="HV36" i="13" s="1"/>
  <c r="HW36" i="13" s="1"/>
  <c r="HX36" i="13" s="1"/>
  <c r="HY36" i="13" s="1"/>
  <c r="HZ36" i="13" s="1"/>
  <c r="IA36" i="13" s="1"/>
  <c r="IB36" i="13" s="1"/>
  <c r="IC36" i="13" s="1"/>
  <c r="ID36" i="13" s="1"/>
  <c r="IE36" i="13" s="1"/>
  <c r="IF36" i="13" s="1"/>
  <c r="IG36" i="13" s="1"/>
  <c r="IH36" i="13" s="1"/>
  <c r="II36" i="13" s="1"/>
  <c r="IJ36" i="13" s="1"/>
  <c r="IK36" i="13" s="1"/>
  <c r="IL36" i="13" s="1"/>
  <c r="IM36" i="13" s="1"/>
  <c r="IN36" i="13" s="1"/>
  <c r="IO36" i="13" s="1"/>
  <c r="IP36" i="13" s="1"/>
  <c r="IQ36" i="13" s="1"/>
  <c r="IR36" i="13" s="1"/>
  <c r="IS36" i="13" s="1"/>
  <c r="IT36" i="13" s="1"/>
  <c r="IU36" i="13" s="1"/>
  <c r="IV36" i="13" s="1"/>
  <c r="IW36" i="13" s="1"/>
  <c r="IX36" i="13" s="1"/>
  <c r="HU34" i="13"/>
  <c r="HV34" i="13" s="1"/>
  <c r="HW34" i="13" s="1"/>
  <c r="JC38" i="13" l="1"/>
  <c r="JD38" i="13" s="1"/>
  <c r="JE38" i="13" s="1"/>
  <c r="JF38" i="13" s="1"/>
  <c r="JG38" i="13" s="1"/>
  <c r="JH38" i="13" s="1"/>
  <c r="JI38" i="13" s="1"/>
  <c r="JJ38" i="13" s="1"/>
  <c r="JK38" i="13" s="1"/>
  <c r="JL38" i="13" s="1"/>
  <c r="JM38" i="13" s="1"/>
  <c r="JN38" i="13" s="1"/>
  <c r="JO38" i="13" s="1"/>
  <c r="JP38" i="13" s="1"/>
  <c r="JQ38" i="13" s="1"/>
  <c r="JR38" i="13" s="1"/>
  <c r="JS38" i="13" s="1"/>
  <c r="JT38" i="13" s="1"/>
  <c r="JU38" i="13" s="1"/>
  <c r="JV38" i="13" s="1"/>
  <c r="JW38" i="13" s="1"/>
  <c r="JX38" i="13" s="1"/>
  <c r="JY38" i="13" s="1"/>
  <c r="JZ38" i="13" s="1"/>
  <c r="KA38" i="13" s="1"/>
  <c r="KB38" i="13" s="1"/>
  <c r="JB264" i="13"/>
  <c r="JD34" i="13"/>
  <c r="JC264" i="13"/>
  <c r="IZ264" i="13"/>
  <c r="IY250" i="13"/>
  <c r="HX34" i="13"/>
  <c r="HY34" i="13" s="1"/>
  <c r="JE34" i="13" l="1"/>
  <c r="JD264" i="13"/>
  <c r="HZ34" i="13"/>
  <c r="JF34" i="13" l="1"/>
  <c r="JE264" i="13"/>
  <c r="IA34" i="13"/>
  <c r="JG34" i="13" l="1"/>
  <c r="JF264" i="13"/>
  <c r="IB34" i="13"/>
  <c r="JH34" i="13" l="1"/>
  <c r="JG264" i="13"/>
  <c r="IC34" i="13"/>
  <c r="JI34" i="13" l="1"/>
  <c r="JH264" i="13"/>
  <c r="ID34" i="13"/>
  <c r="JJ34" i="13" l="1"/>
  <c r="JI264" i="13"/>
  <c r="IE34" i="13"/>
  <c r="JK34" i="13" l="1"/>
  <c r="JJ264" i="13"/>
  <c r="IF34" i="13"/>
  <c r="JL34" i="13" l="1"/>
  <c r="JK264" i="13"/>
  <c r="IG34" i="13"/>
  <c r="JM34" i="13" l="1"/>
  <c r="JL264" i="13"/>
  <c r="IH34" i="13"/>
  <c r="JN34" i="13" l="1"/>
  <c r="JM264" i="13"/>
  <c r="II34" i="13"/>
  <c r="JO34" i="13" l="1"/>
  <c r="JN264" i="13"/>
  <c r="IJ34" i="13"/>
  <c r="JP34" i="13" l="1"/>
  <c r="JO264" i="13"/>
  <c r="IK34" i="13"/>
  <c r="JQ34" i="13" l="1"/>
  <c r="JP264" i="13"/>
  <c r="IL34" i="13"/>
  <c r="JR34" i="13" l="1"/>
  <c r="JQ264" i="13"/>
  <c r="IM34" i="13"/>
  <c r="JS34" i="13" l="1"/>
  <c r="JR264" i="13"/>
  <c r="IN34" i="13"/>
  <c r="JT34" i="13" l="1"/>
  <c r="JS264" i="13"/>
  <c r="IO34" i="13"/>
  <c r="JU34" i="13" l="1"/>
  <c r="JT264" i="13"/>
  <c r="IP34" i="13"/>
  <c r="JV34" i="13" l="1"/>
  <c r="JU264" i="13"/>
  <c r="IQ34" i="13"/>
  <c r="JW34" i="13" l="1"/>
  <c r="JV264" i="13"/>
  <c r="IR34" i="13"/>
  <c r="JX34" i="13" l="1"/>
  <c r="JW264" i="13"/>
  <c r="IS34" i="13"/>
  <c r="JY34" i="13" l="1"/>
  <c r="JX264" i="13"/>
  <c r="IT34" i="13"/>
  <c r="JZ34" i="13" l="1"/>
  <c r="JY264" i="13"/>
  <c r="IU34" i="13"/>
  <c r="KA34" i="13" l="1"/>
  <c r="JZ264" i="13"/>
  <c r="IV34" i="13"/>
  <c r="KB34" i="13" l="1"/>
  <c r="KB264" i="13" s="1"/>
  <c r="KA264" i="13"/>
  <c r="IW34" i="13"/>
  <c r="IX34" i="13" l="1"/>
  <c r="GQ238" i="13" l="1"/>
  <c r="GR238" i="13" s="1"/>
  <c r="GS238" i="13" s="1"/>
  <c r="GT238" i="13" s="1"/>
  <c r="GU238" i="13" s="1"/>
  <c r="GV238" i="13" s="1"/>
  <c r="GW238" i="13" s="1"/>
  <c r="GX238" i="13" s="1"/>
  <c r="GY238" i="13" s="1"/>
  <c r="GZ238" i="13" s="1"/>
  <c r="HA238" i="13" s="1"/>
  <c r="HB238" i="13" s="1"/>
  <c r="HC238" i="13" s="1"/>
  <c r="HD238" i="13" s="1"/>
  <c r="HE238" i="13" s="1"/>
  <c r="HF238" i="13" s="1"/>
  <c r="HG238" i="13" s="1"/>
  <c r="HH238" i="13" s="1"/>
  <c r="HI238" i="13" s="1"/>
  <c r="HJ238" i="13" s="1"/>
  <c r="HK238" i="13" s="1"/>
  <c r="HL238" i="13" s="1"/>
  <c r="HM238" i="13" s="1"/>
  <c r="HN238" i="13" s="1"/>
  <c r="HO238" i="13" s="1"/>
  <c r="HP238" i="13" s="1"/>
  <c r="HQ238" i="13" s="1"/>
  <c r="HR238" i="13" s="1"/>
  <c r="HS238" i="13" s="1"/>
  <c r="HT238" i="13" s="1"/>
  <c r="GQ236" i="13"/>
  <c r="GR236" i="13" s="1"/>
  <c r="GS236" i="13" s="1"/>
  <c r="GT236" i="13" s="1"/>
  <c r="GU236" i="13" s="1"/>
  <c r="GV236" i="13" s="1"/>
  <c r="GW236" i="13" s="1"/>
  <c r="GX236" i="13" s="1"/>
  <c r="GY236" i="13" s="1"/>
  <c r="GZ236" i="13" s="1"/>
  <c r="HA236" i="13" s="1"/>
  <c r="HB236" i="13" s="1"/>
  <c r="HC236" i="13" s="1"/>
  <c r="HD236" i="13" s="1"/>
  <c r="HE236" i="13" s="1"/>
  <c r="HF236" i="13" s="1"/>
  <c r="HG236" i="13" s="1"/>
  <c r="HH236" i="13" s="1"/>
  <c r="HI236" i="13" s="1"/>
  <c r="HJ236" i="13" s="1"/>
  <c r="HK236" i="13" s="1"/>
  <c r="HL236" i="13" s="1"/>
  <c r="HM236" i="13" s="1"/>
  <c r="HN236" i="13" s="1"/>
  <c r="HO236" i="13" s="1"/>
  <c r="HP236" i="13" s="1"/>
  <c r="HQ236" i="13" s="1"/>
  <c r="HR236" i="13" s="1"/>
  <c r="HS236" i="13" s="1"/>
  <c r="HT236" i="13" s="1"/>
  <c r="GQ234" i="13"/>
  <c r="GR234" i="13" s="1"/>
  <c r="GS234" i="13" s="1"/>
  <c r="GT234" i="13" s="1"/>
  <c r="GU234" i="13" s="1"/>
  <c r="GV234" i="13" s="1"/>
  <c r="GW234" i="13" s="1"/>
  <c r="GX234" i="13" s="1"/>
  <c r="GY234" i="13" s="1"/>
  <c r="GZ234" i="13" s="1"/>
  <c r="HA234" i="13" s="1"/>
  <c r="HB234" i="13" s="1"/>
  <c r="HC234" i="13" s="1"/>
  <c r="HD234" i="13" s="1"/>
  <c r="HE234" i="13" s="1"/>
  <c r="HF234" i="13" s="1"/>
  <c r="HG234" i="13" s="1"/>
  <c r="HH234" i="13" s="1"/>
  <c r="HI234" i="13" s="1"/>
  <c r="HJ234" i="13" s="1"/>
  <c r="HK234" i="13" s="1"/>
  <c r="HL234" i="13" s="1"/>
  <c r="HM234" i="13" s="1"/>
  <c r="HN234" i="13" s="1"/>
  <c r="HO234" i="13" s="1"/>
  <c r="HP234" i="13" s="1"/>
  <c r="HQ234" i="13" s="1"/>
  <c r="HR234" i="13" s="1"/>
  <c r="HS234" i="13" s="1"/>
  <c r="HT234" i="13" s="1"/>
  <c r="GQ232" i="13"/>
  <c r="GR232" i="13" s="1"/>
  <c r="GS232" i="13" s="1"/>
  <c r="GT232" i="13" s="1"/>
  <c r="GU232" i="13" s="1"/>
  <c r="GV232" i="13" s="1"/>
  <c r="GW232" i="13" s="1"/>
  <c r="GX232" i="13" s="1"/>
  <c r="GY232" i="13" s="1"/>
  <c r="GZ232" i="13" s="1"/>
  <c r="HA232" i="13" s="1"/>
  <c r="HB232" i="13" s="1"/>
  <c r="HC232" i="13" s="1"/>
  <c r="HD232" i="13" s="1"/>
  <c r="HE232" i="13" s="1"/>
  <c r="HF232" i="13" s="1"/>
  <c r="HG232" i="13" s="1"/>
  <c r="HH232" i="13" s="1"/>
  <c r="HI232" i="13" s="1"/>
  <c r="HJ232" i="13" s="1"/>
  <c r="HK232" i="13" s="1"/>
  <c r="HL232" i="13" s="1"/>
  <c r="HM232" i="13" s="1"/>
  <c r="HN232" i="13" s="1"/>
  <c r="HO232" i="13" s="1"/>
  <c r="HP232" i="13" s="1"/>
  <c r="HQ232" i="13" s="1"/>
  <c r="HR232" i="13" s="1"/>
  <c r="HS232" i="13" s="1"/>
  <c r="HT232" i="13" s="1"/>
  <c r="GQ230" i="13"/>
  <c r="GR230" i="13" s="1"/>
  <c r="GS230" i="13" s="1"/>
  <c r="GT230" i="13" s="1"/>
  <c r="GU230" i="13" s="1"/>
  <c r="GV230" i="13" s="1"/>
  <c r="GW230" i="13" s="1"/>
  <c r="GX230" i="13" s="1"/>
  <c r="GY230" i="13" s="1"/>
  <c r="GZ230" i="13" s="1"/>
  <c r="HA230" i="13" s="1"/>
  <c r="HB230" i="13" s="1"/>
  <c r="HC230" i="13" s="1"/>
  <c r="HD230" i="13" s="1"/>
  <c r="HE230" i="13" s="1"/>
  <c r="HF230" i="13" s="1"/>
  <c r="HG230" i="13" s="1"/>
  <c r="HH230" i="13" s="1"/>
  <c r="HI230" i="13" s="1"/>
  <c r="HJ230" i="13" s="1"/>
  <c r="HK230" i="13" s="1"/>
  <c r="HL230" i="13" s="1"/>
  <c r="HM230" i="13" s="1"/>
  <c r="HN230" i="13" s="1"/>
  <c r="HO230" i="13" s="1"/>
  <c r="HP230" i="13" s="1"/>
  <c r="HQ230" i="13" s="1"/>
  <c r="HR230" i="13" s="1"/>
  <c r="HS230" i="13" s="1"/>
  <c r="HT230" i="13" s="1"/>
  <c r="GQ228" i="13"/>
  <c r="GR228" i="13" s="1"/>
  <c r="GS228" i="13" s="1"/>
  <c r="GT228" i="13" s="1"/>
  <c r="GU228" i="13" s="1"/>
  <c r="GV228" i="13" s="1"/>
  <c r="GW228" i="13" s="1"/>
  <c r="GX228" i="13" s="1"/>
  <c r="GY228" i="13" s="1"/>
  <c r="GZ228" i="13" s="1"/>
  <c r="HA228" i="13" s="1"/>
  <c r="HB228" i="13" s="1"/>
  <c r="HC228" i="13" s="1"/>
  <c r="HD228" i="13" s="1"/>
  <c r="HE228" i="13" s="1"/>
  <c r="HF228" i="13" s="1"/>
  <c r="HG228" i="13" s="1"/>
  <c r="HH228" i="13" s="1"/>
  <c r="HI228" i="13" s="1"/>
  <c r="HJ228" i="13" s="1"/>
  <c r="HK228" i="13" s="1"/>
  <c r="HL228" i="13" s="1"/>
  <c r="HM228" i="13" s="1"/>
  <c r="HN228" i="13" s="1"/>
  <c r="HO228" i="13" s="1"/>
  <c r="HP228" i="13" s="1"/>
  <c r="HQ228" i="13" s="1"/>
  <c r="HR228" i="13" s="1"/>
  <c r="HS228" i="13" s="1"/>
  <c r="HT228" i="13" s="1"/>
  <c r="GQ226" i="13"/>
  <c r="GR226" i="13" s="1"/>
  <c r="GS226" i="13" s="1"/>
  <c r="GT226" i="13" s="1"/>
  <c r="GU226" i="13" s="1"/>
  <c r="GV226" i="13" s="1"/>
  <c r="GW226" i="13" s="1"/>
  <c r="GX226" i="13" s="1"/>
  <c r="GY226" i="13" s="1"/>
  <c r="GZ226" i="13" s="1"/>
  <c r="HA226" i="13" s="1"/>
  <c r="HB226" i="13" s="1"/>
  <c r="HC226" i="13" s="1"/>
  <c r="HD226" i="13" s="1"/>
  <c r="HE226" i="13" s="1"/>
  <c r="HF226" i="13" s="1"/>
  <c r="HG226" i="13" s="1"/>
  <c r="HH226" i="13" s="1"/>
  <c r="HI226" i="13" s="1"/>
  <c r="HJ226" i="13" s="1"/>
  <c r="HK226" i="13" s="1"/>
  <c r="HL226" i="13" s="1"/>
  <c r="HM226" i="13" s="1"/>
  <c r="HN226" i="13" s="1"/>
  <c r="HO226" i="13" s="1"/>
  <c r="HP226" i="13" s="1"/>
  <c r="HQ226" i="13" s="1"/>
  <c r="HR226" i="13" s="1"/>
  <c r="HS226" i="13" s="1"/>
  <c r="HT226" i="13" s="1"/>
  <c r="GQ174" i="13"/>
  <c r="GR174" i="13" s="1"/>
  <c r="GS174" i="13" s="1"/>
  <c r="GT174" i="13" s="1"/>
  <c r="GU174" i="13" s="1"/>
  <c r="GV174" i="13" s="1"/>
  <c r="GW174" i="13" s="1"/>
  <c r="GX174" i="13" s="1"/>
  <c r="GY174" i="13" s="1"/>
  <c r="GZ174" i="13" s="1"/>
  <c r="HA174" i="13" s="1"/>
  <c r="HB174" i="13" s="1"/>
  <c r="HC174" i="13" s="1"/>
  <c r="HD174" i="13" s="1"/>
  <c r="HE174" i="13" s="1"/>
  <c r="HF174" i="13" s="1"/>
  <c r="HG174" i="13" s="1"/>
  <c r="HH174" i="13" s="1"/>
  <c r="HI174" i="13" s="1"/>
  <c r="HJ174" i="13" s="1"/>
  <c r="HK174" i="13" s="1"/>
  <c r="HL174" i="13" s="1"/>
  <c r="HM174" i="13" s="1"/>
  <c r="HN174" i="13" s="1"/>
  <c r="HO174" i="13" s="1"/>
  <c r="HP174" i="13" s="1"/>
  <c r="HQ174" i="13" s="1"/>
  <c r="HR174" i="13" s="1"/>
  <c r="HS174" i="13" s="1"/>
  <c r="HT174" i="13" s="1"/>
  <c r="GQ92" i="13"/>
  <c r="GR92" i="13" s="1"/>
  <c r="GS92" i="13" s="1"/>
  <c r="GT92" i="13" s="1"/>
  <c r="GU92" i="13" s="1"/>
  <c r="GV92" i="13" s="1"/>
  <c r="GW92" i="13" s="1"/>
  <c r="GX92" i="13" s="1"/>
  <c r="GY92" i="13" s="1"/>
  <c r="GZ92" i="13" s="1"/>
  <c r="HA92" i="13" s="1"/>
  <c r="HB92" i="13" s="1"/>
  <c r="HC92" i="13" s="1"/>
  <c r="HD92" i="13" s="1"/>
  <c r="HE92" i="13" s="1"/>
  <c r="HF92" i="13" s="1"/>
  <c r="HG92" i="13" s="1"/>
  <c r="HH92" i="13" s="1"/>
  <c r="HI92" i="13" s="1"/>
  <c r="HJ92" i="13" s="1"/>
  <c r="HK92" i="13" s="1"/>
  <c r="HL92" i="13" s="1"/>
  <c r="HM92" i="13" s="1"/>
  <c r="HN92" i="13" s="1"/>
  <c r="HO92" i="13" s="1"/>
  <c r="HP92" i="13" s="1"/>
  <c r="HQ92" i="13" s="1"/>
  <c r="HR92" i="13" s="1"/>
  <c r="HS92" i="13" s="1"/>
  <c r="HT92" i="13" s="1"/>
  <c r="GQ90" i="13"/>
  <c r="GR90" i="13" s="1"/>
  <c r="GS90" i="13" s="1"/>
  <c r="GT90" i="13" s="1"/>
  <c r="GU90" i="13" s="1"/>
  <c r="GV90" i="13" s="1"/>
  <c r="GW90" i="13" s="1"/>
  <c r="GX90" i="13" s="1"/>
  <c r="GY90" i="13" s="1"/>
  <c r="GZ90" i="13" s="1"/>
  <c r="HA90" i="13" s="1"/>
  <c r="HB90" i="13" s="1"/>
  <c r="HC90" i="13" s="1"/>
  <c r="HD90" i="13" s="1"/>
  <c r="HE90" i="13" s="1"/>
  <c r="HF90" i="13" s="1"/>
  <c r="HG90" i="13" s="1"/>
  <c r="HH90" i="13" s="1"/>
  <c r="HI90" i="13" s="1"/>
  <c r="HJ90" i="13" s="1"/>
  <c r="HK90" i="13" s="1"/>
  <c r="HL90" i="13" s="1"/>
  <c r="HM90" i="13" s="1"/>
  <c r="HN90" i="13" s="1"/>
  <c r="HO90" i="13" s="1"/>
  <c r="HP90" i="13" s="1"/>
  <c r="HQ90" i="13" s="1"/>
  <c r="HR90" i="13" s="1"/>
  <c r="HS90" i="13" s="1"/>
  <c r="HT90" i="13" s="1"/>
  <c r="GQ70" i="13"/>
  <c r="GR70" i="13" s="1"/>
  <c r="GS70" i="13" s="1"/>
  <c r="GT70" i="13" s="1"/>
  <c r="GU70" i="13" s="1"/>
  <c r="GV70" i="13" s="1"/>
  <c r="GW70" i="13" s="1"/>
  <c r="GX70" i="13" s="1"/>
  <c r="GY70" i="13" s="1"/>
  <c r="GZ70" i="13" s="1"/>
  <c r="HA70" i="13" s="1"/>
  <c r="HB70" i="13" s="1"/>
  <c r="HC70" i="13" s="1"/>
  <c r="HD70" i="13" s="1"/>
  <c r="HE70" i="13" s="1"/>
  <c r="HF70" i="13" s="1"/>
  <c r="HG70" i="13" s="1"/>
  <c r="HH70" i="13" s="1"/>
  <c r="HI70" i="13" s="1"/>
  <c r="HJ70" i="13" s="1"/>
  <c r="HK70" i="13" s="1"/>
  <c r="HL70" i="13" s="1"/>
  <c r="HM70" i="13" s="1"/>
  <c r="HN70" i="13" s="1"/>
  <c r="HO70" i="13" s="1"/>
  <c r="HP70" i="13" s="1"/>
  <c r="HQ70" i="13" s="1"/>
  <c r="HR70" i="13" s="1"/>
  <c r="HS70" i="13" s="1"/>
  <c r="HT70" i="13" s="1"/>
  <c r="GQ62" i="13"/>
  <c r="GR62" i="13" s="1"/>
  <c r="GS62" i="13" s="1"/>
  <c r="GT62" i="13" s="1"/>
  <c r="GU62" i="13" s="1"/>
  <c r="GV62" i="13" s="1"/>
  <c r="GW62" i="13" s="1"/>
  <c r="GX62" i="13" s="1"/>
  <c r="GY62" i="13" s="1"/>
  <c r="GZ62" i="13" s="1"/>
  <c r="HA62" i="13" s="1"/>
  <c r="HB62" i="13" s="1"/>
  <c r="HC62" i="13" s="1"/>
  <c r="HD62" i="13" s="1"/>
  <c r="HE62" i="13" s="1"/>
  <c r="HF62" i="13" s="1"/>
  <c r="HG62" i="13" s="1"/>
  <c r="HH62" i="13" s="1"/>
  <c r="HI62" i="13" s="1"/>
  <c r="HJ62" i="13" s="1"/>
  <c r="HK62" i="13" s="1"/>
  <c r="HL62" i="13" s="1"/>
  <c r="HM62" i="13" s="1"/>
  <c r="HN62" i="13" s="1"/>
  <c r="HO62" i="13" s="1"/>
  <c r="HP62" i="13" s="1"/>
  <c r="HQ62" i="13" s="1"/>
  <c r="HR62" i="13" s="1"/>
  <c r="HS62" i="13" s="1"/>
  <c r="HT62" i="13" s="1"/>
  <c r="GQ60" i="13"/>
  <c r="GR60" i="13" s="1"/>
  <c r="GS60" i="13" s="1"/>
  <c r="GT60" i="13" s="1"/>
  <c r="GU60" i="13" s="1"/>
  <c r="GV60" i="13" s="1"/>
  <c r="GW60" i="13" s="1"/>
  <c r="GX60" i="13" s="1"/>
  <c r="GY60" i="13" s="1"/>
  <c r="GZ60" i="13" s="1"/>
  <c r="HA60" i="13" s="1"/>
  <c r="HB60" i="13" s="1"/>
  <c r="HC60" i="13" s="1"/>
  <c r="HD60" i="13" s="1"/>
  <c r="HE60" i="13" s="1"/>
  <c r="HF60" i="13" s="1"/>
  <c r="HG60" i="13" s="1"/>
  <c r="HH60" i="13" s="1"/>
  <c r="HI60" i="13" s="1"/>
  <c r="HJ60" i="13" s="1"/>
  <c r="HK60" i="13" s="1"/>
  <c r="HL60" i="13" s="1"/>
  <c r="HM60" i="13" s="1"/>
  <c r="HN60" i="13" s="1"/>
  <c r="HO60" i="13" s="1"/>
  <c r="HP60" i="13" s="1"/>
  <c r="HQ60" i="13" s="1"/>
  <c r="HR60" i="13" s="1"/>
  <c r="HS60" i="13" s="1"/>
  <c r="HT60" i="13" s="1"/>
  <c r="GQ50" i="13"/>
  <c r="GR50" i="13" s="1"/>
  <c r="GS50" i="13" s="1"/>
  <c r="GT50" i="13" s="1"/>
  <c r="GU50" i="13" s="1"/>
  <c r="GV50" i="13" s="1"/>
  <c r="GW50" i="13" s="1"/>
  <c r="GX50" i="13" s="1"/>
  <c r="GY50" i="13" s="1"/>
  <c r="GZ50" i="13" s="1"/>
  <c r="HA50" i="13" s="1"/>
  <c r="HB50" i="13" s="1"/>
  <c r="HC50" i="13" s="1"/>
  <c r="HD50" i="13" s="1"/>
  <c r="HE50" i="13" s="1"/>
  <c r="HF50" i="13" s="1"/>
  <c r="HG50" i="13" s="1"/>
  <c r="HH50" i="13" s="1"/>
  <c r="HI50" i="13" s="1"/>
  <c r="HJ50" i="13" s="1"/>
  <c r="HK50" i="13" s="1"/>
  <c r="HL50" i="13" s="1"/>
  <c r="HM50" i="13" s="1"/>
  <c r="HN50" i="13" s="1"/>
  <c r="HO50" i="13" s="1"/>
  <c r="HP50" i="13" s="1"/>
  <c r="HQ50" i="13" s="1"/>
  <c r="HR50" i="13" s="1"/>
  <c r="HS50" i="13" s="1"/>
  <c r="HT50" i="13" s="1"/>
  <c r="GQ48" i="13"/>
  <c r="GR48" i="13" s="1"/>
  <c r="GS48" i="13" s="1"/>
  <c r="GT48" i="13" s="1"/>
  <c r="GU48" i="13" s="1"/>
  <c r="GV48" i="13" s="1"/>
  <c r="GW48" i="13" s="1"/>
  <c r="GX48" i="13" s="1"/>
  <c r="GY48" i="13" s="1"/>
  <c r="GZ48" i="13" s="1"/>
  <c r="HA48" i="13" s="1"/>
  <c r="HB48" i="13" s="1"/>
  <c r="HC48" i="13" s="1"/>
  <c r="HD48" i="13" s="1"/>
  <c r="HE48" i="13" s="1"/>
  <c r="HF48" i="13" s="1"/>
  <c r="HG48" i="13" s="1"/>
  <c r="HH48" i="13" s="1"/>
  <c r="HI48" i="13" s="1"/>
  <c r="HJ48" i="13" s="1"/>
  <c r="HK48" i="13" s="1"/>
  <c r="HL48" i="13" s="1"/>
  <c r="HM48" i="13" s="1"/>
  <c r="HN48" i="13" s="1"/>
  <c r="HO48" i="13" s="1"/>
  <c r="HP48" i="13" s="1"/>
  <c r="HQ48" i="13" s="1"/>
  <c r="HR48" i="13" s="1"/>
  <c r="HS48" i="13" s="1"/>
  <c r="HT48" i="13" s="1"/>
  <c r="GQ46" i="13"/>
  <c r="GR46" i="13" s="1"/>
  <c r="GS46" i="13" s="1"/>
  <c r="GT46" i="13" s="1"/>
  <c r="GU46" i="13" s="1"/>
  <c r="GV46" i="13" s="1"/>
  <c r="GW46" i="13" s="1"/>
  <c r="GX46" i="13" s="1"/>
  <c r="GY46" i="13" s="1"/>
  <c r="GZ46" i="13" s="1"/>
  <c r="HA46" i="13" s="1"/>
  <c r="HB46" i="13" s="1"/>
  <c r="HC46" i="13" s="1"/>
  <c r="HD46" i="13" s="1"/>
  <c r="HE46" i="13" s="1"/>
  <c r="HF46" i="13" s="1"/>
  <c r="HG46" i="13" s="1"/>
  <c r="HH46" i="13" s="1"/>
  <c r="HI46" i="13" s="1"/>
  <c r="HJ46" i="13" s="1"/>
  <c r="HK46" i="13" s="1"/>
  <c r="HL46" i="13" s="1"/>
  <c r="HM46" i="13" s="1"/>
  <c r="HN46" i="13" s="1"/>
  <c r="HO46" i="13" s="1"/>
  <c r="HP46" i="13" s="1"/>
  <c r="HQ46" i="13" s="1"/>
  <c r="HR46" i="13" s="1"/>
  <c r="HS46" i="13" s="1"/>
  <c r="HT46" i="13" s="1"/>
  <c r="GQ44" i="13"/>
  <c r="GR44" i="13" s="1"/>
  <c r="GS44" i="13" s="1"/>
  <c r="GT44" i="13" s="1"/>
  <c r="GU44" i="13" s="1"/>
  <c r="GV44" i="13" s="1"/>
  <c r="GW44" i="13" s="1"/>
  <c r="GX44" i="13" s="1"/>
  <c r="GY44" i="13" s="1"/>
  <c r="GZ44" i="13" s="1"/>
  <c r="HA44" i="13" s="1"/>
  <c r="HB44" i="13" s="1"/>
  <c r="HC44" i="13" s="1"/>
  <c r="HD44" i="13" s="1"/>
  <c r="HE44" i="13" s="1"/>
  <c r="HF44" i="13" s="1"/>
  <c r="HG44" i="13" s="1"/>
  <c r="HH44" i="13" s="1"/>
  <c r="HI44" i="13" s="1"/>
  <c r="HJ44" i="13" s="1"/>
  <c r="HK44" i="13" s="1"/>
  <c r="HL44" i="13" s="1"/>
  <c r="HM44" i="13" s="1"/>
  <c r="HN44" i="13" s="1"/>
  <c r="HO44" i="13" s="1"/>
  <c r="HP44" i="13" s="1"/>
  <c r="HQ44" i="13" s="1"/>
  <c r="HR44" i="13" s="1"/>
  <c r="HS44" i="13" s="1"/>
  <c r="HT44" i="13" s="1"/>
  <c r="GQ42" i="13"/>
  <c r="GR42" i="13" s="1"/>
  <c r="GS42" i="13" s="1"/>
  <c r="GT42" i="13" s="1"/>
  <c r="GU42" i="13" s="1"/>
  <c r="GV42" i="13" s="1"/>
  <c r="GW42" i="13" s="1"/>
  <c r="GX42" i="13" s="1"/>
  <c r="GY42" i="13" s="1"/>
  <c r="GZ42" i="13" s="1"/>
  <c r="HA42" i="13" s="1"/>
  <c r="HB42" i="13" s="1"/>
  <c r="HC42" i="13" s="1"/>
  <c r="HD42" i="13" s="1"/>
  <c r="HE42" i="13" s="1"/>
  <c r="HF42" i="13" s="1"/>
  <c r="HG42" i="13" s="1"/>
  <c r="HH42" i="13" s="1"/>
  <c r="HI42" i="13" s="1"/>
  <c r="HJ42" i="13" s="1"/>
  <c r="HK42" i="13" s="1"/>
  <c r="HL42" i="13" s="1"/>
  <c r="HM42" i="13" s="1"/>
  <c r="HN42" i="13" s="1"/>
  <c r="HO42" i="13" s="1"/>
  <c r="HP42" i="13" s="1"/>
  <c r="HQ42" i="13" s="1"/>
  <c r="HR42" i="13" s="1"/>
  <c r="HS42" i="13" s="1"/>
  <c r="HT42" i="13" s="1"/>
  <c r="GQ40" i="13"/>
  <c r="GR40" i="13" s="1"/>
  <c r="GS40" i="13" s="1"/>
  <c r="GT40" i="13" s="1"/>
  <c r="GU40" i="13" s="1"/>
  <c r="GV40" i="13" s="1"/>
  <c r="GW40" i="13" s="1"/>
  <c r="GX40" i="13" s="1"/>
  <c r="GY40" i="13" s="1"/>
  <c r="GZ40" i="13" s="1"/>
  <c r="HA40" i="13" s="1"/>
  <c r="HB40" i="13" s="1"/>
  <c r="HC40" i="13" s="1"/>
  <c r="HD40" i="13" s="1"/>
  <c r="HE40" i="13" s="1"/>
  <c r="HF40" i="13" s="1"/>
  <c r="HG40" i="13" s="1"/>
  <c r="HH40" i="13" s="1"/>
  <c r="HI40" i="13" s="1"/>
  <c r="HJ40" i="13" s="1"/>
  <c r="HK40" i="13" s="1"/>
  <c r="HL40" i="13" s="1"/>
  <c r="HM40" i="13" s="1"/>
  <c r="HN40" i="13" s="1"/>
  <c r="HO40" i="13" s="1"/>
  <c r="HP40" i="13" s="1"/>
  <c r="HQ40" i="13" s="1"/>
  <c r="HR40" i="13" s="1"/>
  <c r="HS40" i="13" s="1"/>
  <c r="HT40" i="13" s="1"/>
  <c r="GQ38" i="13"/>
  <c r="GR38" i="13" s="1"/>
  <c r="GS38" i="13" s="1"/>
  <c r="GT38" i="13" s="1"/>
  <c r="GU38" i="13" s="1"/>
  <c r="GV38" i="13" s="1"/>
  <c r="GW38" i="13" s="1"/>
  <c r="GX38" i="13" s="1"/>
  <c r="GY38" i="13" s="1"/>
  <c r="GZ38" i="13" s="1"/>
  <c r="HA38" i="13" s="1"/>
  <c r="HB38" i="13" s="1"/>
  <c r="HC38" i="13" s="1"/>
  <c r="HD38" i="13" s="1"/>
  <c r="HE38" i="13" s="1"/>
  <c r="HF38" i="13" s="1"/>
  <c r="HG38" i="13" s="1"/>
  <c r="HH38" i="13" s="1"/>
  <c r="HI38" i="13" s="1"/>
  <c r="HJ38" i="13" s="1"/>
  <c r="HK38" i="13" s="1"/>
  <c r="HL38" i="13" s="1"/>
  <c r="HM38" i="13" s="1"/>
  <c r="HN38" i="13" s="1"/>
  <c r="HO38" i="13" s="1"/>
  <c r="HP38" i="13" s="1"/>
  <c r="HQ38" i="13" s="1"/>
  <c r="HR38" i="13" s="1"/>
  <c r="HS38" i="13" s="1"/>
  <c r="HT38" i="13" s="1"/>
  <c r="GQ36" i="13"/>
  <c r="GR36" i="13" s="1"/>
  <c r="GS36" i="13" s="1"/>
  <c r="GT36" i="13" s="1"/>
  <c r="GQ34" i="13"/>
  <c r="GR34" i="13" s="1"/>
  <c r="GS34" i="13" s="1"/>
  <c r="FM242" i="13"/>
  <c r="FN242" i="13" s="1"/>
  <c r="FO242" i="13" s="1"/>
  <c r="FP242" i="13" s="1"/>
  <c r="FQ242" i="13" s="1"/>
  <c r="FR242" i="13" s="1"/>
  <c r="FS242" i="13" s="1"/>
  <c r="FT242" i="13" s="1"/>
  <c r="FU242" i="13" s="1"/>
  <c r="FV242" i="13" s="1"/>
  <c r="FW242" i="13" s="1"/>
  <c r="FX242" i="13" s="1"/>
  <c r="FY242" i="13" s="1"/>
  <c r="FZ242" i="13" s="1"/>
  <c r="GA242" i="13" s="1"/>
  <c r="GB242" i="13" s="1"/>
  <c r="GC242" i="13" s="1"/>
  <c r="GD242" i="13" s="1"/>
  <c r="GE242" i="13" s="1"/>
  <c r="GF242" i="13" s="1"/>
  <c r="GG242" i="13" s="1"/>
  <c r="GH242" i="13" s="1"/>
  <c r="GI242" i="13" s="1"/>
  <c r="GJ242" i="13" s="1"/>
  <c r="GK242" i="13" s="1"/>
  <c r="GL242" i="13" s="1"/>
  <c r="GM242" i="13" s="1"/>
  <c r="GN242" i="13" s="1"/>
  <c r="GO242" i="13" s="1"/>
  <c r="GP242" i="13" s="1"/>
  <c r="FM238" i="13"/>
  <c r="FN238" i="13" s="1"/>
  <c r="FO238" i="13" s="1"/>
  <c r="FP238" i="13" s="1"/>
  <c r="FQ238" i="13" s="1"/>
  <c r="FR238" i="13" s="1"/>
  <c r="FS238" i="13" s="1"/>
  <c r="FT238" i="13" s="1"/>
  <c r="FU238" i="13" s="1"/>
  <c r="FV238" i="13" s="1"/>
  <c r="FW238" i="13" s="1"/>
  <c r="FX238" i="13" s="1"/>
  <c r="FY238" i="13" s="1"/>
  <c r="FZ238" i="13" s="1"/>
  <c r="GA238" i="13" s="1"/>
  <c r="GB238" i="13" s="1"/>
  <c r="GC238" i="13" s="1"/>
  <c r="GD238" i="13" s="1"/>
  <c r="GE238" i="13" s="1"/>
  <c r="GF238" i="13" s="1"/>
  <c r="GG238" i="13" s="1"/>
  <c r="GH238" i="13" s="1"/>
  <c r="GI238" i="13" s="1"/>
  <c r="GJ238" i="13" s="1"/>
  <c r="GK238" i="13" s="1"/>
  <c r="GL238" i="13" s="1"/>
  <c r="GM238" i="13" s="1"/>
  <c r="GN238" i="13" s="1"/>
  <c r="GO238" i="13" s="1"/>
  <c r="GP238" i="13" s="1"/>
  <c r="FM234" i="13"/>
  <c r="FN234" i="13" s="1"/>
  <c r="FO234" i="13" s="1"/>
  <c r="FP234" i="13" s="1"/>
  <c r="FQ234" i="13" s="1"/>
  <c r="FR234" i="13" s="1"/>
  <c r="FS234" i="13" s="1"/>
  <c r="FT234" i="13" s="1"/>
  <c r="FU234" i="13" s="1"/>
  <c r="FV234" i="13" s="1"/>
  <c r="FW234" i="13" s="1"/>
  <c r="FX234" i="13" s="1"/>
  <c r="FY234" i="13" s="1"/>
  <c r="FZ234" i="13" s="1"/>
  <c r="GA234" i="13" s="1"/>
  <c r="GB234" i="13" s="1"/>
  <c r="GC234" i="13" s="1"/>
  <c r="GD234" i="13" s="1"/>
  <c r="GE234" i="13" s="1"/>
  <c r="GF234" i="13" s="1"/>
  <c r="GG234" i="13" s="1"/>
  <c r="GH234" i="13" s="1"/>
  <c r="GI234" i="13" s="1"/>
  <c r="GJ234" i="13" s="1"/>
  <c r="GK234" i="13" s="1"/>
  <c r="GL234" i="13" s="1"/>
  <c r="GM234" i="13" s="1"/>
  <c r="GN234" i="13" s="1"/>
  <c r="GO234" i="13" s="1"/>
  <c r="GP234" i="13" s="1"/>
  <c r="FM232" i="13"/>
  <c r="FN232" i="13" s="1"/>
  <c r="FO232" i="13" s="1"/>
  <c r="FP232" i="13" s="1"/>
  <c r="FQ232" i="13" s="1"/>
  <c r="FR232" i="13" s="1"/>
  <c r="FS232" i="13" s="1"/>
  <c r="FT232" i="13" s="1"/>
  <c r="FU232" i="13" s="1"/>
  <c r="FV232" i="13" s="1"/>
  <c r="FW232" i="13" s="1"/>
  <c r="FX232" i="13" s="1"/>
  <c r="FY232" i="13" s="1"/>
  <c r="FZ232" i="13" s="1"/>
  <c r="GA232" i="13" s="1"/>
  <c r="GB232" i="13" s="1"/>
  <c r="GC232" i="13" s="1"/>
  <c r="GD232" i="13" s="1"/>
  <c r="GE232" i="13" s="1"/>
  <c r="GF232" i="13" s="1"/>
  <c r="GG232" i="13" s="1"/>
  <c r="GH232" i="13" s="1"/>
  <c r="GI232" i="13" s="1"/>
  <c r="GJ232" i="13" s="1"/>
  <c r="GK232" i="13" s="1"/>
  <c r="GL232" i="13" s="1"/>
  <c r="GM232" i="13" s="1"/>
  <c r="GN232" i="13" s="1"/>
  <c r="GO232" i="13" s="1"/>
  <c r="GP232" i="13" s="1"/>
  <c r="FM230" i="13"/>
  <c r="FN230" i="13" s="1"/>
  <c r="FO230" i="13" s="1"/>
  <c r="FP230" i="13" s="1"/>
  <c r="FQ230" i="13" s="1"/>
  <c r="FR230" i="13" s="1"/>
  <c r="FS230" i="13" s="1"/>
  <c r="FT230" i="13" s="1"/>
  <c r="FU230" i="13" s="1"/>
  <c r="FV230" i="13" s="1"/>
  <c r="FW230" i="13" s="1"/>
  <c r="FX230" i="13" s="1"/>
  <c r="FY230" i="13" s="1"/>
  <c r="FZ230" i="13" s="1"/>
  <c r="GA230" i="13" s="1"/>
  <c r="GB230" i="13" s="1"/>
  <c r="GC230" i="13" s="1"/>
  <c r="GD230" i="13" s="1"/>
  <c r="GE230" i="13" s="1"/>
  <c r="GF230" i="13" s="1"/>
  <c r="GG230" i="13" s="1"/>
  <c r="GH230" i="13" s="1"/>
  <c r="GI230" i="13" s="1"/>
  <c r="GJ230" i="13" s="1"/>
  <c r="GK230" i="13" s="1"/>
  <c r="GL230" i="13" s="1"/>
  <c r="GM230" i="13" s="1"/>
  <c r="GN230" i="13" s="1"/>
  <c r="GO230" i="13" s="1"/>
  <c r="GP230" i="13" s="1"/>
  <c r="FM228" i="13"/>
  <c r="FN228" i="13" s="1"/>
  <c r="FO228" i="13" s="1"/>
  <c r="FP228" i="13" s="1"/>
  <c r="FQ228" i="13" s="1"/>
  <c r="FR228" i="13" s="1"/>
  <c r="FS228" i="13" s="1"/>
  <c r="FT228" i="13" s="1"/>
  <c r="FU228" i="13" s="1"/>
  <c r="FV228" i="13" s="1"/>
  <c r="FW228" i="13" s="1"/>
  <c r="FX228" i="13" s="1"/>
  <c r="FY228" i="13" s="1"/>
  <c r="FZ228" i="13" s="1"/>
  <c r="GA228" i="13" s="1"/>
  <c r="GB228" i="13" s="1"/>
  <c r="GC228" i="13" s="1"/>
  <c r="GD228" i="13" s="1"/>
  <c r="GE228" i="13" s="1"/>
  <c r="GF228" i="13" s="1"/>
  <c r="GG228" i="13" s="1"/>
  <c r="GH228" i="13" s="1"/>
  <c r="GI228" i="13" s="1"/>
  <c r="GJ228" i="13" s="1"/>
  <c r="GK228" i="13" s="1"/>
  <c r="GL228" i="13" s="1"/>
  <c r="GM228" i="13" s="1"/>
  <c r="GN228" i="13" s="1"/>
  <c r="GO228" i="13" s="1"/>
  <c r="GP228" i="13" s="1"/>
  <c r="FM226" i="13"/>
  <c r="FN226" i="13" s="1"/>
  <c r="FO226" i="13" s="1"/>
  <c r="FP226" i="13" s="1"/>
  <c r="FQ226" i="13" s="1"/>
  <c r="FR226" i="13" s="1"/>
  <c r="FS226" i="13" s="1"/>
  <c r="FT226" i="13" s="1"/>
  <c r="FU226" i="13" s="1"/>
  <c r="FV226" i="13" s="1"/>
  <c r="FW226" i="13" s="1"/>
  <c r="FX226" i="13" s="1"/>
  <c r="FY226" i="13" s="1"/>
  <c r="FZ226" i="13" s="1"/>
  <c r="GA226" i="13" s="1"/>
  <c r="GB226" i="13" s="1"/>
  <c r="GC226" i="13" s="1"/>
  <c r="GD226" i="13" s="1"/>
  <c r="GE226" i="13" s="1"/>
  <c r="GF226" i="13" s="1"/>
  <c r="GG226" i="13" s="1"/>
  <c r="GH226" i="13" s="1"/>
  <c r="GI226" i="13" s="1"/>
  <c r="GJ226" i="13" s="1"/>
  <c r="GK226" i="13" s="1"/>
  <c r="GL226" i="13" s="1"/>
  <c r="GM226" i="13" s="1"/>
  <c r="GN226" i="13" s="1"/>
  <c r="GO226" i="13" s="1"/>
  <c r="GP226" i="13" s="1"/>
  <c r="FM174" i="13"/>
  <c r="FN174" i="13" s="1"/>
  <c r="FO174" i="13" s="1"/>
  <c r="FP174" i="13" s="1"/>
  <c r="FQ174" i="13" s="1"/>
  <c r="FR174" i="13" s="1"/>
  <c r="FS174" i="13" s="1"/>
  <c r="FT174" i="13" s="1"/>
  <c r="FU174" i="13" s="1"/>
  <c r="FV174" i="13" s="1"/>
  <c r="FW174" i="13" s="1"/>
  <c r="FX174" i="13" s="1"/>
  <c r="FY174" i="13" s="1"/>
  <c r="FZ174" i="13" s="1"/>
  <c r="GA174" i="13" s="1"/>
  <c r="GB174" i="13" s="1"/>
  <c r="GC174" i="13" s="1"/>
  <c r="GD174" i="13" s="1"/>
  <c r="GE174" i="13" s="1"/>
  <c r="GF174" i="13" s="1"/>
  <c r="GG174" i="13" s="1"/>
  <c r="GH174" i="13" s="1"/>
  <c r="GI174" i="13" s="1"/>
  <c r="GJ174" i="13" s="1"/>
  <c r="GK174" i="13" s="1"/>
  <c r="GL174" i="13" s="1"/>
  <c r="GM174" i="13" s="1"/>
  <c r="GN174" i="13" s="1"/>
  <c r="GO174" i="13" s="1"/>
  <c r="GP174" i="13" s="1"/>
  <c r="FM62" i="13"/>
  <c r="FN62" i="13" s="1"/>
  <c r="FO62" i="13" s="1"/>
  <c r="FP62" i="13" s="1"/>
  <c r="FQ62" i="13" s="1"/>
  <c r="FR62" i="13" s="1"/>
  <c r="FS62" i="13" s="1"/>
  <c r="FT62" i="13" s="1"/>
  <c r="FU62" i="13" s="1"/>
  <c r="FV62" i="13" s="1"/>
  <c r="FW62" i="13" s="1"/>
  <c r="FX62" i="13" s="1"/>
  <c r="FY62" i="13" s="1"/>
  <c r="FZ62" i="13" s="1"/>
  <c r="GA62" i="13" s="1"/>
  <c r="GB62" i="13" s="1"/>
  <c r="GC62" i="13" s="1"/>
  <c r="GD62" i="13" s="1"/>
  <c r="GE62" i="13" s="1"/>
  <c r="GF62" i="13" s="1"/>
  <c r="GG62" i="13" s="1"/>
  <c r="GH62" i="13" s="1"/>
  <c r="GI62" i="13" s="1"/>
  <c r="GJ62" i="13" s="1"/>
  <c r="GK62" i="13" s="1"/>
  <c r="GL62" i="13" s="1"/>
  <c r="GM62" i="13" s="1"/>
  <c r="GN62" i="13" s="1"/>
  <c r="GO62" i="13" s="1"/>
  <c r="GP62" i="13" s="1"/>
  <c r="FM60" i="13"/>
  <c r="FN60" i="13" s="1"/>
  <c r="FO60" i="13" s="1"/>
  <c r="FP60" i="13" s="1"/>
  <c r="FQ60" i="13" s="1"/>
  <c r="FR60" i="13" s="1"/>
  <c r="FS60" i="13" s="1"/>
  <c r="FT60" i="13" s="1"/>
  <c r="FU60" i="13" s="1"/>
  <c r="FV60" i="13" s="1"/>
  <c r="FW60" i="13" s="1"/>
  <c r="FX60" i="13" s="1"/>
  <c r="FY60" i="13" s="1"/>
  <c r="FZ60" i="13" s="1"/>
  <c r="GA60" i="13" s="1"/>
  <c r="GB60" i="13" s="1"/>
  <c r="GC60" i="13" s="1"/>
  <c r="GD60" i="13" s="1"/>
  <c r="GE60" i="13" s="1"/>
  <c r="GF60" i="13" s="1"/>
  <c r="GG60" i="13" s="1"/>
  <c r="GH60" i="13" s="1"/>
  <c r="GI60" i="13" s="1"/>
  <c r="GJ60" i="13" s="1"/>
  <c r="GK60" i="13" s="1"/>
  <c r="GL60" i="13" s="1"/>
  <c r="GM60" i="13" s="1"/>
  <c r="GN60" i="13" s="1"/>
  <c r="GO60" i="13" s="1"/>
  <c r="GP60" i="13" s="1"/>
  <c r="FM56" i="13"/>
  <c r="FN56" i="13" s="1"/>
  <c r="FO56" i="13" s="1"/>
  <c r="FP56" i="13" s="1"/>
  <c r="FQ56" i="13" s="1"/>
  <c r="FR56" i="13" s="1"/>
  <c r="FS56" i="13" s="1"/>
  <c r="FT56" i="13" s="1"/>
  <c r="FU56" i="13" s="1"/>
  <c r="FV56" i="13" s="1"/>
  <c r="FW56" i="13" s="1"/>
  <c r="FX56" i="13" s="1"/>
  <c r="FY56" i="13" s="1"/>
  <c r="FZ56" i="13" s="1"/>
  <c r="GA56" i="13" s="1"/>
  <c r="GB56" i="13" s="1"/>
  <c r="GC56" i="13" s="1"/>
  <c r="GD56" i="13" s="1"/>
  <c r="GE56" i="13" s="1"/>
  <c r="GF56" i="13" s="1"/>
  <c r="GG56" i="13" s="1"/>
  <c r="GH56" i="13" s="1"/>
  <c r="GI56" i="13" s="1"/>
  <c r="GJ56" i="13" s="1"/>
  <c r="GK56" i="13" s="1"/>
  <c r="GL56" i="13" s="1"/>
  <c r="GM56" i="13" s="1"/>
  <c r="GN56" i="13" s="1"/>
  <c r="GO56" i="13" s="1"/>
  <c r="GP56" i="13" s="1"/>
  <c r="FM48" i="13"/>
  <c r="FN48" i="13" s="1"/>
  <c r="FO48" i="13" s="1"/>
  <c r="FP48" i="13" s="1"/>
  <c r="FQ48" i="13" s="1"/>
  <c r="FR48" i="13" s="1"/>
  <c r="FS48" i="13" s="1"/>
  <c r="FT48" i="13" s="1"/>
  <c r="FU48" i="13" s="1"/>
  <c r="FV48" i="13" s="1"/>
  <c r="FW48" i="13" s="1"/>
  <c r="FX48" i="13" s="1"/>
  <c r="FY48" i="13" s="1"/>
  <c r="FZ48" i="13" s="1"/>
  <c r="GA48" i="13" s="1"/>
  <c r="GB48" i="13" s="1"/>
  <c r="GC48" i="13" s="1"/>
  <c r="GD48" i="13" s="1"/>
  <c r="GE48" i="13" s="1"/>
  <c r="GF48" i="13" s="1"/>
  <c r="GG48" i="13" s="1"/>
  <c r="GH48" i="13" s="1"/>
  <c r="GI48" i="13" s="1"/>
  <c r="GJ48" i="13" s="1"/>
  <c r="GK48" i="13" s="1"/>
  <c r="GL48" i="13" s="1"/>
  <c r="GM48" i="13" s="1"/>
  <c r="GN48" i="13" s="1"/>
  <c r="GO48" i="13" s="1"/>
  <c r="GP48" i="13" s="1"/>
  <c r="FM46" i="13"/>
  <c r="FN46" i="13" s="1"/>
  <c r="FO46" i="13" s="1"/>
  <c r="FP46" i="13" s="1"/>
  <c r="FQ46" i="13" s="1"/>
  <c r="FR46" i="13" s="1"/>
  <c r="FS46" i="13" s="1"/>
  <c r="FT46" i="13" s="1"/>
  <c r="FU46" i="13" s="1"/>
  <c r="FV46" i="13" s="1"/>
  <c r="FW46" i="13" s="1"/>
  <c r="FX46" i="13" s="1"/>
  <c r="FY46" i="13" s="1"/>
  <c r="FZ46" i="13" s="1"/>
  <c r="GA46" i="13" s="1"/>
  <c r="GB46" i="13" s="1"/>
  <c r="GC46" i="13" s="1"/>
  <c r="GD46" i="13" s="1"/>
  <c r="GE46" i="13" s="1"/>
  <c r="GF46" i="13" s="1"/>
  <c r="GG46" i="13" s="1"/>
  <c r="GH46" i="13" s="1"/>
  <c r="GI46" i="13" s="1"/>
  <c r="GJ46" i="13" s="1"/>
  <c r="GK46" i="13" s="1"/>
  <c r="GL46" i="13" s="1"/>
  <c r="GM46" i="13" s="1"/>
  <c r="GN46" i="13" s="1"/>
  <c r="GO46" i="13" s="1"/>
  <c r="GP46" i="13" s="1"/>
  <c r="FM44" i="13"/>
  <c r="FN44" i="13" s="1"/>
  <c r="FO44" i="13" s="1"/>
  <c r="FP44" i="13" s="1"/>
  <c r="FQ44" i="13" s="1"/>
  <c r="FR44" i="13" s="1"/>
  <c r="FS44" i="13" s="1"/>
  <c r="FT44" i="13" s="1"/>
  <c r="FU44" i="13" s="1"/>
  <c r="FV44" i="13" s="1"/>
  <c r="FW44" i="13" s="1"/>
  <c r="FX44" i="13" s="1"/>
  <c r="FY44" i="13" s="1"/>
  <c r="FZ44" i="13" s="1"/>
  <c r="GA44" i="13" s="1"/>
  <c r="GB44" i="13" s="1"/>
  <c r="GC44" i="13" s="1"/>
  <c r="GD44" i="13" s="1"/>
  <c r="GE44" i="13" s="1"/>
  <c r="GF44" i="13" s="1"/>
  <c r="GG44" i="13" s="1"/>
  <c r="GH44" i="13" s="1"/>
  <c r="GI44" i="13" s="1"/>
  <c r="GJ44" i="13" s="1"/>
  <c r="GK44" i="13" s="1"/>
  <c r="GL44" i="13" s="1"/>
  <c r="GM44" i="13" s="1"/>
  <c r="GN44" i="13" s="1"/>
  <c r="GO44" i="13" s="1"/>
  <c r="GP44" i="13" s="1"/>
  <c r="FM42" i="13"/>
  <c r="FN42" i="13" s="1"/>
  <c r="FO42" i="13" s="1"/>
  <c r="FP42" i="13" s="1"/>
  <c r="FQ42" i="13" s="1"/>
  <c r="FR42" i="13" s="1"/>
  <c r="FS42" i="13" s="1"/>
  <c r="FT42" i="13" s="1"/>
  <c r="FU42" i="13" s="1"/>
  <c r="FV42" i="13" s="1"/>
  <c r="FW42" i="13" s="1"/>
  <c r="FX42" i="13" s="1"/>
  <c r="FY42" i="13" s="1"/>
  <c r="FZ42" i="13" s="1"/>
  <c r="GA42" i="13" s="1"/>
  <c r="GB42" i="13" s="1"/>
  <c r="GC42" i="13" s="1"/>
  <c r="GD42" i="13" s="1"/>
  <c r="GE42" i="13" s="1"/>
  <c r="GF42" i="13" s="1"/>
  <c r="GG42" i="13" s="1"/>
  <c r="GH42" i="13" s="1"/>
  <c r="GI42" i="13" s="1"/>
  <c r="GJ42" i="13" s="1"/>
  <c r="GK42" i="13" s="1"/>
  <c r="GL42" i="13" s="1"/>
  <c r="GM42" i="13" s="1"/>
  <c r="GN42" i="13" s="1"/>
  <c r="GO42" i="13" s="1"/>
  <c r="GP42" i="13" s="1"/>
  <c r="FM40" i="13"/>
  <c r="FN40" i="13" s="1"/>
  <c r="FO40" i="13" s="1"/>
  <c r="FP40" i="13" s="1"/>
  <c r="FQ40" i="13" s="1"/>
  <c r="FR40" i="13" s="1"/>
  <c r="FS40" i="13" s="1"/>
  <c r="FT40" i="13" s="1"/>
  <c r="FU40" i="13" s="1"/>
  <c r="FV40" i="13" s="1"/>
  <c r="FW40" i="13" s="1"/>
  <c r="FX40" i="13" s="1"/>
  <c r="FY40" i="13" s="1"/>
  <c r="FZ40" i="13" s="1"/>
  <c r="GA40" i="13" s="1"/>
  <c r="GB40" i="13" s="1"/>
  <c r="GC40" i="13" s="1"/>
  <c r="GD40" i="13" s="1"/>
  <c r="GE40" i="13" s="1"/>
  <c r="GF40" i="13" s="1"/>
  <c r="GG40" i="13" s="1"/>
  <c r="GH40" i="13" s="1"/>
  <c r="GI40" i="13" s="1"/>
  <c r="GJ40" i="13" s="1"/>
  <c r="GK40" i="13" s="1"/>
  <c r="GL40" i="13" s="1"/>
  <c r="GM40" i="13" s="1"/>
  <c r="GN40" i="13" s="1"/>
  <c r="GO40" i="13" s="1"/>
  <c r="GP40" i="13" s="1"/>
  <c r="FM38" i="13"/>
  <c r="FN38" i="13" s="1"/>
  <c r="FO38" i="13" s="1"/>
  <c r="FP38" i="13" s="1"/>
  <c r="FQ38" i="13" s="1"/>
  <c r="FR38" i="13" s="1"/>
  <c r="FS38" i="13" s="1"/>
  <c r="FT38" i="13" s="1"/>
  <c r="FU38" i="13" s="1"/>
  <c r="FV38" i="13" s="1"/>
  <c r="FW38" i="13" s="1"/>
  <c r="FX38" i="13" s="1"/>
  <c r="FY38" i="13" s="1"/>
  <c r="FZ38" i="13" s="1"/>
  <c r="GA38" i="13" s="1"/>
  <c r="GB38" i="13" s="1"/>
  <c r="GC38" i="13" s="1"/>
  <c r="GD38" i="13" s="1"/>
  <c r="GE38" i="13" s="1"/>
  <c r="GF38" i="13" s="1"/>
  <c r="GG38" i="13" s="1"/>
  <c r="GH38" i="13" s="1"/>
  <c r="GI38" i="13" s="1"/>
  <c r="GJ38" i="13" s="1"/>
  <c r="GK38" i="13" s="1"/>
  <c r="GL38" i="13" s="1"/>
  <c r="GM38" i="13" s="1"/>
  <c r="GN38" i="13" s="1"/>
  <c r="GO38" i="13" s="1"/>
  <c r="GP38" i="13" s="1"/>
  <c r="FM36" i="13"/>
  <c r="FN36" i="13" s="1"/>
  <c r="FO36" i="13" s="1"/>
  <c r="FP36" i="13" s="1"/>
  <c r="FQ36" i="13" s="1"/>
  <c r="FR36" i="13" s="1"/>
  <c r="FS36" i="13" s="1"/>
  <c r="FT36" i="13" s="1"/>
  <c r="FU36" i="13" s="1"/>
  <c r="FV36" i="13" s="1"/>
  <c r="FW36" i="13" s="1"/>
  <c r="FX36" i="13" s="1"/>
  <c r="FY36" i="13" s="1"/>
  <c r="FZ36" i="13" s="1"/>
  <c r="GA36" i="13" s="1"/>
  <c r="GB36" i="13" s="1"/>
  <c r="GC36" i="13" s="1"/>
  <c r="GD36" i="13" s="1"/>
  <c r="GE36" i="13" s="1"/>
  <c r="GF36" i="13" s="1"/>
  <c r="GG36" i="13" s="1"/>
  <c r="GH36" i="13" s="1"/>
  <c r="GI36" i="13" s="1"/>
  <c r="GJ36" i="13" s="1"/>
  <c r="GK36" i="13" s="1"/>
  <c r="GL36" i="13" s="1"/>
  <c r="GM36" i="13" s="1"/>
  <c r="GN36" i="13" s="1"/>
  <c r="GO36" i="13" s="1"/>
  <c r="GP36" i="13" s="1"/>
  <c r="FM34" i="13"/>
  <c r="FN34" i="13" s="1"/>
  <c r="EI238" i="13"/>
  <c r="EJ238" i="13" s="1"/>
  <c r="EK238" i="13" s="1"/>
  <c r="EL238" i="13" s="1"/>
  <c r="EM238" i="13" s="1"/>
  <c r="EN238" i="13" s="1"/>
  <c r="EO238" i="13" s="1"/>
  <c r="EP238" i="13" s="1"/>
  <c r="EQ238" i="13" s="1"/>
  <c r="ER238" i="13" s="1"/>
  <c r="ES238" i="13" s="1"/>
  <c r="ET238" i="13" s="1"/>
  <c r="EU238" i="13" s="1"/>
  <c r="EV238" i="13" s="1"/>
  <c r="EW238" i="13" s="1"/>
  <c r="EX238" i="13" s="1"/>
  <c r="EY238" i="13" s="1"/>
  <c r="EZ238" i="13" s="1"/>
  <c r="FA238" i="13" s="1"/>
  <c r="FB238" i="13" s="1"/>
  <c r="FC238" i="13" s="1"/>
  <c r="FD238" i="13" s="1"/>
  <c r="FE238" i="13" s="1"/>
  <c r="FF238" i="13" s="1"/>
  <c r="FG238" i="13" s="1"/>
  <c r="FH238" i="13" s="1"/>
  <c r="FI238" i="13" s="1"/>
  <c r="FJ238" i="13" s="1"/>
  <c r="FK238" i="13" s="1"/>
  <c r="FL238" i="13" s="1"/>
  <c r="EI234" i="13"/>
  <c r="EJ234" i="13" s="1"/>
  <c r="EK234" i="13" s="1"/>
  <c r="EL234" i="13" s="1"/>
  <c r="EM234" i="13" s="1"/>
  <c r="EN234" i="13" s="1"/>
  <c r="EO234" i="13" s="1"/>
  <c r="EP234" i="13" s="1"/>
  <c r="EQ234" i="13" s="1"/>
  <c r="ER234" i="13" s="1"/>
  <c r="ES234" i="13" s="1"/>
  <c r="ET234" i="13" s="1"/>
  <c r="EU234" i="13" s="1"/>
  <c r="EV234" i="13" s="1"/>
  <c r="EW234" i="13" s="1"/>
  <c r="EX234" i="13" s="1"/>
  <c r="EY234" i="13" s="1"/>
  <c r="EZ234" i="13" s="1"/>
  <c r="FA234" i="13" s="1"/>
  <c r="FB234" i="13" s="1"/>
  <c r="FC234" i="13" s="1"/>
  <c r="FD234" i="13" s="1"/>
  <c r="FE234" i="13" s="1"/>
  <c r="FF234" i="13" s="1"/>
  <c r="FG234" i="13" s="1"/>
  <c r="FH234" i="13" s="1"/>
  <c r="FI234" i="13" s="1"/>
  <c r="FJ234" i="13" s="1"/>
  <c r="FK234" i="13" s="1"/>
  <c r="FL234" i="13" s="1"/>
  <c r="EI232" i="13"/>
  <c r="EJ232" i="13" s="1"/>
  <c r="EK232" i="13" s="1"/>
  <c r="EL232" i="13" s="1"/>
  <c r="EM232" i="13" s="1"/>
  <c r="EN232" i="13" s="1"/>
  <c r="EO232" i="13" s="1"/>
  <c r="EP232" i="13" s="1"/>
  <c r="EQ232" i="13" s="1"/>
  <c r="ER232" i="13" s="1"/>
  <c r="ES232" i="13" s="1"/>
  <c r="ET232" i="13" s="1"/>
  <c r="EU232" i="13" s="1"/>
  <c r="EV232" i="13" s="1"/>
  <c r="EW232" i="13" s="1"/>
  <c r="EX232" i="13" s="1"/>
  <c r="EY232" i="13" s="1"/>
  <c r="EZ232" i="13" s="1"/>
  <c r="FA232" i="13" s="1"/>
  <c r="FB232" i="13" s="1"/>
  <c r="FC232" i="13" s="1"/>
  <c r="FD232" i="13" s="1"/>
  <c r="FE232" i="13" s="1"/>
  <c r="FF232" i="13" s="1"/>
  <c r="FG232" i="13" s="1"/>
  <c r="FH232" i="13" s="1"/>
  <c r="FI232" i="13" s="1"/>
  <c r="FJ232" i="13" s="1"/>
  <c r="FK232" i="13" s="1"/>
  <c r="FL232" i="13" s="1"/>
  <c r="EI230" i="13"/>
  <c r="EJ230" i="13" s="1"/>
  <c r="EK230" i="13" s="1"/>
  <c r="EL230" i="13" s="1"/>
  <c r="EM230" i="13" s="1"/>
  <c r="EN230" i="13" s="1"/>
  <c r="EO230" i="13" s="1"/>
  <c r="EP230" i="13" s="1"/>
  <c r="EQ230" i="13" s="1"/>
  <c r="ER230" i="13" s="1"/>
  <c r="ES230" i="13" s="1"/>
  <c r="ET230" i="13" s="1"/>
  <c r="EU230" i="13" s="1"/>
  <c r="EV230" i="13" s="1"/>
  <c r="EW230" i="13" s="1"/>
  <c r="EX230" i="13" s="1"/>
  <c r="EY230" i="13" s="1"/>
  <c r="EZ230" i="13" s="1"/>
  <c r="FA230" i="13" s="1"/>
  <c r="FB230" i="13" s="1"/>
  <c r="FC230" i="13" s="1"/>
  <c r="FD230" i="13" s="1"/>
  <c r="FE230" i="13" s="1"/>
  <c r="FF230" i="13" s="1"/>
  <c r="FG230" i="13" s="1"/>
  <c r="FH230" i="13" s="1"/>
  <c r="FI230" i="13" s="1"/>
  <c r="FJ230" i="13" s="1"/>
  <c r="FK230" i="13" s="1"/>
  <c r="FL230" i="13" s="1"/>
  <c r="EI228" i="13"/>
  <c r="EJ228" i="13" s="1"/>
  <c r="EK228" i="13" s="1"/>
  <c r="EL228" i="13" s="1"/>
  <c r="EM228" i="13" s="1"/>
  <c r="EN228" i="13" s="1"/>
  <c r="EO228" i="13" s="1"/>
  <c r="EP228" i="13" s="1"/>
  <c r="EQ228" i="13" s="1"/>
  <c r="ER228" i="13" s="1"/>
  <c r="ES228" i="13" s="1"/>
  <c r="ET228" i="13" s="1"/>
  <c r="EU228" i="13" s="1"/>
  <c r="EV228" i="13" s="1"/>
  <c r="EW228" i="13" s="1"/>
  <c r="EX228" i="13" s="1"/>
  <c r="EY228" i="13" s="1"/>
  <c r="EZ228" i="13" s="1"/>
  <c r="FA228" i="13" s="1"/>
  <c r="FB228" i="13" s="1"/>
  <c r="FC228" i="13" s="1"/>
  <c r="FD228" i="13" s="1"/>
  <c r="FE228" i="13" s="1"/>
  <c r="FF228" i="13" s="1"/>
  <c r="FG228" i="13" s="1"/>
  <c r="FH228" i="13" s="1"/>
  <c r="FI228" i="13" s="1"/>
  <c r="FJ228" i="13" s="1"/>
  <c r="FK228" i="13" s="1"/>
  <c r="FL228" i="13" s="1"/>
  <c r="EI226" i="13"/>
  <c r="EJ226" i="13" s="1"/>
  <c r="EK226" i="13" s="1"/>
  <c r="EL226" i="13" s="1"/>
  <c r="EM226" i="13" s="1"/>
  <c r="EN226" i="13" s="1"/>
  <c r="EO226" i="13" s="1"/>
  <c r="EP226" i="13" s="1"/>
  <c r="EQ226" i="13" s="1"/>
  <c r="ER226" i="13" s="1"/>
  <c r="ES226" i="13" s="1"/>
  <c r="ET226" i="13" s="1"/>
  <c r="EU226" i="13" s="1"/>
  <c r="EV226" i="13" s="1"/>
  <c r="EW226" i="13" s="1"/>
  <c r="EX226" i="13" s="1"/>
  <c r="EY226" i="13" s="1"/>
  <c r="EZ226" i="13" s="1"/>
  <c r="FA226" i="13" s="1"/>
  <c r="FB226" i="13" s="1"/>
  <c r="FC226" i="13" s="1"/>
  <c r="FD226" i="13" s="1"/>
  <c r="FE226" i="13" s="1"/>
  <c r="FF226" i="13" s="1"/>
  <c r="FG226" i="13" s="1"/>
  <c r="FH226" i="13" s="1"/>
  <c r="FI226" i="13" s="1"/>
  <c r="FJ226" i="13" s="1"/>
  <c r="FK226" i="13" s="1"/>
  <c r="FL226" i="13" s="1"/>
  <c r="EI174" i="13"/>
  <c r="EJ174" i="13" s="1"/>
  <c r="EK174" i="13" s="1"/>
  <c r="EL174" i="13" s="1"/>
  <c r="EM174" i="13" s="1"/>
  <c r="EN174" i="13" s="1"/>
  <c r="EO174" i="13" s="1"/>
  <c r="EP174" i="13" s="1"/>
  <c r="EQ174" i="13" s="1"/>
  <c r="ER174" i="13" s="1"/>
  <c r="ES174" i="13" s="1"/>
  <c r="ET174" i="13" s="1"/>
  <c r="EU174" i="13" s="1"/>
  <c r="EV174" i="13" s="1"/>
  <c r="EW174" i="13" s="1"/>
  <c r="EX174" i="13" s="1"/>
  <c r="EY174" i="13" s="1"/>
  <c r="EZ174" i="13" s="1"/>
  <c r="FA174" i="13" s="1"/>
  <c r="FB174" i="13" s="1"/>
  <c r="FC174" i="13" s="1"/>
  <c r="FD174" i="13" s="1"/>
  <c r="FE174" i="13" s="1"/>
  <c r="FF174" i="13" s="1"/>
  <c r="FG174" i="13" s="1"/>
  <c r="FH174" i="13" s="1"/>
  <c r="FI174" i="13" s="1"/>
  <c r="FJ174" i="13" s="1"/>
  <c r="FK174" i="13" s="1"/>
  <c r="FL174" i="13" s="1"/>
  <c r="EI62" i="13"/>
  <c r="EJ62" i="13" s="1"/>
  <c r="EK62" i="13" s="1"/>
  <c r="EL62" i="13" s="1"/>
  <c r="EM62" i="13" s="1"/>
  <c r="EN62" i="13" s="1"/>
  <c r="EO62" i="13" s="1"/>
  <c r="EP62" i="13" s="1"/>
  <c r="EQ62" i="13" s="1"/>
  <c r="ER62" i="13" s="1"/>
  <c r="ES62" i="13" s="1"/>
  <c r="ET62" i="13" s="1"/>
  <c r="EU62" i="13" s="1"/>
  <c r="EV62" i="13" s="1"/>
  <c r="EW62" i="13" s="1"/>
  <c r="EX62" i="13" s="1"/>
  <c r="EY62" i="13" s="1"/>
  <c r="EZ62" i="13" s="1"/>
  <c r="FA62" i="13" s="1"/>
  <c r="FB62" i="13" s="1"/>
  <c r="FC62" i="13" s="1"/>
  <c r="FD62" i="13" s="1"/>
  <c r="FE62" i="13" s="1"/>
  <c r="FF62" i="13" s="1"/>
  <c r="FG62" i="13" s="1"/>
  <c r="FH62" i="13" s="1"/>
  <c r="FI62" i="13" s="1"/>
  <c r="FJ62" i="13" s="1"/>
  <c r="FK62" i="13" s="1"/>
  <c r="FL62" i="13" s="1"/>
  <c r="EI56" i="13"/>
  <c r="EJ56" i="13" s="1"/>
  <c r="EK56" i="13" s="1"/>
  <c r="EL56" i="13" s="1"/>
  <c r="EM56" i="13" s="1"/>
  <c r="EN56" i="13" s="1"/>
  <c r="EO56" i="13" s="1"/>
  <c r="EP56" i="13" s="1"/>
  <c r="EQ56" i="13" s="1"/>
  <c r="ER56" i="13" s="1"/>
  <c r="ES56" i="13" s="1"/>
  <c r="ET56" i="13" s="1"/>
  <c r="EU56" i="13" s="1"/>
  <c r="EV56" i="13" s="1"/>
  <c r="EW56" i="13" s="1"/>
  <c r="EX56" i="13" s="1"/>
  <c r="EY56" i="13" s="1"/>
  <c r="EZ56" i="13" s="1"/>
  <c r="FA56" i="13" s="1"/>
  <c r="FB56" i="13" s="1"/>
  <c r="FC56" i="13" s="1"/>
  <c r="FD56" i="13" s="1"/>
  <c r="FE56" i="13" s="1"/>
  <c r="FF56" i="13" s="1"/>
  <c r="FG56" i="13" s="1"/>
  <c r="FH56" i="13" s="1"/>
  <c r="FI56" i="13" s="1"/>
  <c r="FJ56" i="13" s="1"/>
  <c r="FK56" i="13" s="1"/>
  <c r="FL56" i="13" s="1"/>
  <c r="EI48" i="13"/>
  <c r="EJ48" i="13" s="1"/>
  <c r="EK48" i="13" s="1"/>
  <c r="EL48" i="13" s="1"/>
  <c r="EM48" i="13" s="1"/>
  <c r="EI46" i="13"/>
  <c r="EJ46" i="13" s="1"/>
  <c r="EK46" i="13" s="1"/>
  <c r="EL46" i="13" s="1"/>
  <c r="EM46" i="13" s="1"/>
  <c r="EN46" i="13" s="1"/>
  <c r="EO46" i="13" s="1"/>
  <c r="EP46" i="13" s="1"/>
  <c r="EQ46" i="13" s="1"/>
  <c r="ER46" i="13" s="1"/>
  <c r="ES46" i="13" s="1"/>
  <c r="ET46" i="13" s="1"/>
  <c r="EU46" i="13" s="1"/>
  <c r="EV46" i="13" s="1"/>
  <c r="EW46" i="13" s="1"/>
  <c r="EX46" i="13" s="1"/>
  <c r="EY46" i="13" s="1"/>
  <c r="EZ46" i="13" s="1"/>
  <c r="FA46" i="13" s="1"/>
  <c r="FB46" i="13" s="1"/>
  <c r="FC46" i="13" s="1"/>
  <c r="FD46" i="13" s="1"/>
  <c r="FE46" i="13" s="1"/>
  <c r="FF46" i="13" s="1"/>
  <c r="FG46" i="13" s="1"/>
  <c r="FH46" i="13" s="1"/>
  <c r="FI46" i="13" s="1"/>
  <c r="FJ46" i="13" s="1"/>
  <c r="FK46" i="13" s="1"/>
  <c r="FL46" i="13" s="1"/>
  <c r="EI44" i="13"/>
  <c r="EJ44" i="13" s="1"/>
  <c r="EK44" i="13" s="1"/>
  <c r="EL44" i="13" s="1"/>
  <c r="EM44" i="13" s="1"/>
  <c r="EN44" i="13" s="1"/>
  <c r="EO44" i="13" s="1"/>
  <c r="EP44" i="13" s="1"/>
  <c r="EQ44" i="13" s="1"/>
  <c r="ER44" i="13" s="1"/>
  <c r="ES44" i="13" s="1"/>
  <c r="ET44" i="13" s="1"/>
  <c r="EU44" i="13" s="1"/>
  <c r="EV44" i="13" s="1"/>
  <c r="EW44" i="13" s="1"/>
  <c r="EX44" i="13" s="1"/>
  <c r="EY44" i="13" s="1"/>
  <c r="EZ44" i="13" s="1"/>
  <c r="FA44" i="13" s="1"/>
  <c r="FB44" i="13" s="1"/>
  <c r="FC44" i="13" s="1"/>
  <c r="FD44" i="13" s="1"/>
  <c r="FE44" i="13" s="1"/>
  <c r="FF44" i="13" s="1"/>
  <c r="FG44" i="13" s="1"/>
  <c r="FH44" i="13" s="1"/>
  <c r="FI44" i="13" s="1"/>
  <c r="FJ44" i="13" s="1"/>
  <c r="FK44" i="13" s="1"/>
  <c r="FL44" i="13" s="1"/>
  <c r="EI42" i="13"/>
  <c r="EJ42" i="13" s="1"/>
  <c r="EK42" i="13" s="1"/>
  <c r="EL42" i="13" s="1"/>
  <c r="EM42" i="13" s="1"/>
  <c r="EN42" i="13" s="1"/>
  <c r="EO42" i="13" s="1"/>
  <c r="EP42" i="13" s="1"/>
  <c r="EQ42" i="13" s="1"/>
  <c r="ER42" i="13" s="1"/>
  <c r="ES42" i="13" s="1"/>
  <c r="ET42" i="13" s="1"/>
  <c r="EU42" i="13" s="1"/>
  <c r="EV42" i="13" s="1"/>
  <c r="EW42" i="13" s="1"/>
  <c r="EX42" i="13" s="1"/>
  <c r="EY42" i="13" s="1"/>
  <c r="EZ42" i="13" s="1"/>
  <c r="FA42" i="13" s="1"/>
  <c r="FB42" i="13" s="1"/>
  <c r="FC42" i="13" s="1"/>
  <c r="FD42" i="13" s="1"/>
  <c r="FE42" i="13" s="1"/>
  <c r="FF42" i="13" s="1"/>
  <c r="FG42" i="13" s="1"/>
  <c r="FH42" i="13" s="1"/>
  <c r="FI42" i="13" s="1"/>
  <c r="FJ42" i="13" s="1"/>
  <c r="FK42" i="13" s="1"/>
  <c r="FL42" i="13" s="1"/>
  <c r="EI40" i="13"/>
  <c r="EJ40" i="13" s="1"/>
  <c r="EK40" i="13" s="1"/>
  <c r="EL40" i="13" s="1"/>
  <c r="EM40" i="13" s="1"/>
  <c r="EN40" i="13" s="1"/>
  <c r="EO40" i="13" s="1"/>
  <c r="EP40" i="13" s="1"/>
  <c r="EQ40" i="13" s="1"/>
  <c r="ER40" i="13" s="1"/>
  <c r="ES40" i="13" s="1"/>
  <c r="ET40" i="13" s="1"/>
  <c r="EU40" i="13" s="1"/>
  <c r="EV40" i="13" s="1"/>
  <c r="EI38" i="13"/>
  <c r="EJ38" i="13" s="1"/>
  <c r="EK38" i="13" s="1"/>
  <c r="EL38" i="13" s="1"/>
  <c r="EM38" i="13" s="1"/>
  <c r="EN38" i="13" s="1"/>
  <c r="EO38" i="13" s="1"/>
  <c r="EP38" i="13" s="1"/>
  <c r="EQ38" i="13" s="1"/>
  <c r="ER38" i="13" s="1"/>
  <c r="ES38" i="13" s="1"/>
  <c r="ET38" i="13" s="1"/>
  <c r="EU38" i="13" s="1"/>
  <c r="EV38" i="13" s="1"/>
  <c r="EW38" i="13" s="1"/>
  <c r="EX38" i="13" s="1"/>
  <c r="EY38" i="13" s="1"/>
  <c r="EZ38" i="13" s="1"/>
  <c r="FA38" i="13" s="1"/>
  <c r="FB38" i="13" s="1"/>
  <c r="FC38" i="13" s="1"/>
  <c r="FD38" i="13" s="1"/>
  <c r="FE38" i="13" s="1"/>
  <c r="FF38" i="13" s="1"/>
  <c r="FG38" i="13" s="1"/>
  <c r="FH38" i="13" s="1"/>
  <c r="FI38" i="13" s="1"/>
  <c r="FJ38" i="13" s="1"/>
  <c r="FK38" i="13" s="1"/>
  <c r="FL38" i="13" s="1"/>
  <c r="EI36" i="13"/>
  <c r="EJ36" i="13" s="1"/>
  <c r="EK36" i="13" s="1"/>
  <c r="EL36" i="13" s="1"/>
  <c r="EM36" i="13" s="1"/>
  <c r="EN36" i="13" s="1"/>
  <c r="EO36" i="13" s="1"/>
  <c r="EP36" i="13" s="1"/>
  <c r="EQ36" i="13" s="1"/>
  <c r="ER36" i="13" s="1"/>
  <c r="ES36" i="13" s="1"/>
  <c r="ET36" i="13" s="1"/>
  <c r="EU36" i="13" s="1"/>
  <c r="EV36" i="13" s="1"/>
  <c r="EW36" i="13" s="1"/>
  <c r="EX36" i="13" s="1"/>
  <c r="EY36" i="13" s="1"/>
  <c r="EZ36" i="13" s="1"/>
  <c r="FA36" i="13" s="1"/>
  <c r="FB36" i="13" s="1"/>
  <c r="FC36" i="13" s="1"/>
  <c r="FD36" i="13" s="1"/>
  <c r="FE36" i="13" s="1"/>
  <c r="FF36" i="13" s="1"/>
  <c r="FG36" i="13" s="1"/>
  <c r="FH36" i="13" s="1"/>
  <c r="FI36" i="13" s="1"/>
  <c r="FJ36" i="13" s="1"/>
  <c r="FK36" i="13" s="1"/>
  <c r="FL36" i="13" s="1"/>
  <c r="EI34" i="13"/>
  <c r="EJ34" i="13" s="1"/>
  <c r="EK34" i="13" s="1"/>
  <c r="EL34" i="13" s="1"/>
  <c r="EM34" i="13" s="1"/>
  <c r="EN34" i="13" s="1"/>
  <c r="EO34" i="13" s="1"/>
  <c r="EP34" i="13" s="1"/>
  <c r="EQ34" i="13" s="1"/>
  <c r="ER34" i="13" s="1"/>
  <c r="ES34" i="13" s="1"/>
  <c r="ET34" i="13" s="1"/>
  <c r="EU34" i="13" s="1"/>
  <c r="EV34" i="13" s="1"/>
  <c r="EW34" i="13" s="1"/>
  <c r="DE238" i="13"/>
  <c r="DF238" i="13" s="1"/>
  <c r="DG238" i="13" s="1"/>
  <c r="DH238" i="13" s="1"/>
  <c r="DI238" i="13" s="1"/>
  <c r="DJ238" i="13" s="1"/>
  <c r="DK238" i="13" s="1"/>
  <c r="DL238" i="13" s="1"/>
  <c r="DM238" i="13" s="1"/>
  <c r="DN238" i="13" s="1"/>
  <c r="DO238" i="13" s="1"/>
  <c r="DP238" i="13" s="1"/>
  <c r="DQ238" i="13" s="1"/>
  <c r="DR238" i="13" s="1"/>
  <c r="DS238" i="13" s="1"/>
  <c r="DT238" i="13" s="1"/>
  <c r="DU238" i="13" s="1"/>
  <c r="DV238" i="13" s="1"/>
  <c r="DW238" i="13" s="1"/>
  <c r="DX238" i="13" s="1"/>
  <c r="DY238" i="13" s="1"/>
  <c r="DZ238" i="13" s="1"/>
  <c r="EA238" i="13" s="1"/>
  <c r="EB238" i="13" s="1"/>
  <c r="EC238" i="13" s="1"/>
  <c r="ED238" i="13" s="1"/>
  <c r="EE238" i="13" s="1"/>
  <c r="EF238" i="13" s="1"/>
  <c r="EG238" i="13" s="1"/>
  <c r="EH238" i="13" s="1"/>
  <c r="DE236" i="13"/>
  <c r="DF236" i="13" s="1"/>
  <c r="DG236" i="13" s="1"/>
  <c r="DH236" i="13" s="1"/>
  <c r="DI236" i="13" s="1"/>
  <c r="DJ236" i="13" s="1"/>
  <c r="DK236" i="13" s="1"/>
  <c r="DL236" i="13" s="1"/>
  <c r="DM236" i="13" s="1"/>
  <c r="DN236" i="13" s="1"/>
  <c r="DO236" i="13" s="1"/>
  <c r="DP236" i="13" s="1"/>
  <c r="DQ236" i="13" s="1"/>
  <c r="DR236" i="13" s="1"/>
  <c r="DS236" i="13" s="1"/>
  <c r="DT236" i="13" s="1"/>
  <c r="DU236" i="13" s="1"/>
  <c r="DV236" i="13" s="1"/>
  <c r="DW236" i="13" s="1"/>
  <c r="DX236" i="13" s="1"/>
  <c r="DY236" i="13" s="1"/>
  <c r="DZ236" i="13" s="1"/>
  <c r="EA236" i="13" s="1"/>
  <c r="EB236" i="13" s="1"/>
  <c r="EC236" i="13" s="1"/>
  <c r="ED236" i="13" s="1"/>
  <c r="EE236" i="13" s="1"/>
  <c r="EF236" i="13" s="1"/>
  <c r="EG236" i="13" s="1"/>
  <c r="EH236" i="13" s="1"/>
  <c r="DE234" i="13"/>
  <c r="DF234" i="13" s="1"/>
  <c r="DG234" i="13" s="1"/>
  <c r="DH234" i="13" s="1"/>
  <c r="DI234" i="13" s="1"/>
  <c r="DJ234" i="13" s="1"/>
  <c r="DK234" i="13" s="1"/>
  <c r="DL234" i="13" s="1"/>
  <c r="DM234" i="13" s="1"/>
  <c r="DN234" i="13" s="1"/>
  <c r="DO234" i="13" s="1"/>
  <c r="DP234" i="13" s="1"/>
  <c r="DQ234" i="13" s="1"/>
  <c r="DR234" i="13" s="1"/>
  <c r="DS234" i="13" s="1"/>
  <c r="DT234" i="13" s="1"/>
  <c r="DU234" i="13" s="1"/>
  <c r="DV234" i="13" s="1"/>
  <c r="DW234" i="13" s="1"/>
  <c r="DX234" i="13" s="1"/>
  <c r="DY234" i="13" s="1"/>
  <c r="DZ234" i="13" s="1"/>
  <c r="EA234" i="13" s="1"/>
  <c r="EB234" i="13" s="1"/>
  <c r="EC234" i="13" s="1"/>
  <c r="ED234" i="13" s="1"/>
  <c r="EE234" i="13" s="1"/>
  <c r="EF234" i="13" s="1"/>
  <c r="EG234" i="13" s="1"/>
  <c r="EH234" i="13" s="1"/>
  <c r="DE232" i="13"/>
  <c r="DF232" i="13" s="1"/>
  <c r="DG232" i="13" s="1"/>
  <c r="DH232" i="13" s="1"/>
  <c r="DI232" i="13" s="1"/>
  <c r="DJ232" i="13" s="1"/>
  <c r="DK232" i="13" s="1"/>
  <c r="DL232" i="13" s="1"/>
  <c r="DM232" i="13" s="1"/>
  <c r="DN232" i="13" s="1"/>
  <c r="DO232" i="13" s="1"/>
  <c r="DP232" i="13" s="1"/>
  <c r="DQ232" i="13" s="1"/>
  <c r="DR232" i="13" s="1"/>
  <c r="DS232" i="13" s="1"/>
  <c r="DT232" i="13" s="1"/>
  <c r="DU232" i="13" s="1"/>
  <c r="DV232" i="13" s="1"/>
  <c r="DW232" i="13" s="1"/>
  <c r="DX232" i="13" s="1"/>
  <c r="DY232" i="13" s="1"/>
  <c r="DZ232" i="13" s="1"/>
  <c r="EA232" i="13" s="1"/>
  <c r="EB232" i="13" s="1"/>
  <c r="EC232" i="13" s="1"/>
  <c r="ED232" i="13" s="1"/>
  <c r="EE232" i="13" s="1"/>
  <c r="EF232" i="13" s="1"/>
  <c r="EG232" i="13" s="1"/>
  <c r="EH232" i="13" s="1"/>
  <c r="DE230" i="13"/>
  <c r="DF230" i="13" s="1"/>
  <c r="DG230" i="13" s="1"/>
  <c r="DH230" i="13" s="1"/>
  <c r="DI230" i="13" s="1"/>
  <c r="DJ230" i="13" s="1"/>
  <c r="DK230" i="13" s="1"/>
  <c r="DL230" i="13" s="1"/>
  <c r="DM230" i="13" s="1"/>
  <c r="DN230" i="13" s="1"/>
  <c r="DO230" i="13" s="1"/>
  <c r="DP230" i="13" s="1"/>
  <c r="DQ230" i="13" s="1"/>
  <c r="DR230" i="13" s="1"/>
  <c r="DS230" i="13" s="1"/>
  <c r="DT230" i="13" s="1"/>
  <c r="DU230" i="13" s="1"/>
  <c r="DV230" i="13" s="1"/>
  <c r="DW230" i="13" s="1"/>
  <c r="DX230" i="13" s="1"/>
  <c r="DY230" i="13" s="1"/>
  <c r="DZ230" i="13" s="1"/>
  <c r="EA230" i="13" s="1"/>
  <c r="EB230" i="13" s="1"/>
  <c r="EC230" i="13" s="1"/>
  <c r="ED230" i="13" s="1"/>
  <c r="EE230" i="13" s="1"/>
  <c r="EF230" i="13" s="1"/>
  <c r="EG230" i="13" s="1"/>
  <c r="EH230" i="13" s="1"/>
  <c r="DE228" i="13"/>
  <c r="DF228" i="13" s="1"/>
  <c r="DG228" i="13" s="1"/>
  <c r="DH228" i="13" s="1"/>
  <c r="DI228" i="13" s="1"/>
  <c r="DJ228" i="13" s="1"/>
  <c r="DK228" i="13" s="1"/>
  <c r="DL228" i="13" s="1"/>
  <c r="DM228" i="13" s="1"/>
  <c r="DN228" i="13" s="1"/>
  <c r="DO228" i="13" s="1"/>
  <c r="DP228" i="13" s="1"/>
  <c r="DQ228" i="13" s="1"/>
  <c r="DR228" i="13" s="1"/>
  <c r="DS228" i="13" s="1"/>
  <c r="DT228" i="13" s="1"/>
  <c r="DU228" i="13" s="1"/>
  <c r="DV228" i="13" s="1"/>
  <c r="DW228" i="13" s="1"/>
  <c r="DX228" i="13" s="1"/>
  <c r="DY228" i="13" s="1"/>
  <c r="DZ228" i="13" s="1"/>
  <c r="EA228" i="13" s="1"/>
  <c r="EB228" i="13" s="1"/>
  <c r="EC228" i="13" s="1"/>
  <c r="ED228" i="13" s="1"/>
  <c r="EE228" i="13" s="1"/>
  <c r="EF228" i="13" s="1"/>
  <c r="EG228" i="13" s="1"/>
  <c r="EH228" i="13" s="1"/>
  <c r="DE226" i="13"/>
  <c r="DF226" i="13" s="1"/>
  <c r="DG226" i="13" s="1"/>
  <c r="DH226" i="13" s="1"/>
  <c r="DI226" i="13" s="1"/>
  <c r="DJ226" i="13" s="1"/>
  <c r="DK226" i="13" s="1"/>
  <c r="DL226" i="13" s="1"/>
  <c r="DM226" i="13" s="1"/>
  <c r="DN226" i="13" s="1"/>
  <c r="DO226" i="13" s="1"/>
  <c r="DP226" i="13" s="1"/>
  <c r="DQ226" i="13" s="1"/>
  <c r="DR226" i="13" s="1"/>
  <c r="DS226" i="13" s="1"/>
  <c r="DT226" i="13" s="1"/>
  <c r="DU226" i="13" s="1"/>
  <c r="DV226" i="13" s="1"/>
  <c r="DW226" i="13" s="1"/>
  <c r="DX226" i="13" s="1"/>
  <c r="DY226" i="13" s="1"/>
  <c r="DZ226" i="13" s="1"/>
  <c r="EA226" i="13" s="1"/>
  <c r="EB226" i="13" s="1"/>
  <c r="EC226" i="13" s="1"/>
  <c r="ED226" i="13" s="1"/>
  <c r="EE226" i="13" s="1"/>
  <c r="EF226" i="13" s="1"/>
  <c r="EG226" i="13" s="1"/>
  <c r="EH226" i="13" s="1"/>
  <c r="DE174" i="13"/>
  <c r="DF174" i="13" s="1"/>
  <c r="DG174" i="13" s="1"/>
  <c r="DH174" i="13" s="1"/>
  <c r="DI174" i="13" s="1"/>
  <c r="DJ174" i="13" s="1"/>
  <c r="DK174" i="13" s="1"/>
  <c r="DL174" i="13" s="1"/>
  <c r="DM174" i="13" s="1"/>
  <c r="DN174" i="13" s="1"/>
  <c r="DO174" i="13" s="1"/>
  <c r="DP174" i="13" s="1"/>
  <c r="DQ174" i="13" s="1"/>
  <c r="DR174" i="13" s="1"/>
  <c r="DS174" i="13" s="1"/>
  <c r="DT174" i="13" s="1"/>
  <c r="DU174" i="13" s="1"/>
  <c r="DV174" i="13" s="1"/>
  <c r="DW174" i="13" s="1"/>
  <c r="DX174" i="13" s="1"/>
  <c r="DY174" i="13" s="1"/>
  <c r="DZ174" i="13" s="1"/>
  <c r="EA174" i="13" s="1"/>
  <c r="EB174" i="13" s="1"/>
  <c r="EC174" i="13" s="1"/>
  <c r="ED174" i="13" s="1"/>
  <c r="EE174" i="13" s="1"/>
  <c r="EF174" i="13" s="1"/>
  <c r="EG174" i="13" s="1"/>
  <c r="EH174" i="13" s="1"/>
  <c r="DE48" i="13"/>
  <c r="DF48" i="13" s="1"/>
  <c r="DG48" i="13" s="1"/>
  <c r="DH48" i="13" s="1"/>
  <c r="DI48" i="13" s="1"/>
  <c r="DJ48" i="13" s="1"/>
  <c r="DK48" i="13" s="1"/>
  <c r="DL48" i="13" s="1"/>
  <c r="DM48" i="13" s="1"/>
  <c r="DN48" i="13" s="1"/>
  <c r="DO48" i="13" s="1"/>
  <c r="DP48" i="13" s="1"/>
  <c r="DQ48" i="13" s="1"/>
  <c r="DR48" i="13" s="1"/>
  <c r="DS48" i="13" s="1"/>
  <c r="DT48" i="13" s="1"/>
  <c r="DU48" i="13" s="1"/>
  <c r="DV48" i="13" s="1"/>
  <c r="DW48" i="13" s="1"/>
  <c r="DX48" i="13" s="1"/>
  <c r="DY48" i="13" s="1"/>
  <c r="DZ48" i="13" s="1"/>
  <c r="EA48" i="13" s="1"/>
  <c r="EB48" i="13" s="1"/>
  <c r="EC48" i="13" s="1"/>
  <c r="ED48" i="13" s="1"/>
  <c r="EE48" i="13" s="1"/>
  <c r="EF48" i="13" s="1"/>
  <c r="EG48" i="13" s="1"/>
  <c r="EH48" i="13" s="1"/>
  <c r="DE46" i="13"/>
  <c r="DF46" i="13" s="1"/>
  <c r="DG46" i="13" s="1"/>
  <c r="DH46" i="13" s="1"/>
  <c r="DI46" i="13" s="1"/>
  <c r="DJ46" i="13" s="1"/>
  <c r="DK46" i="13" s="1"/>
  <c r="DL46" i="13" s="1"/>
  <c r="DM46" i="13" s="1"/>
  <c r="DN46" i="13" s="1"/>
  <c r="DO46" i="13" s="1"/>
  <c r="DP46" i="13" s="1"/>
  <c r="DQ46" i="13" s="1"/>
  <c r="DR46" i="13" s="1"/>
  <c r="DS46" i="13" s="1"/>
  <c r="DT46" i="13" s="1"/>
  <c r="DU46" i="13" s="1"/>
  <c r="DV46" i="13" s="1"/>
  <c r="DW46" i="13" s="1"/>
  <c r="DX46" i="13" s="1"/>
  <c r="DY46" i="13" s="1"/>
  <c r="DZ46" i="13" s="1"/>
  <c r="EA46" i="13" s="1"/>
  <c r="EB46" i="13" s="1"/>
  <c r="EC46" i="13" s="1"/>
  <c r="ED46" i="13" s="1"/>
  <c r="EE46" i="13" s="1"/>
  <c r="EF46" i="13" s="1"/>
  <c r="EG46" i="13" s="1"/>
  <c r="EH46" i="13" s="1"/>
  <c r="DE44" i="13"/>
  <c r="DF44" i="13" s="1"/>
  <c r="DG44" i="13" s="1"/>
  <c r="DH44" i="13" s="1"/>
  <c r="DI44" i="13" s="1"/>
  <c r="DJ44" i="13" s="1"/>
  <c r="DK44" i="13" s="1"/>
  <c r="DL44" i="13" s="1"/>
  <c r="DM44" i="13" s="1"/>
  <c r="DN44" i="13" s="1"/>
  <c r="DO44" i="13" s="1"/>
  <c r="DP44" i="13" s="1"/>
  <c r="DQ44" i="13" s="1"/>
  <c r="DR44" i="13" s="1"/>
  <c r="DS44" i="13" s="1"/>
  <c r="DT44" i="13" s="1"/>
  <c r="DU44" i="13" s="1"/>
  <c r="DV44" i="13" s="1"/>
  <c r="DW44" i="13" s="1"/>
  <c r="DX44" i="13" s="1"/>
  <c r="DY44" i="13" s="1"/>
  <c r="DZ44" i="13" s="1"/>
  <c r="EA44" i="13" s="1"/>
  <c r="EB44" i="13" s="1"/>
  <c r="EC44" i="13" s="1"/>
  <c r="ED44" i="13" s="1"/>
  <c r="EE44" i="13" s="1"/>
  <c r="EF44" i="13" s="1"/>
  <c r="EG44" i="13" s="1"/>
  <c r="EH44" i="13" s="1"/>
  <c r="DE42" i="13"/>
  <c r="DF42" i="13" s="1"/>
  <c r="DG42" i="13" s="1"/>
  <c r="DH42" i="13" s="1"/>
  <c r="DI42" i="13" s="1"/>
  <c r="DJ42" i="13" s="1"/>
  <c r="DK42" i="13" s="1"/>
  <c r="DL42" i="13" s="1"/>
  <c r="DM42" i="13" s="1"/>
  <c r="DN42" i="13" s="1"/>
  <c r="DO42" i="13" s="1"/>
  <c r="DP42" i="13" s="1"/>
  <c r="DQ42" i="13" s="1"/>
  <c r="DR42" i="13" s="1"/>
  <c r="DS42" i="13" s="1"/>
  <c r="DT42" i="13" s="1"/>
  <c r="DU42" i="13" s="1"/>
  <c r="DV42" i="13" s="1"/>
  <c r="DW42" i="13" s="1"/>
  <c r="DX42" i="13" s="1"/>
  <c r="DY42" i="13" s="1"/>
  <c r="DZ42" i="13" s="1"/>
  <c r="EA42" i="13" s="1"/>
  <c r="EB42" i="13" s="1"/>
  <c r="EC42" i="13" s="1"/>
  <c r="ED42" i="13" s="1"/>
  <c r="EE42" i="13" s="1"/>
  <c r="EF42" i="13" s="1"/>
  <c r="EG42" i="13" s="1"/>
  <c r="EH42" i="13" s="1"/>
  <c r="DE40" i="13"/>
  <c r="DF40" i="13" s="1"/>
  <c r="DG40" i="13" s="1"/>
  <c r="DH40" i="13" s="1"/>
  <c r="DI40" i="13" s="1"/>
  <c r="DJ40" i="13" s="1"/>
  <c r="DK40" i="13" s="1"/>
  <c r="DL40" i="13" s="1"/>
  <c r="DM40" i="13" s="1"/>
  <c r="DN40" i="13" s="1"/>
  <c r="DO40" i="13" s="1"/>
  <c r="DP40" i="13" s="1"/>
  <c r="DQ40" i="13" s="1"/>
  <c r="DR40" i="13" s="1"/>
  <c r="DS40" i="13" s="1"/>
  <c r="DT40" i="13" s="1"/>
  <c r="DU40" i="13" s="1"/>
  <c r="DV40" i="13" s="1"/>
  <c r="DW40" i="13" s="1"/>
  <c r="DX40" i="13" s="1"/>
  <c r="DY40" i="13" s="1"/>
  <c r="DZ40" i="13" s="1"/>
  <c r="EA40" i="13" s="1"/>
  <c r="EB40" i="13" s="1"/>
  <c r="EC40" i="13" s="1"/>
  <c r="ED40" i="13" s="1"/>
  <c r="EE40" i="13" s="1"/>
  <c r="EF40" i="13" s="1"/>
  <c r="EG40" i="13" s="1"/>
  <c r="EH40" i="13" s="1"/>
  <c r="DE38" i="13"/>
  <c r="DF38" i="13" s="1"/>
  <c r="DG38" i="13" s="1"/>
  <c r="DH38" i="13" s="1"/>
  <c r="DI38" i="13" s="1"/>
  <c r="DJ38" i="13" s="1"/>
  <c r="DK38" i="13" s="1"/>
  <c r="DL38" i="13" s="1"/>
  <c r="DM38" i="13" s="1"/>
  <c r="DN38" i="13" s="1"/>
  <c r="DO38" i="13" s="1"/>
  <c r="DP38" i="13" s="1"/>
  <c r="DQ38" i="13" s="1"/>
  <c r="DR38" i="13" s="1"/>
  <c r="DS38" i="13" s="1"/>
  <c r="DT38" i="13" s="1"/>
  <c r="DU38" i="13" s="1"/>
  <c r="DV38" i="13" s="1"/>
  <c r="DW38" i="13" s="1"/>
  <c r="DX38" i="13" s="1"/>
  <c r="DY38" i="13" s="1"/>
  <c r="DZ38" i="13" s="1"/>
  <c r="EA38" i="13" s="1"/>
  <c r="EB38" i="13" s="1"/>
  <c r="EC38" i="13" s="1"/>
  <c r="ED38" i="13" s="1"/>
  <c r="EE38" i="13" s="1"/>
  <c r="EF38" i="13" s="1"/>
  <c r="EG38" i="13" s="1"/>
  <c r="EH38" i="13" s="1"/>
  <c r="DE36" i="13"/>
  <c r="DF36" i="13" s="1"/>
  <c r="DG36" i="13" s="1"/>
  <c r="DH36" i="13" s="1"/>
  <c r="DI36" i="13" s="1"/>
  <c r="DJ36" i="13" s="1"/>
  <c r="DK36" i="13" s="1"/>
  <c r="DL36" i="13" s="1"/>
  <c r="DM36" i="13" s="1"/>
  <c r="DN36" i="13" s="1"/>
  <c r="DO36" i="13" s="1"/>
  <c r="DP36" i="13" s="1"/>
  <c r="DQ36" i="13" s="1"/>
  <c r="DR36" i="13" s="1"/>
  <c r="DS36" i="13" s="1"/>
  <c r="DT36" i="13" s="1"/>
  <c r="DU36" i="13" s="1"/>
  <c r="DV36" i="13" s="1"/>
  <c r="DW36" i="13" s="1"/>
  <c r="DX36" i="13" s="1"/>
  <c r="DY36" i="13" s="1"/>
  <c r="DZ36" i="13" s="1"/>
  <c r="EA36" i="13" s="1"/>
  <c r="EB36" i="13" s="1"/>
  <c r="EC36" i="13" s="1"/>
  <c r="ED36" i="13" s="1"/>
  <c r="EE36" i="13" s="1"/>
  <c r="EF36" i="13" s="1"/>
  <c r="EG36" i="13" s="1"/>
  <c r="EH36" i="13" s="1"/>
  <c r="DE34" i="13"/>
  <c r="DF34" i="13" s="1"/>
  <c r="DG34" i="13" s="1"/>
  <c r="DH34" i="13" s="1"/>
  <c r="DI34" i="13" s="1"/>
  <c r="DJ34" i="13" s="1"/>
  <c r="DK34" i="13" s="1"/>
  <c r="DL34" i="13" s="1"/>
  <c r="DM34" i="13" s="1"/>
  <c r="DN34" i="13" s="1"/>
  <c r="DO34" i="13" s="1"/>
  <c r="DP34" i="13" s="1"/>
  <c r="DQ34" i="13" s="1"/>
  <c r="DR34" i="13" s="1"/>
  <c r="DS34" i="13" s="1"/>
  <c r="DT34" i="13" s="1"/>
  <c r="DU34" i="13" s="1"/>
  <c r="DV34" i="13" s="1"/>
  <c r="DW34" i="13" s="1"/>
  <c r="DX34" i="13" s="1"/>
  <c r="DY34" i="13" s="1"/>
  <c r="DZ34" i="13" s="1"/>
  <c r="EA34" i="13" s="1"/>
  <c r="EB34" i="13" s="1"/>
  <c r="EC34" i="13" s="1"/>
  <c r="ED34" i="13" s="1"/>
  <c r="EE34" i="13" s="1"/>
  <c r="EF34" i="13" s="1"/>
  <c r="EG34" i="13" s="1"/>
  <c r="EH34" i="13" s="1"/>
  <c r="DE32" i="13"/>
  <c r="DF32" i="13" s="1"/>
  <c r="DG32" i="13" s="1"/>
  <c r="DH32" i="13" s="1"/>
  <c r="DI32" i="13" s="1"/>
  <c r="DJ32" i="13" s="1"/>
  <c r="DK32" i="13" s="1"/>
  <c r="DL32" i="13" s="1"/>
  <c r="DM32" i="13" s="1"/>
  <c r="DN32" i="13" s="1"/>
  <c r="DO32" i="13" s="1"/>
  <c r="DP32" i="13" s="1"/>
  <c r="DQ32" i="13" s="1"/>
  <c r="DR32" i="13" s="1"/>
  <c r="DS32" i="13" s="1"/>
  <c r="DT32" i="13" s="1"/>
  <c r="DU32" i="13" s="1"/>
  <c r="DV32" i="13" s="1"/>
  <c r="DW32" i="13" s="1"/>
  <c r="DX32" i="13" s="1"/>
  <c r="DY32" i="13" s="1"/>
  <c r="DZ32" i="13" s="1"/>
  <c r="EA32" i="13" s="1"/>
  <c r="EB32" i="13" s="1"/>
  <c r="EC32" i="13" s="1"/>
  <c r="ED32" i="13" s="1"/>
  <c r="EE32" i="13" s="1"/>
  <c r="EF32" i="13" s="1"/>
  <c r="EG32" i="13" s="1"/>
  <c r="EH32" i="13" s="1"/>
  <c r="DE30" i="13"/>
  <c r="DF30" i="13" s="1"/>
  <c r="DG30" i="13" s="1"/>
  <c r="DH30" i="13" s="1"/>
  <c r="DI30" i="13" s="1"/>
  <c r="DJ30" i="13" s="1"/>
  <c r="DK30" i="13" s="1"/>
  <c r="DL30" i="13" s="1"/>
  <c r="DM30" i="13" s="1"/>
  <c r="DN30" i="13" s="1"/>
  <c r="DO30" i="13" s="1"/>
  <c r="DP30" i="13" s="1"/>
  <c r="DQ30" i="13" s="1"/>
  <c r="DR30" i="13" s="1"/>
  <c r="DS30" i="13" s="1"/>
  <c r="DT30" i="13" s="1"/>
  <c r="DU30" i="13" s="1"/>
  <c r="DV30" i="13" s="1"/>
  <c r="DW30" i="13" s="1"/>
  <c r="DX30" i="13" s="1"/>
  <c r="DY30" i="13" s="1"/>
  <c r="DZ30" i="13" s="1"/>
  <c r="EA30" i="13" s="1"/>
  <c r="EB30" i="13" s="1"/>
  <c r="EC30" i="13" s="1"/>
  <c r="ED30" i="13" s="1"/>
  <c r="EE30" i="13" s="1"/>
  <c r="EF30" i="13" s="1"/>
  <c r="EG30" i="13" s="1"/>
  <c r="EH30" i="13" s="1"/>
  <c r="DE28" i="13"/>
  <c r="DF28" i="13" s="1"/>
  <c r="DG28" i="13" s="1"/>
  <c r="CA248" i="13"/>
  <c r="CB248" i="13" s="1"/>
  <c r="CC248" i="13" s="1"/>
  <c r="CD248" i="13" s="1"/>
  <c r="CE248" i="13" s="1"/>
  <c r="CF248" i="13" s="1"/>
  <c r="CG248" i="13" s="1"/>
  <c r="CH248" i="13" s="1"/>
  <c r="CI248" i="13" s="1"/>
  <c r="CJ248" i="13" s="1"/>
  <c r="CK248" i="13" s="1"/>
  <c r="CL248" i="13" s="1"/>
  <c r="CM248" i="13" s="1"/>
  <c r="CN248" i="13" s="1"/>
  <c r="CO248" i="13" s="1"/>
  <c r="CP248" i="13" s="1"/>
  <c r="CQ248" i="13" s="1"/>
  <c r="CR248" i="13" s="1"/>
  <c r="CS248" i="13" s="1"/>
  <c r="CT248" i="13" s="1"/>
  <c r="CU248" i="13" s="1"/>
  <c r="CV248" i="13" s="1"/>
  <c r="CW248" i="13" s="1"/>
  <c r="CX248" i="13" s="1"/>
  <c r="CY248" i="13" s="1"/>
  <c r="CZ248" i="13" s="1"/>
  <c r="DA248" i="13" s="1"/>
  <c r="DB248" i="13" s="1"/>
  <c r="DC248" i="13" s="1"/>
  <c r="DD248" i="13" s="1"/>
  <c r="CA242" i="13"/>
  <c r="CB242" i="13" s="1"/>
  <c r="CC242" i="13" s="1"/>
  <c r="CD242" i="13" s="1"/>
  <c r="CE242" i="13" s="1"/>
  <c r="CF242" i="13" s="1"/>
  <c r="CG242" i="13" s="1"/>
  <c r="CH242" i="13" s="1"/>
  <c r="CI242" i="13" s="1"/>
  <c r="CJ242" i="13" s="1"/>
  <c r="CK242" i="13" s="1"/>
  <c r="CL242" i="13" s="1"/>
  <c r="CM242" i="13" s="1"/>
  <c r="CN242" i="13" s="1"/>
  <c r="CO242" i="13" s="1"/>
  <c r="CP242" i="13" s="1"/>
  <c r="CQ242" i="13" s="1"/>
  <c r="CR242" i="13" s="1"/>
  <c r="CS242" i="13" s="1"/>
  <c r="CT242" i="13" s="1"/>
  <c r="CU242" i="13" s="1"/>
  <c r="CV242" i="13" s="1"/>
  <c r="CW242" i="13" s="1"/>
  <c r="CX242" i="13" s="1"/>
  <c r="CY242" i="13" s="1"/>
  <c r="CZ242" i="13" s="1"/>
  <c r="DA242" i="13" s="1"/>
  <c r="DB242" i="13" s="1"/>
  <c r="DC242" i="13" s="1"/>
  <c r="DD242" i="13" s="1"/>
  <c r="CA238" i="13"/>
  <c r="CB238" i="13" s="1"/>
  <c r="CC238" i="13" s="1"/>
  <c r="CD238" i="13" s="1"/>
  <c r="CE238" i="13" s="1"/>
  <c r="CF238" i="13" s="1"/>
  <c r="CG238" i="13" s="1"/>
  <c r="CH238" i="13" s="1"/>
  <c r="CI238" i="13" s="1"/>
  <c r="CJ238" i="13" s="1"/>
  <c r="CK238" i="13" s="1"/>
  <c r="CL238" i="13" s="1"/>
  <c r="CM238" i="13" s="1"/>
  <c r="CN238" i="13" s="1"/>
  <c r="CO238" i="13" s="1"/>
  <c r="CP238" i="13" s="1"/>
  <c r="CQ238" i="13" s="1"/>
  <c r="CR238" i="13" s="1"/>
  <c r="CS238" i="13" s="1"/>
  <c r="CT238" i="13" s="1"/>
  <c r="CU238" i="13" s="1"/>
  <c r="CV238" i="13" s="1"/>
  <c r="CW238" i="13" s="1"/>
  <c r="CX238" i="13" s="1"/>
  <c r="CY238" i="13" s="1"/>
  <c r="CZ238" i="13" s="1"/>
  <c r="DA238" i="13" s="1"/>
  <c r="DB238" i="13" s="1"/>
  <c r="DC238" i="13" s="1"/>
  <c r="DD238" i="13" s="1"/>
  <c r="CA234" i="13"/>
  <c r="CB234" i="13" s="1"/>
  <c r="CC234" i="13" s="1"/>
  <c r="CD234" i="13" s="1"/>
  <c r="CE234" i="13" s="1"/>
  <c r="CF234" i="13" s="1"/>
  <c r="CG234" i="13" s="1"/>
  <c r="CH234" i="13" s="1"/>
  <c r="CI234" i="13" s="1"/>
  <c r="CJ234" i="13" s="1"/>
  <c r="CK234" i="13" s="1"/>
  <c r="CL234" i="13" s="1"/>
  <c r="CM234" i="13" s="1"/>
  <c r="CN234" i="13" s="1"/>
  <c r="CO234" i="13" s="1"/>
  <c r="CP234" i="13" s="1"/>
  <c r="CQ234" i="13" s="1"/>
  <c r="CR234" i="13" s="1"/>
  <c r="CS234" i="13" s="1"/>
  <c r="CT234" i="13" s="1"/>
  <c r="CU234" i="13" s="1"/>
  <c r="CV234" i="13" s="1"/>
  <c r="CW234" i="13" s="1"/>
  <c r="CX234" i="13" s="1"/>
  <c r="CY234" i="13" s="1"/>
  <c r="CZ234" i="13" s="1"/>
  <c r="DA234" i="13" s="1"/>
  <c r="DB234" i="13" s="1"/>
  <c r="DC234" i="13" s="1"/>
  <c r="DD234" i="13" s="1"/>
  <c r="CA232" i="13"/>
  <c r="CB232" i="13" s="1"/>
  <c r="CC232" i="13" s="1"/>
  <c r="CD232" i="13" s="1"/>
  <c r="CE232" i="13" s="1"/>
  <c r="CF232" i="13" s="1"/>
  <c r="CG232" i="13" s="1"/>
  <c r="CH232" i="13" s="1"/>
  <c r="CI232" i="13" s="1"/>
  <c r="CJ232" i="13" s="1"/>
  <c r="CK232" i="13" s="1"/>
  <c r="CL232" i="13" s="1"/>
  <c r="CM232" i="13" s="1"/>
  <c r="CN232" i="13" s="1"/>
  <c r="CO232" i="13" s="1"/>
  <c r="CP232" i="13" s="1"/>
  <c r="CQ232" i="13" s="1"/>
  <c r="CR232" i="13" s="1"/>
  <c r="CS232" i="13" s="1"/>
  <c r="CT232" i="13" s="1"/>
  <c r="CU232" i="13" s="1"/>
  <c r="CV232" i="13" s="1"/>
  <c r="CW232" i="13" s="1"/>
  <c r="CX232" i="13" s="1"/>
  <c r="CY232" i="13" s="1"/>
  <c r="CZ232" i="13" s="1"/>
  <c r="DA232" i="13" s="1"/>
  <c r="DB232" i="13" s="1"/>
  <c r="DC232" i="13" s="1"/>
  <c r="DD232" i="13" s="1"/>
  <c r="CA230" i="13"/>
  <c r="CB230" i="13" s="1"/>
  <c r="CC230" i="13" s="1"/>
  <c r="CD230" i="13" s="1"/>
  <c r="CE230" i="13" s="1"/>
  <c r="CF230" i="13" s="1"/>
  <c r="CG230" i="13" s="1"/>
  <c r="CH230" i="13" s="1"/>
  <c r="CI230" i="13" s="1"/>
  <c r="CJ230" i="13" s="1"/>
  <c r="CK230" i="13" s="1"/>
  <c r="CL230" i="13" s="1"/>
  <c r="CM230" i="13" s="1"/>
  <c r="CN230" i="13" s="1"/>
  <c r="CO230" i="13" s="1"/>
  <c r="CP230" i="13" s="1"/>
  <c r="CQ230" i="13" s="1"/>
  <c r="CR230" i="13" s="1"/>
  <c r="CS230" i="13" s="1"/>
  <c r="CT230" i="13" s="1"/>
  <c r="CU230" i="13" s="1"/>
  <c r="CV230" i="13" s="1"/>
  <c r="CW230" i="13" s="1"/>
  <c r="CX230" i="13" s="1"/>
  <c r="CY230" i="13" s="1"/>
  <c r="CZ230" i="13" s="1"/>
  <c r="DA230" i="13" s="1"/>
  <c r="DB230" i="13" s="1"/>
  <c r="DC230" i="13" s="1"/>
  <c r="DD230" i="13" s="1"/>
  <c r="CA228" i="13"/>
  <c r="CB228" i="13" s="1"/>
  <c r="CC228" i="13" s="1"/>
  <c r="CD228" i="13" s="1"/>
  <c r="CE228" i="13" s="1"/>
  <c r="CF228" i="13" s="1"/>
  <c r="CG228" i="13" s="1"/>
  <c r="CH228" i="13" s="1"/>
  <c r="CI228" i="13" s="1"/>
  <c r="CJ228" i="13" s="1"/>
  <c r="CK228" i="13" s="1"/>
  <c r="CL228" i="13" s="1"/>
  <c r="CM228" i="13" s="1"/>
  <c r="CN228" i="13" s="1"/>
  <c r="CO228" i="13" s="1"/>
  <c r="CP228" i="13" s="1"/>
  <c r="CQ228" i="13" s="1"/>
  <c r="CR228" i="13" s="1"/>
  <c r="CS228" i="13" s="1"/>
  <c r="CT228" i="13" s="1"/>
  <c r="CU228" i="13" s="1"/>
  <c r="CV228" i="13" s="1"/>
  <c r="CW228" i="13" s="1"/>
  <c r="CX228" i="13" s="1"/>
  <c r="CY228" i="13" s="1"/>
  <c r="CZ228" i="13" s="1"/>
  <c r="DA228" i="13" s="1"/>
  <c r="DB228" i="13" s="1"/>
  <c r="DC228" i="13" s="1"/>
  <c r="DD228" i="13" s="1"/>
  <c r="CA226" i="13"/>
  <c r="CB226" i="13" s="1"/>
  <c r="CC226" i="13" s="1"/>
  <c r="CD226" i="13" s="1"/>
  <c r="CE226" i="13" s="1"/>
  <c r="CF226" i="13" s="1"/>
  <c r="CG226" i="13" s="1"/>
  <c r="CH226" i="13" s="1"/>
  <c r="CI226" i="13" s="1"/>
  <c r="CJ226" i="13" s="1"/>
  <c r="CK226" i="13" s="1"/>
  <c r="CL226" i="13" s="1"/>
  <c r="CM226" i="13" s="1"/>
  <c r="CN226" i="13" s="1"/>
  <c r="CO226" i="13" s="1"/>
  <c r="CP226" i="13" s="1"/>
  <c r="CQ226" i="13" s="1"/>
  <c r="CR226" i="13" s="1"/>
  <c r="CS226" i="13" s="1"/>
  <c r="CT226" i="13" s="1"/>
  <c r="CU226" i="13" s="1"/>
  <c r="CV226" i="13" s="1"/>
  <c r="CW226" i="13" s="1"/>
  <c r="CX226" i="13" s="1"/>
  <c r="CY226" i="13" s="1"/>
  <c r="CZ226" i="13" s="1"/>
  <c r="DA226" i="13" s="1"/>
  <c r="DB226" i="13" s="1"/>
  <c r="DC226" i="13" s="1"/>
  <c r="DD226" i="13" s="1"/>
  <c r="CA174" i="13"/>
  <c r="CB174" i="13" s="1"/>
  <c r="CC174" i="13" s="1"/>
  <c r="CD174" i="13" s="1"/>
  <c r="CE174" i="13" s="1"/>
  <c r="CF174" i="13" s="1"/>
  <c r="CG174" i="13" s="1"/>
  <c r="CH174" i="13" s="1"/>
  <c r="CI174" i="13" s="1"/>
  <c r="CJ174" i="13" s="1"/>
  <c r="CK174" i="13" s="1"/>
  <c r="CL174" i="13" s="1"/>
  <c r="CM174" i="13" s="1"/>
  <c r="CN174" i="13" s="1"/>
  <c r="CO174" i="13" s="1"/>
  <c r="CP174" i="13" s="1"/>
  <c r="CQ174" i="13" s="1"/>
  <c r="CR174" i="13" s="1"/>
  <c r="CS174" i="13" s="1"/>
  <c r="CT174" i="13" s="1"/>
  <c r="CU174" i="13" s="1"/>
  <c r="CV174" i="13" s="1"/>
  <c r="CW174" i="13" s="1"/>
  <c r="CX174" i="13" s="1"/>
  <c r="CY174" i="13" s="1"/>
  <c r="CZ174" i="13" s="1"/>
  <c r="DA174" i="13" s="1"/>
  <c r="DB174" i="13" s="1"/>
  <c r="DC174" i="13" s="1"/>
  <c r="DD174" i="13" s="1"/>
  <c r="CA58" i="13"/>
  <c r="CB58" i="13" s="1"/>
  <c r="CC58" i="13" s="1"/>
  <c r="CD58" i="13" s="1"/>
  <c r="CE58" i="13" s="1"/>
  <c r="CF58" i="13" s="1"/>
  <c r="CG58" i="13" s="1"/>
  <c r="CH58" i="13" s="1"/>
  <c r="CI58" i="13" s="1"/>
  <c r="CJ58" i="13" s="1"/>
  <c r="CK58" i="13" s="1"/>
  <c r="CL58" i="13" s="1"/>
  <c r="CM58" i="13" s="1"/>
  <c r="CN58" i="13" s="1"/>
  <c r="CO58" i="13" s="1"/>
  <c r="CP58" i="13" s="1"/>
  <c r="CQ58" i="13" s="1"/>
  <c r="CR58" i="13" s="1"/>
  <c r="CS58" i="13" s="1"/>
  <c r="CT58" i="13" s="1"/>
  <c r="CU58" i="13" s="1"/>
  <c r="CV58" i="13" s="1"/>
  <c r="CW58" i="13" s="1"/>
  <c r="CX58" i="13" s="1"/>
  <c r="CY58" i="13" s="1"/>
  <c r="CZ58" i="13" s="1"/>
  <c r="DA58" i="13" s="1"/>
  <c r="DB58" i="13" s="1"/>
  <c r="DC58" i="13" s="1"/>
  <c r="DD58" i="13" s="1"/>
  <c r="CA48" i="13"/>
  <c r="CB48" i="13" s="1"/>
  <c r="CC48" i="13" s="1"/>
  <c r="CD48" i="13" s="1"/>
  <c r="CE48" i="13" s="1"/>
  <c r="CF48" i="13" s="1"/>
  <c r="CG48" i="13" s="1"/>
  <c r="CH48" i="13" s="1"/>
  <c r="CI48" i="13" s="1"/>
  <c r="CJ48" i="13" s="1"/>
  <c r="CK48" i="13" s="1"/>
  <c r="CL48" i="13" s="1"/>
  <c r="CM48" i="13" s="1"/>
  <c r="CN48" i="13" s="1"/>
  <c r="CO48" i="13" s="1"/>
  <c r="CP48" i="13" s="1"/>
  <c r="CQ48" i="13" s="1"/>
  <c r="CR48" i="13" s="1"/>
  <c r="CS48" i="13" s="1"/>
  <c r="CT48" i="13" s="1"/>
  <c r="CU48" i="13" s="1"/>
  <c r="CV48" i="13" s="1"/>
  <c r="CW48" i="13" s="1"/>
  <c r="CX48" i="13" s="1"/>
  <c r="CY48" i="13" s="1"/>
  <c r="CZ48" i="13" s="1"/>
  <c r="DA48" i="13" s="1"/>
  <c r="DB48" i="13" s="1"/>
  <c r="DC48" i="13" s="1"/>
  <c r="DD48" i="13" s="1"/>
  <c r="CA46" i="13"/>
  <c r="CB46" i="13" s="1"/>
  <c r="CC46" i="13" s="1"/>
  <c r="CD46" i="13" s="1"/>
  <c r="CE46" i="13" s="1"/>
  <c r="CF46" i="13" s="1"/>
  <c r="CG46" i="13" s="1"/>
  <c r="CH46" i="13" s="1"/>
  <c r="CI46" i="13" s="1"/>
  <c r="CJ46" i="13" s="1"/>
  <c r="CK46" i="13" s="1"/>
  <c r="CL46" i="13" s="1"/>
  <c r="CM46" i="13" s="1"/>
  <c r="CN46" i="13" s="1"/>
  <c r="CO46" i="13" s="1"/>
  <c r="CP46" i="13" s="1"/>
  <c r="CQ46" i="13" s="1"/>
  <c r="CR46" i="13" s="1"/>
  <c r="CS46" i="13" s="1"/>
  <c r="CT46" i="13" s="1"/>
  <c r="CU46" i="13" s="1"/>
  <c r="CV46" i="13" s="1"/>
  <c r="CW46" i="13" s="1"/>
  <c r="CX46" i="13" s="1"/>
  <c r="CY46" i="13" s="1"/>
  <c r="CZ46" i="13" s="1"/>
  <c r="DA46" i="13" s="1"/>
  <c r="DB46" i="13" s="1"/>
  <c r="DC46" i="13" s="1"/>
  <c r="DD46" i="13" s="1"/>
  <c r="CA44" i="13"/>
  <c r="CB44" i="13" s="1"/>
  <c r="CC44" i="13" s="1"/>
  <c r="CD44" i="13" s="1"/>
  <c r="CE44" i="13" s="1"/>
  <c r="CF44" i="13" s="1"/>
  <c r="CG44" i="13" s="1"/>
  <c r="CH44" i="13" s="1"/>
  <c r="CI44" i="13" s="1"/>
  <c r="CJ44" i="13" s="1"/>
  <c r="CK44" i="13" s="1"/>
  <c r="CL44" i="13" s="1"/>
  <c r="CM44" i="13" s="1"/>
  <c r="CN44" i="13" s="1"/>
  <c r="CO44" i="13" s="1"/>
  <c r="CP44" i="13" s="1"/>
  <c r="CQ44" i="13" s="1"/>
  <c r="CR44" i="13" s="1"/>
  <c r="CS44" i="13" s="1"/>
  <c r="CT44" i="13" s="1"/>
  <c r="CU44" i="13" s="1"/>
  <c r="CV44" i="13" s="1"/>
  <c r="CW44" i="13" s="1"/>
  <c r="CX44" i="13" s="1"/>
  <c r="CY44" i="13" s="1"/>
  <c r="CZ44" i="13" s="1"/>
  <c r="DA44" i="13" s="1"/>
  <c r="DB44" i="13" s="1"/>
  <c r="DC44" i="13" s="1"/>
  <c r="DD44" i="13" s="1"/>
  <c r="CA42" i="13"/>
  <c r="CB42" i="13" s="1"/>
  <c r="CC42" i="13" s="1"/>
  <c r="CD42" i="13" s="1"/>
  <c r="CE42" i="13" s="1"/>
  <c r="CF42" i="13" s="1"/>
  <c r="CG42" i="13" s="1"/>
  <c r="CH42" i="13" s="1"/>
  <c r="CI42" i="13" s="1"/>
  <c r="CJ42" i="13" s="1"/>
  <c r="CK42" i="13" s="1"/>
  <c r="CL42" i="13" s="1"/>
  <c r="CM42" i="13" s="1"/>
  <c r="CN42" i="13" s="1"/>
  <c r="CO42" i="13" s="1"/>
  <c r="CP42" i="13" s="1"/>
  <c r="CQ42" i="13" s="1"/>
  <c r="CR42" i="13" s="1"/>
  <c r="CS42" i="13" s="1"/>
  <c r="CT42" i="13" s="1"/>
  <c r="CU42" i="13" s="1"/>
  <c r="CV42" i="13" s="1"/>
  <c r="CW42" i="13" s="1"/>
  <c r="CX42" i="13" s="1"/>
  <c r="CY42" i="13" s="1"/>
  <c r="CZ42" i="13" s="1"/>
  <c r="DA42" i="13" s="1"/>
  <c r="DB42" i="13" s="1"/>
  <c r="DC42" i="13" s="1"/>
  <c r="DD42" i="13" s="1"/>
  <c r="CA38" i="13"/>
  <c r="CB38" i="13" s="1"/>
  <c r="CC38" i="13" s="1"/>
  <c r="CD38" i="13" s="1"/>
  <c r="CE38" i="13" s="1"/>
  <c r="CF38" i="13" s="1"/>
  <c r="CG38" i="13" s="1"/>
  <c r="CH38" i="13" s="1"/>
  <c r="CI38" i="13" s="1"/>
  <c r="CJ38" i="13" s="1"/>
  <c r="CK38" i="13" s="1"/>
  <c r="CL38" i="13" s="1"/>
  <c r="CM38" i="13" s="1"/>
  <c r="CN38" i="13" s="1"/>
  <c r="CO38" i="13" s="1"/>
  <c r="CP38" i="13" s="1"/>
  <c r="CQ38" i="13" s="1"/>
  <c r="CR38" i="13" s="1"/>
  <c r="CS38" i="13" s="1"/>
  <c r="CT38" i="13" s="1"/>
  <c r="CU38" i="13" s="1"/>
  <c r="CV38" i="13" s="1"/>
  <c r="CW38" i="13" s="1"/>
  <c r="CX38" i="13" s="1"/>
  <c r="CY38" i="13" s="1"/>
  <c r="CZ38" i="13" s="1"/>
  <c r="DA38" i="13" s="1"/>
  <c r="DB38" i="13" s="1"/>
  <c r="DC38" i="13" s="1"/>
  <c r="DD38" i="13" s="1"/>
  <c r="CA36" i="13"/>
  <c r="CB36" i="13" s="1"/>
  <c r="CC36" i="13" s="1"/>
  <c r="CD36" i="13" s="1"/>
  <c r="CE36" i="13" s="1"/>
  <c r="CF36" i="13" s="1"/>
  <c r="CG36" i="13" s="1"/>
  <c r="CH36" i="13" s="1"/>
  <c r="CI36" i="13" s="1"/>
  <c r="CJ36" i="13" s="1"/>
  <c r="CK36" i="13" s="1"/>
  <c r="CL36" i="13" s="1"/>
  <c r="CM36" i="13" s="1"/>
  <c r="CN36" i="13" s="1"/>
  <c r="CO36" i="13" s="1"/>
  <c r="CP36" i="13" s="1"/>
  <c r="CQ36" i="13" s="1"/>
  <c r="CR36" i="13" s="1"/>
  <c r="CS36" i="13" s="1"/>
  <c r="CT36" i="13" s="1"/>
  <c r="CU36" i="13" s="1"/>
  <c r="CV36" i="13" s="1"/>
  <c r="CW36" i="13" s="1"/>
  <c r="CX36" i="13" s="1"/>
  <c r="CY36" i="13" s="1"/>
  <c r="CZ36" i="13" s="1"/>
  <c r="DA36" i="13" s="1"/>
  <c r="DB36" i="13" s="1"/>
  <c r="DC36" i="13" s="1"/>
  <c r="DD36" i="13" s="1"/>
  <c r="CA32" i="13"/>
  <c r="CB32" i="13" s="1"/>
  <c r="CC32" i="13" s="1"/>
  <c r="CD32" i="13" s="1"/>
  <c r="CE32" i="13" s="1"/>
  <c r="CF32" i="13" s="1"/>
  <c r="CG32" i="13" s="1"/>
  <c r="CH32" i="13" s="1"/>
  <c r="CI32" i="13" s="1"/>
  <c r="CJ32" i="13" s="1"/>
  <c r="CK32" i="13" s="1"/>
  <c r="CL32" i="13" s="1"/>
  <c r="CM32" i="13" s="1"/>
  <c r="CN32" i="13" s="1"/>
  <c r="CO32" i="13" s="1"/>
  <c r="CP32" i="13" s="1"/>
  <c r="CQ32" i="13" s="1"/>
  <c r="CR32" i="13" s="1"/>
  <c r="CS32" i="13" s="1"/>
  <c r="CT32" i="13" s="1"/>
  <c r="CU32" i="13" s="1"/>
  <c r="CV32" i="13" s="1"/>
  <c r="CW32" i="13" s="1"/>
  <c r="CX32" i="13" s="1"/>
  <c r="CY32" i="13" s="1"/>
  <c r="CZ32" i="13" s="1"/>
  <c r="DA32" i="13" s="1"/>
  <c r="DB32" i="13" s="1"/>
  <c r="DC32" i="13" s="1"/>
  <c r="DD32" i="13" s="1"/>
  <c r="CA30" i="13"/>
  <c r="CB30" i="13" s="1"/>
  <c r="CC30" i="13" s="1"/>
  <c r="CD30" i="13" s="1"/>
  <c r="CE30" i="13" s="1"/>
  <c r="CF30" i="13" s="1"/>
  <c r="CG30" i="13" s="1"/>
  <c r="CH30" i="13" s="1"/>
  <c r="CI30" i="13" s="1"/>
  <c r="CJ30" i="13" s="1"/>
  <c r="CK30" i="13" s="1"/>
  <c r="CL30" i="13" s="1"/>
  <c r="CM30" i="13" s="1"/>
  <c r="CN30" i="13" s="1"/>
  <c r="CO30" i="13" s="1"/>
  <c r="CP30" i="13" s="1"/>
  <c r="CQ30" i="13" s="1"/>
  <c r="CR30" i="13" s="1"/>
  <c r="CS30" i="13" s="1"/>
  <c r="CT30" i="13" s="1"/>
  <c r="CU30" i="13" s="1"/>
  <c r="CV30" i="13" s="1"/>
  <c r="CW30" i="13" s="1"/>
  <c r="CX30" i="13" s="1"/>
  <c r="CY30" i="13" s="1"/>
  <c r="CZ30" i="13" s="1"/>
  <c r="DA30" i="13" s="1"/>
  <c r="DB30" i="13" s="1"/>
  <c r="DC30" i="13" s="1"/>
  <c r="DD30" i="13" s="1"/>
  <c r="CA28" i="13"/>
  <c r="CB28" i="13" s="1"/>
  <c r="CC28" i="13" s="1"/>
  <c r="CD28" i="13" s="1"/>
  <c r="AW248" i="13"/>
  <c r="AX248" i="13" s="1"/>
  <c r="AY248" i="13" s="1"/>
  <c r="AZ248" i="13" s="1"/>
  <c r="BA248" i="13" s="1"/>
  <c r="BB248" i="13" s="1"/>
  <c r="BC248" i="13" s="1"/>
  <c r="BD248" i="13" s="1"/>
  <c r="BE248" i="13" s="1"/>
  <c r="BF248" i="13" s="1"/>
  <c r="BG248" i="13" s="1"/>
  <c r="BH248" i="13" s="1"/>
  <c r="BI248" i="13" s="1"/>
  <c r="BJ248" i="13" s="1"/>
  <c r="BK248" i="13" s="1"/>
  <c r="BL248" i="13" s="1"/>
  <c r="BM248" i="13" s="1"/>
  <c r="BN248" i="13" s="1"/>
  <c r="BO248" i="13" s="1"/>
  <c r="BP248" i="13" s="1"/>
  <c r="BQ248" i="13" s="1"/>
  <c r="BR248" i="13" s="1"/>
  <c r="BS248" i="13" s="1"/>
  <c r="BT248" i="13" s="1"/>
  <c r="BU248" i="13" s="1"/>
  <c r="BV248" i="13" s="1"/>
  <c r="BW248" i="13" s="1"/>
  <c r="BX248" i="13" s="1"/>
  <c r="BY248" i="13" s="1"/>
  <c r="BZ248" i="13" s="1"/>
  <c r="AW238" i="13"/>
  <c r="AX238" i="13" s="1"/>
  <c r="AY238" i="13" s="1"/>
  <c r="AZ238" i="13" s="1"/>
  <c r="BA238" i="13" s="1"/>
  <c r="BB238" i="13" s="1"/>
  <c r="BC238" i="13" s="1"/>
  <c r="BD238" i="13" s="1"/>
  <c r="BE238" i="13" s="1"/>
  <c r="BF238" i="13" s="1"/>
  <c r="BG238" i="13" s="1"/>
  <c r="BH238" i="13" s="1"/>
  <c r="BI238" i="13" s="1"/>
  <c r="BJ238" i="13" s="1"/>
  <c r="BK238" i="13" s="1"/>
  <c r="BL238" i="13" s="1"/>
  <c r="BM238" i="13" s="1"/>
  <c r="BN238" i="13" s="1"/>
  <c r="BO238" i="13" s="1"/>
  <c r="BP238" i="13" s="1"/>
  <c r="BQ238" i="13" s="1"/>
  <c r="BR238" i="13" s="1"/>
  <c r="BS238" i="13" s="1"/>
  <c r="BT238" i="13" s="1"/>
  <c r="BU238" i="13" s="1"/>
  <c r="BV238" i="13" s="1"/>
  <c r="BW238" i="13" s="1"/>
  <c r="BX238" i="13" s="1"/>
  <c r="BY238" i="13" s="1"/>
  <c r="BZ238" i="13" s="1"/>
  <c r="AW236" i="13"/>
  <c r="AX236" i="13" s="1"/>
  <c r="AY236" i="13" s="1"/>
  <c r="AZ236" i="13" s="1"/>
  <c r="BA236" i="13" s="1"/>
  <c r="BB236" i="13" s="1"/>
  <c r="BC236" i="13" s="1"/>
  <c r="BD236" i="13" s="1"/>
  <c r="BE236" i="13" s="1"/>
  <c r="BF236" i="13" s="1"/>
  <c r="BG236" i="13" s="1"/>
  <c r="BH236" i="13" s="1"/>
  <c r="BI236" i="13" s="1"/>
  <c r="BJ236" i="13" s="1"/>
  <c r="BK236" i="13" s="1"/>
  <c r="BL236" i="13" s="1"/>
  <c r="BM236" i="13" s="1"/>
  <c r="BN236" i="13" s="1"/>
  <c r="BO236" i="13" s="1"/>
  <c r="BP236" i="13" s="1"/>
  <c r="BQ236" i="13" s="1"/>
  <c r="BR236" i="13" s="1"/>
  <c r="BS236" i="13" s="1"/>
  <c r="BT236" i="13" s="1"/>
  <c r="BU236" i="13" s="1"/>
  <c r="BV236" i="13" s="1"/>
  <c r="BW236" i="13" s="1"/>
  <c r="BX236" i="13" s="1"/>
  <c r="BY236" i="13" s="1"/>
  <c r="BZ236" i="13" s="1"/>
  <c r="AW234" i="13"/>
  <c r="AX234" i="13" s="1"/>
  <c r="AY234" i="13" s="1"/>
  <c r="AZ234" i="13" s="1"/>
  <c r="BA234" i="13" s="1"/>
  <c r="BB234" i="13" s="1"/>
  <c r="BC234" i="13" s="1"/>
  <c r="BD234" i="13" s="1"/>
  <c r="BE234" i="13" s="1"/>
  <c r="BF234" i="13" s="1"/>
  <c r="BG234" i="13" s="1"/>
  <c r="BH234" i="13" s="1"/>
  <c r="BI234" i="13" s="1"/>
  <c r="BJ234" i="13" s="1"/>
  <c r="BK234" i="13" s="1"/>
  <c r="BL234" i="13" s="1"/>
  <c r="BM234" i="13" s="1"/>
  <c r="BN234" i="13" s="1"/>
  <c r="BO234" i="13" s="1"/>
  <c r="BP234" i="13" s="1"/>
  <c r="BQ234" i="13" s="1"/>
  <c r="BR234" i="13" s="1"/>
  <c r="BS234" i="13" s="1"/>
  <c r="BT234" i="13" s="1"/>
  <c r="BU234" i="13" s="1"/>
  <c r="BV234" i="13" s="1"/>
  <c r="BW234" i="13" s="1"/>
  <c r="BX234" i="13" s="1"/>
  <c r="BY234" i="13" s="1"/>
  <c r="BZ234" i="13" s="1"/>
  <c r="AW232" i="13"/>
  <c r="AX232" i="13" s="1"/>
  <c r="AY232" i="13" s="1"/>
  <c r="AZ232" i="13" s="1"/>
  <c r="BA232" i="13" s="1"/>
  <c r="BB232" i="13" s="1"/>
  <c r="BC232" i="13" s="1"/>
  <c r="BD232" i="13" s="1"/>
  <c r="BE232" i="13" s="1"/>
  <c r="BF232" i="13" s="1"/>
  <c r="BG232" i="13" s="1"/>
  <c r="BH232" i="13" s="1"/>
  <c r="BI232" i="13" s="1"/>
  <c r="BJ232" i="13" s="1"/>
  <c r="BK232" i="13" s="1"/>
  <c r="BL232" i="13" s="1"/>
  <c r="BM232" i="13" s="1"/>
  <c r="BN232" i="13" s="1"/>
  <c r="BO232" i="13" s="1"/>
  <c r="BP232" i="13" s="1"/>
  <c r="BQ232" i="13" s="1"/>
  <c r="BR232" i="13" s="1"/>
  <c r="BS232" i="13" s="1"/>
  <c r="BT232" i="13" s="1"/>
  <c r="BU232" i="13" s="1"/>
  <c r="BV232" i="13" s="1"/>
  <c r="BW232" i="13" s="1"/>
  <c r="BX232" i="13" s="1"/>
  <c r="BY232" i="13" s="1"/>
  <c r="BZ232" i="13" s="1"/>
  <c r="AW230" i="13"/>
  <c r="AX230" i="13" s="1"/>
  <c r="AY230" i="13" s="1"/>
  <c r="AZ230" i="13" s="1"/>
  <c r="BA230" i="13" s="1"/>
  <c r="BB230" i="13" s="1"/>
  <c r="BC230" i="13" s="1"/>
  <c r="BD230" i="13" s="1"/>
  <c r="BE230" i="13" s="1"/>
  <c r="BF230" i="13" s="1"/>
  <c r="BG230" i="13" s="1"/>
  <c r="BH230" i="13" s="1"/>
  <c r="BI230" i="13" s="1"/>
  <c r="BJ230" i="13" s="1"/>
  <c r="BK230" i="13" s="1"/>
  <c r="BL230" i="13" s="1"/>
  <c r="BM230" i="13" s="1"/>
  <c r="BN230" i="13" s="1"/>
  <c r="BO230" i="13" s="1"/>
  <c r="BP230" i="13" s="1"/>
  <c r="BQ230" i="13" s="1"/>
  <c r="BR230" i="13" s="1"/>
  <c r="BS230" i="13" s="1"/>
  <c r="BT230" i="13" s="1"/>
  <c r="BU230" i="13" s="1"/>
  <c r="BV230" i="13" s="1"/>
  <c r="BW230" i="13" s="1"/>
  <c r="BX230" i="13" s="1"/>
  <c r="BY230" i="13" s="1"/>
  <c r="BZ230" i="13" s="1"/>
  <c r="AW228" i="13"/>
  <c r="AX228" i="13" s="1"/>
  <c r="AY228" i="13" s="1"/>
  <c r="AZ228" i="13" s="1"/>
  <c r="BA228" i="13" s="1"/>
  <c r="BB228" i="13" s="1"/>
  <c r="BC228" i="13" s="1"/>
  <c r="BD228" i="13" s="1"/>
  <c r="BE228" i="13" s="1"/>
  <c r="BF228" i="13" s="1"/>
  <c r="BG228" i="13" s="1"/>
  <c r="BH228" i="13" s="1"/>
  <c r="BI228" i="13" s="1"/>
  <c r="BJ228" i="13" s="1"/>
  <c r="BK228" i="13" s="1"/>
  <c r="BL228" i="13" s="1"/>
  <c r="BM228" i="13" s="1"/>
  <c r="BN228" i="13" s="1"/>
  <c r="BO228" i="13" s="1"/>
  <c r="BP228" i="13" s="1"/>
  <c r="BQ228" i="13" s="1"/>
  <c r="BR228" i="13" s="1"/>
  <c r="BS228" i="13" s="1"/>
  <c r="BT228" i="13" s="1"/>
  <c r="BU228" i="13" s="1"/>
  <c r="BV228" i="13" s="1"/>
  <c r="BW228" i="13" s="1"/>
  <c r="BX228" i="13" s="1"/>
  <c r="BY228" i="13" s="1"/>
  <c r="BZ228" i="13" s="1"/>
  <c r="AW226" i="13"/>
  <c r="AX226" i="13" s="1"/>
  <c r="AY226" i="13" s="1"/>
  <c r="AZ226" i="13" s="1"/>
  <c r="BA226" i="13" s="1"/>
  <c r="BB226" i="13" s="1"/>
  <c r="BC226" i="13" s="1"/>
  <c r="BD226" i="13" s="1"/>
  <c r="BE226" i="13" s="1"/>
  <c r="BF226" i="13" s="1"/>
  <c r="BG226" i="13" s="1"/>
  <c r="BH226" i="13" s="1"/>
  <c r="BI226" i="13" s="1"/>
  <c r="BJ226" i="13" s="1"/>
  <c r="BK226" i="13" s="1"/>
  <c r="BL226" i="13" s="1"/>
  <c r="BM226" i="13" s="1"/>
  <c r="BN226" i="13" s="1"/>
  <c r="BO226" i="13" s="1"/>
  <c r="BP226" i="13" s="1"/>
  <c r="BQ226" i="13" s="1"/>
  <c r="BR226" i="13" s="1"/>
  <c r="BS226" i="13" s="1"/>
  <c r="BT226" i="13" s="1"/>
  <c r="BU226" i="13" s="1"/>
  <c r="BV226" i="13" s="1"/>
  <c r="BW226" i="13" s="1"/>
  <c r="BX226" i="13" s="1"/>
  <c r="BY226" i="13" s="1"/>
  <c r="BZ226" i="13" s="1"/>
  <c r="AW174" i="13"/>
  <c r="AX174" i="13" s="1"/>
  <c r="AY174" i="13" s="1"/>
  <c r="AZ174" i="13" s="1"/>
  <c r="BA174" i="13" s="1"/>
  <c r="BB174" i="13" s="1"/>
  <c r="BC174" i="13" s="1"/>
  <c r="BD174" i="13" s="1"/>
  <c r="BE174" i="13" s="1"/>
  <c r="BF174" i="13" s="1"/>
  <c r="BG174" i="13" s="1"/>
  <c r="BH174" i="13" s="1"/>
  <c r="BI174" i="13" s="1"/>
  <c r="BJ174" i="13" s="1"/>
  <c r="BK174" i="13" s="1"/>
  <c r="BL174" i="13" s="1"/>
  <c r="BM174" i="13" s="1"/>
  <c r="BN174" i="13" s="1"/>
  <c r="BO174" i="13" s="1"/>
  <c r="BP174" i="13" s="1"/>
  <c r="BQ174" i="13" s="1"/>
  <c r="BR174" i="13" s="1"/>
  <c r="BS174" i="13" s="1"/>
  <c r="BT174" i="13" s="1"/>
  <c r="BU174" i="13" s="1"/>
  <c r="BV174" i="13" s="1"/>
  <c r="BW174" i="13" s="1"/>
  <c r="BX174" i="13" s="1"/>
  <c r="BY174" i="13" s="1"/>
  <c r="BZ174" i="13" s="1"/>
  <c r="AW58" i="13"/>
  <c r="AX58" i="13" s="1"/>
  <c r="AY58" i="13" s="1"/>
  <c r="AZ58" i="13" s="1"/>
  <c r="BA58" i="13" s="1"/>
  <c r="BB58" i="13" s="1"/>
  <c r="BC58" i="13" s="1"/>
  <c r="BD58" i="13" s="1"/>
  <c r="BE58" i="13" s="1"/>
  <c r="BF58" i="13" s="1"/>
  <c r="BG58" i="13" s="1"/>
  <c r="BH58" i="13" s="1"/>
  <c r="BI58" i="13" s="1"/>
  <c r="BJ58" i="13" s="1"/>
  <c r="BK58" i="13" s="1"/>
  <c r="BL58" i="13" s="1"/>
  <c r="BM58" i="13" s="1"/>
  <c r="BN58" i="13" s="1"/>
  <c r="BO58" i="13" s="1"/>
  <c r="BP58" i="13" s="1"/>
  <c r="BQ58" i="13" s="1"/>
  <c r="BR58" i="13" s="1"/>
  <c r="BS58" i="13" s="1"/>
  <c r="BT58" i="13" s="1"/>
  <c r="BU58" i="13" s="1"/>
  <c r="BV58" i="13" s="1"/>
  <c r="BW58" i="13" s="1"/>
  <c r="BX58" i="13" s="1"/>
  <c r="BY58" i="13" s="1"/>
  <c r="BZ58" i="13" s="1"/>
  <c r="AW48" i="13"/>
  <c r="AX48" i="13" s="1"/>
  <c r="AY48" i="13" s="1"/>
  <c r="AZ48" i="13" s="1"/>
  <c r="BA48" i="13" s="1"/>
  <c r="BB48" i="13" s="1"/>
  <c r="BC48" i="13" s="1"/>
  <c r="BD48" i="13" s="1"/>
  <c r="BE48" i="13" s="1"/>
  <c r="BF48" i="13" s="1"/>
  <c r="BG48" i="13" s="1"/>
  <c r="BH48" i="13" s="1"/>
  <c r="BI48" i="13" s="1"/>
  <c r="BJ48" i="13" s="1"/>
  <c r="BK48" i="13" s="1"/>
  <c r="BL48" i="13" s="1"/>
  <c r="BM48" i="13" s="1"/>
  <c r="BN48" i="13" s="1"/>
  <c r="BO48" i="13" s="1"/>
  <c r="BP48" i="13" s="1"/>
  <c r="BQ48" i="13" s="1"/>
  <c r="BR48" i="13" s="1"/>
  <c r="BS48" i="13" s="1"/>
  <c r="BT48" i="13" s="1"/>
  <c r="BU48" i="13" s="1"/>
  <c r="BV48" i="13" s="1"/>
  <c r="BW48" i="13" s="1"/>
  <c r="BX48" i="13" s="1"/>
  <c r="BY48" i="13" s="1"/>
  <c r="BZ48" i="13" s="1"/>
  <c r="AW46" i="13"/>
  <c r="AX46" i="13" s="1"/>
  <c r="AY46" i="13" s="1"/>
  <c r="AZ46" i="13" s="1"/>
  <c r="BA46" i="13" s="1"/>
  <c r="BB46" i="13" s="1"/>
  <c r="BC46" i="13" s="1"/>
  <c r="BD46" i="13" s="1"/>
  <c r="BE46" i="13" s="1"/>
  <c r="BF46" i="13" s="1"/>
  <c r="BG46" i="13" s="1"/>
  <c r="BH46" i="13" s="1"/>
  <c r="BI46" i="13" s="1"/>
  <c r="BJ46" i="13" s="1"/>
  <c r="BK46" i="13" s="1"/>
  <c r="BL46" i="13" s="1"/>
  <c r="BM46" i="13" s="1"/>
  <c r="BN46" i="13" s="1"/>
  <c r="BO46" i="13" s="1"/>
  <c r="BP46" i="13" s="1"/>
  <c r="BQ46" i="13" s="1"/>
  <c r="BR46" i="13" s="1"/>
  <c r="BS46" i="13" s="1"/>
  <c r="BT46" i="13" s="1"/>
  <c r="BU46" i="13" s="1"/>
  <c r="BV46" i="13" s="1"/>
  <c r="BW46" i="13" s="1"/>
  <c r="BX46" i="13" s="1"/>
  <c r="BY46" i="13" s="1"/>
  <c r="BZ46" i="13" s="1"/>
  <c r="AW44" i="13"/>
  <c r="AX44" i="13" s="1"/>
  <c r="AY44" i="13" s="1"/>
  <c r="AZ44" i="13" s="1"/>
  <c r="BA44" i="13" s="1"/>
  <c r="BB44" i="13" s="1"/>
  <c r="BC44" i="13" s="1"/>
  <c r="BD44" i="13" s="1"/>
  <c r="BE44" i="13" s="1"/>
  <c r="BF44" i="13" s="1"/>
  <c r="BG44" i="13" s="1"/>
  <c r="BH44" i="13" s="1"/>
  <c r="BI44" i="13" s="1"/>
  <c r="BJ44" i="13" s="1"/>
  <c r="BK44" i="13" s="1"/>
  <c r="BL44" i="13" s="1"/>
  <c r="BM44" i="13" s="1"/>
  <c r="BN44" i="13" s="1"/>
  <c r="BO44" i="13" s="1"/>
  <c r="BP44" i="13" s="1"/>
  <c r="BQ44" i="13" s="1"/>
  <c r="BR44" i="13" s="1"/>
  <c r="BS44" i="13" s="1"/>
  <c r="BT44" i="13" s="1"/>
  <c r="BU44" i="13" s="1"/>
  <c r="BV44" i="13" s="1"/>
  <c r="BW44" i="13" s="1"/>
  <c r="BX44" i="13" s="1"/>
  <c r="BY44" i="13" s="1"/>
  <c r="BZ44" i="13" s="1"/>
  <c r="AW42" i="13"/>
  <c r="AX42" i="13" s="1"/>
  <c r="AY42" i="13" s="1"/>
  <c r="AZ42" i="13" s="1"/>
  <c r="BA42" i="13" s="1"/>
  <c r="BB42" i="13" s="1"/>
  <c r="BC42" i="13" s="1"/>
  <c r="BD42" i="13" s="1"/>
  <c r="BE42" i="13" s="1"/>
  <c r="BF42" i="13" s="1"/>
  <c r="BG42" i="13" s="1"/>
  <c r="BH42" i="13" s="1"/>
  <c r="BI42" i="13" s="1"/>
  <c r="BJ42" i="13" s="1"/>
  <c r="BK42" i="13" s="1"/>
  <c r="BL42" i="13" s="1"/>
  <c r="BM42" i="13" s="1"/>
  <c r="BN42" i="13" s="1"/>
  <c r="BO42" i="13" s="1"/>
  <c r="BP42" i="13" s="1"/>
  <c r="BQ42" i="13" s="1"/>
  <c r="BR42" i="13" s="1"/>
  <c r="BS42" i="13" s="1"/>
  <c r="BT42" i="13" s="1"/>
  <c r="BU42" i="13" s="1"/>
  <c r="BV42" i="13" s="1"/>
  <c r="BW42" i="13" s="1"/>
  <c r="BX42" i="13" s="1"/>
  <c r="BY42" i="13" s="1"/>
  <c r="BZ42" i="13" s="1"/>
  <c r="AW38" i="13"/>
  <c r="AX38" i="13" s="1"/>
  <c r="AY38" i="13" s="1"/>
  <c r="AZ38" i="13" s="1"/>
  <c r="BA38" i="13" s="1"/>
  <c r="BB38" i="13" s="1"/>
  <c r="BC38" i="13" s="1"/>
  <c r="BD38" i="13" s="1"/>
  <c r="BE38" i="13" s="1"/>
  <c r="BF38" i="13" s="1"/>
  <c r="BG38" i="13" s="1"/>
  <c r="BH38" i="13" s="1"/>
  <c r="BI38" i="13" s="1"/>
  <c r="BJ38" i="13" s="1"/>
  <c r="BK38" i="13" s="1"/>
  <c r="BL38" i="13" s="1"/>
  <c r="BM38" i="13" s="1"/>
  <c r="BN38" i="13" s="1"/>
  <c r="BO38" i="13" s="1"/>
  <c r="BP38" i="13" s="1"/>
  <c r="BQ38" i="13" s="1"/>
  <c r="BR38" i="13" s="1"/>
  <c r="BS38" i="13" s="1"/>
  <c r="BT38" i="13" s="1"/>
  <c r="BU38" i="13" s="1"/>
  <c r="BV38" i="13" s="1"/>
  <c r="BW38" i="13" s="1"/>
  <c r="BX38" i="13" s="1"/>
  <c r="BY38" i="13" s="1"/>
  <c r="BZ38" i="13" s="1"/>
  <c r="AW36" i="13"/>
  <c r="AX36" i="13" s="1"/>
  <c r="AY36" i="13" s="1"/>
  <c r="AZ36" i="13" s="1"/>
  <c r="BA36" i="13" s="1"/>
  <c r="BB36" i="13" s="1"/>
  <c r="BC36" i="13" s="1"/>
  <c r="BD36" i="13" s="1"/>
  <c r="BE36" i="13" s="1"/>
  <c r="BF36" i="13" s="1"/>
  <c r="BG36" i="13" s="1"/>
  <c r="BH36" i="13" s="1"/>
  <c r="BI36" i="13" s="1"/>
  <c r="BJ36" i="13" s="1"/>
  <c r="BK36" i="13" s="1"/>
  <c r="BL36" i="13" s="1"/>
  <c r="BM36" i="13" s="1"/>
  <c r="BN36" i="13" s="1"/>
  <c r="BO36" i="13" s="1"/>
  <c r="BP36" i="13" s="1"/>
  <c r="BQ36" i="13" s="1"/>
  <c r="BR36" i="13" s="1"/>
  <c r="BS36" i="13" s="1"/>
  <c r="BT36" i="13" s="1"/>
  <c r="BU36" i="13" s="1"/>
  <c r="BV36" i="13" s="1"/>
  <c r="BW36" i="13" s="1"/>
  <c r="BX36" i="13" s="1"/>
  <c r="BY36" i="13" s="1"/>
  <c r="BZ36" i="13" s="1"/>
  <c r="AW32" i="13"/>
  <c r="AX32" i="13" s="1"/>
  <c r="AY32" i="13" s="1"/>
  <c r="AZ32" i="13" s="1"/>
  <c r="BA32" i="13" s="1"/>
  <c r="BB32" i="13" s="1"/>
  <c r="BC32" i="13" s="1"/>
  <c r="BD32" i="13" s="1"/>
  <c r="BE32" i="13" s="1"/>
  <c r="BF32" i="13" s="1"/>
  <c r="BG32" i="13" s="1"/>
  <c r="BH32" i="13" s="1"/>
  <c r="BI32" i="13" s="1"/>
  <c r="BJ32" i="13" s="1"/>
  <c r="BK32" i="13" s="1"/>
  <c r="BL32" i="13" s="1"/>
  <c r="BM32" i="13" s="1"/>
  <c r="BN32" i="13" s="1"/>
  <c r="BO32" i="13" s="1"/>
  <c r="BP32" i="13" s="1"/>
  <c r="BQ32" i="13" s="1"/>
  <c r="BR32" i="13" s="1"/>
  <c r="BS32" i="13" s="1"/>
  <c r="BT32" i="13" s="1"/>
  <c r="BU32" i="13" s="1"/>
  <c r="BV32" i="13" s="1"/>
  <c r="BW32" i="13" s="1"/>
  <c r="BX32" i="13" s="1"/>
  <c r="BY32" i="13" s="1"/>
  <c r="BZ32" i="13" s="1"/>
  <c r="AW30" i="13"/>
  <c r="AX30" i="13" s="1"/>
  <c r="AY30" i="13" s="1"/>
  <c r="AZ30" i="13" s="1"/>
  <c r="BA30" i="13" s="1"/>
  <c r="BB30" i="13" s="1"/>
  <c r="BC30" i="13" s="1"/>
  <c r="BD30" i="13" s="1"/>
  <c r="BE30" i="13" s="1"/>
  <c r="BF30" i="13" s="1"/>
  <c r="BG30" i="13" s="1"/>
  <c r="BH30" i="13" s="1"/>
  <c r="BI30" i="13" s="1"/>
  <c r="BJ30" i="13" s="1"/>
  <c r="BK30" i="13" s="1"/>
  <c r="BL30" i="13" s="1"/>
  <c r="BM30" i="13" s="1"/>
  <c r="BN30" i="13" s="1"/>
  <c r="BO30" i="13" s="1"/>
  <c r="BP30" i="13" s="1"/>
  <c r="BQ30" i="13" s="1"/>
  <c r="BR30" i="13" s="1"/>
  <c r="BS30" i="13" s="1"/>
  <c r="BT30" i="13" s="1"/>
  <c r="BU30" i="13" s="1"/>
  <c r="BV30" i="13" s="1"/>
  <c r="BW30" i="13" s="1"/>
  <c r="BX30" i="13" s="1"/>
  <c r="BY30" i="13" s="1"/>
  <c r="BZ30" i="13" s="1"/>
  <c r="AW28" i="13"/>
  <c r="AV248" i="13"/>
  <c r="AU248" i="13"/>
  <c r="AT248" i="13"/>
  <c r="AS248" i="13"/>
  <c r="AR248" i="13"/>
  <c r="AQ248" i="13"/>
  <c r="AP248" i="13"/>
  <c r="AO248" i="13"/>
  <c r="AN248" i="13"/>
  <c r="AM248" i="13"/>
  <c r="AL248" i="13"/>
  <c r="AK248" i="13"/>
  <c r="AJ248" i="13"/>
  <c r="AI248" i="13"/>
  <c r="AH248" i="13"/>
  <c r="AG248" i="13"/>
  <c r="AF248" i="13"/>
  <c r="AE248" i="13"/>
  <c r="AD248" i="13"/>
  <c r="AC248" i="13"/>
  <c r="AB248" i="13"/>
  <c r="AA248" i="13"/>
  <c r="Z248" i="13"/>
  <c r="Y248" i="13"/>
  <c r="X248" i="13"/>
  <c r="W248" i="13"/>
  <c r="V248" i="13"/>
  <c r="U248" i="13"/>
  <c r="T248" i="13"/>
  <c r="AV242" i="13"/>
  <c r="AU242" i="13"/>
  <c r="AT242" i="13"/>
  <c r="AS242" i="13"/>
  <c r="AR242" i="13"/>
  <c r="AQ242" i="13"/>
  <c r="AP242" i="13"/>
  <c r="AO242" i="13"/>
  <c r="AN242" i="13"/>
  <c r="AM242" i="13"/>
  <c r="AL242" i="13"/>
  <c r="AK242" i="13"/>
  <c r="AJ242" i="13"/>
  <c r="AI242" i="13"/>
  <c r="AH242" i="13"/>
  <c r="AG242" i="13"/>
  <c r="AF242" i="13"/>
  <c r="AE242" i="13"/>
  <c r="AD242" i="13"/>
  <c r="AC242" i="13"/>
  <c r="AB242" i="13"/>
  <c r="AA242" i="13"/>
  <c r="Z242" i="13"/>
  <c r="Y242" i="13"/>
  <c r="X242" i="13"/>
  <c r="W242" i="13"/>
  <c r="V242" i="13"/>
  <c r="U242" i="13"/>
  <c r="T242" i="13"/>
  <c r="AV238" i="13"/>
  <c r="AU238" i="13"/>
  <c r="AT238" i="13"/>
  <c r="AS238" i="13"/>
  <c r="AR238" i="13"/>
  <c r="AQ238" i="13"/>
  <c r="AP238" i="13"/>
  <c r="AO238" i="13"/>
  <c r="AN238" i="13"/>
  <c r="AM238" i="13"/>
  <c r="AL238" i="13"/>
  <c r="AK238" i="13"/>
  <c r="AJ238" i="13"/>
  <c r="AI238" i="13"/>
  <c r="AH238" i="13"/>
  <c r="AG238" i="13"/>
  <c r="AF238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AV236" i="13"/>
  <c r="AU236" i="13"/>
  <c r="AT236" i="13"/>
  <c r="AS236" i="13"/>
  <c r="AR236" i="13"/>
  <c r="AQ236" i="13"/>
  <c r="AP236" i="13"/>
  <c r="AO236" i="13"/>
  <c r="AN236" i="13"/>
  <c r="AM236" i="13"/>
  <c r="AL236" i="13"/>
  <c r="AK236" i="13"/>
  <c r="AJ236" i="13"/>
  <c r="AI236" i="13"/>
  <c r="AH236" i="13"/>
  <c r="AG236" i="13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AV234" i="13"/>
  <c r="AU234" i="13"/>
  <c r="AT234" i="13"/>
  <c r="AS234" i="13"/>
  <c r="AR234" i="13"/>
  <c r="AQ234" i="13"/>
  <c r="AP234" i="13"/>
  <c r="AO234" i="13"/>
  <c r="AN234" i="13"/>
  <c r="AM234" i="13"/>
  <c r="AL234" i="13"/>
  <c r="AK234" i="13"/>
  <c r="AJ234" i="13"/>
  <c r="AI234" i="13"/>
  <c r="AH234" i="13"/>
  <c r="AG234" i="13"/>
  <c r="AF234" i="13"/>
  <c r="AE234" i="13"/>
  <c r="AD234" i="13"/>
  <c r="AC234" i="13"/>
  <c r="AB234" i="13"/>
  <c r="AA234" i="13"/>
  <c r="Z234" i="13"/>
  <c r="Y234" i="13"/>
  <c r="X234" i="13"/>
  <c r="W234" i="13"/>
  <c r="V234" i="13"/>
  <c r="U234" i="13"/>
  <c r="T234" i="13"/>
  <c r="AV232" i="13"/>
  <c r="AU232" i="13"/>
  <c r="AT232" i="13"/>
  <c r="AS232" i="13"/>
  <c r="AR232" i="13"/>
  <c r="AQ232" i="13"/>
  <c r="AP232" i="13"/>
  <c r="AO232" i="13"/>
  <c r="AN232" i="13"/>
  <c r="AM232" i="13"/>
  <c r="AL232" i="13"/>
  <c r="AK232" i="13"/>
  <c r="AJ232" i="13"/>
  <c r="AI232" i="13"/>
  <c r="AH232" i="13"/>
  <c r="AG232" i="13"/>
  <c r="AF232" i="13"/>
  <c r="AE232" i="13"/>
  <c r="AD232" i="13"/>
  <c r="AC232" i="13"/>
  <c r="AB232" i="13"/>
  <c r="AA232" i="13"/>
  <c r="Z232" i="13"/>
  <c r="Y232" i="13"/>
  <c r="X232" i="13"/>
  <c r="W232" i="13"/>
  <c r="V232" i="13"/>
  <c r="U232" i="13"/>
  <c r="T232" i="13"/>
  <c r="AV230" i="13"/>
  <c r="AU230" i="13"/>
  <c r="AT230" i="13"/>
  <c r="AS230" i="13"/>
  <c r="AR230" i="13"/>
  <c r="AQ230" i="13"/>
  <c r="AP230" i="13"/>
  <c r="AO230" i="13"/>
  <c r="AN230" i="13"/>
  <c r="AM230" i="13"/>
  <c r="AL230" i="13"/>
  <c r="AK230" i="13"/>
  <c r="AJ230" i="13"/>
  <c r="AI230" i="13"/>
  <c r="AH230" i="13"/>
  <c r="AG230" i="13"/>
  <c r="AF230" i="13"/>
  <c r="AE230" i="13"/>
  <c r="AD230" i="13"/>
  <c r="AC230" i="13"/>
  <c r="AB230" i="13"/>
  <c r="AA230" i="13"/>
  <c r="Z230" i="13"/>
  <c r="Y230" i="13"/>
  <c r="X230" i="13"/>
  <c r="W230" i="13"/>
  <c r="V230" i="13"/>
  <c r="U230" i="13"/>
  <c r="T230" i="13"/>
  <c r="AV228" i="13"/>
  <c r="AU228" i="13"/>
  <c r="AT228" i="13"/>
  <c r="AS228" i="13"/>
  <c r="AR228" i="13"/>
  <c r="AQ228" i="13"/>
  <c r="AP228" i="13"/>
  <c r="AO228" i="13"/>
  <c r="AN228" i="13"/>
  <c r="AM228" i="13"/>
  <c r="AL228" i="13"/>
  <c r="AK228" i="13"/>
  <c r="AJ228" i="13"/>
  <c r="AI228" i="13"/>
  <c r="AH228" i="13"/>
  <c r="AG228" i="13"/>
  <c r="AF228" i="13"/>
  <c r="AE228" i="13"/>
  <c r="AD228" i="13"/>
  <c r="AC228" i="13"/>
  <c r="AB228" i="13"/>
  <c r="AA228" i="13"/>
  <c r="Z228" i="13"/>
  <c r="Y228" i="13"/>
  <c r="X228" i="13"/>
  <c r="W228" i="13"/>
  <c r="V228" i="13"/>
  <c r="U228" i="13"/>
  <c r="T228" i="13"/>
  <c r="AV226" i="13"/>
  <c r="AU226" i="13"/>
  <c r="AT226" i="13"/>
  <c r="AS226" i="13"/>
  <c r="AR226" i="13"/>
  <c r="AQ226" i="13"/>
  <c r="AP226" i="13"/>
  <c r="AO226" i="13"/>
  <c r="AN226" i="13"/>
  <c r="AM226" i="13"/>
  <c r="AL226" i="13"/>
  <c r="AK226" i="13"/>
  <c r="AJ226" i="13"/>
  <c r="AI226" i="13"/>
  <c r="AH226" i="13"/>
  <c r="AG226" i="13"/>
  <c r="AF226" i="13"/>
  <c r="AE226" i="13"/>
  <c r="AD226" i="13"/>
  <c r="AC226" i="13"/>
  <c r="AB226" i="13"/>
  <c r="AA226" i="13"/>
  <c r="Z226" i="13"/>
  <c r="Y226" i="13"/>
  <c r="X226" i="13"/>
  <c r="W226" i="13"/>
  <c r="V226" i="13"/>
  <c r="U226" i="13"/>
  <c r="T226" i="13"/>
  <c r="S248" i="13"/>
  <c r="S242" i="13"/>
  <c r="S238" i="13"/>
  <c r="S236" i="13"/>
  <c r="S234" i="13"/>
  <c r="S232" i="13"/>
  <c r="S230" i="13"/>
  <c r="S228" i="13"/>
  <c r="S226" i="13"/>
  <c r="S174" i="13"/>
  <c r="T174" i="13" s="1"/>
  <c r="U174" i="13" s="1"/>
  <c r="V174" i="13" s="1"/>
  <c r="S58" i="13"/>
  <c r="T58" i="13" s="1"/>
  <c r="U58" i="13" s="1"/>
  <c r="V58" i="13" s="1"/>
  <c r="W58" i="13" s="1"/>
  <c r="X58" i="13" s="1"/>
  <c r="Y58" i="13" s="1"/>
  <c r="Z58" i="13" s="1"/>
  <c r="AA58" i="13" s="1"/>
  <c r="AB58" i="13" s="1"/>
  <c r="AC58" i="13" s="1"/>
  <c r="AD58" i="13" s="1"/>
  <c r="AE58" i="13" s="1"/>
  <c r="AF58" i="13" s="1"/>
  <c r="AG58" i="13" s="1"/>
  <c r="AH58" i="13" s="1"/>
  <c r="AI58" i="13" s="1"/>
  <c r="AJ58" i="13" s="1"/>
  <c r="AK58" i="13" s="1"/>
  <c r="AL58" i="13" s="1"/>
  <c r="AM58" i="13" s="1"/>
  <c r="AN58" i="13" s="1"/>
  <c r="AO58" i="13" s="1"/>
  <c r="AP58" i="13" s="1"/>
  <c r="AQ58" i="13" s="1"/>
  <c r="AR58" i="13" s="1"/>
  <c r="AS58" i="13" s="1"/>
  <c r="AT58" i="13" s="1"/>
  <c r="AU58" i="13" s="1"/>
  <c r="AV58" i="13" s="1"/>
  <c r="S48" i="13"/>
  <c r="T48" i="13" s="1"/>
  <c r="U48" i="13" s="1"/>
  <c r="V48" i="13" s="1"/>
  <c r="W48" i="13" s="1"/>
  <c r="X48" i="13" s="1"/>
  <c r="Y48" i="13" s="1"/>
  <c r="Z48" i="13" s="1"/>
  <c r="AA48" i="13" s="1"/>
  <c r="AB48" i="13" s="1"/>
  <c r="AC48" i="13" s="1"/>
  <c r="AD48" i="13" s="1"/>
  <c r="AE48" i="13" s="1"/>
  <c r="AF48" i="13" s="1"/>
  <c r="AG48" i="13" s="1"/>
  <c r="AH48" i="13" s="1"/>
  <c r="AI48" i="13" s="1"/>
  <c r="AJ48" i="13" s="1"/>
  <c r="AK48" i="13" s="1"/>
  <c r="AL48" i="13" s="1"/>
  <c r="AM48" i="13" s="1"/>
  <c r="AN48" i="13" s="1"/>
  <c r="AO48" i="13" s="1"/>
  <c r="AP48" i="13" s="1"/>
  <c r="AQ48" i="13" s="1"/>
  <c r="AR48" i="13" s="1"/>
  <c r="AS48" i="13" s="1"/>
  <c r="AT48" i="13" s="1"/>
  <c r="AU48" i="13" s="1"/>
  <c r="AV48" i="13" s="1"/>
  <c r="S46" i="13"/>
  <c r="T46" i="13" s="1"/>
  <c r="U46" i="13" s="1"/>
  <c r="V46" i="13" s="1"/>
  <c r="W46" i="13" s="1"/>
  <c r="X46" i="13" s="1"/>
  <c r="Y46" i="13" s="1"/>
  <c r="Z46" i="13" s="1"/>
  <c r="AA46" i="13" s="1"/>
  <c r="AB46" i="13" s="1"/>
  <c r="AC46" i="13" s="1"/>
  <c r="AD46" i="13" s="1"/>
  <c r="AE46" i="13" s="1"/>
  <c r="AF46" i="13" s="1"/>
  <c r="AG46" i="13" s="1"/>
  <c r="AH46" i="13" s="1"/>
  <c r="AI46" i="13" s="1"/>
  <c r="AJ46" i="13" s="1"/>
  <c r="AK46" i="13" s="1"/>
  <c r="AL46" i="13" s="1"/>
  <c r="AM46" i="13" s="1"/>
  <c r="AN46" i="13" s="1"/>
  <c r="AO46" i="13" s="1"/>
  <c r="AP46" i="13" s="1"/>
  <c r="AQ46" i="13" s="1"/>
  <c r="AR46" i="13" s="1"/>
  <c r="AS46" i="13" s="1"/>
  <c r="AT46" i="13" s="1"/>
  <c r="AU46" i="13" s="1"/>
  <c r="AV46" i="13" s="1"/>
  <c r="S42" i="13"/>
  <c r="T42" i="13" s="1"/>
  <c r="U42" i="13" s="1"/>
  <c r="V42" i="13" s="1"/>
  <c r="W42" i="13" s="1"/>
  <c r="X42" i="13" s="1"/>
  <c r="Y42" i="13" s="1"/>
  <c r="Z42" i="13" s="1"/>
  <c r="AA42" i="13" s="1"/>
  <c r="AB42" i="13" s="1"/>
  <c r="AC42" i="13" s="1"/>
  <c r="AD42" i="13" s="1"/>
  <c r="AE42" i="13" s="1"/>
  <c r="AF42" i="13" s="1"/>
  <c r="AG42" i="13" s="1"/>
  <c r="AH42" i="13" s="1"/>
  <c r="AI42" i="13" s="1"/>
  <c r="AJ42" i="13" s="1"/>
  <c r="AK42" i="13" s="1"/>
  <c r="AL42" i="13" s="1"/>
  <c r="AM42" i="13" s="1"/>
  <c r="AN42" i="13" s="1"/>
  <c r="AO42" i="13" s="1"/>
  <c r="AP42" i="13" s="1"/>
  <c r="AQ42" i="13" s="1"/>
  <c r="AR42" i="13" s="1"/>
  <c r="AS42" i="13" s="1"/>
  <c r="AT42" i="13" s="1"/>
  <c r="AU42" i="13" s="1"/>
  <c r="AV42" i="13" s="1"/>
  <c r="S38" i="13"/>
  <c r="T38" i="13" s="1"/>
  <c r="U38" i="13" s="1"/>
  <c r="V38" i="13" s="1"/>
  <c r="W38" i="13" s="1"/>
  <c r="X38" i="13" s="1"/>
  <c r="Y38" i="13" s="1"/>
  <c r="Z38" i="13" s="1"/>
  <c r="AA38" i="13" s="1"/>
  <c r="AB38" i="13" s="1"/>
  <c r="AC38" i="13" s="1"/>
  <c r="AD38" i="13" s="1"/>
  <c r="AE38" i="13" s="1"/>
  <c r="AF38" i="13" s="1"/>
  <c r="AG38" i="13" s="1"/>
  <c r="AH38" i="13" s="1"/>
  <c r="AI38" i="13" s="1"/>
  <c r="AJ38" i="13" s="1"/>
  <c r="AK38" i="13" s="1"/>
  <c r="AL38" i="13" s="1"/>
  <c r="AM38" i="13" s="1"/>
  <c r="AN38" i="13" s="1"/>
  <c r="AO38" i="13" s="1"/>
  <c r="AP38" i="13" s="1"/>
  <c r="AQ38" i="13" s="1"/>
  <c r="AR38" i="13" s="1"/>
  <c r="AS38" i="13" s="1"/>
  <c r="AT38" i="13" s="1"/>
  <c r="AU38" i="13" s="1"/>
  <c r="AV38" i="13" s="1"/>
  <c r="S36" i="13"/>
  <c r="U23" i="13"/>
  <c r="V23" i="13" s="1"/>
  <c r="W23" i="13" s="1"/>
  <c r="X23" i="13" s="1"/>
  <c r="Y23" i="13" s="1"/>
  <c r="Z23" i="13" s="1"/>
  <c r="AA23" i="13" s="1"/>
  <c r="AB23" i="13" s="1"/>
  <c r="AC23" i="13" s="1"/>
  <c r="AD23" i="13" s="1"/>
  <c r="AE23" i="13" s="1"/>
  <c r="AF23" i="13" s="1"/>
  <c r="AG23" i="13" s="1"/>
  <c r="AH23" i="13" s="1"/>
  <c r="AI23" i="13" s="1"/>
  <c r="AJ23" i="13" s="1"/>
  <c r="AK23" i="13" s="1"/>
  <c r="AL23" i="13" s="1"/>
  <c r="AN23" i="13" s="1"/>
  <c r="AO23" i="13" s="1"/>
  <c r="AP23" i="13" s="1"/>
  <c r="AQ23" i="13" s="1"/>
  <c r="AR23" i="13" s="1"/>
  <c r="AS23" i="13" s="1"/>
  <c r="AT23" i="13" s="1"/>
  <c r="AU23" i="13" s="1"/>
  <c r="AV23" i="13" s="1"/>
  <c r="AW23" i="13" s="1"/>
  <c r="AX23" i="13" s="1"/>
  <c r="AY23" i="13" s="1"/>
  <c r="AZ23" i="13" s="1"/>
  <c r="BA23" i="13" s="1"/>
  <c r="BB23" i="13" s="1"/>
  <c r="BC23" i="13" s="1"/>
  <c r="BD23" i="13" s="1"/>
  <c r="BE23" i="13" s="1"/>
  <c r="BF23" i="13" s="1"/>
  <c r="BG23" i="13" s="1"/>
  <c r="BH23" i="13" s="1"/>
  <c r="BI23" i="13" s="1"/>
  <c r="BJ23" i="13" s="1"/>
  <c r="BK23" i="13" s="1"/>
  <c r="BL23" i="13" s="1"/>
  <c r="BM23" i="13" s="1"/>
  <c r="BN23" i="13" s="1"/>
  <c r="BP23" i="13" s="1"/>
  <c r="BQ23" i="13" s="1"/>
  <c r="BR23" i="13" s="1"/>
  <c r="BS23" i="13" s="1"/>
  <c r="BT23" i="13" s="1"/>
  <c r="BU23" i="13" s="1"/>
  <c r="BV23" i="13" s="1"/>
  <c r="BW23" i="13" s="1"/>
  <c r="BX23" i="13" s="1"/>
  <c r="BY23" i="13" s="1"/>
  <c r="BZ23" i="13" s="1"/>
  <c r="CA23" i="13" s="1"/>
  <c r="CB23" i="13" s="1"/>
  <c r="CC23" i="13" s="1"/>
  <c r="CD23" i="13" s="1"/>
  <c r="CE23" i="13" s="1"/>
  <c r="CF23" i="13" s="1"/>
  <c r="CG23" i="13" s="1"/>
  <c r="CH23" i="13" s="1"/>
  <c r="CI23" i="13" s="1"/>
  <c r="CJ23" i="13" s="1"/>
  <c r="CK23" i="13" s="1"/>
  <c r="CL23" i="13" s="1"/>
  <c r="CM23" i="13" s="1"/>
  <c r="CN23" i="13" s="1"/>
  <c r="CO23" i="13" s="1"/>
  <c r="CP23" i="13" s="1"/>
  <c r="CQ23" i="13" s="1"/>
  <c r="CR23" i="13" s="1"/>
  <c r="CS23" i="13" s="1"/>
  <c r="CU23" i="13" s="1"/>
  <c r="CV23" i="13" s="1"/>
  <c r="CW23" i="13" s="1"/>
  <c r="CX23" i="13" s="1"/>
  <c r="CY23" i="13" s="1"/>
  <c r="CZ23" i="13" s="1"/>
  <c r="DA23" i="13" s="1"/>
  <c r="DB23" i="13" s="1"/>
  <c r="DC23" i="13" s="1"/>
  <c r="DD23" i="13" s="1"/>
  <c r="DE23" i="13" s="1"/>
  <c r="DF23" i="13" s="1"/>
  <c r="DG23" i="13" s="1"/>
  <c r="DH23" i="13" s="1"/>
  <c r="DI23" i="13" s="1"/>
  <c r="DJ23" i="13" s="1"/>
  <c r="DK23" i="13" s="1"/>
  <c r="DL23" i="13" s="1"/>
  <c r="DM23" i="13" s="1"/>
  <c r="DN23" i="13" s="1"/>
  <c r="DO23" i="13" s="1"/>
  <c r="DP23" i="13" s="1"/>
  <c r="DQ23" i="13" s="1"/>
  <c r="DR23" i="13" s="1"/>
  <c r="DS23" i="13" s="1"/>
  <c r="DT23" i="13" s="1"/>
  <c r="DU23" i="13" s="1"/>
  <c r="DV23" i="13" s="1"/>
  <c r="DW23" i="13" s="1"/>
  <c r="DY23" i="13" s="1"/>
  <c r="DZ23" i="13" s="1"/>
  <c r="EA23" i="13" s="1"/>
  <c r="EB23" i="13" s="1"/>
  <c r="EC23" i="13" s="1"/>
  <c r="ED23" i="13" s="1"/>
  <c r="EE23" i="13" s="1"/>
  <c r="EF23" i="13" s="1"/>
  <c r="EG23" i="13" s="1"/>
  <c r="EH23" i="13" s="1"/>
  <c r="EI23" i="13" s="1"/>
  <c r="EJ23" i="13" s="1"/>
  <c r="EK23" i="13" s="1"/>
  <c r="EL23" i="13" s="1"/>
  <c r="EM23" i="13" s="1"/>
  <c r="EN23" i="13" s="1"/>
  <c r="EO23" i="13" s="1"/>
  <c r="EP23" i="13" s="1"/>
  <c r="EQ23" i="13" s="1"/>
  <c r="ER23" i="13" s="1"/>
  <c r="ES23" i="13" s="1"/>
  <c r="ET23" i="13" s="1"/>
  <c r="EU23" i="13" s="1"/>
  <c r="EV23" i="13" s="1"/>
  <c r="EW23" i="13" s="1"/>
  <c r="EX23" i="13" s="1"/>
  <c r="EY23" i="13" s="1"/>
  <c r="EZ23" i="13" s="1"/>
  <c r="FA23" i="13" s="1"/>
  <c r="FB23" i="13" s="1"/>
  <c r="FD23" i="13" s="1"/>
  <c r="FE23" i="13" s="1"/>
  <c r="FF23" i="13" s="1"/>
  <c r="FG23" i="13" s="1"/>
  <c r="FH23" i="13" s="1"/>
  <c r="FI23" i="13" s="1"/>
  <c r="FJ23" i="13" s="1"/>
  <c r="FK23" i="13" s="1"/>
  <c r="FL23" i="13" s="1"/>
  <c r="FM23" i="13" s="1"/>
  <c r="FN23" i="13" s="1"/>
  <c r="FO23" i="13" s="1"/>
  <c r="FP23" i="13" s="1"/>
  <c r="FQ23" i="13" s="1"/>
  <c r="FR23" i="13" s="1"/>
  <c r="FS23" i="13" s="1"/>
  <c r="FT23" i="13" s="1"/>
  <c r="FU23" i="13" s="1"/>
  <c r="FV23" i="13" s="1"/>
  <c r="FW23" i="13" s="1"/>
  <c r="FX23" i="13" s="1"/>
  <c r="FY23" i="13" s="1"/>
  <c r="FZ23" i="13" s="1"/>
  <c r="GA23" i="13" s="1"/>
  <c r="GB23" i="13" s="1"/>
  <c r="GC23" i="13" s="1"/>
  <c r="GD23" i="13" s="1"/>
  <c r="GE23" i="13" s="1"/>
  <c r="GF23" i="13" s="1"/>
  <c r="GH23" i="13" s="1"/>
  <c r="GI23" i="13" s="1"/>
  <c r="GJ23" i="13" s="1"/>
  <c r="GK23" i="13" s="1"/>
  <c r="GL23" i="13" s="1"/>
  <c r="GM23" i="13" s="1"/>
  <c r="GN23" i="13" s="1"/>
  <c r="GO23" i="13" s="1"/>
  <c r="GP23" i="13" s="1"/>
  <c r="GQ23" i="13" s="1"/>
  <c r="GR23" i="13" s="1"/>
  <c r="GS23" i="13" s="1"/>
  <c r="GT23" i="13" s="1"/>
  <c r="GU23" i="13" s="1"/>
  <c r="GV23" i="13" s="1"/>
  <c r="GW23" i="13" s="1"/>
  <c r="GX23" i="13" s="1"/>
  <c r="GY23" i="13" s="1"/>
  <c r="GZ23" i="13" s="1"/>
  <c r="HA23" i="13" s="1"/>
  <c r="HB23" i="13" s="1"/>
  <c r="HC23" i="13" s="1"/>
  <c r="HD23" i="13" s="1"/>
  <c r="HE23" i="13" s="1"/>
  <c r="HF23" i="13" s="1"/>
  <c r="HG23" i="13" s="1"/>
  <c r="HH23" i="13" s="1"/>
  <c r="HI23" i="13" s="1"/>
  <c r="HJ23" i="13" s="1"/>
  <c r="HK23" i="13" s="1"/>
  <c r="HM23" i="13" s="1"/>
  <c r="HN23" i="13" s="1"/>
  <c r="HO23" i="13" s="1"/>
  <c r="HP23" i="13" s="1"/>
  <c r="HQ23" i="13" s="1"/>
  <c r="HR23" i="13" s="1"/>
  <c r="HS23" i="13" s="1"/>
  <c r="HT23" i="13" s="1"/>
  <c r="HU23" i="13" s="1"/>
  <c r="HV23" i="13" s="1"/>
  <c r="HW23" i="13" s="1"/>
  <c r="HX23" i="13" s="1"/>
  <c r="HY23" i="13" s="1"/>
  <c r="HZ23" i="13" s="1"/>
  <c r="IA23" i="13" s="1"/>
  <c r="IB23" i="13" s="1"/>
  <c r="IC23" i="13" s="1"/>
  <c r="ID23" i="13" s="1"/>
  <c r="IE23" i="13" s="1"/>
  <c r="IF23" i="13" s="1"/>
  <c r="IG23" i="13" s="1"/>
  <c r="IH23" i="13" s="1"/>
  <c r="II23" i="13" s="1"/>
  <c r="IJ23" i="13" s="1"/>
  <c r="IK23" i="13" s="1"/>
  <c r="IL23" i="13" s="1"/>
  <c r="IM23" i="13" s="1"/>
  <c r="IN23" i="13" s="1"/>
  <c r="IO23" i="13" s="1"/>
  <c r="IP23" i="13" s="1"/>
  <c r="IR23" i="13" s="1"/>
  <c r="IS23" i="13" s="1"/>
  <c r="IT23" i="13" s="1"/>
  <c r="IU23" i="13" s="1"/>
  <c r="IV23" i="13" s="1"/>
  <c r="IW23" i="13" s="1"/>
  <c r="IX23" i="13" s="1"/>
  <c r="IY23" i="13" s="1"/>
  <c r="KR62" i="13"/>
  <c r="KO62" i="13"/>
  <c r="KF62" i="13"/>
  <c r="KC62" i="13"/>
  <c r="KF58" i="13"/>
  <c r="KC58" i="13"/>
  <c r="ME56" i="13"/>
  <c r="MB56" i="13"/>
  <c r="LY56" i="13"/>
  <c r="LV56" i="13"/>
  <c r="LS56" i="13"/>
  <c r="LP56" i="13"/>
  <c r="LM56" i="13"/>
  <c r="LJ56" i="13"/>
  <c r="LG56" i="13"/>
  <c r="LD56" i="13"/>
  <c r="LA56" i="13"/>
  <c r="KX56" i="13"/>
  <c r="KU56" i="13"/>
  <c r="KR56" i="13"/>
  <c r="KO56" i="13"/>
  <c r="KL56" i="13"/>
  <c r="KR52" i="13"/>
  <c r="KO52" i="13"/>
  <c r="KL52" i="13"/>
  <c r="KI52" i="13"/>
  <c r="LJ52" i="13"/>
  <c r="LG52" i="13"/>
  <c r="LD52" i="13"/>
  <c r="LA52" i="13"/>
  <c r="KX52" i="13"/>
  <c r="KU52" i="13"/>
  <c r="KF52" i="13"/>
  <c r="KC52" i="13"/>
  <c r="LG50" i="13"/>
  <c r="LD50" i="13"/>
  <c r="LA50" i="13"/>
  <c r="KX50" i="13"/>
  <c r="KU50" i="13"/>
  <c r="KR50" i="13"/>
  <c r="KO50" i="13"/>
  <c r="KL50" i="13"/>
  <c r="KI50" i="13"/>
  <c r="KF50" i="13"/>
  <c r="KC50" i="13"/>
  <c r="ME48" i="13"/>
  <c r="MB48" i="13"/>
  <c r="LY48" i="13"/>
  <c r="LV48" i="13"/>
  <c r="LS48" i="13"/>
  <c r="LP48" i="13"/>
  <c r="LM48" i="13"/>
  <c r="LJ48" i="13"/>
  <c r="LG48" i="13"/>
  <c r="LD48" i="13"/>
  <c r="LA48" i="13"/>
  <c r="KX48" i="13"/>
  <c r="KU48" i="13"/>
  <c r="KR48" i="13"/>
  <c r="KO48" i="13"/>
  <c r="KL48" i="13"/>
  <c r="KI48" i="13"/>
  <c r="KF48" i="13"/>
  <c r="KC48" i="13"/>
  <c r="ME46" i="13"/>
  <c r="MB46" i="13"/>
  <c r="LY46" i="13"/>
  <c r="LV46" i="13"/>
  <c r="LS46" i="13"/>
  <c r="LP46" i="13"/>
  <c r="LM46" i="13"/>
  <c r="LJ46" i="13"/>
  <c r="LG46" i="13"/>
  <c r="LD46" i="13"/>
  <c r="LA46" i="13"/>
  <c r="KX46" i="13"/>
  <c r="KU46" i="13"/>
  <c r="KR46" i="13"/>
  <c r="KO46" i="13"/>
  <c r="KL46" i="13"/>
  <c r="KI46" i="13"/>
  <c r="KF46" i="13"/>
  <c r="KC46" i="13"/>
  <c r="LD44" i="13"/>
  <c r="LA44" i="13"/>
  <c r="KX44" i="13"/>
  <c r="KU44" i="13"/>
  <c r="KR44" i="13"/>
  <c r="KO44" i="13"/>
  <c r="KL44" i="13"/>
  <c r="KI44" i="13"/>
  <c r="KF44" i="13"/>
  <c r="KC44" i="13"/>
  <c r="ME42" i="13"/>
  <c r="MB42" i="13"/>
  <c r="LY42" i="13"/>
  <c r="LV42" i="13"/>
  <c r="LS42" i="13"/>
  <c r="LP42" i="13"/>
  <c r="LM42" i="13"/>
  <c r="LJ42" i="13"/>
  <c r="LG42" i="13"/>
  <c r="LD42" i="13"/>
  <c r="LA42" i="13"/>
  <c r="KX42" i="13"/>
  <c r="KU42" i="13"/>
  <c r="KR42" i="13"/>
  <c r="KO42" i="13"/>
  <c r="KL42" i="13"/>
  <c r="KI42" i="13"/>
  <c r="KF42" i="13"/>
  <c r="KC42" i="13"/>
  <c r="KF32" i="13"/>
  <c r="KC30" i="13"/>
  <c r="KF34" i="13"/>
  <c r="LS34" i="13"/>
  <c r="LP34" i="13"/>
  <c r="LM34" i="13"/>
  <c r="KC34" i="13"/>
  <c r="GT34" i="13" l="1"/>
  <c r="GU34" i="13" s="1"/>
  <c r="GV34" i="13"/>
  <c r="GU36" i="13"/>
  <c r="GV36" i="13" s="1"/>
  <c r="GW36" i="13" s="1"/>
  <c r="GX36" i="13" s="1"/>
  <c r="GY36" i="13" s="1"/>
  <c r="GZ36" i="13" s="1"/>
  <c r="HA36" i="13" s="1"/>
  <c r="HB36" i="13" s="1"/>
  <c r="HC36" i="13" s="1"/>
  <c r="HD36" i="13" s="1"/>
  <c r="HE36" i="13" s="1"/>
  <c r="HF36" i="13" s="1"/>
  <c r="HG36" i="13" s="1"/>
  <c r="HH36" i="13" s="1"/>
  <c r="HI36" i="13" s="1"/>
  <c r="HJ36" i="13" s="1"/>
  <c r="HK36" i="13" s="1"/>
  <c r="HL36" i="13" s="1"/>
  <c r="HM36" i="13" s="1"/>
  <c r="HN36" i="13" s="1"/>
  <c r="HO36" i="13" s="1"/>
  <c r="HP36" i="13" s="1"/>
  <c r="HQ36" i="13" s="1"/>
  <c r="HR36" i="13" s="1"/>
  <c r="HS36" i="13" s="1"/>
  <c r="HT36" i="13" s="1"/>
  <c r="FO34" i="13"/>
  <c r="EW40" i="13"/>
  <c r="EX40" i="13" s="1"/>
  <c r="EY40" i="13" s="1"/>
  <c r="EZ40" i="13" s="1"/>
  <c r="FA40" i="13" s="1"/>
  <c r="FB40" i="13" s="1"/>
  <c r="FC40" i="13" s="1"/>
  <c r="FD40" i="13" s="1"/>
  <c r="FE40" i="13" s="1"/>
  <c r="FF40" i="13" s="1"/>
  <c r="FG40" i="13" s="1"/>
  <c r="FH40" i="13" s="1"/>
  <c r="FI40" i="13" s="1"/>
  <c r="FJ40" i="13" s="1"/>
  <c r="FK40" i="13" s="1"/>
  <c r="FL40" i="13" s="1"/>
  <c r="EN48" i="13"/>
  <c r="EO48" i="13" s="1"/>
  <c r="EP48" i="13" s="1"/>
  <c r="EX34" i="13"/>
  <c r="DH28" i="13"/>
  <c r="DI28" i="13" s="1"/>
  <c r="CE28" i="13"/>
  <c r="AX28" i="13"/>
  <c r="T36" i="13"/>
  <c r="W174" i="13"/>
  <c r="M264" i="13"/>
  <c r="S250" i="13" l="1"/>
  <c r="S264" i="13" s="1"/>
  <c r="S265" i="13" s="1"/>
  <c r="GQ250" i="13"/>
  <c r="GR250" i="13" s="1"/>
  <c r="FM250" i="13"/>
  <c r="FN250" i="13" s="1"/>
  <c r="FO250" i="13" s="1"/>
  <c r="FP250" i="13" s="1"/>
  <c r="FQ250" i="13" s="1"/>
  <c r="FR250" i="13" s="1"/>
  <c r="FS250" i="13" s="1"/>
  <c r="FT250" i="13" s="1"/>
  <c r="FU250" i="13" s="1"/>
  <c r="FV250" i="13" s="1"/>
  <c r="FW250" i="13" s="1"/>
  <c r="FX250" i="13" s="1"/>
  <c r="FY250" i="13" s="1"/>
  <c r="FZ250" i="13" s="1"/>
  <c r="GA250" i="13" s="1"/>
  <c r="GB250" i="13" s="1"/>
  <c r="GC250" i="13" s="1"/>
  <c r="GD250" i="13" s="1"/>
  <c r="GE250" i="13" s="1"/>
  <c r="GF250" i="13" s="1"/>
  <c r="GG250" i="13" s="1"/>
  <c r="GH250" i="13" s="1"/>
  <c r="GI250" i="13" s="1"/>
  <c r="GJ250" i="13" s="1"/>
  <c r="GK250" i="13" s="1"/>
  <c r="GL250" i="13" s="1"/>
  <c r="GM250" i="13" s="1"/>
  <c r="GN250" i="13" s="1"/>
  <c r="GO250" i="13" s="1"/>
  <c r="GP250" i="13" s="1"/>
  <c r="GW34" i="13"/>
  <c r="FP34" i="13"/>
  <c r="EI250" i="13"/>
  <c r="EJ250" i="13" s="1"/>
  <c r="EY34" i="13"/>
  <c r="EQ48" i="13"/>
  <c r="DE250" i="13"/>
  <c r="DF250" i="13" s="1"/>
  <c r="DJ28" i="13"/>
  <c r="CA250" i="13"/>
  <c r="CB250" i="13" s="1"/>
  <c r="CF28" i="13"/>
  <c r="AY28" i="13"/>
  <c r="AW250" i="13"/>
  <c r="T250" i="13"/>
  <c r="T264" i="13" s="1"/>
  <c r="T265" i="13" s="1"/>
  <c r="U36" i="13"/>
  <c r="X174" i="13"/>
  <c r="MZ252" i="13"/>
  <c r="MW252" i="13"/>
  <c r="MT252" i="13"/>
  <c r="MQ252" i="13"/>
  <c r="MN252" i="13"/>
  <c r="MK252" i="13"/>
  <c r="MH252" i="13"/>
  <c r="ME252" i="13"/>
  <c r="MB252" i="13"/>
  <c r="LY252" i="13"/>
  <c r="LV252" i="13"/>
  <c r="LS252" i="13"/>
  <c r="LP252" i="13"/>
  <c r="LM252" i="13"/>
  <c r="LJ252" i="13"/>
  <c r="LG252" i="13"/>
  <c r="LD252" i="13"/>
  <c r="LA252" i="13"/>
  <c r="KX252" i="13"/>
  <c r="KU252" i="13"/>
  <c r="KR252" i="13"/>
  <c r="KO252" i="13"/>
  <c r="KL252" i="13"/>
  <c r="KI252" i="13"/>
  <c r="KF252" i="13"/>
  <c r="KC252" i="13"/>
  <c r="NC252" i="13"/>
  <c r="NG254" i="13"/>
  <c r="FO264" i="13" l="1"/>
  <c r="FN264" i="13"/>
  <c r="GS250" i="13"/>
  <c r="GR264" i="13"/>
  <c r="GX34" i="13"/>
  <c r="FQ34" i="13"/>
  <c r="FP264" i="13"/>
  <c r="EK250" i="13"/>
  <c r="EJ264" i="13"/>
  <c r="ER48" i="13"/>
  <c r="EZ34" i="13"/>
  <c r="DG250" i="13"/>
  <c r="DF264" i="13"/>
  <c r="DK28" i="13"/>
  <c r="CC250" i="13"/>
  <c r="CB264" i="13"/>
  <c r="CG28" i="13"/>
  <c r="AX250" i="13"/>
  <c r="AW264" i="13"/>
  <c r="AZ28" i="13"/>
  <c r="U250" i="13"/>
  <c r="U264" i="13" s="1"/>
  <c r="U265" i="13" s="1"/>
  <c r="V36" i="13"/>
  <c r="Y174" i="13"/>
  <c r="NG40" i="13"/>
  <c r="GT250" i="13" l="1"/>
  <c r="GS264" i="13"/>
  <c r="GY34" i="13"/>
  <c r="FQ264" i="13"/>
  <c r="FR34" i="13"/>
  <c r="EL250" i="13"/>
  <c r="EK264" i="13"/>
  <c r="FA34" i="13"/>
  <c r="ES48" i="13"/>
  <c r="DH250" i="13"/>
  <c r="DG264" i="13"/>
  <c r="DL28" i="13"/>
  <c r="CD250" i="13"/>
  <c r="CC264" i="13"/>
  <c r="CH28" i="13"/>
  <c r="BA28" i="13"/>
  <c r="AY250" i="13"/>
  <c r="AX264" i="13"/>
  <c r="W36" i="13"/>
  <c r="V250" i="13"/>
  <c r="V264" i="13" s="1"/>
  <c r="V265" i="13" s="1"/>
  <c r="Z174" i="13"/>
  <c r="LD222" i="13"/>
  <c r="KX222" i="13"/>
  <c r="KR222" i="13"/>
  <c r="KL222" i="13"/>
  <c r="KF222" i="13"/>
  <c r="KC222" i="13"/>
  <c r="KI222" i="13"/>
  <c r="KO222" i="13"/>
  <c r="KU222" i="13"/>
  <c r="LA222" i="13"/>
  <c r="LG222" i="13"/>
  <c r="MN222" i="13"/>
  <c r="MQ222" i="13"/>
  <c r="MT222" i="13"/>
  <c r="MW222" i="13"/>
  <c r="MZ222" i="13"/>
  <c r="GU250" i="13" l="1"/>
  <c r="GT264" i="13"/>
  <c r="GZ34" i="13"/>
  <c r="FR264" i="13"/>
  <c r="FS34" i="13"/>
  <c r="EM250" i="13"/>
  <c r="EL264" i="13"/>
  <c r="ET48" i="13"/>
  <c r="FB34" i="13"/>
  <c r="DI250" i="13"/>
  <c r="DH264" i="13"/>
  <c r="DM28" i="13"/>
  <c r="CE250" i="13"/>
  <c r="CD264" i="13"/>
  <c r="CI28" i="13"/>
  <c r="AZ250" i="13"/>
  <c r="AY264" i="13"/>
  <c r="BB28" i="13"/>
  <c r="X36" i="13"/>
  <c r="W250" i="13"/>
  <c r="W264" i="13" s="1"/>
  <c r="W265" i="13" s="1"/>
  <c r="AA174" i="13"/>
  <c r="KC208" i="13"/>
  <c r="GV250" i="13" l="1"/>
  <c r="GU264" i="13"/>
  <c r="HA34" i="13"/>
  <c r="FS264" i="13"/>
  <c r="FT34" i="13"/>
  <c r="EN250" i="13"/>
  <c r="EM264" i="13"/>
  <c r="FC34" i="13"/>
  <c r="EU48" i="13"/>
  <c r="DJ250" i="13"/>
  <c r="DI264" i="13"/>
  <c r="DN28" i="13"/>
  <c r="CF250" i="13"/>
  <c r="CE264" i="13"/>
  <c r="CJ28" i="13"/>
  <c r="BC28" i="13"/>
  <c r="BA250" i="13"/>
  <c r="AZ264" i="13"/>
  <c r="Y36" i="13"/>
  <c r="X250" i="13"/>
  <c r="X264" i="13" s="1"/>
  <c r="X265" i="13" s="1"/>
  <c r="AB174" i="13"/>
  <c r="NC240" i="13"/>
  <c r="MZ240" i="13"/>
  <c r="MW240" i="13"/>
  <c r="MT240" i="13"/>
  <c r="MQ240" i="13"/>
  <c r="MN240" i="13"/>
  <c r="MK240" i="13"/>
  <c r="MH240" i="13"/>
  <c r="ME240" i="13"/>
  <c r="MB240" i="13"/>
  <c r="LY240" i="13"/>
  <c r="LV240" i="13"/>
  <c r="LS240" i="13"/>
  <c r="LP240" i="13"/>
  <c r="LM240" i="13"/>
  <c r="LJ240" i="13"/>
  <c r="LG240" i="13"/>
  <c r="LD240" i="13"/>
  <c r="LA240" i="13"/>
  <c r="KX240" i="13"/>
  <c r="KU240" i="13"/>
  <c r="KR240" i="13"/>
  <c r="KO240" i="13"/>
  <c r="KL240" i="13"/>
  <c r="KI240" i="13"/>
  <c r="KF240" i="13"/>
  <c r="KC240" i="13"/>
  <c r="R240" i="13"/>
  <c r="NC222" i="13"/>
  <c r="NC208" i="13"/>
  <c r="MZ208" i="13"/>
  <c r="MW208" i="13"/>
  <c r="MT208" i="13"/>
  <c r="MK208" i="13"/>
  <c r="LY208" i="13"/>
  <c r="LV208" i="13"/>
  <c r="LS208" i="13"/>
  <c r="LP208" i="13"/>
  <c r="LM208" i="13"/>
  <c r="LJ208" i="13"/>
  <c r="LG208" i="13"/>
  <c r="LD208" i="13"/>
  <c r="LA208" i="13"/>
  <c r="KX208" i="13"/>
  <c r="KU208" i="13"/>
  <c r="KR208" i="13"/>
  <c r="KO208" i="13"/>
  <c r="KL208" i="13"/>
  <c r="KI208" i="13"/>
  <c r="KF208" i="13"/>
  <c r="NC196" i="13"/>
  <c r="MZ196" i="13"/>
  <c r="MW196" i="13"/>
  <c r="MT196" i="13"/>
  <c r="MQ196" i="13"/>
  <c r="MN196" i="13"/>
  <c r="MK196" i="13"/>
  <c r="MH196" i="13"/>
  <c r="ME196" i="13"/>
  <c r="MB196" i="13"/>
  <c r="LY196" i="13"/>
  <c r="LV196" i="13"/>
  <c r="LS196" i="13"/>
  <c r="KR196" i="13"/>
  <c r="KO196" i="13"/>
  <c r="KL196" i="13"/>
  <c r="KI196" i="13"/>
  <c r="KF196" i="13"/>
  <c r="KC196" i="13"/>
  <c r="NC186" i="13"/>
  <c r="MZ186" i="13"/>
  <c r="MW186" i="13"/>
  <c r="MT186" i="13"/>
  <c r="MQ186" i="13"/>
  <c r="MN186" i="13"/>
  <c r="MK186" i="13"/>
  <c r="MH186" i="13"/>
  <c r="ME186" i="13"/>
  <c r="MB186" i="13"/>
  <c r="LY186" i="13"/>
  <c r="LV186" i="13"/>
  <c r="LS186" i="13"/>
  <c r="LP186" i="13"/>
  <c r="LM186" i="13"/>
  <c r="LJ186" i="13"/>
  <c r="LG186" i="13"/>
  <c r="LD186" i="13"/>
  <c r="LA186" i="13"/>
  <c r="KX186" i="13"/>
  <c r="KU186" i="13"/>
  <c r="KR186" i="13"/>
  <c r="KO186" i="13"/>
  <c r="KL186" i="13"/>
  <c r="KI186" i="13"/>
  <c r="KF186" i="13"/>
  <c r="KC186" i="13"/>
  <c r="R186" i="13"/>
  <c r="NC178" i="13"/>
  <c r="MZ178" i="13"/>
  <c r="MW178" i="13"/>
  <c r="MT178" i="13"/>
  <c r="MQ178" i="13"/>
  <c r="MN178" i="13"/>
  <c r="MK178" i="13"/>
  <c r="MH178" i="13"/>
  <c r="ME178" i="13"/>
  <c r="MB178" i="13"/>
  <c r="LG178" i="13"/>
  <c r="LD178" i="13"/>
  <c r="LA178" i="13"/>
  <c r="KX178" i="13"/>
  <c r="KU178" i="13"/>
  <c r="KR178" i="13"/>
  <c r="KO178" i="13"/>
  <c r="KL178" i="13"/>
  <c r="KI178" i="13"/>
  <c r="KF178" i="13"/>
  <c r="KC178" i="13"/>
  <c r="MZ160" i="13"/>
  <c r="NC134" i="13"/>
  <c r="MZ134" i="13"/>
  <c r="LY134" i="13"/>
  <c r="LV134" i="13"/>
  <c r="LS134" i="13"/>
  <c r="LP134" i="13"/>
  <c r="LM134" i="13"/>
  <c r="LJ134" i="13"/>
  <c r="LG134" i="13"/>
  <c r="LD134" i="13"/>
  <c r="LA134" i="13"/>
  <c r="KX134" i="13"/>
  <c r="KU134" i="13"/>
  <c r="KR134" i="13"/>
  <c r="KO134" i="13"/>
  <c r="KL134" i="13"/>
  <c r="KI134" i="13"/>
  <c r="KF134" i="13"/>
  <c r="KC134" i="13"/>
  <c r="NC108" i="13"/>
  <c r="MZ108" i="13"/>
  <c r="MW108" i="13"/>
  <c r="MT108" i="13"/>
  <c r="MQ108" i="13"/>
  <c r="MN108" i="13"/>
  <c r="MH108" i="13"/>
  <c r="ME108" i="13"/>
  <c r="MB108" i="13"/>
  <c r="LD108" i="13"/>
  <c r="LA108" i="13"/>
  <c r="KX108" i="13"/>
  <c r="KU108" i="13"/>
  <c r="KR108" i="13"/>
  <c r="KO108" i="13"/>
  <c r="KL108" i="13"/>
  <c r="KI108" i="13"/>
  <c r="KF108" i="13"/>
  <c r="KC108" i="13"/>
  <c r="NC94" i="13"/>
  <c r="MZ94" i="13"/>
  <c r="MW94" i="13"/>
  <c r="MT94" i="13"/>
  <c r="MQ94" i="13"/>
  <c r="MN94" i="13"/>
  <c r="MK94" i="13"/>
  <c r="MH94" i="13"/>
  <c r="ME94" i="13"/>
  <c r="MB94" i="13"/>
  <c r="LY94" i="13"/>
  <c r="LV94" i="13"/>
  <c r="LA94" i="13"/>
  <c r="KX94" i="13"/>
  <c r="KU94" i="13"/>
  <c r="KR94" i="13"/>
  <c r="KO94" i="13"/>
  <c r="KL94" i="13"/>
  <c r="KI94" i="13"/>
  <c r="KF94" i="13"/>
  <c r="KC94" i="13"/>
  <c r="NC64" i="13"/>
  <c r="MZ64" i="13"/>
  <c r="MW64" i="13"/>
  <c r="MT64" i="13"/>
  <c r="MQ64" i="13"/>
  <c r="MN64" i="13"/>
  <c r="MZ26" i="13"/>
  <c r="NC26" i="13"/>
  <c r="MK26" i="13"/>
  <c r="GW250" i="13" l="1"/>
  <c r="GV264" i="13"/>
  <c r="HB34" i="13"/>
  <c r="FT264" i="13"/>
  <c r="FU34" i="13"/>
  <c r="EO250" i="13"/>
  <c r="EN264" i="13"/>
  <c r="EV48" i="13"/>
  <c r="FD34" i="13"/>
  <c r="DK250" i="13"/>
  <c r="DJ264" i="13"/>
  <c r="DO28" i="13"/>
  <c r="CG250" i="13"/>
  <c r="CF264" i="13"/>
  <c r="CK28" i="13"/>
  <c r="BB250" i="13"/>
  <c r="BA264" i="13"/>
  <c r="BD28" i="13"/>
  <c r="Z36" i="13"/>
  <c r="Y250" i="13"/>
  <c r="Y264" i="13" s="1"/>
  <c r="Y265" i="13" s="1"/>
  <c r="AC174" i="13"/>
  <c r="MZ250" i="13"/>
  <c r="MZ24" i="13"/>
  <c r="GX250" i="13" l="1"/>
  <c r="GW264" i="13"/>
  <c r="HC34" i="13"/>
  <c r="FU264" i="13"/>
  <c r="FV34" i="13"/>
  <c r="EP250" i="13"/>
  <c r="EO264" i="13"/>
  <c r="FE34" i="13"/>
  <c r="EW48" i="13"/>
  <c r="DL250" i="13"/>
  <c r="DK264" i="13"/>
  <c r="DP28" i="13"/>
  <c r="CH250" i="13"/>
  <c r="CG264" i="13"/>
  <c r="CL28" i="13"/>
  <c r="BE28" i="13"/>
  <c r="BC250" i="13"/>
  <c r="BB264" i="13"/>
  <c r="AA36" i="13"/>
  <c r="Z250" i="13"/>
  <c r="Z264" i="13" s="1"/>
  <c r="Z265" i="13" s="1"/>
  <c r="AD174" i="13"/>
  <c r="GY250" i="13" l="1"/>
  <c r="GX264" i="13"/>
  <c r="HD34" i="13"/>
  <c r="FV264" i="13"/>
  <c r="FW34" i="13"/>
  <c r="EQ250" i="13"/>
  <c r="EP264" i="13"/>
  <c r="EX48" i="13"/>
  <c r="FF34" i="13"/>
  <c r="DM250" i="13"/>
  <c r="DL264" i="13"/>
  <c r="DQ28" i="13"/>
  <c r="CI250" i="13"/>
  <c r="CH264" i="13"/>
  <c r="CM28" i="13"/>
  <c r="BD250" i="13"/>
  <c r="BC264" i="13"/>
  <c r="BF28" i="13"/>
  <c r="AB36" i="13"/>
  <c r="AA250" i="13"/>
  <c r="AA264" i="13" s="1"/>
  <c r="AA265" i="13" s="1"/>
  <c r="AE174" i="13"/>
  <c r="NG252" i="13"/>
  <c r="GZ250" i="13" l="1"/>
  <c r="GY264" i="13"/>
  <c r="HE34" i="13"/>
  <c r="FW264" i="13"/>
  <c r="FX34" i="13"/>
  <c r="ER250" i="13"/>
  <c r="EQ264" i="13"/>
  <c r="FG34" i="13"/>
  <c r="EY48" i="13"/>
  <c r="DN250" i="13"/>
  <c r="DM264" i="13"/>
  <c r="DR28" i="13"/>
  <c r="CJ250" i="13"/>
  <c r="CI264" i="13"/>
  <c r="CN28" i="13"/>
  <c r="BG28" i="13"/>
  <c r="BE250" i="13"/>
  <c r="BD264" i="13"/>
  <c r="AC36" i="13"/>
  <c r="AB250" i="13"/>
  <c r="AB264" i="13" s="1"/>
  <c r="AB265" i="13" s="1"/>
  <c r="AF174" i="13"/>
  <c r="NH252" i="13"/>
  <c r="F252" i="13"/>
  <c r="NG240" i="13"/>
  <c r="HA250" i="13" l="1"/>
  <c r="GZ264" i="13"/>
  <c r="HF34" i="13"/>
  <c r="FX264" i="13"/>
  <c r="FY34" i="13"/>
  <c r="ES250" i="13"/>
  <c r="ER264" i="13"/>
  <c r="EZ48" i="13"/>
  <c r="FH34" i="13"/>
  <c r="DO250" i="13"/>
  <c r="DN264" i="13"/>
  <c r="DS28" i="13"/>
  <c r="CK250" i="13"/>
  <c r="CJ264" i="13"/>
  <c r="CO28" i="13"/>
  <c r="BF250" i="13"/>
  <c r="BE264" i="13"/>
  <c r="BH28" i="13"/>
  <c r="AD36" i="13"/>
  <c r="AC250" i="13"/>
  <c r="AC264" i="13" s="1"/>
  <c r="AC265" i="13" s="1"/>
  <c r="AG174" i="13"/>
  <c r="F240" i="13"/>
  <c r="NG186" i="13"/>
  <c r="HB250" i="13" l="1"/>
  <c r="HA264" i="13"/>
  <c r="HG34" i="13"/>
  <c r="FY264" i="13"/>
  <c r="FZ34" i="13"/>
  <c r="ET250" i="13"/>
  <c r="ES264" i="13"/>
  <c r="FI34" i="13"/>
  <c r="FA48" i="13"/>
  <c r="DP250" i="13"/>
  <c r="DO264" i="13"/>
  <c r="DT28" i="13"/>
  <c r="CL250" i="13"/>
  <c r="CK264" i="13"/>
  <c r="CP28" i="13"/>
  <c r="BI28" i="13"/>
  <c r="BG250" i="13"/>
  <c r="BF264" i="13"/>
  <c r="AE36" i="13"/>
  <c r="AD250" i="13"/>
  <c r="AD264" i="13" s="1"/>
  <c r="AD265" i="13" s="1"/>
  <c r="AH174" i="13"/>
  <c r="F186" i="13"/>
  <c r="NC160" i="13"/>
  <c r="NC250" i="13" s="1"/>
  <c r="HC250" i="13" l="1"/>
  <c r="HB264" i="13"/>
  <c r="HH34" i="13"/>
  <c r="FZ264" i="13"/>
  <c r="GA34" i="13"/>
  <c r="EU250" i="13"/>
  <c r="ET264" i="13"/>
  <c r="FB48" i="13"/>
  <c r="FJ34" i="13"/>
  <c r="DQ250" i="13"/>
  <c r="DP264" i="13"/>
  <c r="DU28" i="13"/>
  <c r="CM250" i="13"/>
  <c r="CL264" i="13"/>
  <c r="CQ28" i="13"/>
  <c r="BH250" i="13"/>
  <c r="BG264" i="13"/>
  <c r="BJ28" i="13"/>
  <c r="AF36" i="13"/>
  <c r="AE250" i="13"/>
  <c r="AE264" i="13" s="1"/>
  <c r="AE265" i="13" s="1"/>
  <c r="AI174" i="13"/>
  <c r="NC24" i="13"/>
  <c r="NG248" i="13"/>
  <c r="NG246" i="13"/>
  <c r="NG242" i="13"/>
  <c r="NG236" i="13"/>
  <c r="NG234" i="13"/>
  <c r="NG232" i="13"/>
  <c r="NG230" i="13"/>
  <c r="NG228" i="13"/>
  <c r="NG224" i="13"/>
  <c r="NG220" i="13"/>
  <c r="NG218" i="13"/>
  <c r="NG216" i="13"/>
  <c r="NG214" i="13"/>
  <c r="NG212" i="13"/>
  <c r="NG210" i="13"/>
  <c r="NG206" i="13"/>
  <c r="NG204" i="13"/>
  <c r="NG202" i="13"/>
  <c r="NG200" i="13"/>
  <c r="NG198" i="13"/>
  <c r="NG194" i="13"/>
  <c r="NG192" i="13"/>
  <c r="NG190" i="13"/>
  <c r="NG188" i="13"/>
  <c r="NG184" i="13"/>
  <c r="NG182" i="13"/>
  <c r="NG180" i="13"/>
  <c r="NG176" i="13"/>
  <c r="NG172" i="13"/>
  <c r="NG170" i="13"/>
  <c r="NG168" i="13"/>
  <c r="NG166" i="13"/>
  <c r="NG164" i="13"/>
  <c r="NG162" i="13"/>
  <c r="NG158" i="13"/>
  <c r="NG156" i="13"/>
  <c r="NG154" i="13"/>
  <c r="NG152" i="13"/>
  <c r="NG150" i="13"/>
  <c r="NG148" i="13"/>
  <c r="NG146" i="13"/>
  <c r="NG144" i="13"/>
  <c r="NG142" i="13"/>
  <c r="NG140" i="13"/>
  <c r="NG138" i="13"/>
  <c r="NG136" i="13"/>
  <c r="NG132" i="13"/>
  <c r="NG130" i="13"/>
  <c r="NG128" i="13"/>
  <c r="NG126" i="13"/>
  <c r="NG124" i="13"/>
  <c r="NG122" i="13"/>
  <c r="NG120" i="13"/>
  <c r="NG118" i="13"/>
  <c r="NG116" i="13"/>
  <c r="NG114" i="13"/>
  <c r="NG112" i="13"/>
  <c r="NG110" i="13"/>
  <c r="NG106" i="13"/>
  <c r="NG104" i="13"/>
  <c r="NG102" i="13"/>
  <c r="NG100" i="13"/>
  <c r="NG98" i="13"/>
  <c r="NG96" i="13"/>
  <c r="NG92" i="13"/>
  <c r="NG90" i="13"/>
  <c r="NG88" i="13"/>
  <c r="NG86" i="13"/>
  <c r="NG84" i="13"/>
  <c r="NG82" i="13"/>
  <c r="NG80" i="13"/>
  <c r="NG78" i="13"/>
  <c r="NG76" i="13"/>
  <c r="NG74" i="13"/>
  <c r="NG72" i="13"/>
  <c r="NG70" i="13"/>
  <c r="NG68" i="13"/>
  <c r="NG66" i="13"/>
  <c r="NG62" i="13"/>
  <c r="NG60" i="13"/>
  <c r="NG58" i="13"/>
  <c r="NG56" i="13"/>
  <c r="NG54" i="13"/>
  <c r="NG52" i="13"/>
  <c r="NG50" i="13"/>
  <c r="NG46" i="13"/>
  <c r="NG44" i="13"/>
  <c r="NG42" i="13"/>
  <c r="F40" i="13"/>
  <c r="NG38" i="13"/>
  <c r="NG32" i="13"/>
  <c r="NG30" i="13"/>
  <c r="HD250" i="13" l="1"/>
  <c r="HC264" i="13"/>
  <c r="HI34" i="13"/>
  <c r="GA264" i="13"/>
  <c r="GB34" i="13"/>
  <c r="EV250" i="13"/>
  <c r="EU264" i="13"/>
  <c r="FK34" i="13"/>
  <c r="FC48" i="13"/>
  <c r="DR250" i="13"/>
  <c r="DQ264" i="13"/>
  <c r="DV28" i="13"/>
  <c r="CN250" i="13"/>
  <c r="CM264" i="13"/>
  <c r="CR28" i="13"/>
  <c r="BK28" i="13"/>
  <c r="BI250" i="13"/>
  <c r="BH264" i="13"/>
  <c r="AG36" i="13"/>
  <c r="AF250" i="13"/>
  <c r="AF264" i="13" s="1"/>
  <c r="AF265" i="13" s="1"/>
  <c r="AJ174" i="13"/>
  <c r="F46" i="13"/>
  <c r="F58" i="13"/>
  <c r="F72" i="13"/>
  <c r="F84" i="13"/>
  <c r="F98" i="13"/>
  <c r="F112" i="13"/>
  <c r="F124" i="13"/>
  <c r="F138" i="13"/>
  <c r="F150" i="13"/>
  <c r="F164" i="13"/>
  <c r="F176" i="13"/>
  <c r="F192" i="13"/>
  <c r="F206" i="13"/>
  <c r="F220" i="13"/>
  <c r="F236" i="13"/>
  <c r="F60" i="13"/>
  <c r="F114" i="13"/>
  <c r="F166" i="13"/>
  <c r="F210" i="13"/>
  <c r="F76" i="13"/>
  <c r="F128" i="13"/>
  <c r="F154" i="13"/>
  <c r="F168" i="13"/>
  <c r="F182" i="13"/>
  <c r="F198" i="13"/>
  <c r="F212" i="13"/>
  <c r="F228" i="13"/>
  <c r="F246" i="13"/>
  <c r="F100" i="13"/>
  <c r="F140" i="13"/>
  <c r="F152" i="13"/>
  <c r="F194" i="13"/>
  <c r="F38" i="13"/>
  <c r="F62" i="13"/>
  <c r="F102" i="13"/>
  <c r="F142" i="13"/>
  <c r="F52" i="13"/>
  <c r="F66" i="13"/>
  <c r="F78" i="13"/>
  <c r="F90" i="13"/>
  <c r="F104" i="13"/>
  <c r="F118" i="13"/>
  <c r="F130" i="13"/>
  <c r="F144" i="13"/>
  <c r="F156" i="13"/>
  <c r="F170" i="13"/>
  <c r="F184" i="13"/>
  <c r="F200" i="13"/>
  <c r="F214" i="13"/>
  <c r="F230" i="13"/>
  <c r="F248" i="13"/>
  <c r="F74" i="13"/>
  <c r="F126" i="13"/>
  <c r="F224" i="13"/>
  <c r="F88" i="13"/>
  <c r="F30" i="13"/>
  <c r="F42" i="13"/>
  <c r="F54" i="13"/>
  <c r="F68" i="13"/>
  <c r="F80" i="13"/>
  <c r="F92" i="13"/>
  <c r="F106" i="13"/>
  <c r="F120" i="13"/>
  <c r="F132" i="13"/>
  <c r="F146" i="13"/>
  <c r="F158" i="13"/>
  <c r="F172" i="13"/>
  <c r="F188" i="13"/>
  <c r="F202" i="13"/>
  <c r="F216" i="13"/>
  <c r="F232" i="13"/>
  <c r="F86" i="13"/>
  <c r="F50" i="13"/>
  <c r="F116" i="13"/>
  <c r="F32" i="13"/>
  <c r="F44" i="13"/>
  <c r="F56" i="13"/>
  <c r="F70" i="13"/>
  <c r="F82" i="13"/>
  <c r="F96" i="13"/>
  <c r="F110" i="13"/>
  <c r="F122" i="13"/>
  <c r="F136" i="13"/>
  <c r="F148" i="13"/>
  <c r="F162" i="13"/>
  <c r="F190" i="13"/>
  <c r="F204" i="13"/>
  <c r="F218" i="13"/>
  <c r="F234" i="13"/>
  <c r="NH178" i="13"/>
  <c r="F180" i="13"/>
  <c r="NH240" i="13"/>
  <c r="F242" i="13"/>
  <c r="NH186" i="13"/>
  <c r="NH208" i="13"/>
  <c r="NH196" i="13"/>
  <c r="NH134" i="13"/>
  <c r="NH108" i="13"/>
  <c r="NH64" i="13"/>
  <c r="NH94" i="13"/>
  <c r="HE250" i="13" l="1"/>
  <c r="HD264" i="13"/>
  <c r="HJ34" i="13"/>
  <c r="GB264" i="13"/>
  <c r="GC34" i="13"/>
  <c r="EW250" i="13"/>
  <c r="EV264" i="13"/>
  <c r="FD48" i="13"/>
  <c r="FL34" i="13"/>
  <c r="DS250" i="13"/>
  <c r="DR264" i="13"/>
  <c r="DW28" i="13"/>
  <c r="CO250" i="13"/>
  <c r="CN264" i="13"/>
  <c r="CS28" i="13"/>
  <c r="BJ250" i="13"/>
  <c r="BI264" i="13"/>
  <c r="BL28" i="13"/>
  <c r="AH36" i="13"/>
  <c r="AG250" i="13"/>
  <c r="AG264" i="13" s="1"/>
  <c r="AG265" i="13" s="1"/>
  <c r="AK174" i="13"/>
  <c r="P222" i="13"/>
  <c r="P26" i="13"/>
  <c r="HF250" i="13" l="1"/>
  <c r="HE264" i="13"/>
  <c r="HK34" i="13"/>
  <c r="GC264" i="13"/>
  <c r="GD34" i="13"/>
  <c r="EX250" i="13"/>
  <c r="EW264" i="13"/>
  <c r="FE48" i="13"/>
  <c r="DT250" i="13"/>
  <c r="DS264" i="13"/>
  <c r="DX28" i="13"/>
  <c r="CP250" i="13"/>
  <c r="CO264" i="13"/>
  <c r="CT28" i="13"/>
  <c r="BM28" i="13"/>
  <c r="BK250" i="13"/>
  <c r="BJ264" i="13"/>
  <c r="AI36" i="13"/>
  <c r="AH250" i="13"/>
  <c r="AH264" i="13" s="1"/>
  <c r="AH265" i="13" s="1"/>
  <c r="AL174" i="13"/>
  <c r="P196" i="13"/>
  <c r="P160" i="13"/>
  <c r="HG250" i="13" l="1"/>
  <c r="HF264" i="13"/>
  <c r="HL34" i="13"/>
  <c r="GD264" i="13"/>
  <c r="GE34" i="13"/>
  <c r="EY250" i="13"/>
  <c r="EX264" i="13"/>
  <c r="FF48" i="13"/>
  <c r="DU250" i="13"/>
  <c r="DT264" i="13"/>
  <c r="DY28" i="13"/>
  <c r="CQ250" i="13"/>
  <c r="CP264" i="13"/>
  <c r="CU28" i="13"/>
  <c r="BL250" i="13"/>
  <c r="BK264" i="13"/>
  <c r="BN28" i="13"/>
  <c r="AJ36" i="13"/>
  <c r="AI250" i="13"/>
  <c r="AI264" i="13" s="1"/>
  <c r="AI265" i="13" s="1"/>
  <c r="AM174" i="13"/>
  <c r="P108" i="13"/>
  <c r="HH250" i="13" l="1"/>
  <c r="HG264" i="13"/>
  <c r="HM34" i="13"/>
  <c r="GE264" i="13"/>
  <c r="GF34" i="13"/>
  <c r="EZ250" i="13"/>
  <c r="EY264" i="13"/>
  <c r="FG48" i="13"/>
  <c r="DV250" i="13"/>
  <c r="DU264" i="13"/>
  <c r="DZ28" i="13"/>
  <c r="CR250" i="13"/>
  <c r="CQ264" i="13"/>
  <c r="CV28" i="13"/>
  <c r="BO28" i="13"/>
  <c r="BM250" i="13"/>
  <c r="BL264" i="13"/>
  <c r="AK36" i="13"/>
  <c r="AJ250" i="13"/>
  <c r="AJ264" i="13" s="1"/>
  <c r="AJ265" i="13" s="1"/>
  <c r="AN174" i="13"/>
  <c r="P240" i="13"/>
  <c r="P208" i="13"/>
  <c r="P186" i="13"/>
  <c r="P178" i="13"/>
  <c r="P134" i="13"/>
  <c r="P94" i="13"/>
  <c r="P64" i="13"/>
  <c r="HI250" i="13" l="1"/>
  <c r="HH264" i="13"/>
  <c r="HN34" i="13"/>
  <c r="GF264" i="13"/>
  <c r="GG34" i="13"/>
  <c r="FA250" i="13"/>
  <c r="EZ264" i="13"/>
  <c r="FH48" i="13"/>
  <c r="DW250" i="13"/>
  <c r="DV264" i="13"/>
  <c r="EA28" i="13"/>
  <c r="CS250" i="13"/>
  <c r="CR264" i="13"/>
  <c r="CW28" i="13"/>
  <c r="BN250" i="13"/>
  <c r="BM264" i="13"/>
  <c r="BP28" i="13"/>
  <c r="AL36" i="13"/>
  <c r="AK250" i="13"/>
  <c r="AK264" i="13" s="1"/>
  <c r="AK265" i="13" s="1"/>
  <c r="AO174" i="13"/>
  <c r="O24" i="13"/>
  <c r="P244" i="13"/>
  <c r="HJ250" i="13" l="1"/>
  <c r="HI264" i="13"/>
  <c r="HO34" i="13"/>
  <c r="GG264" i="13"/>
  <c r="GH34" i="13"/>
  <c r="FB250" i="13"/>
  <c r="FA264" i="13"/>
  <c r="FI48" i="13"/>
  <c r="DX250" i="13"/>
  <c r="DW264" i="13"/>
  <c r="EB28" i="13"/>
  <c r="CT250" i="13"/>
  <c r="CS264" i="13"/>
  <c r="CX28" i="13"/>
  <c r="BQ28" i="13"/>
  <c r="BO250" i="13"/>
  <c r="BN264" i="13"/>
  <c r="AM36" i="13"/>
  <c r="AL250" i="13"/>
  <c r="AL264" i="13" s="1"/>
  <c r="AL265" i="13" s="1"/>
  <c r="AP174" i="13"/>
  <c r="P256" i="13"/>
  <c r="NG226" i="13"/>
  <c r="NG238" i="13"/>
  <c r="HK250" i="13" l="1"/>
  <c r="HJ264" i="13"/>
  <c r="HP34" i="13"/>
  <c r="GH264" i="13"/>
  <c r="GI34" i="13"/>
  <c r="FC250" i="13"/>
  <c r="FB264" i="13"/>
  <c r="FJ48" i="13"/>
  <c r="DY250" i="13"/>
  <c r="DX264" i="13"/>
  <c r="EC28" i="13"/>
  <c r="CU250" i="13"/>
  <c r="CT264" i="13"/>
  <c r="CY28" i="13"/>
  <c r="BP250" i="13"/>
  <c r="BO264" i="13"/>
  <c r="BR28" i="13"/>
  <c r="AN36" i="13"/>
  <c r="AM250" i="13"/>
  <c r="AM264" i="13" s="1"/>
  <c r="AM265" i="13" s="1"/>
  <c r="AQ174" i="13"/>
  <c r="F238" i="13"/>
  <c r="F226" i="13"/>
  <c r="Q42" i="13"/>
  <c r="Q254" i="13"/>
  <c r="Q214" i="13"/>
  <c r="Q162" i="13"/>
  <c r="Q136" i="13"/>
  <c r="Q112" i="13"/>
  <c r="Q88" i="13"/>
  <c r="Q40" i="13"/>
  <c r="Q252" i="13"/>
  <c r="Q212" i="13"/>
  <c r="Q158" i="13"/>
  <c r="Q110" i="13"/>
  <c r="Q86" i="13"/>
  <c r="Q38" i="13"/>
  <c r="Q238" i="13"/>
  <c r="Q184" i="13"/>
  <c r="Q156" i="13"/>
  <c r="Q132" i="13"/>
  <c r="Q84" i="13"/>
  <c r="Q62" i="13"/>
  <c r="Q36" i="13"/>
  <c r="Q236" i="13"/>
  <c r="Q206" i="13"/>
  <c r="Q182" i="13"/>
  <c r="Q154" i="13"/>
  <c r="Q130" i="13"/>
  <c r="Q106" i="13"/>
  <c r="Q82" i="13"/>
  <c r="Q60" i="13"/>
  <c r="Q34" i="13"/>
  <c r="Q234" i="13"/>
  <c r="Q204" i="13"/>
  <c r="Q180" i="13"/>
  <c r="Q152" i="13"/>
  <c r="Q128" i="13"/>
  <c r="Q104" i="13"/>
  <c r="Q80" i="13"/>
  <c r="Q58" i="13"/>
  <c r="Q32" i="13"/>
  <c r="Q232" i="13"/>
  <c r="Q202" i="13"/>
  <c r="Q176" i="13"/>
  <c r="Q150" i="13"/>
  <c r="Q126" i="13"/>
  <c r="Q102" i="13"/>
  <c r="Q78" i="13"/>
  <c r="Q44" i="13"/>
  <c r="Q30" i="13"/>
  <c r="Q230" i="13"/>
  <c r="Q200" i="13"/>
  <c r="Q174" i="13"/>
  <c r="Q148" i="13"/>
  <c r="Q124" i="13"/>
  <c r="Q100" i="13"/>
  <c r="Q76" i="13"/>
  <c r="Q56" i="13"/>
  <c r="Q28" i="13"/>
  <c r="Q250" i="13"/>
  <c r="Q228" i="13"/>
  <c r="Q198" i="13"/>
  <c r="Q172" i="13"/>
  <c r="Q146" i="13"/>
  <c r="Q122" i="13"/>
  <c r="Q98" i="13"/>
  <c r="Q74" i="13"/>
  <c r="Q54" i="13"/>
  <c r="Q248" i="13"/>
  <c r="Q226" i="13"/>
  <c r="Q170" i="13"/>
  <c r="Q144" i="13"/>
  <c r="Q120" i="13"/>
  <c r="Q96" i="13"/>
  <c r="Q72" i="13"/>
  <c r="Q52" i="13"/>
  <c r="Q246" i="13"/>
  <c r="Q224" i="13"/>
  <c r="Q194" i="13"/>
  <c r="Q168" i="13"/>
  <c r="Q142" i="13"/>
  <c r="Q118" i="13"/>
  <c r="Q70" i="13"/>
  <c r="Q50" i="13"/>
  <c r="Q242" i="13"/>
  <c r="Q220" i="13"/>
  <c r="Q192" i="13"/>
  <c r="Q166" i="13"/>
  <c r="Q140" i="13"/>
  <c r="Q116" i="13"/>
  <c r="Q92" i="13"/>
  <c r="Q68" i="13"/>
  <c r="Q48" i="13"/>
  <c r="Q216" i="13"/>
  <c r="Q190" i="13"/>
  <c r="Q164" i="13"/>
  <c r="Q138" i="13"/>
  <c r="Q114" i="13"/>
  <c r="Q90" i="13"/>
  <c r="Q66" i="13"/>
  <c r="Q46" i="13"/>
  <c r="NH222" i="13"/>
  <c r="Q218" i="13"/>
  <c r="Q188" i="13"/>
  <c r="Q210" i="13"/>
  <c r="HL250" i="13" l="1"/>
  <c r="HK264" i="13"/>
  <c r="HQ34" i="13"/>
  <c r="GI264" i="13"/>
  <c r="GJ34" i="13"/>
  <c r="FD250" i="13"/>
  <c r="FC264" i="13"/>
  <c r="FK48" i="13"/>
  <c r="DZ250" i="13"/>
  <c r="DY264" i="13"/>
  <c r="ED28" i="13"/>
  <c r="CV250" i="13"/>
  <c r="CU264" i="13"/>
  <c r="CZ28" i="13"/>
  <c r="BS28" i="13"/>
  <c r="BQ250" i="13"/>
  <c r="BP264" i="13"/>
  <c r="AO36" i="13"/>
  <c r="AN250" i="13"/>
  <c r="AN264" i="13" s="1"/>
  <c r="AN265" i="13" s="1"/>
  <c r="AR174" i="13"/>
  <c r="G226" i="13"/>
  <c r="G238" i="13"/>
  <c r="G192" i="13"/>
  <c r="G172" i="13"/>
  <c r="G66" i="13"/>
  <c r="G216" i="13"/>
  <c r="G166" i="13"/>
  <c r="G118" i="13"/>
  <c r="G52" i="13"/>
  <c r="G146" i="13"/>
  <c r="G56" i="13"/>
  <c r="G200" i="13"/>
  <c r="G126" i="13"/>
  <c r="G58" i="13"/>
  <c r="G204" i="13"/>
  <c r="G130" i="13"/>
  <c r="G62" i="13"/>
  <c r="G38" i="13"/>
  <c r="G40" i="13"/>
  <c r="G90" i="13"/>
  <c r="G72" i="13"/>
  <c r="G230" i="13"/>
  <c r="G234" i="13"/>
  <c r="G86" i="13"/>
  <c r="G188" i="13"/>
  <c r="G220" i="13"/>
  <c r="G54" i="13"/>
  <c r="G100" i="13"/>
  <c r="G104" i="13"/>
  <c r="G182" i="13"/>
  <c r="G110" i="13"/>
  <c r="G112" i="13"/>
  <c r="G218" i="13"/>
  <c r="G138" i="13"/>
  <c r="G92" i="13"/>
  <c r="G194" i="13"/>
  <c r="G120" i="13"/>
  <c r="G74" i="13"/>
  <c r="G228" i="13"/>
  <c r="G124" i="13"/>
  <c r="G44" i="13"/>
  <c r="G202" i="13"/>
  <c r="G128" i="13"/>
  <c r="G60" i="13"/>
  <c r="G206" i="13"/>
  <c r="G156" i="13"/>
  <c r="G158" i="13"/>
  <c r="G136" i="13"/>
  <c r="G248" i="13"/>
  <c r="G150" i="13"/>
  <c r="G154" i="13"/>
  <c r="G42" i="13"/>
  <c r="G68" i="13"/>
  <c r="G168" i="13"/>
  <c r="G198" i="13"/>
  <c r="G30" i="13"/>
  <c r="G132" i="13"/>
  <c r="G164" i="13"/>
  <c r="G50" i="13"/>
  <c r="G224" i="13"/>
  <c r="G144" i="13"/>
  <c r="G98" i="13"/>
  <c r="G148" i="13"/>
  <c r="G78" i="13"/>
  <c r="G232" i="13"/>
  <c r="G152" i="13"/>
  <c r="G82" i="13"/>
  <c r="G236" i="13"/>
  <c r="G184" i="13"/>
  <c r="G212" i="13"/>
  <c r="G162" i="13"/>
  <c r="G210" i="13"/>
  <c r="G142" i="13"/>
  <c r="G76" i="13"/>
  <c r="G80" i="13"/>
  <c r="G84" i="13"/>
  <c r="G88" i="13"/>
  <c r="G114" i="13"/>
  <c r="G96" i="13"/>
  <c r="G176" i="13"/>
  <c r="G116" i="13"/>
  <c r="G46" i="13"/>
  <c r="G190" i="13"/>
  <c r="G140" i="13"/>
  <c r="G70" i="13"/>
  <c r="G246" i="13"/>
  <c r="G170" i="13"/>
  <c r="G122" i="13"/>
  <c r="G102" i="13"/>
  <c r="G32" i="13"/>
  <c r="G180" i="13"/>
  <c r="G106" i="13"/>
  <c r="G252" i="13"/>
  <c r="G214" i="13"/>
  <c r="LV222" i="13"/>
  <c r="MK222" i="13"/>
  <c r="LS222" i="13"/>
  <c r="MH222" i="13"/>
  <c r="LP222" i="13"/>
  <c r="ME222" i="13"/>
  <c r="LM222" i="13"/>
  <c r="MB222" i="13"/>
  <c r="LJ222" i="13"/>
  <c r="LY222" i="13"/>
  <c r="R222" i="13"/>
  <c r="MN208" i="13"/>
  <c r="MH208" i="13"/>
  <c r="MB208" i="13"/>
  <c r="MQ208" i="13"/>
  <c r="ME208" i="13"/>
  <c r="R208" i="13"/>
  <c r="R196" i="13"/>
  <c r="LS178" i="13"/>
  <c r="LP178" i="13"/>
  <c r="LM178" i="13"/>
  <c r="LY178" i="13"/>
  <c r="LV178" i="13"/>
  <c r="LJ178" i="13"/>
  <c r="R178" i="13"/>
  <c r="LS160" i="13"/>
  <c r="LA160" i="13"/>
  <c r="LM160" i="13"/>
  <c r="KC160" i="13"/>
  <c r="LG160" i="13"/>
  <c r="LP160" i="13"/>
  <c r="KX160" i="13"/>
  <c r="KF160" i="13"/>
  <c r="ME160" i="13"/>
  <c r="KU160" i="13"/>
  <c r="MB160" i="13"/>
  <c r="KR160" i="13"/>
  <c r="LY160" i="13"/>
  <c r="KO160" i="13"/>
  <c r="LV160" i="13"/>
  <c r="KL160" i="13"/>
  <c r="LD160" i="13"/>
  <c r="LJ160" i="13"/>
  <c r="KI160" i="13"/>
  <c r="R160" i="13"/>
  <c r="MK108" i="13"/>
  <c r="LM94" i="13"/>
  <c r="LJ94" i="13"/>
  <c r="LG94" i="13"/>
  <c r="LD94" i="13"/>
  <c r="LS94" i="13"/>
  <c r="LP94" i="13"/>
  <c r="R94" i="13"/>
  <c r="KF64" i="13"/>
  <c r="KO64" i="13"/>
  <c r="KI64" i="13"/>
  <c r="KL64" i="13"/>
  <c r="KC26" i="13"/>
  <c r="KU26" i="13"/>
  <c r="KR26" i="13"/>
  <c r="LA26" i="13"/>
  <c r="KI26" i="13"/>
  <c r="CA264" i="13"/>
  <c r="R26" i="13"/>
  <c r="Q240" i="13"/>
  <c r="G242" i="13"/>
  <c r="Q196" i="13"/>
  <c r="Q208" i="13"/>
  <c r="Q94" i="13"/>
  <c r="Q108" i="13"/>
  <c r="Q178" i="13"/>
  <c r="Q186" i="13"/>
  <c r="Q134" i="13"/>
  <c r="Q26" i="13"/>
  <c r="Q160" i="13"/>
  <c r="Q244" i="13"/>
  <c r="Q222" i="13"/>
  <c r="Q64" i="13"/>
  <c r="HM250" i="13" l="1"/>
  <c r="HL264" i="13"/>
  <c r="HR34" i="13"/>
  <c r="GJ264" i="13"/>
  <c r="GK34" i="13"/>
  <c r="FE250" i="13"/>
  <c r="FD264" i="13"/>
  <c r="FL48" i="13"/>
  <c r="NG48" i="13" s="1"/>
  <c r="F48" i="13" s="1"/>
  <c r="G48" i="13" s="1"/>
  <c r="EA250" i="13"/>
  <c r="DZ264" i="13"/>
  <c r="EE28" i="13"/>
  <c r="CW250" i="13"/>
  <c r="CV264" i="13"/>
  <c r="DA28" i="13"/>
  <c r="BR250" i="13"/>
  <c r="BQ264" i="13"/>
  <c r="BT28" i="13"/>
  <c r="AP36" i="13"/>
  <c r="AO250" i="13"/>
  <c r="AO264" i="13" s="1"/>
  <c r="AO265" i="13" s="1"/>
  <c r="AS174" i="13"/>
  <c r="IY264" i="13"/>
  <c r="IY265" i="13" s="1"/>
  <c r="IZ265" i="13" s="1"/>
  <c r="JA265" i="13" s="1"/>
  <c r="JB265" i="13" s="1"/>
  <c r="JC265" i="13" s="1"/>
  <c r="JD265" i="13" s="1"/>
  <c r="JE265" i="13" s="1"/>
  <c r="JF265" i="13" s="1"/>
  <c r="JG265" i="13" s="1"/>
  <c r="JH265" i="13" s="1"/>
  <c r="JI265" i="13" s="1"/>
  <c r="JJ265" i="13" s="1"/>
  <c r="JK265" i="13" s="1"/>
  <c r="JL265" i="13" s="1"/>
  <c r="JM265" i="13" s="1"/>
  <c r="JN265" i="13" s="1"/>
  <c r="JO265" i="13" s="1"/>
  <c r="JP265" i="13" s="1"/>
  <c r="JQ265" i="13" s="1"/>
  <c r="JR265" i="13" s="1"/>
  <c r="JS265" i="13" s="1"/>
  <c r="JT265" i="13" s="1"/>
  <c r="JU265" i="13" s="1"/>
  <c r="JV265" i="13" s="1"/>
  <c r="JW265" i="13" s="1"/>
  <c r="JX265" i="13" s="1"/>
  <c r="JY265" i="13" s="1"/>
  <c r="JZ265" i="13" s="1"/>
  <c r="KA265" i="13" s="1"/>
  <c r="KB265" i="13" s="1"/>
  <c r="KI250" i="13"/>
  <c r="G186" i="13"/>
  <c r="G240" i="13"/>
  <c r="NG222" i="13"/>
  <c r="NG208" i="13"/>
  <c r="LJ196" i="13"/>
  <c r="LG196" i="13"/>
  <c r="LD196" i="13"/>
  <c r="LP196" i="13"/>
  <c r="KX196" i="13"/>
  <c r="LM196" i="13"/>
  <c r="KU196" i="13"/>
  <c r="LA196" i="13"/>
  <c r="NG178" i="13"/>
  <c r="MW160" i="13"/>
  <c r="MN160" i="13"/>
  <c r="MK160" i="13"/>
  <c r="MT160" i="13"/>
  <c r="MQ160" i="13"/>
  <c r="MH160" i="13"/>
  <c r="MW134" i="13"/>
  <c r="ME134" i="13"/>
  <c r="MT134" i="13"/>
  <c r="MB134" i="13"/>
  <c r="MQ134" i="13"/>
  <c r="MH134" i="13"/>
  <c r="MN134" i="13"/>
  <c r="MK134" i="13"/>
  <c r="R134" i="13"/>
  <c r="LS108" i="13"/>
  <c r="LP108" i="13"/>
  <c r="LM108" i="13"/>
  <c r="LY108" i="13"/>
  <c r="LG108" i="13"/>
  <c r="LV108" i="13"/>
  <c r="LJ108" i="13"/>
  <c r="R108" i="13"/>
  <c r="NG94" i="13"/>
  <c r="KC64" i="13"/>
  <c r="KC24" i="13" s="1"/>
  <c r="KR64" i="13"/>
  <c r="KR24" i="13" s="1"/>
  <c r="MK64" i="13"/>
  <c r="MH64" i="13"/>
  <c r="ME64" i="13"/>
  <c r="R64" i="13"/>
  <c r="LS64" i="13"/>
  <c r="LA64" i="13"/>
  <c r="LP64" i="13"/>
  <c r="LJ64" i="13"/>
  <c r="KI24" i="13"/>
  <c r="LY64" i="13"/>
  <c r="KX64" i="13"/>
  <c r="LG64" i="13"/>
  <c r="LD64" i="13"/>
  <c r="MB64" i="13"/>
  <c r="LV64" i="13"/>
  <c r="KU64" i="13"/>
  <c r="LM64" i="13"/>
  <c r="EI264" i="13"/>
  <c r="LJ26" i="13"/>
  <c r="KX26" i="13"/>
  <c r="FM264" i="13"/>
  <c r="MW26" i="13"/>
  <c r="MB26" i="13"/>
  <c r="LS26" i="13"/>
  <c r="LP26" i="13"/>
  <c r="LM26" i="13"/>
  <c r="MT26" i="13"/>
  <c r="LV26" i="13"/>
  <c r="MQ26" i="13"/>
  <c r="MN26" i="13"/>
  <c r="MH26" i="13"/>
  <c r="ME26" i="13"/>
  <c r="KL26" i="13"/>
  <c r="KL250" i="13" s="1"/>
  <c r="LD26" i="13"/>
  <c r="KF26" i="13"/>
  <c r="KF250" i="13" s="1"/>
  <c r="LY26" i="13"/>
  <c r="LG26" i="13"/>
  <c r="KO26" i="13"/>
  <c r="KO250" i="13" s="1"/>
  <c r="Q24" i="13"/>
  <c r="HN250" i="13" l="1"/>
  <c r="HM264" i="13"/>
  <c r="HS34" i="13"/>
  <c r="GK264" i="13"/>
  <c r="GL34" i="13"/>
  <c r="FF250" i="13"/>
  <c r="FE264" i="13"/>
  <c r="EB250" i="13"/>
  <c r="EA264" i="13"/>
  <c r="EF28" i="13"/>
  <c r="KU250" i="13"/>
  <c r="MN250" i="13"/>
  <c r="CX250" i="13"/>
  <c r="CW264" i="13"/>
  <c r="DB28" i="13"/>
  <c r="GQ264" i="13"/>
  <c r="MW250" i="13"/>
  <c r="BU28" i="13"/>
  <c r="BS250" i="13"/>
  <c r="BR264" i="13"/>
  <c r="LA250" i="13"/>
  <c r="AQ36" i="13"/>
  <c r="AP250" i="13"/>
  <c r="AP264" i="13" s="1"/>
  <c r="AP265" i="13" s="1"/>
  <c r="AT174" i="13"/>
  <c r="MT250" i="13"/>
  <c r="LY250" i="13"/>
  <c r="LJ250" i="13"/>
  <c r="LD250" i="13"/>
  <c r="LG250" i="13"/>
  <c r="ME250" i="13"/>
  <c r="KX250" i="13"/>
  <c r="MH250" i="13"/>
  <c r="LP250" i="13"/>
  <c r="LM250" i="13"/>
  <c r="LS250" i="13"/>
  <c r="MQ250" i="13"/>
  <c r="MB250" i="13"/>
  <c r="LV250" i="13"/>
  <c r="MK250" i="13"/>
  <c r="KC250" i="13"/>
  <c r="KR250" i="13"/>
  <c r="F222" i="13"/>
  <c r="G222" i="13" s="1"/>
  <c r="F178" i="13"/>
  <c r="G178" i="13" s="1"/>
  <c r="F94" i="13"/>
  <c r="G94" i="13" s="1"/>
  <c r="F208" i="13"/>
  <c r="G208" i="13" s="1"/>
  <c r="KO24" i="13"/>
  <c r="KL24" i="13"/>
  <c r="KF24" i="13"/>
  <c r="LA24" i="13"/>
  <c r="KU24" i="13"/>
  <c r="NG196" i="13"/>
  <c r="NG160" i="13"/>
  <c r="MT24" i="13"/>
  <c r="MQ24" i="13"/>
  <c r="MW24" i="13"/>
  <c r="MK24" i="13"/>
  <c r="NG134" i="13"/>
  <c r="MN24" i="13"/>
  <c r="R24" i="13"/>
  <c r="NG108" i="13"/>
  <c r="ME24" i="13"/>
  <c r="MH24" i="13"/>
  <c r="MB24" i="13"/>
  <c r="LY24" i="13"/>
  <c r="LP24" i="13"/>
  <c r="LJ24" i="13"/>
  <c r="LG24" i="13"/>
  <c r="KX24" i="13"/>
  <c r="LS24" i="13"/>
  <c r="LD24" i="13"/>
  <c r="LV24" i="13"/>
  <c r="NG64" i="13"/>
  <c r="F64" i="13" s="1"/>
  <c r="G64" i="13" s="1"/>
  <c r="LM24" i="13"/>
  <c r="NG26" i="13"/>
  <c r="F26" i="13" s="1"/>
  <c r="G26" i="13" s="1"/>
  <c r="Q256" i="13"/>
  <c r="HO250" i="13" l="1"/>
  <c r="HN264" i="13"/>
  <c r="HT34" i="13"/>
  <c r="GL264" i="13"/>
  <c r="GM34" i="13"/>
  <c r="FG250" i="13"/>
  <c r="FF264" i="13"/>
  <c r="EC250" i="13"/>
  <c r="EB264" i="13"/>
  <c r="EG28" i="13"/>
  <c r="CY250" i="13"/>
  <c r="CX264" i="13"/>
  <c r="DC28" i="13"/>
  <c r="BT250" i="13"/>
  <c r="BS264" i="13"/>
  <c r="BV28" i="13"/>
  <c r="AR36" i="13"/>
  <c r="AQ250" i="13"/>
  <c r="AQ264" i="13" s="1"/>
  <c r="AQ265" i="13" s="1"/>
  <c r="AU174" i="13"/>
  <c r="F134" i="13"/>
  <c r="G134" i="13" s="1"/>
  <c r="F160" i="13"/>
  <c r="G160" i="13" s="1"/>
  <c r="F196" i="13"/>
  <c r="G196" i="13" s="1"/>
  <c r="F108" i="13"/>
  <c r="G108" i="13" s="1"/>
  <c r="NG24" i="13"/>
  <c r="HP250" i="13" l="1"/>
  <c r="HO264" i="13"/>
  <c r="GM264" i="13"/>
  <c r="GN34" i="13"/>
  <c r="FH250" i="13"/>
  <c r="FG264" i="13"/>
  <c r="ED250" i="13"/>
  <c r="EC264" i="13"/>
  <c r="EH28" i="13"/>
  <c r="CZ250" i="13"/>
  <c r="CY264" i="13"/>
  <c r="DD28" i="13"/>
  <c r="BW28" i="13"/>
  <c r="BU250" i="13"/>
  <c r="BT264" i="13"/>
  <c r="AS36" i="13"/>
  <c r="AR250" i="13"/>
  <c r="AR264" i="13" s="1"/>
  <c r="AR265" i="13" s="1"/>
  <c r="AV174" i="13"/>
  <c r="NC244" i="13"/>
  <c r="NC256" i="13" s="1"/>
  <c r="NC259" i="13" s="1"/>
  <c r="MK244" i="13"/>
  <c r="MK256" i="13" s="1"/>
  <c r="LS244" i="13"/>
  <c r="LS256" i="13" s="1"/>
  <c r="LA244" i="13"/>
  <c r="LA256" i="13" s="1"/>
  <c r="KI244" i="13"/>
  <c r="KI256" i="13" s="1"/>
  <c r="FM256" i="13"/>
  <c r="MZ244" i="13"/>
  <c r="MZ256" i="13" s="1"/>
  <c r="MH244" i="13"/>
  <c r="MH256" i="13" s="1"/>
  <c r="LP244" i="13"/>
  <c r="LP256" i="13" s="1"/>
  <c r="KX244" i="13"/>
  <c r="KX256" i="13" s="1"/>
  <c r="KF244" i="13"/>
  <c r="KF256" i="13" s="1"/>
  <c r="EI256" i="13"/>
  <c r="ME244" i="13"/>
  <c r="ME256" i="13" s="1"/>
  <c r="LM244" i="13"/>
  <c r="LM256" i="13" s="1"/>
  <c r="KU244" i="13"/>
  <c r="KU256" i="13" s="1"/>
  <c r="KC244" i="13"/>
  <c r="KC256" i="13" s="1"/>
  <c r="MT244" i="13"/>
  <c r="MT256" i="13" s="1"/>
  <c r="LJ244" i="13"/>
  <c r="LJ256" i="13" s="1"/>
  <c r="KR244" i="13"/>
  <c r="KR256" i="13" s="1"/>
  <c r="IY256" i="13"/>
  <c r="CA256" i="13"/>
  <c r="MQ244" i="13"/>
  <c r="MQ256" i="13" s="1"/>
  <c r="LY244" i="13"/>
  <c r="LY256" i="13" s="1"/>
  <c r="LG244" i="13"/>
  <c r="LG256" i="13" s="1"/>
  <c r="KO244" i="13"/>
  <c r="KO256" i="13" s="1"/>
  <c r="AW256" i="13"/>
  <c r="MN244" i="13"/>
  <c r="MN256" i="13" s="1"/>
  <c r="LV244" i="13"/>
  <c r="LV256" i="13" s="1"/>
  <c r="LD244" i="13"/>
  <c r="LD256" i="13" s="1"/>
  <c r="KL244" i="13"/>
  <c r="KL256" i="13" s="1"/>
  <c r="GQ256" i="13"/>
  <c r="MB244" i="13"/>
  <c r="MB256" i="13" s="1"/>
  <c r="MW244" i="13"/>
  <c r="MW256" i="13" s="1"/>
  <c r="R244" i="13"/>
  <c r="HQ250" i="13" l="1"/>
  <c r="HP264" i="13"/>
  <c r="GN264" i="13"/>
  <c r="GO34" i="13"/>
  <c r="FI250" i="13"/>
  <c r="FH264" i="13"/>
  <c r="EE250" i="13"/>
  <c r="ED264" i="13"/>
  <c r="DE256" i="13"/>
  <c r="EH262" i="13" s="1"/>
  <c r="DE264" i="13"/>
  <c r="DA250" i="13"/>
  <c r="CZ264" i="13"/>
  <c r="BV250" i="13"/>
  <c r="BU264" i="13"/>
  <c r="BX28" i="13"/>
  <c r="AT36" i="13"/>
  <c r="AS250" i="13"/>
  <c r="AS264" i="13" s="1"/>
  <c r="AS265" i="13" s="1"/>
  <c r="NG174" i="13"/>
  <c r="ND262" i="13"/>
  <c r="NE262" i="13"/>
  <c r="NC262" i="13"/>
  <c r="MZ259" i="13"/>
  <c r="NB262" i="13"/>
  <c r="NA262" i="13"/>
  <c r="MZ262" i="13"/>
  <c r="MW259" i="13"/>
  <c r="MY262" i="13"/>
  <c r="MX262" i="13"/>
  <c r="MW262" i="13"/>
  <c r="MT259" i="13"/>
  <c r="MV262" i="13"/>
  <c r="MU262" i="13"/>
  <c r="MT262" i="13"/>
  <c r="MQ259" i="13"/>
  <c r="MR262" i="13"/>
  <c r="MS262" i="13"/>
  <c r="MQ262" i="13"/>
  <c r="MN259" i="13"/>
  <c r="MP262" i="13"/>
  <c r="MO262" i="13"/>
  <c r="MN262" i="13"/>
  <c r="MK259" i="13"/>
  <c r="ML262" i="13"/>
  <c r="MM262" i="13"/>
  <c r="MK262" i="13"/>
  <c r="MH259" i="13"/>
  <c r="MJ262" i="13"/>
  <c r="MI262" i="13"/>
  <c r="MH262" i="13"/>
  <c r="ME259" i="13"/>
  <c r="MG262" i="13"/>
  <c r="MF262" i="13"/>
  <c r="ME262" i="13"/>
  <c r="MB259" i="13"/>
  <c r="MD262" i="13"/>
  <c r="MC262" i="13"/>
  <c r="MB262" i="13"/>
  <c r="LY259" i="13"/>
  <c r="LY262" i="13"/>
  <c r="LZ262" i="13"/>
  <c r="MA262" i="13"/>
  <c r="LV259" i="13"/>
  <c r="LX262" i="13"/>
  <c r="LW262" i="13"/>
  <c r="LV262" i="13"/>
  <c r="LS259" i="13"/>
  <c r="LU262" i="13"/>
  <c r="LS262" i="13"/>
  <c r="LT262" i="13"/>
  <c r="LP259" i="13"/>
  <c r="LR262" i="13"/>
  <c r="LQ262" i="13"/>
  <c r="LP262" i="13"/>
  <c r="LM259" i="13"/>
  <c r="LM262" i="13"/>
  <c r="LO262" i="13"/>
  <c r="LN262" i="13"/>
  <c r="LJ259" i="13"/>
  <c r="LL262" i="13"/>
  <c r="LK262" i="13"/>
  <c r="LJ262" i="13"/>
  <c r="LG259" i="13"/>
  <c r="LI262" i="13"/>
  <c r="LH262" i="13"/>
  <c r="LG262" i="13"/>
  <c r="LD259" i="13"/>
  <c r="LF262" i="13"/>
  <c r="LE262" i="13"/>
  <c r="LD262" i="13"/>
  <c r="LA259" i="13"/>
  <c r="LB262" i="13"/>
  <c r="LC262" i="13"/>
  <c r="LA262" i="13"/>
  <c r="KX259" i="13"/>
  <c r="KZ262" i="13"/>
  <c r="KY262" i="13"/>
  <c r="KX262" i="13"/>
  <c r="KU259" i="13"/>
  <c r="KV262" i="13"/>
  <c r="KW262" i="13"/>
  <c r="KU262" i="13"/>
  <c r="KR259" i="13"/>
  <c r="KT262" i="13"/>
  <c r="KS262" i="13"/>
  <c r="KR262" i="13"/>
  <c r="KO259" i="13"/>
  <c r="KP262" i="13"/>
  <c r="KO262" i="13"/>
  <c r="KQ262" i="13"/>
  <c r="KL259" i="13"/>
  <c r="KN262" i="13"/>
  <c r="KM262" i="13"/>
  <c r="KL262" i="13"/>
  <c r="KI259" i="13"/>
  <c r="KJ262" i="13"/>
  <c r="KK262" i="13"/>
  <c r="KI262" i="13"/>
  <c r="KF259" i="13"/>
  <c r="KH262" i="13"/>
  <c r="KG262" i="13"/>
  <c r="KF262" i="13"/>
  <c r="KC259" i="13"/>
  <c r="KE262" i="13"/>
  <c r="KC262" i="13"/>
  <c r="KD262" i="13"/>
  <c r="IY259" i="13"/>
  <c r="KB262" i="13"/>
  <c r="IZ262" i="13"/>
  <c r="IY262" i="13"/>
  <c r="GQ259" i="13"/>
  <c r="HT262" i="13"/>
  <c r="GR262" i="13"/>
  <c r="GQ262" i="13"/>
  <c r="EI259" i="13"/>
  <c r="EJ262" i="13"/>
  <c r="EI262" i="13"/>
  <c r="FL262" i="13"/>
  <c r="CA259" i="13"/>
  <c r="DD262" i="13"/>
  <c r="CB262" i="13"/>
  <c r="CA262" i="13"/>
  <c r="AW259" i="13"/>
  <c r="AW262" i="13"/>
  <c r="BZ262" i="13"/>
  <c r="AX262" i="13"/>
  <c r="FM259" i="13"/>
  <c r="FM262" i="13"/>
  <c r="GP262" i="13"/>
  <c r="FN262" i="13"/>
  <c r="R256" i="13"/>
  <c r="HR250" i="13" l="1"/>
  <c r="HQ264" i="13"/>
  <c r="GO264" i="13"/>
  <c r="GP34" i="13"/>
  <c r="DE259" i="13"/>
  <c r="DF262" i="13"/>
  <c r="DE262" i="13"/>
  <c r="FJ250" i="13"/>
  <c r="FI264" i="13"/>
  <c r="EF250" i="13"/>
  <c r="EE264" i="13"/>
  <c r="DB250" i="13"/>
  <c r="DA264" i="13"/>
  <c r="BY28" i="13"/>
  <c r="BW250" i="13"/>
  <c r="BV264" i="13"/>
  <c r="AU36" i="13"/>
  <c r="AT250" i="13"/>
  <c r="AT264" i="13" s="1"/>
  <c r="AT265" i="13" s="1"/>
  <c r="F174" i="13"/>
  <c r="G174" i="13" s="1"/>
  <c r="NH160" i="13"/>
  <c r="R258" i="13"/>
  <c r="HS250" i="13" l="1"/>
  <c r="HR264" i="13"/>
  <c r="GP264" i="13"/>
  <c r="NG34" i="13"/>
  <c r="F34" i="13" s="1"/>
  <c r="G34" i="13" s="1"/>
  <c r="FK250" i="13"/>
  <c r="FJ264" i="13"/>
  <c r="EG250" i="13"/>
  <c r="EF264" i="13"/>
  <c r="DC250" i="13"/>
  <c r="DB264" i="13"/>
  <c r="BX250" i="13"/>
  <c r="BW264" i="13"/>
  <c r="BZ28" i="13"/>
  <c r="AV36" i="13"/>
  <c r="AU250" i="13"/>
  <c r="AU264" i="13" s="1"/>
  <c r="AU265" i="13" s="1"/>
  <c r="HT250" i="13" l="1"/>
  <c r="HT264" i="13" s="1"/>
  <c r="HS264" i="13"/>
  <c r="FL250" i="13"/>
  <c r="FL264" i="13" s="1"/>
  <c r="FK264" i="13"/>
  <c r="EH250" i="13"/>
  <c r="EH264" i="13" s="1"/>
  <c r="EG264" i="13"/>
  <c r="DD250" i="13"/>
  <c r="DD264" i="13" s="1"/>
  <c r="DC264" i="13"/>
  <c r="NG28" i="13"/>
  <c r="F28" i="13" s="1"/>
  <c r="G28" i="13" s="1"/>
  <c r="BY250" i="13"/>
  <c r="BX264" i="13"/>
  <c r="AV250" i="13"/>
  <c r="AV264" i="13" s="1"/>
  <c r="AV265" i="13" s="1"/>
  <c r="AW265" i="13" s="1"/>
  <c r="AX265" i="13" s="1"/>
  <c r="AY265" i="13" s="1"/>
  <c r="AZ265" i="13" s="1"/>
  <c r="BA265" i="13" s="1"/>
  <c r="BB265" i="13" s="1"/>
  <c r="BC265" i="13" s="1"/>
  <c r="BD265" i="13" s="1"/>
  <c r="BE265" i="13" s="1"/>
  <c r="BF265" i="13" s="1"/>
  <c r="BG265" i="13" s="1"/>
  <c r="BH265" i="13" s="1"/>
  <c r="BI265" i="13" s="1"/>
  <c r="BJ265" i="13" s="1"/>
  <c r="BK265" i="13" s="1"/>
  <c r="BL265" i="13" s="1"/>
  <c r="BM265" i="13" s="1"/>
  <c r="BN265" i="13" s="1"/>
  <c r="BO265" i="13" s="1"/>
  <c r="BP265" i="13" s="1"/>
  <c r="BQ265" i="13" s="1"/>
  <c r="BR265" i="13" s="1"/>
  <c r="BS265" i="13" s="1"/>
  <c r="BT265" i="13" s="1"/>
  <c r="BU265" i="13" s="1"/>
  <c r="BV265" i="13" s="1"/>
  <c r="BW265" i="13" s="1"/>
  <c r="NG36" i="13"/>
  <c r="BX265" i="13" l="1"/>
  <c r="BZ250" i="13"/>
  <c r="BZ264" i="13" s="1"/>
  <c r="BY264" i="13"/>
  <c r="BY265" i="13" s="1"/>
  <c r="NH26" i="13"/>
  <c r="NH24" i="13" s="1"/>
  <c r="F36" i="13"/>
  <c r="G36" i="13" s="1"/>
  <c r="BZ265" i="13" l="1"/>
  <c r="CA265" i="13" s="1"/>
  <c r="CB265" i="13" s="1"/>
  <c r="CC265" i="13" s="1"/>
  <c r="CD265" i="13" s="1"/>
  <c r="CE265" i="13" s="1"/>
  <c r="CF265" i="13" s="1"/>
  <c r="CG265" i="13" s="1"/>
  <c r="CH265" i="13" s="1"/>
  <c r="CI265" i="13" s="1"/>
  <c r="CJ265" i="13" s="1"/>
  <c r="CK265" i="13" s="1"/>
  <c r="CL265" i="13" s="1"/>
  <c r="CM265" i="13" s="1"/>
  <c r="CN265" i="13" s="1"/>
  <c r="CO265" i="13" s="1"/>
  <c r="CP265" i="13" s="1"/>
  <c r="CQ265" i="13" s="1"/>
  <c r="CR265" i="13" s="1"/>
  <c r="CS265" i="13" s="1"/>
  <c r="CT265" i="13" s="1"/>
  <c r="CU265" i="13" s="1"/>
  <c r="CV265" i="13" s="1"/>
  <c r="CW265" i="13" s="1"/>
  <c r="CX265" i="13" s="1"/>
  <c r="CY265" i="13" s="1"/>
  <c r="CZ265" i="13" s="1"/>
  <c r="DA265" i="13" s="1"/>
  <c r="DB265" i="13" s="1"/>
  <c r="DC265" i="13" s="1"/>
  <c r="DD265" i="13" s="1"/>
  <c r="DE265" i="13" s="1"/>
  <c r="DF265" i="13" s="1"/>
  <c r="DG265" i="13" s="1"/>
  <c r="DH265" i="13" s="1"/>
  <c r="DI265" i="13" s="1"/>
  <c r="DJ265" i="13" s="1"/>
  <c r="DK265" i="13" s="1"/>
  <c r="DL265" i="13" s="1"/>
  <c r="DM265" i="13" s="1"/>
  <c r="DN265" i="13" s="1"/>
  <c r="DO265" i="13" s="1"/>
  <c r="DP265" i="13" s="1"/>
  <c r="DQ265" i="13" s="1"/>
  <c r="DR265" i="13" s="1"/>
  <c r="DS265" i="13" s="1"/>
  <c r="DT265" i="13" s="1"/>
  <c r="DU265" i="13" s="1"/>
  <c r="DV265" i="13" s="1"/>
  <c r="DW265" i="13" s="1"/>
  <c r="DX265" i="13" s="1"/>
  <c r="DY265" i="13" s="1"/>
  <c r="DZ265" i="13" s="1"/>
  <c r="EA265" i="13" s="1"/>
  <c r="EB265" i="13" s="1"/>
  <c r="EC265" i="13" s="1"/>
  <c r="ED265" i="13" s="1"/>
  <c r="EE265" i="13" s="1"/>
  <c r="EF265" i="13" s="1"/>
  <c r="EG265" i="13" s="1"/>
  <c r="EH265" i="13" s="1"/>
  <c r="EI265" i="13" s="1"/>
  <c r="EJ265" i="13" s="1"/>
  <c r="EK265" i="13" s="1"/>
  <c r="EL265" i="13" s="1"/>
  <c r="EM265" i="13" s="1"/>
  <c r="EN265" i="13" s="1"/>
  <c r="EO265" i="13" s="1"/>
  <c r="EP265" i="13" s="1"/>
  <c r="EQ265" i="13" s="1"/>
  <c r="ER265" i="13" s="1"/>
  <c r="ES265" i="13" s="1"/>
  <c r="ET265" i="13" s="1"/>
  <c r="EU265" i="13" s="1"/>
  <c r="EV265" i="13" s="1"/>
  <c r="EW265" i="13" s="1"/>
  <c r="EX265" i="13" s="1"/>
  <c r="EY265" i="13" s="1"/>
  <c r="EZ265" i="13" s="1"/>
  <c r="FA265" i="13" s="1"/>
  <c r="FB265" i="13" s="1"/>
  <c r="FC265" i="13" s="1"/>
  <c r="FD265" i="13" s="1"/>
  <c r="FE265" i="13" s="1"/>
  <c r="FF265" i="13" s="1"/>
  <c r="FG265" i="13" s="1"/>
  <c r="FH265" i="13" s="1"/>
  <c r="FI265" i="13" s="1"/>
  <c r="FJ265" i="13" s="1"/>
  <c r="FK265" i="13" s="1"/>
  <c r="FL265" i="13" s="1"/>
  <c r="FM265" i="13" s="1"/>
  <c r="FN265" i="13" s="1"/>
  <c r="FO265" i="13" s="1"/>
  <c r="FP265" i="13" s="1"/>
  <c r="FQ265" i="13" s="1"/>
  <c r="FR265" i="13" s="1"/>
  <c r="FS265" i="13" s="1"/>
  <c r="FT265" i="13" s="1"/>
  <c r="FU265" i="13" s="1"/>
  <c r="FV265" i="13" s="1"/>
  <c r="FW265" i="13" s="1"/>
  <c r="FX265" i="13" s="1"/>
  <c r="FY265" i="13" s="1"/>
  <c r="FZ265" i="13" s="1"/>
  <c r="GA265" i="13" s="1"/>
  <c r="GB265" i="13" s="1"/>
  <c r="GC265" i="13" s="1"/>
  <c r="GD265" i="13" s="1"/>
  <c r="GE265" i="13" s="1"/>
  <c r="GF265" i="13" s="1"/>
  <c r="GG265" i="13" s="1"/>
  <c r="GH265" i="13" s="1"/>
  <c r="GI265" i="13" s="1"/>
  <c r="GJ265" i="13" s="1"/>
  <c r="GK265" i="13" s="1"/>
  <c r="GL265" i="13" s="1"/>
  <c r="GM265" i="13" s="1"/>
  <c r="GN265" i="13" s="1"/>
  <c r="GO265" i="13" s="1"/>
  <c r="GP265" i="13" s="1"/>
  <c r="GQ265" i="13" s="1"/>
  <c r="GR265" i="13" s="1"/>
  <c r="GS265" i="13" s="1"/>
  <c r="GT265" i="13" s="1"/>
  <c r="GU265" i="13" s="1"/>
  <c r="GV265" i="13" s="1"/>
  <c r="GW265" i="13" s="1"/>
  <c r="GX265" i="13" s="1"/>
  <c r="GY265" i="13" s="1"/>
  <c r="GZ265" i="13" s="1"/>
  <c r="HA265" i="13" s="1"/>
  <c r="HB265" i="13" s="1"/>
  <c r="HC265" i="13" s="1"/>
  <c r="HD265" i="13" s="1"/>
  <c r="HE265" i="13" s="1"/>
  <c r="HF265" i="13" s="1"/>
  <c r="HG265" i="13" s="1"/>
  <c r="HH265" i="13" s="1"/>
  <c r="HI265" i="13" s="1"/>
  <c r="HJ265" i="13" s="1"/>
  <c r="HK265" i="13" s="1"/>
  <c r="HL265" i="13" s="1"/>
  <c r="HM265" i="13" s="1"/>
  <c r="HN265" i="13" s="1"/>
  <c r="HO265" i="13" s="1"/>
  <c r="HP265" i="13" s="1"/>
  <c r="HQ265" i="13" s="1"/>
  <c r="HR265" i="13" s="1"/>
  <c r="HS265" i="13" s="1"/>
  <c r="HT265" i="13" s="1"/>
  <c r="S256" i="13" l="1"/>
  <c r="S259" i="13" s="1"/>
  <c r="S260" i="13" s="1"/>
  <c r="AW260" i="13" s="1"/>
  <c r="CA260" i="13" s="1"/>
  <c r="DE260" i="13" s="1"/>
  <c r="EI260" i="13" s="1"/>
  <c r="FM260" i="13" s="1"/>
  <c r="GQ260" i="13" s="1"/>
  <c r="AV262" i="13" l="1"/>
  <c r="S262" i="13"/>
  <c r="S263" i="13" s="1"/>
  <c r="T262" i="13"/>
  <c r="S258" i="13"/>
  <c r="AW258" i="13" s="1"/>
  <c r="CA258" i="13" s="1"/>
  <c r="DE258" i="13" s="1"/>
  <c r="EI258" i="13" s="1"/>
  <c r="FM258" i="13" s="1"/>
  <c r="GQ258" i="13" s="1"/>
  <c r="T263" i="13" l="1"/>
  <c r="AV263" i="13"/>
  <c r="AW263" i="13" s="1"/>
  <c r="AX263" i="13" s="1"/>
  <c r="BZ263" i="13" s="1"/>
  <c r="CA263" i="13" s="1"/>
  <c r="CB263" i="13" s="1"/>
  <c r="DD263" i="13" s="1"/>
  <c r="DE263" i="13" s="1"/>
  <c r="DF263" i="13" s="1"/>
  <c r="EH263" i="13" s="1"/>
  <c r="EI263" i="13" s="1"/>
  <c r="EJ263" i="13" s="1"/>
  <c r="FL263" i="13" s="1"/>
  <c r="FM263" i="13" s="1"/>
  <c r="FN263" i="13" s="1"/>
  <c r="GP263" i="13" s="1"/>
  <c r="GQ263" i="13" s="1"/>
  <c r="GR263" i="13" s="1"/>
  <c r="HT263" i="13" s="1"/>
  <c r="NG244" i="13"/>
  <c r="F244" i="13" s="1"/>
  <c r="G244" i="13" s="1"/>
  <c r="HU250" i="13"/>
  <c r="HU256" i="13"/>
  <c r="NG256" i="13" s="1"/>
  <c r="HV250" i="13" l="1"/>
  <c r="HU264" i="13"/>
  <c r="HU265" i="13" s="1"/>
  <c r="IX262" i="13"/>
  <c r="NG258" i="13"/>
  <c r="HV262" i="13"/>
  <c r="HU258" i="13"/>
  <c r="IY258" i="13" s="1"/>
  <c r="KC258" i="13" s="1"/>
  <c r="KF258" i="13" s="1"/>
  <c r="KI258" i="13" s="1"/>
  <c r="KL258" i="13" s="1"/>
  <c r="KO258" i="13" s="1"/>
  <c r="KR258" i="13" s="1"/>
  <c r="KU258" i="13" s="1"/>
  <c r="KX258" i="13" s="1"/>
  <c r="LA258" i="13" s="1"/>
  <c r="LD258" i="13" s="1"/>
  <c r="LG258" i="13" s="1"/>
  <c r="LJ258" i="13" s="1"/>
  <c r="LM258" i="13" s="1"/>
  <c r="LP258" i="13" s="1"/>
  <c r="LS258" i="13" s="1"/>
  <c r="LV258" i="13" s="1"/>
  <c r="LY258" i="13" s="1"/>
  <c r="MB258" i="13" s="1"/>
  <c r="ME258" i="13" s="1"/>
  <c r="MH258" i="13" s="1"/>
  <c r="MK258" i="13" s="1"/>
  <c r="MN258" i="13" s="1"/>
  <c r="MQ258" i="13" s="1"/>
  <c r="MT258" i="13" s="1"/>
  <c r="MW258" i="13" s="1"/>
  <c r="MZ258" i="13" s="1"/>
  <c r="NC258" i="13" s="1"/>
  <c r="HU259" i="13"/>
  <c r="HU260" i="13" s="1"/>
  <c r="IY260" i="13" s="1"/>
  <c r="KC260" i="13" s="1"/>
  <c r="KF260" i="13" s="1"/>
  <c r="KI260" i="13" s="1"/>
  <c r="KL260" i="13" s="1"/>
  <c r="KO260" i="13" s="1"/>
  <c r="KR260" i="13" s="1"/>
  <c r="KU260" i="13" s="1"/>
  <c r="KX260" i="13" s="1"/>
  <c r="LA260" i="13" s="1"/>
  <c r="LD260" i="13" s="1"/>
  <c r="LG260" i="13" s="1"/>
  <c r="LJ260" i="13" s="1"/>
  <c r="LM260" i="13" s="1"/>
  <c r="LP260" i="13" s="1"/>
  <c r="LS260" i="13" s="1"/>
  <c r="LV260" i="13" s="1"/>
  <c r="LY260" i="13" s="1"/>
  <c r="MB260" i="13" s="1"/>
  <c r="ME260" i="13" s="1"/>
  <c r="MH260" i="13" s="1"/>
  <c r="MK260" i="13" s="1"/>
  <c r="MN260" i="13" s="1"/>
  <c r="MQ260" i="13" s="1"/>
  <c r="MT260" i="13" s="1"/>
  <c r="MW260" i="13" s="1"/>
  <c r="MZ260" i="13" s="1"/>
  <c r="NC260" i="13" s="1"/>
  <c r="HU262" i="13"/>
  <c r="HU263" i="13" s="1"/>
  <c r="HW250" i="13" l="1"/>
  <c r="HV264" i="13"/>
  <c r="HV265" i="13" s="1"/>
  <c r="HV263" i="13"/>
  <c r="IX263" i="13" s="1"/>
  <c r="IY263" i="13" s="1"/>
  <c r="IZ263" i="13" s="1"/>
  <c r="KB263" i="13" s="1"/>
  <c r="KC263" i="13" s="1"/>
  <c r="KD263" i="13" s="1"/>
  <c r="KE263" i="13" s="1"/>
  <c r="KF263" i="13" s="1"/>
  <c r="KG263" i="13" s="1"/>
  <c r="KH263" i="13" s="1"/>
  <c r="KI263" i="13" s="1"/>
  <c r="KJ263" i="13" s="1"/>
  <c r="KK263" i="13" s="1"/>
  <c r="KL263" i="13" s="1"/>
  <c r="KM263" i="13" s="1"/>
  <c r="KN263" i="13" s="1"/>
  <c r="KO263" i="13" s="1"/>
  <c r="KP263" i="13" s="1"/>
  <c r="KQ263" i="13" s="1"/>
  <c r="KR263" i="13" s="1"/>
  <c r="KS263" i="13" s="1"/>
  <c r="KT263" i="13" s="1"/>
  <c r="KU263" i="13" s="1"/>
  <c r="KV263" i="13" s="1"/>
  <c r="KW263" i="13" s="1"/>
  <c r="KX263" i="13" s="1"/>
  <c r="KY263" i="13" s="1"/>
  <c r="KZ263" i="13" s="1"/>
  <c r="LA263" i="13" s="1"/>
  <c r="LB263" i="13" s="1"/>
  <c r="LC263" i="13" s="1"/>
  <c r="LD263" i="13" s="1"/>
  <c r="LE263" i="13" s="1"/>
  <c r="LF263" i="13" s="1"/>
  <c r="LG263" i="13" s="1"/>
  <c r="LH263" i="13" s="1"/>
  <c r="LI263" i="13" s="1"/>
  <c r="LJ263" i="13" s="1"/>
  <c r="LK263" i="13" s="1"/>
  <c r="LL263" i="13" s="1"/>
  <c r="LM263" i="13" s="1"/>
  <c r="LN263" i="13" s="1"/>
  <c r="LO263" i="13" s="1"/>
  <c r="LP263" i="13" s="1"/>
  <c r="LQ263" i="13" s="1"/>
  <c r="LR263" i="13" s="1"/>
  <c r="LS263" i="13" s="1"/>
  <c r="LT263" i="13" s="1"/>
  <c r="LU263" i="13" s="1"/>
  <c r="LV263" i="13" s="1"/>
  <c r="LW263" i="13" s="1"/>
  <c r="LX263" i="13" s="1"/>
  <c r="LY263" i="13" s="1"/>
  <c r="LZ263" i="13" s="1"/>
  <c r="MA263" i="13" s="1"/>
  <c r="MB263" i="13" s="1"/>
  <c r="MC263" i="13" s="1"/>
  <c r="MD263" i="13" s="1"/>
  <c r="ME263" i="13" s="1"/>
  <c r="MF263" i="13" s="1"/>
  <c r="MG263" i="13" s="1"/>
  <c r="MH263" i="13" s="1"/>
  <c r="MI263" i="13" s="1"/>
  <c r="MJ263" i="13" s="1"/>
  <c r="MK263" i="13" s="1"/>
  <c r="ML263" i="13" s="1"/>
  <c r="MM263" i="13" s="1"/>
  <c r="MN263" i="13" s="1"/>
  <c r="MO263" i="13" s="1"/>
  <c r="MP263" i="13" s="1"/>
  <c r="MQ263" i="13" s="1"/>
  <c r="MR263" i="13" s="1"/>
  <c r="MS263" i="13" s="1"/>
  <c r="MT263" i="13" s="1"/>
  <c r="MU263" i="13" s="1"/>
  <c r="MV263" i="13" s="1"/>
  <c r="MW263" i="13" s="1"/>
  <c r="MX263" i="13" s="1"/>
  <c r="MY263" i="13" s="1"/>
  <c r="MZ263" i="13" s="1"/>
  <c r="NA263" i="13" s="1"/>
  <c r="NB263" i="13" s="1"/>
  <c r="NC263" i="13" s="1"/>
  <c r="ND263" i="13" s="1"/>
  <c r="NE263" i="13" s="1"/>
  <c r="HX250" i="13" l="1"/>
  <c r="HW264" i="13"/>
  <c r="HW265" i="13" s="1"/>
  <c r="HY250" i="13" l="1"/>
  <c r="HX264" i="13"/>
  <c r="HX265" i="13" s="1"/>
  <c r="HZ250" i="13" l="1"/>
  <c r="HY264" i="13"/>
  <c r="HY265" i="13" s="1"/>
  <c r="IA250" i="13" l="1"/>
  <c r="HZ264" i="13"/>
  <c r="HZ265" i="13" s="1"/>
  <c r="IB250" i="13" l="1"/>
  <c r="IA264" i="13"/>
  <c r="IA265" i="13" s="1"/>
  <c r="IC250" i="13" l="1"/>
  <c r="IB264" i="13"/>
  <c r="IB265" i="13" s="1"/>
  <c r="ID250" i="13" l="1"/>
  <c r="IC264" i="13"/>
  <c r="IC265" i="13" s="1"/>
  <c r="IE250" i="13" l="1"/>
  <c r="ID264" i="13"/>
  <c r="ID265" i="13" s="1"/>
  <c r="IF250" i="13" l="1"/>
  <c r="IE264" i="13"/>
  <c r="IE265" i="13" s="1"/>
  <c r="IG250" i="13" l="1"/>
  <c r="IF264" i="13"/>
  <c r="IF265" i="13" s="1"/>
  <c r="IH250" i="13" l="1"/>
  <c r="IG264" i="13"/>
  <c r="IG265" i="13" s="1"/>
  <c r="II250" i="13" l="1"/>
  <c r="IH264" i="13"/>
  <c r="IH265" i="13" s="1"/>
  <c r="IJ250" i="13" l="1"/>
  <c r="II264" i="13"/>
  <c r="II265" i="13" s="1"/>
  <c r="IK250" i="13" l="1"/>
  <c r="IJ264" i="13"/>
  <c r="IJ265" i="13" s="1"/>
  <c r="IL250" i="13" l="1"/>
  <c r="IK264" i="13"/>
  <c r="IK265" i="13" s="1"/>
  <c r="IM250" i="13" l="1"/>
  <c r="IL264" i="13"/>
  <c r="IL265" i="13" s="1"/>
  <c r="IN250" i="13" l="1"/>
  <c r="IM264" i="13"/>
  <c r="IM265" i="13" s="1"/>
  <c r="IO250" i="13" l="1"/>
  <c r="IN264" i="13"/>
  <c r="IN265" i="13" s="1"/>
  <c r="IP250" i="13" l="1"/>
  <c r="IO264" i="13"/>
  <c r="IO265" i="13" s="1"/>
  <c r="IQ250" i="13" l="1"/>
  <c r="IP264" i="13"/>
  <c r="IP265" i="13" s="1"/>
  <c r="IR250" i="13" l="1"/>
  <c r="IQ264" i="13"/>
  <c r="IQ265" i="13" s="1"/>
  <c r="IS250" i="13" l="1"/>
  <c r="IR264" i="13"/>
  <c r="IR265" i="13" s="1"/>
  <c r="IT250" i="13" l="1"/>
  <c r="IS264" i="13"/>
  <c r="IS265" i="13" s="1"/>
  <c r="IU250" i="13" l="1"/>
  <c r="IT264" i="13"/>
  <c r="IT265" i="13" s="1"/>
  <c r="IV250" i="13" l="1"/>
  <c r="IU264" i="13"/>
  <c r="IU265" i="13" s="1"/>
  <c r="IW250" i="13" l="1"/>
  <c r="IV264" i="13"/>
  <c r="IV265" i="13" s="1"/>
  <c r="IX250" i="13" l="1"/>
  <c r="IW264" i="13"/>
  <c r="IW265" i="13" s="1"/>
  <c r="IX264" i="13" l="1"/>
  <c r="IX265" i="13" s="1"/>
  <c r="NG250" i="13"/>
  <c r="NH244" i="13" l="1"/>
  <c r="NH256" i="13" s="1"/>
  <c r="F250" i="13"/>
  <c r="G250" i="13" s="1"/>
</calcChain>
</file>

<file path=xl/sharedStrings.xml><?xml version="1.0" encoding="utf-8"?>
<sst xmlns="http://schemas.openxmlformats.org/spreadsheetml/2006/main" count="445" uniqueCount="300">
  <si>
    <t>단위</t>
    <phoneticPr fontId="0" type="noConversion"/>
  </si>
  <si>
    <t>식</t>
    <phoneticPr fontId="0" type="noConversion"/>
  </si>
  <si>
    <t>수  량</t>
    <phoneticPr fontId="0" type="noConversion"/>
  </si>
  <si>
    <t>공     종</t>
    <phoneticPr fontId="0" type="noConversion"/>
  </si>
  <si>
    <t>보할</t>
    <phoneticPr fontId="0" type="noConversion"/>
  </si>
  <si>
    <t>금액(천원)</t>
    <phoneticPr fontId="0" type="noConversion"/>
  </si>
  <si>
    <t>1. 토 공</t>
    <phoneticPr fontId="0" type="noConversion"/>
  </si>
  <si>
    <t>2.우수공</t>
    <phoneticPr fontId="0" type="noConversion"/>
  </si>
  <si>
    <t>3.오수공</t>
    <phoneticPr fontId="0" type="noConversion"/>
  </si>
  <si>
    <t>4.상수공</t>
    <phoneticPr fontId="0" type="noConversion"/>
  </si>
  <si>
    <t>변실</t>
    <phoneticPr fontId="0" type="noConversion"/>
  </si>
  <si>
    <t>보조기층포설및다짐</t>
    <phoneticPr fontId="0" type="noConversion"/>
  </si>
  <si>
    <t>차선도색</t>
    <phoneticPr fontId="0" type="noConversion"/>
  </si>
  <si>
    <t>GABION 옹벽 설치</t>
    <phoneticPr fontId="0" type="noConversion"/>
  </si>
  <si>
    <t>보할누계</t>
    <phoneticPr fontId="0" type="noConversion"/>
  </si>
  <si>
    <t>m</t>
    <phoneticPr fontId="0" type="noConversion"/>
  </si>
  <si>
    <t>ea</t>
    <phoneticPr fontId="0" type="noConversion"/>
  </si>
  <si>
    <t>방초매트</t>
    <phoneticPr fontId="0" type="noConversion"/>
  </si>
  <si>
    <t>식</t>
    <phoneticPr fontId="0" type="noConversion"/>
  </si>
  <si>
    <t>우수맨홀</t>
    <phoneticPr fontId="0" type="noConversion"/>
  </si>
  <si>
    <t>우수받이</t>
    <phoneticPr fontId="0" type="noConversion"/>
  </si>
  <si>
    <t>집수정</t>
    <phoneticPr fontId="0" type="noConversion"/>
  </si>
  <si>
    <t xml:space="preserve">   GIS측량성과비</t>
    <phoneticPr fontId="0" type="noConversion"/>
  </si>
  <si>
    <t xml:space="preserve">   시공측량</t>
    <phoneticPr fontId="0" type="noConversion"/>
  </si>
  <si>
    <t>식</t>
    <phoneticPr fontId="0" type="noConversion"/>
  </si>
  <si>
    <t>Km</t>
    <phoneticPr fontId="0" type="noConversion"/>
  </si>
  <si>
    <t>개소</t>
    <phoneticPr fontId="0" type="noConversion"/>
  </si>
  <si>
    <t>6.조경공</t>
    <phoneticPr fontId="0" type="noConversion"/>
  </si>
  <si>
    <t xml:space="preserve">예 정 공 정 표 </t>
    <phoneticPr fontId="0" type="noConversion"/>
  </si>
  <si>
    <t>철근콘크리트깨기</t>
    <phoneticPr fontId="0" type="noConversion"/>
  </si>
  <si>
    <t>무근콘크리트깨기</t>
    <phoneticPr fontId="0" type="noConversion"/>
  </si>
  <si>
    <t>포장깨기/절단</t>
    <phoneticPr fontId="0" type="noConversion"/>
  </si>
  <si>
    <t>건축구조물헐기</t>
    <phoneticPr fontId="0" type="noConversion"/>
  </si>
  <si>
    <t>폐기물적재</t>
    <phoneticPr fontId="0" type="noConversion"/>
  </si>
  <si>
    <t>m3</t>
    <phoneticPr fontId="0" type="noConversion"/>
  </si>
  <si>
    <t>m2</t>
    <phoneticPr fontId="0" type="noConversion"/>
  </si>
  <si>
    <t>토공(구조물터파기,되메우기)</t>
    <phoneticPr fontId="0" type="noConversion"/>
  </si>
  <si>
    <t>우수관로(D250~D1350)</t>
    <phoneticPr fontId="0" type="noConversion"/>
  </si>
  <si>
    <t>PC우수암거설치비</t>
    <phoneticPr fontId="0" type="noConversion"/>
  </si>
  <si>
    <t>현장타설암거</t>
    <phoneticPr fontId="0" type="noConversion"/>
  </si>
  <si>
    <t>식</t>
    <phoneticPr fontId="0" type="noConversion"/>
  </si>
  <si>
    <t>암거및배수관 날개벽/면벽</t>
    <phoneticPr fontId="0" type="noConversion"/>
  </si>
  <si>
    <t>도수로</t>
    <phoneticPr fontId="0" type="noConversion"/>
  </si>
  <si>
    <t>식</t>
    <phoneticPr fontId="0" type="noConversion"/>
  </si>
  <si>
    <t>식</t>
    <phoneticPr fontId="0" type="noConversion"/>
  </si>
  <si>
    <t>식</t>
    <phoneticPr fontId="0" type="noConversion"/>
  </si>
  <si>
    <t>자재운반비(흄관,PC암거,철근)</t>
    <phoneticPr fontId="0" type="noConversion"/>
  </si>
  <si>
    <t>자재대(레미콘,흄관,PC암거,철근등)</t>
    <phoneticPr fontId="0" type="noConversion"/>
  </si>
  <si>
    <t>오수맨홀(D900 1호)</t>
    <phoneticPr fontId="0" type="noConversion"/>
  </si>
  <si>
    <t>압송관로(KP메커니컬 D100mm)</t>
    <phoneticPr fontId="0" type="noConversion"/>
  </si>
  <si>
    <t>본</t>
    <phoneticPr fontId="0" type="noConversion"/>
  </si>
  <si>
    <t>부대공(cctv 조사,수밀시험)</t>
    <phoneticPr fontId="0" type="noConversion"/>
  </si>
  <si>
    <t>자재대</t>
    <phoneticPr fontId="0" type="noConversion"/>
  </si>
  <si>
    <t>토공(터파기,되메우기)</t>
    <phoneticPr fontId="0" type="noConversion"/>
  </si>
  <si>
    <t>토공(터파기,되메우기)</t>
    <phoneticPr fontId="0" type="noConversion"/>
  </si>
  <si>
    <t>본</t>
    <phoneticPr fontId="0" type="noConversion"/>
  </si>
  <si>
    <t>관로접합및부설(D25~D400)</t>
    <phoneticPr fontId="0" type="noConversion"/>
  </si>
  <si>
    <t>개</t>
    <phoneticPr fontId="0" type="noConversion"/>
  </si>
  <si>
    <t>밸브류설치(제수및공기밸브,소화전)</t>
    <phoneticPr fontId="0" type="noConversion"/>
  </si>
  <si>
    <t>개소</t>
    <phoneticPr fontId="0" type="noConversion"/>
  </si>
  <si>
    <t>식</t>
    <phoneticPr fontId="0" type="noConversion"/>
  </si>
  <si>
    <t>재이용수 토공(터파기,되메우기)</t>
    <phoneticPr fontId="0" type="noConversion"/>
  </si>
  <si>
    <t>본</t>
    <phoneticPr fontId="0" type="noConversion"/>
  </si>
  <si>
    <t>밸브류설치(제수및공기밸브,유량계)</t>
    <phoneticPr fontId="0" type="noConversion"/>
  </si>
  <si>
    <t>재이용수 변실</t>
    <phoneticPr fontId="0" type="noConversion"/>
  </si>
  <si>
    <t>개</t>
    <phoneticPr fontId="0" type="noConversion"/>
  </si>
  <si>
    <t>부대공(분기표식ELP관,표시못)</t>
    <phoneticPr fontId="0" type="noConversion"/>
  </si>
  <si>
    <t>재이용수부대공(분기표식ELP관,표시못)</t>
    <phoneticPr fontId="0" type="noConversion"/>
  </si>
  <si>
    <t>개</t>
    <phoneticPr fontId="0" type="noConversion"/>
  </si>
  <si>
    <t>m2</t>
    <phoneticPr fontId="0" type="noConversion"/>
  </si>
  <si>
    <t>경하중포장(보도,자전거,시각장애인)</t>
    <phoneticPr fontId="0" type="noConversion"/>
  </si>
  <si>
    <t>경계블럭설치(경계석,L형측구)</t>
    <phoneticPr fontId="0" type="noConversion"/>
  </si>
  <si>
    <t>고원식교차로/미끄럼방지/과속방지</t>
    <phoneticPr fontId="0" type="noConversion"/>
  </si>
  <si>
    <t>표지판(교통,도로,반사경,갈매기)</t>
    <phoneticPr fontId="0" type="noConversion"/>
  </si>
  <si>
    <t>보차도휀스</t>
    <phoneticPr fontId="0" type="noConversion"/>
  </si>
  <si>
    <t>경간</t>
    <phoneticPr fontId="0" type="noConversion"/>
  </si>
  <si>
    <t>가드레일</t>
    <phoneticPr fontId="0" type="noConversion"/>
  </si>
  <si>
    <t>경간</t>
    <phoneticPr fontId="0" type="noConversion"/>
  </si>
  <si>
    <t>자재대및운반비</t>
    <phoneticPr fontId="0" type="noConversion"/>
  </si>
  <si>
    <t>놀이시설 설치검사</t>
    <phoneticPr fontId="0" type="noConversion"/>
  </si>
  <si>
    <t>수목유지관리(준공후2년)</t>
    <phoneticPr fontId="0" type="noConversion"/>
  </si>
  <si>
    <t>7.구조물공</t>
    <phoneticPr fontId="0" type="noConversion"/>
  </si>
  <si>
    <t>m3</t>
    <phoneticPr fontId="0" type="noConversion"/>
  </si>
  <si>
    <t>농수관로(주철관D300mm)</t>
    <phoneticPr fontId="0" type="noConversion"/>
  </si>
  <si>
    <t>본</t>
    <phoneticPr fontId="0" type="noConversion"/>
  </si>
  <si>
    <t>식</t>
    <phoneticPr fontId="0" type="noConversion"/>
  </si>
  <si>
    <t>8.농수로공</t>
    <phoneticPr fontId="0" type="noConversion"/>
  </si>
  <si>
    <t>9.하천공</t>
    <phoneticPr fontId="0" type="noConversion"/>
  </si>
  <si>
    <t>식</t>
    <phoneticPr fontId="0" type="noConversion"/>
  </si>
  <si>
    <t>10.저류지공</t>
    <phoneticPr fontId="0" type="noConversion"/>
  </si>
  <si>
    <t>토공(터파기/되메우기)</t>
    <phoneticPr fontId="0" type="noConversion"/>
  </si>
  <si>
    <t>m3</t>
    <phoneticPr fontId="0" type="noConversion"/>
  </si>
  <si>
    <t>호안블럭</t>
    <phoneticPr fontId="0" type="noConversion"/>
  </si>
  <si>
    <t>m2</t>
    <phoneticPr fontId="0" type="noConversion"/>
  </si>
  <si>
    <t>휀스및출입문(H=1.5, L=2.0)</t>
    <phoneticPr fontId="0" type="noConversion"/>
  </si>
  <si>
    <t>자재대 및 운반비</t>
    <phoneticPr fontId="0" type="noConversion"/>
  </si>
  <si>
    <t>식</t>
    <phoneticPr fontId="0" type="noConversion"/>
  </si>
  <si>
    <t>11.부대공</t>
    <phoneticPr fontId="0" type="noConversion"/>
  </si>
  <si>
    <r>
      <rPr>
        <sz val="10"/>
        <rFont val="맑은 고딕"/>
        <family val="3"/>
        <charset val="129"/>
      </rPr>
      <t>식</t>
    </r>
    <phoneticPr fontId="0" type="noConversion"/>
  </si>
  <si>
    <t>가설 사무소(36개월)</t>
    <phoneticPr fontId="0" type="noConversion"/>
  </si>
  <si>
    <t>12.폐기물처리용역</t>
    <phoneticPr fontId="0" type="noConversion"/>
  </si>
  <si>
    <t>폐기물처리비 및 운반비</t>
    <phoneticPr fontId="0" type="noConversion"/>
  </si>
  <si>
    <t>식</t>
    <phoneticPr fontId="0" type="noConversion"/>
  </si>
  <si>
    <r>
      <t>3개월</t>
    </r>
    <r>
      <rPr>
        <sz val="9"/>
        <rFont val="맑은 고딕"/>
        <family val="3"/>
        <charset val="129"/>
      </rPr>
      <t/>
    </r>
  </si>
  <si>
    <r>
      <t>4개월</t>
    </r>
    <r>
      <rPr>
        <sz val="9"/>
        <rFont val="맑은 고딕"/>
        <family val="3"/>
        <charset val="129"/>
      </rPr>
      <t/>
    </r>
  </si>
  <si>
    <r>
      <t>5개월</t>
    </r>
    <r>
      <rPr>
        <sz val="9"/>
        <rFont val="맑은 고딕"/>
        <family val="3"/>
        <charset val="129"/>
      </rPr>
      <t/>
    </r>
  </si>
  <si>
    <r>
      <t>6개월</t>
    </r>
    <r>
      <rPr>
        <sz val="9"/>
        <rFont val="맑은 고딕"/>
        <family val="3"/>
        <charset val="129"/>
      </rPr>
      <t/>
    </r>
  </si>
  <si>
    <r>
      <t>7개월</t>
    </r>
    <r>
      <rPr>
        <sz val="9"/>
        <rFont val="맑은 고딕"/>
        <family val="3"/>
        <charset val="129"/>
      </rPr>
      <t/>
    </r>
  </si>
  <si>
    <r>
      <t>8개월</t>
    </r>
    <r>
      <rPr>
        <sz val="9"/>
        <rFont val="맑은 고딕"/>
        <family val="3"/>
        <charset val="129"/>
      </rPr>
      <t/>
    </r>
  </si>
  <si>
    <r>
      <t>9개월</t>
    </r>
    <r>
      <rPr>
        <sz val="9"/>
        <rFont val="맑은 고딕"/>
        <family val="3"/>
        <charset val="129"/>
      </rPr>
      <t/>
    </r>
  </si>
  <si>
    <r>
      <t>10개월</t>
    </r>
    <r>
      <rPr>
        <sz val="9"/>
        <rFont val="맑은 고딕"/>
        <family val="3"/>
        <charset val="129"/>
      </rPr>
      <t/>
    </r>
  </si>
  <si>
    <r>
      <t>11개월</t>
    </r>
    <r>
      <rPr>
        <sz val="9"/>
        <rFont val="맑은 고딕"/>
        <family val="3"/>
        <charset val="129"/>
      </rPr>
      <t/>
    </r>
  </si>
  <si>
    <r>
      <t>12개월</t>
    </r>
    <r>
      <rPr>
        <sz val="9"/>
        <rFont val="맑은 고딕"/>
        <family val="3"/>
        <charset val="129"/>
      </rPr>
      <t/>
    </r>
  </si>
  <si>
    <r>
      <t>13개월</t>
    </r>
    <r>
      <rPr>
        <sz val="9"/>
        <rFont val="맑은 고딕"/>
        <family val="3"/>
        <charset val="129"/>
      </rPr>
      <t/>
    </r>
  </si>
  <si>
    <r>
      <t>14개월</t>
    </r>
    <r>
      <rPr>
        <sz val="9"/>
        <rFont val="맑은 고딕"/>
        <family val="3"/>
        <charset val="129"/>
      </rPr>
      <t/>
    </r>
  </si>
  <si>
    <r>
      <t>15개월</t>
    </r>
    <r>
      <rPr>
        <sz val="9"/>
        <rFont val="맑은 고딕"/>
        <family val="3"/>
        <charset val="129"/>
      </rPr>
      <t/>
    </r>
  </si>
  <si>
    <r>
      <t>16개월</t>
    </r>
    <r>
      <rPr>
        <sz val="9"/>
        <rFont val="맑은 고딕"/>
        <family val="3"/>
        <charset val="129"/>
      </rPr>
      <t/>
    </r>
  </si>
  <si>
    <r>
      <t>17개월</t>
    </r>
    <r>
      <rPr>
        <sz val="9"/>
        <rFont val="맑은 고딕"/>
        <family val="3"/>
        <charset val="129"/>
      </rPr>
      <t/>
    </r>
  </si>
  <si>
    <r>
      <t>18개월</t>
    </r>
    <r>
      <rPr>
        <sz val="9"/>
        <rFont val="맑은 고딕"/>
        <family val="3"/>
        <charset val="129"/>
      </rPr>
      <t/>
    </r>
  </si>
  <si>
    <r>
      <t>19개월</t>
    </r>
    <r>
      <rPr>
        <sz val="9"/>
        <rFont val="맑은 고딕"/>
        <family val="3"/>
        <charset val="129"/>
      </rPr>
      <t/>
    </r>
  </si>
  <si>
    <r>
      <t>20개월</t>
    </r>
    <r>
      <rPr>
        <sz val="9"/>
        <rFont val="맑은 고딕"/>
        <family val="3"/>
        <charset val="129"/>
      </rPr>
      <t/>
    </r>
  </si>
  <si>
    <r>
      <t>21개월</t>
    </r>
    <r>
      <rPr>
        <sz val="9"/>
        <rFont val="맑은 고딕"/>
        <family val="3"/>
        <charset val="129"/>
      </rPr>
      <t/>
    </r>
  </si>
  <si>
    <r>
      <t>22개월</t>
    </r>
    <r>
      <rPr>
        <sz val="9"/>
        <rFont val="맑은 고딕"/>
        <family val="3"/>
        <charset val="129"/>
      </rPr>
      <t/>
    </r>
  </si>
  <si>
    <r>
      <t>23개월</t>
    </r>
    <r>
      <rPr>
        <sz val="9"/>
        <rFont val="맑은 고딕"/>
        <family val="3"/>
        <charset val="129"/>
      </rPr>
      <t/>
    </r>
  </si>
  <si>
    <r>
      <t>24개월</t>
    </r>
    <r>
      <rPr>
        <sz val="9"/>
        <rFont val="맑은 고딕"/>
        <family val="3"/>
        <charset val="129"/>
      </rPr>
      <t/>
    </r>
  </si>
  <si>
    <r>
      <t>25개월</t>
    </r>
    <r>
      <rPr>
        <sz val="9"/>
        <rFont val="맑은 고딕"/>
        <family val="3"/>
        <charset val="129"/>
      </rPr>
      <t/>
    </r>
  </si>
  <si>
    <r>
      <t>26개월</t>
    </r>
    <r>
      <rPr>
        <sz val="9"/>
        <rFont val="맑은 고딕"/>
        <family val="3"/>
        <charset val="129"/>
      </rPr>
      <t/>
    </r>
  </si>
  <si>
    <r>
      <t>27개월</t>
    </r>
    <r>
      <rPr>
        <sz val="9"/>
        <rFont val="맑은 고딕"/>
        <family val="3"/>
        <charset val="129"/>
      </rPr>
      <t/>
    </r>
  </si>
  <si>
    <r>
      <t>28개월</t>
    </r>
    <r>
      <rPr>
        <sz val="9"/>
        <rFont val="맑은 고딕"/>
        <family val="3"/>
        <charset val="129"/>
      </rPr>
      <t/>
    </r>
  </si>
  <si>
    <r>
      <t>29개월</t>
    </r>
    <r>
      <rPr>
        <sz val="9"/>
        <rFont val="맑은 고딕"/>
        <family val="3"/>
        <charset val="129"/>
      </rPr>
      <t/>
    </r>
  </si>
  <si>
    <r>
      <t>30개월</t>
    </r>
    <r>
      <rPr>
        <sz val="9"/>
        <rFont val="맑은 고딕"/>
        <family val="3"/>
        <charset val="129"/>
      </rPr>
      <t/>
    </r>
  </si>
  <si>
    <r>
      <t>31개월</t>
    </r>
    <r>
      <rPr>
        <sz val="9"/>
        <rFont val="맑은 고딕"/>
        <family val="3"/>
        <charset val="129"/>
      </rPr>
      <t/>
    </r>
  </si>
  <si>
    <t>32개월</t>
    <phoneticPr fontId="0" type="noConversion"/>
  </si>
  <si>
    <t>아스콘포장 (기층,중간층.표층)</t>
    <phoneticPr fontId="0" type="noConversion"/>
  </si>
  <si>
    <t>식</t>
    <phoneticPr fontId="0" type="noConversion"/>
  </si>
  <si>
    <t>구조물헐기/관깨기/가드레일,낙책철거</t>
    <phoneticPr fontId="0" type="noConversion"/>
  </si>
  <si>
    <t>벌개제근/표토제거</t>
    <phoneticPr fontId="0" type="noConversion"/>
  </si>
  <si>
    <t>임목폐기물파쇄/적치</t>
    <phoneticPr fontId="0" type="noConversion"/>
  </si>
  <si>
    <t>초기우수(6개)/장비투입구(3개)</t>
    <phoneticPr fontId="0" type="noConversion"/>
  </si>
  <si>
    <t>관로(pvc 이중벽관 D150,D300)</t>
    <phoneticPr fontId="0" type="noConversion"/>
  </si>
  <si>
    <t>자재대/운반비</t>
    <phoneticPr fontId="0" type="noConversion"/>
  </si>
  <si>
    <t>본
선</t>
    <phoneticPr fontId="0" type="noConversion"/>
  </si>
  <si>
    <t>재
이
용</t>
    <phoneticPr fontId="0" type="noConversion"/>
  </si>
  <si>
    <t>재이용수관로접합및부설(D50-D200)</t>
    <phoneticPr fontId="0" type="noConversion"/>
  </si>
  <si>
    <t>재이용수 자재대/운반비</t>
    <phoneticPr fontId="0" type="noConversion"/>
  </si>
  <si>
    <t>5.도로 및 포장공</t>
    <phoneticPr fontId="0" type="noConversion"/>
  </si>
  <si>
    <t>근린공원(우수/시설/포장/식재)</t>
    <phoneticPr fontId="0" type="noConversion"/>
  </si>
  <si>
    <t>완충녹지(교목/잔디)1~11</t>
    <phoneticPr fontId="0" type="noConversion"/>
  </si>
  <si>
    <t>가로수(이팝나무)</t>
    <phoneticPr fontId="0" type="noConversion"/>
  </si>
  <si>
    <t>주</t>
    <phoneticPr fontId="0" type="noConversion"/>
  </si>
  <si>
    <t>주</t>
    <phoneticPr fontId="0" type="noConversion"/>
  </si>
  <si>
    <t>가식장 토지임대료(36개월)</t>
    <phoneticPr fontId="0" type="noConversion"/>
  </si>
  <si>
    <t>자재 및 운반(패널/GABION/레미콘등)</t>
    <phoneticPr fontId="0" type="noConversion"/>
  </si>
  <si>
    <t>m2</t>
    <phoneticPr fontId="0" type="noConversion"/>
  </si>
  <si>
    <t>패널옹벽공(L=101m)</t>
    <phoneticPr fontId="0" type="noConversion"/>
  </si>
  <si>
    <t>부대공(수압,퇴수시험,표시못등)</t>
    <phoneticPr fontId="0" type="noConversion"/>
  </si>
  <si>
    <t>m3</t>
    <phoneticPr fontId="0" type="noConversion"/>
  </si>
  <si>
    <t>토공(깍기/쌓기/터파기/되메우기등)</t>
    <phoneticPr fontId="0" type="noConversion"/>
  </si>
  <si>
    <t>호안공(전석쌓기)</t>
    <phoneticPr fontId="0" type="noConversion"/>
  </si>
  <si>
    <t>m2</t>
    <phoneticPr fontId="0" type="noConversion"/>
  </si>
  <si>
    <t>개거공(4.0 X 3.0)</t>
    <phoneticPr fontId="0" type="noConversion"/>
  </si>
  <si>
    <t>PC우수암거설치(4.0 X 3.0,3.5)</t>
    <phoneticPr fontId="0" type="noConversion"/>
  </si>
  <si>
    <t>콘크리트포장(B=4.0m)</t>
    <phoneticPr fontId="0" type="noConversion"/>
  </si>
  <si>
    <t>개소</t>
    <phoneticPr fontId="0" type="noConversion"/>
  </si>
  <si>
    <t>저류지안내표지판설치(1.8X0.9)</t>
    <phoneticPr fontId="0" type="noConversion"/>
  </si>
  <si>
    <t>임시침사지(3개)/세륜세차(2개)</t>
    <phoneticPr fontId="0" type="noConversion"/>
  </si>
  <si>
    <t>대기오염방지(살수)</t>
    <phoneticPr fontId="0" type="noConversion"/>
  </si>
  <si>
    <t>a</t>
    <phoneticPr fontId="0" type="noConversion"/>
  </si>
  <si>
    <t>안전점검/검토비/안전계획서등</t>
    <phoneticPr fontId="0" type="noConversion"/>
  </si>
  <si>
    <t>식</t>
    <phoneticPr fontId="0" type="noConversion"/>
  </si>
  <si>
    <t>기타(품질관리비/장비운반 등)</t>
    <phoneticPr fontId="0" type="noConversion"/>
  </si>
  <si>
    <t>직접공사비</t>
    <phoneticPr fontId="0" type="noConversion"/>
  </si>
  <si>
    <t>1일</t>
    <phoneticPr fontId="0" type="noConversion"/>
  </si>
  <si>
    <t>30m3</t>
    <phoneticPr fontId="0" type="noConversion"/>
  </si>
  <si>
    <t>45m3</t>
    <phoneticPr fontId="0" type="noConversion"/>
  </si>
  <si>
    <t>70m3</t>
    <phoneticPr fontId="0" type="noConversion"/>
  </si>
  <si>
    <t>8개월</t>
    <phoneticPr fontId="0" type="noConversion"/>
  </si>
  <si>
    <t>298동</t>
    <phoneticPr fontId="0" type="noConversion"/>
  </si>
  <si>
    <t>6개월</t>
    <phoneticPr fontId="0" type="noConversion"/>
  </si>
  <si>
    <t>10개월</t>
    <phoneticPr fontId="0" type="noConversion"/>
  </si>
  <si>
    <t>1일</t>
    <phoneticPr fontId="0" type="noConversion"/>
  </si>
  <si>
    <t>8000m2</t>
    <phoneticPr fontId="0" type="noConversion"/>
  </si>
  <si>
    <t>8137m3</t>
    <phoneticPr fontId="0" type="noConversion"/>
  </si>
  <si>
    <t>21개월</t>
    <phoneticPr fontId="0" type="noConversion"/>
  </si>
  <si>
    <t>1일/월25일</t>
    <phoneticPr fontId="0" type="noConversion"/>
  </si>
  <si>
    <t>23개월</t>
    <phoneticPr fontId="0" type="noConversion"/>
  </si>
  <si>
    <t>14300m3</t>
    <phoneticPr fontId="0" type="noConversion"/>
  </si>
  <si>
    <t>15600m3</t>
    <phoneticPr fontId="0" type="noConversion"/>
  </si>
  <si>
    <t>550m3</t>
    <phoneticPr fontId="0" type="noConversion"/>
  </si>
  <si>
    <t>4개월</t>
    <phoneticPr fontId="0" type="noConversion"/>
  </si>
  <si>
    <t>370m3</t>
    <phoneticPr fontId="0" type="noConversion"/>
  </si>
  <si>
    <t>170358m2</t>
    <phoneticPr fontId="0" type="noConversion"/>
  </si>
  <si>
    <t>6개월</t>
    <phoneticPr fontId="0" type="noConversion"/>
  </si>
  <si>
    <t>1140m2</t>
    <phoneticPr fontId="0" type="noConversion"/>
  </si>
  <si>
    <t>5개월</t>
    <phoneticPr fontId="0" type="noConversion"/>
  </si>
  <si>
    <t>615m2</t>
    <phoneticPr fontId="0" type="noConversion"/>
  </si>
  <si>
    <t>1개소</t>
    <phoneticPr fontId="0" type="noConversion"/>
  </si>
  <si>
    <t>14개소</t>
    <phoneticPr fontId="0" type="noConversion"/>
  </si>
  <si>
    <t>16개월</t>
    <phoneticPr fontId="0" type="noConversion"/>
  </si>
  <si>
    <t>382m3</t>
    <phoneticPr fontId="0" type="noConversion"/>
  </si>
  <si>
    <t>8개월</t>
    <phoneticPr fontId="0" type="noConversion"/>
  </si>
  <si>
    <t>55m</t>
    <phoneticPr fontId="0" type="noConversion"/>
  </si>
  <si>
    <t>9개월</t>
    <phoneticPr fontId="0" type="noConversion"/>
  </si>
  <si>
    <t>28m</t>
    <phoneticPr fontId="0" type="noConversion"/>
  </si>
  <si>
    <t>3개소</t>
    <phoneticPr fontId="0" type="noConversion"/>
  </si>
  <si>
    <t>2개소</t>
    <phoneticPr fontId="0" type="noConversion"/>
  </si>
  <si>
    <t>6개월</t>
    <phoneticPr fontId="0" type="noConversion"/>
  </si>
  <si>
    <t>6개소</t>
    <phoneticPr fontId="0" type="noConversion"/>
  </si>
  <si>
    <t>2개월</t>
    <phoneticPr fontId="0" type="noConversion"/>
  </si>
  <si>
    <t>월8개소</t>
    <phoneticPr fontId="0" type="noConversion"/>
  </si>
  <si>
    <t>11개소</t>
    <phoneticPr fontId="0" type="noConversion"/>
  </si>
  <si>
    <t>pc3/관날개8</t>
    <phoneticPr fontId="0" type="noConversion"/>
  </si>
  <si>
    <t>3개소</t>
    <phoneticPr fontId="0" type="noConversion"/>
  </si>
  <si>
    <t>깍기부</t>
    <phoneticPr fontId="0" type="noConversion"/>
  </si>
  <si>
    <t>산마루952/U개거2366</t>
    <phoneticPr fontId="0" type="noConversion"/>
  </si>
  <si>
    <t>11개월</t>
    <phoneticPr fontId="0" type="noConversion"/>
  </si>
  <si>
    <t>12m</t>
    <phoneticPr fontId="0" type="noConversion"/>
  </si>
  <si>
    <t>5개월</t>
    <phoneticPr fontId="0" type="noConversion"/>
  </si>
  <si>
    <t>77m</t>
    <phoneticPr fontId="0" type="noConversion"/>
  </si>
  <si>
    <t>2본</t>
    <phoneticPr fontId="0" type="noConversion"/>
  </si>
  <si>
    <t>월41본</t>
    <phoneticPr fontId="0" type="noConversion"/>
  </si>
  <si>
    <t>6개월</t>
    <phoneticPr fontId="0" type="noConversion"/>
  </si>
  <si>
    <t>1000m3</t>
    <phoneticPr fontId="0" type="noConversion"/>
  </si>
  <si>
    <t>79m</t>
    <phoneticPr fontId="0" type="noConversion"/>
  </si>
  <si>
    <t>3개월</t>
    <phoneticPr fontId="0" type="noConversion"/>
  </si>
  <si>
    <t>월20개</t>
    <phoneticPr fontId="0" type="noConversion"/>
  </si>
  <si>
    <t>126m3</t>
    <phoneticPr fontId="0" type="noConversion"/>
  </si>
  <si>
    <t>67m</t>
    <phoneticPr fontId="0" type="noConversion"/>
  </si>
  <si>
    <t>월24개</t>
    <phoneticPr fontId="0" type="noConversion"/>
  </si>
  <si>
    <t>월51개</t>
    <phoneticPr fontId="0" type="noConversion"/>
  </si>
  <si>
    <t>월8개</t>
    <phoneticPr fontId="0" type="noConversion"/>
  </si>
  <si>
    <t>5개월</t>
    <phoneticPr fontId="0" type="noConversion"/>
  </si>
  <si>
    <t>200m3</t>
    <phoneticPr fontId="0" type="noConversion"/>
  </si>
  <si>
    <t>4800m2</t>
    <phoneticPr fontId="0" type="noConversion"/>
  </si>
  <si>
    <t>2개월</t>
    <phoneticPr fontId="0" type="noConversion"/>
  </si>
  <si>
    <t>5개월</t>
    <phoneticPr fontId="0" type="noConversion"/>
  </si>
  <si>
    <t>441m2</t>
    <phoneticPr fontId="0" type="noConversion"/>
  </si>
  <si>
    <t>341m</t>
    <phoneticPr fontId="0" type="noConversion"/>
  </si>
  <si>
    <t>149m2</t>
    <phoneticPr fontId="0" type="noConversion"/>
  </si>
  <si>
    <t>31경간</t>
    <phoneticPr fontId="0" type="noConversion"/>
  </si>
  <si>
    <t>월271경간</t>
    <phoneticPr fontId="0" type="noConversion"/>
  </si>
  <si>
    <t>47주</t>
    <phoneticPr fontId="0" type="noConversion"/>
  </si>
  <si>
    <t>2곳 195m</t>
    <phoneticPr fontId="0" type="noConversion"/>
  </si>
  <si>
    <t>46m3</t>
    <phoneticPr fontId="0" type="noConversion"/>
  </si>
  <si>
    <t>214개</t>
    <phoneticPr fontId="0" type="noConversion"/>
  </si>
  <si>
    <t>229m3</t>
    <phoneticPr fontId="0" type="noConversion"/>
  </si>
  <si>
    <t>7개월</t>
    <phoneticPr fontId="0" type="noConversion"/>
  </si>
  <si>
    <t>1290m</t>
    <phoneticPr fontId="0" type="noConversion"/>
  </si>
  <si>
    <t>31m2</t>
    <phoneticPr fontId="0" type="noConversion"/>
  </si>
  <si>
    <t>3개월</t>
    <phoneticPr fontId="0" type="noConversion"/>
  </si>
  <si>
    <t>95m2</t>
    <phoneticPr fontId="0" type="noConversion"/>
  </si>
  <si>
    <t>21개월</t>
    <phoneticPr fontId="0" type="noConversion"/>
  </si>
  <si>
    <t>세륜설치 관리</t>
    <phoneticPr fontId="0" type="noConversion"/>
  </si>
  <si>
    <t>15개월</t>
    <phoneticPr fontId="0" type="noConversion"/>
  </si>
  <si>
    <t>27m</t>
    <phoneticPr fontId="0" type="noConversion"/>
  </si>
  <si>
    <t>소음진동방지(가설방음벽)36개월</t>
    <phoneticPr fontId="0" type="noConversion"/>
  </si>
  <si>
    <t>,식</t>
    <phoneticPr fontId="0" type="noConversion"/>
  </si>
  <si>
    <t>V형 및 산마루측구/개거</t>
    <phoneticPr fontId="0" type="noConversion"/>
  </si>
  <si>
    <t>가이식수목(현장--&gt;가식장)</t>
    <phoneticPr fontId="0" type="noConversion"/>
  </si>
  <si>
    <t>.</t>
    <phoneticPr fontId="0" type="noConversion"/>
  </si>
  <si>
    <t>m2</t>
    <phoneticPr fontId="0" type="noConversion"/>
  </si>
  <si>
    <t>흙깍기(토사/리핑암/발파암)/소할</t>
    <phoneticPr fontId="0" type="noConversion"/>
  </si>
  <si>
    <t>m3</t>
    <phoneticPr fontId="0" type="noConversion"/>
  </si>
  <si>
    <t>시험발파/계측/영향조사</t>
    <phoneticPr fontId="0" type="noConversion"/>
  </si>
  <si>
    <t>식</t>
    <phoneticPr fontId="0" type="noConversion"/>
  </si>
  <si>
    <t>토량운반</t>
    <phoneticPr fontId="0" type="noConversion"/>
  </si>
  <si>
    <t>흙쌓기(토사/암)</t>
    <phoneticPr fontId="0" type="noConversion"/>
  </si>
  <si>
    <t>구조물터파기</t>
    <phoneticPr fontId="0" type="noConversion"/>
  </si>
  <si>
    <t>되메우기및다짐</t>
    <phoneticPr fontId="0" type="noConversion"/>
  </si>
  <si>
    <t>비탈면보호공</t>
    <phoneticPr fontId="0" type="noConversion"/>
  </si>
  <si>
    <t>면고르기(절토)</t>
    <phoneticPr fontId="0" type="noConversion"/>
  </si>
  <si>
    <t>규준틀설치</t>
    <phoneticPr fontId="0" type="noConversion"/>
  </si>
  <si>
    <t>개</t>
    <phoneticPr fontId="0" type="noConversion"/>
  </si>
  <si>
    <t>비옥토적치장</t>
    <phoneticPr fontId="0" type="noConversion"/>
  </si>
  <si>
    <t>부대공(CCTV조사 및 하수관준설)</t>
    <phoneticPr fontId="0" type="noConversion"/>
  </si>
  <si>
    <t>m/m3</t>
    <phoneticPr fontId="0" type="noConversion"/>
  </si>
  <si>
    <t>가배수로(토사)/연결관(D1350)</t>
    <phoneticPr fontId="0" type="noConversion"/>
  </si>
  <si>
    <t>14.전기공사</t>
    <phoneticPr fontId="0" type="noConversion"/>
  </si>
  <si>
    <t>기시공분</t>
    <phoneticPr fontId="0" type="noConversion"/>
  </si>
  <si>
    <t xml:space="preserve">  </t>
    <phoneticPr fontId="0" type="noConversion"/>
  </si>
  <si>
    <t>13.제경비 및 기타</t>
    <phoneticPr fontId="0" type="noConversion"/>
  </si>
  <si>
    <t xml:space="preserve">   제경비 및 계측관리</t>
    <phoneticPr fontId="0" type="noConversion"/>
  </si>
  <si>
    <t>보할월계</t>
    <phoneticPr fontId="0" type="noConversion"/>
  </si>
  <si>
    <r>
      <t>32</t>
    </r>
    <r>
      <rPr>
        <sz val="9"/>
        <rFont val="맑은 고딕"/>
        <family val="3"/>
        <charset val="129"/>
      </rPr>
      <t>개월</t>
    </r>
    <phoneticPr fontId="0" type="noConversion"/>
  </si>
  <si>
    <r>
      <t>33</t>
    </r>
    <r>
      <rPr>
        <sz val="9"/>
        <rFont val="맑은 고딕"/>
        <family val="3"/>
        <charset val="129"/>
      </rPr>
      <t>월</t>
    </r>
    <phoneticPr fontId="0" type="noConversion"/>
  </si>
  <si>
    <r>
      <t>34</t>
    </r>
    <r>
      <rPr>
        <sz val="9"/>
        <rFont val="맑은 고딕"/>
        <family val="3"/>
        <charset val="129"/>
      </rPr>
      <t>월</t>
    </r>
    <phoneticPr fontId="0" type="noConversion"/>
  </si>
  <si>
    <r>
      <t>35</t>
    </r>
    <r>
      <rPr>
        <sz val="9"/>
        <rFont val="맑은 고딕"/>
        <family val="3"/>
        <charset val="129"/>
      </rPr>
      <t>개월</t>
    </r>
    <phoneticPr fontId="0" type="noConversion"/>
  </si>
  <si>
    <r>
      <t>36</t>
    </r>
    <r>
      <rPr>
        <sz val="9"/>
        <rFont val="맑은 고딕"/>
        <family val="3"/>
        <charset val="129"/>
      </rPr>
      <t>개월</t>
    </r>
    <phoneticPr fontId="0" type="noConversion"/>
  </si>
  <si>
    <t>전체공급가액:
208,195,454천원</t>
    <phoneticPr fontId="0" type="noConversion"/>
  </si>
  <si>
    <t>월      별</t>
    <phoneticPr fontId="0" type="noConversion"/>
  </si>
  <si>
    <t>누      계</t>
    <phoneticPr fontId="0" type="noConversion"/>
  </si>
  <si>
    <t>전기공사</t>
    <phoneticPr fontId="0" type="noConversion"/>
  </si>
  <si>
    <t>그래프</t>
    <phoneticPr fontId="0" type="noConversion"/>
  </si>
  <si>
    <t xml:space="preserve">                                                    현장대리인 : 최 준 복  (인)</t>
    <phoneticPr fontId="0" type="noConversion"/>
  </si>
  <si>
    <t>현장명 : 진천메가폴리스 산업단지 조성사업</t>
    <phoneticPr fontId="0" type="noConversion"/>
  </si>
  <si>
    <r>
      <rPr>
        <sz val="10"/>
        <rFont val="맑은 고딕"/>
        <family val="3"/>
        <charset val="129"/>
      </rPr>
      <t>개소</t>
    </r>
    <phoneticPr fontId="0" type="noConversion"/>
  </si>
  <si>
    <r>
      <rPr>
        <sz val="10"/>
        <rFont val="맑은 고딕"/>
        <family val="3"/>
        <charset val="129"/>
      </rPr>
      <t>경간</t>
    </r>
    <phoneticPr fontId="0" type="noConversion"/>
  </si>
  <si>
    <t>※ 문화재 지표조사, 보상(토지 및 지장물) 및 「진천 메가폴리스 산업단지 조성사업(우선시공분)」 등으로 착공할 수 없는 경우 도급계약서 제10조 ②항 적용</t>
    <phoneticPr fontId="0" type="noConversion"/>
  </si>
  <si>
    <r>
      <t>2</t>
    </r>
    <r>
      <rPr>
        <b/>
        <sz val="9"/>
        <rFont val="돋움"/>
        <family val="3"/>
        <charset val="129"/>
      </rPr>
      <t>개월</t>
    </r>
    <r>
      <rPr>
        <sz val="9"/>
        <rFont val="맑은 고딕"/>
        <family val="3"/>
        <charset val="129"/>
      </rPr>
      <t/>
    </r>
    <phoneticPr fontId="0" type="noConversion"/>
  </si>
  <si>
    <r>
      <t>1</t>
    </r>
    <r>
      <rPr>
        <b/>
        <sz val="9"/>
        <rFont val="맑은 고딕"/>
        <family val="3"/>
        <charset val="129"/>
      </rPr>
      <t>개월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</si>
</sst>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#,##0.0###\ ;[Red]&quot;△&quot;#,##0.0###\ "/>
    <numFmt numFmtId="177" formatCode="#,##0.####;[Red]&quot;△&quot;#,##0.####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;[Red]&quot;-&quot;#,##0"/>
    <numFmt numFmtId="183" formatCode="&quot;L =&quot;\ 0.00"/>
    <numFmt numFmtId="184" formatCode="0.0%"/>
    <numFmt numFmtId="185" formatCode="0.000%"/>
    <numFmt numFmtId="186" formatCode="0.0000%"/>
    <numFmt numFmtId="187" formatCode="0.00000000000_ "/>
    <numFmt numFmtId="188" formatCode="0.00000%"/>
    <numFmt numFmtId="189" formatCode="#,##0_ "/>
    <numFmt numFmtId="190" formatCode="000,000\ &quot;천원&quot;"/>
    <numFmt numFmtId="191" formatCode="dd"/>
  </numFmts>
  <fonts count="41">
    <font>
      <sz val="8"/>
      <name val="굴림체"/>
      <family val="3"/>
      <charset val="129"/>
    </font>
    <font>
      <sz val="8"/>
      <name val="굴림체"/>
      <family val="3"/>
      <charset val="129"/>
    </font>
    <font>
      <sz val="8"/>
      <name val="굴림체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0"/>
      <name val="MS Sans Serif"/>
      <family val="2"/>
    </font>
    <font>
      <u/>
      <sz val="11"/>
      <color indexed="36"/>
      <name val="돋움"/>
      <family val="3"/>
      <charset val="129"/>
    </font>
    <font>
      <sz val="12"/>
      <color indexed="24"/>
      <name val="Helv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Times New Roman"/>
      <family val="1"/>
    </font>
    <font>
      <sz val="11"/>
      <name val="굴림체"/>
      <family val="3"/>
      <charset val="129"/>
    </font>
    <font>
      <sz val="8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36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Arial Narrow"/>
      <family val="2"/>
    </font>
    <font>
      <sz val="9"/>
      <name val="맑은 고딕"/>
      <family val="3"/>
      <charset val="129"/>
    </font>
    <font>
      <b/>
      <u/>
      <sz val="28"/>
      <name val="맑은 고딕"/>
      <family val="3"/>
      <charset val="129"/>
      <scheme val="major"/>
    </font>
    <font>
      <b/>
      <u/>
      <sz val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name val="Arial Narrow"/>
      <family val="2"/>
    </font>
    <font>
      <sz val="10"/>
      <name val="맑은 고딕"/>
      <family val="3"/>
      <charset val="129"/>
    </font>
    <font>
      <b/>
      <u/>
      <sz val="8"/>
      <name val="맑은 고딕"/>
      <family val="3"/>
      <charset val="129"/>
      <scheme val="major"/>
    </font>
    <font>
      <b/>
      <sz val="10"/>
      <name val="Arial Narrow"/>
      <family val="2"/>
    </font>
    <font>
      <sz val="10"/>
      <name val="돋움"/>
      <family val="3"/>
      <charset val="129"/>
    </font>
    <font>
      <b/>
      <sz val="8"/>
      <name val="굴림체"/>
      <family val="3"/>
      <charset val="129"/>
    </font>
    <font>
      <sz val="9"/>
      <name val="맑은 고딕"/>
      <family val="2"/>
      <charset val="129"/>
    </font>
    <font>
      <b/>
      <sz val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sz val="9.5"/>
      <name val="맑은 고딕"/>
      <family val="3"/>
      <charset val="129"/>
      <scheme val="major"/>
    </font>
    <font>
      <sz val="8"/>
      <name val="Arial Narrow"/>
      <family val="2"/>
    </font>
    <font>
      <b/>
      <sz val="9"/>
      <color rgb="FFFF0000"/>
      <name val="Arial Narrow"/>
      <family val="2"/>
    </font>
    <font>
      <sz val="5"/>
      <name val="맑은 고딕"/>
      <family val="3"/>
      <charset val="129"/>
      <scheme val="major"/>
    </font>
    <font>
      <b/>
      <sz val="9"/>
      <name val="Arial Narrow"/>
      <family val="2"/>
    </font>
    <font>
      <b/>
      <sz val="9"/>
      <name val="돋움"/>
      <family val="3"/>
      <charset val="129"/>
    </font>
    <font>
      <b/>
      <sz val="9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2">
    <xf numFmtId="0" fontId="0" fillId="0" borderId="0"/>
    <xf numFmtId="3" fontId="5" fillId="0" borderId="1">
      <alignment horizontal="center"/>
    </xf>
    <xf numFmtId="0" fontId="6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3" fontId="7" fillId="0" borderId="0" applyFont="0" applyFill="0" applyBorder="0" applyAlignment="0" applyProtection="0"/>
    <xf numFmtId="182" fontId="11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/>
    <xf numFmtId="178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</cellStyleXfs>
  <cellXfs count="457">
    <xf numFmtId="0" fontId="0" fillId="0" borderId="0" xfId="0"/>
    <xf numFmtId="0" fontId="12" fillId="0" borderId="0" xfId="0" applyFont="1"/>
    <xf numFmtId="0" fontId="13" fillId="0" borderId="0" xfId="0" applyFont="1"/>
    <xf numFmtId="0" fontId="13" fillId="0" borderId="0" xfId="13" applyFont="1"/>
    <xf numFmtId="0" fontId="14" fillId="0" borderId="0" xfId="0" applyFont="1"/>
    <xf numFmtId="0" fontId="18" fillId="0" borderId="0" xfId="13" applyFont="1" applyAlignment="1">
      <alignment vertical="center"/>
    </xf>
    <xf numFmtId="0" fontId="18" fillId="0" borderId="0" xfId="0" applyFont="1"/>
    <xf numFmtId="0" fontId="18" fillId="0" borderId="0" xfId="13" applyFont="1"/>
    <xf numFmtId="0" fontId="22" fillId="0" borderId="0" xfId="0" applyFont="1" applyAlignment="1">
      <alignment horizontal="center"/>
    </xf>
    <xf numFmtId="0" fontId="23" fillId="0" borderId="0" xfId="0" applyFont="1"/>
    <xf numFmtId="41" fontId="18" fillId="0" borderId="0" xfId="0" applyNumberFormat="1" applyFont="1"/>
    <xf numFmtId="10" fontId="12" fillId="0" borderId="0" xfId="19" applyNumberFormat="1" applyFont="1" applyAlignment="1"/>
    <xf numFmtId="10" fontId="18" fillId="0" borderId="0" xfId="19" applyNumberFormat="1" applyFont="1" applyAlignment="1"/>
    <xf numFmtId="10" fontId="13" fillId="0" borderId="0" xfId="19" applyNumberFormat="1" applyFont="1" applyAlignment="1"/>
    <xf numFmtId="41" fontId="26" fillId="0" borderId="0" xfId="0" applyNumberFormat="1" applyFont="1" applyAlignment="1">
      <alignment horizontal="center"/>
    </xf>
    <xf numFmtId="41" fontId="12" fillId="0" borderId="0" xfId="3" applyFont="1" applyAlignment="1">
      <alignment horizontal="right"/>
    </xf>
    <xf numFmtId="41" fontId="18" fillId="0" borderId="0" xfId="3" applyFont="1" applyAlignment="1">
      <alignment horizontal="right"/>
    </xf>
    <xf numFmtId="41" fontId="18" fillId="0" borderId="0" xfId="3" applyFont="1" applyBorder="1" applyAlignment="1">
      <alignment horizontal="right"/>
    </xf>
    <xf numFmtId="0" fontId="18" fillId="3" borderId="0" xfId="0" applyFont="1" applyFill="1"/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85" fontId="24" fillId="0" borderId="59" xfId="19" applyNumberFormat="1" applyFont="1" applyFill="1" applyBorder="1" applyAlignment="1">
      <alignment horizontal="center" vertical="center"/>
    </xf>
    <xf numFmtId="186" fontId="12" fillId="0" borderId="0" xfId="0" applyNumberFormat="1" applyFont="1"/>
    <xf numFmtId="186" fontId="14" fillId="0" borderId="0" xfId="0" applyNumberFormat="1" applyFont="1"/>
    <xf numFmtId="186" fontId="23" fillId="0" borderId="0" xfId="0" applyNumberFormat="1" applyFont="1"/>
    <xf numFmtId="186" fontId="18" fillId="0" borderId="0" xfId="13" applyNumberFormat="1" applyFont="1" applyAlignment="1">
      <alignment vertical="center"/>
    </xf>
    <xf numFmtId="186" fontId="18" fillId="0" borderId="0" xfId="0" applyNumberFormat="1" applyFont="1"/>
    <xf numFmtId="189" fontId="18" fillId="0" borderId="0" xfId="0" applyNumberFormat="1" applyFont="1" applyAlignment="1">
      <alignment horizontal="center" vertical="center"/>
    </xf>
    <xf numFmtId="0" fontId="18" fillId="0" borderId="0" xfId="0" applyFont="1" applyBorder="1" applyAlignment="1">
      <alignment horizontal="center"/>
    </xf>
    <xf numFmtId="0" fontId="18" fillId="0" borderId="0" xfId="0" applyFont="1" applyBorder="1"/>
    <xf numFmtId="41" fontId="18" fillId="0" borderId="0" xfId="3" applyFont="1" applyAlignment="1">
      <alignment horizontal="center"/>
    </xf>
    <xf numFmtId="10" fontId="18" fillId="0" borderId="0" xfId="3" applyNumberFormat="1" applyFont="1" applyFill="1" applyAlignment="1">
      <alignment horizontal="center"/>
    </xf>
    <xf numFmtId="0" fontId="18" fillId="0" borderId="0" xfId="0" applyFont="1" applyAlignment="1"/>
    <xf numFmtId="185" fontId="27" fillId="3" borderId="0" xfId="0" applyNumberFormat="1" applyFont="1" applyFill="1" applyBorder="1" applyAlignment="1">
      <alignment horizontal="center" vertical="center"/>
    </xf>
    <xf numFmtId="185" fontId="27" fillId="3" borderId="0" xfId="19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13" applyFont="1" applyAlignment="1">
      <alignment horizontal="center"/>
    </xf>
    <xf numFmtId="185" fontId="27" fillId="3" borderId="7" xfId="0" applyNumberFormat="1" applyFont="1" applyFill="1" applyBorder="1" applyAlignment="1">
      <alignment horizontal="center" vertical="center"/>
    </xf>
    <xf numFmtId="186" fontId="18" fillId="0" borderId="0" xfId="0" applyNumberFormat="1" applyFont="1" applyAlignment="1">
      <alignment horizontal="center" vertical="center"/>
    </xf>
    <xf numFmtId="186" fontId="24" fillId="0" borderId="57" xfId="19" applyNumberFormat="1" applyFont="1" applyFill="1" applyBorder="1" applyAlignment="1"/>
    <xf numFmtId="186" fontId="24" fillId="0" borderId="45" xfId="19" applyNumberFormat="1" applyFont="1" applyFill="1" applyBorder="1" applyAlignment="1"/>
    <xf numFmtId="186" fontId="24" fillId="0" borderId="58" xfId="19" applyNumberFormat="1" applyFont="1" applyFill="1" applyBorder="1" applyAlignment="1"/>
    <xf numFmtId="186" fontId="24" fillId="0" borderId="48" xfId="19" applyNumberFormat="1" applyFont="1" applyFill="1" applyBorder="1" applyAlignment="1"/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7" xfId="0" applyFont="1" applyBorder="1" applyAlignment="1">
      <alignment horizontal="center"/>
    </xf>
    <xf numFmtId="0" fontId="19" fillId="2" borderId="33" xfId="13" applyFont="1" applyFill="1" applyBorder="1" applyAlignment="1">
      <alignment horizontal="center" vertical="center"/>
    </xf>
    <xf numFmtId="0" fontId="19" fillId="2" borderId="24" xfId="13" applyFont="1" applyFill="1" applyBorder="1" applyAlignment="1">
      <alignment horizontal="center" vertical="center"/>
    </xf>
    <xf numFmtId="0" fontId="19" fillId="2" borderId="26" xfId="13" applyFont="1" applyFill="1" applyBorder="1" applyAlignment="1">
      <alignment horizontal="center" vertical="center"/>
    </xf>
    <xf numFmtId="0" fontId="19" fillId="2" borderId="25" xfId="13" applyFont="1" applyFill="1" applyBorder="1" applyAlignment="1">
      <alignment horizontal="center" vertical="center"/>
    </xf>
    <xf numFmtId="0" fontId="19" fillId="2" borderId="65" xfId="13" applyFont="1" applyFill="1" applyBorder="1" applyAlignment="1">
      <alignment horizontal="center" vertical="center"/>
    </xf>
    <xf numFmtId="0" fontId="15" fillId="0" borderId="0" xfId="13" applyFont="1" applyAlignment="1">
      <alignment horizontal="center" vertical="center"/>
    </xf>
    <xf numFmtId="189" fontId="18" fillId="5" borderId="0" xfId="0" applyNumberFormat="1" applyFont="1" applyFill="1" applyAlignment="1">
      <alignment horizontal="center" vertical="center"/>
    </xf>
    <xf numFmtId="186" fontId="24" fillId="0" borderId="53" xfId="19" applyNumberFormat="1" applyFont="1" applyFill="1" applyBorder="1" applyAlignment="1"/>
    <xf numFmtId="186" fontId="24" fillId="0" borderId="50" xfId="19" applyNumberFormat="1" applyFont="1" applyFill="1" applyBorder="1" applyAlignment="1"/>
    <xf numFmtId="186" fontId="24" fillId="0" borderId="54" xfId="19" applyNumberFormat="1" applyFont="1" applyFill="1" applyBorder="1" applyAlignment="1"/>
    <xf numFmtId="186" fontId="27" fillId="0" borderId="53" xfId="19" applyNumberFormat="1" applyFont="1" applyFill="1" applyBorder="1" applyAlignment="1">
      <alignment horizontal="left"/>
    </xf>
    <xf numFmtId="186" fontId="24" fillId="0" borderId="77" xfId="19" applyNumberFormat="1" applyFont="1" applyFill="1" applyBorder="1" applyAlignment="1"/>
    <xf numFmtId="186" fontId="24" fillId="0" borderId="78" xfId="19" applyNumberFormat="1" applyFont="1" applyFill="1" applyBorder="1" applyAlignment="1"/>
    <xf numFmtId="186" fontId="24" fillId="0" borderId="55" xfId="19" applyNumberFormat="1" applyFont="1" applyFill="1" applyBorder="1" applyAlignment="1"/>
    <xf numFmtId="10" fontId="24" fillId="0" borderId="60" xfId="19" applyNumberFormat="1" applyFont="1" applyFill="1" applyBorder="1" applyAlignment="1">
      <alignment horizontal="center" vertical="center"/>
    </xf>
    <xf numFmtId="186" fontId="24" fillId="6" borderId="57" xfId="19" applyNumberFormat="1" applyFont="1" applyFill="1" applyBorder="1" applyAlignment="1"/>
    <xf numFmtId="186" fontId="24" fillId="6" borderId="45" xfId="19" applyNumberFormat="1" applyFont="1" applyFill="1" applyBorder="1" applyAlignment="1"/>
    <xf numFmtId="186" fontId="24" fillId="6" borderId="58" xfId="19" applyNumberFormat="1" applyFont="1" applyFill="1" applyBorder="1" applyAlignment="1"/>
    <xf numFmtId="186" fontId="24" fillId="0" borderId="79" xfId="19" applyNumberFormat="1" applyFont="1" applyFill="1" applyBorder="1" applyAlignment="1"/>
    <xf numFmtId="186" fontId="24" fillId="0" borderId="80" xfId="19" applyNumberFormat="1" applyFont="1" applyFill="1" applyBorder="1" applyAlignment="1"/>
    <xf numFmtId="186" fontId="24" fillId="0" borderId="2" xfId="19" applyNumberFormat="1" applyFont="1" applyFill="1" applyBorder="1" applyAlignment="1"/>
    <xf numFmtId="186" fontId="24" fillId="0" borderId="0" xfId="19" applyNumberFormat="1" applyFont="1" applyFill="1" applyBorder="1" applyAlignment="1"/>
    <xf numFmtId="186" fontId="24" fillId="0" borderId="18" xfId="19" applyNumberFormat="1" applyFont="1" applyFill="1" applyBorder="1" applyAlignment="1"/>
    <xf numFmtId="186" fontId="27" fillId="0" borderId="2" xfId="19" applyNumberFormat="1" applyFont="1" applyFill="1" applyBorder="1" applyAlignment="1">
      <alignment horizontal="left"/>
    </xf>
    <xf numFmtId="186" fontId="24" fillId="0" borderId="75" xfId="19" applyNumberFormat="1" applyFont="1" applyFill="1" applyBorder="1" applyAlignment="1"/>
    <xf numFmtId="186" fontId="24" fillId="0" borderId="76" xfId="19" applyNumberFormat="1" applyFont="1" applyFill="1" applyBorder="1" applyAlignment="1"/>
    <xf numFmtId="186" fontId="24" fillId="0" borderId="5" xfId="19" applyNumberFormat="1" applyFont="1" applyFill="1" applyBorder="1" applyAlignment="1"/>
    <xf numFmtId="10" fontId="24" fillId="0" borderId="39" xfId="19" applyNumberFormat="1" applyFont="1" applyFill="1" applyBorder="1" applyAlignment="1">
      <alignment horizontal="center" vertical="center"/>
    </xf>
    <xf numFmtId="186" fontId="27" fillId="0" borderId="0" xfId="19" applyNumberFormat="1" applyFont="1" applyFill="1" applyBorder="1" applyAlignment="1">
      <alignment horizontal="left"/>
    </xf>
    <xf numFmtId="186" fontId="27" fillId="0" borderId="18" xfId="19" applyNumberFormat="1" applyFont="1" applyFill="1" applyBorder="1" applyAlignment="1">
      <alignment horizontal="left"/>
    </xf>
    <xf numFmtId="10" fontId="24" fillId="0" borderId="59" xfId="19" applyNumberFormat="1" applyFont="1" applyFill="1" applyBorder="1" applyAlignment="1">
      <alignment horizontal="center" vertical="center"/>
    </xf>
    <xf numFmtId="186" fontId="27" fillId="0" borderId="50" xfId="19" applyNumberFormat="1" applyFont="1" applyFill="1" applyBorder="1" applyAlignment="1">
      <alignment horizontal="left"/>
    </xf>
    <xf numFmtId="186" fontId="27" fillId="0" borderId="54" xfId="19" applyNumberFormat="1" applyFont="1" applyFill="1" applyBorder="1" applyAlignment="1">
      <alignment horizontal="left"/>
    </xf>
    <xf numFmtId="41" fontId="33" fillId="0" borderId="0" xfId="0" applyNumberFormat="1" applyFont="1"/>
    <xf numFmtId="0" fontId="33" fillId="0" borderId="0" xfId="0" applyFont="1"/>
    <xf numFmtId="184" fontId="24" fillId="0" borderId="59" xfId="19" applyNumberFormat="1" applyFont="1" applyFill="1" applyBorder="1" applyAlignment="1">
      <alignment horizontal="center" vertical="center"/>
    </xf>
    <xf numFmtId="10" fontId="24" fillId="0" borderId="40" xfId="19" applyNumberFormat="1" applyFont="1" applyFill="1" applyBorder="1" applyAlignment="1">
      <alignment horizontal="center" vertical="center"/>
    </xf>
    <xf numFmtId="186" fontId="24" fillId="0" borderId="7" xfId="19" applyNumberFormat="1" applyFont="1" applyFill="1" applyBorder="1" applyAlignment="1"/>
    <xf numFmtId="186" fontId="24" fillId="0" borderId="19" xfId="19" applyNumberFormat="1" applyFont="1" applyFill="1" applyBorder="1" applyAlignment="1"/>
    <xf numFmtId="186" fontId="24" fillId="0" borderId="4" xfId="19" applyNumberFormat="1" applyFont="1" applyFill="1" applyBorder="1" applyAlignment="1"/>
    <xf numFmtId="186" fontId="24" fillId="0" borderId="73" xfId="19" applyNumberFormat="1" applyFont="1" applyFill="1" applyBorder="1" applyAlignment="1"/>
    <xf numFmtId="186" fontId="24" fillId="0" borderId="74" xfId="19" applyNumberFormat="1" applyFont="1" applyFill="1" applyBorder="1" applyAlignment="1"/>
    <xf numFmtId="186" fontId="24" fillId="0" borderId="10" xfId="19" applyNumberFormat="1" applyFont="1" applyFill="1" applyBorder="1" applyAlignment="1"/>
    <xf numFmtId="185" fontId="24" fillId="0" borderId="39" xfId="19" applyNumberFormat="1" applyFont="1" applyFill="1" applyBorder="1" applyAlignment="1">
      <alignment horizontal="center" vertical="center"/>
    </xf>
    <xf numFmtId="185" fontId="24" fillId="0" borderId="60" xfId="19" applyNumberFormat="1" applyFont="1" applyFill="1" applyBorder="1" applyAlignment="1">
      <alignment horizontal="center" vertical="center"/>
    </xf>
    <xf numFmtId="186" fontId="24" fillId="6" borderId="48" xfId="19" applyNumberFormat="1" applyFont="1" applyFill="1" applyBorder="1" applyAlignment="1"/>
    <xf numFmtId="186" fontId="24" fillId="0" borderId="53" xfId="19" applyNumberFormat="1" applyFont="1" applyFill="1" applyBorder="1" applyAlignment="1">
      <alignment horizontal="center"/>
    </xf>
    <xf numFmtId="186" fontId="24" fillId="0" borderId="50" xfId="19" applyNumberFormat="1" applyFont="1" applyFill="1" applyBorder="1" applyAlignment="1">
      <alignment horizontal="center"/>
    </xf>
    <xf numFmtId="186" fontId="24" fillId="0" borderId="54" xfId="19" applyNumberFormat="1" applyFont="1" applyFill="1" applyBorder="1" applyAlignment="1">
      <alignment horizontal="center"/>
    </xf>
    <xf numFmtId="186" fontId="24" fillId="0" borderId="55" xfId="19" applyNumberFormat="1" applyFont="1" applyFill="1" applyBorder="1" applyAlignment="1">
      <alignment horizontal="center"/>
    </xf>
    <xf numFmtId="186" fontId="24" fillId="0" borderId="57" xfId="19" applyNumberFormat="1" applyFont="1" applyFill="1" applyBorder="1" applyAlignment="1">
      <alignment horizontal="center"/>
    </xf>
    <xf numFmtId="186" fontId="24" fillId="0" borderId="45" xfId="19" applyNumberFormat="1" applyFont="1" applyFill="1" applyBorder="1" applyAlignment="1">
      <alignment horizontal="center"/>
    </xf>
    <xf numFmtId="186" fontId="24" fillId="0" borderId="58" xfId="19" applyNumberFormat="1" applyFont="1" applyFill="1" applyBorder="1" applyAlignment="1">
      <alignment horizontal="center"/>
    </xf>
    <xf numFmtId="186" fontId="24" fillId="0" borderId="48" xfId="19" applyNumberFormat="1" applyFont="1" applyFill="1" applyBorder="1" applyAlignment="1">
      <alignment horizontal="center"/>
    </xf>
    <xf numFmtId="186" fontId="24" fillId="0" borderId="39" xfId="19" applyNumberFormat="1" applyFont="1" applyFill="1" applyBorder="1" applyAlignment="1">
      <alignment horizontal="center" vertical="center"/>
    </xf>
    <xf numFmtId="186" fontId="35" fillId="0" borderId="45" xfId="19" applyNumberFormat="1" applyFont="1" applyFill="1" applyBorder="1" applyAlignment="1"/>
    <xf numFmtId="186" fontId="35" fillId="0" borderId="50" xfId="19" applyNumberFormat="1" applyFont="1" applyFill="1" applyBorder="1" applyAlignment="1"/>
    <xf numFmtId="186" fontId="24" fillId="0" borderId="53" xfId="19" applyNumberFormat="1" applyFont="1" applyFill="1" applyBorder="1" applyAlignment="1">
      <alignment vertical="center"/>
    </xf>
    <xf numFmtId="186" fontId="24" fillId="0" borderId="50" xfId="19" applyNumberFormat="1" applyFont="1" applyFill="1" applyBorder="1" applyAlignment="1">
      <alignment vertical="center"/>
    </xf>
    <xf numFmtId="186" fontId="24" fillId="0" borderId="54" xfId="19" applyNumberFormat="1" applyFont="1" applyFill="1" applyBorder="1" applyAlignment="1">
      <alignment vertical="center"/>
    </xf>
    <xf numFmtId="186" fontId="24" fillId="0" borderId="77" xfId="19" applyNumberFormat="1" applyFont="1" applyFill="1" applyBorder="1" applyAlignment="1">
      <alignment vertical="center"/>
    </xf>
    <xf numFmtId="186" fontId="24" fillId="0" borderId="78" xfId="19" applyNumberFormat="1" applyFont="1" applyFill="1" applyBorder="1" applyAlignment="1">
      <alignment vertical="center"/>
    </xf>
    <xf numFmtId="186" fontId="24" fillId="0" borderId="57" xfId="19" applyNumberFormat="1" applyFont="1" applyFill="1" applyBorder="1" applyAlignment="1">
      <alignment vertical="center"/>
    </xf>
    <xf numFmtId="186" fontId="24" fillId="0" borderId="45" xfId="19" applyNumberFormat="1" applyFont="1" applyFill="1" applyBorder="1" applyAlignment="1">
      <alignment vertical="center"/>
    </xf>
    <xf numFmtId="186" fontId="24" fillId="0" borderId="58" xfId="19" applyNumberFormat="1" applyFont="1" applyFill="1" applyBorder="1" applyAlignment="1">
      <alignment vertical="center"/>
    </xf>
    <xf numFmtId="186" fontId="24" fillId="0" borderId="79" xfId="19" applyNumberFormat="1" applyFont="1" applyFill="1" applyBorder="1" applyAlignment="1">
      <alignment vertical="center"/>
    </xf>
    <xf numFmtId="186" fontId="24" fillId="0" borderId="80" xfId="19" applyNumberFormat="1" applyFont="1" applyFill="1" applyBorder="1" applyAlignment="1">
      <alignment vertical="center"/>
    </xf>
    <xf numFmtId="186" fontId="35" fillId="0" borderId="7" xfId="19" applyNumberFormat="1" applyFont="1" applyFill="1" applyBorder="1" applyAlignment="1"/>
    <xf numFmtId="0" fontId="12" fillId="3" borderId="0" xfId="0" applyFont="1" applyFill="1"/>
    <xf numFmtId="186" fontId="35" fillId="0" borderId="0" xfId="19" applyNumberFormat="1" applyFont="1" applyFill="1" applyBorder="1" applyAlignment="1"/>
    <xf numFmtId="0" fontId="33" fillId="0" borderId="0" xfId="0" applyFont="1" applyAlignment="1"/>
    <xf numFmtId="186" fontId="24" fillId="0" borderId="59" xfId="19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185" fontId="18" fillId="0" borderId="0" xfId="0" applyNumberFormat="1" applyFont="1" applyAlignment="1">
      <alignment horizontal="center" vertical="center"/>
    </xf>
    <xf numFmtId="10" fontId="24" fillId="0" borderId="7" xfId="19" applyNumberFormat="1" applyFont="1" applyFill="1" applyBorder="1" applyAlignment="1"/>
    <xf numFmtId="10" fontId="24" fillId="0" borderId="19" xfId="19" applyNumberFormat="1" applyFont="1" applyFill="1" applyBorder="1" applyAlignment="1"/>
    <xf numFmtId="10" fontId="24" fillId="0" borderId="4" xfId="19" applyNumberFormat="1" applyFont="1" applyFill="1" applyBorder="1" applyAlignment="1"/>
    <xf numFmtId="10" fontId="24" fillId="0" borderId="73" xfId="19" applyNumberFormat="1" applyFont="1" applyFill="1" applyBorder="1" applyAlignment="1"/>
    <xf numFmtId="10" fontId="24" fillId="0" borderId="74" xfId="19" applyNumberFormat="1" applyFont="1" applyFill="1" applyBorder="1" applyAlignment="1"/>
    <xf numFmtId="10" fontId="24" fillId="6" borderId="57" xfId="19" applyNumberFormat="1" applyFont="1" applyFill="1" applyBorder="1" applyAlignment="1"/>
    <xf numFmtId="10" fontId="24" fillId="6" borderId="45" xfId="19" applyNumberFormat="1" applyFont="1" applyFill="1" applyBorder="1" applyAlignment="1"/>
    <xf numFmtId="10" fontId="24" fillId="6" borderId="58" xfId="19" applyNumberFormat="1" applyFont="1" applyFill="1" applyBorder="1" applyAlignment="1"/>
    <xf numFmtId="10" fontId="24" fillId="6" borderId="48" xfId="19" applyNumberFormat="1" applyFont="1" applyFill="1" applyBorder="1" applyAlignment="1"/>
    <xf numFmtId="185" fontId="27" fillId="3" borderId="41" xfId="0" applyNumberFormat="1" applyFont="1" applyFill="1" applyBorder="1" applyAlignment="1">
      <alignment horizontal="center" vertical="center"/>
    </xf>
    <xf numFmtId="185" fontId="32" fillId="0" borderId="0" xfId="0" applyNumberFormat="1" applyFont="1" applyAlignment="1">
      <alignment shrinkToFit="1"/>
    </xf>
    <xf numFmtId="41" fontId="18" fillId="0" borderId="0" xfId="3" applyFont="1" applyFill="1"/>
    <xf numFmtId="41" fontId="18" fillId="0" borderId="0" xfId="3" applyFont="1"/>
    <xf numFmtId="10" fontId="18" fillId="0" borderId="0" xfId="3" applyNumberFormat="1" applyFont="1"/>
    <xf numFmtId="10" fontId="32" fillId="0" borderId="0" xfId="3" applyNumberFormat="1" applyFont="1" applyBorder="1" applyAlignment="1"/>
    <xf numFmtId="41" fontId="32" fillId="0" borderId="0" xfId="3" applyFont="1" applyBorder="1" applyAlignment="1"/>
    <xf numFmtId="191" fontId="19" fillId="2" borderId="29" xfId="13" applyNumberFormat="1" applyFont="1" applyFill="1" applyBorder="1" applyAlignment="1">
      <alignment horizontal="center" vertical="center"/>
    </xf>
    <xf numFmtId="186" fontId="27" fillId="3" borderId="3" xfId="0" applyNumberFormat="1" applyFont="1" applyFill="1" applyBorder="1" applyAlignment="1">
      <alignment vertical="center"/>
    </xf>
    <xf numFmtId="186" fontId="27" fillId="3" borderId="14" xfId="0" applyNumberFormat="1" applyFont="1" applyFill="1" applyBorder="1" applyAlignment="1">
      <alignment vertical="center"/>
    </xf>
    <xf numFmtId="186" fontId="27" fillId="3" borderId="0" xfId="0" applyNumberFormat="1" applyFont="1" applyFill="1" applyBorder="1" applyAlignment="1">
      <alignment vertical="center"/>
    </xf>
    <xf numFmtId="186" fontId="27" fillId="3" borderId="18" xfId="0" applyNumberFormat="1" applyFont="1" applyFill="1" applyBorder="1" applyAlignment="1">
      <alignment vertical="center"/>
    </xf>
    <xf numFmtId="186" fontId="19" fillId="0" borderId="0" xfId="19" applyNumberFormat="1" applyFont="1" applyFill="1" applyBorder="1" applyAlignment="1">
      <alignment vertical="center"/>
    </xf>
    <xf numFmtId="186" fontId="19" fillId="0" borderId="49" xfId="19" applyNumberFormat="1" applyFont="1" applyFill="1" applyBorder="1" applyAlignment="1">
      <alignment vertical="center"/>
    </xf>
    <xf numFmtId="186" fontId="19" fillId="0" borderId="50" xfId="19" applyNumberFormat="1" applyFont="1" applyFill="1" applyBorder="1" applyAlignment="1">
      <alignment vertical="center"/>
    </xf>
    <xf numFmtId="185" fontId="27" fillId="3" borderId="11" xfId="0" applyNumberFormat="1" applyFont="1" applyFill="1" applyBorder="1" applyAlignment="1">
      <alignment vertical="center"/>
    </xf>
    <xf numFmtId="185" fontId="27" fillId="3" borderId="3" xfId="0" applyNumberFormat="1" applyFont="1" applyFill="1" applyBorder="1" applyAlignment="1">
      <alignment vertical="center"/>
    </xf>
    <xf numFmtId="185" fontId="27" fillId="3" borderId="14" xfId="0" applyNumberFormat="1" applyFont="1" applyFill="1" applyBorder="1" applyAlignment="1">
      <alignment vertical="center"/>
    </xf>
    <xf numFmtId="185" fontId="27" fillId="3" borderId="9" xfId="0" applyNumberFormat="1" applyFont="1" applyFill="1" applyBorder="1" applyAlignment="1">
      <alignment vertical="center"/>
    </xf>
    <xf numFmtId="185" fontId="27" fillId="3" borderId="7" xfId="0" applyNumberFormat="1" applyFont="1" applyFill="1" applyBorder="1" applyAlignment="1">
      <alignment vertical="center"/>
    </xf>
    <xf numFmtId="185" fontId="27" fillId="3" borderId="4" xfId="0" applyNumberFormat="1" applyFont="1" applyFill="1" applyBorder="1" applyAlignment="1">
      <alignment vertical="center"/>
    </xf>
    <xf numFmtId="186" fontId="27" fillId="3" borderId="62" xfId="0" applyNumberFormat="1" applyFont="1" applyFill="1" applyBorder="1" applyAlignment="1">
      <alignment vertical="center"/>
    </xf>
    <xf numFmtId="186" fontId="27" fillId="3" borderId="12" xfId="0" applyNumberFormat="1" applyFont="1" applyFill="1" applyBorder="1" applyAlignment="1">
      <alignment vertical="center"/>
    </xf>
    <xf numFmtId="186" fontId="27" fillId="3" borderId="42" xfId="0" applyNumberFormat="1" applyFont="1" applyFill="1" applyBorder="1" applyAlignment="1">
      <alignment vertical="center"/>
    </xf>
    <xf numFmtId="186" fontId="27" fillId="3" borderId="6" xfId="0" applyNumberFormat="1" applyFont="1" applyFill="1" applyBorder="1" applyAlignment="1">
      <alignment vertical="center"/>
    </xf>
    <xf numFmtId="186" fontId="19" fillId="0" borderId="18" xfId="19" applyNumberFormat="1" applyFont="1" applyFill="1" applyBorder="1" applyAlignment="1">
      <alignment vertical="center"/>
    </xf>
    <xf numFmtId="186" fontId="19" fillId="0" borderId="54" xfId="19" applyNumberFormat="1" applyFont="1" applyFill="1" applyBorder="1" applyAlignment="1">
      <alignment vertical="center"/>
    </xf>
    <xf numFmtId="186" fontId="19" fillId="0" borderId="51" xfId="19" applyNumberFormat="1" applyFont="1" applyFill="1" applyBorder="1" applyAlignment="1">
      <alignment vertical="center"/>
    </xf>
    <xf numFmtId="186" fontId="19" fillId="0" borderId="6" xfId="19" applyNumberFormat="1" applyFont="1" applyFill="1" applyBorder="1" applyAlignment="1">
      <alignment vertical="center"/>
    </xf>
    <xf numFmtId="185" fontId="27" fillId="3" borderId="68" xfId="0" applyNumberFormat="1" applyFont="1" applyFill="1" applyBorder="1" applyAlignment="1">
      <alignment vertical="center"/>
    </xf>
    <xf numFmtId="185" fontId="27" fillId="3" borderId="69" xfId="0" applyNumberFormat="1" applyFont="1" applyFill="1" applyBorder="1" applyAlignment="1">
      <alignment vertical="center"/>
    </xf>
    <xf numFmtId="185" fontId="27" fillId="3" borderId="67" xfId="0" applyNumberFormat="1" applyFont="1" applyFill="1" applyBorder="1" applyAlignment="1">
      <alignment vertical="center"/>
    </xf>
    <xf numFmtId="185" fontId="27" fillId="3" borderId="0" xfId="0" applyNumberFormat="1" applyFont="1" applyFill="1" applyBorder="1" applyAlignment="1">
      <alignment vertical="center"/>
    </xf>
    <xf numFmtId="185" fontId="27" fillId="3" borderId="18" xfId="0" applyNumberFormat="1" applyFont="1" applyFill="1" applyBorder="1" applyAlignment="1">
      <alignment vertical="center"/>
    </xf>
    <xf numFmtId="186" fontId="27" fillId="3" borderId="11" xfId="0" applyNumberFormat="1" applyFont="1" applyFill="1" applyBorder="1" applyAlignment="1">
      <alignment vertical="center"/>
    </xf>
    <xf numFmtId="186" fontId="27" fillId="3" borderId="56" xfId="0" applyNumberFormat="1" applyFont="1" applyFill="1" applyBorder="1" applyAlignment="1">
      <alignment vertical="center"/>
    </xf>
    <xf numFmtId="186" fontId="27" fillId="3" borderId="45" xfId="0" applyNumberFormat="1" applyFont="1" applyFill="1" applyBorder="1" applyAlignment="1">
      <alignment vertical="center"/>
    </xf>
    <xf numFmtId="186" fontId="27" fillId="3" borderId="58" xfId="0" applyNumberFormat="1" applyFont="1" applyFill="1" applyBorder="1" applyAlignment="1">
      <alignment vertical="center"/>
    </xf>
    <xf numFmtId="190" fontId="27" fillId="3" borderId="70" xfId="0" applyNumberFormat="1" applyFont="1" applyFill="1" applyBorder="1" applyAlignment="1">
      <alignment vertical="center"/>
    </xf>
    <xf numFmtId="190" fontId="27" fillId="3" borderId="69" xfId="0" applyNumberFormat="1" applyFont="1" applyFill="1" applyBorder="1" applyAlignment="1">
      <alignment vertical="center"/>
    </xf>
    <xf numFmtId="190" fontId="27" fillId="3" borderId="67" xfId="0" applyNumberFormat="1" applyFont="1" applyFill="1" applyBorder="1" applyAlignment="1">
      <alignment vertical="center"/>
    </xf>
    <xf numFmtId="186" fontId="19" fillId="0" borderId="49" xfId="20" applyNumberFormat="1" applyFont="1" applyFill="1" applyBorder="1" applyAlignment="1">
      <alignment vertical="center"/>
    </xf>
    <xf numFmtId="10" fontId="18" fillId="0" borderId="0" xfId="21" applyNumberFormat="1" applyFont="1"/>
    <xf numFmtId="184" fontId="37" fillId="0" borderId="0" xfId="19" applyNumberFormat="1" applyFont="1" applyFill="1" applyBorder="1" applyAlignment="1"/>
    <xf numFmtId="10" fontId="37" fillId="0" borderId="0" xfId="0" applyNumberFormat="1" applyFont="1"/>
    <xf numFmtId="191" fontId="19" fillId="2" borderId="26" xfId="13" applyNumberFormat="1" applyFont="1" applyFill="1" applyBorder="1" applyAlignment="1">
      <alignment horizontal="center" vertical="center"/>
    </xf>
    <xf numFmtId="191" fontId="19" fillId="2" borderId="24" xfId="13" applyNumberFormat="1" applyFont="1" applyFill="1" applyBorder="1" applyAlignment="1">
      <alignment horizontal="center" vertical="center"/>
    </xf>
    <xf numFmtId="186" fontId="27" fillId="3" borderId="17" xfId="0" applyNumberFormat="1" applyFont="1" applyFill="1" applyBorder="1" applyAlignment="1">
      <alignment vertical="center"/>
    </xf>
    <xf numFmtId="186" fontId="27" fillId="3" borderId="2" xfId="0" applyNumberFormat="1" applyFont="1" applyFill="1" applyBorder="1" applyAlignment="1">
      <alignment vertical="center"/>
    </xf>
    <xf numFmtId="186" fontId="19" fillId="0" borderId="2" xfId="19" applyNumberFormat="1" applyFont="1" applyFill="1" applyBorder="1" applyAlignment="1">
      <alignment vertical="center"/>
    </xf>
    <xf numFmtId="186" fontId="19" fillId="0" borderId="53" xfId="19" applyNumberFormat="1" applyFont="1" applyFill="1" applyBorder="1" applyAlignment="1">
      <alignment vertical="center"/>
    </xf>
    <xf numFmtId="186" fontId="27" fillId="3" borderId="57" xfId="0" applyNumberFormat="1" applyFont="1" applyFill="1" applyBorder="1" applyAlignment="1">
      <alignment vertical="center"/>
    </xf>
    <xf numFmtId="185" fontId="27" fillId="3" borderId="67" xfId="19" applyNumberFormat="1" applyFont="1" applyFill="1" applyBorder="1" applyAlignment="1">
      <alignment vertical="center"/>
    </xf>
    <xf numFmtId="185" fontId="27" fillId="3" borderId="63" xfId="19" applyNumberFormat="1" applyFont="1" applyFill="1" applyBorder="1" applyAlignment="1">
      <alignment vertical="center"/>
    </xf>
    <xf numFmtId="191" fontId="19" fillId="2" borderId="33" xfId="13" applyNumberFormat="1" applyFont="1" applyFill="1" applyBorder="1" applyAlignment="1">
      <alignment horizontal="center" vertical="center"/>
    </xf>
    <xf numFmtId="191" fontId="19" fillId="2" borderId="61" xfId="13" applyNumberFormat="1" applyFont="1" applyFill="1" applyBorder="1" applyAlignment="1">
      <alignment horizontal="center" vertical="center"/>
    </xf>
    <xf numFmtId="185" fontId="27" fillId="2" borderId="17" xfId="19" applyNumberFormat="1" applyFont="1" applyFill="1" applyBorder="1" applyAlignment="1">
      <alignment vertical="center"/>
    </xf>
    <xf numFmtId="185" fontId="27" fillId="2" borderId="3" xfId="19" applyNumberFormat="1" applyFont="1" applyFill="1" applyBorder="1" applyAlignment="1">
      <alignment vertical="center"/>
    </xf>
    <xf numFmtId="185" fontId="27" fillId="2" borderId="14" xfId="19" applyNumberFormat="1" applyFont="1" applyFill="1" applyBorder="1" applyAlignment="1">
      <alignment vertical="center"/>
    </xf>
    <xf numFmtId="185" fontId="27" fillId="2" borderId="19" xfId="19" applyNumberFormat="1" applyFont="1" applyFill="1" applyBorder="1" applyAlignment="1">
      <alignment vertical="center"/>
    </xf>
    <xf numFmtId="185" fontId="27" fillId="2" borderId="7" xfId="19" applyNumberFormat="1" applyFont="1" applyFill="1" applyBorder="1" applyAlignment="1">
      <alignment vertical="center"/>
    </xf>
    <xf numFmtId="185" fontId="27" fillId="2" borderId="4" xfId="19" applyNumberFormat="1" applyFont="1" applyFill="1" applyBorder="1" applyAlignment="1">
      <alignment vertical="center"/>
    </xf>
    <xf numFmtId="185" fontId="27" fillId="2" borderId="11" xfId="19" applyNumberFormat="1" applyFont="1" applyFill="1" applyBorder="1" applyAlignment="1">
      <alignment vertical="center"/>
    </xf>
    <xf numFmtId="185" fontId="27" fillId="2" borderId="9" xfId="19" applyNumberFormat="1" applyFont="1" applyFill="1" applyBorder="1" applyAlignment="1">
      <alignment vertical="center"/>
    </xf>
    <xf numFmtId="58" fontId="36" fillId="8" borderId="41" xfId="13" quotePrefix="1" applyNumberFormat="1" applyFont="1" applyFill="1" applyBorder="1" applyAlignment="1">
      <alignment horizontal="center" vertical="center"/>
    </xf>
    <xf numFmtId="185" fontId="32" fillId="0" borderId="0" xfId="0" applyNumberFormat="1" applyFont="1" applyAlignment="1">
      <alignment horizontal="center" vertical="center"/>
    </xf>
    <xf numFmtId="186" fontId="32" fillId="0" borderId="0" xfId="0" applyNumberFormat="1" applyFont="1" applyAlignment="1">
      <alignment horizontal="center" vertical="center"/>
    </xf>
    <xf numFmtId="185" fontId="18" fillId="0" borderId="0" xfId="0" applyNumberFormat="1" applyFont="1" applyAlignment="1">
      <alignment horizontal="center" vertical="center"/>
    </xf>
    <xf numFmtId="186" fontId="18" fillId="0" borderId="0" xfId="0" applyNumberFormat="1" applyFont="1" applyAlignment="1">
      <alignment horizontal="center" vertical="center"/>
    </xf>
    <xf numFmtId="185" fontId="31" fillId="3" borderId="0" xfId="0" applyNumberFormat="1" applyFont="1" applyFill="1" applyAlignment="1">
      <alignment horizontal="center"/>
    </xf>
    <xf numFmtId="185" fontId="27" fillId="2" borderId="17" xfId="19" applyNumberFormat="1" applyFont="1" applyFill="1" applyBorder="1" applyAlignment="1">
      <alignment horizontal="center" vertical="center"/>
    </xf>
    <xf numFmtId="185" fontId="27" fillId="2" borderId="3" xfId="19" applyNumberFormat="1" applyFont="1" applyFill="1" applyBorder="1" applyAlignment="1">
      <alignment horizontal="center" vertical="center"/>
    </xf>
    <xf numFmtId="185" fontId="27" fillId="2" borderId="14" xfId="19" applyNumberFormat="1" applyFont="1" applyFill="1" applyBorder="1" applyAlignment="1">
      <alignment horizontal="center" vertical="center"/>
    </xf>
    <xf numFmtId="185" fontId="27" fillId="2" borderId="19" xfId="19" applyNumberFormat="1" applyFont="1" applyFill="1" applyBorder="1" applyAlignment="1">
      <alignment horizontal="center" vertical="center"/>
    </xf>
    <xf numFmtId="185" fontId="27" fillId="2" borderId="7" xfId="19" applyNumberFormat="1" applyFont="1" applyFill="1" applyBorder="1" applyAlignment="1">
      <alignment horizontal="center" vertical="center"/>
    </xf>
    <xf numFmtId="185" fontId="27" fillId="2" borderId="4" xfId="19" applyNumberFormat="1" applyFont="1" applyFill="1" applyBorder="1" applyAlignment="1">
      <alignment horizontal="center" vertical="center"/>
    </xf>
    <xf numFmtId="186" fontId="27" fillId="3" borderId="17" xfId="0" applyNumberFormat="1" applyFont="1" applyFill="1" applyBorder="1" applyAlignment="1">
      <alignment horizontal="center" vertical="center"/>
    </xf>
    <xf numFmtId="186" fontId="27" fillId="3" borderId="3" xfId="0" applyNumberFormat="1" applyFont="1" applyFill="1" applyBorder="1" applyAlignment="1">
      <alignment horizontal="center" vertical="center"/>
    </xf>
    <xf numFmtId="186" fontId="27" fillId="3" borderId="14" xfId="0" applyNumberFormat="1" applyFont="1" applyFill="1" applyBorder="1" applyAlignment="1">
      <alignment horizontal="center" vertical="center"/>
    </xf>
    <xf numFmtId="186" fontId="27" fillId="3" borderId="2" xfId="0" applyNumberFormat="1" applyFont="1" applyFill="1" applyBorder="1" applyAlignment="1">
      <alignment horizontal="center" vertical="center"/>
    </xf>
    <xf numFmtId="186" fontId="27" fillId="3" borderId="0" xfId="0" applyNumberFormat="1" applyFont="1" applyFill="1" applyBorder="1" applyAlignment="1">
      <alignment horizontal="center" vertical="center"/>
    </xf>
    <xf numFmtId="186" fontId="27" fillId="3" borderId="18" xfId="0" applyNumberFormat="1" applyFont="1" applyFill="1" applyBorder="1" applyAlignment="1">
      <alignment horizontal="center" vertical="center"/>
    </xf>
    <xf numFmtId="186" fontId="19" fillId="0" borderId="81" xfId="19" applyNumberFormat="1" applyFont="1" applyFill="1" applyBorder="1" applyAlignment="1">
      <alignment horizontal="center" vertical="center"/>
    </xf>
    <xf numFmtId="186" fontId="19" fillId="0" borderId="51" xfId="19" applyNumberFormat="1" applyFont="1" applyFill="1" applyBorder="1" applyAlignment="1">
      <alignment horizontal="center" vertical="center"/>
    </xf>
    <xf numFmtId="186" fontId="19" fillId="0" borderId="82" xfId="19" applyNumberFormat="1" applyFont="1" applyFill="1" applyBorder="1" applyAlignment="1">
      <alignment horizontal="center" vertical="center"/>
    </xf>
    <xf numFmtId="186" fontId="19" fillId="0" borderId="6" xfId="19" applyNumberFormat="1" applyFont="1" applyFill="1" applyBorder="1" applyAlignment="1">
      <alignment horizontal="center" vertical="center"/>
    </xf>
    <xf numFmtId="186" fontId="19" fillId="0" borderId="18" xfId="19" applyNumberFormat="1" applyFont="1" applyFill="1" applyBorder="1" applyAlignment="1">
      <alignment horizontal="center" vertical="center"/>
    </xf>
    <xf numFmtId="186" fontId="19" fillId="0" borderId="2" xfId="19" applyNumberFormat="1" applyFont="1" applyFill="1" applyBorder="1" applyAlignment="1">
      <alignment horizontal="center" vertical="center"/>
    </xf>
    <xf numFmtId="186" fontId="19" fillId="0" borderId="0" xfId="19" applyNumberFormat="1" applyFont="1" applyFill="1" applyBorder="1" applyAlignment="1">
      <alignment horizontal="center" vertical="center"/>
    </xf>
    <xf numFmtId="186" fontId="19" fillId="0" borderId="53" xfId="19" applyNumberFormat="1" applyFont="1" applyFill="1" applyBorder="1" applyAlignment="1">
      <alignment horizontal="center" vertical="center"/>
    </xf>
    <xf numFmtId="186" fontId="19" fillId="0" borderId="50" xfId="19" applyNumberFormat="1" applyFont="1" applyFill="1" applyBorder="1" applyAlignment="1">
      <alignment horizontal="center" vertical="center"/>
    </xf>
    <xf numFmtId="186" fontId="19" fillId="0" borderId="54" xfId="19" applyNumberFormat="1" applyFont="1" applyFill="1" applyBorder="1" applyAlignment="1">
      <alignment horizontal="center" vertical="center"/>
    </xf>
    <xf numFmtId="185" fontId="27" fillId="2" borderId="16" xfId="19" applyNumberFormat="1" applyFont="1" applyFill="1" applyBorder="1" applyAlignment="1">
      <alignment horizontal="center" vertical="center"/>
    </xf>
    <xf numFmtId="185" fontId="27" fillId="2" borderId="10" xfId="19" applyNumberFormat="1" applyFont="1" applyFill="1" applyBorder="1" applyAlignment="1">
      <alignment horizontal="center" vertical="center"/>
    </xf>
    <xf numFmtId="186" fontId="27" fillId="3" borderId="16" xfId="0" applyNumberFormat="1" applyFont="1" applyFill="1" applyBorder="1" applyAlignment="1">
      <alignment horizontal="center" vertical="center"/>
    </xf>
    <xf numFmtId="186" fontId="27" fillId="3" borderId="5" xfId="0" applyNumberFormat="1" applyFont="1" applyFill="1" applyBorder="1" applyAlignment="1">
      <alignment horizontal="center" vertical="center"/>
    </xf>
    <xf numFmtId="185" fontId="27" fillId="2" borderId="71" xfId="19" applyNumberFormat="1" applyFont="1" applyFill="1" applyBorder="1" applyAlignment="1">
      <alignment horizontal="center" vertical="center"/>
    </xf>
    <xf numFmtId="185" fontId="27" fillId="2" borderId="72" xfId="19" applyNumberFormat="1" applyFont="1" applyFill="1" applyBorder="1" applyAlignment="1">
      <alignment horizontal="center" vertical="center"/>
    </xf>
    <xf numFmtId="185" fontId="27" fillId="2" borderId="73" xfId="19" applyNumberFormat="1" applyFont="1" applyFill="1" applyBorder="1" applyAlignment="1">
      <alignment horizontal="center" vertical="center"/>
    </xf>
    <xf numFmtId="185" fontId="27" fillId="2" borderId="74" xfId="19" applyNumberFormat="1" applyFont="1" applyFill="1" applyBorder="1" applyAlignment="1">
      <alignment horizontal="center" vertical="center"/>
    </xf>
    <xf numFmtId="186" fontId="27" fillId="3" borderId="71" xfId="0" applyNumberFormat="1" applyFont="1" applyFill="1" applyBorder="1" applyAlignment="1">
      <alignment horizontal="center" vertical="center"/>
    </xf>
    <xf numFmtId="186" fontId="27" fillId="3" borderId="72" xfId="0" applyNumberFormat="1" applyFont="1" applyFill="1" applyBorder="1" applyAlignment="1">
      <alignment horizontal="center" vertical="center"/>
    </xf>
    <xf numFmtId="186" fontId="27" fillId="3" borderId="75" xfId="0" applyNumberFormat="1" applyFont="1" applyFill="1" applyBorder="1" applyAlignment="1">
      <alignment horizontal="center" vertical="center"/>
    </xf>
    <xf numFmtId="186" fontId="27" fillId="3" borderId="76" xfId="0" applyNumberFormat="1" applyFont="1" applyFill="1" applyBorder="1" applyAlignment="1">
      <alignment horizontal="center" vertical="center"/>
    </xf>
    <xf numFmtId="186" fontId="19" fillId="0" borderId="83" xfId="19" applyNumberFormat="1" applyFont="1" applyFill="1" applyBorder="1" applyAlignment="1">
      <alignment horizontal="center" vertical="center"/>
    </xf>
    <xf numFmtId="186" fontId="19" fillId="0" borderId="84" xfId="19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85" fontId="24" fillId="0" borderId="52" xfId="19" applyNumberFormat="1" applyFont="1" applyFill="1" applyBorder="1" applyAlignment="1">
      <alignment horizontal="center" vertical="center"/>
    </xf>
    <xf numFmtId="185" fontId="24" fillId="0" borderId="47" xfId="19" applyNumberFormat="1" applyFont="1" applyFill="1" applyBorder="1" applyAlignment="1">
      <alignment horizontal="center" vertical="center"/>
    </xf>
    <xf numFmtId="185" fontId="27" fillId="3" borderId="31" xfId="19" applyNumberFormat="1" applyFont="1" applyFill="1" applyBorder="1" applyAlignment="1">
      <alignment horizontal="center" vertical="center"/>
    </xf>
    <xf numFmtId="185" fontId="27" fillId="3" borderId="32" xfId="19" applyNumberFormat="1" applyFont="1" applyFill="1" applyBorder="1" applyAlignment="1">
      <alignment horizontal="center" vertical="center"/>
    </xf>
    <xf numFmtId="41" fontId="27" fillId="3" borderId="12" xfId="3" applyFont="1" applyFill="1" applyBorder="1" applyAlignment="1">
      <alignment horizontal="center" vertical="center"/>
    </xf>
    <xf numFmtId="41" fontId="27" fillId="3" borderId="6" xfId="3" applyFont="1" applyFill="1" applyBorder="1" applyAlignment="1">
      <alignment horizontal="center" vertical="center"/>
    </xf>
    <xf numFmtId="0" fontId="19" fillId="2" borderId="61" xfId="13" applyFont="1" applyFill="1" applyBorder="1" applyAlignment="1">
      <alignment horizontal="center" vertical="center"/>
    </xf>
    <xf numFmtId="0" fontId="19" fillId="2" borderId="29" xfId="13" applyFont="1" applyFill="1" applyBorder="1" applyAlignment="1">
      <alignment horizontal="center" vertical="center"/>
    </xf>
    <xf numFmtId="0" fontId="19" fillId="2" borderId="36" xfId="13" applyFont="1" applyFill="1" applyBorder="1" applyAlignment="1">
      <alignment horizontal="center" vertical="center"/>
    </xf>
    <xf numFmtId="0" fontId="19" fillId="2" borderId="35" xfId="13" applyFont="1" applyFill="1" applyBorder="1" applyAlignment="1">
      <alignment horizontal="center" vertical="center"/>
    </xf>
    <xf numFmtId="0" fontId="19" fillId="7" borderId="35" xfId="13" applyFont="1" applyFill="1" applyBorder="1" applyAlignment="1">
      <alignment horizontal="center" vertical="center"/>
    </xf>
    <xf numFmtId="0" fontId="19" fillId="7" borderId="29" xfId="13" applyFont="1" applyFill="1" applyBorder="1" applyAlignment="1">
      <alignment horizontal="center" vertical="center"/>
    </xf>
    <xf numFmtId="0" fontId="19" fillId="7" borderId="30" xfId="13" applyFont="1" applyFill="1" applyBorder="1" applyAlignment="1">
      <alignment horizontal="center" vertical="center"/>
    </xf>
    <xf numFmtId="0" fontId="19" fillId="7" borderId="36" xfId="13" applyFont="1" applyFill="1" applyBorder="1" applyAlignment="1">
      <alignment horizontal="center" vertical="center"/>
    </xf>
    <xf numFmtId="185" fontId="27" fillId="3" borderId="3" xfId="0" applyNumberFormat="1" applyFont="1" applyFill="1" applyBorder="1" applyAlignment="1">
      <alignment horizontal="center" vertical="center"/>
    </xf>
    <xf numFmtId="185" fontId="27" fillId="3" borderId="14" xfId="0" applyNumberFormat="1" applyFont="1" applyFill="1" applyBorder="1" applyAlignment="1">
      <alignment horizontal="center" vertical="center"/>
    </xf>
    <xf numFmtId="185" fontId="27" fillId="3" borderId="0" xfId="0" applyNumberFormat="1" applyFont="1" applyFill="1" applyBorder="1" applyAlignment="1">
      <alignment horizontal="center" vertical="center"/>
    </xf>
    <xf numFmtId="185" fontId="27" fillId="3" borderId="18" xfId="0" applyNumberFormat="1" applyFont="1" applyFill="1" applyBorder="1" applyAlignment="1">
      <alignment horizontal="center" vertical="center"/>
    </xf>
    <xf numFmtId="0" fontId="38" fillId="7" borderId="35" xfId="13" applyFont="1" applyFill="1" applyBorder="1" applyAlignment="1">
      <alignment horizontal="center" vertical="center"/>
    </xf>
    <xf numFmtId="0" fontId="38" fillId="7" borderId="29" xfId="13" applyFont="1" applyFill="1" applyBorder="1" applyAlignment="1">
      <alignment horizontal="center" vertical="center"/>
    </xf>
    <xf numFmtId="0" fontId="38" fillId="7" borderId="30" xfId="13" applyFont="1" applyFill="1" applyBorder="1" applyAlignment="1">
      <alignment horizontal="center" vertical="center"/>
    </xf>
    <xf numFmtId="0" fontId="38" fillId="7" borderId="36" xfId="13" applyFont="1" applyFill="1" applyBorder="1" applyAlignment="1">
      <alignment horizontal="center" vertical="center"/>
    </xf>
    <xf numFmtId="186" fontId="19" fillId="0" borderId="32" xfId="19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186" fontId="19" fillId="0" borderId="6" xfId="19" applyNumberFormat="1" applyFont="1" applyFill="1" applyBorder="1" applyAlignment="1">
      <alignment horizontal="left" vertical="center"/>
    </xf>
    <xf numFmtId="0" fontId="19" fillId="2" borderId="30" xfId="13" applyFont="1" applyFill="1" applyBorder="1" applyAlignment="1">
      <alignment horizontal="center" vertical="center"/>
    </xf>
    <xf numFmtId="0" fontId="38" fillId="7" borderId="53" xfId="13" applyFont="1" applyFill="1" applyBorder="1" applyAlignment="1">
      <alignment horizontal="center" vertical="center"/>
    </xf>
    <xf numFmtId="0" fontId="38" fillId="7" borderId="54" xfId="13" applyFont="1" applyFill="1" applyBorder="1" applyAlignment="1">
      <alignment horizontal="center" vertical="center"/>
    </xf>
    <xf numFmtId="0" fontId="19" fillId="2" borderId="64" xfId="13" applyFont="1" applyFill="1" applyBorder="1" applyAlignment="1">
      <alignment horizontal="center" vertical="center"/>
    </xf>
    <xf numFmtId="185" fontId="27" fillId="3" borderId="17" xfId="0" applyNumberFormat="1" applyFont="1" applyFill="1" applyBorder="1" applyAlignment="1">
      <alignment horizontal="center" vertical="center"/>
    </xf>
    <xf numFmtId="185" fontId="27" fillId="3" borderId="16" xfId="0" applyNumberFormat="1" applyFont="1" applyFill="1" applyBorder="1" applyAlignment="1">
      <alignment horizontal="center" vertical="center"/>
    </xf>
    <xf numFmtId="185" fontId="27" fillId="3" borderId="57" xfId="0" applyNumberFormat="1" applyFont="1" applyFill="1" applyBorder="1" applyAlignment="1">
      <alignment horizontal="center" vertical="center"/>
    </xf>
    <xf numFmtId="185" fontId="27" fillId="3" borderId="45" xfId="0" applyNumberFormat="1" applyFont="1" applyFill="1" applyBorder="1" applyAlignment="1">
      <alignment horizontal="center" vertical="center"/>
    </xf>
    <xf numFmtId="185" fontId="27" fillId="3" borderId="48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185" fontId="15" fillId="0" borderId="7" xfId="0" applyNumberFormat="1" applyFont="1" applyBorder="1" applyAlignment="1">
      <alignment horizontal="center"/>
    </xf>
    <xf numFmtId="9" fontId="15" fillId="0" borderId="7" xfId="0" applyNumberFormat="1" applyFont="1" applyBorder="1" applyAlignment="1">
      <alignment horizontal="center"/>
    </xf>
    <xf numFmtId="49" fontId="16" fillId="2" borderId="34" xfId="12" applyNumberFormat="1" applyFont="1" applyFill="1" applyBorder="1" applyAlignment="1" applyProtection="1">
      <alignment horizontal="center" vertical="center"/>
      <protection locked="0"/>
    </xf>
    <xf numFmtId="49" fontId="16" fillId="2" borderId="37" xfId="12" applyNumberFormat="1" applyFont="1" applyFill="1" applyBorder="1" applyAlignment="1" applyProtection="1">
      <alignment horizontal="center" vertical="center"/>
      <protection locked="0"/>
    </xf>
    <xf numFmtId="185" fontId="31" fillId="0" borderId="0" xfId="0" applyNumberFormat="1" applyFont="1" applyAlignment="1">
      <alignment horizontal="center"/>
    </xf>
    <xf numFmtId="186" fontId="19" fillId="0" borderId="52" xfId="19" applyNumberFormat="1" applyFont="1" applyFill="1" applyBorder="1" applyAlignment="1">
      <alignment horizontal="center" vertical="center"/>
    </xf>
    <xf numFmtId="186" fontId="31" fillId="0" borderId="0" xfId="0" applyNumberFormat="1" applyFont="1" applyAlignment="1">
      <alignment horizontal="center"/>
    </xf>
    <xf numFmtId="185" fontId="27" fillId="3" borderId="67" xfId="19" applyNumberFormat="1" applyFont="1" applyFill="1" applyBorder="1" applyAlignment="1">
      <alignment horizontal="center" vertical="center"/>
    </xf>
    <xf numFmtId="185" fontId="27" fillId="3" borderId="63" xfId="19" applyNumberFormat="1" applyFont="1" applyFill="1" applyBorder="1" applyAlignment="1">
      <alignment horizontal="center" vertical="center"/>
    </xf>
    <xf numFmtId="185" fontId="27" fillId="3" borderId="66" xfId="19" applyNumberFormat="1" applyFont="1" applyFill="1" applyBorder="1" applyAlignment="1">
      <alignment horizontal="center" vertical="center"/>
    </xf>
    <xf numFmtId="186" fontId="27" fillId="3" borderId="57" xfId="0" applyNumberFormat="1" applyFont="1" applyFill="1" applyBorder="1" applyAlignment="1">
      <alignment horizontal="center" vertical="center"/>
    </xf>
    <xf numFmtId="186" fontId="27" fillId="3" borderId="45" xfId="0" applyNumberFormat="1" applyFont="1" applyFill="1" applyBorder="1" applyAlignment="1">
      <alignment horizontal="center" vertical="center"/>
    </xf>
    <xf numFmtId="186" fontId="27" fillId="3" borderId="58" xfId="0" applyNumberFormat="1" applyFont="1" applyFill="1" applyBorder="1" applyAlignment="1">
      <alignment horizontal="center" vertical="center"/>
    </xf>
    <xf numFmtId="188" fontId="31" fillId="0" borderId="0" xfId="0" applyNumberFormat="1" applyFont="1" applyAlignment="1">
      <alignment horizontal="center"/>
    </xf>
    <xf numFmtId="186" fontId="19" fillId="0" borderId="5" xfId="19" applyNumberFormat="1" applyFont="1" applyFill="1" applyBorder="1" applyAlignment="1">
      <alignment horizontal="center" vertical="center"/>
    </xf>
    <xf numFmtId="0" fontId="32" fillId="3" borderId="11" xfId="0" applyFont="1" applyFill="1" applyBorder="1" applyAlignment="1">
      <alignment horizontal="left" vertical="center"/>
    </xf>
    <xf numFmtId="0" fontId="32" fillId="3" borderId="3" xfId="0" applyFont="1" applyFill="1" applyBorder="1" applyAlignment="1">
      <alignment horizontal="left" vertical="center"/>
    </xf>
    <xf numFmtId="0" fontId="32" fillId="3" borderId="14" xfId="0" applyFont="1" applyFill="1" applyBorder="1" applyAlignment="1">
      <alignment horizontal="left" vertical="center"/>
    </xf>
    <xf numFmtId="0" fontId="32" fillId="3" borderId="8" xfId="0" applyFont="1" applyFill="1" applyBorder="1" applyAlignment="1">
      <alignment horizontal="left" vertical="center"/>
    </xf>
    <xf numFmtId="0" fontId="32" fillId="3" borderId="0" xfId="0" applyFont="1" applyFill="1" applyBorder="1" applyAlignment="1">
      <alignment horizontal="left" vertical="center"/>
    </xf>
    <xf numFmtId="0" fontId="32" fillId="3" borderId="18" xfId="0" applyFont="1" applyFill="1" applyBorder="1" applyAlignment="1">
      <alignment horizontal="left" vertical="center"/>
    </xf>
    <xf numFmtId="0" fontId="18" fillId="0" borderId="8" xfId="0" applyFont="1" applyBorder="1" applyAlignment="1">
      <alignment horizontal="right" vertical="center"/>
    </xf>
    <xf numFmtId="183" fontId="18" fillId="4" borderId="50" xfId="0" applyNumberFormat="1" applyFont="1" applyFill="1" applyBorder="1" applyAlignment="1">
      <alignment horizontal="left" vertical="center"/>
    </xf>
    <xf numFmtId="183" fontId="18" fillId="4" borderId="45" xfId="0" applyNumberFormat="1" applyFont="1" applyFill="1" applyBorder="1" applyAlignment="1">
      <alignment horizontal="left" vertical="center"/>
    </xf>
    <xf numFmtId="183" fontId="18" fillId="4" borderId="18" xfId="0" applyNumberFormat="1" applyFont="1" applyFill="1" applyBorder="1" applyAlignment="1">
      <alignment horizontal="left" vertical="center"/>
    </xf>
    <xf numFmtId="41" fontId="24" fillId="0" borderId="6" xfId="3" applyFont="1" applyFill="1" applyBorder="1" applyAlignment="1">
      <alignment horizontal="right" vertical="center"/>
    </xf>
    <xf numFmtId="0" fontId="20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83" fontId="18" fillId="4" borderId="50" xfId="0" applyNumberFormat="1" applyFont="1" applyFill="1" applyBorder="1" applyAlignment="1">
      <alignment horizontal="left" vertical="center" wrapText="1"/>
    </xf>
    <xf numFmtId="183" fontId="18" fillId="4" borderId="0" xfId="0" applyNumberFormat="1" applyFont="1" applyFill="1" applyBorder="1" applyAlignment="1">
      <alignment horizontal="left" vertical="center"/>
    </xf>
    <xf numFmtId="41" fontId="24" fillId="0" borderId="6" xfId="3" applyFont="1" applyBorder="1" applyAlignment="1">
      <alignment horizontal="right" vertical="center"/>
    </xf>
    <xf numFmtId="0" fontId="24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 shrinkToFit="1"/>
    </xf>
    <xf numFmtId="0" fontId="24" fillId="0" borderId="0" xfId="0" applyFont="1" applyBorder="1" applyAlignment="1">
      <alignment horizontal="center" vertical="center" shrinkToFit="1"/>
    </xf>
    <xf numFmtId="0" fontId="24" fillId="0" borderId="50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41" fontId="24" fillId="0" borderId="51" xfId="3" applyFont="1" applyFill="1" applyBorder="1" applyAlignment="1">
      <alignment horizontal="center" vertical="center"/>
    </xf>
    <xf numFmtId="41" fontId="24" fillId="0" borderId="46" xfId="3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18" fillId="0" borderId="9" xfId="0" applyFont="1" applyBorder="1" applyAlignment="1">
      <alignment horizontal="right" vertical="center"/>
    </xf>
    <xf numFmtId="0" fontId="28" fillId="0" borderId="50" xfId="0" applyFont="1" applyBorder="1" applyAlignment="1">
      <alignment horizontal="center" vertical="center"/>
    </xf>
    <xf numFmtId="41" fontId="24" fillId="0" borderId="51" xfId="3" applyFont="1" applyBorder="1" applyAlignment="1">
      <alignment horizontal="right" vertical="center"/>
    </xf>
    <xf numFmtId="41" fontId="24" fillId="0" borderId="46" xfId="3" applyFont="1" applyBorder="1" applyAlignment="1">
      <alignment horizontal="right" vertical="center"/>
    </xf>
    <xf numFmtId="41" fontId="24" fillId="0" borderId="6" xfId="3" applyFont="1" applyFill="1" applyBorder="1" applyAlignment="1">
      <alignment horizontal="center" vertical="center"/>
    </xf>
    <xf numFmtId="41" fontId="24" fillId="0" borderId="13" xfId="3" applyFont="1" applyFill="1" applyBorder="1" applyAlignment="1">
      <alignment horizontal="center" vertical="center"/>
    </xf>
    <xf numFmtId="0" fontId="18" fillId="0" borderId="23" xfId="0" applyFont="1" applyBorder="1" applyAlignment="1">
      <alignment horizontal="right" vertical="center"/>
    </xf>
    <xf numFmtId="0" fontId="18" fillId="0" borderId="21" xfId="0" applyFont="1" applyBorder="1" applyAlignment="1">
      <alignment horizontal="right" vertical="center"/>
    </xf>
    <xf numFmtId="183" fontId="18" fillId="4" borderId="20" xfId="0" applyNumberFormat="1" applyFont="1" applyFill="1" applyBorder="1" applyAlignment="1">
      <alignment horizontal="left" vertical="center"/>
    </xf>
    <xf numFmtId="183" fontId="18" fillId="4" borderId="22" xfId="0" applyNumberFormat="1" applyFont="1" applyFill="1" applyBorder="1" applyAlignment="1">
      <alignment horizontal="left" vertical="center"/>
    </xf>
    <xf numFmtId="41" fontId="24" fillId="0" borderId="28" xfId="3" applyFont="1" applyBorder="1" applyAlignment="1">
      <alignment horizontal="right" vertical="center"/>
    </xf>
    <xf numFmtId="41" fontId="24" fillId="0" borderId="27" xfId="3" applyFont="1" applyBorder="1" applyAlignment="1">
      <alignment horizontal="right" vertical="center"/>
    </xf>
    <xf numFmtId="0" fontId="24" fillId="0" borderId="2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18" fillId="3" borderId="8" xfId="0" applyFont="1" applyFill="1" applyBorder="1" applyAlignment="1">
      <alignment horizontal="left" vertical="center"/>
    </xf>
    <xf numFmtId="0" fontId="18" fillId="3" borderId="18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left" vertical="center"/>
    </xf>
    <xf numFmtId="0" fontId="18" fillId="3" borderId="4" xfId="0" applyFont="1" applyFill="1" applyBorder="1" applyAlignment="1">
      <alignment horizontal="left" vertical="center"/>
    </xf>
    <xf numFmtId="0" fontId="18" fillId="3" borderId="51" xfId="0" applyFont="1" applyFill="1" applyBorder="1" applyAlignment="1">
      <alignment horizontal="center"/>
    </xf>
    <xf numFmtId="0" fontId="18" fillId="3" borderId="46" xfId="0" applyFont="1" applyFill="1" applyBorder="1" applyAlignment="1">
      <alignment horizontal="center"/>
    </xf>
    <xf numFmtId="185" fontId="27" fillId="3" borderId="38" xfId="19" applyNumberFormat="1" applyFont="1" applyFill="1" applyBorder="1" applyAlignment="1">
      <alignment horizontal="center" vertical="center"/>
    </xf>
    <xf numFmtId="185" fontId="27" fillId="3" borderId="39" xfId="19" applyNumberFormat="1" applyFont="1" applyFill="1" applyBorder="1" applyAlignment="1">
      <alignment horizontal="center" vertical="center"/>
    </xf>
    <xf numFmtId="0" fontId="32" fillId="3" borderId="41" xfId="0" applyFont="1" applyFill="1" applyBorder="1" applyAlignment="1">
      <alignment horizontal="center" vertical="center"/>
    </xf>
    <xf numFmtId="41" fontId="24" fillId="3" borderId="51" xfId="3" applyFont="1" applyFill="1" applyBorder="1" applyAlignment="1">
      <alignment horizontal="right" vertical="center"/>
    </xf>
    <xf numFmtId="41" fontId="24" fillId="3" borderId="46" xfId="3" applyFont="1" applyFill="1" applyBorder="1" applyAlignment="1">
      <alignment horizontal="right" vertical="center"/>
    </xf>
    <xf numFmtId="41" fontId="24" fillId="3" borderId="6" xfId="3" applyFont="1" applyFill="1" applyBorder="1" applyAlignment="1">
      <alignment horizontal="right" vertical="center"/>
    </xf>
    <xf numFmtId="41" fontId="24" fillId="3" borderId="13" xfId="3" applyFont="1" applyFill="1" applyBorder="1" applyAlignment="1">
      <alignment horizontal="right" vertical="center"/>
    </xf>
    <xf numFmtId="0" fontId="13" fillId="0" borderId="0" xfId="0" applyFont="1" applyAlignment="1">
      <alignment horizontal="center"/>
    </xf>
    <xf numFmtId="0" fontId="18" fillId="0" borderId="49" xfId="0" applyFont="1" applyBorder="1" applyAlignment="1">
      <alignment horizontal="right" vertical="center"/>
    </xf>
    <xf numFmtId="0" fontId="18" fillId="0" borderId="56" xfId="0" applyFont="1" applyBorder="1" applyAlignment="1">
      <alignment horizontal="right" vertical="center"/>
    </xf>
    <xf numFmtId="187" fontId="13" fillId="0" borderId="0" xfId="0" applyNumberFormat="1" applyFont="1" applyAlignment="1">
      <alignment horizontal="center"/>
    </xf>
    <xf numFmtId="185" fontId="27" fillId="3" borderId="38" xfId="0" applyNumberFormat="1" applyFont="1" applyFill="1" applyBorder="1" applyAlignment="1">
      <alignment horizontal="center" vertical="center"/>
    </xf>
    <xf numFmtId="185" fontId="27" fillId="3" borderId="40" xfId="0" applyNumberFormat="1" applyFont="1" applyFill="1" applyBorder="1" applyAlignment="1">
      <alignment horizontal="center" vertical="center"/>
    </xf>
    <xf numFmtId="41" fontId="27" fillId="3" borderId="41" xfId="3" applyFont="1" applyFill="1" applyBorder="1" applyAlignment="1">
      <alignment horizontal="center" vertical="center"/>
    </xf>
    <xf numFmtId="185" fontId="27" fillId="3" borderId="41" xfId="19" applyNumberFormat="1" applyFont="1" applyFill="1" applyBorder="1" applyAlignment="1">
      <alignment horizontal="center" vertical="center"/>
    </xf>
    <xf numFmtId="0" fontId="29" fillId="0" borderId="14" xfId="0" applyFont="1" applyBorder="1"/>
    <xf numFmtId="0" fontId="29" fillId="0" borderId="18" xfId="0" applyFont="1" applyBorder="1"/>
    <xf numFmtId="0" fontId="18" fillId="3" borderId="6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0" fontId="25" fillId="0" borderId="50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41" fontId="24" fillId="0" borderId="13" xfId="3" applyFont="1" applyBorder="1" applyAlignment="1">
      <alignment horizontal="right" vertical="center"/>
    </xf>
    <xf numFmtId="183" fontId="18" fillId="4" borderId="0" xfId="0" applyNumberFormat="1" applyFont="1" applyFill="1" applyBorder="1" applyAlignment="1">
      <alignment horizontal="left" vertical="center" wrapText="1"/>
    </xf>
    <xf numFmtId="41" fontId="24" fillId="0" borderId="51" xfId="3" applyFont="1" applyFill="1" applyBorder="1" applyAlignment="1">
      <alignment horizontal="right" vertical="center"/>
    </xf>
    <xf numFmtId="41" fontId="24" fillId="0" borderId="46" xfId="3" applyFont="1" applyFill="1" applyBorder="1" applyAlignment="1">
      <alignment horizontal="right" vertical="center"/>
    </xf>
    <xf numFmtId="183" fontId="18" fillId="4" borderId="53" xfId="0" applyNumberFormat="1" applyFont="1" applyFill="1" applyBorder="1" applyAlignment="1">
      <alignment horizontal="left" vertical="center" wrapText="1"/>
    </xf>
    <xf numFmtId="183" fontId="18" fillId="4" borderId="57" xfId="0" applyNumberFormat="1" applyFont="1" applyFill="1" applyBorder="1" applyAlignment="1">
      <alignment horizontal="left" vertical="center"/>
    </xf>
    <xf numFmtId="183" fontId="34" fillId="4" borderId="53" xfId="0" applyNumberFormat="1" applyFont="1" applyFill="1" applyBorder="1" applyAlignment="1">
      <alignment horizontal="left" vertical="center"/>
    </xf>
    <xf numFmtId="183" fontId="34" fillId="4" borderId="57" xfId="0" applyNumberFormat="1" applyFont="1" applyFill="1" applyBorder="1" applyAlignment="1">
      <alignment horizontal="left" vertical="center"/>
    </xf>
    <xf numFmtId="183" fontId="18" fillId="4" borderId="7" xfId="0" applyNumberFormat="1" applyFont="1" applyFill="1" applyBorder="1" applyAlignment="1">
      <alignment horizontal="left" vertical="center"/>
    </xf>
    <xf numFmtId="183" fontId="18" fillId="4" borderId="53" xfId="0" applyNumberFormat="1" applyFont="1" applyFill="1" applyBorder="1" applyAlignment="1">
      <alignment horizontal="left" vertical="center"/>
    </xf>
    <xf numFmtId="183" fontId="34" fillId="4" borderId="0" xfId="0" applyNumberFormat="1" applyFont="1" applyFill="1" applyBorder="1" applyAlignment="1">
      <alignment horizontal="left" vertical="center" wrapText="1"/>
    </xf>
    <xf numFmtId="183" fontId="34" fillId="4" borderId="0" xfId="0" applyNumberFormat="1" applyFont="1" applyFill="1" applyBorder="1" applyAlignment="1">
      <alignment horizontal="left" vertical="center"/>
    </xf>
    <xf numFmtId="0" fontId="18" fillId="0" borderId="42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/>
    </xf>
    <xf numFmtId="0" fontId="18" fillId="0" borderId="44" xfId="0" applyFont="1" applyBorder="1" applyAlignment="1">
      <alignment horizontal="left" vertical="center"/>
    </xf>
    <xf numFmtId="0" fontId="19" fillId="0" borderId="7" xfId="0" applyFont="1" applyBorder="1" applyAlignment="1">
      <alignment horizontal="center" vertical="center"/>
    </xf>
    <xf numFmtId="183" fontId="18" fillId="4" borderId="54" xfId="0" applyNumberFormat="1" applyFont="1" applyFill="1" applyBorder="1" applyAlignment="1">
      <alignment horizontal="left" vertical="center"/>
    </xf>
    <xf numFmtId="183" fontId="18" fillId="4" borderId="58" xfId="0" applyNumberFormat="1" applyFont="1" applyFill="1" applyBorder="1" applyAlignment="1">
      <alignment horizontal="left" vertical="center"/>
    </xf>
    <xf numFmtId="183" fontId="18" fillId="4" borderId="4" xfId="0" applyNumberFormat="1" applyFont="1" applyFill="1" applyBorder="1" applyAlignment="1">
      <alignment horizontal="left" vertical="center"/>
    </xf>
    <xf numFmtId="41" fontId="24" fillId="0" borderId="13" xfId="3" applyFont="1" applyFill="1" applyBorder="1" applyAlignment="1">
      <alignment horizontal="right" vertical="center"/>
    </xf>
    <xf numFmtId="0" fontId="28" fillId="0" borderId="6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49" fontId="16" fillId="2" borderId="11" xfId="12" applyNumberFormat="1" applyFont="1" applyFill="1" applyBorder="1" applyAlignment="1" applyProtection="1">
      <alignment horizontal="center" vertical="center"/>
      <protection locked="0"/>
    </xf>
    <xf numFmtId="49" fontId="16" fillId="2" borderId="3" xfId="12" applyNumberFormat="1" applyFont="1" applyFill="1" applyBorder="1" applyAlignment="1" applyProtection="1">
      <alignment horizontal="center" vertical="center"/>
      <protection locked="0"/>
    </xf>
    <xf numFmtId="49" fontId="16" fillId="2" borderId="8" xfId="12" applyNumberFormat="1" applyFont="1" applyFill="1" applyBorder="1" applyAlignment="1" applyProtection="1">
      <alignment horizontal="center" vertical="center"/>
      <protection locked="0"/>
    </xf>
    <xf numFmtId="49" fontId="16" fillId="2" borderId="0" xfId="12" applyNumberFormat="1" applyFont="1" applyFill="1" applyBorder="1" applyAlignment="1" applyProtection="1">
      <alignment horizontal="center" vertical="center"/>
      <protection locked="0"/>
    </xf>
    <xf numFmtId="49" fontId="16" fillId="2" borderId="12" xfId="12" applyNumberFormat="1" applyFont="1" applyFill="1" applyBorder="1" applyAlignment="1" applyProtection="1">
      <alignment horizontal="center" vertical="center"/>
      <protection locked="0"/>
    </xf>
    <xf numFmtId="49" fontId="16" fillId="2" borderId="6" xfId="12" applyNumberFormat="1" applyFont="1" applyFill="1" applyBorder="1" applyAlignment="1" applyProtection="1">
      <alignment horizontal="center" vertical="center"/>
      <protection locked="0"/>
    </xf>
    <xf numFmtId="0" fontId="30" fillId="2" borderId="38" xfId="13" applyFont="1" applyFill="1" applyBorder="1" applyAlignment="1">
      <alignment horizontal="center" vertical="center"/>
    </xf>
    <xf numFmtId="0" fontId="30" fillId="2" borderId="39" xfId="13" applyFont="1" applyFill="1" applyBorder="1" applyAlignment="1">
      <alignment horizontal="center" vertical="center"/>
    </xf>
    <xf numFmtId="0" fontId="30" fillId="2" borderId="40" xfId="13" applyFont="1" applyFill="1" applyBorder="1" applyAlignment="1">
      <alignment horizontal="center" vertical="center"/>
    </xf>
    <xf numFmtId="49" fontId="16" fillId="2" borderId="31" xfId="12" applyNumberFormat="1" applyFont="1" applyFill="1" applyBorder="1" applyAlignment="1" applyProtection="1">
      <alignment horizontal="center" vertical="center"/>
      <protection locked="0"/>
    </xf>
    <xf numFmtId="49" fontId="16" fillId="2" borderId="32" xfId="12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32" fillId="3" borderId="43" xfId="0" applyFont="1" applyFill="1" applyBorder="1" applyAlignment="1">
      <alignment horizontal="left" vertical="center"/>
    </xf>
    <xf numFmtId="185" fontId="27" fillId="3" borderId="85" xfId="19" applyNumberFormat="1" applyFont="1" applyFill="1" applyBorder="1" applyAlignment="1">
      <alignment horizontal="center" vertical="center"/>
    </xf>
    <xf numFmtId="185" fontId="27" fillId="3" borderId="86" xfId="19" applyNumberFormat="1" applyFont="1" applyFill="1" applyBorder="1" applyAlignment="1">
      <alignment horizontal="center" vertical="center"/>
    </xf>
    <xf numFmtId="185" fontId="27" fillId="3" borderId="70" xfId="19" applyNumberFormat="1" applyFont="1" applyFill="1" applyBorder="1" applyAlignment="1">
      <alignment horizontal="center" vertical="center"/>
    </xf>
    <xf numFmtId="185" fontId="27" fillId="3" borderId="60" xfId="19" applyNumberFormat="1" applyFont="1" applyFill="1" applyBorder="1" applyAlignment="1">
      <alignment horizontal="center" vertical="center"/>
    </xf>
    <xf numFmtId="0" fontId="18" fillId="3" borderId="49" xfId="0" applyFont="1" applyFill="1" applyBorder="1" applyAlignment="1">
      <alignment horizontal="left" vertical="center"/>
    </xf>
    <xf numFmtId="0" fontId="18" fillId="3" borderId="54" xfId="0" applyFont="1" applyFill="1" applyBorder="1" applyAlignment="1">
      <alignment horizontal="left" vertical="center"/>
    </xf>
    <xf numFmtId="0" fontId="18" fillId="3" borderId="56" xfId="0" applyFont="1" applyFill="1" applyBorder="1" applyAlignment="1">
      <alignment horizontal="left" vertical="center"/>
    </xf>
    <xf numFmtId="0" fontId="18" fillId="3" borderId="58" xfId="0" applyFont="1" applyFill="1" applyBorder="1" applyAlignment="1">
      <alignment horizontal="left" vertical="center"/>
    </xf>
    <xf numFmtId="185" fontId="24" fillId="0" borderId="32" xfId="19" applyNumberFormat="1" applyFont="1" applyFill="1" applyBorder="1" applyAlignment="1">
      <alignment horizontal="center" vertical="center"/>
    </xf>
    <xf numFmtId="185" fontId="24" fillId="0" borderId="15" xfId="19" applyNumberFormat="1" applyFont="1" applyFill="1" applyBorder="1" applyAlignment="1">
      <alignment horizontal="center" vertical="center"/>
    </xf>
    <xf numFmtId="188" fontId="35" fillId="0" borderId="52" xfId="19" applyNumberFormat="1" applyFont="1" applyFill="1" applyBorder="1" applyAlignment="1">
      <alignment horizontal="center" vertical="center"/>
    </xf>
    <xf numFmtId="188" fontId="35" fillId="0" borderId="47" xfId="19" applyNumberFormat="1" applyFont="1" applyFill="1" applyBorder="1" applyAlignment="1">
      <alignment horizontal="center" vertical="center"/>
    </xf>
    <xf numFmtId="41" fontId="32" fillId="0" borderId="0" xfId="3" applyFont="1" applyBorder="1" applyAlignment="1">
      <alignment horizontal="center"/>
    </xf>
    <xf numFmtId="186" fontId="19" fillId="0" borderId="78" xfId="19" applyNumberFormat="1" applyFont="1" applyFill="1" applyBorder="1" applyAlignment="1">
      <alignment horizontal="center" vertical="center"/>
    </xf>
    <xf numFmtId="186" fontId="19" fillId="0" borderId="77" xfId="19" applyNumberFormat="1" applyFont="1" applyFill="1" applyBorder="1" applyAlignment="1">
      <alignment horizontal="center" vertical="center"/>
    </xf>
    <xf numFmtId="183" fontId="17" fillId="4" borderId="0" xfId="0" applyNumberFormat="1" applyFont="1" applyFill="1" applyBorder="1" applyAlignment="1">
      <alignment horizontal="left" vertical="center"/>
    </xf>
    <xf numFmtId="183" fontId="17" fillId="4" borderId="7" xfId="0" applyNumberFormat="1" applyFont="1" applyFill="1" applyBorder="1" applyAlignment="1">
      <alignment horizontal="left" vertical="center"/>
    </xf>
    <xf numFmtId="0" fontId="15" fillId="0" borderId="0" xfId="13" applyFont="1" applyAlignment="1">
      <alignment horizontal="center" vertical="center"/>
    </xf>
    <xf numFmtId="0" fontId="18" fillId="0" borderId="0" xfId="13" applyFont="1" applyAlignment="1">
      <alignment horizontal="center"/>
    </xf>
    <xf numFmtId="186" fontId="27" fillId="3" borderId="3" xfId="19" applyNumberFormat="1" applyFont="1" applyFill="1" applyBorder="1" applyAlignment="1">
      <alignment horizontal="center" vertical="center"/>
    </xf>
    <xf numFmtId="186" fontId="27" fillId="3" borderId="14" xfId="19" applyNumberFormat="1" applyFont="1" applyFill="1" applyBorder="1" applyAlignment="1">
      <alignment horizontal="center" vertical="center"/>
    </xf>
    <xf numFmtId="186" fontId="27" fillId="3" borderId="0" xfId="19" applyNumberFormat="1" applyFont="1" applyFill="1" applyBorder="1" applyAlignment="1">
      <alignment horizontal="center" vertical="center"/>
    </xf>
    <xf numFmtId="186" fontId="27" fillId="3" borderId="18" xfId="19" applyNumberFormat="1" applyFont="1" applyFill="1" applyBorder="1" applyAlignment="1">
      <alignment horizontal="center" vertical="center"/>
    </xf>
    <xf numFmtId="186" fontId="19" fillId="0" borderId="55" xfId="19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top"/>
    </xf>
    <xf numFmtId="185" fontId="27" fillId="3" borderId="47" xfId="19" applyNumberFormat="1" applyFont="1" applyFill="1" applyBorder="1" applyAlignment="1">
      <alignment horizontal="center" vertical="center"/>
    </xf>
    <xf numFmtId="186" fontId="19" fillId="0" borderId="75" xfId="19" applyNumberFormat="1" applyFont="1" applyFill="1" applyBorder="1" applyAlignment="1">
      <alignment horizontal="center" vertical="center"/>
    </xf>
    <xf numFmtId="186" fontId="19" fillId="0" borderId="76" xfId="19" applyNumberFormat="1" applyFont="1" applyFill="1" applyBorder="1" applyAlignment="1">
      <alignment horizontal="center" vertical="center"/>
    </xf>
    <xf numFmtId="41" fontId="18" fillId="0" borderId="0" xfId="0" applyNumberFormat="1" applyFont="1" applyAlignment="1">
      <alignment horizontal="center"/>
    </xf>
    <xf numFmtId="186" fontId="27" fillId="3" borderId="48" xfId="0" applyNumberFormat="1" applyFont="1" applyFill="1" applyBorder="1" applyAlignment="1">
      <alignment horizontal="center" vertical="center"/>
    </xf>
    <xf numFmtId="49" fontId="16" fillId="2" borderId="14" xfId="12" applyNumberFormat="1" applyFont="1" applyFill="1" applyBorder="1" applyAlignment="1" applyProtection="1">
      <alignment horizontal="center" vertical="center"/>
      <protection locked="0"/>
    </xf>
    <xf numFmtId="49" fontId="16" fillId="2" borderId="9" xfId="12" applyNumberFormat="1" applyFont="1" applyFill="1" applyBorder="1" applyAlignment="1" applyProtection="1">
      <alignment horizontal="center" vertical="center"/>
      <protection locked="0"/>
    </xf>
    <xf numFmtId="49" fontId="16" fillId="2" borderId="7" xfId="12" applyNumberFormat="1" applyFont="1" applyFill="1" applyBorder="1" applyAlignment="1" applyProtection="1">
      <alignment horizontal="center" vertical="center"/>
      <protection locked="0"/>
    </xf>
    <xf numFmtId="49" fontId="16" fillId="2" borderId="4" xfId="12" applyNumberFormat="1" applyFont="1" applyFill="1" applyBorder="1" applyAlignment="1" applyProtection="1">
      <alignment horizontal="center" vertical="center"/>
      <protection locked="0"/>
    </xf>
    <xf numFmtId="41" fontId="16" fillId="2" borderId="17" xfId="12" applyNumberFormat="1" applyFont="1" applyFill="1" applyBorder="1" applyAlignment="1" applyProtection="1">
      <alignment vertical="center"/>
      <protection locked="0"/>
    </xf>
    <xf numFmtId="0" fontId="0" fillId="2" borderId="14" xfId="0" applyFont="1" applyFill="1" applyBorder="1" applyAlignment="1">
      <alignment vertical="center"/>
    </xf>
    <xf numFmtId="0" fontId="0" fillId="2" borderId="19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183" fontId="17" fillId="4" borderId="54" xfId="0" applyNumberFormat="1" applyFont="1" applyFill="1" applyBorder="1" applyAlignment="1">
      <alignment horizontal="left" vertical="center"/>
    </xf>
    <xf numFmtId="183" fontId="17" fillId="4" borderId="58" xfId="0" applyNumberFormat="1" applyFont="1" applyFill="1" applyBorder="1" applyAlignment="1">
      <alignment horizontal="left" vertical="center"/>
    </xf>
    <xf numFmtId="0" fontId="18" fillId="0" borderId="49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185" fontId="27" fillId="2" borderId="31" xfId="19" applyNumberFormat="1" applyFont="1" applyFill="1" applyBorder="1" applyAlignment="1">
      <alignment horizontal="center" vertical="center"/>
    </xf>
    <xf numFmtId="185" fontId="27" fillId="2" borderId="15" xfId="19" applyNumberFormat="1" applyFont="1" applyFill="1" applyBorder="1" applyAlignment="1">
      <alignment horizontal="center" vertical="center"/>
    </xf>
    <xf numFmtId="185" fontId="27" fillId="2" borderId="32" xfId="19" applyNumberFormat="1" applyFont="1" applyFill="1" applyBorder="1" applyAlignment="1">
      <alignment horizontal="center" vertical="center"/>
    </xf>
    <xf numFmtId="186" fontId="27" fillId="3" borderId="79" xfId="0" applyNumberFormat="1" applyFont="1" applyFill="1" applyBorder="1" applyAlignment="1">
      <alignment horizontal="center" vertical="center"/>
    </xf>
    <xf numFmtId="186" fontId="27" fillId="3" borderId="80" xfId="0" applyNumberFormat="1" applyFont="1" applyFill="1" applyBorder="1" applyAlignment="1">
      <alignment horizontal="center" vertical="center"/>
    </xf>
    <xf numFmtId="186" fontId="27" fillId="3" borderId="12" xfId="0" applyNumberFormat="1" applyFont="1" applyFill="1" applyBorder="1" applyAlignment="1">
      <alignment horizontal="center" vertical="center"/>
    </xf>
    <xf numFmtId="186" fontId="27" fillId="3" borderId="6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18" fillId="0" borderId="5" xfId="0" applyFont="1" applyBorder="1" applyAlignment="1">
      <alignment horizontal="center"/>
    </xf>
    <xf numFmtId="0" fontId="18" fillId="0" borderId="0" xfId="0" applyFont="1" applyAlignment="1">
      <alignment horizontal="center"/>
    </xf>
    <xf numFmtId="41" fontId="27" fillId="3" borderId="6" xfId="3" applyFont="1" applyFill="1" applyBorder="1" applyAlignment="1">
      <alignment horizontal="right" vertical="center"/>
    </xf>
    <xf numFmtId="0" fontId="32" fillId="3" borderId="6" xfId="0" applyFont="1" applyFill="1" applyBorder="1" applyAlignment="1">
      <alignment horizontal="center"/>
    </xf>
    <xf numFmtId="185" fontId="27" fillId="3" borderId="71" xfId="0" applyNumberFormat="1" applyFont="1" applyFill="1" applyBorder="1" applyAlignment="1">
      <alignment horizontal="center" vertical="center"/>
    </xf>
    <xf numFmtId="185" fontId="27" fillId="3" borderId="72" xfId="0" applyNumberFormat="1" applyFont="1" applyFill="1" applyBorder="1" applyAlignment="1">
      <alignment horizontal="center" vertical="center"/>
    </xf>
    <xf numFmtId="185" fontId="27" fillId="3" borderId="75" xfId="0" applyNumberFormat="1" applyFont="1" applyFill="1" applyBorder="1" applyAlignment="1">
      <alignment horizontal="center" vertical="center"/>
    </xf>
    <xf numFmtId="185" fontId="27" fillId="3" borderId="76" xfId="0" applyNumberFormat="1" applyFont="1" applyFill="1" applyBorder="1" applyAlignment="1">
      <alignment horizontal="center" vertical="center"/>
    </xf>
    <xf numFmtId="186" fontId="27" fillId="3" borderId="17" xfId="19" applyNumberFormat="1" applyFont="1" applyFill="1" applyBorder="1" applyAlignment="1">
      <alignment horizontal="center" vertical="center"/>
    </xf>
    <xf numFmtId="186" fontId="27" fillId="3" borderId="16" xfId="19" applyNumberFormat="1" applyFont="1" applyFill="1" applyBorder="1" applyAlignment="1">
      <alignment horizontal="center" vertical="center"/>
    </xf>
    <xf numFmtId="186" fontId="27" fillId="3" borderId="2" xfId="19" applyNumberFormat="1" applyFont="1" applyFill="1" applyBorder="1" applyAlignment="1">
      <alignment horizontal="center" vertical="center"/>
    </xf>
    <xf numFmtId="186" fontId="27" fillId="3" borderId="5" xfId="19" applyNumberFormat="1" applyFont="1" applyFill="1" applyBorder="1" applyAlignment="1">
      <alignment horizontal="center" vertical="center"/>
    </xf>
    <xf numFmtId="190" fontId="27" fillId="3" borderId="70" xfId="0" applyNumberFormat="1" applyFont="1" applyFill="1" applyBorder="1" applyAlignment="1">
      <alignment horizontal="center" vertical="center"/>
    </xf>
    <xf numFmtId="190" fontId="27" fillId="3" borderId="69" xfId="0" applyNumberFormat="1" applyFont="1" applyFill="1" applyBorder="1" applyAlignment="1">
      <alignment horizontal="center" vertical="center"/>
    </xf>
    <xf numFmtId="190" fontId="27" fillId="3" borderId="67" xfId="0" applyNumberFormat="1" applyFont="1" applyFill="1" applyBorder="1" applyAlignment="1">
      <alignment horizontal="center" vertical="center"/>
    </xf>
    <xf numFmtId="190" fontId="27" fillId="3" borderId="87" xfId="0" applyNumberFormat="1" applyFont="1" applyFill="1" applyBorder="1" applyAlignment="1">
      <alignment horizontal="center" vertical="center"/>
    </xf>
    <xf numFmtId="185" fontId="15" fillId="0" borderId="0" xfId="0" applyNumberFormat="1" applyFont="1" applyBorder="1" applyAlignment="1">
      <alignment horizontal="center"/>
    </xf>
  </cellXfs>
  <cellStyles count="22">
    <cellStyle name="Comma [0]_laroux" xfId="14" xr:uid="{00000000-0005-0000-0000-000000000000}"/>
    <cellStyle name="Comma_laroux" xfId="15" xr:uid="{00000000-0005-0000-0000-000001000000}"/>
    <cellStyle name="Currency [0]_laroux" xfId="16" xr:uid="{00000000-0005-0000-0000-000002000000}"/>
    <cellStyle name="Currency_laroux" xfId="17" xr:uid="{00000000-0005-0000-0000-000003000000}"/>
    <cellStyle name="Normal_Certs Q2" xfId="18" xr:uid="{00000000-0005-0000-0000-000004000000}"/>
    <cellStyle name="내역서" xfId="1" xr:uid="{00000000-0005-0000-0000-000005000000}"/>
    <cellStyle name="뒤에 오는 하이퍼링크_구산동-변경" xfId="2" xr:uid="{00000000-0005-0000-0000-000006000000}"/>
    <cellStyle name="백분율" xfId="19" builtinId="5"/>
    <cellStyle name="백분율 3" xfId="20" xr:uid="{B916FDE7-EC83-45DA-826D-050C236752CA}"/>
    <cellStyle name="쉼표 [0]" xfId="3" builtinId="6"/>
    <cellStyle name="자리수0" xfId="4" xr:uid="{00000000-0005-0000-0000-000009000000}"/>
    <cellStyle name="콤마" xfId="5" xr:uid="{00000000-0005-0000-0000-00000A000000}"/>
    <cellStyle name="콤마 [0]_(1.토)" xfId="6" xr:uid="{00000000-0005-0000-0000-00000B000000}"/>
    <cellStyle name="콤마[ ]" xfId="7" xr:uid="{00000000-0005-0000-0000-00000C000000}"/>
    <cellStyle name="콤마[*]" xfId="8" xr:uid="{00000000-0005-0000-0000-00000D000000}"/>
    <cellStyle name="콤마[.]" xfId="9" xr:uid="{00000000-0005-0000-0000-00000E000000}"/>
    <cellStyle name="콤마[0]" xfId="10" xr:uid="{00000000-0005-0000-0000-00000F000000}"/>
    <cellStyle name="콤마_(1.토)" xfId="11" xr:uid="{00000000-0005-0000-0000-000010000000}"/>
    <cellStyle name="표준" xfId="0" builtinId="0"/>
    <cellStyle name="표준 13" xfId="21" xr:uid="{D31DB08B-A8DE-4B75-B027-A5D68AE56232}"/>
    <cellStyle name="표준_Book2" xfId="13" xr:uid="{00000000-0005-0000-0000-000012000000}"/>
    <cellStyle name="표준_공정표(보관)" xfId="12" xr:uid="{00000000-0005-0000-0000-000013000000}"/>
  </cellStyles>
  <dxfs count="0"/>
  <tableStyles count="0" defaultTableStyle="TableStyleMedium9" defaultPivotStyle="PivotStyleLight16"/>
  <colors>
    <mruColors>
      <color rgb="FF800000"/>
      <color rgb="FFFFFFCC"/>
      <color rgb="FF0000CC"/>
      <color rgb="FF2601A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2.5585369592795438E-2"/>
          <c:y val="2.8112703588890594E-3"/>
          <c:w val="0.96813135986738152"/>
          <c:h val="0.99517300750558646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95639023"/>
        <c:axId val="1095650671"/>
      </c:scatterChart>
      <c:valAx>
        <c:axId val="1095639023"/>
        <c:scaling>
          <c:orientation val="minMax"/>
          <c:max val="10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majorTickMark val="none"/>
        <c:minorTickMark val="none"/>
        <c:tickLblPos val="nextTo"/>
        <c:crossAx val="1095650671"/>
        <c:crosses val="autoZero"/>
        <c:crossBetween val="midCat"/>
      </c:valAx>
      <c:valAx>
        <c:axId val="1095650671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%" sourceLinked="1"/>
        <c:majorTickMark val="none"/>
        <c:minorTickMark val="none"/>
        <c:tickLblPos val="nextTo"/>
        <c:crossAx val="109563902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369</xdr:col>
      <xdr:colOff>212912</xdr:colOff>
      <xdr:row>23</xdr:row>
      <xdr:rowOff>100854</xdr:rowOff>
    </xdr:from>
    <xdr:to>
      <xdr:col>372</xdr:col>
      <xdr:colOff>1447800</xdr:colOff>
      <xdr:row>255</xdr:row>
      <xdr:rowOff>78441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80E7161-EEC2-4758-8D83-11801E000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D1:NM340"/>
  <sheetViews>
    <sheetView showGridLines="0" tabSelected="1" view="pageBreakPreview" topLeftCell="F19" zoomScale="85" zoomScaleNormal="85" zoomScaleSheetLayoutView="85" workbookViewId="0">
      <pane xSplit="12" ySplit="7" topLeftCell="IT26" activePane="bottomRight" state="frozen"/>
      <selection activeCell="F19" sqref="F19"/>
      <selection pane="topRight" activeCell="P19" sqref="P19"/>
      <selection pane="bottomLeft" activeCell="F26" sqref="F26"/>
      <selection pane="bottomRight" activeCell="JK27" sqref="JK27"/>
    </sheetView>
  </sheetViews>
  <sheetFormatPr defaultRowHeight="16.5" outlineLevelRow="1" outlineLevelCol="1"/>
  <cols>
    <col min="1" max="4" width="9.33203125" style="1"/>
    <col min="5" max="5" width="13.6640625" style="1" bestFit="1" customWidth="1"/>
    <col min="6" max="6" width="13.6640625" style="1" hidden="1" customWidth="1" outlineLevel="1"/>
    <col min="7" max="7" width="13.6640625" style="22" hidden="1" customWidth="1" outlineLevel="1"/>
    <col min="8" max="8" width="6.1640625" style="22" hidden="1" customWidth="1" outlineLevel="1"/>
    <col min="9" max="9" width="0" style="1" hidden="1" customWidth="1" outlineLevel="1" collapsed="1"/>
    <col min="10" max="10" width="12" style="1" hidden="1" customWidth="1" outlineLevel="1"/>
    <col min="11" max="11" width="11.33203125" style="1" hidden="1" customWidth="1" outlineLevel="1"/>
    <col min="12" max="12" width="2.6640625" style="1" customWidth="1" collapsed="1"/>
    <col min="13" max="13" width="37.5" style="1" customWidth="1"/>
    <col min="14" max="14" width="11.6640625" style="15" bestFit="1" customWidth="1"/>
    <col min="15" max="15" width="6.33203125" style="43" customWidth="1"/>
    <col min="16" max="16" width="14" style="43" customWidth="1"/>
    <col min="17" max="17" width="10.83203125" style="43" customWidth="1"/>
    <col min="18" max="18" width="10.83203125" style="43" customWidth="1" outlineLevel="1"/>
    <col min="19" max="47" width="7.83203125" style="1" customWidth="1"/>
    <col min="48" max="48" width="7.83203125" style="2" customWidth="1"/>
    <col min="49" max="77" width="7.83203125" style="1" customWidth="1"/>
    <col min="78" max="78" width="7.83203125" style="2" customWidth="1"/>
    <col min="79" max="167" width="7.83203125" style="1" customWidth="1"/>
    <col min="168" max="288" width="7.83203125" style="2" customWidth="1"/>
    <col min="289" max="303" width="5.83203125" style="2" customWidth="1"/>
    <col min="304" max="369" width="6.33203125" style="2" customWidth="1"/>
    <col min="370" max="370" width="10" style="1" bestFit="1" customWidth="1"/>
    <col min="371" max="371" width="15.83203125" style="1" hidden="1" customWidth="1" outlineLevel="1"/>
    <col min="372" max="372" width="26.6640625" style="1" hidden="1" customWidth="1" outlineLevel="1"/>
    <col min="373" max="373" width="26.6640625" style="11" customWidth="1" collapsed="1"/>
    <col min="374" max="374" width="26.6640625" style="11" customWidth="1"/>
    <col min="375" max="377" width="26.6640625" style="1" customWidth="1"/>
    <col min="378" max="16384" width="9.33203125" style="1"/>
  </cols>
  <sheetData>
    <row r="1" spans="321:374" ht="24.95" hidden="1" customHeight="1" outlineLevel="1"/>
    <row r="2" spans="321:374" ht="24.95" hidden="1" customHeight="1" outlineLevel="1"/>
    <row r="3" spans="321:374" ht="24.95" hidden="1" customHeight="1" outlineLevel="1"/>
    <row r="4" spans="321:374" ht="24.95" hidden="1" customHeight="1" outlineLevel="1"/>
    <row r="5" spans="321:374" ht="24.95" hidden="1" customHeight="1" outlineLevel="1"/>
    <row r="6" spans="321:374" ht="24.95" hidden="1" customHeight="1" outlineLevel="1"/>
    <row r="7" spans="321:374" ht="24.95" hidden="1" customHeight="1" outlineLevel="1"/>
    <row r="8" spans="321:374" ht="24.95" hidden="1" customHeight="1" outlineLevel="1"/>
    <row r="9" spans="321:374" ht="24.95" hidden="1" customHeight="1" outlineLevel="1"/>
    <row r="10" spans="321:374" ht="24.95" hidden="1" customHeight="1" outlineLevel="1"/>
    <row r="11" spans="321:374" ht="24.95" hidden="1" customHeight="1" outlineLevel="1"/>
    <row r="12" spans="321:374" ht="24.95" hidden="1" customHeight="1" outlineLevel="1"/>
    <row r="13" spans="321:374" ht="24.95" hidden="1" customHeight="1" outlineLevel="1">
      <c r="NI13" s="1"/>
      <c r="NJ13" s="1"/>
    </row>
    <row r="14" spans="321:374" ht="24.95" hidden="1" customHeight="1" outlineLevel="1">
      <c r="NI14" s="1"/>
      <c r="NJ14" s="1"/>
    </row>
    <row r="15" spans="321:374" ht="24.95" hidden="1" customHeight="1" outlineLevel="1">
      <c r="NI15" s="1"/>
      <c r="NJ15" s="1"/>
    </row>
    <row r="16" spans="321:374" ht="24.95" hidden="1" customHeight="1" outlineLevel="1">
      <c r="LI16" s="338"/>
      <c r="LJ16" s="338"/>
      <c r="LK16" s="338"/>
      <c r="LL16" s="341"/>
      <c r="LM16" s="341"/>
      <c r="LN16" s="341"/>
      <c r="NI16" s="1"/>
      <c r="NJ16" s="1"/>
    </row>
    <row r="17" spans="6:377" ht="24.95" hidden="1" customHeight="1" outlineLevel="1">
      <c r="NI17" s="1"/>
      <c r="NJ17" s="1"/>
    </row>
    <row r="18" spans="6:377" s="4" customFormat="1" ht="40.5" customHeight="1" collapsed="1">
      <c r="G18" s="23"/>
      <c r="H18" s="23"/>
      <c r="L18" s="376" t="s">
        <v>28</v>
      </c>
      <c r="M18" s="376"/>
      <c r="N18" s="376"/>
      <c r="O18" s="376"/>
      <c r="P18" s="376"/>
      <c r="Q18" s="376"/>
      <c r="R18" s="376"/>
      <c r="S18" s="376"/>
      <c r="T18" s="376"/>
      <c r="U18" s="376"/>
      <c r="V18" s="376"/>
      <c r="W18" s="376"/>
      <c r="X18" s="376"/>
      <c r="Y18" s="376"/>
      <c r="Z18" s="376"/>
      <c r="AA18" s="376"/>
      <c r="AB18" s="376"/>
      <c r="AC18" s="376"/>
      <c r="AD18" s="376"/>
      <c r="AE18" s="376"/>
      <c r="AF18" s="376"/>
      <c r="AG18" s="376"/>
      <c r="AH18" s="376"/>
      <c r="AI18" s="376"/>
      <c r="AJ18" s="376"/>
      <c r="AK18" s="376"/>
      <c r="AL18" s="376"/>
      <c r="AM18" s="376"/>
      <c r="AN18" s="376"/>
      <c r="AO18" s="376"/>
      <c r="AP18" s="376"/>
      <c r="AQ18" s="376"/>
      <c r="AR18" s="376"/>
      <c r="AS18" s="376"/>
      <c r="AT18" s="376"/>
      <c r="AU18" s="376"/>
      <c r="AV18" s="376"/>
      <c r="AW18" s="376"/>
      <c r="AX18" s="376"/>
      <c r="AY18" s="376"/>
      <c r="AZ18" s="376"/>
      <c r="BA18" s="376"/>
      <c r="BB18" s="376"/>
      <c r="BC18" s="376"/>
      <c r="BD18" s="376"/>
      <c r="BE18" s="376"/>
      <c r="BF18" s="376"/>
      <c r="BG18" s="376"/>
      <c r="BH18" s="376"/>
      <c r="BI18" s="376"/>
      <c r="BJ18" s="376"/>
      <c r="BK18" s="376"/>
      <c r="BL18" s="376"/>
      <c r="BM18" s="376"/>
      <c r="BN18" s="376"/>
      <c r="BO18" s="376"/>
      <c r="BP18" s="376"/>
      <c r="BQ18" s="376"/>
      <c r="BR18" s="376"/>
      <c r="BS18" s="376"/>
      <c r="BT18" s="376"/>
      <c r="BU18" s="376"/>
      <c r="BV18" s="376"/>
      <c r="BW18" s="376"/>
      <c r="BX18" s="376"/>
      <c r="BY18" s="376"/>
      <c r="BZ18" s="376"/>
      <c r="CA18" s="376"/>
      <c r="CB18" s="376"/>
      <c r="CC18" s="376"/>
      <c r="CD18" s="376"/>
      <c r="CE18" s="376"/>
      <c r="CF18" s="376"/>
      <c r="CG18" s="376"/>
      <c r="CH18" s="376"/>
      <c r="CI18" s="376"/>
      <c r="CJ18" s="376"/>
      <c r="CK18" s="376"/>
      <c r="CL18" s="376"/>
      <c r="CM18" s="376"/>
      <c r="CN18" s="376"/>
      <c r="CO18" s="376"/>
      <c r="CP18" s="376"/>
      <c r="CQ18" s="376"/>
      <c r="CR18" s="376"/>
      <c r="CS18" s="376"/>
      <c r="CT18" s="376"/>
      <c r="CU18" s="376"/>
      <c r="CV18" s="376"/>
      <c r="CW18" s="376"/>
      <c r="CX18" s="376"/>
      <c r="CY18" s="376"/>
      <c r="CZ18" s="376"/>
      <c r="DA18" s="376"/>
      <c r="DB18" s="376"/>
      <c r="DC18" s="376"/>
      <c r="DD18" s="376"/>
      <c r="DE18" s="376"/>
      <c r="DF18" s="376"/>
      <c r="DG18" s="376"/>
      <c r="DH18" s="376"/>
      <c r="DI18" s="376"/>
      <c r="DJ18" s="376"/>
      <c r="DK18" s="376"/>
      <c r="DL18" s="376"/>
      <c r="DM18" s="376"/>
      <c r="DN18" s="376"/>
      <c r="DO18" s="376"/>
      <c r="DP18" s="376"/>
      <c r="DQ18" s="376"/>
      <c r="DR18" s="376"/>
      <c r="DS18" s="376"/>
      <c r="DT18" s="376"/>
      <c r="DU18" s="376"/>
      <c r="DV18" s="376"/>
      <c r="DW18" s="376"/>
      <c r="DX18" s="376"/>
      <c r="DY18" s="376"/>
      <c r="DZ18" s="376"/>
      <c r="EA18" s="376"/>
      <c r="EB18" s="376"/>
      <c r="EC18" s="376"/>
      <c r="ED18" s="376"/>
      <c r="EE18" s="376"/>
      <c r="EF18" s="376"/>
      <c r="EG18" s="376"/>
      <c r="EH18" s="376"/>
      <c r="EI18" s="376"/>
      <c r="EJ18" s="376"/>
      <c r="EK18" s="376"/>
      <c r="EL18" s="376"/>
      <c r="EM18" s="376"/>
      <c r="EN18" s="376"/>
      <c r="EO18" s="376"/>
      <c r="EP18" s="376"/>
      <c r="EQ18" s="376"/>
      <c r="ER18" s="376"/>
      <c r="ES18" s="376"/>
      <c r="ET18" s="376"/>
      <c r="EU18" s="376"/>
      <c r="EV18" s="376"/>
      <c r="EW18" s="376"/>
      <c r="EX18" s="376"/>
      <c r="EY18" s="376"/>
      <c r="EZ18" s="376"/>
      <c r="FA18" s="376"/>
      <c r="FB18" s="376"/>
      <c r="FC18" s="376"/>
      <c r="FD18" s="376"/>
      <c r="FE18" s="376"/>
      <c r="FF18" s="376"/>
      <c r="FG18" s="376"/>
      <c r="FH18" s="376"/>
      <c r="FI18" s="376"/>
      <c r="FJ18" s="376"/>
      <c r="FK18" s="376"/>
      <c r="FL18" s="376"/>
      <c r="FM18" s="376"/>
      <c r="FN18" s="376"/>
      <c r="FO18" s="376"/>
      <c r="FP18" s="376"/>
      <c r="FQ18" s="376"/>
      <c r="FR18" s="376"/>
      <c r="FS18" s="376"/>
      <c r="FT18" s="376"/>
      <c r="FU18" s="376"/>
      <c r="FV18" s="376"/>
      <c r="FW18" s="376"/>
      <c r="FX18" s="376"/>
      <c r="FY18" s="376"/>
      <c r="FZ18" s="376"/>
      <c r="GA18" s="376"/>
      <c r="GB18" s="376"/>
      <c r="GC18" s="376"/>
      <c r="GD18" s="376"/>
      <c r="GE18" s="376"/>
      <c r="GF18" s="376"/>
      <c r="GG18" s="376"/>
      <c r="GH18" s="376"/>
      <c r="GI18" s="376"/>
      <c r="GJ18" s="376"/>
      <c r="GK18" s="376"/>
      <c r="GL18" s="376"/>
      <c r="GM18" s="376"/>
      <c r="GN18" s="376"/>
      <c r="GO18" s="376"/>
      <c r="GP18" s="376"/>
      <c r="GQ18" s="376"/>
      <c r="GR18" s="376"/>
      <c r="GS18" s="376"/>
      <c r="GT18" s="376"/>
      <c r="GU18" s="376"/>
      <c r="GV18" s="376"/>
      <c r="GW18" s="376"/>
      <c r="GX18" s="376"/>
      <c r="GY18" s="376"/>
      <c r="GZ18" s="376"/>
      <c r="HA18" s="376"/>
      <c r="HB18" s="376"/>
      <c r="HC18" s="376"/>
      <c r="HD18" s="376"/>
      <c r="HE18" s="376"/>
      <c r="HF18" s="376"/>
      <c r="HG18" s="376"/>
      <c r="HH18" s="376"/>
      <c r="HI18" s="376"/>
      <c r="HJ18" s="376"/>
      <c r="HK18" s="376"/>
      <c r="HL18" s="376"/>
      <c r="HM18" s="376"/>
      <c r="HN18" s="376"/>
      <c r="HO18" s="376"/>
      <c r="HP18" s="376"/>
      <c r="HQ18" s="376"/>
      <c r="HR18" s="376"/>
      <c r="HS18" s="376"/>
      <c r="HT18" s="376"/>
      <c r="HU18" s="376"/>
      <c r="HV18" s="376"/>
      <c r="HW18" s="376"/>
      <c r="HX18" s="376"/>
      <c r="HY18" s="376"/>
      <c r="HZ18" s="376"/>
      <c r="IA18" s="376"/>
      <c r="IB18" s="376"/>
      <c r="IC18" s="376"/>
      <c r="ID18" s="376"/>
      <c r="IE18" s="376"/>
      <c r="IF18" s="376"/>
      <c r="IG18" s="376"/>
      <c r="IH18" s="376"/>
      <c r="II18" s="376"/>
      <c r="IJ18" s="376"/>
      <c r="IK18" s="376"/>
      <c r="IL18" s="376"/>
      <c r="IM18" s="376"/>
      <c r="IN18" s="376"/>
      <c r="IO18" s="376"/>
      <c r="IP18" s="376"/>
      <c r="IQ18" s="376"/>
      <c r="IR18" s="376"/>
      <c r="IS18" s="376"/>
      <c r="IT18" s="376"/>
      <c r="IU18" s="376"/>
      <c r="IV18" s="376"/>
      <c r="IW18" s="376"/>
      <c r="IX18" s="376"/>
      <c r="IY18" s="376"/>
      <c r="IZ18" s="376"/>
      <c r="JA18" s="376"/>
      <c r="JB18" s="376"/>
      <c r="JC18" s="376"/>
      <c r="JD18" s="376"/>
      <c r="JE18" s="376"/>
      <c r="JF18" s="376"/>
      <c r="JG18" s="376"/>
      <c r="JH18" s="376"/>
      <c r="JI18" s="376"/>
      <c r="JJ18" s="376"/>
      <c r="JK18" s="376"/>
      <c r="JL18" s="376"/>
      <c r="JM18" s="376"/>
      <c r="JN18" s="376"/>
      <c r="JO18" s="376"/>
      <c r="JP18" s="376"/>
      <c r="JQ18" s="376"/>
      <c r="JR18" s="376"/>
      <c r="JS18" s="376"/>
      <c r="JT18" s="376"/>
      <c r="JU18" s="376"/>
      <c r="JV18" s="376"/>
      <c r="JW18" s="376"/>
      <c r="JX18" s="376"/>
      <c r="JY18" s="376"/>
      <c r="JZ18" s="376"/>
      <c r="KA18" s="376"/>
      <c r="KB18" s="376"/>
      <c r="KC18" s="376"/>
      <c r="KD18" s="376"/>
      <c r="KE18" s="376"/>
      <c r="KF18" s="376"/>
      <c r="KG18" s="376"/>
      <c r="KH18" s="376"/>
      <c r="KI18" s="376"/>
      <c r="KJ18" s="376"/>
      <c r="KK18" s="376"/>
      <c r="KL18" s="376"/>
      <c r="KM18" s="376"/>
      <c r="KN18" s="376"/>
      <c r="KO18" s="376"/>
      <c r="KP18" s="376"/>
      <c r="KQ18" s="376"/>
      <c r="KR18" s="376"/>
      <c r="KS18" s="376"/>
      <c r="KT18" s="376"/>
      <c r="KU18" s="376"/>
      <c r="KV18" s="376"/>
      <c r="KW18" s="376"/>
      <c r="KX18" s="376"/>
      <c r="KY18" s="376"/>
      <c r="KZ18" s="376"/>
      <c r="LA18" s="376"/>
      <c r="LB18" s="376"/>
      <c r="LC18" s="376"/>
      <c r="LD18" s="376"/>
      <c r="LE18" s="376"/>
      <c r="LF18" s="376"/>
      <c r="LG18" s="376"/>
      <c r="LH18" s="376"/>
      <c r="LI18" s="376"/>
      <c r="LJ18" s="376"/>
      <c r="LK18" s="376"/>
      <c r="LL18" s="376"/>
      <c r="LM18" s="376"/>
      <c r="LN18" s="376"/>
      <c r="LO18" s="376"/>
      <c r="LP18" s="376"/>
      <c r="LQ18" s="376"/>
      <c r="LR18" s="376"/>
      <c r="LS18" s="376"/>
      <c r="LT18" s="376"/>
      <c r="LU18" s="376"/>
      <c r="LV18" s="376"/>
      <c r="LW18" s="376"/>
      <c r="LX18" s="376"/>
      <c r="LY18" s="376"/>
      <c r="LZ18" s="376"/>
      <c r="MA18" s="376"/>
      <c r="MB18" s="376"/>
      <c r="MC18" s="376"/>
      <c r="MD18" s="376"/>
      <c r="ME18" s="376"/>
      <c r="MF18" s="376"/>
      <c r="MG18" s="376"/>
      <c r="MH18" s="376"/>
      <c r="MI18" s="376"/>
      <c r="MJ18" s="376"/>
      <c r="MK18" s="376"/>
      <c r="ML18" s="376"/>
      <c r="MM18" s="376"/>
      <c r="MN18" s="376"/>
      <c r="MO18" s="376"/>
      <c r="MP18" s="376"/>
      <c r="MQ18" s="376"/>
      <c r="MR18" s="376"/>
      <c r="MS18" s="376"/>
      <c r="MT18" s="376"/>
      <c r="MU18" s="376"/>
      <c r="MV18" s="376"/>
      <c r="MW18" s="376"/>
      <c r="MX18" s="376"/>
      <c r="MY18" s="376"/>
      <c r="MZ18" s="376"/>
      <c r="NA18" s="376"/>
      <c r="NB18" s="376"/>
      <c r="NC18" s="376"/>
      <c r="ND18" s="376"/>
      <c r="NE18" s="376"/>
      <c r="NG18" s="1"/>
      <c r="NH18" s="1"/>
      <c r="NI18" s="1"/>
      <c r="NJ18" s="1"/>
      <c r="NK18" s="1"/>
    </row>
    <row r="19" spans="6:377" s="9" customFormat="1" ht="18" customHeight="1">
      <c r="G19" s="24"/>
      <c r="H19" s="24"/>
      <c r="L19" s="388" t="s">
        <v>294</v>
      </c>
      <c r="M19" s="388"/>
      <c r="N19" s="388"/>
      <c r="O19" s="388"/>
      <c r="P19" s="14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456"/>
      <c r="FN19" s="456"/>
      <c r="FO19" s="456"/>
      <c r="FP19" s="456"/>
      <c r="FQ19" s="456"/>
      <c r="FR19" s="456"/>
      <c r="FS19" s="456"/>
      <c r="FT19" s="456"/>
      <c r="FU19" s="456"/>
      <c r="FV19" s="456"/>
      <c r="FW19" s="456"/>
      <c r="FX19" s="456"/>
      <c r="FY19" s="456"/>
      <c r="FZ19" s="456"/>
      <c r="GA19" s="456"/>
      <c r="GB19" s="456"/>
      <c r="GC19" s="456"/>
      <c r="GD19" s="456"/>
      <c r="GE19" s="456"/>
      <c r="GF19" s="456"/>
      <c r="GG19" s="456"/>
      <c r="GH19" s="456"/>
      <c r="GI19" s="456"/>
      <c r="GJ19" s="456"/>
      <c r="GK19" s="456"/>
      <c r="GL19" s="456"/>
      <c r="GM19" s="456"/>
      <c r="GN19" s="456"/>
      <c r="GO19" s="456"/>
      <c r="GP19" s="456"/>
      <c r="GQ19" s="456"/>
      <c r="GR19" s="456"/>
      <c r="GS19" s="456"/>
      <c r="GT19" s="456"/>
      <c r="GU19" s="456"/>
      <c r="GV19" s="456"/>
      <c r="GW19" s="456"/>
      <c r="GX19" s="456"/>
      <c r="GY19" s="456"/>
      <c r="GZ19" s="456"/>
      <c r="HA19" s="456"/>
      <c r="HB19" s="456"/>
      <c r="HC19" s="456"/>
      <c r="HD19" s="456"/>
      <c r="HE19" s="456"/>
      <c r="HF19" s="456"/>
      <c r="HG19" s="456"/>
      <c r="HH19" s="456"/>
      <c r="HI19" s="456"/>
      <c r="HJ19" s="456"/>
      <c r="HK19" s="456"/>
      <c r="HL19" s="456"/>
      <c r="HM19" s="456"/>
      <c r="HN19" s="456"/>
      <c r="HO19" s="456"/>
      <c r="HP19" s="456"/>
      <c r="HQ19" s="456"/>
      <c r="HR19" s="456"/>
      <c r="HS19" s="456"/>
      <c r="HT19" s="456"/>
      <c r="HU19" s="456"/>
      <c r="HV19" s="456"/>
      <c r="HW19" s="456"/>
      <c r="HX19" s="456"/>
      <c r="HY19" s="456"/>
      <c r="HZ19" s="456"/>
      <c r="IA19" s="456"/>
      <c r="IB19" s="456"/>
      <c r="IC19" s="456"/>
      <c r="ID19" s="456"/>
      <c r="IE19" s="456"/>
      <c r="IF19" s="456"/>
      <c r="IG19" s="456"/>
      <c r="IH19" s="456"/>
      <c r="II19" s="456"/>
      <c r="IJ19" s="456"/>
      <c r="IK19" s="456"/>
      <c r="IL19" s="456"/>
      <c r="IM19" s="456"/>
      <c r="IN19" s="456"/>
      <c r="IO19" s="456"/>
      <c r="IP19" s="456"/>
      <c r="IQ19" s="456"/>
      <c r="IR19" s="456"/>
      <c r="IS19" s="456"/>
      <c r="IT19" s="456"/>
      <c r="IU19" s="456"/>
      <c r="IV19" s="456"/>
      <c r="IW19" s="456"/>
      <c r="IX19" s="456"/>
      <c r="IY19" s="456"/>
      <c r="IZ19" s="456"/>
      <c r="JA19" s="456"/>
      <c r="JB19" s="456"/>
      <c r="JC19" s="456"/>
      <c r="JD19" s="456"/>
      <c r="JE19" s="456"/>
      <c r="JF19" s="456"/>
      <c r="JG19" s="456"/>
      <c r="JH19" s="456"/>
      <c r="JI19" s="456"/>
      <c r="JJ19" s="456"/>
      <c r="JK19" s="456"/>
      <c r="JL19" s="456"/>
      <c r="JM19" s="456"/>
      <c r="JN19" s="456"/>
      <c r="JO19" s="456"/>
      <c r="JP19" s="456"/>
      <c r="JQ19" s="456"/>
      <c r="JR19" s="456"/>
      <c r="JS19" s="456"/>
      <c r="JT19" s="456"/>
      <c r="JU19" s="456"/>
      <c r="JV19" s="456"/>
      <c r="JW19" s="456"/>
      <c r="JX19" s="456"/>
      <c r="JY19" s="456"/>
      <c r="JZ19" s="456"/>
      <c r="KA19" s="456"/>
      <c r="KB19" s="456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414" t="s">
        <v>293</v>
      </c>
      <c r="MN19" s="414"/>
      <c r="MO19" s="414"/>
      <c r="MP19" s="414"/>
      <c r="MQ19" s="414"/>
      <c r="MR19" s="414"/>
      <c r="MS19" s="414"/>
      <c r="MT19" s="414"/>
      <c r="MU19" s="414"/>
      <c r="MV19" s="414"/>
      <c r="MW19" s="414"/>
      <c r="MX19" s="414"/>
      <c r="MY19" s="414"/>
      <c r="MZ19" s="414"/>
      <c r="NA19" s="414"/>
      <c r="NB19" s="414"/>
      <c r="NC19" s="414"/>
      <c r="ND19" s="414"/>
      <c r="NE19" s="414"/>
      <c r="NG19" s="1"/>
      <c r="NH19" s="1"/>
      <c r="NI19" s="1"/>
      <c r="NJ19" s="1"/>
      <c r="NK19" s="1"/>
    </row>
    <row r="20" spans="6:377" s="9" customFormat="1" ht="18" customHeight="1" thickBot="1">
      <c r="G20" s="24"/>
      <c r="H20" s="24"/>
      <c r="L20" s="44"/>
      <c r="M20" s="8"/>
      <c r="N20" s="8"/>
      <c r="O20" s="8"/>
      <c r="P20" s="14"/>
      <c r="Q20" s="8"/>
      <c r="R20" s="8"/>
      <c r="S20" s="271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  <c r="BZ20" s="259"/>
      <c r="CA20" s="272"/>
      <c r="CB20" s="259"/>
      <c r="CC20" s="259"/>
      <c r="CD20" s="259"/>
      <c r="CE20" s="259"/>
      <c r="CF20" s="259"/>
      <c r="CG20" s="259"/>
      <c r="CH20" s="259"/>
      <c r="CI20" s="259"/>
      <c r="CJ20" s="259"/>
      <c r="CK20" s="259"/>
      <c r="CL20" s="259"/>
      <c r="CM20" s="259"/>
      <c r="CN20" s="259"/>
      <c r="CO20" s="259"/>
      <c r="CP20" s="259"/>
      <c r="CQ20" s="259"/>
      <c r="CR20" s="259"/>
      <c r="CS20" s="259"/>
      <c r="CT20" s="259"/>
      <c r="CU20" s="259"/>
      <c r="CV20" s="259"/>
      <c r="CW20" s="259"/>
      <c r="CX20" s="259"/>
      <c r="CY20" s="259"/>
      <c r="CZ20" s="259"/>
      <c r="DA20" s="259"/>
      <c r="DB20" s="259"/>
      <c r="DC20" s="259"/>
      <c r="DD20" s="259"/>
      <c r="DE20" s="259"/>
      <c r="DF20" s="259"/>
      <c r="DG20" s="259"/>
      <c r="DH20" s="259"/>
      <c r="DI20" s="259"/>
      <c r="DJ20" s="259"/>
      <c r="DK20" s="259"/>
      <c r="DL20" s="259"/>
      <c r="DM20" s="259"/>
      <c r="DN20" s="259"/>
      <c r="DO20" s="259"/>
      <c r="DP20" s="259"/>
      <c r="DQ20" s="259"/>
      <c r="DR20" s="259"/>
      <c r="DS20" s="259"/>
      <c r="DT20" s="259"/>
      <c r="DU20" s="259"/>
      <c r="DV20" s="259"/>
      <c r="DW20" s="259"/>
      <c r="DX20" s="259"/>
      <c r="DY20" s="259"/>
      <c r="DZ20" s="259"/>
      <c r="EA20" s="259"/>
      <c r="EB20" s="259"/>
      <c r="EC20" s="259"/>
      <c r="ED20" s="259"/>
      <c r="EE20" s="259"/>
      <c r="EF20" s="259"/>
      <c r="EG20" s="259"/>
      <c r="EH20" s="259"/>
      <c r="EI20" s="259"/>
      <c r="EJ20" s="259"/>
      <c r="EK20" s="259"/>
      <c r="EL20" s="259"/>
      <c r="EM20" s="259"/>
      <c r="EN20" s="259"/>
      <c r="EO20" s="259"/>
      <c r="EP20" s="259"/>
      <c r="EQ20" s="259"/>
      <c r="ER20" s="259"/>
      <c r="ES20" s="259"/>
      <c r="ET20" s="259"/>
      <c r="EU20" s="259"/>
      <c r="EV20" s="259"/>
      <c r="EW20" s="259"/>
      <c r="EX20" s="259"/>
      <c r="EY20" s="259"/>
      <c r="EZ20" s="259"/>
      <c r="FA20" s="259"/>
      <c r="FB20" s="259"/>
      <c r="FC20" s="259"/>
      <c r="FD20" s="259"/>
      <c r="FE20" s="259"/>
      <c r="FF20" s="259"/>
      <c r="FG20" s="259"/>
      <c r="FH20" s="259"/>
      <c r="FI20" s="259"/>
      <c r="FJ20" s="259"/>
      <c r="FK20" s="259"/>
      <c r="FL20" s="259"/>
      <c r="FM20" s="271"/>
      <c r="FN20" s="271"/>
      <c r="FO20" s="271"/>
      <c r="FP20" s="271"/>
      <c r="FQ20" s="271"/>
      <c r="FR20" s="271"/>
      <c r="FS20" s="271"/>
      <c r="FT20" s="271"/>
      <c r="FU20" s="271"/>
      <c r="FV20" s="271"/>
      <c r="FW20" s="271"/>
      <c r="FX20" s="271"/>
      <c r="FY20" s="271"/>
      <c r="FZ20" s="271"/>
      <c r="GA20" s="271"/>
      <c r="GB20" s="271"/>
      <c r="GC20" s="271"/>
      <c r="GD20" s="271"/>
      <c r="GE20" s="271"/>
      <c r="GF20" s="271"/>
      <c r="GG20" s="271"/>
      <c r="GH20" s="271"/>
      <c r="GI20" s="271"/>
      <c r="GJ20" s="271"/>
      <c r="GK20" s="271"/>
      <c r="GL20" s="271"/>
      <c r="GM20" s="271"/>
      <c r="GN20" s="271"/>
      <c r="GO20" s="271"/>
      <c r="GP20" s="271"/>
      <c r="GQ20" s="271"/>
      <c r="GR20" s="271"/>
      <c r="GS20" s="271"/>
      <c r="GT20" s="271"/>
      <c r="GU20" s="271"/>
      <c r="GV20" s="271"/>
      <c r="GW20" s="271"/>
      <c r="GX20" s="271"/>
      <c r="GY20" s="271"/>
      <c r="GZ20" s="271"/>
      <c r="HA20" s="271"/>
      <c r="HB20" s="271"/>
      <c r="HC20" s="271"/>
      <c r="HD20" s="271"/>
      <c r="HE20" s="271"/>
      <c r="HF20" s="271"/>
      <c r="HG20" s="271"/>
      <c r="HH20" s="271"/>
      <c r="HI20" s="271"/>
      <c r="HJ20" s="271"/>
      <c r="HK20" s="271"/>
      <c r="HL20" s="271"/>
      <c r="HM20" s="271"/>
      <c r="HN20" s="271"/>
      <c r="HO20" s="271"/>
      <c r="HP20" s="271"/>
      <c r="HQ20" s="271"/>
      <c r="HR20" s="271"/>
      <c r="HS20" s="271"/>
      <c r="HT20" s="271"/>
      <c r="HU20" s="271"/>
      <c r="HV20" s="271"/>
      <c r="HW20" s="271"/>
      <c r="HX20" s="271"/>
      <c r="HY20" s="271"/>
      <c r="HZ20" s="271"/>
      <c r="IA20" s="271"/>
      <c r="IB20" s="271"/>
      <c r="IC20" s="271"/>
      <c r="ID20" s="271"/>
      <c r="IE20" s="271"/>
      <c r="IF20" s="271"/>
      <c r="IG20" s="271"/>
      <c r="IH20" s="271"/>
      <c r="II20" s="271"/>
      <c r="IJ20" s="271"/>
      <c r="IK20" s="271"/>
      <c r="IL20" s="271"/>
      <c r="IM20" s="271"/>
      <c r="IN20" s="271"/>
      <c r="IO20" s="271"/>
      <c r="IP20" s="271"/>
      <c r="IQ20" s="271"/>
      <c r="IR20" s="271"/>
      <c r="IS20" s="271"/>
      <c r="IT20" s="271"/>
      <c r="IU20" s="271"/>
      <c r="IV20" s="271"/>
      <c r="IW20" s="271"/>
      <c r="IX20" s="271"/>
      <c r="IY20" s="271"/>
      <c r="IZ20" s="271"/>
      <c r="JA20" s="271"/>
      <c r="JB20" s="271"/>
      <c r="JC20" s="271"/>
      <c r="JD20" s="271"/>
      <c r="JE20" s="271"/>
      <c r="JF20" s="271"/>
      <c r="JG20" s="271"/>
      <c r="JH20" s="271"/>
      <c r="JI20" s="271"/>
      <c r="JJ20" s="271"/>
      <c r="JK20" s="271"/>
      <c r="JL20" s="271"/>
      <c r="JM20" s="271"/>
      <c r="JN20" s="271"/>
      <c r="JO20" s="271"/>
      <c r="JP20" s="271"/>
      <c r="JQ20" s="271"/>
      <c r="JR20" s="271"/>
      <c r="JS20" s="271"/>
      <c r="JT20" s="271"/>
      <c r="JU20" s="271"/>
      <c r="JV20" s="271"/>
      <c r="JW20" s="271"/>
      <c r="JX20" s="271"/>
      <c r="JY20" s="271"/>
      <c r="JZ20" s="271"/>
      <c r="KA20" s="271"/>
      <c r="KB20" s="271"/>
      <c r="KC20" s="259"/>
      <c r="KD20" s="259"/>
      <c r="KE20" s="259"/>
      <c r="KF20" s="259"/>
      <c r="KG20" s="259"/>
      <c r="KH20" s="259"/>
      <c r="KI20" s="259"/>
      <c r="KJ20" s="259"/>
      <c r="KK20" s="259"/>
      <c r="KL20" s="259"/>
      <c r="KM20" s="259"/>
      <c r="KN20" s="259"/>
      <c r="KO20" s="259"/>
      <c r="KP20" s="259"/>
      <c r="KQ20" s="259"/>
      <c r="KR20" s="259"/>
      <c r="KS20" s="259"/>
      <c r="KT20" s="259"/>
      <c r="KU20" s="259"/>
      <c r="KV20" s="259"/>
      <c r="KW20" s="259"/>
      <c r="KX20" s="259"/>
      <c r="KY20" s="259"/>
      <c r="KZ20" s="259"/>
      <c r="LA20" s="259"/>
      <c r="LB20" s="259"/>
      <c r="LC20" s="259"/>
      <c r="LD20" s="259"/>
      <c r="LE20" s="259"/>
      <c r="LF20" s="259"/>
      <c r="LG20" s="259"/>
      <c r="LH20" s="259"/>
      <c r="LI20" s="259"/>
      <c r="LJ20" s="259"/>
      <c r="LK20" s="259"/>
      <c r="LL20" s="259"/>
      <c r="LM20" s="259"/>
      <c r="LN20" s="259"/>
      <c r="LO20" s="259"/>
      <c r="LP20" s="259"/>
      <c r="LQ20" s="259"/>
      <c r="LR20" s="259"/>
      <c r="LS20" s="259"/>
      <c r="LT20" s="259"/>
      <c r="LU20" s="259"/>
      <c r="LV20" s="259"/>
      <c r="LW20" s="259"/>
      <c r="LX20" s="259"/>
      <c r="LY20" s="259"/>
      <c r="LZ20" s="259"/>
      <c r="MA20" s="259"/>
      <c r="MB20" s="259"/>
      <c r="MC20" s="259"/>
      <c r="MD20" s="259"/>
      <c r="ME20" s="259"/>
      <c r="MF20" s="259"/>
      <c r="MG20" s="259"/>
      <c r="MH20" s="259"/>
      <c r="MI20" s="259"/>
      <c r="MJ20" s="259"/>
      <c r="MK20" s="259"/>
      <c r="ML20" s="259"/>
      <c r="MM20" s="259"/>
      <c r="MN20" s="259"/>
      <c r="MO20" s="259"/>
      <c r="MP20" s="259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259"/>
      <c r="ND20" s="259"/>
      <c r="NE20" s="259"/>
      <c r="NG20" s="1"/>
      <c r="NH20" s="1"/>
      <c r="NI20" s="1"/>
      <c r="NJ20" s="1"/>
      <c r="NK20" s="1"/>
    </row>
    <row r="21" spans="6:377" s="5" customFormat="1" ht="12.95" customHeight="1">
      <c r="G21" s="25"/>
      <c r="H21" s="25"/>
      <c r="J21" s="9"/>
      <c r="L21" s="377" t="s">
        <v>3</v>
      </c>
      <c r="M21" s="378"/>
      <c r="N21" s="381" t="s">
        <v>2</v>
      </c>
      <c r="O21" s="378" t="s">
        <v>0</v>
      </c>
      <c r="P21" s="381" t="s">
        <v>5</v>
      </c>
      <c r="Q21" s="386" t="s">
        <v>4</v>
      </c>
      <c r="R21" s="383" t="s">
        <v>278</v>
      </c>
      <c r="S21" s="273" t="s">
        <v>132</v>
      </c>
      <c r="T21" s="273"/>
      <c r="U21" s="273"/>
      <c r="V21" s="273"/>
      <c r="W21" s="273"/>
      <c r="X21" s="273"/>
      <c r="Y21" s="273"/>
      <c r="Z21" s="273"/>
      <c r="AA21" s="273"/>
      <c r="AB21" s="273"/>
      <c r="AC21" s="273"/>
      <c r="AD21" s="273"/>
      <c r="AE21" s="273"/>
      <c r="AF21" s="273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  <c r="BB21" s="273"/>
      <c r="BC21" s="273"/>
      <c r="BD21" s="273"/>
      <c r="BE21" s="273"/>
      <c r="BF21" s="273"/>
      <c r="BG21" s="273"/>
      <c r="BH21" s="273"/>
      <c r="BI21" s="273"/>
      <c r="BJ21" s="273"/>
      <c r="BK21" s="273"/>
      <c r="BL21" s="273"/>
      <c r="BM21" s="273"/>
      <c r="BN21" s="273"/>
      <c r="BO21" s="273"/>
      <c r="BP21" s="273"/>
      <c r="BQ21" s="273"/>
      <c r="BR21" s="273"/>
      <c r="BS21" s="273"/>
      <c r="BT21" s="273"/>
      <c r="BU21" s="273"/>
      <c r="BV21" s="273"/>
      <c r="BW21" s="273"/>
      <c r="BX21" s="273"/>
      <c r="BY21" s="273"/>
      <c r="BZ21" s="273"/>
      <c r="CA21" s="273"/>
      <c r="CB21" s="273"/>
      <c r="CC21" s="273"/>
      <c r="CD21" s="273"/>
      <c r="CE21" s="273"/>
      <c r="CF21" s="273"/>
      <c r="CG21" s="273"/>
      <c r="CH21" s="273"/>
      <c r="CI21" s="273"/>
      <c r="CJ21" s="273"/>
      <c r="CK21" s="273"/>
      <c r="CL21" s="273"/>
      <c r="CM21" s="273"/>
      <c r="CN21" s="273"/>
      <c r="CO21" s="273"/>
      <c r="CP21" s="273"/>
      <c r="CQ21" s="273"/>
      <c r="CR21" s="273"/>
      <c r="CS21" s="273"/>
      <c r="CT21" s="273"/>
      <c r="CU21" s="273"/>
      <c r="CV21" s="273"/>
      <c r="CW21" s="273"/>
      <c r="CX21" s="273"/>
      <c r="CY21" s="273"/>
      <c r="CZ21" s="273"/>
      <c r="DA21" s="273"/>
      <c r="DB21" s="273"/>
      <c r="DC21" s="273"/>
      <c r="DD21" s="273"/>
      <c r="DE21" s="273"/>
      <c r="DF21" s="273"/>
      <c r="DG21" s="273"/>
      <c r="DH21" s="273"/>
      <c r="DI21" s="273"/>
      <c r="DJ21" s="273"/>
      <c r="DK21" s="273"/>
      <c r="DL21" s="273"/>
      <c r="DM21" s="273"/>
      <c r="DN21" s="273"/>
      <c r="DO21" s="273"/>
      <c r="DP21" s="273"/>
      <c r="DQ21" s="273"/>
      <c r="DR21" s="273"/>
      <c r="DS21" s="273"/>
      <c r="DT21" s="273"/>
      <c r="DU21" s="273"/>
      <c r="DV21" s="273"/>
      <c r="DW21" s="273"/>
      <c r="DX21" s="273"/>
      <c r="DY21" s="273"/>
      <c r="DZ21" s="273"/>
      <c r="EA21" s="273"/>
      <c r="EB21" s="273"/>
      <c r="EC21" s="273"/>
      <c r="ED21" s="273"/>
      <c r="EE21" s="273"/>
      <c r="EF21" s="273"/>
      <c r="EG21" s="273"/>
      <c r="EH21" s="273"/>
      <c r="EI21" s="273"/>
      <c r="EJ21" s="273"/>
      <c r="EK21" s="273"/>
      <c r="EL21" s="273"/>
      <c r="EM21" s="273"/>
      <c r="EN21" s="273"/>
      <c r="EO21" s="273"/>
      <c r="EP21" s="273"/>
      <c r="EQ21" s="273"/>
      <c r="ER21" s="273"/>
      <c r="ES21" s="273"/>
      <c r="ET21" s="273"/>
      <c r="EU21" s="273"/>
      <c r="EV21" s="273"/>
      <c r="EW21" s="273"/>
      <c r="EX21" s="273"/>
      <c r="EY21" s="273"/>
      <c r="EZ21" s="273"/>
      <c r="FA21" s="273"/>
      <c r="FB21" s="273"/>
      <c r="FC21" s="273"/>
      <c r="FD21" s="273"/>
      <c r="FE21" s="273"/>
      <c r="FF21" s="273"/>
      <c r="FG21" s="273"/>
      <c r="FH21" s="273"/>
      <c r="FI21" s="273"/>
      <c r="FJ21" s="273"/>
      <c r="FK21" s="273"/>
      <c r="FL21" s="273"/>
      <c r="FM21" s="273"/>
      <c r="FN21" s="273"/>
      <c r="FO21" s="273"/>
      <c r="FP21" s="273"/>
      <c r="FQ21" s="273"/>
      <c r="FR21" s="273"/>
      <c r="FS21" s="273"/>
      <c r="FT21" s="273"/>
      <c r="FU21" s="273"/>
      <c r="FV21" s="273"/>
      <c r="FW21" s="273"/>
      <c r="FX21" s="273"/>
      <c r="FY21" s="273"/>
      <c r="FZ21" s="273"/>
      <c r="GA21" s="273"/>
      <c r="GB21" s="273"/>
      <c r="GC21" s="273"/>
      <c r="GD21" s="273"/>
      <c r="GE21" s="273"/>
      <c r="GF21" s="273"/>
      <c r="GG21" s="273"/>
      <c r="GH21" s="273"/>
      <c r="GI21" s="273"/>
      <c r="GJ21" s="273"/>
      <c r="GK21" s="273"/>
      <c r="GL21" s="273"/>
      <c r="GM21" s="273"/>
      <c r="GN21" s="273"/>
      <c r="GO21" s="273"/>
      <c r="GP21" s="273"/>
      <c r="GQ21" s="273"/>
      <c r="GR21" s="273"/>
      <c r="GS21" s="273"/>
      <c r="GT21" s="273"/>
      <c r="GU21" s="273"/>
      <c r="GV21" s="273"/>
      <c r="GW21" s="273"/>
      <c r="GX21" s="273"/>
      <c r="GY21" s="273"/>
      <c r="GZ21" s="273"/>
      <c r="HA21" s="273"/>
      <c r="HB21" s="273"/>
      <c r="HC21" s="273"/>
      <c r="HD21" s="273"/>
      <c r="HE21" s="273"/>
      <c r="HF21" s="273"/>
      <c r="HG21" s="273"/>
      <c r="HH21" s="273"/>
      <c r="HI21" s="273"/>
      <c r="HJ21" s="273"/>
      <c r="HK21" s="273"/>
      <c r="HL21" s="273"/>
      <c r="HM21" s="273"/>
      <c r="HN21" s="273"/>
      <c r="HO21" s="273"/>
      <c r="HP21" s="273"/>
      <c r="HQ21" s="273"/>
      <c r="HR21" s="273"/>
      <c r="HS21" s="273"/>
      <c r="HT21" s="273"/>
      <c r="HU21" s="273"/>
      <c r="HV21" s="273"/>
      <c r="HW21" s="273"/>
      <c r="HX21" s="273"/>
      <c r="HY21" s="273"/>
      <c r="HZ21" s="273"/>
      <c r="IA21" s="273"/>
      <c r="IB21" s="273"/>
      <c r="IC21" s="273"/>
      <c r="ID21" s="273"/>
      <c r="IE21" s="273"/>
      <c r="IF21" s="273"/>
      <c r="IG21" s="273"/>
      <c r="IH21" s="273"/>
      <c r="II21" s="273"/>
      <c r="IJ21" s="273"/>
      <c r="IK21" s="273"/>
      <c r="IL21" s="273"/>
      <c r="IM21" s="273"/>
      <c r="IN21" s="273"/>
      <c r="IO21" s="273"/>
      <c r="IP21" s="273"/>
      <c r="IQ21" s="273"/>
      <c r="IR21" s="273"/>
      <c r="IS21" s="273"/>
      <c r="IT21" s="273"/>
      <c r="IU21" s="273"/>
      <c r="IV21" s="273"/>
      <c r="IW21" s="273"/>
      <c r="IX21" s="273"/>
      <c r="IY21" s="273"/>
      <c r="IZ21" s="273"/>
      <c r="JA21" s="273"/>
      <c r="JB21" s="273"/>
      <c r="JC21" s="273"/>
      <c r="JD21" s="273"/>
      <c r="JE21" s="273"/>
      <c r="JF21" s="273"/>
      <c r="JG21" s="273"/>
      <c r="JH21" s="273"/>
      <c r="JI21" s="273"/>
      <c r="JJ21" s="273"/>
      <c r="JK21" s="273"/>
      <c r="JL21" s="273"/>
      <c r="JM21" s="273"/>
      <c r="JN21" s="273"/>
      <c r="JO21" s="273"/>
      <c r="JP21" s="273"/>
      <c r="JQ21" s="273"/>
      <c r="JR21" s="273"/>
      <c r="JS21" s="273"/>
      <c r="JT21" s="273"/>
      <c r="JU21" s="273"/>
      <c r="JV21" s="273"/>
      <c r="JW21" s="273"/>
      <c r="JX21" s="273"/>
      <c r="JY21" s="273"/>
      <c r="JZ21" s="273"/>
      <c r="KA21" s="273"/>
      <c r="KB21" s="273"/>
      <c r="KC21" s="273"/>
      <c r="KD21" s="273"/>
      <c r="KE21" s="273"/>
      <c r="KF21" s="273"/>
      <c r="KG21" s="273"/>
      <c r="KH21" s="273"/>
      <c r="KI21" s="273"/>
      <c r="KJ21" s="273"/>
      <c r="KK21" s="273"/>
      <c r="KL21" s="273"/>
      <c r="KM21" s="273"/>
      <c r="KN21" s="273"/>
      <c r="KO21" s="273"/>
      <c r="KP21" s="273"/>
      <c r="KQ21" s="273"/>
      <c r="KR21" s="273"/>
      <c r="KS21" s="273"/>
      <c r="KT21" s="273"/>
      <c r="KU21" s="273"/>
      <c r="KV21" s="273"/>
      <c r="KW21" s="273"/>
      <c r="KX21" s="273"/>
      <c r="KY21" s="273"/>
      <c r="KZ21" s="273"/>
      <c r="LA21" s="273"/>
      <c r="LB21" s="273"/>
      <c r="LC21" s="273"/>
      <c r="LD21" s="273"/>
      <c r="LE21" s="273"/>
      <c r="LF21" s="273"/>
      <c r="LG21" s="273"/>
      <c r="LH21" s="273"/>
      <c r="LI21" s="273"/>
      <c r="LJ21" s="273"/>
      <c r="LK21" s="273"/>
      <c r="LL21" s="273"/>
      <c r="LM21" s="273"/>
      <c r="LN21" s="273"/>
      <c r="LO21" s="273"/>
      <c r="LP21" s="273"/>
      <c r="LQ21" s="273"/>
      <c r="LR21" s="273"/>
      <c r="LS21" s="273"/>
      <c r="LT21" s="273"/>
      <c r="LU21" s="273"/>
      <c r="LV21" s="273"/>
      <c r="LW21" s="273"/>
      <c r="LX21" s="273"/>
      <c r="LY21" s="273"/>
      <c r="LZ21" s="273"/>
      <c r="MA21" s="273"/>
      <c r="MB21" s="273"/>
      <c r="MC21" s="273"/>
      <c r="MD21" s="273"/>
      <c r="ME21" s="273"/>
      <c r="MF21" s="273"/>
      <c r="MG21" s="273"/>
      <c r="MH21" s="273"/>
      <c r="MI21" s="273"/>
      <c r="MJ21" s="273"/>
      <c r="MK21" s="273"/>
      <c r="ML21" s="273"/>
      <c r="MM21" s="273"/>
      <c r="MN21" s="273"/>
      <c r="MO21" s="273"/>
      <c r="MP21" s="273"/>
      <c r="MQ21" s="273"/>
      <c r="MR21" s="273"/>
      <c r="MS21" s="273"/>
      <c r="MT21" s="273"/>
      <c r="MU21" s="273"/>
      <c r="MV21" s="273"/>
      <c r="MW21" s="273"/>
      <c r="MX21" s="273"/>
      <c r="MY21" s="273"/>
      <c r="MZ21" s="273"/>
      <c r="NA21" s="273"/>
      <c r="NB21" s="273"/>
      <c r="NC21" s="273"/>
      <c r="ND21" s="273"/>
      <c r="NE21" s="274"/>
      <c r="NG21" s="1"/>
      <c r="NH21" s="1"/>
      <c r="NI21" s="1"/>
      <c r="NJ21" s="1"/>
      <c r="NK21" s="1"/>
    </row>
    <row r="22" spans="6:377" s="5" customFormat="1" ht="12.95" customHeight="1" thickBot="1">
      <c r="G22" s="25"/>
      <c r="H22" s="25"/>
      <c r="L22" s="379"/>
      <c r="M22" s="380"/>
      <c r="N22" s="382"/>
      <c r="O22" s="380"/>
      <c r="P22" s="382"/>
      <c r="Q22" s="387"/>
      <c r="R22" s="384"/>
      <c r="S22" s="263" t="s">
        <v>299</v>
      </c>
      <c r="T22" s="255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6"/>
      <c r="AH22" s="256"/>
      <c r="AI22" s="256"/>
      <c r="AJ22" s="256"/>
      <c r="AK22" s="256"/>
      <c r="AL22" s="256"/>
      <c r="AM22" s="262"/>
      <c r="AN22" s="256"/>
      <c r="AO22" s="256"/>
      <c r="AP22" s="256"/>
      <c r="AQ22" s="256"/>
      <c r="AR22" s="256"/>
      <c r="AS22" s="256"/>
      <c r="AT22" s="256"/>
      <c r="AU22" s="256"/>
      <c r="AV22" s="256"/>
      <c r="AW22" s="254" t="s">
        <v>298</v>
      </c>
      <c r="AX22" s="255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6"/>
      <c r="BK22" s="256"/>
      <c r="BL22" s="256"/>
      <c r="BM22" s="256"/>
      <c r="BN22" s="256"/>
      <c r="BO22" s="262"/>
      <c r="BP22" s="256"/>
      <c r="BQ22" s="256"/>
      <c r="BR22" s="256"/>
      <c r="BS22" s="256"/>
      <c r="BT22" s="256"/>
      <c r="BU22" s="256"/>
      <c r="BV22" s="256"/>
      <c r="BW22" s="256"/>
      <c r="BX22" s="256"/>
      <c r="BY22" s="256"/>
      <c r="BZ22" s="257"/>
      <c r="CA22" s="254" t="s">
        <v>103</v>
      </c>
      <c r="CB22" s="255"/>
      <c r="CC22" s="256"/>
      <c r="CD22" s="256"/>
      <c r="CE22" s="256"/>
      <c r="CF22" s="256"/>
      <c r="CG22" s="256"/>
      <c r="CH22" s="256"/>
      <c r="CI22" s="256"/>
      <c r="CJ22" s="256"/>
      <c r="CK22" s="256"/>
      <c r="CL22" s="256"/>
      <c r="CM22" s="256"/>
      <c r="CN22" s="256"/>
      <c r="CO22" s="256"/>
      <c r="CP22" s="256"/>
      <c r="CQ22" s="256"/>
      <c r="CR22" s="256"/>
      <c r="CS22" s="256"/>
      <c r="CT22" s="256"/>
      <c r="CU22" s="256"/>
      <c r="CV22" s="256"/>
      <c r="CW22" s="256"/>
      <c r="CX22" s="256"/>
      <c r="CY22" s="256"/>
      <c r="CZ22" s="256"/>
      <c r="DA22" s="256"/>
      <c r="DB22" s="256"/>
      <c r="DC22" s="256"/>
      <c r="DD22" s="257"/>
      <c r="DE22" s="254" t="s">
        <v>104</v>
      </c>
      <c r="DF22" s="255"/>
      <c r="DG22" s="256"/>
      <c r="DH22" s="256"/>
      <c r="DI22" s="256"/>
      <c r="DJ22" s="256"/>
      <c r="DK22" s="256"/>
      <c r="DL22" s="256"/>
      <c r="DM22" s="256"/>
      <c r="DN22" s="256"/>
      <c r="DO22" s="256"/>
      <c r="DP22" s="256"/>
      <c r="DQ22" s="256"/>
      <c r="DR22" s="256"/>
      <c r="DS22" s="256"/>
      <c r="DT22" s="256"/>
      <c r="DU22" s="256"/>
      <c r="DV22" s="256"/>
      <c r="DW22" s="256"/>
      <c r="DX22" s="256"/>
      <c r="DY22" s="256"/>
      <c r="DZ22" s="256"/>
      <c r="EA22" s="256"/>
      <c r="EB22" s="256"/>
      <c r="EC22" s="256"/>
      <c r="ED22" s="256"/>
      <c r="EE22" s="256"/>
      <c r="EF22" s="256"/>
      <c r="EG22" s="256"/>
      <c r="EH22" s="257"/>
      <c r="EI22" s="254" t="s">
        <v>105</v>
      </c>
      <c r="EJ22" s="255"/>
      <c r="EK22" s="256"/>
      <c r="EL22" s="256"/>
      <c r="EM22" s="256"/>
      <c r="EN22" s="256"/>
      <c r="EO22" s="256"/>
      <c r="EP22" s="256"/>
      <c r="EQ22" s="256"/>
      <c r="ER22" s="256"/>
      <c r="ES22" s="256"/>
      <c r="ET22" s="256"/>
      <c r="EU22" s="256"/>
      <c r="EV22" s="256"/>
      <c r="EW22" s="256"/>
      <c r="EX22" s="256"/>
      <c r="EY22" s="256"/>
      <c r="EZ22" s="256"/>
      <c r="FA22" s="256"/>
      <c r="FB22" s="256"/>
      <c r="FC22" s="256"/>
      <c r="FD22" s="256"/>
      <c r="FE22" s="256"/>
      <c r="FF22" s="256"/>
      <c r="FG22" s="256"/>
      <c r="FH22" s="256"/>
      <c r="FI22" s="256"/>
      <c r="FJ22" s="256"/>
      <c r="FK22" s="256"/>
      <c r="FL22" s="257"/>
      <c r="FM22" s="246" t="s">
        <v>106</v>
      </c>
      <c r="FN22" s="247"/>
      <c r="FO22" s="248"/>
      <c r="FP22" s="248"/>
      <c r="FQ22" s="248"/>
      <c r="FR22" s="248"/>
      <c r="FS22" s="248"/>
      <c r="FT22" s="248"/>
      <c r="FU22" s="248"/>
      <c r="FV22" s="248"/>
      <c r="FW22" s="248"/>
      <c r="FX22" s="248"/>
      <c r="FY22" s="248"/>
      <c r="FZ22" s="248"/>
      <c r="GA22" s="248"/>
      <c r="GB22" s="248"/>
      <c r="GC22" s="248"/>
      <c r="GD22" s="248"/>
      <c r="GE22" s="248"/>
      <c r="GF22" s="248"/>
      <c r="GG22" s="248"/>
      <c r="GH22" s="248"/>
      <c r="GI22" s="248"/>
      <c r="GJ22" s="248"/>
      <c r="GK22" s="248"/>
      <c r="GL22" s="248"/>
      <c r="GM22" s="248"/>
      <c r="GN22" s="248"/>
      <c r="GO22" s="248"/>
      <c r="GP22" s="249"/>
      <c r="GQ22" s="246" t="s">
        <v>107</v>
      </c>
      <c r="GR22" s="247"/>
      <c r="GS22" s="248"/>
      <c r="GT22" s="248"/>
      <c r="GU22" s="248"/>
      <c r="GV22" s="248"/>
      <c r="GW22" s="248"/>
      <c r="GX22" s="248"/>
      <c r="GY22" s="248"/>
      <c r="GZ22" s="248"/>
      <c r="HA22" s="248"/>
      <c r="HB22" s="248"/>
      <c r="HC22" s="248"/>
      <c r="HD22" s="248"/>
      <c r="HE22" s="248"/>
      <c r="HF22" s="248"/>
      <c r="HG22" s="248"/>
      <c r="HH22" s="248"/>
      <c r="HI22" s="248"/>
      <c r="HJ22" s="248"/>
      <c r="HK22" s="248"/>
      <c r="HL22" s="248"/>
      <c r="HM22" s="248"/>
      <c r="HN22" s="248"/>
      <c r="HO22" s="248"/>
      <c r="HP22" s="248"/>
      <c r="HQ22" s="248"/>
      <c r="HR22" s="248"/>
      <c r="HS22" s="248"/>
      <c r="HT22" s="249"/>
      <c r="HU22" s="246" t="s">
        <v>108</v>
      </c>
      <c r="HV22" s="247"/>
      <c r="HW22" s="248"/>
      <c r="HX22" s="248"/>
      <c r="HY22" s="248"/>
      <c r="HZ22" s="248"/>
      <c r="IA22" s="248"/>
      <c r="IB22" s="248"/>
      <c r="IC22" s="248"/>
      <c r="ID22" s="248"/>
      <c r="IE22" s="248"/>
      <c r="IF22" s="248"/>
      <c r="IG22" s="248"/>
      <c r="IH22" s="248"/>
      <c r="II22" s="248"/>
      <c r="IJ22" s="248"/>
      <c r="IK22" s="248"/>
      <c r="IL22" s="248"/>
      <c r="IM22" s="248"/>
      <c r="IN22" s="248"/>
      <c r="IO22" s="248"/>
      <c r="IP22" s="248"/>
      <c r="IQ22" s="248"/>
      <c r="IR22" s="248"/>
      <c r="IS22" s="248"/>
      <c r="IT22" s="248"/>
      <c r="IU22" s="248"/>
      <c r="IV22" s="248"/>
      <c r="IW22" s="248"/>
      <c r="IX22" s="249"/>
      <c r="IY22" s="246" t="s">
        <v>109</v>
      </c>
      <c r="IZ22" s="247"/>
      <c r="JA22" s="248"/>
      <c r="JB22" s="248"/>
      <c r="JC22" s="248"/>
      <c r="JD22" s="248"/>
      <c r="JE22" s="248"/>
      <c r="JF22" s="248"/>
      <c r="JG22" s="248"/>
      <c r="JH22" s="248"/>
      <c r="JI22" s="248"/>
      <c r="JJ22" s="248"/>
      <c r="JK22" s="248"/>
      <c r="JL22" s="248"/>
      <c r="JM22" s="248"/>
      <c r="JN22" s="248"/>
      <c r="JO22" s="248"/>
      <c r="JP22" s="248"/>
      <c r="JQ22" s="248"/>
      <c r="JR22" s="248"/>
      <c r="JS22" s="248"/>
      <c r="JT22" s="248"/>
      <c r="JU22" s="248"/>
      <c r="JV22" s="248"/>
      <c r="JW22" s="248"/>
      <c r="JX22" s="248"/>
      <c r="JY22" s="248"/>
      <c r="JZ22" s="248"/>
      <c r="KA22" s="248"/>
      <c r="KB22" s="249"/>
      <c r="KC22" s="245" t="s">
        <v>110</v>
      </c>
      <c r="KD22" s="243"/>
      <c r="KE22" s="244"/>
      <c r="KF22" s="245" t="s">
        <v>111</v>
      </c>
      <c r="KG22" s="243"/>
      <c r="KH22" s="244"/>
      <c r="KI22" s="245" t="s">
        <v>112</v>
      </c>
      <c r="KJ22" s="243"/>
      <c r="KK22" s="244"/>
      <c r="KL22" s="245" t="s">
        <v>113</v>
      </c>
      <c r="KM22" s="243"/>
      <c r="KN22" s="244"/>
      <c r="KO22" s="245" t="s">
        <v>114</v>
      </c>
      <c r="KP22" s="243"/>
      <c r="KQ22" s="244"/>
      <c r="KR22" s="245" t="s">
        <v>115</v>
      </c>
      <c r="KS22" s="243"/>
      <c r="KT22" s="244"/>
      <c r="KU22" s="245" t="s">
        <v>116</v>
      </c>
      <c r="KV22" s="243"/>
      <c r="KW22" s="244"/>
      <c r="KX22" s="245" t="s">
        <v>117</v>
      </c>
      <c r="KY22" s="243"/>
      <c r="KZ22" s="261"/>
      <c r="LA22" s="245" t="s">
        <v>118</v>
      </c>
      <c r="LB22" s="243"/>
      <c r="LC22" s="244"/>
      <c r="LD22" s="242" t="s">
        <v>119</v>
      </c>
      <c r="LE22" s="243"/>
      <c r="LF22" s="244"/>
      <c r="LG22" s="245" t="s">
        <v>120</v>
      </c>
      <c r="LH22" s="243"/>
      <c r="LI22" s="244"/>
      <c r="LJ22" s="245" t="s">
        <v>121</v>
      </c>
      <c r="LK22" s="243"/>
      <c r="LL22" s="244"/>
      <c r="LM22" s="245" t="s">
        <v>122</v>
      </c>
      <c r="LN22" s="243"/>
      <c r="LO22" s="244"/>
      <c r="LP22" s="245" t="s">
        <v>123</v>
      </c>
      <c r="LQ22" s="243"/>
      <c r="LR22" s="244"/>
      <c r="LS22" s="245" t="s">
        <v>124</v>
      </c>
      <c r="LT22" s="243"/>
      <c r="LU22" s="244"/>
      <c r="LV22" s="245" t="s">
        <v>125</v>
      </c>
      <c r="LW22" s="243"/>
      <c r="LX22" s="244"/>
      <c r="LY22" s="245" t="s">
        <v>126</v>
      </c>
      <c r="LZ22" s="243"/>
      <c r="MA22" s="244"/>
      <c r="MB22" s="245" t="s">
        <v>127</v>
      </c>
      <c r="MC22" s="243"/>
      <c r="MD22" s="244"/>
      <c r="ME22" s="245" t="s">
        <v>128</v>
      </c>
      <c r="MF22" s="243"/>
      <c r="MG22" s="244"/>
      <c r="MH22" s="245" t="s">
        <v>129</v>
      </c>
      <c r="MI22" s="243"/>
      <c r="MJ22" s="244"/>
      <c r="MK22" s="245" t="s">
        <v>130</v>
      </c>
      <c r="ML22" s="243"/>
      <c r="MM22" s="244"/>
      <c r="MN22" s="245" t="s">
        <v>131</v>
      </c>
      <c r="MO22" s="243"/>
      <c r="MP22" s="244"/>
      <c r="MQ22" s="245" t="s">
        <v>283</v>
      </c>
      <c r="MR22" s="243"/>
      <c r="MS22" s="244"/>
      <c r="MT22" s="245" t="s">
        <v>284</v>
      </c>
      <c r="MU22" s="243"/>
      <c r="MV22" s="244"/>
      <c r="MW22" s="245" t="s">
        <v>285</v>
      </c>
      <c r="MX22" s="243"/>
      <c r="MY22" s="244"/>
      <c r="MZ22" s="245" t="s">
        <v>286</v>
      </c>
      <c r="NA22" s="243"/>
      <c r="NB22" s="244"/>
      <c r="NC22" s="245" t="s">
        <v>287</v>
      </c>
      <c r="ND22" s="243"/>
      <c r="NE22" s="264"/>
      <c r="NG22" s="1"/>
      <c r="NH22" s="1"/>
      <c r="NI22" s="1"/>
      <c r="NJ22" s="1"/>
      <c r="NK22" s="1"/>
      <c r="NL22" s="407"/>
      <c r="NM22" s="407"/>
    </row>
    <row r="23" spans="6:377" s="5" customFormat="1" ht="12.95" customHeight="1" thickBot="1">
      <c r="G23" s="25"/>
      <c r="H23" s="25"/>
      <c r="L23" s="379"/>
      <c r="M23" s="380"/>
      <c r="N23" s="382"/>
      <c r="O23" s="380"/>
      <c r="P23" s="382"/>
      <c r="Q23" s="387"/>
      <c r="R23" s="385"/>
      <c r="S23" s="193">
        <v>46034</v>
      </c>
      <c r="T23" s="184">
        <v>46035</v>
      </c>
      <c r="U23" s="136">
        <f t="shared" ref="U23" si="0">T23+1</f>
        <v>46036</v>
      </c>
      <c r="V23" s="136">
        <f t="shared" ref="V23" si="1">U23+1</f>
        <v>46037</v>
      </c>
      <c r="W23" s="136">
        <f t="shared" ref="W23" si="2">V23+1</f>
        <v>46038</v>
      </c>
      <c r="X23" s="136">
        <f t="shared" ref="X23" si="3">W23+1</f>
        <v>46039</v>
      </c>
      <c r="Y23" s="136">
        <f t="shared" ref="Y23" si="4">X23+1</f>
        <v>46040</v>
      </c>
      <c r="Z23" s="136">
        <f t="shared" ref="Z23" si="5">Y23+1</f>
        <v>46041</v>
      </c>
      <c r="AA23" s="136">
        <f t="shared" ref="AA23" si="6">Z23+1</f>
        <v>46042</v>
      </c>
      <c r="AB23" s="136">
        <f t="shared" ref="AB23" si="7">AA23+1</f>
        <v>46043</v>
      </c>
      <c r="AC23" s="136">
        <f t="shared" ref="AC23" si="8">AB23+1</f>
        <v>46044</v>
      </c>
      <c r="AD23" s="136">
        <f t="shared" ref="AD23" si="9">AC23+1</f>
        <v>46045</v>
      </c>
      <c r="AE23" s="136">
        <f t="shared" ref="AE23" si="10">AD23+1</f>
        <v>46046</v>
      </c>
      <c r="AF23" s="136">
        <f t="shared" ref="AF23" si="11">AE23+1</f>
        <v>46047</v>
      </c>
      <c r="AG23" s="136">
        <f t="shared" ref="AG23" si="12">AF23+1</f>
        <v>46048</v>
      </c>
      <c r="AH23" s="136">
        <f t="shared" ref="AH23" si="13">AG23+1</f>
        <v>46049</v>
      </c>
      <c r="AI23" s="136">
        <f t="shared" ref="AI23" si="14">AH23+1</f>
        <v>46050</v>
      </c>
      <c r="AJ23" s="136">
        <f t="shared" ref="AJ23" si="15">AI23+1</f>
        <v>46051</v>
      </c>
      <c r="AK23" s="136">
        <f t="shared" ref="AK23" si="16">AJ23+1</f>
        <v>46052</v>
      </c>
      <c r="AL23" s="136">
        <f t="shared" ref="AL23" si="17">AK23+1</f>
        <v>46053</v>
      </c>
      <c r="AM23" s="193">
        <v>46054</v>
      </c>
      <c r="AN23" s="184">
        <f t="shared" ref="AN23" si="18">AM23+1</f>
        <v>46055</v>
      </c>
      <c r="AO23" s="136">
        <f t="shared" ref="AO23" si="19">AN23+1</f>
        <v>46056</v>
      </c>
      <c r="AP23" s="136">
        <f t="shared" ref="AP23" si="20">AO23+1</f>
        <v>46057</v>
      </c>
      <c r="AQ23" s="136">
        <f t="shared" ref="AQ23" si="21">AP23+1</f>
        <v>46058</v>
      </c>
      <c r="AR23" s="136">
        <f t="shared" ref="AR23" si="22">AQ23+1</f>
        <v>46059</v>
      </c>
      <c r="AS23" s="136">
        <f t="shared" ref="AS23" si="23">AR23+1</f>
        <v>46060</v>
      </c>
      <c r="AT23" s="136">
        <f t="shared" ref="AT23" si="24">AS23+1</f>
        <v>46061</v>
      </c>
      <c r="AU23" s="136">
        <f t="shared" ref="AU23:AV23" si="25">AT23+1</f>
        <v>46062</v>
      </c>
      <c r="AV23" s="136">
        <f t="shared" si="25"/>
        <v>46063</v>
      </c>
      <c r="AW23" s="174">
        <f t="shared" ref="AW23" si="26">AV23+1</f>
        <v>46064</v>
      </c>
      <c r="AX23" s="175">
        <f t="shared" ref="AX23" si="27">AW23+1</f>
        <v>46065</v>
      </c>
      <c r="AY23" s="175">
        <f t="shared" ref="AY23" si="28">AX23+1</f>
        <v>46066</v>
      </c>
      <c r="AZ23" s="175">
        <f t="shared" ref="AZ23" si="29">AY23+1</f>
        <v>46067</v>
      </c>
      <c r="BA23" s="175">
        <f t="shared" ref="BA23" si="30">AZ23+1</f>
        <v>46068</v>
      </c>
      <c r="BB23" s="175">
        <f t="shared" ref="BB23" si="31">BA23+1</f>
        <v>46069</v>
      </c>
      <c r="BC23" s="175">
        <f t="shared" ref="BC23" si="32">BB23+1</f>
        <v>46070</v>
      </c>
      <c r="BD23" s="175">
        <f t="shared" ref="BD23" si="33">BC23+1</f>
        <v>46071</v>
      </c>
      <c r="BE23" s="175">
        <f t="shared" ref="BE23" si="34">BD23+1</f>
        <v>46072</v>
      </c>
      <c r="BF23" s="175">
        <f t="shared" ref="BF23" si="35">BE23+1</f>
        <v>46073</v>
      </c>
      <c r="BG23" s="175">
        <f t="shared" ref="BG23" si="36">BF23+1</f>
        <v>46074</v>
      </c>
      <c r="BH23" s="175">
        <f t="shared" ref="BH23" si="37">BG23+1</f>
        <v>46075</v>
      </c>
      <c r="BI23" s="175">
        <f t="shared" ref="BI23" si="38">BH23+1</f>
        <v>46076</v>
      </c>
      <c r="BJ23" s="175">
        <f t="shared" ref="BJ23" si="39">BI23+1</f>
        <v>46077</v>
      </c>
      <c r="BK23" s="175">
        <f t="shared" ref="BK23" si="40">BJ23+1</f>
        <v>46078</v>
      </c>
      <c r="BL23" s="175">
        <f t="shared" ref="BL23" si="41">BK23+1</f>
        <v>46079</v>
      </c>
      <c r="BM23" s="175">
        <f t="shared" ref="BM23" si="42">BL23+1</f>
        <v>46080</v>
      </c>
      <c r="BN23" s="175">
        <f t="shared" ref="BN23" si="43">BM23+1</f>
        <v>46081</v>
      </c>
      <c r="BO23" s="193">
        <v>46082</v>
      </c>
      <c r="BP23" s="183">
        <f t="shared" ref="BP23" si="44">BO23+1</f>
        <v>46083</v>
      </c>
      <c r="BQ23" s="175">
        <f t="shared" ref="BQ23" si="45">BP23+1</f>
        <v>46084</v>
      </c>
      <c r="BR23" s="175">
        <f t="shared" ref="BR23" si="46">BQ23+1</f>
        <v>46085</v>
      </c>
      <c r="BS23" s="175">
        <f t="shared" ref="BS23" si="47">BR23+1</f>
        <v>46086</v>
      </c>
      <c r="BT23" s="175">
        <f t="shared" ref="BT23" si="48">BS23+1</f>
        <v>46087</v>
      </c>
      <c r="BU23" s="175">
        <f t="shared" ref="BU23" si="49">BT23+1</f>
        <v>46088</v>
      </c>
      <c r="BV23" s="175">
        <f t="shared" ref="BV23" si="50">BU23+1</f>
        <v>46089</v>
      </c>
      <c r="BW23" s="175">
        <f t="shared" ref="BW23" si="51">BV23+1</f>
        <v>46090</v>
      </c>
      <c r="BX23" s="175">
        <f t="shared" ref="BX23" si="52">BW23+1</f>
        <v>46091</v>
      </c>
      <c r="BY23" s="175">
        <f t="shared" ref="BY23" si="53">BX23+1</f>
        <v>46092</v>
      </c>
      <c r="BZ23" s="175">
        <f t="shared" ref="BZ23" si="54">BY23+1</f>
        <v>46093</v>
      </c>
      <c r="CA23" s="175">
        <f t="shared" ref="CA23" si="55">BZ23+1</f>
        <v>46094</v>
      </c>
      <c r="CB23" s="175">
        <f t="shared" ref="CB23" si="56">CA23+1</f>
        <v>46095</v>
      </c>
      <c r="CC23" s="175">
        <f t="shared" ref="CC23" si="57">CB23+1</f>
        <v>46096</v>
      </c>
      <c r="CD23" s="175">
        <f t="shared" ref="CD23" si="58">CC23+1</f>
        <v>46097</v>
      </c>
      <c r="CE23" s="175">
        <f t="shared" ref="CE23" si="59">CD23+1</f>
        <v>46098</v>
      </c>
      <c r="CF23" s="175">
        <f t="shared" ref="CF23" si="60">CE23+1</f>
        <v>46099</v>
      </c>
      <c r="CG23" s="175">
        <f t="shared" ref="CG23" si="61">CF23+1</f>
        <v>46100</v>
      </c>
      <c r="CH23" s="175">
        <f t="shared" ref="CH23" si="62">CG23+1</f>
        <v>46101</v>
      </c>
      <c r="CI23" s="175">
        <f t="shared" ref="CI23" si="63">CH23+1</f>
        <v>46102</v>
      </c>
      <c r="CJ23" s="175">
        <f t="shared" ref="CJ23" si="64">CI23+1</f>
        <v>46103</v>
      </c>
      <c r="CK23" s="175">
        <f t="shared" ref="CK23" si="65">CJ23+1</f>
        <v>46104</v>
      </c>
      <c r="CL23" s="175">
        <f t="shared" ref="CL23" si="66">CK23+1</f>
        <v>46105</v>
      </c>
      <c r="CM23" s="175">
        <f t="shared" ref="CM23" si="67">CL23+1</f>
        <v>46106</v>
      </c>
      <c r="CN23" s="175">
        <f t="shared" ref="CN23" si="68">CM23+1</f>
        <v>46107</v>
      </c>
      <c r="CO23" s="175">
        <f t="shared" ref="CO23" si="69">CN23+1</f>
        <v>46108</v>
      </c>
      <c r="CP23" s="175">
        <f t="shared" ref="CP23" si="70">CO23+1</f>
        <v>46109</v>
      </c>
      <c r="CQ23" s="175">
        <f t="shared" ref="CQ23" si="71">CP23+1</f>
        <v>46110</v>
      </c>
      <c r="CR23" s="175">
        <f t="shared" ref="CR23" si="72">CQ23+1</f>
        <v>46111</v>
      </c>
      <c r="CS23" s="175">
        <f t="shared" ref="CS23" si="73">CR23+1</f>
        <v>46112</v>
      </c>
      <c r="CT23" s="193">
        <v>46113</v>
      </c>
      <c r="CU23" s="175">
        <f t="shared" ref="CU23" si="74">CT23+1</f>
        <v>46114</v>
      </c>
      <c r="CV23" s="175">
        <f t="shared" ref="CV23" si="75">CU23+1</f>
        <v>46115</v>
      </c>
      <c r="CW23" s="175">
        <f t="shared" ref="CW23" si="76">CV23+1</f>
        <v>46116</v>
      </c>
      <c r="CX23" s="175">
        <f t="shared" ref="CX23" si="77">CW23+1</f>
        <v>46117</v>
      </c>
      <c r="CY23" s="175">
        <f t="shared" ref="CY23" si="78">CX23+1</f>
        <v>46118</v>
      </c>
      <c r="CZ23" s="175">
        <f t="shared" ref="CZ23" si="79">CY23+1</f>
        <v>46119</v>
      </c>
      <c r="DA23" s="175">
        <f t="shared" ref="DA23" si="80">CZ23+1</f>
        <v>46120</v>
      </c>
      <c r="DB23" s="175">
        <f t="shared" ref="DB23" si="81">DA23+1</f>
        <v>46121</v>
      </c>
      <c r="DC23" s="175">
        <f t="shared" ref="DC23" si="82">DB23+1</f>
        <v>46122</v>
      </c>
      <c r="DD23" s="175">
        <f t="shared" ref="DD23" si="83">DC23+1</f>
        <v>46123</v>
      </c>
      <c r="DE23" s="175">
        <f t="shared" ref="DE23" si="84">DD23+1</f>
        <v>46124</v>
      </c>
      <c r="DF23" s="175">
        <f t="shared" ref="DF23" si="85">DE23+1</f>
        <v>46125</v>
      </c>
      <c r="DG23" s="175">
        <f t="shared" ref="DG23" si="86">DF23+1</f>
        <v>46126</v>
      </c>
      <c r="DH23" s="175">
        <f t="shared" ref="DH23" si="87">DG23+1</f>
        <v>46127</v>
      </c>
      <c r="DI23" s="175">
        <f t="shared" ref="DI23" si="88">DH23+1</f>
        <v>46128</v>
      </c>
      <c r="DJ23" s="175">
        <f t="shared" ref="DJ23" si="89">DI23+1</f>
        <v>46129</v>
      </c>
      <c r="DK23" s="175">
        <f t="shared" ref="DK23" si="90">DJ23+1</f>
        <v>46130</v>
      </c>
      <c r="DL23" s="175">
        <f t="shared" ref="DL23" si="91">DK23+1</f>
        <v>46131</v>
      </c>
      <c r="DM23" s="175">
        <f t="shared" ref="DM23" si="92">DL23+1</f>
        <v>46132</v>
      </c>
      <c r="DN23" s="175">
        <f t="shared" ref="DN23" si="93">DM23+1</f>
        <v>46133</v>
      </c>
      <c r="DO23" s="175">
        <f t="shared" ref="DO23" si="94">DN23+1</f>
        <v>46134</v>
      </c>
      <c r="DP23" s="175">
        <f t="shared" ref="DP23" si="95">DO23+1</f>
        <v>46135</v>
      </c>
      <c r="DQ23" s="175">
        <f t="shared" ref="DQ23" si="96">DP23+1</f>
        <v>46136</v>
      </c>
      <c r="DR23" s="175">
        <f t="shared" ref="DR23" si="97">DQ23+1</f>
        <v>46137</v>
      </c>
      <c r="DS23" s="175">
        <f t="shared" ref="DS23" si="98">DR23+1</f>
        <v>46138</v>
      </c>
      <c r="DT23" s="175">
        <f t="shared" ref="DT23" si="99">DS23+1</f>
        <v>46139</v>
      </c>
      <c r="DU23" s="175">
        <f t="shared" ref="DU23" si="100">DT23+1</f>
        <v>46140</v>
      </c>
      <c r="DV23" s="175">
        <f t="shared" ref="DV23" si="101">DU23+1</f>
        <v>46141</v>
      </c>
      <c r="DW23" s="175">
        <f t="shared" ref="DW23" si="102">DV23+1</f>
        <v>46142</v>
      </c>
      <c r="DX23" s="193">
        <v>46143</v>
      </c>
      <c r="DY23" s="175">
        <f t="shared" ref="DY23" si="103">DX23+1</f>
        <v>46144</v>
      </c>
      <c r="DZ23" s="175">
        <f t="shared" ref="DZ23" si="104">DY23+1</f>
        <v>46145</v>
      </c>
      <c r="EA23" s="175">
        <f t="shared" ref="EA23" si="105">DZ23+1</f>
        <v>46146</v>
      </c>
      <c r="EB23" s="175">
        <f t="shared" ref="EB23" si="106">EA23+1</f>
        <v>46147</v>
      </c>
      <c r="EC23" s="175">
        <f t="shared" ref="EC23" si="107">EB23+1</f>
        <v>46148</v>
      </c>
      <c r="ED23" s="175">
        <f t="shared" ref="ED23" si="108">EC23+1</f>
        <v>46149</v>
      </c>
      <c r="EE23" s="175">
        <f t="shared" ref="EE23" si="109">ED23+1</f>
        <v>46150</v>
      </c>
      <c r="EF23" s="175">
        <f t="shared" ref="EF23" si="110">EE23+1</f>
        <v>46151</v>
      </c>
      <c r="EG23" s="175">
        <f t="shared" ref="EG23" si="111">EF23+1</f>
        <v>46152</v>
      </c>
      <c r="EH23" s="175">
        <f t="shared" ref="EH23" si="112">EG23+1</f>
        <v>46153</v>
      </c>
      <c r="EI23" s="175">
        <f t="shared" ref="EI23" si="113">EH23+1</f>
        <v>46154</v>
      </c>
      <c r="EJ23" s="175">
        <f t="shared" ref="EJ23" si="114">EI23+1</f>
        <v>46155</v>
      </c>
      <c r="EK23" s="175">
        <f t="shared" ref="EK23" si="115">EJ23+1</f>
        <v>46156</v>
      </c>
      <c r="EL23" s="175">
        <f t="shared" ref="EL23" si="116">EK23+1</f>
        <v>46157</v>
      </c>
      <c r="EM23" s="175">
        <f t="shared" ref="EM23" si="117">EL23+1</f>
        <v>46158</v>
      </c>
      <c r="EN23" s="175">
        <f t="shared" ref="EN23" si="118">EM23+1</f>
        <v>46159</v>
      </c>
      <c r="EO23" s="175">
        <f t="shared" ref="EO23" si="119">EN23+1</f>
        <v>46160</v>
      </c>
      <c r="EP23" s="175">
        <f t="shared" ref="EP23" si="120">EO23+1</f>
        <v>46161</v>
      </c>
      <c r="EQ23" s="175">
        <f t="shared" ref="EQ23" si="121">EP23+1</f>
        <v>46162</v>
      </c>
      <c r="ER23" s="175">
        <f t="shared" ref="ER23" si="122">EQ23+1</f>
        <v>46163</v>
      </c>
      <c r="ES23" s="175">
        <f t="shared" ref="ES23" si="123">ER23+1</f>
        <v>46164</v>
      </c>
      <c r="ET23" s="175">
        <f t="shared" ref="ET23" si="124">ES23+1</f>
        <v>46165</v>
      </c>
      <c r="EU23" s="175">
        <f t="shared" ref="EU23" si="125">ET23+1</f>
        <v>46166</v>
      </c>
      <c r="EV23" s="175">
        <f t="shared" ref="EV23" si="126">EU23+1</f>
        <v>46167</v>
      </c>
      <c r="EW23" s="175">
        <f t="shared" ref="EW23" si="127">EV23+1</f>
        <v>46168</v>
      </c>
      <c r="EX23" s="175">
        <f t="shared" ref="EX23" si="128">EW23+1</f>
        <v>46169</v>
      </c>
      <c r="EY23" s="175">
        <f t="shared" ref="EY23" si="129">EX23+1</f>
        <v>46170</v>
      </c>
      <c r="EZ23" s="175">
        <f t="shared" ref="EZ23" si="130">EY23+1</f>
        <v>46171</v>
      </c>
      <c r="FA23" s="175">
        <f t="shared" ref="FA23" si="131">EZ23+1</f>
        <v>46172</v>
      </c>
      <c r="FB23" s="175">
        <f t="shared" ref="FB23" si="132">FA23+1</f>
        <v>46173</v>
      </c>
      <c r="FC23" s="193">
        <v>46174</v>
      </c>
      <c r="FD23" s="175">
        <f t="shared" ref="FD23" si="133">FC23+1</f>
        <v>46175</v>
      </c>
      <c r="FE23" s="175">
        <f t="shared" ref="FE23" si="134">FD23+1</f>
        <v>46176</v>
      </c>
      <c r="FF23" s="175">
        <f t="shared" ref="FF23" si="135">FE23+1</f>
        <v>46177</v>
      </c>
      <c r="FG23" s="175">
        <f t="shared" ref="FG23" si="136">FF23+1</f>
        <v>46178</v>
      </c>
      <c r="FH23" s="175">
        <f t="shared" ref="FH23" si="137">FG23+1</f>
        <v>46179</v>
      </c>
      <c r="FI23" s="175">
        <f t="shared" ref="FI23" si="138">FH23+1</f>
        <v>46180</v>
      </c>
      <c r="FJ23" s="175">
        <f t="shared" ref="FJ23" si="139">FI23+1</f>
        <v>46181</v>
      </c>
      <c r="FK23" s="175">
        <f t="shared" ref="FK23" si="140">FJ23+1</f>
        <v>46182</v>
      </c>
      <c r="FL23" s="175">
        <f t="shared" ref="FL23" si="141">FK23+1</f>
        <v>46183</v>
      </c>
      <c r="FM23" s="175">
        <f t="shared" ref="FM23" si="142">FL23+1</f>
        <v>46184</v>
      </c>
      <c r="FN23" s="175">
        <f t="shared" ref="FN23" si="143">FM23+1</f>
        <v>46185</v>
      </c>
      <c r="FO23" s="175">
        <f t="shared" ref="FO23" si="144">FN23+1</f>
        <v>46186</v>
      </c>
      <c r="FP23" s="175">
        <f t="shared" ref="FP23" si="145">FO23+1</f>
        <v>46187</v>
      </c>
      <c r="FQ23" s="175">
        <f t="shared" ref="FQ23" si="146">FP23+1</f>
        <v>46188</v>
      </c>
      <c r="FR23" s="175">
        <f t="shared" ref="FR23" si="147">FQ23+1</f>
        <v>46189</v>
      </c>
      <c r="FS23" s="175">
        <f t="shared" ref="FS23" si="148">FR23+1</f>
        <v>46190</v>
      </c>
      <c r="FT23" s="175">
        <f t="shared" ref="FT23" si="149">FS23+1</f>
        <v>46191</v>
      </c>
      <c r="FU23" s="175">
        <f t="shared" ref="FU23" si="150">FT23+1</f>
        <v>46192</v>
      </c>
      <c r="FV23" s="175">
        <f t="shared" ref="FV23" si="151">FU23+1</f>
        <v>46193</v>
      </c>
      <c r="FW23" s="175">
        <f t="shared" ref="FW23" si="152">FV23+1</f>
        <v>46194</v>
      </c>
      <c r="FX23" s="175">
        <f t="shared" ref="FX23" si="153">FW23+1</f>
        <v>46195</v>
      </c>
      <c r="FY23" s="175">
        <f t="shared" ref="FY23" si="154">FX23+1</f>
        <v>46196</v>
      </c>
      <c r="FZ23" s="175">
        <f t="shared" ref="FZ23" si="155">FY23+1</f>
        <v>46197</v>
      </c>
      <c r="GA23" s="175">
        <f t="shared" ref="GA23" si="156">FZ23+1</f>
        <v>46198</v>
      </c>
      <c r="GB23" s="175">
        <f t="shared" ref="GB23" si="157">GA23+1</f>
        <v>46199</v>
      </c>
      <c r="GC23" s="175">
        <f t="shared" ref="GC23" si="158">GB23+1</f>
        <v>46200</v>
      </c>
      <c r="GD23" s="175">
        <f t="shared" ref="GD23" si="159">GC23+1</f>
        <v>46201</v>
      </c>
      <c r="GE23" s="175">
        <f t="shared" ref="GE23" si="160">GD23+1</f>
        <v>46202</v>
      </c>
      <c r="GF23" s="175">
        <f t="shared" ref="GF23" si="161">GE23+1</f>
        <v>46203</v>
      </c>
      <c r="GG23" s="193">
        <v>46204</v>
      </c>
      <c r="GH23" s="175">
        <f t="shared" ref="GH23" si="162">GG23+1</f>
        <v>46205</v>
      </c>
      <c r="GI23" s="175">
        <f t="shared" ref="GI23" si="163">GH23+1</f>
        <v>46206</v>
      </c>
      <c r="GJ23" s="175">
        <f t="shared" ref="GJ23" si="164">GI23+1</f>
        <v>46207</v>
      </c>
      <c r="GK23" s="175">
        <f t="shared" ref="GK23" si="165">GJ23+1</f>
        <v>46208</v>
      </c>
      <c r="GL23" s="175">
        <f t="shared" ref="GL23" si="166">GK23+1</f>
        <v>46209</v>
      </c>
      <c r="GM23" s="175">
        <f t="shared" ref="GM23" si="167">GL23+1</f>
        <v>46210</v>
      </c>
      <c r="GN23" s="175">
        <f t="shared" ref="GN23" si="168">GM23+1</f>
        <v>46211</v>
      </c>
      <c r="GO23" s="175">
        <f t="shared" ref="GO23" si="169">GN23+1</f>
        <v>46212</v>
      </c>
      <c r="GP23" s="175">
        <f t="shared" ref="GP23" si="170">GO23+1</f>
        <v>46213</v>
      </c>
      <c r="GQ23" s="175">
        <f t="shared" ref="GQ23" si="171">GP23+1</f>
        <v>46214</v>
      </c>
      <c r="GR23" s="175">
        <f t="shared" ref="GR23" si="172">GQ23+1</f>
        <v>46215</v>
      </c>
      <c r="GS23" s="175">
        <f t="shared" ref="GS23" si="173">GR23+1</f>
        <v>46216</v>
      </c>
      <c r="GT23" s="175">
        <f t="shared" ref="GT23" si="174">GS23+1</f>
        <v>46217</v>
      </c>
      <c r="GU23" s="175">
        <f t="shared" ref="GU23" si="175">GT23+1</f>
        <v>46218</v>
      </c>
      <c r="GV23" s="175">
        <f t="shared" ref="GV23" si="176">GU23+1</f>
        <v>46219</v>
      </c>
      <c r="GW23" s="175">
        <f t="shared" ref="GW23" si="177">GV23+1</f>
        <v>46220</v>
      </c>
      <c r="GX23" s="175">
        <f t="shared" ref="GX23" si="178">GW23+1</f>
        <v>46221</v>
      </c>
      <c r="GY23" s="175">
        <f t="shared" ref="GY23" si="179">GX23+1</f>
        <v>46222</v>
      </c>
      <c r="GZ23" s="175">
        <f t="shared" ref="GZ23" si="180">GY23+1</f>
        <v>46223</v>
      </c>
      <c r="HA23" s="175">
        <f t="shared" ref="HA23" si="181">GZ23+1</f>
        <v>46224</v>
      </c>
      <c r="HB23" s="175">
        <f t="shared" ref="HB23" si="182">HA23+1</f>
        <v>46225</v>
      </c>
      <c r="HC23" s="175">
        <f t="shared" ref="HC23" si="183">HB23+1</f>
        <v>46226</v>
      </c>
      <c r="HD23" s="175">
        <f t="shared" ref="HD23" si="184">HC23+1</f>
        <v>46227</v>
      </c>
      <c r="HE23" s="175">
        <f t="shared" ref="HE23" si="185">HD23+1</f>
        <v>46228</v>
      </c>
      <c r="HF23" s="175">
        <f t="shared" ref="HF23" si="186">HE23+1</f>
        <v>46229</v>
      </c>
      <c r="HG23" s="175">
        <f t="shared" ref="HG23" si="187">HF23+1</f>
        <v>46230</v>
      </c>
      <c r="HH23" s="175">
        <f t="shared" ref="HH23" si="188">HG23+1</f>
        <v>46231</v>
      </c>
      <c r="HI23" s="175">
        <f t="shared" ref="HI23" si="189">HH23+1</f>
        <v>46232</v>
      </c>
      <c r="HJ23" s="175">
        <f t="shared" ref="HJ23" si="190">HI23+1</f>
        <v>46233</v>
      </c>
      <c r="HK23" s="175">
        <f t="shared" ref="HK23" si="191">HJ23+1</f>
        <v>46234</v>
      </c>
      <c r="HL23" s="193">
        <v>46235</v>
      </c>
      <c r="HM23" s="175">
        <f t="shared" ref="HM23" si="192">HL23+1</f>
        <v>46236</v>
      </c>
      <c r="HN23" s="175">
        <f t="shared" ref="HN23" si="193">HM23+1</f>
        <v>46237</v>
      </c>
      <c r="HO23" s="175">
        <f t="shared" ref="HO23" si="194">HN23+1</f>
        <v>46238</v>
      </c>
      <c r="HP23" s="175">
        <f t="shared" ref="HP23" si="195">HO23+1</f>
        <v>46239</v>
      </c>
      <c r="HQ23" s="175">
        <f t="shared" ref="HQ23" si="196">HP23+1</f>
        <v>46240</v>
      </c>
      <c r="HR23" s="175">
        <f t="shared" ref="HR23" si="197">HQ23+1</f>
        <v>46241</v>
      </c>
      <c r="HS23" s="175">
        <f t="shared" ref="HS23" si="198">HR23+1</f>
        <v>46242</v>
      </c>
      <c r="HT23" s="175">
        <f t="shared" ref="HT23" si="199">HS23+1</f>
        <v>46243</v>
      </c>
      <c r="HU23" s="175">
        <f t="shared" ref="HU23" si="200">HT23+1</f>
        <v>46244</v>
      </c>
      <c r="HV23" s="175">
        <f t="shared" ref="HV23" si="201">HU23+1</f>
        <v>46245</v>
      </c>
      <c r="HW23" s="175">
        <f t="shared" ref="HW23" si="202">HV23+1</f>
        <v>46246</v>
      </c>
      <c r="HX23" s="175">
        <f t="shared" ref="HX23" si="203">HW23+1</f>
        <v>46247</v>
      </c>
      <c r="HY23" s="175">
        <f t="shared" ref="HY23" si="204">HX23+1</f>
        <v>46248</v>
      </c>
      <c r="HZ23" s="175">
        <f t="shared" ref="HZ23" si="205">HY23+1</f>
        <v>46249</v>
      </c>
      <c r="IA23" s="175">
        <f t="shared" ref="IA23" si="206">HZ23+1</f>
        <v>46250</v>
      </c>
      <c r="IB23" s="175">
        <f t="shared" ref="IB23" si="207">IA23+1</f>
        <v>46251</v>
      </c>
      <c r="IC23" s="175">
        <f t="shared" ref="IC23" si="208">IB23+1</f>
        <v>46252</v>
      </c>
      <c r="ID23" s="175">
        <f t="shared" ref="ID23" si="209">IC23+1</f>
        <v>46253</v>
      </c>
      <c r="IE23" s="175">
        <f t="shared" ref="IE23" si="210">ID23+1</f>
        <v>46254</v>
      </c>
      <c r="IF23" s="175">
        <f t="shared" ref="IF23" si="211">IE23+1</f>
        <v>46255</v>
      </c>
      <c r="IG23" s="175">
        <f t="shared" ref="IG23" si="212">IF23+1</f>
        <v>46256</v>
      </c>
      <c r="IH23" s="175">
        <f t="shared" ref="IH23" si="213">IG23+1</f>
        <v>46257</v>
      </c>
      <c r="II23" s="175">
        <f t="shared" ref="II23" si="214">IH23+1</f>
        <v>46258</v>
      </c>
      <c r="IJ23" s="175">
        <f t="shared" ref="IJ23" si="215">II23+1</f>
        <v>46259</v>
      </c>
      <c r="IK23" s="175">
        <f t="shared" ref="IK23" si="216">IJ23+1</f>
        <v>46260</v>
      </c>
      <c r="IL23" s="175">
        <f t="shared" ref="IL23" si="217">IK23+1</f>
        <v>46261</v>
      </c>
      <c r="IM23" s="175">
        <f t="shared" ref="IM23" si="218">IL23+1</f>
        <v>46262</v>
      </c>
      <c r="IN23" s="175">
        <f t="shared" ref="IN23" si="219">IM23+1</f>
        <v>46263</v>
      </c>
      <c r="IO23" s="175">
        <f t="shared" ref="IO23" si="220">IN23+1</f>
        <v>46264</v>
      </c>
      <c r="IP23" s="175">
        <f t="shared" ref="IP23" si="221">IO23+1</f>
        <v>46265</v>
      </c>
      <c r="IQ23" s="193">
        <v>46266</v>
      </c>
      <c r="IR23" s="175">
        <f t="shared" ref="IR23" si="222">IQ23+1</f>
        <v>46267</v>
      </c>
      <c r="IS23" s="175">
        <f t="shared" ref="IS23" si="223">IR23+1</f>
        <v>46268</v>
      </c>
      <c r="IT23" s="175">
        <f t="shared" ref="IT23" si="224">IS23+1</f>
        <v>46269</v>
      </c>
      <c r="IU23" s="175">
        <f t="shared" ref="IU23" si="225">IT23+1</f>
        <v>46270</v>
      </c>
      <c r="IV23" s="175">
        <f t="shared" ref="IV23" si="226">IU23+1</f>
        <v>46271</v>
      </c>
      <c r="IW23" s="175">
        <f t="shared" ref="IW23" si="227">IV23+1</f>
        <v>46272</v>
      </c>
      <c r="IX23" s="175">
        <f t="shared" ref="IX23" si="228">IW23+1</f>
        <v>46273</v>
      </c>
      <c r="IY23" s="175">
        <f t="shared" ref="IY23" si="229">IX23+1</f>
        <v>46274</v>
      </c>
      <c r="IZ23" s="175">
        <f t="shared" ref="IZ23" si="230">IY23+1</f>
        <v>46275</v>
      </c>
      <c r="JA23" s="175">
        <f t="shared" ref="JA23" si="231">IZ23+1</f>
        <v>46276</v>
      </c>
      <c r="JB23" s="175">
        <f t="shared" ref="JB23" si="232">JA23+1</f>
        <v>46277</v>
      </c>
      <c r="JC23" s="175">
        <f t="shared" ref="JC23" si="233">JB23+1</f>
        <v>46278</v>
      </c>
      <c r="JD23" s="175">
        <f t="shared" ref="JD23" si="234">JC23+1</f>
        <v>46279</v>
      </c>
      <c r="JE23" s="175">
        <f t="shared" ref="JE23" si="235">JD23+1</f>
        <v>46280</v>
      </c>
      <c r="JF23" s="175">
        <f t="shared" ref="JF23" si="236">JE23+1</f>
        <v>46281</v>
      </c>
      <c r="JG23" s="175">
        <f t="shared" ref="JG23" si="237">JF23+1</f>
        <v>46282</v>
      </c>
      <c r="JH23" s="175">
        <f t="shared" ref="JH23" si="238">JG23+1</f>
        <v>46283</v>
      </c>
      <c r="JI23" s="175">
        <f t="shared" ref="JI23" si="239">JH23+1</f>
        <v>46284</v>
      </c>
      <c r="JJ23" s="175">
        <f t="shared" ref="JJ23" si="240">JI23+1</f>
        <v>46285</v>
      </c>
      <c r="JK23" s="175">
        <f t="shared" ref="JK23" si="241">JJ23+1</f>
        <v>46286</v>
      </c>
      <c r="JL23" s="175">
        <f t="shared" ref="JL23" si="242">JK23+1</f>
        <v>46287</v>
      </c>
      <c r="JM23" s="175">
        <f t="shared" ref="JM23" si="243">JL23+1</f>
        <v>46288</v>
      </c>
      <c r="JN23" s="175">
        <f t="shared" ref="JN23" si="244">JM23+1</f>
        <v>46289</v>
      </c>
      <c r="JO23" s="175">
        <f t="shared" ref="JO23" si="245">JN23+1</f>
        <v>46290</v>
      </c>
      <c r="JP23" s="175">
        <f t="shared" ref="JP23" si="246">JO23+1</f>
        <v>46291</v>
      </c>
      <c r="JQ23" s="175">
        <f t="shared" ref="JQ23" si="247">JP23+1</f>
        <v>46292</v>
      </c>
      <c r="JR23" s="175">
        <f t="shared" ref="JR23" si="248">JQ23+1</f>
        <v>46293</v>
      </c>
      <c r="JS23" s="175">
        <f t="shared" ref="JS23" si="249">JR23+1</f>
        <v>46294</v>
      </c>
      <c r="JT23" s="175">
        <f t="shared" ref="JT23" si="250">JS23+1</f>
        <v>46295</v>
      </c>
      <c r="JU23" s="193">
        <v>46296</v>
      </c>
      <c r="JV23" s="175">
        <f t="shared" ref="JV23" si="251">JU23+1</f>
        <v>46297</v>
      </c>
      <c r="JW23" s="175">
        <f t="shared" ref="JW23" si="252">JV23+1</f>
        <v>46298</v>
      </c>
      <c r="JX23" s="175">
        <f t="shared" ref="JX23" si="253">JW23+1</f>
        <v>46299</v>
      </c>
      <c r="JY23" s="175">
        <f t="shared" ref="JY23" si="254">JX23+1</f>
        <v>46300</v>
      </c>
      <c r="JZ23" s="175">
        <f t="shared" ref="JZ23" si="255">JY23+1</f>
        <v>46301</v>
      </c>
      <c r="KA23" s="175">
        <f t="shared" ref="KA23" si="256">JZ23+1</f>
        <v>46302</v>
      </c>
      <c r="KB23" s="175">
        <f t="shared" ref="KB23" si="257">KA23+1</f>
        <v>46303</v>
      </c>
      <c r="KC23" s="48">
        <v>10</v>
      </c>
      <c r="KD23" s="47">
        <v>20</v>
      </c>
      <c r="KE23" s="49">
        <v>30</v>
      </c>
      <c r="KF23" s="48">
        <v>10</v>
      </c>
      <c r="KG23" s="47">
        <v>20</v>
      </c>
      <c r="KH23" s="49">
        <v>30</v>
      </c>
      <c r="KI23" s="48">
        <v>10</v>
      </c>
      <c r="KJ23" s="47">
        <v>20</v>
      </c>
      <c r="KK23" s="49">
        <v>30</v>
      </c>
      <c r="KL23" s="48">
        <v>10</v>
      </c>
      <c r="KM23" s="47">
        <v>20</v>
      </c>
      <c r="KN23" s="49">
        <v>30</v>
      </c>
      <c r="KO23" s="48">
        <v>10</v>
      </c>
      <c r="KP23" s="47">
        <v>20</v>
      </c>
      <c r="KQ23" s="49">
        <v>30</v>
      </c>
      <c r="KR23" s="48">
        <v>10</v>
      </c>
      <c r="KS23" s="47">
        <v>20</v>
      </c>
      <c r="KT23" s="49">
        <v>30</v>
      </c>
      <c r="KU23" s="48">
        <v>10</v>
      </c>
      <c r="KV23" s="47">
        <v>20</v>
      </c>
      <c r="KW23" s="49">
        <v>30</v>
      </c>
      <c r="KX23" s="48">
        <v>10</v>
      </c>
      <c r="KY23" s="47">
        <v>20</v>
      </c>
      <c r="KZ23" s="49">
        <v>30</v>
      </c>
      <c r="LA23" s="48">
        <v>10</v>
      </c>
      <c r="LB23" s="47">
        <v>20</v>
      </c>
      <c r="LC23" s="49">
        <v>30</v>
      </c>
      <c r="LD23" s="48">
        <v>10</v>
      </c>
      <c r="LE23" s="47">
        <v>20</v>
      </c>
      <c r="LF23" s="49">
        <v>30</v>
      </c>
      <c r="LG23" s="48">
        <v>10</v>
      </c>
      <c r="LH23" s="47">
        <v>20</v>
      </c>
      <c r="LI23" s="49">
        <v>30</v>
      </c>
      <c r="LJ23" s="48">
        <v>10</v>
      </c>
      <c r="LK23" s="47">
        <v>20</v>
      </c>
      <c r="LL23" s="49">
        <v>30</v>
      </c>
      <c r="LM23" s="48">
        <v>10</v>
      </c>
      <c r="LN23" s="47">
        <v>20</v>
      </c>
      <c r="LO23" s="49">
        <v>30</v>
      </c>
      <c r="LP23" s="48">
        <v>10</v>
      </c>
      <c r="LQ23" s="47">
        <v>20</v>
      </c>
      <c r="LR23" s="49">
        <v>30</v>
      </c>
      <c r="LS23" s="48">
        <v>10</v>
      </c>
      <c r="LT23" s="47">
        <v>20</v>
      </c>
      <c r="LU23" s="49">
        <v>30</v>
      </c>
      <c r="LV23" s="48">
        <v>10</v>
      </c>
      <c r="LW23" s="47">
        <v>20</v>
      </c>
      <c r="LX23" s="49">
        <v>30</v>
      </c>
      <c r="LY23" s="48">
        <v>10</v>
      </c>
      <c r="LZ23" s="47">
        <v>20</v>
      </c>
      <c r="MA23" s="49">
        <v>30</v>
      </c>
      <c r="MB23" s="48">
        <v>10</v>
      </c>
      <c r="MC23" s="47">
        <v>20</v>
      </c>
      <c r="MD23" s="49">
        <v>30</v>
      </c>
      <c r="ME23" s="48">
        <v>10</v>
      </c>
      <c r="MF23" s="47">
        <v>20</v>
      </c>
      <c r="MG23" s="49">
        <v>30</v>
      </c>
      <c r="MH23" s="48">
        <v>10</v>
      </c>
      <c r="MI23" s="47">
        <v>20</v>
      </c>
      <c r="MJ23" s="49">
        <v>30</v>
      </c>
      <c r="MK23" s="48">
        <v>10</v>
      </c>
      <c r="ML23" s="47">
        <v>20</v>
      </c>
      <c r="MM23" s="49">
        <v>30</v>
      </c>
      <c r="MN23" s="48">
        <v>10</v>
      </c>
      <c r="MO23" s="47">
        <v>20</v>
      </c>
      <c r="MP23" s="49">
        <v>30</v>
      </c>
      <c r="MQ23" s="48">
        <v>10</v>
      </c>
      <c r="MR23" s="47">
        <v>20</v>
      </c>
      <c r="MS23" s="49">
        <v>30</v>
      </c>
      <c r="MT23" s="48">
        <v>10</v>
      </c>
      <c r="MU23" s="47">
        <v>20</v>
      </c>
      <c r="MV23" s="49">
        <v>30</v>
      </c>
      <c r="MW23" s="48">
        <v>10</v>
      </c>
      <c r="MX23" s="47">
        <v>20</v>
      </c>
      <c r="MY23" s="49">
        <v>30</v>
      </c>
      <c r="MZ23" s="48">
        <v>10</v>
      </c>
      <c r="NA23" s="47">
        <v>20</v>
      </c>
      <c r="NB23" s="49">
        <v>30</v>
      </c>
      <c r="NC23" s="46">
        <v>10</v>
      </c>
      <c r="ND23" s="47">
        <v>20</v>
      </c>
      <c r="NE23" s="50">
        <v>30</v>
      </c>
      <c r="NG23" s="1"/>
      <c r="NH23" s="1"/>
      <c r="NI23" s="1"/>
      <c r="NJ23" s="1"/>
      <c r="NK23" s="1"/>
      <c r="NL23" s="407"/>
      <c r="NM23" s="407"/>
    </row>
    <row r="24" spans="6:377" s="5" customFormat="1" ht="11.25" customHeight="1">
      <c r="G24" s="25"/>
      <c r="H24" s="25"/>
      <c r="L24" s="377" t="s">
        <v>171</v>
      </c>
      <c r="M24" s="378"/>
      <c r="N24" s="420"/>
      <c r="O24" s="424">
        <f>P26+P64+P94+P108+P134+P160+P178+P186+P196+P208+P222</f>
        <v>152011077</v>
      </c>
      <c r="P24" s="425"/>
      <c r="Q24" s="432">
        <f>TRUNC(Q26+Q64+Q94+Q108+Q134+Q160+Q178+Q186+Q196+Q208+Q222,5)</f>
        <v>0.73012999999999995</v>
      </c>
      <c r="R24" s="432">
        <f>ROUND(R26+R64+R94+R108+R134+R160+R178+R186+R196+R208+R222,5)</f>
        <v>0</v>
      </c>
      <c r="S24" s="191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5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7"/>
      <c r="CA24" s="185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7"/>
      <c r="DE24" s="185"/>
      <c r="DF24" s="186"/>
      <c r="DG24" s="186"/>
      <c r="DH24" s="186"/>
      <c r="DI24" s="186"/>
      <c r="DJ24" s="186"/>
      <c r="DK24" s="186"/>
      <c r="DL24" s="186"/>
      <c r="DM24" s="186"/>
      <c r="DN24" s="186"/>
      <c r="DO24" s="186"/>
      <c r="DP24" s="186"/>
      <c r="DQ24" s="186"/>
      <c r="DR24" s="186"/>
      <c r="DS24" s="186"/>
      <c r="DT24" s="186"/>
      <c r="DU24" s="186"/>
      <c r="DV24" s="186"/>
      <c r="DW24" s="186"/>
      <c r="DX24" s="186"/>
      <c r="DY24" s="186"/>
      <c r="DZ24" s="186"/>
      <c r="EA24" s="186"/>
      <c r="EB24" s="186"/>
      <c r="EC24" s="186"/>
      <c r="ED24" s="186"/>
      <c r="EE24" s="186"/>
      <c r="EF24" s="186"/>
      <c r="EG24" s="186"/>
      <c r="EH24" s="187"/>
      <c r="EI24" s="185"/>
      <c r="EJ24" s="186"/>
      <c r="EK24" s="186"/>
      <c r="EL24" s="186"/>
      <c r="EM24" s="186"/>
      <c r="EN24" s="186"/>
      <c r="EO24" s="186"/>
      <c r="EP24" s="186"/>
      <c r="EQ24" s="186"/>
      <c r="ER24" s="186"/>
      <c r="ES24" s="186"/>
      <c r="ET24" s="186"/>
      <c r="EU24" s="186"/>
      <c r="EV24" s="186"/>
      <c r="EW24" s="186"/>
      <c r="EX24" s="186"/>
      <c r="EY24" s="186"/>
      <c r="EZ24" s="186"/>
      <c r="FA24" s="186"/>
      <c r="FB24" s="186"/>
      <c r="FC24" s="186"/>
      <c r="FD24" s="186"/>
      <c r="FE24" s="186"/>
      <c r="FF24" s="186"/>
      <c r="FG24" s="186"/>
      <c r="FH24" s="186"/>
      <c r="FI24" s="186"/>
      <c r="FJ24" s="186"/>
      <c r="FK24" s="186"/>
      <c r="FL24" s="187"/>
      <c r="FM24" s="185"/>
      <c r="FN24" s="186"/>
      <c r="FO24" s="186"/>
      <c r="FP24" s="186"/>
      <c r="FQ24" s="186"/>
      <c r="FR24" s="186"/>
      <c r="FS24" s="186"/>
      <c r="FT24" s="186"/>
      <c r="FU24" s="186"/>
      <c r="FV24" s="186"/>
      <c r="FW24" s="186"/>
      <c r="FX24" s="186"/>
      <c r="FY24" s="186"/>
      <c r="FZ24" s="186"/>
      <c r="GA24" s="186"/>
      <c r="GB24" s="186"/>
      <c r="GC24" s="186"/>
      <c r="GD24" s="186"/>
      <c r="GE24" s="186"/>
      <c r="GF24" s="186"/>
      <c r="GG24" s="186"/>
      <c r="GH24" s="186"/>
      <c r="GI24" s="186"/>
      <c r="GJ24" s="186"/>
      <c r="GK24" s="186"/>
      <c r="GL24" s="186"/>
      <c r="GM24" s="186"/>
      <c r="GN24" s="186"/>
      <c r="GO24" s="186"/>
      <c r="GP24" s="187"/>
      <c r="GQ24" s="185"/>
      <c r="GR24" s="186"/>
      <c r="GS24" s="186"/>
      <c r="GT24" s="186"/>
      <c r="GU24" s="186"/>
      <c r="GV24" s="186"/>
      <c r="GW24" s="186"/>
      <c r="GX24" s="186"/>
      <c r="GY24" s="186"/>
      <c r="GZ24" s="186"/>
      <c r="HA24" s="186"/>
      <c r="HB24" s="186"/>
      <c r="HC24" s="186"/>
      <c r="HD24" s="186"/>
      <c r="HE24" s="186"/>
      <c r="HF24" s="186"/>
      <c r="HG24" s="186"/>
      <c r="HH24" s="186"/>
      <c r="HI24" s="186"/>
      <c r="HJ24" s="186"/>
      <c r="HK24" s="186"/>
      <c r="HL24" s="186"/>
      <c r="HM24" s="186"/>
      <c r="HN24" s="186"/>
      <c r="HO24" s="186"/>
      <c r="HP24" s="186"/>
      <c r="HQ24" s="186"/>
      <c r="HR24" s="186"/>
      <c r="HS24" s="186"/>
      <c r="HT24" s="187"/>
      <c r="HU24" s="185"/>
      <c r="HV24" s="186"/>
      <c r="HW24" s="186"/>
      <c r="HX24" s="186"/>
      <c r="HY24" s="186"/>
      <c r="HZ24" s="186"/>
      <c r="IA24" s="186"/>
      <c r="IB24" s="186"/>
      <c r="IC24" s="186"/>
      <c r="ID24" s="186"/>
      <c r="IE24" s="186"/>
      <c r="IF24" s="186"/>
      <c r="IG24" s="186"/>
      <c r="IH24" s="186"/>
      <c r="II24" s="186"/>
      <c r="IJ24" s="186"/>
      <c r="IK24" s="186"/>
      <c r="IL24" s="186"/>
      <c r="IM24" s="186"/>
      <c r="IN24" s="186"/>
      <c r="IO24" s="186"/>
      <c r="IP24" s="186"/>
      <c r="IQ24" s="186"/>
      <c r="IR24" s="186"/>
      <c r="IS24" s="186"/>
      <c r="IT24" s="186"/>
      <c r="IU24" s="186"/>
      <c r="IV24" s="186"/>
      <c r="IW24" s="186"/>
      <c r="IX24" s="187"/>
      <c r="IY24" s="185"/>
      <c r="IZ24" s="186"/>
      <c r="JA24" s="186"/>
      <c r="JB24" s="186"/>
      <c r="JC24" s="186"/>
      <c r="JD24" s="186"/>
      <c r="JE24" s="186"/>
      <c r="JF24" s="186"/>
      <c r="JG24" s="186"/>
      <c r="JH24" s="186"/>
      <c r="JI24" s="186"/>
      <c r="JJ24" s="186"/>
      <c r="JK24" s="186"/>
      <c r="JL24" s="186"/>
      <c r="JM24" s="186"/>
      <c r="JN24" s="186"/>
      <c r="JO24" s="186"/>
      <c r="JP24" s="186"/>
      <c r="JQ24" s="186"/>
      <c r="JR24" s="186"/>
      <c r="JS24" s="186"/>
      <c r="JT24" s="186"/>
      <c r="JU24" s="186"/>
      <c r="JV24" s="186"/>
      <c r="JW24" s="186"/>
      <c r="JX24" s="186"/>
      <c r="JY24" s="186"/>
      <c r="JZ24" s="186"/>
      <c r="KA24" s="186"/>
      <c r="KB24" s="187"/>
      <c r="KC24" s="199">
        <f>ROUND(KC26+KC64+KC94+KC108+KC134+KC160+KC178+KC186+KC196+KC208+KC222,5)</f>
        <v>4.4830000000000002E-2</v>
      </c>
      <c r="KD24" s="200"/>
      <c r="KE24" s="201"/>
      <c r="KF24" s="199">
        <f>ROUND(KF26+KF64+KF94+KF108+KF134+KF160+KF178+KF186+KF196+KF208+KF222,5)</f>
        <v>4.5159999999999999E-2</v>
      </c>
      <c r="KG24" s="200"/>
      <c r="KH24" s="201"/>
      <c r="KI24" s="199">
        <f>ROUND(KI26+KI64+KI94+KI108+KI134+KI160+KI178+KI186+KI196+KI208+KI222,5)</f>
        <v>4.394E-2</v>
      </c>
      <c r="KJ24" s="200"/>
      <c r="KK24" s="201"/>
      <c r="KL24" s="199">
        <f>ROUND(KL26+KL64+KL94+KL108+KL134+KL160+KL178+KL186+KL196+KL208+KL222,5)</f>
        <v>3.8809999999999997E-2</v>
      </c>
      <c r="KM24" s="200"/>
      <c r="KN24" s="201"/>
      <c r="KO24" s="199">
        <f>ROUND(KO26+KO64+KO94+KO108+KO134+KO160+KO178+KO186+KO196+KO208+KO222,5)</f>
        <v>3.9489999999999997E-2</v>
      </c>
      <c r="KP24" s="200"/>
      <c r="KQ24" s="201"/>
      <c r="KR24" s="199">
        <f>ROUND(KR26+KR64+KR94+KR108+KR134+KR160+KR178+KR186+KR196+KR208+KR222,5)</f>
        <v>3.8420000000000003E-2</v>
      </c>
      <c r="KS24" s="200"/>
      <c r="KT24" s="201"/>
      <c r="KU24" s="199">
        <f>ROUND(KU26+KU64+KU94+KU108+KU134+KU160+KU178+KU186+KU196+KU208+KU222,5)</f>
        <v>3.5580000000000001E-2</v>
      </c>
      <c r="KV24" s="200"/>
      <c r="KW24" s="201"/>
      <c r="KX24" s="199">
        <f>ROUND(KX26+KX64+KX94+KX108+KX134+KX160+KX178+KX186+KX196+KX208+KX222,5)</f>
        <v>3.5979999999999998E-2</v>
      </c>
      <c r="KY24" s="200"/>
      <c r="KZ24" s="200"/>
      <c r="LA24" s="225">
        <f>ROUND(LA26+LA64+LA94+LA108+LA134+LA160+LA178+LA186+LA196+LA208+LA222,5)</f>
        <v>3.6159999999999998E-2</v>
      </c>
      <c r="LB24" s="200"/>
      <c r="LC24" s="226"/>
      <c r="LD24" s="200">
        <f>ROUND(LD26+LD64+LD94+LD108+LD134+LD160+LD178+LD186+LD196+LD208+LD222,5)</f>
        <v>3.2899999999999999E-2</v>
      </c>
      <c r="LE24" s="200"/>
      <c r="LF24" s="201"/>
      <c r="LG24" s="199">
        <f>ROUND(LG26+LG64+LG94+LG108+LG134+LG160+LG178+LG186+LG196+LG208+LG222,5)</f>
        <v>3.3599999999999998E-2</v>
      </c>
      <c r="LH24" s="200"/>
      <c r="LI24" s="201"/>
      <c r="LJ24" s="199">
        <f>ROUND(LJ26+LJ64+LJ94+LJ108+LJ134+LJ160+LJ178+LJ186+LJ196+LJ208+LJ222,5)</f>
        <v>2.862E-2</v>
      </c>
      <c r="LK24" s="200"/>
      <c r="LL24" s="201"/>
      <c r="LM24" s="199">
        <f>ROUND(LM26+LM64+LM94+LM108+LM134+LM160+LM178+LM186+LM196+LM208+LM222,5)</f>
        <v>2.9260000000000001E-2</v>
      </c>
      <c r="LN24" s="200"/>
      <c r="LO24" s="201"/>
      <c r="LP24" s="199">
        <f>ROUND(LP26+LP64+LP94+LP108+LP134+LP160+LP178+LP186+LP196+LP208+LP222,5)</f>
        <v>2.869E-2</v>
      </c>
      <c r="LQ24" s="200"/>
      <c r="LR24" s="201"/>
      <c r="LS24" s="199">
        <f>ROUND(LS26+LS64+LS94+LS108+LS134+LS160+LS178+LS186+LS196+LS208+LS222,5)</f>
        <v>2.3390000000000001E-2</v>
      </c>
      <c r="LT24" s="200"/>
      <c r="LU24" s="201"/>
      <c r="LV24" s="199">
        <f>ROUND(LV26+LV64+LV94+LV108+LV134+LV160+LV178+LV186+LV196+LV208+LV222,5)</f>
        <v>2.146E-2</v>
      </c>
      <c r="LW24" s="200"/>
      <c r="LX24" s="201"/>
      <c r="LY24" s="199">
        <f>ROUND(LY26+LY64+LY94+LY108+LY134+LY160+LY178+LY186+LY196+LY208+LY222,5)</f>
        <v>1.67E-2</v>
      </c>
      <c r="LZ24" s="200"/>
      <c r="MA24" s="201"/>
      <c r="MB24" s="199">
        <f>ROUND(MB26+MB64+MB94+MB108+MB134+MB160+MB178+MB186+MB196+MB208+MB222,5)</f>
        <v>1.796E-2</v>
      </c>
      <c r="MC24" s="200"/>
      <c r="MD24" s="201"/>
      <c r="ME24" s="199">
        <f>ROUND(ME26+ME64+ME94+ME108+ME134+ME160+ME178+ME186+ME196+ME208+ME222,5)</f>
        <v>1.8509999999999999E-2</v>
      </c>
      <c r="MF24" s="200"/>
      <c r="MG24" s="201"/>
      <c r="MH24" s="199">
        <f>ROUND(MH26+MH64+MH94+MH108+MH134+MH160+MH178+MH186+MH196+MH208+MH222,5)</f>
        <v>1.264E-2</v>
      </c>
      <c r="MI24" s="200"/>
      <c r="MJ24" s="201"/>
      <c r="MK24" s="199">
        <f>ROUND(MK26+MK64+MK94+MK108+MK134+MK160+MK178+MK186+MK196+MK208+MK222,5)</f>
        <v>1.051E-2</v>
      </c>
      <c r="ML24" s="200"/>
      <c r="MM24" s="201"/>
      <c r="MN24" s="199">
        <f>ROUND(MN26+MN64+MN94+MN108+MN134+MN160+MN178+MN186+MN196+MN208+MN222,5)</f>
        <v>1.2930000000000001E-2</v>
      </c>
      <c r="MO24" s="200"/>
      <c r="MP24" s="201"/>
      <c r="MQ24" s="199">
        <f>ROUND(MQ26+MQ64+MQ94+MQ108+MQ134+MQ160+MQ178+MQ186+MQ196+MQ208+MQ222,5)</f>
        <v>1.243E-2</v>
      </c>
      <c r="MR24" s="200"/>
      <c r="MS24" s="201"/>
      <c r="MT24" s="199">
        <f>ROUND(MT26+MT64+MT94+MT108+MT134+MT160+MT178+MT186+MT196+MT208+MT222,5)</f>
        <v>1.435E-2</v>
      </c>
      <c r="MU24" s="200"/>
      <c r="MV24" s="201"/>
      <c r="MW24" s="199">
        <f>ROUND(MW26+MW64+MW94+MW108+MW134+MW160+MW178+MW186+MW196+MW208+MW222,5)</f>
        <v>1.0619999999999999E-2</v>
      </c>
      <c r="MX24" s="200"/>
      <c r="MY24" s="201"/>
      <c r="MZ24" s="199">
        <f>ROUND(MZ26+MZ64+MZ94+MZ108+MZ134+MZ160+MZ178+MZ186+MZ196+MZ208+MZ222,5)</f>
        <v>1.2800000000000001E-3</v>
      </c>
      <c r="NA24" s="200"/>
      <c r="NB24" s="201"/>
      <c r="NC24" s="199">
        <f>ROUND(NC26+NC64+NC94+NC108+NC134+NC160+NC178+NC186+NC196+NC208+NC222,5)</f>
        <v>1.9300000000000001E-3</v>
      </c>
      <c r="ND24" s="200"/>
      <c r="NE24" s="221"/>
      <c r="NG24" s="198">
        <f>SUM(R24:NE24)</f>
        <v>0.68615000000000004</v>
      </c>
      <c r="NH24" s="198">
        <f>SUM(NH26,NH64,NH94,NH108,NH134,NH160,NH178,NH186,NH196,NH208,NH222)</f>
        <v>0.73013117000000016</v>
      </c>
      <c r="NI24" s="1"/>
      <c r="NJ24" s="1"/>
      <c r="NK24" s="1"/>
      <c r="NL24" s="51"/>
      <c r="NM24" s="51"/>
    </row>
    <row r="25" spans="6:377" s="5" customFormat="1" ht="11.25" customHeight="1" thickBot="1">
      <c r="G25" s="25"/>
      <c r="H25" s="25"/>
      <c r="L25" s="421"/>
      <c r="M25" s="422"/>
      <c r="N25" s="423"/>
      <c r="O25" s="426"/>
      <c r="P25" s="427"/>
      <c r="Q25" s="434"/>
      <c r="R25" s="433"/>
      <c r="S25" s="192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88"/>
      <c r="AX25" s="189"/>
      <c r="AY25" s="189"/>
      <c r="AZ25" s="189"/>
      <c r="BA25" s="189"/>
      <c r="BB25" s="189"/>
      <c r="BC25" s="189"/>
      <c r="BD25" s="189"/>
      <c r="BE25" s="189"/>
      <c r="BF25" s="189"/>
      <c r="BG25" s="189"/>
      <c r="BH25" s="189"/>
      <c r="BI25" s="189"/>
      <c r="BJ25" s="189"/>
      <c r="BK25" s="189"/>
      <c r="BL25" s="189"/>
      <c r="BM25" s="189"/>
      <c r="BN25" s="189"/>
      <c r="BO25" s="189"/>
      <c r="BP25" s="189"/>
      <c r="BQ25" s="189"/>
      <c r="BR25" s="189"/>
      <c r="BS25" s="189"/>
      <c r="BT25" s="189"/>
      <c r="BU25" s="189"/>
      <c r="BV25" s="189"/>
      <c r="BW25" s="189"/>
      <c r="BX25" s="189"/>
      <c r="BY25" s="189"/>
      <c r="BZ25" s="190"/>
      <c r="CA25" s="188"/>
      <c r="CB25" s="189"/>
      <c r="CC25" s="189"/>
      <c r="CD25" s="189"/>
      <c r="CE25" s="189"/>
      <c r="CF25" s="189"/>
      <c r="CG25" s="189"/>
      <c r="CH25" s="189"/>
      <c r="CI25" s="189"/>
      <c r="CJ25" s="189"/>
      <c r="CK25" s="189"/>
      <c r="CL25" s="189"/>
      <c r="CM25" s="189"/>
      <c r="CN25" s="189"/>
      <c r="CO25" s="189"/>
      <c r="CP25" s="189"/>
      <c r="CQ25" s="189"/>
      <c r="CR25" s="189"/>
      <c r="CS25" s="189"/>
      <c r="CT25" s="189"/>
      <c r="CU25" s="189"/>
      <c r="CV25" s="189"/>
      <c r="CW25" s="189"/>
      <c r="CX25" s="189"/>
      <c r="CY25" s="189"/>
      <c r="CZ25" s="189"/>
      <c r="DA25" s="189"/>
      <c r="DB25" s="189"/>
      <c r="DC25" s="189"/>
      <c r="DD25" s="190"/>
      <c r="DE25" s="188"/>
      <c r="DF25" s="189"/>
      <c r="DG25" s="189"/>
      <c r="DH25" s="189"/>
      <c r="DI25" s="189"/>
      <c r="DJ25" s="189"/>
      <c r="DK25" s="189"/>
      <c r="DL25" s="189"/>
      <c r="DM25" s="189"/>
      <c r="DN25" s="189"/>
      <c r="DO25" s="189"/>
      <c r="DP25" s="189"/>
      <c r="DQ25" s="189"/>
      <c r="DR25" s="189"/>
      <c r="DS25" s="189"/>
      <c r="DT25" s="189"/>
      <c r="DU25" s="189"/>
      <c r="DV25" s="189"/>
      <c r="DW25" s="189"/>
      <c r="DX25" s="189"/>
      <c r="DY25" s="189"/>
      <c r="DZ25" s="189"/>
      <c r="EA25" s="189"/>
      <c r="EB25" s="189"/>
      <c r="EC25" s="189"/>
      <c r="ED25" s="189"/>
      <c r="EE25" s="189"/>
      <c r="EF25" s="189"/>
      <c r="EG25" s="189"/>
      <c r="EH25" s="190"/>
      <c r="EI25" s="188"/>
      <c r="EJ25" s="189"/>
      <c r="EK25" s="189"/>
      <c r="EL25" s="189"/>
      <c r="EM25" s="189"/>
      <c r="EN25" s="189"/>
      <c r="EO25" s="189"/>
      <c r="EP25" s="189"/>
      <c r="EQ25" s="189"/>
      <c r="ER25" s="189"/>
      <c r="ES25" s="189"/>
      <c r="ET25" s="189"/>
      <c r="EU25" s="189"/>
      <c r="EV25" s="189"/>
      <c r="EW25" s="189"/>
      <c r="EX25" s="189"/>
      <c r="EY25" s="189"/>
      <c r="EZ25" s="189"/>
      <c r="FA25" s="189"/>
      <c r="FB25" s="189"/>
      <c r="FC25" s="189"/>
      <c r="FD25" s="189"/>
      <c r="FE25" s="189"/>
      <c r="FF25" s="189"/>
      <c r="FG25" s="189"/>
      <c r="FH25" s="189"/>
      <c r="FI25" s="189"/>
      <c r="FJ25" s="189"/>
      <c r="FK25" s="189"/>
      <c r="FL25" s="190"/>
      <c r="FM25" s="188"/>
      <c r="FN25" s="189"/>
      <c r="FO25" s="189"/>
      <c r="FP25" s="189"/>
      <c r="FQ25" s="189"/>
      <c r="FR25" s="189"/>
      <c r="FS25" s="189"/>
      <c r="FT25" s="189"/>
      <c r="FU25" s="189"/>
      <c r="FV25" s="189"/>
      <c r="FW25" s="189"/>
      <c r="FX25" s="189"/>
      <c r="FY25" s="189"/>
      <c r="FZ25" s="189"/>
      <c r="GA25" s="189"/>
      <c r="GB25" s="189"/>
      <c r="GC25" s="189"/>
      <c r="GD25" s="189"/>
      <c r="GE25" s="189"/>
      <c r="GF25" s="189"/>
      <c r="GG25" s="189"/>
      <c r="GH25" s="189"/>
      <c r="GI25" s="189"/>
      <c r="GJ25" s="189"/>
      <c r="GK25" s="189"/>
      <c r="GL25" s="189"/>
      <c r="GM25" s="189"/>
      <c r="GN25" s="189"/>
      <c r="GO25" s="189"/>
      <c r="GP25" s="190"/>
      <c r="GQ25" s="188"/>
      <c r="GR25" s="189"/>
      <c r="GS25" s="189"/>
      <c r="GT25" s="189"/>
      <c r="GU25" s="189"/>
      <c r="GV25" s="189"/>
      <c r="GW25" s="189"/>
      <c r="GX25" s="189"/>
      <c r="GY25" s="189"/>
      <c r="GZ25" s="189"/>
      <c r="HA25" s="189"/>
      <c r="HB25" s="189"/>
      <c r="HC25" s="189"/>
      <c r="HD25" s="189"/>
      <c r="HE25" s="189"/>
      <c r="HF25" s="189"/>
      <c r="HG25" s="189"/>
      <c r="HH25" s="189"/>
      <c r="HI25" s="189"/>
      <c r="HJ25" s="189"/>
      <c r="HK25" s="189"/>
      <c r="HL25" s="189"/>
      <c r="HM25" s="189"/>
      <c r="HN25" s="189"/>
      <c r="HO25" s="189"/>
      <c r="HP25" s="189"/>
      <c r="HQ25" s="189"/>
      <c r="HR25" s="189"/>
      <c r="HS25" s="189"/>
      <c r="HT25" s="190"/>
      <c r="HU25" s="188"/>
      <c r="HV25" s="189"/>
      <c r="HW25" s="189"/>
      <c r="HX25" s="189"/>
      <c r="HY25" s="189"/>
      <c r="HZ25" s="189"/>
      <c r="IA25" s="189"/>
      <c r="IB25" s="189"/>
      <c r="IC25" s="189"/>
      <c r="ID25" s="189"/>
      <c r="IE25" s="189"/>
      <c r="IF25" s="189"/>
      <c r="IG25" s="189"/>
      <c r="IH25" s="189"/>
      <c r="II25" s="189"/>
      <c r="IJ25" s="189"/>
      <c r="IK25" s="189"/>
      <c r="IL25" s="189"/>
      <c r="IM25" s="189"/>
      <c r="IN25" s="189"/>
      <c r="IO25" s="189"/>
      <c r="IP25" s="189"/>
      <c r="IQ25" s="189"/>
      <c r="IR25" s="189"/>
      <c r="IS25" s="189"/>
      <c r="IT25" s="189"/>
      <c r="IU25" s="189"/>
      <c r="IV25" s="189"/>
      <c r="IW25" s="189"/>
      <c r="IX25" s="190"/>
      <c r="IY25" s="188"/>
      <c r="IZ25" s="189"/>
      <c r="JA25" s="189"/>
      <c r="JB25" s="189"/>
      <c r="JC25" s="189"/>
      <c r="JD25" s="189"/>
      <c r="JE25" s="189"/>
      <c r="JF25" s="189"/>
      <c r="JG25" s="189"/>
      <c r="JH25" s="189"/>
      <c r="JI25" s="189"/>
      <c r="JJ25" s="189"/>
      <c r="JK25" s="189"/>
      <c r="JL25" s="189"/>
      <c r="JM25" s="189"/>
      <c r="JN25" s="189"/>
      <c r="JO25" s="189"/>
      <c r="JP25" s="189"/>
      <c r="JQ25" s="189"/>
      <c r="JR25" s="189"/>
      <c r="JS25" s="189"/>
      <c r="JT25" s="189"/>
      <c r="JU25" s="189"/>
      <c r="JV25" s="189"/>
      <c r="JW25" s="189"/>
      <c r="JX25" s="189"/>
      <c r="JY25" s="189"/>
      <c r="JZ25" s="189"/>
      <c r="KA25" s="189"/>
      <c r="KB25" s="190"/>
      <c r="KC25" s="202"/>
      <c r="KD25" s="203"/>
      <c r="KE25" s="204"/>
      <c r="KF25" s="202"/>
      <c r="KG25" s="203"/>
      <c r="KH25" s="204"/>
      <c r="KI25" s="202"/>
      <c r="KJ25" s="203"/>
      <c r="KK25" s="204"/>
      <c r="KL25" s="202"/>
      <c r="KM25" s="203"/>
      <c r="KN25" s="204"/>
      <c r="KO25" s="202"/>
      <c r="KP25" s="203"/>
      <c r="KQ25" s="204"/>
      <c r="KR25" s="202"/>
      <c r="KS25" s="203"/>
      <c r="KT25" s="204"/>
      <c r="KU25" s="202"/>
      <c r="KV25" s="203"/>
      <c r="KW25" s="204"/>
      <c r="KX25" s="202"/>
      <c r="KY25" s="203"/>
      <c r="KZ25" s="203"/>
      <c r="LA25" s="227"/>
      <c r="LB25" s="203"/>
      <c r="LC25" s="228"/>
      <c r="LD25" s="203"/>
      <c r="LE25" s="203"/>
      <c r="LF25" s="204"/>
      <c r="LG25" s="202"/>
      <c r="LH25" s="203"/>
      <c r="LI25" s="204"/>
      <c r="LJ25" s="202"/>
      <c r="LK25" s="203"/>
      <c r="LL25" s="204"/>
      <c r="LM25" s="202"/>
      <c r="LN25" s="203"/>
      <c r="LO25" s="204"/>
      <c r="LP25" s="202"/>
      <c r="LQ25" s="203"/>
      <c r="LR25" s="204"/>
      <c r="LS25" s="202"/>
      <c r="LT25" s="203"/>
      <c r="LU25" s="204"/>
      <c r="LV25" s="202"/>
      <c r="LW25" s="203"/>
      <c r="LX25" s="204"/>
      <c r="LY25" s="202"/>
      <c r="LZ25" s="203"/>
      <c r="MA25" s="204"/>
      <c r="MB25" s="202"/>
      <c r="MC25" s="203"/>
      <c r="MD25" s="204"/>
      <c r="ME25" s="202"/>
      <c r="MF25" s="203"/>
      <c r="MG25" s="204"/>
      <c r="MH25" s="202"/>
      <c r="MI25" s="203"/>
      <c r="MJ25" s="204"/>
      <c r="MK25" s="202"/>
      <c r="ML25" s="203"/>
      <c r="MM25" s="204"/>
      <c r="MN25" s="202"/>
      <c r="MO25" s="203"/>
      <c r="MP25" s="204"/>
      <c r="MQ25" s="202"/>
      <c r="MR25" s="203"/>
      <c r="MS25" s="204"/>
      <c r="MT25" s="202"/>
      <c r="MU25" s="203"/>
      <c r="MV25" s="204"/>
      <c r="MW25" s="202"/>
      <c r="MX25" s="203"/>
      <c r="MY25" s="204"/>
      <c r="MZ25" s="202"/>
      <c r="NA25" s="203"/>
      <c r="NB25" s="204"/>
      <c r="NC25" s="202"/>
      <c r="ND25" s="203"/>
      <c r="NE25" s="222"/>
      <c r="NG25" s="198"/>
      <c r="NH25" s="198"/>
      <c r="NI25" s="1"/>
      <c r="NJ25" s="1"/>
      <c r="NK25" s="1"/>
      <c r="NL25" s="51"/>
      <c r="NM25" s="51"/>
    </row>
    <row r="26" spans="6:377" s="6" customFormat="1" ht="9.9499999999999993" customHeight="1">
      <c r="F26" s="194">
        <f>NG26</f>
        <v>0.46796000000000004</v>
      </c>
      <c r="G26" s="195">
        <f>Q26-F26</f>
        <v>3.3139999999999947E-2</v>
      </c>
      <c r="H26" s="27">
        <v>1</v>
      </c>
      <c r="L26" s="286" t="s">
        <v>6</v>
      </c>
      <c r="M26" s="287"/>
      <c r="N26" s="287"/>
      <c r="O26" s="288"/>
      <c r="P26" s="240">
        <f>SUM(P28:P63)</f>
        <v>104325081</v>
      </c>
      <c r="Q26" s="238">
        <f>ROUND(SUM(Q28:Q63),5)</f>
        <v>0.50109999999999999</v>
      </c>
      <c r="R26" s="332">
        <f>ROUND(SUM(R28:R63),5)</f>
        <v>0</v>
      </c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6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6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  <c r="CR26" s="145"/>
      <c r="CS26" s="145"/>
      <c r="CT26" s="145"/>
      <c r="CU26" s="145"/>
      <c r="CV26" s="145"/>
      <c r="CW26" s="145"/>
      <c r="CX26" s="145"/>
      <c r="CY26" s="145"/>
      <c r="CZ26" s="145"/>
      <c r="DA26" s="145"/>
      <c r="DB26" s="145"/>
      <c r="DC26" s="145"/>
      <c r="DD26" s="146"/>
      <c r="DE26" s="145"/>
      <c r="DF26" s="145"/>
      <c r="DG26" s="145"/>
      <c r="DH26" s="145"/>
      <c r="DI26" s="145"/>
      <c r="DJ26" s="145"/>
      <c r="DK26" s="145"/>
      <c r="DL26" s="145"/>
      <c r="DM26" s="145"/>
      <c r="DN26" s="145"/>
      <c r="DO26" s="145"/>
      <c r="DP26" s="145"/>
      <c r="DQ26" s="145"/>
      <c r="DR26" s="145"/>
      <c r="DS26" s="145"/>
      <c r="DT26" s="145"/>
      <c r="DU26" s="145"/>
      <c r="DV26" s="145"/>
      <c r="DW26" s="145"/>
      <c r="DX26" s="145"/>
      <c r="DY26" s="145"/>
      <c r="DZ26" s="145"/>
      <c r="EA26" s="145"/>
      <c r="EB26" s="145"/>
      <c r="EC26" s="145"/>
      <c r="ED26" s="145"/>
      <c r="EE26" s="145"/>
      <c r="EF26" s="145"/>
      <c r="EG26" s="145"/>
      <c r="EH26" s="146"/>
      <c r="EI26" s="145"/>
      <c r="EJ26" s="145"/>
      <c r="EK26" s="145"/>
      <c r="EL26" s="145"/>
      <c r="EM26" s="145"/>
      <c r="EN26" s="145"/>
      <c r="EO26" s="145"/>
      <c r="EP26" s="145"/>
      <c r="EQ26" s="145"/>
      <c r="ER26" s="145"/>
      <c r="ES26" s="145"/>
      <c r="ET26" s="145"/>
      <c r="EU26" s="145"/>
      <c r="EV26" s="145"/>
      <c r="EW26" s="145"/>
      <c r="EX26" s="145"/>
      <c r="EY26" s="145"/>
      <c r="EZ26" s="145"/>
      <c r="FA26" s="145"/>
      <c r="FB26" s="145"/>
      <c r="FC26" s="145"/>
      <c r="FD26" s="145"/>
      <c r="FE26" s="145"/>
      <c r="FF26" s="145"/>
      <c r="FG26" s="145"/>
      <c r="FH26" s="145"/>
      <c r="FI26" s="145"/>
      <c r="FJ26" s="145"/>
      <c r="FK26" s="145"/>
      <c r="FL26" s="146"/>
      <c r="FM26" s="145"/>
      <c r="FN26" s="145"/>
      <c r="FO26" s="145"/>
      <c r="FP26" s="145"/>
      <c r="FQ26" s="145"/>
      <c r="FR26" s="145"/>
      <c r="FS26" s="145"/>
      <c r="FT26" s="145"/>
      <c r="FU26" s="145"/>
      <c r="FV26" s="145"/>
      <c r="FW26" s="145"/>
      <c r="FX26" s="145"/>
      <c r="FY26" s="145"/>
      <c r="FZ26" s="145"/>
      <c r="GA26" s="145"/>
      <c r="GB26" s="145"/>
      <c r="GC26" s="145"/>
      <c r="GD26" s="145"/>
      <c r="GE26" s="145"/>
      <c r="GF26" s="145"/>
      <c r="GG26" s="145"/>
      <c r="GH26" s="145"/>
      <c r="GI26" s="145"/>
      <c r="GJ26" s="145"/>
      <c r="GK26" s="145"/>
      <c r="GL26" s="145"/>
      <c r="GM26" s="145"/>
      <c r="GN26" s="145"/>
      <c r="GO26" s="145"/>
      <c r="GP26" s="146"/>
      <c r="GQ26" s="145"/>
      <c r="GR26" s="145"/>
      <c r="GS26" s="145"/>
      <c r="GT26" s="145"/>
      <c r="GU26" s="145"/>
      <c r="GV26" s="145"/>
      <c r="GW26" s="145"/>
      <c r="GX26" s="145"/>
      <c r="GY26" s="145"/>
      <c r="GZ26" s="145"/>
      <c r="HA26" s="145"/>
      <c r="HB26" s="145"/>
      <c r="HC26" s="145"/>
      <c r="HD26" s="145"/>
      <c r="HE26" s="145"/>
      <c r="HF26" s="145"/>
      <c r="HG26" s="145"/>
      <c r="HH26" s="145"/>
      <c r="HI26" s="145"/>
      <c r="HJ26" s="145"/>
      <c r="HK26" s="145"/>
      <c r="HL26" s="145"/>
      <c r="HM26" s="145"/>
      <c r="HN26" s="145"/>
      <c r="HO26" s="145"/>
      <c r="HP26" s="145"/>
      <c r="HQ26" s="145"/>
      <c r="HR26" s="145"/>
      <c r="HS26" s="145"/>
      <c r="HT26" s="146"/>
      <c r="HU26" s="145"/>
      <c r="HV26" s="145"/>
      <c r="HW26" s="145"/>
      <c r="HX26" s="145"/>
      <c r="HY26" s="145"/>
      <c r="HZ26" s="145"/>
      <c r="IA26" s="145"/>
      <c r="IB26" s="145"/>
      <c r="IC26" s="145"/>
      <c r="ID26" s="145"/>
      <c r="IE26" s="145"/>
      <c r="IF26" s="145"/>
      <c r="IG26" s="145"/>
      <c r="IH26" s="145"/>
      <c r="II26" s="145"/>
      <c r="IJ26" s="145"/>
      <c r="IK26" s="145"/>
      <c r="IL26" s="145"/>
      <c r="IM26" s="145"/>
      <c r="IN26" s="145"/>
      <c r="IO26" s="145"/>
      <c r="IP26" s="145"/>
      <c r="IQ26" s="145"/>
      <c r="IR26" s="145"/>
      <c r="IS26" s="145"/>
      <c r="IT26" s="145"/>
      <c r="IU26" s="145"/>
      <c r="IV26" s="145"/>
      <c r="IW26" s="145"/>
      <c r="IX26" s="146"/>
      <c r="IY26" s="145"/>
      <c r="IZ26" s="145"/>
      <c r="JA26" s="145"/>
      <c r="JB26" s="145"/>
      <c r="JC26" s="145"/>
      <c r="JD26" s="145"/>
      <c r="JE26" s="145"/>
      <c r="JF26" s="145"/>
      <c r="JG26" s="145"/>
      <c r="JH26" s="145"/>
      <c r="JI26" s="145"/>
      <c r="JJ26" s="145"/>
      <c r="JK26" s="145"/>
      <c r="JL26" s="145"/>
      <c r="JM26" s="145"/>
      <c r="JN26" s="145"/>
      <c r="JO26" s="145"/>
      <c r="JP26" s="145"/>
      <c r="JQ26" s="145"/>
      <c r="JR26" s="145"/>
      <c r="JS26" s="145"/>
      <c r="JT26" s="145"/>
      <c r="JU26" s="145"/>
      <c r="JV26" s="145"/>
      <c r="JW26" s="145"/>
      <c r="JX26" s="145"/>
      <c r="JY26" s="145"/>
      <c r="JZ26" s="145"/>
      <c r="KA26" s="145"/>
      <c r="KB26" s="146"/>
      <c r="KC26" s="250">
        <f>ROUND(SUM(KC28:KE63),5)</f>
        <v>4.095E-2</v>
      </c>
      <c r="KD26" s="250"/>
      <c r="KE26" s="251"/>
      <c r="KF26" s="250">
        <f>ROUND(SUM(KF28:KH63),5)</f>
        <v>4.138E-2</v>
      </c>
      <c r="KG26" s="250"/>
      <c r="KH26" s="251"/>
      <c r="KI26" s="250">
        <f>ROUND(SUM(KI28:KK63),5)</f>
        <v>4.0169999999999997E-2</v>
      </c>
      <c r="KJ26" s="250"/>
      <c r="KK26" s="251"/>
      <c r="KL26" s="250">
        <f>ROUND(SUM(KL28:KN63),5)</f>
        <v>3.3529999999999997E-2</v>
      </c>
      <c r="KM26" s="250"/>
      <c r="KN26" s="251"/>
      <c r="KO26" s="250">
        <f>ROUND(SUM(KO28:KQ63),5)</f>
        <v>3.4229999999999997E-2</v>
      </c>
      <c r="KP26" s="250"/>
      <c r="KQ26" s="251"/>
      <c r="KR26" s="250">
        <f>ROUND(SUM(KR28:KT63),5)</f>
        <v>3.2960000000000003E-2</v>
      </c>
      <c r="KS26" s="250"/>
      <c r="KT26" s="251"/>
      <c r="KU26" s="250">
        <f>ROUND(SUM(KU28:KW63),5)</f>
        <v>2.8490000000000001E-2</v>
      </c>
      <c r="KV26" s="250"/>
      <c r="KW26" s="251"/>
      <c r="KX26" s="250">
        <f>ROUND(SUM(KX28:KZ63),5)</f>
        <v>2.801E-2</v>
      </c>
      <c r="KY26" s="250"/>
      <c r="KZ26" s="250"/>
      <c r="LA26" s="444">
        <f>ROUND(SUM(LA28:LC63),5)</f>
        <v>2.7890000000000002E-2</v>
      </c>
      <c r="LB26" s="250"/>
      <c r="LC26" s="445"/>
      <c r="LD26" s="250">
        <f>ROUND(SUM(LD28:LF63),5)</f>
        <v>2.367E-2</v>
      </c>
      <c r="LE26" s="250"/>
      <c r="LF26" s="251"/>
      <c r="LG26" s="250">
        <f>ROUND(SUM(LG28:LI63),5)</f>
        <v>2.3429999999999999E-2</v>
      </c>
      <c r="LH26" s="250"/>
      <c r="LI26" s="251"/>
      <c r="LJ26" s="250">
        <f>ROUND(SUM(LJ28:LL63),5)</f>
        <v>1.6389999999999998E-2</v>
      </c>
      <c r="LK26" s="250"/>
      <c r="LL26" s="251"/>
      <c r="LM26" s="250">
        <f>ROUND(SUM(LM28:LO63),5)</f>
        <v>1.6879999999999999E-2</v>
      </c>
      <c r="LN26" s="250"/>
      <c r="LO26" s="251"/>
      <c r="LP26" s="250">
        <f>ROUND(SUM(LP28:LR63),5)</f>
        <v>1.6879999999999999E-2</v>
      </c>
      <c r="LQ26" s="250"/>
      <c r="LR26" s="251"/>
      <c r="LS26" s="250">
        <f>ROUND(SUM(LS28:LU63),5)</f>
        <v>1.3469999999999999E-2</v>
      </c>
      <c r="LT26" s="250"/>
      <c r="LU26" s="251"/>
      <c r="LV26" s="250">
        <f>ROUND(SUM(LV28:LX63),5)</f>
        <v>1.3050000000000001E-2</v>
      </c>
      <c r="LW26" s="250"/>
      <c r="LX26" s="251"/>
      <c r="LY26" s="250">
        <f>ROUND(SUM(LY28:MA63),5)</f>
        <v>9.8099999999999993E-3</v>
      </c>
      <c r="LZ26" s="250"/>
      <c r="MA26" s="251"/>
      <c r="MB26" s="250">
        <f>ROUND(SUM(MB28:MD63),5)</f>
        <v>1.115E-2</v>
      </c>
      <c r="MC26" s="250"/>
      <c r="MD26" s="251"/>
      <c r="ME26" s="250">
        <f>ROUND(SUM(ME28:MG63),5)</f>
        <v>8.9200000000000008E-3</v>
      </c>
      <c r="MF26" s="250"/>
      <c r="MG26" s="251"/>
      <c r="MH26" s="250">
        <f>ROUND(SUM(MH28:MJ63),5)</f>
        <v>1.34E-3</v>
      </c>
      <c r="MI26" s="250"/>
      <c r="MJ26" s="251"/>
      <c r="MK26" s="250">
        <f>ROUND(SUM(MK28:MM63),5)</f>
        <v>0</v>
      </c>
      <c r="ML26" s="250"/>
      <c r="MM26" s="251"/>
      <c r="MN26" s="250">
        <f>ROUND(SUM(MN28:MP63),5)</f>
        <v>1.34E-3</v>
      </c>
      <c r="MO26" s="250"/>
      <c r="MP26" s="251"/>
      <c r="MQ26" s="250">
        <f>ROUND(SUM(MQ28:MS63),5)</f>
        <v>1.34E-3</v>
      </c>
      <c r="MR26" s="250"/>
      <c r="MS26" s="251"/>
      <c r="MT26" s="250">
        <f>ROUND(SUM(MT28:MV63),5)</f>
        <v>1.34E-3</v>
      </c>
      <c r="MU26" s="250"/>
      <c r="MV26" s="251"/>
      <c r="MW26" s="250">
        <f>ROUND(SUM(MW28:MY63),5)</f>
        <v>1.34E-3</v>
      </c>
      <c r="MX26" s="250"/>
      <c r="MY26" s="251"/>
      <c r="MZ26" s="250">
        <f>ROUND(SUM(MZ28:NB63),5)</f>
        <v>0</v>
      </c>
      <c r="NA26" s="250"/>
      <c r="NB26" s="251"/>
      <c r="NC26" s="265">
        <f>ROUND(SUM(NC28:NE63),5)</f>
        <v>0</v>
      </c>
      <c r="ND26" s="250"/>
      <c r="NE26" s="266"/>
      <c r="NG26" s="198">
        <f>SUM(R26:NE26)</f>
        <v>0.46796000000000004</v>
      </c>
      <c r="NH26" s="198">
        <f>SUM(NG28:NG63)</f>
        <v>0.5011000000000001</v>
      </c>
      <c r="NI26" s="1"/>
      <c r="NJ26" s="1"/>
      <c r="NK26" s="1"/>
    </row>
    <row r="27" spans="6:377" s="6" customFormat="1" ht="9.9499999999999993" customHeight="1">
      <c r="F27" s="194"/>
      <c r="G27" s="195"/>
      <c r="H27" s="52">
        <v>2</v>
      </c>
      <c r="L27" s="289"/>
      <c r="M27" s="290"/>
      <c r="N27" s="290"/>
      <c r="O27" s="291"/>
      <c r="P27" s="241"/>
      <c r="Q27" s="239"/>
      <c r="R27" s="393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2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  <c r="BS27" s="161"/>
      <c r="BT27" s="161"/>
      <c r="BU27" s="161"/>
      <c r="BV27" s="161"/>
      <c r="BW27" s="161"/>
      <c r="BX27" s="161"/>
      <c r="BY27" s="161"/>
      <c r="BZ27" s="162"/>
      <c r="CA27" s="161"/>
      <c r="CB27" s="161"/>
      <c r="CC27" s="161"/>
      <c r="CD27" s="161"/>
      <c r="CE27" s="161"/>
      <c r="CF27" s="161"/>
      <c r="CG27" s="161"/>
      <c r="CH27" s="161"/>
      <c r="CI27" s="161"/>
      <c r="CJ27" s="161"/>
      <c r="CK27" s="161"/>
      <c r="CL27" s="161"/>
      <c r="CM27" s="161"/>
      <c r="CN27" s="161"/>
      <c r="CO27" s="161"/>
      <c r="CP27" s="161"/>
      <c r="CQ27" s="161"/>
      <c r="CR27" s="161"/>
      <c r="CS27" s="161"/>
      <c r="CT27" s="161"/>
      <c r="CU27" s="161"/>
      <c r="CV27" s="161"/>
      <c r="CW27" s="161"/>
      <c r="CX27" s="161"/>
      <c r="CY27" s="161"/>
      <c r="CZ27" s="161"/>
      <c r="DA27" s="161"/>
      <c r="DB27" s="161"/>
      <c r="DC27" s="161"/>
      <c r="DD27" s="162"/>
      <c r="DE27" s="161"/>
      <c r="DF27" s="161"/>
      <c r="DG27" s="161"/>
      <c r="DH27" s="161"/>
      <c r="DI27" s="161"/>
      <c r="DJ27" s="161"/>
      <c r="DK27" s="161"/>
      <c r="DL27" s="161"/>
      <c r="DM27" s="161"/>
      <c r="DN27" s="161"/>
      <c r="DO27" s="161"/>
      <c r="DP27" s="161"/>
      <c r="DQ27" s="161"/>
      <c r="DR27" s="161"/>
      <c r="DS27" s="161"/>
      <c r="DT27" s="161"/>
      <c r="DU27" s="161"/>
      <c r="DV27" s="161"/>
      <c r="DW27" s="161"/>
      <c r="DX27" s="161"/>
      <c r="DY27" s="161"/>
      <c r="DZ27" s="161"/>
      <c r="EA27" s="161"/>
      <c r="EB27" s="161"/>
      <c r="EC27" s="161"/>
      <c r="ED27" s="161"/>
      <c r="EE27" s="161"/>
      <c r="EF27" s="161"/>
      <c r="EG27" s="161"/>
      <c r="EH27" s="162"/>
      <c r="EI27" s="161"/>
      <c r="EJ27" s="161"/>
      <c r="EK27" s="161"/>
      <c r="EL27" s="161"/>
      <c r="EM27" s="161"/>
      <c r="EN27" s="161"/>
      <c r="EO27" s="161"/>
      <c r="EP27" s="161"/>
      <c r="EQ27" s="161"/>
      <c r="ER27" s="161"/>
      <c r="ES27" s="161"/>
      <c r="ET27" s="161"/>
      <c r="EU27" s="161"/>
      <c r="EV27" s="161"/>
      <c r="EW27" s="161"/>
      <c r="EX27" s="161"/>
      <c r="EY27" s="161"/>
      <c r="EZ27" s="161"/>
      <c r="FA27" s="161"/>
      <c r="FB27" s="161"/>
      <c r="FC27" s="161"/>
      <c r="FD27" s="161"/>
      <c r="FE27" s="161"/>
      <c r="FF27" s="161"/>
      <c r="FG27" s="161"/>
      <c r="FH27" s="161"/>
      <c r="FI27" s="161"/>
      <c r="FJ27" s="161"/>
      <c r="FK27" s="161"/>
      <c r="FL27" s="162"/>
      <c r="FM27" s="161"/>
      <c r="FN27" s="161"/>
      <c r="FO27" s="161"/>
      <c r="FP27" s="161"/>
      <c r="FQ27" s="161"/>
      <c r="FR27" s="161"/>
      <c r="FS27" s="161"/>
      <c r="FT27" s="161"/>
      <c r="FU27" s="161"/>
      <c r="FV27" s="161"/>
      <c r="FW27" s="161"/>
      <c r="FX27" s="161"/>
      <c r="FY27" s="161"/>
      <c r="FZ27" s="161"/>
      <c r="GA27" s="161"/>
      <c r="GB27" s="161"/>
      <c r="GC27" s="161"/>
      <c r="GD27" s="161"/>
      <c r="GE27" s="161"/>
      <c r="GF27" s="161"/>
      <c r="GG27" s="161"/>
      <c r="GH27" s="161"/>
      <c r="GI27" s="161"/>
      <c r="GJ27" s="161"/>
      <c r="GK27" s="161"/>
      <c r="GL27" s="161"/>
      <c r="GM27" s="161"/>
      <c r="GN27" s="161"/>
      <c r="GO27" s="161"/>
      <c r="GP27" s="162"/>
      <c r="GQ27" s="161"/>
      <c r="GR27" s="161"/>
      <c r="GS27" s="161"/>
      <c r="GT27" s="161"/>
      <c r="GU27" s="161"/>
      <c r="GV27" s="161"/>
      <c r="GW27" s="161"/>
      <c r="GX27" s="161"/>
      <c r="GY27" s="161"/>
      <c r="GZ27" s="161"/>
      <c r="HA27" s="161"/>
      <c r="HB27" s="161"/>
      <c r="HC27" s="161"/>
      <c r="HD27" s="161"/>
      <c r="HE27" s="161"/>
      <c r="HF27" s="161"/>
      <c r="HG27" s="161"/>
      <c r="HH27" s="161"/>
      <c r="HI27" s="161"/>
      <c r="HJ27" s="161"/>
      <c r="HK27" s="161"/>
      <c r="HL27" s="161"/>
      <c r="HM27" s="161"/>
      <c r="HN27" s="161"/>
      <c r="HO27" s="161"/>
      <c r="HP27" s="161"/>
      <c r="HQ27" s="161"/>
      <c r="HR27" s="161"/>
      <c r="HS27" s="161"/>
      <c r="HT27" s="162"/>
      <c r="HU27" s="161"/>
      <c r="HV27" s="161"/>
      <c r="HW27" s="161"/>
      <c r="HX27" s="161"/>
      <c r="HY27" s="161"/>
      <c r="HZ27" s="161"/>
      <c r="IA27" s="161"/>
      <c r="IB27" s="161"/>
      <c r="IC27" s="161"/>
      <c r="ID27" s="161"/>
      <c r="IE27" s="161"/>
      <c r="IF27" s="161"/>
      <c r="IG27" s="161"/>
      <c r="IH27" s="161"/>
      <c r="II27" s="161"/>
      <c r="IJ27" s="161"/>
      <c r="IK27" s="161"/>
      <c r="IL27" s="161"/>
      <c r="IM27" s="161"/>
      <c r="IN27" s="161"/>
      <c r="IO27" s="161"/>
      <c r="IP27" s="161"/>
      <c r="IQ27" s="161"/>
      <c r="IR27" s="161"/>
      <c r="IS27" s="161"/>
      <c r="IT27" s="161"/>
      <c r="IU27" s="161"/>
      <c r="IV27" s="161"/>
      <c r="IW27" s="161"/>
      <c r="IX27" s="162"/>
      <c r="IY27" s="161"/>
      <c r="IZ27" s="161"/>
      <c r="JA27" s="161"/>
      <c r="JB27" s="161"/>
      <c r="JC27" s="161"/>
      <c r="JD27" s="161"/>
      <c r="JE27" s="161"/>
      <c r="JF27" s="161"/>
      <c r="JG27" s="161"/>
      <c r="JH27" s="161"/>
      <c r="JI27" s="161"/>
      <c r="JJ27" s="161"/>
      <c r="JK27" s="161"/>
      <c r="JL27" s="161"/>
      <c r="JM27" s="161"/>
      <c r="JN27" s="161"/>
      <c r="JO27" s="161"/>
      <c r="JP27" s="161"/>
      <c r="JQ27" s="161"/>
      <c r="JR27" s="161"/>
      <c r="JS27" s="161"/>
      <c r="JT27" s="161"/>
      <c r="JU27" s="161"/>
      <c r="JV27" s="161"/>
      <c r="JW27" s="161"/>
      <c r="JX27" s="161"/>
      <c r="JY27" s="161"/>
      <c r="JZ27" s="161"/>
      <c r="KA27" s="161"/>
      <c r="KB27" s="162"/>
      <c r="KC27" s="252"/>
      <c r="KD27" s="252"/>
      <c r="KE27" s="253"/>
      <c r="KF27" s="252"/>
      <c r="KG27" s="252"/>
      <c r="KH27" s="253"/>
      <c r="KI27" s="252"/>
      <c r="KJ27" s="252"/>
      <c r="KK27" s="253"/>
      <c r="KL27" s="252"/>
      <c r="KM27" s="252"/>
      <c r="KN27" s="253"/>
      <c r="KO27" s="252"/>
      <c r="KP27" s="252"/>
      <c r="KQ27" s="253"/>
      <c r="KR27" s="252"/>
      <c r="KS27" s="252"/>
      <c r="KT27" s="253"/>
      <c r="KU27" s="252"/>
      <c r="KV27" s="252"/>
      <c r="KW27" s="253"/>
      <c r="KX27" s="252"/>
      <c r="KY27" s="252"/>
      <c r="KZ27" s="252"/>
      <c r="LA27" s="446"/>
      <c r="LB27" s="252"/>
      <c r="LC27" s="447"/>
      <c r="LD27" s="252"/>
      <c r="LE27" s="252"/>
      <c r="LF27" s="253"/>
      <c r="LG27" s="252"/>
      <c r="LH27" s="252"/>
      <c r="LI27" s="253"/>
      <c r="LJ27" s="252"/>
      <c r="LK27" s="252"/>
      <c r="LL27" s="253"/>
      <c r="LM27" s="252"/>
      <c r="LN27" s="252"/>
      <c r="LO27" s="253"/>
      <c r="LP27" s="252"/>
      <c r="LQ27" s="252"/>
      <c r="LR27" s="253"/>
      <c r="LS27" s="252"/>
      <c r="LT27" s="252"/>
      <c r="LU27" s="253"/>
      <c r="LV27" s="252"/>
      <c r="LW27" s="252"/>
      <c r="LX27" s="253"/>
      <c r="LY27" s="252"/>
      <c r="LZ27" s="252"/>
      <c r="MA27" s="253"/>
      <c r="MB27" s="252"/>
      <c r="MC27" s="252"/>
      <c r="MD27" s="253"/>
      <c r="ME27" s="252"/>
      <c r="MF27" s="252"/>
      <c r="MG27" s="253"/>
      <c r="MH27" s="252"/>
      <c r="MI27" s="252"/>
      <c r="MJ27" s="253"/>
      <c r="MK27" s="252"/>
      <c r="ML27" s="252"/>
      <c r="MM27" s="253"/>
      <c r="MN27" s="252"/>
      <c r="MO27" s="252"/>
      <c r="MP27" s="253"/>
      <c r="MQ27" s="252"/>
      <c r="MR27" s="252"/>
      <c r="MS27" s="253"/>
      <c r="MT27" s="252"/>
      <c r="MU27" s="252"/>
      <c r="MV27" s="253"/>
      <c r="MW27" s="252"/>
      <c r="MX27" s="252"/>
      <c r="MY27" s="253"/>
      <c r="MZ27" s="252"/>
      <c r="NA27" s="252"/>
      <c r="NB27" s="253"/>
      <c r="NC27" s="267"/>
      <c r="ND27" s="268"/>
      <c r="NE27" s="269"/>
      <c r="NG27" s="198"/>
      <c r="NH27" s="198"/>
      <c r="NI27" s="1"/>
      <c r="NJ27" s="1"/>
      <c r="NK27" s="1"/>
    </row>
    <row r="28" spans="6:377" s="6" customFormat="1" ht="9.9499999999999993" customHeight="1">
      <c r="F28" s="196">
        <f>NG28</f>
        <v>5.5999999999999973E-4</v>
      </c>
      <c r="G28" s="197">
        <f>Q28-F28</f>
        <v>0</v>
      </c>
      <c r="H28" s="27">
        <v>1</v>
      </c>
      <c r="J28" s="6" t="s">
        <v>172</v>
      </c>
      <c r="K28" s="6" t="s">
        <v>173</v>
      </c>
      <c r="L28" s="339"/>
      <c r="M28" s="293" t="s">
        <v>29</v>
      </c>
      <c r="N28" s="356">
        <v>2448</v>
      </c>
      <c r="O28" s="352" t="s">
        <v>34</v>
      </c>
      <c r="P28" s="307">
        <v>116177</v>
      </c>
      <c r="Q28" s="236">
        <f>ROUND(P28/$P$256,5)</f>
        <v>5.5999999999999995E-4</v>
      </c>
      <c r="R28" s="21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56">
        <f>0.01%*0.3/30</f>
        <v>9.9999999999999995E-7</v>
      </c>
      <c r="AX28" s="156">
        <f>AW28</f>
        <v>9.9999999999999995E-7</v>
      </c>
      <c r="AY28" s="156">
        <f t="shared" ref="AY28:BZ28" si="258">AX28</f>
        <v>9.9999999999999995E-7</v>
      </c>
      <c r="AZ28" s="156">
        <f t="shared" si="258"/>
        <v>9.9999999999999995E-7</v>
      </c>
      <c r="BA28" s="156">
        <f t="shared" si="258"/>
        <v>9.9999999999999995E-7</v>
      </c>
      <c r="BB28" s="156">
        <f t="shared" si="258"/>
        <v>9.9999999999999995E-7</v>
      </c>
      <c r="BC28" s="156">
        <f t="shared" si="258"/>
        <v>9.9999999999999995E-7</v>
      </c>
      <c r="BD28" s="156">
        <f t="shared" si="258"/>
        <v>9.9999999999999995E-7</v>
      </c>
      <c r="BE28" s="156">
        <f t="shared" si="258"/>
        <v>9.9999999999999995E-7</v>
      </c>
      <c r="BF28" s="156">
        <f t="shared" si="258"/>
        <v>9.9999999999999995E-7</v>
      </c>
      <c r="BG28" s="156">
        <f t="shared" si="258"/>
        <v>9.9999999999999995E-7</v>
      </c>
      <c r="BH28" s="156">
        <f t="shared" si="258"/>
        <v>9.9999999999999995E-7</v>
      </c>
      <c r="BI28" s="156">
        <f t="shared" si="258"/>
        <v>9.9999999999999995E-7</v>
      </c>
      <c r="BJ28" s="156">
        <f t="shared" si="258"/>
        <v>9.9999999999999995E-7</v>
      </c>
      <c r="BK28" s="156">
        <f t="shared" si="258"/>
        <v>9.9999999999999995E-7</v>
      </c>
      <c r="BL28" s="156">
        <f t="shared" si="258"/>
        <v>9.9999999999999995E-7</v>
      </c>
      <c r="BM28" s="156">
        <f t="shared" si="258"/>
        <v>9.9999999999999995E-7</v>
      </c>
      <c r="BN28" s="156">
        <f t="shared" si="258"/>
        <v>9.9999999999999995E-7</v>
      </c>
      <c r="BO28" s="156">
        <f t="shared" si="258"/>
        <v>9.9999999999999995E-7</v>
      </c>
      <c r="BP28" s="156">
        <f t="shared" si="258"/>
        <v>9.9999999999999995E-7</v>
      </c>
      <c r="BQ28" s="156">
        <f t="shared" si="258"/>
        <v>9.9999999999999995E-7</v>
      </c>
      <c r="BR28" s="156">
        <f t="shared" si="258"/>
        <v>9.9999999999999995E-7</v>
      </c>
      <c r="BS28" s="156">
        <f t="shared" si="258"/>
        <v>9.9999999999999995E-7</v>
      </c>
      <c r="BT28" s="156">
        <f t="shared" si="258"/>
        <v>9.9999999999999995E-7</v>
      </c>
      <c r="BU28" s="156">
        <f t="shared" si="258"/>
        <v>9.9999999999999995E-7</v>
      </c>
      <c r="BV28" s="156">
        <f t="shared" si="258"/>
        <v>9.9999999999999995E-7</v>
      </c>
      <c r="BW28" s="156">
        <f t="shared" si="258"/>
        <v>9.9999999999999995E-7</v>
      </c>
      <c r="BX28" s="156">
        <f t="shared" si="258"/>
        <v>9.9999999999999995E-7</v>
      </c>
      <c r="BY28" s="156">
        <f t="shared" si="258"/>
        <v>9.9999999999999995E-7</v>
      </c>
      <c r="BZ28" s="156">
        <f t="shared" si="258"/>
        <v>9.9999999999999995E-7</v>
      </c>
      <c r="CA28" s="156">
        <f>0.01%*0.3/30</f>
        <v>9.9999999999999995E-7</v>
      </c>
      <c r="CB28" s="156">
        <f>CA28</f>
        <v>9.9999999999999995E-7</v>
      </c>
      <c r="CC28" s="156">
        <f t="shared" ref="CC28:DD28" si="259">CB28</f>
        <v>9.9999999999999995E-7</v>
      </c>
      <c r="CD28" s="156">
        <f t="shared" si="259"/>
        <v>9.9999999999999995E-7</v>
      </c>
      <c r="CE28" s="156">
        <f t="shared" si="259"/>
        <v>9.9999999999999995E-7</v>
      </c>
      <c r="CF28" s="156">
        <f t="shared" si="259"/>
        <v>9.9999999999999995E-7</v>
      </c>
      <c r="CG28" s="156">
        <f t="shared" si="259"/>
        <v>9.9999999999999995E-7</v>
      </c>
      <c r="CH28" s="156">
        <f t="shared" si="259"/>
        <v>9.9999999999999995E-7</v>
      </c>
      <c r="CI28" s="156">
        <f t="shared" si="259"/>
        <v>9.9999999999999995E-7</v>
      </c>
      <c r="CJ28" s="156">
        <f t="shared" si="259"/>
        <v>9.9999999999999995E-7</v>
      </c>
      <c r="CK28" s="156">
        <f t="shared" si="259"/>
        <v>9.9999999999999995E-7</v>
      </c>
      <c r="CL28" s="156">
        <f t="shared" si="259"/>
        <v>9.9999999999999995E-7</v>
      </c>
      <c r="CM28" s="156">
        <f t="shared" si="259"/>
        <v>9.9999999999999995E-7</v>
      </c>
      <c r="CN28" s="156">
        <f t="shared" si="259"/>
        <v>9.9999999999999995E-7</v>
      </c>
      <c r="CO28" s="156">
        <f t="shared" si="259"/>
        <v>9.9999999999999995E-7</v>
      </c>
      <c r="CP28" s="156">
        <f t="shared" si="259"/>
        <v>9.9999999999999995E-7</v>
      </c>
      <c r="CQ28" s="156">
        <f t="shared" si="259"/>
        <v>9.9999999999999995E-7</v>
      </c>
      <c r="CR28" s="156">
        <f t="shared" si="259"/>
        <v>9.9999999999999995E-7</v>
      </c>
      <c r="CS28" s="156">
        <f t="shared" si="259"/>
        <v>9.9999999999999995E-7</v>
      </c>
      <c r="CT28" s="156">
        <f t="shared" si="259"/>
        <v>9.9999999999999995E-7</v>
      </c>
      <c r="CU28" s="156">
        <f t="shared" si="259"/>
        <v>9.9999999999999995E-7</v>
      </c>
      <c r="CV28" s="156">
        <f t="shared" si="259"/>
        <v>9.9999999999999995E-7</v>
      </c>
      <c r="CW28" s="156">
        <f t="shared" si="259"/>
        <v>9.9999999999999995E-7</v>
      </c>
      <c r="CX28" s="156">
        <f t="shared" si="259"/>
        <v>9.9999999999999995E-7</v>
      </c>
      <c r="CY28" s="156">
        <f t="shared" si="259"/>
        <v>9.9999999999999995E-7</v>
      </c>
      <c r="CZ28" s="156">
        <f t="shared" si="259"/>
        <v>9.9999999999999995E-7</v>
      </c>
      <c r="DA28" s="156">
        <f t="shared" si="259"/>
        <v>9.9999999999999995E-7</v>
      </c>
      <c r="DB28" s="156">
        <f t="shared" si="259"/>
        <v>9.9999999999999995E-7</v>
      </c>
      <c r="DC28" s="156">
        <f t="shared" si="259"/>
        <v>9.9999999999999995E-7</v>
      </c>
      <c r="DD28" s="156">
        <f t="shared" si="259"/>
        <v>9.9999999999999995E-7</v>
      </c>
      <c r="DE28" s="156">
        <f>0.02%*0.3/30</f>
        <v>1.9999999999999999E-6</v>
      </c>
      <c r="DF28" s="156">
        <f>DE28</f>
        <v>1.9999999999999999E-6</v>
      </c>
      <c r="DG28" s="156">
        <f t="shared" ref="DG28:EH28" si="260">DF28</f>
        <v>1.9999999999999999E-6</v>
      </c>
      <c r="DH28" s="156">
        <f t="shared" si="260"/>
        <v>1.9999999999999999E-6</v>
      </c>
      <c r="DI28" s="156">
        <f t="shared" si="260"/>
        <v>1.9999999999999999E-6</v>
      </c>
      <c r="DJ28" s="156">
        <f t="shared" si="260"/>
        <v>1.9999999999999999E-6</v>
      </c>
      <c r="DK28" s="156">
        <f t="shared" si="260"/>
        <v>1.9999999999999999E-6</v>
      </c>
      <c r="DL28" s="156">
        <f t="shared" si="260"/>
        <v>1.9999999999999999E-6</v>
      </c>
      <c r="DM28" s="156">
        <f t="shared" si="260"/>
        <v>1.9999999999999999E-6</v>
      </c>
      <c r="DN28" s="156">
        <f t="shared" si="260"/>
        <v>1.9999999999999999E-6</v>
      </c>
      <c r="DO28" s="156">
        <f t="shared" si="260"/>
        <v>1.9999999999999999E-6</v>
      </c>
      <c r="DP28" s="156">
        <f t="shared" si="260"/>
        <v>1.9999999999999999E-6</v>
      </c>
      <c r="DQ28" s="156">
        <f t="shared" si="260"/>
        <v>1.9999999999999999E-6</v>
      </c>
      <c r="DR28" s="156">
        <f t="shared" si="260"/>
        <v>1.9999999999999999E-6</v>
      </c>
      <c r="DS28" s="156">
        <f t="shared" si="260"/>
        <v>1.9999999999999999E-6</v>
      </c>
      <c r="DT28" s="156">
        <f t="shared" si="260"/>
        <v>1.9999999999999999E-6</v>
      </c>
      <c r="DU28" s="156">
        <f t="shared" si="260"/>
        <v>1.9999999999999999E-6</v>
      </c>
      <c r="DV28" s="156">
        <f t="shared" si="260"/>
        <v>1.9999999999999999E-6</v>
      </c>
      <c r="DW28" s="156">
        <f t="shared" si="260"/>
        <v>1.9999999999999999E-6</v>
      </c>
      <c r="DX28" s="156">
        <f t="shared" si="260"/>
        <v>1.9999999999999999E-6</v>
      </c>
      <c r="DY28" s="156">
        <f t="shared" si="260"/>
        <v>1.9999999999999999E-6</v>
      </c>
      <c r="DZ28" s="156">
        <f t="shared" si="260"/>
        <v>1.9999999999999999E-6</v>
      </c>
      <c r="EA28" s="156">
        <f t="shared" si="260"/>
        <v>1.9999999999999999E-6</v>
      </c>
      <c r="EB28" s="156">
        <f t="shared" si="260"/>
        <v>1.9999999999999999E-6</v>
      </c>
      <c r="EC28" s="156">
        <f t="shared" si="260"/>
        <v>1.9999999999999999E-6</v>
      </c>
      <c r="ED28" s="156">
        <f t="shared" si="260"/>
        <v>1.9999999999999999E-6</v>
      </c>
      <c r="EE28" s="156">
        <f t="shared" si="260"/>
        <v>1.9999999999999999E-6</v>
      </c>
      <c r="EF28" s="156">
        <f t="shared" si="260"/>
        <v>1.9999999999999999E-6</v>
      </c>
      <c r="EG28" s="156">
        <f t="shared" si="260"/>
        <v>1.9999999999999999E-6</v>
      </c>
      <c r="EH28" s="156">
        <f t="shared" si="260"/>
        <v>1.9999999999999999E-6</v>
      </c>
      <c r="EI28" s="156"/>
      <c r="EJ28" s="156"/>
      <c r="EK28" s="156"/>
      <c r="EL28" s="156"/>
      <c r="EM28" s="156"/>
      <c r="EN28" s="156"/>
      <c r="EO28" s="156"/>
      <c r="EP28" s="156"/>
      <c r="EQ28" s="156"/>
      <c r="ER28" s="156"/>
      <c r="ES28" s="156"/>
      <c r="ET28" s="156"/>
      <c r="EU28" s="156"/>
      <c r="EV28" s="156"/>
      <c r="EW28" s="156"/>
      <c r="EX28" s="156"/>
      <c r="EY28" s="156"/>
      <c r="EZ28" s="156"/>
      <c r="FA28" s="156"/>
      <c r="FB28" s="156"/>
      <c r="FC28" s="156"/>
      <c r="FD28" s="156"/>
      <c r="FE28" s="156"/>
      <c r="FF28" s="156"/>
      <c r="FG28" s="156"/>
      <c r="FH28" s="156"/>
      <c r="FI28" s="156"/>
      <c r="FJ28" s="156"/>
      <c r="FK28" s="156"/>
      <c r="FL28" s="156"/>
      <c r="FM28" s="156"/>
      <c r="FN28" s="156"/>
      <c r="FO28" s="156"/>
      <c r="FP28" s="156"/>
      <c r="FQ28" s="156"/>
      <c r="FR28" s="156"/>
      <c r="FS28" s="156"/>
      <c r="FT28" s="156"/>
      <c r="FU28" s="156"/>
      <c r="FV28" s="156"/>
      <c r="FW28" s="156"/>
      <c r="FX28" s="156"/>
      <c r="FY28" s="156"/>
      <c r="FZ28" s="156"/>
      <c r="GA28" s="156"/>
      <c r="GB28" s="156"/>
      <c r="GC28" s="156"/>
      <c r="GD28" s="156"/>
      <c r="GE28" s="156"/>
      <c r="GF28" s="156"/>
      <c r="GG28" s="156"/>
      <c r="GH28" s="156"/>
      <c r="GI28" s="156"/>
      <c r="GJ28" s="156"/>
      <c r="GK28" s="156"/>
      <c r="GL28" s="156"/>
      <c r="GM28" s="156"/>
      <c r="GN28" s="156"/>
      <c r="GO28" s="156"/>
      <c r="GP28" s="156"/>
      <c r="GQ28" s="53"/>
      <c r="GR28" s="54"/>
      <c r="GS28" s="54"/>
      <c r="GT28" s="54"/>
      <c r="GU28" s="54"/>
      <c r="GV28" s="54"/>
      <c r="GW28" s="54"/>
      <c r="GX28" s="54"/>
      <c r="GY28" s="54"/>
      <c r="GZ28" s="54"/>
      <c r="HA28" s="54"/>
      <c r="HB28" s="54"/>
      <c r="HC28" s="54"/>
      <c r="HD28" s="54"/>
      <c r="HE28" s="54"/>
      <c r="HF28" s="54"/>
      <c r="HG28" s="54"/>
      <c r="HH28" s="54"/>
      <c r="HI28" s="54"/>
      <c r="HJ28" s="54"/>
      <c r="HK28" s="54"/>
      <c r="HL28" s="54"/>
      <c r="HM28" s="54"/>
      <c r="HN28" s="54"/>
      <c r="HO28" s="54"/>
      <c r="HP28" s="54"/>
      <c r="HQ28" s="54"/>
      <c r="HR28" s="54"/>
      <c r="HS28" s="54"/>
      <c r="HT28" s="55"/>
      <c r="HU28" s="53"/>
      <c r="HV28" s="54"/>
      <c r="HW28" s="54"/>
      <c r="HX28" s="54"/>
      <c r="HY28" s="54"/>
      <c r="HZ28" s="54"/>
      <c r="IA28" s="54"/>
      <c r="IB28" s="54"/>
      <c r="IC28" s="54"/>
      <c r="ID28" s="54"/>
      <c r="IE28" s="54"/>
      <c r="IF28" s="54"/>
      <c r="IG28" s="54"/>
      <c r="IH28" s="54"/>
      <c r="II28" s="54"/>
      <c r="IJ28" s="54"/>
      <c r="IK28" s="54"/>
      <c r="IL28" s="54"/>
      <c r="IM28" s="54"/>
      <c r="IN28" s="54"/>
      <c r="IO28" s="54"/>
      <c r="IP28" s="54"/>
      <c r="IQ28" s="54"/>
      <c r="IR28" s="54"/>
      <c r="IS28" s="54"/>
      <c r="IT28" s="54"/>
      <c r="IU28" s="54"/>
      <c r="IV28" s="54"/>
      <c r="IW28" s="54"/>
      <c r="IX28" s="54"/>
      <c r="IY28" s="56"/>
      <c r="IZ28" s="54"/>
      <c r="JA28" s="54"/>
      <c r="JB28" s="54"/>
      <c r="JC28" s="54"/>
      <c r="JD28" s="54"/>
      <c r="JE28" s="54"/>
      <c r="JF28" s="54"/>
      <c r="JG28" s="54"/>
      <c r="JH28" s="54"/>
      <c r="JI28" s="54"/>
      <c r="JJ28" s="54"/>
      <c r="JK28" s="54"/>
      <c r="JL28" s="54"/>
      <c r="JM28" s="54"/>
      <c r="JN28" s="54"/>
      <c r="JO28" s="54"/>
      <c r="JP28" s="54"/>
      <c r="JQ28" s="54"/>
      <c r="JR28" s="54"/>
      <c r="JS28" s="54"/>
      <c r="JT28" s="54"/>
      <c r="JU28" s="54"/>
      <c r="JV28" s="54"/>
      <c r="JW28" s="54"/>
      <c r="JX28" s="54"/>
      <c r="JY28" s="54"/>
      <c r="JZ28" s="54"/>
      <c r="KA28" s="54"/>
      <c r="KB28" s="54"/>
      <c r="KC28" s="212">
        <v>1.1E-4</v>
      </c>
      <c r="KD28" s="212"/>
      <c r="KE28" s="212"/>
      <c r="KF28" s="212">
        <v>1.1E-4</v>
      </c>
      <c r="KG28" s="212"/>
      <c r="KH28" s="212"/>
      <c r="KI28" s="212">
        <v>1.1E-4</v>
      </c>
      <c r="KJ28" s="212"/>
      <c r="KK28" s="212"/>
      <c r="KL28" s="212">
        <v>1.1E-4</v>
      </c>
      <c r="KM28" s="212"/>
      <c r="KN28" s="212"/>
      <c r="KO28" s="54"/>
      <c r="KP28" s="54"/>
      <c r="KQ28" s="54"/>
      <c r="KR28" s="53"/>
      <c r="KS28" s="54"/>
      <c r="KT28" s="55"/>
      <c r="KU28" s="54"/>
      <c r="KV28" s="54"/>
      <c r="KW28" s="54"/>
      <c r="KX28" s="53"/>
      <c r="KY28" s="54"/>
      <c r="KZ28" s="54"/>
      <c r="LA28" s="57"/>
      <c r="LB28" s="54"/>
      <c r="LC28" s="58"/>
      <c r="LD28" s="54"/>
      <c r="LE28" s="54"/>
      <c r="LF28" s="55"/>
      <c r="LG28" s="54"/>
      <c r="LH28" s="54"/>
      <c r="LI28" s="55"/>
      <c r="LJ28" s="53"/>
      <c r="LK28" s="54"/>
      <c r="LL28" s="55"/>
      <c r="LM28" s="53"/>
      <c r="LN28" s="54"/>
      <c r="LO28" s="55"/>
      <c r="LP28" s="53"/>
      <c r="LQ28" s="54"/>
      <c r="LR28" s="55"/>
      <c r="LS28" s="53"/>
      <c r="LT28" s="54"/>
      <c r="LU28" s="55"/>
      <c r="LV28" s="54"/>
      <c r="LW28" s="54"/>
      <c r="LX28" s="54"/>
      <c r="LY28" s="53"/>
      <c r="LZ28" s="54"/>
      <c r="MA28" s="55"/>
      <c r="MB28" s="54"/>
      <c r="MC28" s="54"/>
      <c r="MD28" s="54"/>
      <c r="ME28" s="53"/>
      <c r="MF28" s="54"/>
      <c r="MG28" s="55"/>
      <c r="MH28" s="53"/>
      <c r="MI28" s="54"/>
      <c r="MJ28" s="55"/>
      <c r="MK28" s="54"/>
      <c r="ML28" s="54"/>
      <c r="MM28" s="54"/>
      <c r="MN28" s="53"/>
      <c r="MO28" s="54"/>
      <c r="MP28" s="55"/>
      <c r="MQ28" s="53"/>
      <c r="MR28" s="54"/>
      <c r="MS28" s="55"/>
      <c r="MT28" s="53"/>
      <c r="MU28" s="54"/>
      <c r="MV28" s="55"/>
      <c r="MW28" s="53"/>
      <c r="MX28" s="54"/>
      <c r="MY28" s="55"/>
      <c r="MZ28" s="53"/>
      <c r="NA28" s="54"/>
      <c r="NB28" s="55"/>
      <c r="NC28" s="54"/>
      <c r="ND28" s="54"/>
      <c r="NE28" s="59"/>
      <c r="NG28" s="275">
        <f>SUM(R28:NE28)</f>
        <v>5.5999999999999973E-4</v>
      </c>
      <c r="NH28" s="1"/>
      <c r="NI28" s="1"/>
      <c r="NJ28" s="1"/>
      <c r="NK28" s="1"/>
    </row>
    <row r="29" spans="6:377" s="6" customFormat="1" ht="6.95" customHeight="1">
      <c r="F29" s="196"/>
      <c r="G29" s="197"/>
      <c r="H29" s="52">
        <v>2</v>
      </c>
      <c r="L29" s="340"/>
      <c r="M29" s="294"/>
      <c r="N29" s="357"/>
      <c r="O29" s="353"/>
      <c r="P29" s="308"/>
      <c r="Q29" s="237"/>
      <c r="R29" s="6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61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3"/>
      <c r="CA29" s="61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1"/>
      <c r="DF29" s="62"/>
      <c r="DG29" s="62"/>
      <c r="DH29" s="62"/>
      <c r="DI29" s="62"/>
      <c r="DJ29" s="62"/>
      <c r="DK29" s="62"/>
      <c r="DL29" s="62"/>
      <c r="DM29" s="62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E29" s="62"/>
      <c r="EF29" s="62"/>
      <c r="EG29" s="62"/>
      <c r="EH29" s="62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39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1"/>
      <c r="GQ29" s="39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1"/>
      <c r="HU29" s="39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  <c r="IU29" s="40"/>
      <c r="IV29" s="40"/>
      <c r="IW29" s="40"/>
      <c r="IX29" s="40"/>
      <c r="IY29" s="39"/>
      <c r="IZ29" s="40"/>
      <c r="JA29" s="40"/>
      <c r="JB29" s="40"/>
      <c r="JC29" s="40"/>
      <c r="JD29" s="40"/>
      <c r="JE29" s="40"/>
      <c r="JF29" s="40"/>
      <c r="JG29" s="40"/>
      <c r="JH29" s="40"/>
      <c r="JI29" s="40"/>
      <c r="JJ29" s="40"/>
      <c r="JK29" s="40"/>
      <c r="JL29" s="40"/>
      <c r="JM29" s="40"/>
      <c r="JN29" s="40"/>
      <c r="JO29" s="40"/>
      <c r="JP29" s="40"/>
      <c r="JQ29" s="40"/>
      <c r="JR29" s="40"/>
      <c r="JS29" s="40"/>
      <c r="JT29" s="40"/>
      <c r="JU29" s="40"/>
      <c r="JV29" s="40"/>
      <c r="JW29" s="40"/>
      <c r="JX29" s="40"/>
      <c r="JY29" s="40"/>
      <c r="JZ29" s="40"/>
      <c r="KA29" s="40"/>
      <c r="KB29" s="40"/>
      <c r="KC29" s="61"/>
      <c r="KD29" s="62"/>
      <c r="KE29" s="63"/>
      <c r="KF29" s="61"/>
      <c r="KG29" s="62"/>
      <c r="KH29" s="63"/>
      <c r="KI29" s="61"/>
      <c r="KJ29" s="62"/>
      <c r="KK29" s="63"/>
      <c r="KL29" s="61"/>
      <c r="KM29" s="62"/>
      <c r="KN29" s="63"/>
      <c r="KO29" s="40"/>
      <c r="KP29" s="40"/>
      <c r="KQ29" s="40"/>
      <c r="KR29" s="39"/>
      <c r="KS29" s="40"/>
      <c r="KT29" s="41"/>
      <c r="KU29" s="40"/>
      <c r="KV29" s="40"/>
      <c r="KW29" s="40"/>
      <c r="KX29" s="39"/>
      <c r="KY29" s="40"/>
      <c r="KZ29" s="40"/>
      <c r="LA29" s="64"/>
      <c r="LB29" s="40"/>
      <c r="LC29" s="65"/>
      <c r="LD29" s="40"/>
      <c r="LE29" s="40"/>
      <c r="LF29" s="41"/>
      <c r="LG29" s="40"/>
      <c r="LH29" s="40"/>
      <c r="LI29" s="41"/>
      <c r="LJ29" s="39"/>
      <c r="LK29" s="40"/>
      <c r="LL29" s="41"/>
      <c r="LM29" s="39"/>
      <c r="LN29" s="40"/>
      <c r="LO29" s="41"/>
      <c r="LP29" s="39"/>
      <c r="LQ29" s="40"/>
      <c r="LR29" s="41"/>
      <c r="LS29" s="39"/>
      <c r="LT29" s="40"/>
      <c r="LU29" s="41"/>
      <c r="LV29" s="40"/>
      <c r="LW29" s="40"/>
      <c r="LX29" s="40"/>
      <c r="LY29" s="39"/>
      <c r="LZ29" s="40"/>
      <c r="MA29" s="41"/>
      <c r="MB29" s="40"/>
      <c r="MC29" s="40"/>
      <c r="MD29" s="40"/>
      <c r="ME29" s="39"/>
      <c r="MF29" s="40"/>
      <c r="MG29" s="41"/>
      <c r="MH29" s="39"/>
      <c r="MI29" s="40"/>
      <c r="MJ29" s="41"/>
      <c r="MK29" s="40"/>
      <c r="ML29" s="40"/>
      <c r="MM29" s="40"/>
      <c r="MN29" s="39"/>
      <c r="MO29" s="40"/>
      <c r="MP29" s="41"/>
      <c r="MQ29" s="39"/>
      <c r="MR29" s="40"/>
      <c r="MS29" s="41"/>
      <c r="MT29" s="39"/>
      <c r="MU29" s="40"/>
      <c r="MV29" s="41"/>
      <c r="MW29" s="39"/>
      <c r="MX29" s="40"/>
      <c r="MY29" s="41"/>
      <c r="MZ29" s="39"/>
      <c r="NA29" s="40"/>
      <c r="NB29" s="41"/>
      <c r="NC29" s="40"/>
      <c r="ND29" s="40"/>
      <c r="NE29" s="42"/>
      <c r="NG29" s="275"/>
      <c r="NH29" s="1"/>
      <c r="NI29" s="1"/>
      <c r="NJ29" s="1"/>
      <c r="NK29" s="1"/>
    </row>
    <row r="30" spans="6:377" s="6" customFormat="1" ht="9.9499999999999993" customHeight="1">
      <c r="F30" s="196">
        <f t="shared" ref="F30" si="261">NG30</f>
        <v>7.3999999999999988E-4</v>
      </c>
      <c r="G30" s="197">
        <f>Q30-F30</f>
        <v>0</v>
      </c>
      <c r="H30" s="27">
        <v>1</v>
      </c>
      <c r="J30" s="6" t="s">
        <v>172</v>
      </c>
      <c r="K30" s="6" t="s">
        <v>174</v>
      </c>
      <c r="L30" s="292"/>
      <c r="M30" s="295" t="s">
        <v>30</v>
      </c>
      <c r="N30" s="296">
        <v>4828</v>
      </c>
      <c r="O30" s="297" t="s">
        <v>34</v>
      </c>
      <c r="P30" s="315">
        <v>154934</v>
      </c>
      <c r="Q30" s="236">
        <f>ROUND(P30/$P$256,5)</f>
        <v>7.3999999999999999E-4</v>
      </c>
      <c r="R30" s="2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57">
        <f>0.01%*0.3/30</f>
        <v>9.9999999999999995E-7</v>
      </c>
      <c r="AX30" s="156">
        <f>AW30</f>
        <v>9.9999999999999995E-7</v>
      </c>
      <c r="AY30" s="157">
        <f t="shared" ref="AY30:BZ30" si="262">AX30</f>
        <v>9.9999999999999995E-7</v>
      </c>
      <c r="AZ30" s="157">
        <f t="shared" si="262"/>
        <v>9.9999999999999995E-7</v>
      </c>
      <c r="BA30" s="157">
        <f t="shared" si="262"/>
        <v>9.9999999999999995E-7</v>
      </c>
      <c r="BB30" s="157">
        <f t="shared" si="262"/>
        <v>9.9999999999999995E-7</v>
      </c>
      <c r="BC30" s="157">
        <f t="shared" si="262"/>
        <v>9.9999999999999995E-7</v>
      </c>
      <c r="BD30" s="157">
        <f t="shared" si="262"/>
        <v>9.9999999999999995E-7</v>
      </c>
      <c r="BE30" s="157">
        <f t="shared" si="262"/>
        <v>9.9999999999999995E-7</v>
      </c>
      <c r="BF30" s="157">
        <f t="shared" si="262"/>
        <v>9.9999999999999995E-7</v>
      </c>
      <c r="BG30" s="157">
        <f t="shared" si="262"/>
        <v>9.9999999999999995E-7</v>
      </c>
      <c r="BH30" s="157">
        <f t="shared" si="262"/>
        <v>9.9999999999999995E-7</v>
      </c>
      <c r="BI30" s="157">
        <f t="shared" si="262"/>
        <v>9.9999999999999995E-7</v>
      </c>
      <c r="BJ30" s="157">
        <f t="shared" si="262"/>
        <v>9.9999999999999995E-7</v>
      </c>
      <c r="BK30" s="157">
        <f t="shared" si="262"/>
        <v>9.9999999999999995E-7</v>
      </c>
      <c r="BL30" s="157">
        <f t="shared" si="262"/>
        <v>9.9999999999999995E-7</v>
      </c>
      <c r="BM30" s="157">
        <f t="shared" si="262"/>
        <v>9.9999999999999995E-7</v>
      </c>
      <c r="BN30" s="157">
        <f t="shared" si="262"/>
        <v>9.9999999999999995E-7</v>
      </c>
      <c r="BO30" s="157">
        <f t="shared" si="262"/>
        <v>9.9999999999999995E-7</v>
      </c>
      <c r="BP30" s="157">
        <f t="shared" si="262"/>
        <v>9.9999999999999995E-7</v>
      </c>
      <c r="BQ30" s="157">
        <f t="shared" si="262"/>
        <v>9.9999999999999995E-7</v>
      </c>
      <c r="BR30" s="157">
        <f t="shared" si="262"/>
        <v>9.9999999999999995E-7</v>
      </c>
      <c r="BS30" s="157">
        <f t="shared" si="262"/>
        <v>9.9999999999999995E-7</v>
      </c>
      <c r="BT30" s="157">
        <f t="shared" si="262"/>
        <v>9.9999999999999995E-7</v>
      </c>
      <c r="BU30" s="157">
        <f t="shared" si="262"/>
        <v>9.9999999999999995E-7</v>
      </c>
      <c r="BV30" s="157">
        <f t="shared" si="262"/>
        <v>9.9999999999999995E-7</v>
      </c>
      <c r="BW30" s="157">
        <f t="shared" si="262"/>
        <v>9.9999999999999995E-7</v>
      </c>
      <c r="BX30" s="157">
        <f t="shared" si="262"/>
        <v>9.9999999999999995E-7</v>
      </c>
      <c r="BY30" s="157">
        <f t="shared" si="262"/>
        <v>9.9999999999999995E-7</v>
      </c>
      <c r="BZ30" s="157">
        <f t="shared" si="262"/>
        <v>9.9999999999999995E-7</v>
      </c>
      <c r="CA30" s="157">
        <f>0.018%*0.3/30</f>
        <v>1.7999999999999997E-6</v>
      </c>
      <c r="CB30" s="156">
        <f>CA30</f>
        <v>1.7999999999999997E-6</v>
      </c>
      <c r="CC30" s="156">
        <f t="shared" ref="CC30:DD30" si="263">CB30</f>
        <v>1.7999999999999997E-6</v>
      </c>
      <c r="CD30" s="156">
        <f t="shared" si="263"/>
        <v>1.7999999999999997E-6</v>
      </c>
      <c r="CE30" s="156">
        <f t="shared" si="263"/>
        <v>1.7999999999999997E-6</v>
      </c>
      <c r="CF30" s="156">
        <f t="shared" si="263"/>
        <v>1.7999999999999997E-6</v>
      </c>
      <c r="CG30" s="156">
        <f t="shared" si="263"/>
        <v>1.7999999999999997E-6</v>
      </c>
      <c r="CH30" s="156">
        <f t="shared" si="263"/>
        <v>1.7999999999999997E-6</v>
      </c>
      <c r="CI30" s="156">
        <f t="shared" si="263"/>
        <v>1.7999999999999997E-6</v>
      </c>
      <c r="CJ30" s="156">
        <f t="shared" si="263"/>
        <v>1.7999999999999997E-6</v>
      </c>
      <c r="CK30" s="156">
        <f t="shared" si="263"/>
        <v>1.7999999999999997E-6</v>
      </c>
      <c r="CL30" s="156">
        <f t="shared" si="263"/>
        <v>1.7999999999999997E-6</v>
      </c>
      <c r="CM30" s="156">
        <f t="shared" si="263"/>
        <v>1.7999999999999997E-6</v>
      </c>
      <c r="CN30" s="156">
        <f t="shared" si="263"/>
        <v>1.7999999999999997E-6</v>
      </c>
      <c r="CO30" s="156">
        <f t="shared" si="263"/>
        <v>1.7999999999999997E-6</v>
      </c>
      <c r="CP30" s="156">
        <f t="shared" si="263"/>
        <v>1.7999999999999997E-6</v>
      </c>
      <c r="CQ30" s="156">
        <f t="shared" si="263"/>
        <v>1.7999999999999997E-6</v>
      </c>
      <c r="CR30" s="156">
        <f t="shared" si="263"/>
        <v>1.7999999999999997E-6</v>
      </c>
      <c r="CS30" s="156">
        <f t="shared" si="263"/>
        <v>1.7999999999999997E-6</v>
      </c>
      <c r="CT30" s="156">
        <f t="shared" si="263"/>
        <v>1.7999999999999997E-6</v>
      </c>
      <c r="CU30" s="156">
        <f t="shared" si="263"/>
        <v>1.7999999999999997E-6</v>
      </c>
      <c r="CV30" s="156">
        <f t="shared" si="263"/>
        <v>1.7999999999999997E-6</v>
      </c>
      <c r="CW30" s="156">
        <f t="shared" si="263"/>
        <v>1.7999999999999997E-6</v>
      </c>
      <c r="CX30" s="156">
        <f t="shared" si="263"/>
        <v>1.7999999999999997E-6</v>
      </c>
      <c r="CY30" s="156">
        <f t="shared" si="263"/>
        <v>1.7999999999999997E-6</v>
      </c>
      <c r="CZ30" s="156">
        <f t="shared" si="263"/>
        <v>1.7999999999999997E-6</v>
      </c>
      <c r="DA30" s="156">
        <f t="shared" si="263"/>
        <v>1.7999999999999997E-6</v>
      </c>
      <c r="DB30" s="156">
        <f t="shared" si="263"/>
        <v>1.7999999999999997E-6</v>
      </c>
      <c r="DC30" s="156">
        <f t="shared" si="263"/>
        <v>1.7999999999999997E-6</v>
      </c>
      <c r="DD30" s="156">
        <f t="shared" si="263"/>
        <v>1.7999999999999997E-6</v>
      </c>
      <c r="DE30" s="157">
        <f>0.021%*0.3/30</f>
        <v>2.0999999999999998E-6</v>
      </c>
      <c r="DF30" s="156">
        <f>DE30</f>
        <v>2.0999999999999998E-6</v>
      </c>
      <c r="DG30" s="156">
        <f t="shared" ref="DG30:EH30" si="264">DF30</f>
        <v>2.0999999999999998E-6</v>
      </c>
      <c r="DH30" s="156">
        <f t="shared" si="264"/>
        <v>2.0999999999999998E-6</v>
      </c>
      <c r="DI30" s="156">
        <f t="shared" si="264"/>
        <v>2.0999999999999998E-6</v>
      </c>
      <c r="DJ30" s="156">
        <f t="shared" si="264"/>
        <v>2.0999999999999998E-6</v>
      </c>
      <c r="DK30" s="156">
        <f t="shared" si="264"/>
        <v>2.0999999999999998E-6</v>
      </c>
      <c r="DL30" s="156">
        <f t="shared" si="264"/>
        <v>2.0999999999999998E-6</v>
      </c>
      <c r="DM30" s="156">
        <f t="shared" si="264"/>
        <v>2.0999999999999998E-6</v>
      </c>
      <c r="DN30" s="156">
        <f t="shared" si="264"/>
        <v>2.0999999999999998E-6</v>
      </c>
      <c r="DO30" s="156">
        <f t="shared" si="264"/>
        <v>2.0999999999999998E-6</v>
      </c>
      <c r="DP30" s="156">
        <f t="shared" si="264"/>
        <v>2.0999999999999998E-6</v>
      </c>
      <c r="DQ30" s="156">
        <f t="shared" si="264"/>
        <v>2.0999999999999998E-6</v>
      </c>
      <c r="DR30" s="156">
        <f t="shared" si="264"/>
        <v>2.0999999999999998E-6</v>
      </c>
      <c r="DS30" s="156">
        <f t="shared" si="264"/>
        <v>2.0999999999999998E-6</v>
      </c>
      <c r="DT30" s="156">
        <f t="shared" si="264"/>
        <v>2.0999999999999998E-6</v>
      </c>
      <c r="DU30" s="156">
        <f t="shared" si="264"/>
        <v>2.0999999999999998E-6</v>
      </c>
      <c r="DV30" s="156">
        <f t="shared" si="264"/>
        <v>2.0999999999999998E-6</v>
      </c>
      <c r="DW30" s="156">
        <f t="shared" si="264"/>
        <v>2.0999999999999998E-6</v>
      </c>
      <c r="DX30" s="156">
        <f t="shared" si="264"/>
        <v>2.0999999999999998E-6</v>
      </c>
      <c r="DY30" s="156">
        <f t="shared" si="264"/>
        <v>2.0999999999999998E-6</v>
      </c>
      <c r="DZ30" s="156">
        <f t="shared" si="264"/>
        <v>2.0999999999999998E-6</v>
      </c>
      <c r="EA30" s="156">
        <f t="shared" si="264"/>
        <v>2.0999999999999998E-6</v>
      </c>
      <c r="EB30" s="156">
        <f t="shared" si="264"/>
        <v>2.0999999999999998E-6</v>
      </c>
      <c r="EC30" s="156">
        <f t="shared" si="264"/>
        <v>2.0999999999999998E-6</v>
      </c>
      <c r="ED30" s="156">
        <f t="shared" si="264"/>
        <v>2.0999999999999998E-6</v>
      </c>
      <c r="EE30" s="156">
        <f t="shared" si="264"/>
        <v>2.0999999999999998E-6</v>
      </c>
      <c r="EF30" s="156">
        <f t="shared" si="264"/>
        <v>2.0999999999999998E-6</v>
      </c>
      <c r="EG30" s="156">
        <f t="shared" si="264"/>
        <v>2.0999999999999998E-6</v>
      </c>
      <c r="EH30" s="156">
        <f t="shared" si="264"/>
        <v>2.0999999999999998E-6</v>
      </c>
      <c r="EI30" s="157"/>
      <c r="EJ30" s="157"/>
      <c r="EK30" s="157"/>
      <c r="EL30" s="157"/>
      <c r="EM30" s="157"/>
      <c r="EN30" s="157"/>
      <c r="EO30" s="157"/>
      <c r="EP30" s="157"/>
      <c r="EQ30" s="157"/>
      <c r="ER30" s="157"/>
      <c r="ES30" s="157"/>
      <c r="ET30" s="157"/>
      <c r="EU30" s="157"/>
      <c r="EV30" s="157"/>
      <c r="EW30" s="157"/>
      <c r="EX30" s="157"/>
      <c r="EY30" s="157"/>
      <c r="EZ30" s="157"/>
      <c r="FA30" s="157"/>
      <c r="FB30" s="157"/>
      <c r="FC30" s="157"/>
      <c r="FD30" s="157"/>
      <c r="FE30" s="157"/>
      <c r="FF30" s="157"/>
      <c r="FG30" s="157"/>
      <c r="FH30" s="157"/>
      <c r="FI30" s="157"/>
      <c r="FJ30" s="157"/>
      <c r="FK30" s="157"/>
      <c r="FL30" s="157"/>
      <c r="FM30" s="157"/>
      <c r="FN30" s="157"/>
      <c r="FO30" s="157"/>
      <c r="FP30" s="157"/>
      <c r="FQ30" s="157"/>
      <c r="FR30" s="157"/>
      <c r="FS30" s="157"/>
      <c r="FT30" s="157"/>
      <c r="FU30" s="157"/>
      <c r="FV30" s="157"/>
      <c r="FW30" s="157"/>
      <c r="FX30" s="157"/>
      <c r="FY30" s="157"/>
      <c r="FZ30" s="157"/>
      <c r="GA30" s="157"/>
      <c r="GB30" s="157"/>
      <c r="GC30" s="157"/>
      <c r="GD30" s="157"/>
      <c r="GE30" s="157"/>
      <c r="GF30" s="157"/>
      <c r="GG30" s="157"/>
      <c r="GH30" s="157"/>
      <c r="GI30" s="157"/>
      <c r="GJ30" s="157"/>
      <c r="GK30" s="157"/>
      <c r="GL30" s="157"/>
      <c r="GM30" s="157"/>
      <c r="GN30" s="157"/>
      <c r="GO30" s="157"/>
      <c r="GP30" s="157"/>
      <c r="GQ30" s="66"/>
      <c r="GR30" s="67"/>
      <c r="GS30" s="67"/>
      <c r="GT30" s="67"/>
      <c r="GU30" s="67"/>
      <c r="GV30" s="67"/>
      <c r="GW30" s="67"/>
      <c r="GX30" s="67"/>
      <c r="GY30" s="67"/>
      <c r="GZ30" s="67"/>
      <c r="HA30" s="67"/>
      <c r="HB30" s="67"/>
      <c r="HC30" s="67"/>
      <c r="HD30" s="67"/>
      <c r="HE30" s="67"/>
      <c r="HF30" s="67"/>
      <c r="HG30" s="67"/>
      <c r="HH30" s="67"/>
      <c r="HI30" s="67"/>
      <c r="HJ30" s="67"/>
      <c r="HK30" s="67"/>
      <c r="HL30" s="67"/>
      <c r="HM30" s="67"/>
      <c r="HN30" s="67"/>
      <c r="HO30" s="67"/>
      <c r="HP30" s="67"/>
      <c r="HQ30" s="67"/>
      <c r="HR30" s="67"/>
      <c r="HS30" s="67"/>
      <c r="HT30" s="68"/>
      <c r="HU30" s="66"/>
      <c r="HV30" s="67"/>
      <c r="HW30" s="67"/>
      <c r="HX30" s="67"/>
      <c r="HY30" s="67"/>
      <c r="HZ30" s="67"/>
      <c r="IA30" s="67"/>
      <c r="IB30" s="67"/>
      <c r="IC30" s="67"/>
      <c r="ID30" s="67"/>
      <c r="IE30" s="67"/>
      <c r="IF30" s="67"/>
      <c r="IG30" s="67"/>
      <c r="IH30" s="67"/>
      <c r="II30" s="67"/>
      <c r="IJ30" s="67"/>
      <c r="IK30" s="67"/>
      <c r="IL30" s="67"/>
      <c r="IM30" s="67"/>
      <c r="IN30" s="67"/>
      <c r="IO30" s="67"/>
      <c r="IP30" s="67"/>
      <c r="IQ30" s="67"/>
      <c r="IR30" s="67"/>
      <c r="IS30" s="67"/>
      <c r="IT30" s="67"/>
      <c r="IU30" s="67"/>
      <c r="IV30" s="67"/>
      <c r="IW30" s="67"/>
      <c r="IX30" s="67"/>
      <c r="IY30" s="69"/>
      <c r="IZ30" s="67"/>
      <c r="JA30" s="67"/>
      <c r="JB30" s="67"/>
      <c r="JC30" s="67"/>
      <c r="JD30" s="67"/>
      <c r="JE30" s="67"/>
      <c r="JF30" s="67"/>
      <c r="JG30" s="67"/>
      <c r="JH30" s="67"/>
      <c r="JI30" s="67"/>
      <c r="JJ30" s="67"/>
      <c r="JK30" s="67"/>
      <c r="JL30" s="67"/>
      <c r="JM30" s="67"/>
      <c r="JN30" s="67"/>
      <c r="JO30" s="67"/>
      <c r="JP30" s="67"/>
      <c r="JQ30" s="67"/>
      <c r="JR30" s="67"/>
      <c r="JS30" s="67"/>
      <c r="JT30" s="67"/>
      <c r="JU30" s="67"/>
      <c r="JV30" s="67"/>
      <c r="JW30" s="67"/>
      <c r="JX30" s="67"/>
      <c r="JY30" s="67"/>
      <c r="JZ30" s="67"/>
      <c r="KA30" s="67"/>
      <c r="KB30" s="67"/>
      <c r="KC30" s="212">
        <f>0.014%+0.0003%</f>
        <v>1.4300000000000001E-4</v>
      </c>
      <c r="KD30" s="212"/>
      <c r="KE30" s="212"/>
      <c r="KF30" s="212">
        <v>1.4999999999999999E-4</v>
      </c>
      <c r="KG30" s="212"/>
      <c r="KH30" s="212"/>
      <c r="KI30" s="212">
        <v>1.4999999999999999E-4</v>
      </c>
      <c r="KJ30" s="212"/>
      <c r="KK30" s="212"/>
      <c r="KL30" s="212">
        <v>1.4999999999999999E-4</v>
      </c>
      <c r="KM30" s="212"/>
      <c r="KN30" s="212"/>
      <c r="KO30" s="67"/>
      <c r="KP30" s="67"/>
      <c r="KQ30" s="67"/>
      <c r="KR30" s="66"/>
      <c r="KS30" s="67"/>
      <c r="KT30" s="68"/>
      <c r="KU30" s="67"/>
      <c r="KV30" s="67"/>
      <c r="KW30" s="67"/>
      <c r="KX30" s="66"/>
      <c r="KY30" s="67"/>
      <c r="KZ30" s="67"/>
      <c r="LA30" s="70"/>
      <c r="LB30" s="67"/>
      <c r="LC30" s="71"/>
      <c r="LD30" s="67"/>
      <c r="LE30" s="67"/>
      <c r="LF30" s="68"/>
      <c r="LG30" s="67"/>
      <c r="LH30" s="67"/>
      <c r="LI30" s="68"/>
      <c r="LJ30" s="66"/>
      <c r="LK30" s="67"/>
      <c r="LL30" s="68"/>
      <c r="LM30" s="66"/>
      <c r="LN30" s="67"/>
      <c r="LO30" s="68"/>
      <c r="LP30" s="66"/>
      <c r="LQ30" s="67"/>
      <c r="LR30" s="68"/>
      <c r="LS30" s="66"/>
      <c r="LT30" s="67"/>
      <c r="LU30" s="68"/>
      <c r="LV30" s="67"/>
      <c r="LW30" s="67"/>
      <c r="LX30" s="67"/>
      <c r="LY30" s="66"/>
      <c r="LZ30" s="67"/>
      <c r="MA30" s="68"/>
      <c r="MB30" s="67"/>
      <c r="MC30" s="67"/>
      <c r="MD30" s="67"/>
      <c r="ME30" s="66"/>
      <c r="MF30" s="67"/>
      <c r="MG30" s="68"/>
      <c r="MH30" s="66"/>
      <c r="MI30" s="67"/>
      <c r="MJ30" s="68"/>
      <c r="MK30" s="67"/>
      <c r="ML30" s="67"/>
      <c r="MM30" s="67"/>
      <c r="MN30" s="66"/>
      <c r="MO30" s="67"/>
      <c r="MP30" s="68"/>
      <c r="MQ30" s="66"/>
      <c r="MR30" s="67"/>
      <c r="MS30" s="68"/>
      <c r="MT30" s="66"/>
      <c r="MU30" s="67"/>
      <c r="MV30" s="68"/>
      <c r="MW30" s="66"/>
      <c r="MX30" s="67"/>
      <c r="MY30" s="68"/>
      <c r="MZ30" s="66"/>
      <c r="NA30" s="67"/>
      <c r="NB30" s="68"/>
      <c r="NC30" s="67"/>
      <c r="ND30" s="67"/>
      <c r="NE30" s="72"/>
      <c r="NG30" s="275">
        <f>SUM(R30:NE30)</f>
        <v>7.3999999999999988E-4</v>
      </c>
      <c r="NH30" s="1"/>
      <c r="NI30" s="1"/>
      <c r="NJ30" s="1"/>
      <c r="NK30" s="1"/>
    </row>
    <row r="31" spans="6:377" s="6" customFormat="1" ht="6.95" customHeight="1">
      <c r="F31" s="196"/>
      <c r="G31" s="197"/>
      <c r="H31" s="52">
        <v>2</v>
      </c>
      <c r="L31" s="292"/>
      <c r="M31" s="295"/>
      <c r="N31" s="296"/>
      <c r="O31" s="298"/>
      <c r="P31" s="315"/>
      <c r="Q31" s="237"/>
      <c r="R31" s="73"/>
      <c r="S31" s="67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61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3"/>
      <c r="CA31" s="61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1"/>
      <c r="DF31" s="62"/>
      <c r="DG31" s="62"/>
      <c r="DH31" s="62"/>
      <c r="DI31" s="62"/>
      <c r="DJ31" s="62"/>
      <c r="DK31" s="62"/>
      <c r="DL31" s="62"/>
      <c r="DM31" s="62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62"/>
      <c r="EE31" s="62"/>
      <c r="EF31" s="62"/>
      <c r="EG31" s="62"/>
      <c r="EH31" s="62"/>
      <c r="EI31" s="39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1"/>
      <c r="FM31" s="66"/>
      <c r="FN31" s="67"/>
      <c r="FO31" s="67"/>
      <c r="FP31" s="67"/>
      <c r="FQ31" s="67"/>
      <c r="FR31" s="67"/>
      <c r="FS31" s="67"/>
      <c r="FT31" s="67"/>
      <c r="FU31" s="67"/>
      <c r="FV31" s="67"/>
      <c r="FW31" s="67"/>
      <c r="FX31" s="67"/>
      <c r="FY31" s="67"/>
      <c r="FZ31" s="67"/>
      <c r="GA31" s="67"/>
      <c r="GB31" s="67"/>
      <c r="GC31" s="67"/>
      <c r="GD31" s="67"/>
      <c r="GE31" s="67"/>
      <c r="GF31" s="67"/>
      <c r="GG31" s="67"/>
      <c r="GH31" s="67"/>
      <c r="GI31" s="67"/>
      <c r="GJ31" s="67"/>
      <c r="GK31" s="67"/>
      <c r="GL31" s="67"/>
      <c r="GM31" s="67"/>
      <c r="GN31" s="67"/>
      <c r="GO31" s="67"/>
      <c r="GP31" s="68"/>
      <c r="GQ31" s="66"/>
      <c r="GR31" s="67"/>
      <c r="GS31" s="67"/>
      <c r="GT31" s="67"/>
      <c r="GU31" s="67"/>
      <c r="GV31" s="67"/>
      <c r="GW31" s="67"/>
      <c r="GX31" s="67"/>
      <c r="GY31" s="67"/>
      <c r="GZ31" s="67"/>
      <c r="HA31" s="67"/>
      <c r="HB31" s="67"/>
      <c r="HC31" s="67"/>
      <c r="HD31" s="67"/>
      <c r="HE31" s="67"/>
      <c r="HF31" s="67"/>
      <c r="HG31" s="67"/>
      <c r="HH31" s="67"/>
      <c r="HI31" s="67"/>
      <c r="HJ31" s="67"/>
      <c r="HK31" s="67"/>
      <c r="HL31" s="67"/>
      <c r="HM31" s="67"/>
      <c r="HN31" s="67"/>
      <c r="HO31" s="67"/>
      <c r="HP31" s="67"/>
      <c r="HQ31" s="67"/>
      <c r="HR31" s="67"/>
      <c r="HS31" s="67"/>
      <c r="HT31" s="68"/>
      <c r="HU31" s="66"/>
      <c r="HV31" s="67"/>
      <c r="HW31" s="67"/>
      <c r="HX31" s="67"/>
      <c r="HY31" s="67"/>
      <c r="HZ31" s="67"/>
      <c r="IA31" s="67"/>
      <c r="IB31" s="67"/>
      <c r="IC31" s="67"/>
      <c r="ID31" s="67"/>
      <c r="IE31" s="67"/>
      <c r="IF31" s="67"/>
      <c r="IG31" s="67"/>
      <c r="IH31" s="67"/>
      <c r="II31" s="67"/>
      <c r="IJ31" s="67"/>
      <c r="IK31" s="67"/>
      <c r="IL31" s="67"/>
      <c r="IM31" s="67"/>
      <c r="IN31" s="67"/>
      <c r="IO31" s="67"/>
      <c r="IP31" s="67"/>
      <c r="IQ31" s="67"/>
      <c r="IR31" s="67"/>
      <c r="IS31" s="67"/>
      <c r="IT31" s="67"/>
      <c r="IU31" s="67"/>
      <c r="IV31" s="67"/>
      <c r="IW31" s="67"/>
      <c r="IX31" s="67"/>
      <c r="IY31" s="66"/>
      <c r="IZ31" s="67"/>
      <c r="JA31" s="67"/>
      <c r="JB31" s="67"/>
      <c r="JC31" s="67"/>
      <c r="JD31" s="67"/>
      <c r="JE31" s="67"/>
      <c r="JF31" s="67"/>
      <c r="JG31" s="67"/>
      <c r="JH31" s="67"/>
      <c r="JI31" s="67"/>
      <c r="JJ31" s="67"/>
      <c r="JK31" s="67"/>
      <c r="JL31" s="67"/>
      <c r="JM31" s="67"/>
      <c r="JN31" s="67"/>
      <c r="JO31" s="67"/>
      <c r="JP31" s="67"/>
      <c r="JQ31" s="67"/>
      <c r="JR31" s="67"/>
      <c r="JS31" s="67"/>
      <c r="JT31" s="67"/>
      <c r="JU31" s="67"/>
      <c r="JV31" s="67"/>
      <c r="JW31" s="67"/>
      <c r="JX31" s="67"/>
      <c r="JY31" s="67"/>
      <c r="JZ31" s="67"/>
      <c r="KA31" s="67"/>
      <c r="KB31" s="67"/>
      <c r="KC31" s="61"/>
      <c r="KD31" s="62"/>
      <c r="KE31" s="63"/>
      <c r="KF31" s="61"/>
      <c r="KG31" s="62"/>
      <c r="KH31" s="63"/>
      <c r="KI31" s="61"/>
      <c r="KJ31" s="62"/>
      <c r="KK31" s="63"/>
      <c r="KL31" s="61"/>
      <c r="KM31" s="62"/>
      <c r="KN31" s="63"/>
      <c r="KO31" s="67"/>
      <c r="KP31" s="67"/>
      <c r="KQ31" s="67"/>
      <c r="KR31" s="66"/>
      <c r="KS31" s="67"/>
      <c r="KT31" s="68"/>
      <c r="KU31" s="67"/>
      <c r="KV31" s="67"/>
      <c r="KW31" s="67"/>
      <c r="KX31" s="66"/>
      <c r="KY31" s="67"/>
      <c r="KZ31" s="67"/>
      <c r="LA31" s="70"/>
      <c r="LB31" s="67"/>
      <c r="LC31" s="71"/>
      <c r="LD31" s="67"/>
      <c r="LE31" s="67"/>
      <c r="LF31" s="68"/>
      <c r="LG31" s="67"/>
      <c r="LH31" s="67"/>
      <c r="LI31" s="68"/>
      <c r="LJ31" s="66"/>
      <c r="LK31" s="40"/>
      <c r="LL31" s="41"/>
      <c r="LM31" s="39"/>
      <c r="LN31" s="40"/>
      <c r="LO31" s="41"/>
      <c r="LP31" s="39"/>
      <c r="LQ31" s="40"/>
      <c r="LR31" s="41"/>
      <c r="LS31" s="39"/>
      <c r="LT31" s="67"/>
      <c r="LU31" s="68"/>
      <c r="LV31" s="67"/>
      <c r="LW31" s="67"/>
      <c r="LX31" s="67"/>
      <c r="LY31" s="66"/>
      <c r="LZ31" s="67"/>
      <c r="MA31" s="68"/>
      <c r="MB31" s="67"/>
      <c r="MC31" s="67"/>
      <c r="MD31" s="67"/>
      <c r="ME31" s="66"/>
      <c r="MF31" s="67"/>
      <c r="MG31" s="68"/>
      <c r="MH31" s="66"/>
      <c r="MI31" s="67"/>
      <c r="MJ31" s="68"/>
      <c r="MK31" s="67"/>
      <c r="ML31" s="67"/>
      <c r="MM31" s="67"/>
      <c r="MN31" s="66"/>
      <c r="MO31" s="67"/>
      <c r="MP31" s="68"/>
      <c r="MQ31" s="66"/>
      <c r="MR31" s="67"/>
      <c r="MS31" s="68"/>
      <c r="MT31" s="66"/>
      <c r="MU31" s="67"/>
      <c r="MV31" s="68"/>
      <c r="MW31" s="66"/>
      <c r="MX31" s="67"/>
      <c r="MY31" s="68"/>
      <c r="MZ31" s="66"/>
      <c r="NA31" s="67"/>
      <c r="NB31" s="68"/>
      <c r="NC31" s="67"/>
      <c r="ND31" s="67"/>
      <c r="NE31" s="72"/>
      <c r="NG31" s="275"/>
      <c r="NH31" s="1"/>
      <c r="NI31" s="1"/>
      <c r="NJ31" s="1"/>
      <c r="NK31" s="1"/>
    </row>
    <row r="32" spans="6:377" s="6" customFormat="1" ht="9.9499999999999993" customHeight="1">
      <c r="F32" s="196">
        <f t="shared" ref="F32" si="265">NG32</f>
        <v>3.6999999999999999E-4</v>
      </c>
      <c r="G32" s="197">
        <f>Q32-F32</f>
        <v>0</v>
      </c>
      <c r="H32" s="27">
        <v>1</v>
      </c>
      <c r="J32" s="6" t="s">
        <v>172</v>
      </c>
      <c r="K32" s="6" t="s">
        <v>175</v>
      </c>
      <c r="L32" s="339"/>
      <c r="M32" s="293" t="s">
        <v>31</v>
      </c>
      <c r="N32" s="356">
        <v>3568</v>
      </c>
      <c r="O32" s="352" t="s">
        <v>34</v>
      </c>
      <c r="P32" s="307">
        <v>77207</v>
      </c>
      <c r="Q32" s="236">
        <f>ROUND(P32/$P$256,5)</f>
        <v>3.6999999999999999E-4</v>
      </c>
      <c r="R32" s="21"/>
      <c r="S32" s="143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57">
        <f>0.006%*0.3/30</f>
        <v>5.9999999999999997E-7</v>
      </c>
      <c r="AX32" s="156">
        <f>AW32</f>
        <v>5.9999999999999997E-7</v>
      </c>
      <c r="AY32" s="157">
        <f t="shared" ref="AY32:BZ32" si="266">AX32</f>
        <v>5.9999999999999997E-7</v>
      </c>
      <c r="AZ32" s="157">
        <f t="shared" si="266"/>
        <v>5.9999999999999997E-7</v>
      </c>
      <c r="BA32" s="157">
        <f t="shared" si="266"/>
        <v>5.9999999999999997E-7</v>
      </c>
      <c r="BB32" s="157">
        <f t="shared" si="266"/>
        <v>5.9999999999999997E-7</v>
      </c>
      <c r="BC32" s="157">
        <f t="shared" si="266"/>
        <v>5.9999999999999997E-7</v>
      </c>
      <c r="BD32" s="157">
        <f t="shared" si="266"/>
        <v>5.9999999999999997E-7</v>
      </c>
      <c r="BE32" s="157">
        <f t="shared" si="266"/>
        <v>5.9999999999999997E-7</v>
      </c>
      <c r="BF32" s="157">
        <f t="shared" si="266"/>
        <v>5.9999999999999997E-7</v>
      </c>
      <c r="BG32" s="157">
        <f t="shared" si="266"/>
        <v>5.9999999999999997E-7</v>
      </c>
      <c r="BH32" s="157">
        <f t="shared" si="266"/>
        <v>5.9999999999999997E-7</v>
      </c>
      <c r="BI32" s="157">
        <f t="shared" si="266"/>
        <v>5.9999999999999997E-7</v>
      </c>
      <c r="BJ32" s="157">
        <f t="shared" si="266"/>
        <v>5.9999999999999997E-7</v>
      </c>
      <c r="BK32" s="157">
        <f t="shared" si="266"/>
        <v>5.9999999999999997E-7</v>
      </c>
      <c r="BL32" s="157">
        <f t="shared" si="266"/>
        <v>5.9999999999999997E-7</v>
      </c>
      <c r="BM32" s="157">
        <f t="shared" si="266"/>
        <v>5.9999999999999997E-7</v>
      </c>
      <c r="BN32" s="157">
        <f t="shared" si="266"/>
        <v>5.9999999999999997E-7</v>
      </c>
      <c r="BO32" s="157">
        <f t="shared" si="266"/>
        <v>5.9999999999999997E-7</v>
      </c>
      <c r="BP32" s="157">
        <f t="shared" si="266"/>
        <v>5.9999999999999997E-7</v>
      </c>
      <c r="BQ32" s="157">
        <f t="shared" si="266"/>
        <v>5.9999999999999997E-7</v>
      </c>
      <c r="BR32" s="157">
        <f t="shared" si="266"/>
        <v>5.9999999999999997E-7</v>
      </c>
      <c r="BS32" s="157">
        <f t="shared" si="266"/>
        <v>5.9999999999999997E-7</v>
      </c>
      <c r="BT32" s="157">
        <f t="shared" si="266"/>
        <v>5.9999999999999997E-7</v>
      </c>
      <c r="BU32" s="157">
        <f t="shared" si="266"/>
        <v>5.9999999999999997E-7</v>
      </c>
      <c r="BV32" s="157">
        <f t="shared" si="266"/>
        <v>5.9999999999999997E-7</v>
      </c>
      <c r="BW32" s="157">
        <f t="shared" si="266"/>
        <v>5.9999999999999997E-7</v>
      </c>
      <c r="BX32" s="157">
        <f t="shared" si="266"/>
        <v>5.9999999999999997E-7</v>
      </c>
      <c r="BY32" s="157">
        <f t="shared" si="266"/>
        <v>5.9999999999999997E-7</v>
      </c>
      <c r="BZ32" s="157">
        <f t="shared" si="266"/>
        <v>5.9999999999999997E-7</v>
      </c>
      <c r="CA32" s="157">
        <f>0.006%*0.3/30</f>
        <v>5.9999999999999997E-7</v>
      </c>
      <c r="CB32" s="156">
        <f>CA32</f>
        <v>5.9999999999999997E-7</v>
      </c>
      <c r="CC32" s="156">
        <f t="shared" ref="CC32:DD32" si="267">CB32</f>
        <v>5.9999999999999997E-7</v>
      </c>
      <c r="CD32" s="156">
        <f t="shared" si="267"/>
        <v>5.9999999999999997E-7</v>
      </c>
      <c r="CE32" s="156">
        <f t="shared" si="267"/>
        <v>5.9999999999999997E-7</v>
      </c>
      <c r="CF32" s="156">
        <f t="shared" si="267"/>
        <v>5.9999999999999997E-7</v>
      </c>
      <c r="CG32" s="156">
        <f t="shared" si="267"/>
        <v>5.9999999999999997E-7</v>
      </c>
      <c r="CH32" s="156">
        <f t="shared" si="267"/>
        <v>5.9999999999999997E-7</v>
      </c>
      <c r="CI32" s="156">
        <f t="shared" si="267"/>
        <v>5.9999999999999997E-7</v>
      </c>
      <c r="CJ32" s="156">
        <f t="shared" si="267"/>
        <v>5.9999999999999997E-7</v>
      </c>
      <c r="CK32" s="156">
        <f t="shared" si="267"/>
        <v>5.9999999999999997E-7</v>
      </c>
      <c r="CL32" s="156">
        <f t="shared" si="267"/>
        <v>5.9999999999999997E-7</v>
      </c>
      <c r="CM32" s="156">
        <f t="shared" si="267"/>
        <v>5.9999999999999997E-7</v>
      </c>
      <c r="CN32" s="156">
        <f t="shared" si="267"/>
        <v>5.9999999999999997E-7</v>
      </c>
      <c r="CO32" s="156">
        <f t="shared" si="267"/>
        <v>5.9999999999999997E-7</v>
      </c>
      <c r="CP32" s="156">
        <f t="shared" si="267"/>
        <v>5.9999999999999997E-7</v>
      </c>
      <c r="CQ32" s="156">
        <f t="shared" si="267"/>
        <v>5.9999999999999997E-7</v>
      </c>
      <c r="CR32" s="156">
        <f t="shared" si="267"/>
        <v>5.9999999999999997E-7</v>
      </c>
      <c r="CS32" s="156">
        <f t="shared" si="267"/>
        <v>5.9999999999999997E-7</v>
      </c>
      <c r="CT32" s="156">
        <f t="shared" si="267"/>
        <v>5.9999999999999997E-7</v>
      </c>
      <c r="CU32" s="156">
        <f t="shared" si="267"/>
        <v>5.9999999999999997E-7</v>
      </c>
      <c r="CV32" s="156">
        <f t="shared" si="267"/>
        <v>5.9999999999999997E-7</v>
      </c>
      <c r="CW32" s="156">
        <f t="shared" si="267"/>
        <v>5.9999999999999997E-7</v>
      </c>
      <c r="CX32" s="156">
        <f t="shared" si="267"/>
        <v>5.9999999999999997E-7</v>
      </c>
      <c r="CY32" s="156">
        <f t="shared" si="267"/>
        <v>5.9999999999999997E-7</v>
      </c>
      <c r="CZ32" s="156">
        <f t="shared" si="267"/>
        <v>5.9999999999999997E-7</v>
      </c>
      <c r="DA32" s="156">
        <f t="shared" si="267"/>
        <v>5.9999999999999997E-7</v>
      </c>
      <c r="DB32" s="156">
        <f t="shared" si="267"/>
        <v>5.9999999999999997E-7</v>
      </c>
      <c r="DC32" s="156">
        <f t="shared" si="267"/>
        <v>5.9999999999999997E-7</v>
      </c>
      <c r="DD32" s="156">
        <f t="shared" si="267"/>
        <v>5.9999999999999997E-7</v>
      </c>
      <c r="DE32" s="157">
        <f>0.005%*0.3/30</f>
        <v>4.9999999999999998E-7</v>
      </c>
      <c r="DF32" s="156">
        <f>DE32</f>
        <v>4.9999999999999998E-7</v>
      </c>
      <c r="DG32" s="156">
        <f t="shared" ref="DG32:EH32" si="268">DF32</f>
        <v>4.9999999999999998E-7</v>
      </c>
      <c r="DH32" s="156">
        <f t="shared" si="268"/>
        <v>4.9999999999999998E-7</v>
      </c>
      <c r="DI32" s="156">
        <f t="shared" si="268"/>
        <v>4.9999999999999998E-7</v>
      </c>
      <c r="DJ32" s="156">
        <f t="shared" si="268"/>
        <v>4.9999999999999998E-7</v>
      </c>
      <c r="DK32" s="156">
        <f t="shared" si="268"/>
        <v>4.9999999999999998E-7</v>
      </c>
      <c r="DL32" s="156">
        <f t="shared" si="268"/>
        <v>4.9999999999999998E-7</v>
      </c>
      <c r="DM32" s="156">
        <f t="shared" si="268"/>
        <v>4.9999999999999998E-7</v>
      </c>
      <c r="DN32" s="156">
        <f t="shared" si="268"/>
        <v>4.9999999999999998E-7</v>
      </c>
      <c r="DO32" s="156">
        <f t="shared" si="268"/>
        <v>4.9999999999999998E-7</v>
      </c>
      <c r="DP32" s="156">
        <f t="shared" si="268"/>
        <v>4.9999999999999998E-7</v>
      </c>
      <c r="DQ32" s="156">
        <f t="shared" si="268"/>
        <v>4.9999999999999998E-7</v>
      </c>
      <c r="DR32" s="156">
        <f t="shared" si="268"/>
        <v>4.9999999999999998E-7</v>
      </c>
      <c r="DS32" s="156">
        <f t="shared" si="268"/>
        <v>4.9999999999999998E-7</v>
      </c>
      <c r="DT32" s="156">
        <f t="shared" si="268"/>
        <v>4.9999999999999998E-7</v>
      </c>
      <c r="DU32" s="156">
        <f t="shared" si="268"/>
        <v>4.9999999999999998E-7</v>
      </c>
      <c r="DV32" s="156">
        <f t="shared" si="268"/>
        <v>4.9999999999999998E-7</v>
      </c>
      <c r="DW32" s="156">
        <f t="shared" si="268"/>
        <v>4.9999999999999998E-7</v>
      </c>
      <c r="DX32" s="156">
        <f t="shared" si="268"/>
        <v>4.9999999999999998E-7</v>
      </c>
      <c r="DY32" s="156">
        <f t="shared" si="268"/>
        <v>4.9999999999999998E-7</v>
      </c>
      <c r="DZ32" s="156">
        <f t="shared" si="268"/>
        <v>4.9999999999999998E-7</v>
      </c>
      <c r="EA32" s="156">
        <f t="shared" si="268"/>
        <v>4.9999999999999998E-7</v>
      </c>
      <c r="EB32" s="156">
        <f t="shared" si="268"/>
        <v>4.9999999999999998E-7</v>
      </c>
      <c r="EC32" s="156">
        <f t="shared" si="268"/>
        <v>4.9999999999999998E-7</v>
      </c>
      <c r="ED32" s="156">
        <f t="shared" si="268"/>
        <v>4.9999999999999998E-7</v>
      </c>
      <c r="EE32" s="156">
        <f t="shared" si="268"/>
        <v>4.9999999999999998E-7</v>
      </c>
      <c r="EF32" s="156">
        <f t="shared" si="268"/>
        <v>4.9999999999999998E-7</v>
      </c>
      <c r="EG32" s="156">
        <f t="shared" si="268"/>
        <v>4.9999999999999998E-7</v>
      </c>
      <c r="EH32" s="156">
        <f t="shared" si="268"/>
        <v>4.9999999999999998E-7</v>
      </c>
      <c r="EI32" s="157"/>
      <c r="EJ32" s="157"/>
      <c r="EK32" s="157"/>
      <c r="EL32" s="157"/>
      <c r="EM32" s="157"/>
      <c r="EN32" s="157"/>
      <c r="EO32" s="157"/>
      <c r="EP32" s="157"/>
      <c r="EQ32" s="157"/>
      <c r="ER32" s="157"/>
      <c r="ES32" s="157"/>
      <c r="ET32" s="157"/>
      <c r="EU32" s="157"/>
      <c r="EV32" s="157"/>
      <c r="EW32" s="157"/>
      <c r="EX32" s="157"/>
      <c r="EY32" s="157"/>
      <c r="EZ32" s="157"/>
      <c r="FA32" s="157"/>
      <c r="FB32" s="157"/>
      <c r="FC32" s="157"/>
      <c r="FD32" s="157"/>
      <c r="FE32" s="157"/>
      <c r="FF32" s="157"/>
      <c r="FG32" s="157"/>
      <c r="FH32" s="157"/>
      <c r="FI32" s="157"/>
      <c r="FJ32" s="157"/>
      <c r="FK32" s="157"/>
      <c r="FL32" s="157"/>
      <c r="FM32" s="157"/>
      <c r="FN32" s="157"/>
      <c r="FO32" s="157"/>
      <c r="FP32" s="157"/>
      <c r="FQ32" s="157"/>
      <c r="FR32" s="157"/>
      <c r="FS32" s="157"/>
      <c r="FT32" s="157"/>
      <c r="FU32" s="157"/>
      <c r="FV32" s="157"/>
      <c r="FW32" s="157"/>
      <c r="FX32" s="157"/>
      <c r="FY32" s="157"/>
      <c r="FZ32" s="157"/>
      <c r="GA32" s="157"/>
      <c r="GB32" s="157"/>
      <c r="GC32" s="157"/>
      <c r="GD32" s="157"/>
      <c r="GE32" s="157"/>
      <c r="GF32" s="157"/>
      <c r="GG32" s="157"/>
      <c r="GH32" s="157"/>
      <c r="GI32" s="157"/>
      <c r="GJ32" s="157"/>
      <c r="GK32" s="157"/>
      <c r="GL32" s="157"/>
      <c r="GM32" s="157"/>
      <c r="GN32" s="157"/>
      <c r="GO32" s="157"/>
      <c r="GP32" s="157"/>
      <c r="GQ32" s="156"/>
      <c r="GR32" s="156"/>
      <c r="GS32" s="156"/>
      <c r="GT32" s="156"/>
      <c r="GU32" s="156"/>
      <c r="GV32" s="156"/>
      <c r="GW32" s="156"/>
      <c r="GX32" s="156"/>
      <c r="GY32" s="156"/>
      <c r="GZ32" s="156"/>
      <c r="HA32" s="156"/>
      <c r="HB32" s="156"/>
      <c r="HC32" s="156"/>
      <c r="HD32" s="156"/>
      <c r="HE32" s="156"/>
      <c r="HF32" s="156"/>
      <c r="HG32" s="156"/>
      <c r="HH32" s="156"/>
      <c r="HI32" s="156"/>
      <c r="HJ32" s="156"/>
      <c r="HK32" s="156"/>
      <c r="HL32" s="156"/>
      <c r="HM32" s="156"/>
      <c r="HN32" s="156"/>
      <c r="HO32" s="156"/>
      <c r="HP32" s="156"/>
      <c r="HQ32" s="156"/>
      <c r="HR32" s="156"/>
      <c r="HS32" s="156"/>
      <c r="HT32" s="156"/>
      <c r="HU32" s="156"/>
      <c r="HV32" s="156"/>
      <c r="HW32" s="156"/>
      <c r="HX32" s="156"/>
      <c r="HY32" s="156"/>
      <c r="HZ32" s="156"/>
      <c r="IA32" s="156"/>
      <c r="IB32" s="156"/>
      <c r="IC32" s="156"/>
      <c r="ID32" s="156"/>
      <c r="IE32" s="156"/>
      <c r="IF32" s="156"/>
      <c r="IG32" s="156"/>
      <c r="IH32" s="156"/>
      <c r="II32" s="156"/>
      <c r="IJ32" s="156"/>
      <c r="IK32" s="156"/>
      <c r="IL32" s="156"/>
      <c r="IM32" s="156"/>
      <c r="IN32" s="156"/>
      <c r="IO32" s="156"/>
      <c r="IP32" s="156"/>
      <c r="IQ32" s="156"/>
      <c r="IR32" s="156"/>
      <c r="IS32" s="156"/>
      <c r="IT32" s="156"/>
      <c r="IU32" s="156"/>
      <c r="IV32" s="156"/>
      <c r="IW32" s="156"/>
      <c r="IX32" s="156"/>
      <c r="IY32" s="53"/>
      <c r="IZ32" s="54"/>
      <c r="JA32" s="54"/>
      <c r="JB32" s="54"/>
      <c r="JC32" s="54"/>
      <c r="JD32" s="54"/>
      <c r="JE32" s="54"/>
      <c r="JF32" s="54"/>
      <c r="JG32" s="54"/>
      <c r="JH32" s="54"/>
      <c r="JI32" s="54"/>
      <c r="JJ32" s="54"/>
      <c r="JK32" s="54"/>
      <c r="JL32" s="54"/>
      <c r="JM32" s="54"/>
      <c r="JN32" s="54"/>
      <c r="JO32" s="54"/>
      <c r="JP32" s="54"/>
      <c r="JQ32" s="54"/>
      <c r="JR32" s="54"/>
      <c r="JS32" s="54"/>
      <c r="JT32" s="54"/>
      <c r="JU32" s="54"/>
      <c r="JV32" s="54"/>
      <c r="JW32" s="54"/>
      <c r="JX32" s="54"/>
      <c r="JY32" s="54"/>
      <c r="JZ32" s="54"/>
      <c r="KA32" s="54"/>
      <c r="KB32" s="54"/>
      <c r="KC32" s="212">
        <v>6.9999999999999994E-5</v>
      </c>
      <c r="KD32" s="212"/>
      <c r="KE32" s="212"/>
      <c r="KF32" s="212">
        <f>0.007%-0.0001%</f>
        <v>6.900000000000001E-5</v>
      </c>
      <c r="KG32" s="212"/>
      <c r="KH32" s="212"/>
      <c r="KI32" s="54"/>
      <c r="KJ32" s="54"/>
      <c r="KK32" s="54"/>
      <c r="KL32" s="53"/>
      <c r="KM32" s="54"/>
      <c r="KN32" s="55"/>
      <c r="KO32" s="54"/>
      <c r="KP32" s="54"/>
      <c r="KQ32" s="54"/>
      <c r="KR32" s="53"/>
      <c r="KS32" s="54"/>
      <c r="KT32" s="55"/>
      <c r="KU32" s="54"/>
      <c r="KV32" s="54"/>
      <c r="KW32" s="54"/>
      <c r="KX32" s="53"/>
      <c r="KY32" s="54"/>
      <c r="KZ32" s="54"/>
      <c r="LA32" s="57"/>
      <c r="LB32" s="54"/>
      <c r="LC32" s="58"/>
      <c r="LD32" s="54"/>
      <c r="LE32" s="54"/>
      <c r="LF32" s="55"/>
      <c r="LG32" s="54"/>
      <c r="LH32" s="54"/>
      <c r="LI32" s="55"/>
      <c r="LJ32" s="53"/>
      <c r="LK32" s="67"/>
      <c r="LL32" s="68"/>
      <c r="LM32" s="212">
        <v>6.0000000000000002E-5</v>
      </c>
      <c r="LN32" s="212"/>
      <c r="LO32" s="212"/>
      <c r="LP32" s="212">
        <v>6.0000000000000002E-5</v>
      </c>
      <c r="LQ32" s="212"/>
      <c r="LR32" s="212"/>
      <c r="LS32" s="212">
        <v>6.0000000000000002E-5</v>
      </c>
      <c r="LT32" s="212"/>
      <c r="LU32" s="212"/>
      <c r="LV32" s="54"/>
      <c r="LW32" s="54"/>
      <c r="LX32" s="54"/>
      <c r="LY32" s="53"/>
      <c r="LZ32" s="54"/>
      <c r="MA32" s="55"/>
      <c r="MB32" s="54"/>
      <c r="MC32" s="54"/>
      <c r="MD32" s="54"/>
      <c r="ME32" s="53"/>
      <c r="MF32" s="54"/>
      <c r="MG32" s="55"/>
      <c r="MH32" s="53"/>
      <c r="MI32" s="54"/>
      <c r="MJ32" s="55"/>
      <c r="MK32" s="54"/>
      <c r="ML32" s="54"/>
      <c r="MM32" s="54"/>
      <c r="MN32" s="53"/>
      <c r="MO32" s="54"/>
      <c r="MP32" s="55"/>
      <c r="MQ32" s="53"/>
      <c r="MR32" s="54"/>
      <c r="MS32" s="55"/>
      <c r="MT32" s="53"/>
      <c r="MU32" s="54"/>
      <c r="MV32" s="55"/>
      <c r="MW32" s="53"/>
      <c r="MX32" s="54"/>
      <c r="MY32" s="55"/>
      <c r="MZ32" s="53"/>
      <c r="NA32" s="54"/>
      <c r="NB32" s="55"/>
      <c r="NC32" s="54"/>
      <c r="ND32" s="54"/>
      <c r="NE32" s="59"/>
      <c r="NG32" s="275">
        <f>SUM(R32:NE32)</f>
        <v>3.6999999999999999E-4</v>
      </c>
      <c r="NH32" s="1"/>
      <c r="NI32" s="1"/>
      <c r="NJ32" s="1"/>
      <c r="NK32" s="1"/>
    </row>
    <row r="33" spans="5:375" s="6" customFormat="1" ht="6.95" customHeight="1">
      <c r="F33" s="196"/>
      <c r="G33" s="197"/>
      <c r="H33" s="52">
        <v>2</v>
      </c>
      <c r="L33" s="340"/>
      <c r="M33" s="294"/>
      <c r="N33" s="357"/>
      <c r="O33" s="353"/>
      <c r="P33" s="308"/>
      <c r="Q33" s="237"/>
      <c r="R33" s="6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61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3"/>
      <c r="CA33" s="61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1"/>
      <c r="DF33" s="62"/>
      <c r="DG33" s="62"/>
      <c r="DH33" s="62"/>
      <c r="DI33" s="62"/>
      <c r="DJ33" s="62"/>
      <c r="DK33" s="62"/>
      <c r="DL33" s="62"/>
      <c r="DM33" s="62"/>
      <c r="DN33" s="62"/>
      <c r="DO33" s="62"/>
      <c r="DP33" s="62"/>
      <c r="DQ33" s="62"/>
      <c r="DR33" s="62"/>
      <c r="DS33" s="62"/>
      <c r="DT33" s="62"/>
      <c r="DU33" s="62"/>
      <c r="DV33" s="62"/>
      <c r="DW33" s="62"/>
      <c r="DX33" s="62"/>
      <c r="DY33" s="62"/>
      <c r="DZ33" s="62"/>
      <c r="EA33" s="62"/>
      <c r="EB33" s="62"/>
      <c r="EC33" s="62"/>
      <c r="ED33" s="62"/>
      <c r="EE33" s="62"/>
      <c r="EF33" s="62"/>
      <c r="EG33" s="62"/>
      <c r="EH33" s="62"/>
      <c r="EI33" s="39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1"/>
      <c r="FM33" s="39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1"/>
      <c r="GQ33" s="39"/>
      <c r="GR33" s="40"/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39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  <c r="IU33" s="40"/>
      <c r="IV33" s="40"/>
      <c r="IW33" s="40"/>
      <c r="IX33" s="40"/>
      <c r="IY33" s="39"/>
      <c r="IZ33" s="40"/>
      <c r="JA33" s="40"/>
      <c r="JB33" s="40"/>
      <c r="JC33" s="40"/>
      <c r="JD33" s="40"/>
      <c r="JE33" s="40"/>
      <c r="JF33" s="40"/>
      <c r="JG33" s="40"/>
      <c r="JH33" s="40"/>
      <c r="JI33" s="40"/>
      <c r="JJ33" s="40"/>
      <c r="JK33" s="40"/>
      <c r="JL33" s="40"/>
      <c r="JM33" s="40"/>
      <c r="JN33" s="40"/>
      <c r="JO33" s="40"/>
      <c r="JP33" s="40"/>
      <c r="JQ33" s="40"/>
      <c r="JR33" s="40"/>
      <c r="JS33" s="40"/>
      <c r="JT33" s="40"/>
      <c r="JU33" s="40"/>
      <c r="JV33" s="40"/>
      <c r="JW33" s="40"/>
      <c r="JX33" s="40"/>
      <c r="JY33" s="40"/>
      <c r="JZ33" s="40"/>
      <c r="KA33" s="40"/>
      <c r="KB33" s="40"/>
      <c r="KC33" s="61"/>
      <c r="KD33" s="62"/>
      <c r="KE33" s="63"/>
      <c r="KF33" s="61"/>
      <c r="KG33" s="62"/>
      <c r="KH33" s="63"/>
      <c r="KI33" s="40"/>
      <c r="KJ33" s="40"/>
      <c r="KK33" s="40"/>
      <c r="KL33" s="39"/>
      <c r="KM33" s="40"/>
      <c r="KN33" s="41"/>
      <c r="KO33" s="40"/>
      <c r="KP33" s="40"/>
      <c r="KQ33" s="40"/>
      <c r="KR33" s="39"/>
      <c r="KS33" s="40"/>
      <c r="KT33" s="41"/>
      <c r="KU33" s="40"/>
      <c r="KV33" s="40"/>
      <c r="KW33" s="40"/>
      <c r="KX33" s="39"/>
      <c r="KY33" s="40"/>
      <c r="KZ33" s="40"/>
      <c r="LA33" s="64"/>
      <c r="LB33" s="40"/>
      <c r="LC33" s="65"/>
      <c r="LD33" s="40"/>
      <c r="LE33" s="40"/>
      <c r="LF33" s="41"/>
      <c r="LG33" s="40"/>
      <c r="LH33" s="40"/>
      <c r="LI33" s="41"/>
      <c r="LJ33" s="39"/>
      <c r="LK33" s="40"/>
      <c r="LL33" s="41"/>
      <c r="LM33" s="61"/>
      <c r="LN33" s="62"/>
      <c r="LO33" s="63"/>
      <c r="LP33" s="61"/>
      <c r="LQ33" s="62"/>
      <c r="LR33" s="63"/>
      <c r="LS33" s="61"/>
      <c r="LT33" s="62"/>
      <c r="LU33" s="63"/>
      <c r="LV33" s="40"/>
      <c r="LW33" s="40"/>
      <c r="LX33" s="40"/>
      <c r="LY33" s="39"/>
      <c r="LZ33" s="40"/>
      <c r="MA33" s="41"/>
      <c r="MB33" s="40"/>
      <c r="MC33" s="40"/>
      <c r="MD33" s="40"/>
      <c r="ME33" s="39"/>
      <c r="MF33" s="40"/>
      <c r="MG33" s="41"/>
      <c r="MH33" s="39"/>
      <c r="MI33" s="40"/>
      <c r="MJ33" s="41"/>
      <c r="MK33" s="40"/>
      <c r="ML33" s="40"/>
      <c r="MM33" s="40"/>
      <c r="MN33" s="39"/>
      <c r="MO33" s="40"/>
      <c r="MP33" s="41"/>
      <c r="MQ33" s="39"/>
      <c r="MR33" s="40"/>
      <c r="MS33" s="41"/>
      <c r="MT33" s="39"/>
      <c r="MU33" s="40"/>
      <c r="MV33" s="41"/>
      <c r="MW33" s="39"/>
      <c r="MX33" s="40"/>
      <c r="MY33" s="41"/>
      <c r="MZ33" s="39"/>
      <c r="NA33" s="40"/>
      <c r="NB33" s="41"/>
      <c r="NC33" s="40"/>
      <c r="ND33" s="40"/>
      <c r="NE33" s="42"/>
      <c r="NG33" s="275"/>
      <c r="NH33" s="1"/>
      <c r="NI33" s="1"/>
      <c r="NJ33" s="1"/>
      <c r="NK33" s="1"/>
    </row>
    <row r="34" spans="5:375" s="6" customFormat="1" ht="9.9499999999999993" customHeight="1">
      <c r="F34" s="196">
        <f t="shared" ref="F34" si="269">NG34</f>
        <v>9.0999999999999978E-4</v>
      </c>
      <c r="G34" s="197">
        <f>Q34-F34</f>
        <v>0</v>
      </c>
      <c r="H34" s="27">
        <v>1</v>
      </c>
      <c r="K34" s="6" t="s">
        <v>176</v>
      </c>
      <c r="L34" s="430"/>
      <c r="M34" s="428" t="s">
        <v>135</v>
      </c>
      <c r="N34" s="356">
        <v>1</v>
      </c>
      <c r="O34" s="352" t="s">
        <v>134</v>
      </c>
      <c r="P34" s="307">
        <v>190149</v>
      </c>
      <c r="Q34" s="236">
        <f>ROUND(P34/$P$256,5)</f>
        <v>9.1E-4</v>
      </c>
      <c r="R34" s="21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56"/>
      <c r="CB34" s="156"/>
      <c r="CC34" s="156"/>
      <c r="CD34" s="156"/>
      <c r="CE34" s="156"/>
      <c r="CF34" s="156"/>
      <c r="CG34" s="156"/>
      <c r="CH34" s="156"/>
      <c r="CI34" s="156"/>
      <c r="CJ34" s="156"/>
      <c r="CK34" s="156"/>
      <c r="CL34" s="156"/>
      <c r="CM34" s="156"/>
      <c r="CN34" s="156"/>
      <c r="CO34" s="156"/>
      <c r="CP34" s="156"/>
      <c r="CQ34" s="156"/>
      <c r="CR34" s="156"/>
      <c r="CS34" s="156"/>
      <c r="CT34" s="156"/>
      <c r="CU34" s="156"/>
      <c r="CV34" s="156"/>
      <c r="CW34" s="156"/>
      <c r="CX34" s="156"/>
      <c r="CY34" s="156"/>
      <c r="CZ34" s="156"/>
      <c r="DA34" s="156"/>
      <c r="DB34" s="156"/>
      <c r="DC34" s="156"/>
      <c r="DD34" s="156"/>
      <c r="DE34" s="156">
        <f>0.006%*0.3/30</f>
        <v>5.9999999999999997E-7</v>
      </c>
      <c r="DF34" s="156">
        <f>DE34</f>
        <v>5.9999999999999997E-7</v>
      </c>
      <c r="DG34" s="156">
        <f t="shared" ref="DG34:EH34" si="270">DF34</f>
        <v>5.9999999999999997E-7</v>
      </c>
      <c r="DH34" s="156">
        <f t="shared" si="270"/>
        <v>5.9999999999999997E-7</v>
      </c>
      <c r="DI34" s="156">
        <f t="shared" si="270"/>
        <v>5.9999999999999997E-7</v>
      </c>
      <c r="DJ34" s="156">
        <f t="shared" si="270"/>
        <v>5.9999999999999997E-7</v>
      </c>
      <c r="DK34" s="156">
        <f t="shared" si="270"/>
        <v>5.9999999999999997E-7</v>
      </c>
      <c r="DL34" s="156">
        <f t="shared" si="270"/>
        <v>5.9999999999999997E-7</v>
      </c>
      <c r="DM34" s="156">
        <f t="shared" si="270"/>
        <v>5.9999999999999997E-7</v>
      </c>
      <c r="DN34" s="156">
        <f t="shared" si="270"/>
        <v>5.9999999999999997E-7</v>
      </c>
      <c r="DO34" s="156">
        <f t="shared" si="270"/>
        <v>5.9999999999999997E-7</v>
      </c>
      <c r="DP34" s="156">
        <f t="shared" si="270"/>
        <v>5.9999999999999997E-7</v>
      </c>
      <c r="DQ34" s="156">
        <f t="shared" si="270"/>
        <v>5.9999999999999997E-7</v>
      </c>
      <c r="DR34" s="156">
        <f t="shared" si="270"/>
        <v>5.9999999999999997E-7</v>
      </c>
      <c r="DS34" s="156">
        <f t="shared" si="270"/>
        <v>5.9999999999999997E-7</v>
      </c>
      <c r="DT34" s="156">
        <f t="shared" si="270"/>
        <v>5.9999999999999997E-7</v>
      </c>
      <c r="DU34" s="156">
        <f t="shared" si="270"/>
        <v>5.9999999999999997E-7</v>
      </c>
      <c r="DV34" s="156">
        <f t="shared" si="270"/>
        <v>5.9999999999999997E-7</v>
      </c>
      <c r="DW34" s="156">
        <f t="shared" si="270"/>
        <v>5.9999999999999997E-7</v>
      </c>
      <c r="DX34" s="156">
        <f t="shared" si="270"/>
        <v>5.9999999999999997E-7</v>
      </c>
      <c r="DY34" s="156">
        <f t="shared" si="270"/>
        <v>5.9999999999999997E-7</v>
      </c>
      <c r="DZ34" s="156">
        <f t="shared" si="270"/>
        <v>5.9999999999999997E-7</v>
      </c>
      <c r="EA34" s="156">
        <f t="shared" si="270"/>
        <v>5.9999999999999997E-7</v>
      </c>
      <c r="EB34" s="156">
        <f t="shared" si="270"/>
        <v>5.9999999999999997E-7</v>
      </c>
      <c r="EC34" s="156">
        <f t="shared" si="270"/>
        <v>5.9999999999999997E-7</v>
      </c>
      <c r="ED34" s="156">
        <f t="shared" si="270"/>
        <v>5.9999999999999997E-7</v>
      </c>
      <c r="EE34" s="156">
        <f t="shared" si="270"/>
        <v>5.9999999999999997E-7</v>
      </c>
      <c r="EF34" s="156">
        <f t="shared" si="270"/>
        <v>5.9999999999999997E-7</v>
      </c>
      <c r="EG34" s="156">
        <f t="shared" si="270"/>
        <v>5.9999999999999997E-7</v>
      </c>
      <c r="EH34" s="156">
        <f t="shared" si="270"/>
        <v>5.9999999999999997E-7</v>
      </c>
      <c r="EI34" s="156">
        <f>0.006%*0.3/30</f>
        <v>5.9999999999999997E-7</v>
      </c>
      <c r="EJ34" s="156">
        <f>EI34</f>
        <v>5.9999999999999997E-7</v>
      </c>
      <c r="EK34" s="156">
        <f t="shared" ref="EK34:FL34" si="271">EJ34</f>
        <v>5.9999999999999997E-7</v>
      </c>
      <c r="EL34" s="156">
        <f t="shared" si="271"/>
        <v>5.9999999999999997E-7</v>
      </c>
      <c r="EM34" s="156">
        <f t="shared" si="271"/>
        <v>5.9999999999999997E-7</v>
      </c>
      <c r="EN34" s="156">
        <f t="shared" si="271"/>
        <v>5.9999999999999997E-7</v>
      </c>
      <c r="EO34" s="156">
        <f t="shared" si="271"/>
        <v>5.9999999999999997E-7</v>
      </c>
      <c r="EP34" s="156">
        <f t="shared" si="271"/>
        <v>5.9999999999999997E-7</v>
      </c>
      <c r="EQ34" s="156">
        <f t="shared" si="271"/>
        <v>5.9999999999999997E-7</v>
      </c>
      <c r="ER34" s="156">
        <f t="shared" si="271"/>
        <v>5.9999999999999997E-7</v>
      </c>
      <c r="ES34" s="156">
        <f t="shared" si="271"/>
        <v>5.9999999999999997E-7</v>
      </c>
      <c r="ET34" s="156">
        <f t="shared" si="271"/>
        <v>5.9999999999999997E-7</v>
      </c>
      <c r="EU34" s="156">
        <f t="shared" si="271"/>
        <v>5.9999999999999997E-7</v>
      </c>
      <c r="EV34" s="156">
        <f t="shared" si="271"/>
        <v>5.9999999999999997E-7</v>
      </c>
      <c r="EW34" s="156">
        <f t="shared" si="271"/>
        <v>5.9999999999999997E-7</v>
      </c>
      <c r="EX34" s="156">
        <f t="shared" si="271"/>
        <v>5.9999999999999997E-7</v>
      </c>
      <c r="EY34" s="156">
        <f t="shared" si="271"/>
        <v>5.9999999999999997E-7</v>
      </c>
      <c r="EZ34" s="156">
        <f t="shared" si="271"/>
        <v>5.9999999999999997E-7</v>
      </c>
      <c r="FA34" s="156">
        <f t="shared" si="271"/>
        <v>5.9999999999999997E-7</v>
      </c>
      <c r="FB34" s="156">
        <f t="shared" si="271"/>
        <v>5.9999999999999997E-7</v>
      </c>
      <c r="FC34" s="156">
        <f t="shared" si="271"/>
        <v>5.9999999999999997E-7</v>
      </c>
      <c r="FD34" s="156">
        <f t="shared" si="271"/>
        <v>5.9999999999999997E-7</v>
      </c>
      <c r="FE34" s="156">
        <f t="shared" si="271"/>
        <v>5.9999999999999997E-7</v>
      </c>
      <c r="FF34" s="156">
        <f t="shared" si="271"/>
        <v>5.9999999999999997E-7</v>
      </c>
      <c r="FG34" s="156">
        <f t="shared" si="271"/>
        <v>5.9999999999999997E-7</v>
      </c>
      <c r="FH34" s="156">
        <f t="shared" si="271"/>
        <v>5.9999999999999997E-7</v>
      </c>
      <c r="FI34" s="156">
        <f t="shared" si="271"/>
        <v>5.9999999999999997E-7</v>
      </c>
      <c r="FJ34" s="156">
        <f t="shared" si="271"/>
        <v>5.9999999999999997E-7</v>
      </c>
      <c r="FK34" s="156">
        <f t="shared" si="271"/>
        <v>5.9999999999999997E-7</v>
      </c>
      <c r="FL34" s="156">
        <f t="shared" si="271"/>
        <v>5.9999999999999997E-7</v>
      </c>
      <c r="FM34" s="156">
        <f>0.011%*0.3/30</f>
        <v>1.0999999999999998E-6</v>
      </c>
      <c r="FN34" s="156">
        <f>FM34</f>
        <v>1.0999999999999998E-6</v>
      </c>
      <c r="FO34" s="156">
        <f t="shared" ref="FO34:GP34" si="272">FN34</f>
        <v>1.0999999999999998E-6</v>
      </c>
      <c r="FP34" s="156">
        <f t="shared" si="272"/>
        <v>1.0999999999999998E-6</v>
      </c>
      <c r="FQ34" s="156">
        <f t="shared" si="272"/>
        <v>1.0999999999999998E-6</v>
      </c>
      <c r="FR34" s="156">
        <f t="shared" si="272"/>
        <v>1.0999999999999998E-6</v>
      </c>
      <c r="FS34" s="156">
        <f t="shared" si="272"/>
        <v>1.0999999999999998E-6</v>
      </c>
      <c r="FT34" s="156">
        <f t="shared" si="272"/>
        <v>1.0999999999999998E-6</v>
      </c>
      <c r="FU34" s="156">
        <f t="shared" si="272"/>
        <v>1.0999999999999998E-6</v>
      </c>
      <c r="FV34" s="156">
        <f t="shared" si="272"/>
        <v>1.0999999999999998E-6</v>
      </c>
      <c r="FW34" s="156">
        <f t="shared" si="272"/>
        <v>1.0999999999999998E-6</v>
      </c>
      <c r="FX34" s="156">
        <f t="shared" si="272"/>
        <v>1.0999999999999998E-6</v>
      </c>
      <c r="FY34" s="156">
        <f t="shared" si="272"/>
        <v>1.0999999999999998E-6</v>
      </c>
      <c r="FZ34" s="156">
        <f t="shared" si="272"/>
        <v>1.0999999999999998E-6</v>
      </c>
      <c r="GA34" s="156">
        <f t="shared" si="272"/>
        <v>1.0999999999999998E-6</v>
      </c>
      <c r="GB34" s="156">
        <f t="shared" si="272"/>
        <v>1.0999999999999998E-6</v>
      </c>
      <c r="GC34" s="156">
        <f t="shared" si="272"/>
        <v>1.0999999999999998E-6</v>
      </c>
      <c r="GD34" s="156">
        <f t="shared" si="272"/>
        <v>1.0999999999999998E-6</v>
      </c>
      <c r="GE34" s="156">
        <f t="shared" si="272"/>
        <v>1.0999999999999998E-6</v>
      </c>
      <c r="GF34" s="156">
        <f t="shared" si="272"/>
        <v>1.0999999999999998E-6</v>
      </c>
      <c r="GG34" s="156">
        <f t="shared" si="272"/>
        <v>1.0999999999999998E-6</v>
      </c>
      <c r="GH34" s="156">
        <f t="shared" si="272"/>
        <v>1.0999999999999998E-6</v>
      </c>
      <c r="GI34" s="156">
        <f t="shared" si="272"/>
        <v>1.0999999999999998E-6</v>
      </c>
      <c r="GJ34" s="156">
        <f t="shared" si="272"/>
        <v>1.0999999999999998E-6</v>
      </c>
      <c r="GK34" s="156">
        <f t="shared" si="272"/>
        <v>1.0999999999999998E-6</v>
      </c>
      <c r="GL34" s="156">
        <f t="shared" si="272"/>
        <v>1.0999999999999998E-6</v>
      </c>
      <c r="GM34" s="156">
        <f t="shared" si="272"/>
        <v>1.0999999999999998E-6</v>
      </c>
      <c r="GN34" s="156">
        <f t="shared" si="272"/>
        <v>1.0999999999999998E-6</v>
      </c>
      <c r="GO34" s="156">
        <f t="shared" si="272"/>
        <v>1.0999999999999998E-6</v>
      </c>
      <c r="GP34" s="156">
        <f t="shared" si="272"/>
        <v>1.0999999999999998E-6</v>
      </c>
      <c r="GQ34" s="156">
        <f>0.011%*0.2/30</f>
        <v>7.3333333333333334E-7</v>
      </c>
      <c r="GR34" s="156">
        <f>GQ34</f>
        <v>7.3333333333333334E-7</v>
      </c>
      <c r="GS34" s="156">
        <f t="shared" ref="GS34:HT34" si="273">GR34</f>
        <v>7.3333333333333334E-7</v>
      </c>
      <c r="GT34" s="156">
        <f t="shared" si="273"/>
        <v>7.3333333333333334E-7</v>
      </c>
      <c r="GU34" s="156">
        <f t="shared" si="273"/>
        <v>7.3333333333333334E-7</v>
      </c>
      <c r="GV34" s="156">
        <f t="shared" si="273"/>
        <v>7.3333333333333334E-7</v>
      </c>
      <c r="GW34" s="156">
        <f t="shared" si="273"/>
        <v>7.3333333333333334E-7</v>
      </c>
      <c r="GX34" s="156">
        <f t="shared" si="273"/>
        <v>7.3333333333333334E-7</v>
      </c>
      <c r="GY34" s="156">
        <f t="shared" si="273"/>
        <v>7.3333333333333334E-7</v>
      </c>
      <c r="GZ34" s="156">
        <f t="shared" si="273"/>
        <v>7.3333333333333334E-7</v>
      </c>
      <c r="HA34" s="156">
        <f t="shared" si="273"/>
        <v>7.3333333333333334E-7</v>
      </c>
      <c r="HB34" s="156">
        <f t="shared" si="273"/>
        <v>7.3333333333333334E-7</v>
      </c>
      <c r="HC34" s="156">
        <f t="shared" si="273"/>
        <v>7.3333333333333334E-7</v>
      </c>
      <c r="HD34" s="156">
        <f t="shared" si="273"/>
        <v>7.3333333333333334E-7</v>
      </c>
      <c r="HE34" s="156">
        <f t="shared" si="273"/>
        <v>7.3333333333333334E-7</v>
      </c>
      <c r="HF34" s="156">
        <f t="shared" si="273"/>
        <v>7.3333333333333334E-7</v>
      </c>
      <c r="HG34" s="156">
        <f t="shared" si="273"/>
        <v>7.3333333333333334E-7</v>
      </c>
      <c r="HH34" s="156">
        <f t="shared" si="273"/>
        <v>7.3333333333333334E-7</v>
      </c>
      <c r="HI34" s="156">
        <f t="shared" si="273"/>
        <v>7.3333333333333334E-7</v>
      </c>
      <c r="HJ34" s="156">
        <f t="shared" si="273"/>
        <v>7.3333333333333334E-7</v>
      </c>
      <c r="HK34" s="156">
        <f t="shared" si="273"/>
        <v>7.3333333333333334E-7</v>
      </c>
      <c r="HL34" s="156">
        <f t="shared" si="273"/>
        <v>7.3333333333333334E-7</v>
      </c>
      <c r="HM34" s="156">
        <f t="shared" si="273"/>
        <v>7.3333333333333334E-7</v>
      </c>
      <c r="HN34" s="156">
        <f t="shared" si="273"/>
        <v>7.3333333333333334E-7</v>
      </c>
      <c r="HO34" s="156">
        <f t="shared" si="273"/>
        <v>7.3333333333333334E-7</v>
      </c>
      <c r="HP34" s="156">
        <f t="shared" si="273"/>
        <v>7.3333333333333334E-7</v>
      </c>
      <c r="HQ34" s="156">
        <f t="shared" si="273"/>
        <v>7.3333333333333334E-7</v>
      </c>
      <c r="HR34" s="156">
        <f t="shared" si="273"/>
        <v>7.3333333333333334E-7</v>
      </c>
      <c r="HS34" s="156">
        <f t="shared" si="273"/>
        <v>7.3333333333333334E-7</v>
      </c>
      <c r="HT34" s="156">
        <f t="shared" si="273"/>
        <v>7.3333333333333334E-7</v>
      </c>
      <c r="HU34" s="156">
        <f>0.011%*0.2/30</f>
        <v>7.3333333333333334E-7</v>
      </c>
      <c r="HV34" s="156">
        <f>HU34</f>
        <v>7.3333333333333334E-7</v>
      </c>
      <c r="HW34" s="156">
        <f t="shared" ref="HW34:IX34" si="274">HV34</f>
        <v>7.3333333333333334E-7</v>
      </c>
      <c r="HX34" s="156">
        <f t="shared" si="274"/>
        <v>7.3333333333333334E-7</v>
      </c>
      <c r="HY34" s="156">
        <f t="shared" si="274"/>
        <v>7.3333333333333334E-7</v>
      </c>
      <c r="HZ34" s="156">
        <f t="shared" si="274"/>
        <v>7.3333333333333334E-7</v>
      </c>
      <c r="IA34" s="156">
        <f t="shared" si="274"/>
        <v>7.3333333333333334E-7</v>
      </c>
      <c r="IB34" s="156">
        <f t="shared" si="274"/>
        <v>7.3333333333333334E-7</v>
      </c>
      <c r="IC34" s="156">
        <f t="shared" si="274"/>
        <v>7.3333333333333334E-7</v>
      </c>
      <c r="ID34" s="156">
        <f t="shared" si="274"/>
        <v>7.3333333333333334E-7</v>
      </c>
      <c r="IE34" s="156">
        <f t="shared" si="274"/>
        <v>7.3333333333333334E-7</v>
      </c>
      <c r="IF34" s="156">
        <f t="shared" si="274"/>
        <v>7.3333333333333334E-7</v>
      </c>
      <c r="IG34" s="156">
        <f t="shared" si="274"/>
        <v>7.3333333333333334E-7</v>
      </c>
      <c r="IH34" s="156">
        <f t="shared" si="274"/>
        <v>7.3333333333333334E-7</v>
      </c>
      <c r="II34" s="156">
        <f t="shared" si="274"/>
        <v>7.3333333333333334E-7</v>
      </c>
      <c r="IJ34" s="156">
        <f t="shared" si="274"/>
        <v>7.3333333333333334E-7</v>
      </c>
      <c r="IK34" s="156">
        <f t="shared" si="274"/>
        <v>7.3333333333333334E-7</v>
      </c>
      <c r="IL34" s="156">
        <f t="shared" si="274"/>
        <v>7.3333333333333334E-7</v>
      </c>
      <c r="IM34" s="156">
        <f t="shared" si="274"/>
        <v>7.3333333333333334E-7</v>
      </c>
      <c r="IN34" s="156">
        <f t="shared" si="274"/>
        <v>7.3333333333333334E-7</v>
      </c>
      <c r="IO34" s="156">
        <f t="shared" si="274"/>
        <v>7.3333333333333334E-7</v>
      </c>
      <c r="IP34" s="156">
        <f t="shared" si="274"/>
        <v>7.3333333333333334E-7</v>
      </c>
      <c r="IQ34" s="156">
        <f t="shared" si="274"/>
        <v>7.3333333333333334E-7</v>
      </c>
      <c r="IR34" s="156">
        <f t="shared" si="274"/>
        <v>7.3333333333333334E-7</v>
      </c>
      <c r="IS34" s="156">
        <f t="shared" si="274"/>
        <v>7.3333333333333334E-7</v>
      </c>
      <c r="IT34" s="156">
        <f t="shared" si="274"/>
        <v>7.3333333333333334E-7</v>
      </c>
      <c r="IU34" s="156">
        <f t="shared" si="274"/>
        <v>7.3333333333333334E-7</v>
      </c>
      <c r="IV34" s="156">
        <f t="shared" si="274"/>
        <v>7.3333333333333334E-7</v>
      </c>
      <c r="IW34" s="156">
        <f t="shared" si="274"/>
        <v>7.3333333333333334E-7</v>
      </c>
      <c r="IX34" s="156">
        <f t="shared" si="274"/>
        <v>7.3333333333333334E-7</v>
      </c>
      <c r="IY34" s="156">
        <f>0.011%*0.2/30</f>
        <v>7.3333333333333334E-7</v>
      </c>
      <c r="IZ34" s="156">
        <f>IY34</f>
        <v>7.3333333333333334E-7</v>
      </c>
      <c r="JA34" s="156">
        <f t="shared" ref="JA34:KB34" si="275">IZ34</f>
        <v>7.3333333333333334E-7</v>
      </c>
      <c r="JB34" s="156">
        <f t="shared" si="275"/>
        <v>7.3333333333333334E-7</v>
      </c>
      <c r="JC34" s="156">
        <f t="shared" si="275"/>
        <v>7.3333333333333334E-7</v>
      </c>
      <c r="JD34" s="156">
        <f t="shared" si="275"/>
        <v>7.3333333333333334E-7</v>
      </c>
      <c r="JE34" s="156">
        <f t="shared" si="275"/>
        <v>7.3333333333333334E-7</v>
      </c>
      <c r="JF34" s="156">
        <f t="shared" si="275"/>
        <v>7.3333333333333334E-7</v>
      </c>
      <c r="JG34" s="156">
        <f t="shared" si="275"/>
        <v>7.3333333333333334E-7</v>
      </c>
      <c r="JH34" s="156">
        <f t="shared" si="275"/>
        <v>7.3333333333333334E-7</v>
      </c>
      <c r="JI34" s="156">
        <f t="shared" si="275"/>
        <v>7.3333333333333334E-7</v>
      </c>
      <c r="JJ34" s="156">
        <f t="shared" si="275"/>
        <v>7.3333333333333334E-7</v>
      </c>
      <c r="JK34" s="156">
        <f t="shared" si="275"/>
        <v>7.3333333333333334E-7</v>
      </c>
      <c r="JL34" s="156">
        <f t="shared" si="275"/>
        <v>7.3333333333333334E-7</v>
      </c>
      <c r="JM34" s="156">
        <f t="shared" si="275"/>
        <v>7.3333333333333334E-7</v>
      </c>
      <c r="JN34" s="156">
        <f t="shared" si="275"/>
        <v>7.3333333333333334E-7</v>
      </c>
      <c r="JO34" s="156">
        <f t="shared" si="275"/>
        <v>7.3333333333333334E-7</v>
      </c>
      <c r="JP34" s="156">
        <f t="shared" si="275"/>
        <v>7.3333333333333334E-7</v>
      </c>
      <c r="JQ34" s="156">
        <f t="shared" si="275"/>
        <v>7.3333333333333334E-7</v>
      </c>
      <c r="JR34" s="156">
        <f t="shared" si="275"/>
        <v>7.3333333333333334E-7</v>
      </c>
      <c r="JS34" s="156">
        <f t="shared" si="275"/>
        <v>7.3333333333333334E-7</v>
      </c>
      <c r="JT34" s="156">
        <f t="shared" si="275"/>
        <v>7.3333333333333334E-7</v>
      </c>
      <c r="JU34" s="156">
        <f t="shared" si="275"/>
        <v>7.3333333333333334E-7</v>
      </c>
      <c r="JV34" s="156">
        <f t="shared" si="275"/>
        <v>7.3333333333333334E-7</v>
      </c>
      <c r="JW34" s="156">
        <f t="shared" si="275"/>
        <v>7.3333333333333334E-7</v>
      </c>
      <c r="JX34" s="156">
        <f t="shared" si="275"/>
        <v>7.3333333333333334E-7</v>
      </c>
      <c r="JY34" s="156">
        <f t="shared" si="275"/>
        <v>7.3333333333333334E-7</v>
      </c>
      <c r="JZ34" s="156">
        <f t="shared" si="275"/>
        <v>7.3333333333333334E-7</v>
      </c>
      <c r="KA34" s="156">
        <f t="shared" si="275"/>
        <v>7.3333333333333334E-7</v>
      </c>
      <c r="KB34" s="156">
        <f t="shared" si="275"/>
        <v>7.3333333333333334E-7</v>
      </c>
      <c r="KC34" s="212">
        <f>0.011%+0.009%</f>
        <v>1.9999999999999998E-4</v>
      </c>
      <c r="KD34" s="212"/>
      <c r="KE34" s="212"/>
      <c r="KF34" s="212">
        <f>0.006%+0.0085%</f>
        <v>1.45E-4</v>
      </c>
      <c r="KG34" s="212"/>
      <c r="KH34" s="212"/>
      <c r="KI34" s="54"/>
      <c r="KJ34" s="54"/>
      <c r="KK34" s="54"/>
      <c r="KL34" s="53"/>
      <c r="KM34" s="54"/>
      <c r="KN34" s="55"/>
      <c r="KO34" s="212"/>
      <c r="KP34" s="212"/>
      <c r="KQ34" s="212"/>
      <c r="KR34" s="53"/>
      <c r="KS34" s="54"/>
      <c r="KT34" s="55"/>
      <c r="KU34" s="54"/>
      <c r="KV34" s="54"/>
      <c r="KW34" s="54"/>
      <c r="KX34" s="53"/>
      <c r="KY34" s="54"/>
      <c r="KZ34" s="54"/>
      <c r="LA34" s="211"/>
      <c r="LB34" s="212"/>
      <c r="LC34" s="213"/>
      <c r="LD34" s="54"/>
      <c r="LE34" s="54"/>
      <c r="LF34" s="55"/>
      <c r="LG34" s="54"/>
      <c r="LH34" s="54"/>
      <c r="LI34" s="55"/>
      <c r="LJ34" s="212"/>
      <c r="LK34" s="212"/>
      <c r="LL34" s="212"/>
      <c r="LM34" s="212">
        <f>0.006%+0.009%</f>
        <v>1.4999999999999999E-4</v>
      </c>
      <c r="LN34" s="212"/>
      <c r="LO34" s="212"/>
      <c r="LP34" s="212">
        <f>0.006%+0.009%</f>
        <v>1.4999999999999999E-4</v>
      </c>
      <c r="LQ34" s="212"/>
      <c r="LR34" s="212"/>
      <c r="LS34" s="212">
        <f>0.006%+0.007%</f>
        <v>1.3000000000000002E-4</v>
      </c>
      <c r="LT34" s="212"/>
      <c r="LU34" s="212"/>
      <c r="LV34" s="54"/>
      <c r="LW34" s="54"/>
      <c r="LX34" s="54"/>
      <c r="LY34" s="53"/>
      <c r="LZ34" s="54"/>
      <c r="MA34" s="55"/>
      <c r="MB34" s="54"/>
      <c r="MC34" s="54"/>
      <c r="MD34" s="54"/>
      <c r="ME34" s="53"/>
      <c r="MF34" s="54"/>
      <c r="MG34" s="55"/>
      <c r="MH34" s="53"/>
      <c r="MI34" s="54"/>
      <c r="MJ34" s="55"/>
      <c r="MK34" s="54"/>
      <c r="ML34" s="54"/>
      <c r="MM34" s="54"/>
      <c r="MN34" s="53"/>
      <c r="MO34" s="54"/>
      <c r="MP34" s="55"/>
      <c r="MQ34" s="53"/>
      <c r="MR34" s="54"/>
      <c r="MS34" s="55"/>
      <c r="MT34" s="53"/>
      <c r="MU34" s="54"/>
      <c r="MV34" s="55"/>
      <c r="MW34" s="53"/>
      <c r="MX34" s="54"/>
      <c r="MY34" s="55"/>
      <c r="MZ34" s="53"/>
      <c r="NA34" s="54"/>
      <c r="NB34" s="55"/>
      <c r="NC34" s="54"/>
      <c r="ND34" s="54"/>
      <c r="NE34" s="59"/>
      <c r="NG34" s="275">
        <f>SUM(R34:NE34)</f>
        <v>9.0999999999999978E-4</v>
      </c>
      <c r="NH34" s="1"/>
      <c r="NI34" s="1"/>
      <c r="NJ34" s="1"/>
      <c r="NK34" s="1"/>
    </row>
    <row r="35" spans="5:375" s="6" customFormat="1" ht="6.95" customHeight="1">
      <c r="F35" s="196"/>
      <c r="G35" s="197"/>
      <c r="H35" s="52">
        <v>2</v>
      </c>
      <c r="L35" s="431"/>
      <c r="M35" s="429"/>
      <c r="N35" s="357"/>
      <c r="O35" s="353"/>
      <c r="P35" s="308"/>
      <c r="Q35" s="237"/>
      <c r="R35" s="6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39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1"/>
      <c r="CA35" s="39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61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1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1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1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1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1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1"/>
      <c r="KD35" s="62"/>
      <c r="KE35" s="63"/>
      <c r="KF35" s="61"/>
      <c r="KG35" s="62"/>
      <c r="KH35" s="63"/>
      <c r="KI35" s="40"/>
      <c r="KJ35" s="40"/>
      <c r="KK35" s="40"/>
      <c r="KL35" s="39"/>
      <c r="KM35" s="40"/>
      <c r="KN35" s="41"/>
      <c r="KO35" s="39"/>
      <c r="KP35" s="40"/>
      <c r="KQ35" s="41"/>
      <c r="KR35" s="39"/>
      <c r="KS35" s="40"/>
      <c r="KT35" s="41"/>
      <c r="KU35" s="40"/>
      <c r="KV35" s="40"/>
      <c r="KW35" s="40"/>
      <c r="KX35" s="39"/>
      <c r="KY35" s="40"/>
      <c r="KZ35" s="40"/>
      <c r="LA35" s="64"/>
      <c r="LB35" s="40"/>
      <c r="LC35" s="65"/>
      <c r="LD35" s="40"/>
      <c r="LE35" s="40"/>
      <c r="LF35" s="41"/>
      <c r="LG35" s="40"/>
      <c r="LH35" s="40"/>
      <c r="LI35" s="41"/>
      <c r="LJ35" s="39"/>
      <c r="LK35" s="40"/>
      <c r="LL35" s="41"/>
      <c r="LM35" s="61"/>
      <c r="LN35" s="62"/>
      <c r="LO35" s="63"/>
      <c r="LP35" s="61"/>
      <c r="LQ35" s="62"/>
      <c r="LR35" s="63"/>
      <c r="LS35" s="61"/>
      <c r="LT35" s="62"/>
      <c r="LU35" s="63"/>
      <c r="LV35" s="40"/>
      <c r="LW35" s="40"/>
      <c r="LX35" s="40"/>
      <c r="LY35" s="39"/>
      <c r="LZ35" s="40"/>
      <c r="MA35" s="41"/>
      <c r="MB35" s="40"/>
      <c r="MC35" s="40"/>
      <c r="MD35" s="40"/>
      <c r="ME35" s="39"/>
      <c r="MF35" s="40"/>
      <c r="MG35" s="41"/>
      <c r="MH35" s="39"/>
      <c r="MI35" s="40"/>
      <c r="MJ35" s="41"/>
      <c r="MK35" s="40"/>
      <c r="ML35" s="40"/>
      <c r="MM35" s="40"/>
      <c r="MN35" s="39"/>
      <c r="MO35" s="40"/>
      <c r="MP35" s="41"/>
      <c r="MQ35" s="39"/>
      <c r="MR35" s="40"/>
      <c r="MS35" s="41"/>
      <c r="MT35" s="39"/>
      <c r="MU35" s="40"/>
      <c r="MV35" s="41"/>
      <c r="MW35" s="39"/>
      <c r="MX35" s="40"/>
      <c r="MY35" s="41"/>
      <c r="MZ35" s="39"/>
      <c r="NA35" s="40"/>
      <c r="NB35" s="41"/>
      <c r="NC35" s="40"/>
      <c r="ND35" s="40"/>
      <c r="NE35" s="42"/>
      <c r="NG35" s="275"/>
      <c r="NH35" s="1"/>
      <c r="NI35" s="1"/>
      <c r="NJ35" s="1"/>
      <c r="NK35" s="1"/>
    </row>
    <row r="36" spans="5:375" s="6" customFormat="1" ht="9.9499999999999993" customHeight="1">
      <c r="F36" s="196">
        <f t="shared" ref="F36" si="276">NG36</f>
        <v>2.4600000000000021E-3</v>
      </c>
      <c r="G36" s="197">
        <f>Q36-F36</f>
        <v>0</v>
      </c>
      <c r="H36" s="27">
        <v>1</v>
      </c>
      <c r="J36" s="6" t="s">
        <v>177</v>
      </c>
      <c r="K36" s="6" t="s">
        <v>178</v>
      </c>
      <c r="L36" s="292"/>
      <c r="M36" s="295" t="s">
        <v>32</v>
      </c>
      <c r="N36" s="296">
        <v>7466</v>
      </c>
      <c r="O36" s="297" t="s">
        <v>35</v>
      </c>
      <c r="P36" s="315">
        <v>512269</v>
      </c>
      <c r="Q36" s="236">
        <f>ROUND(P36/$P$256,5)</f>
        <v>2.4599999999999999E-3</v>
      </c>
      <c r="R36" s="21"/>
      <c r="S36" s="143">
        <f>0.011%*0.3/30</f>
        <v>1.0999999999999998E-6</v>
      </c>
      <c r="T36" s="141">
        <f>S36</f>
        <v>1.0999999999999998E-6</v>
      </c>
      <c r="U36" s="141">
        <f t="shared" ref="U36:AV36" si="277">T36</f>
        <v>1.0999999999999998E-6</v>
      </c>
      <c r="V36" s="141">
        <f t="shared" si="277"/>
        <v>1.0999999999999998E-6</v>
      </c>
      <c r="W36" s="141">
        <f t="shared" si="277"/>
        <v>1.0999999999999998E-6</v>
      </c>
      <c r="X36" s="141">
        <f t="shared" si="277"/>
        <v>1.0999999999999998E-6</v>
      </c>
      <c r="Y36" s="141">
        <f t="shared" si="277"/>
        <v>1.0999999999999998E-6</v>
      </c>
      <c r="Z36" s="141">
        <f t="shared" si="277"/>
        <v>1.0999999999999998E-6</v>
      </c>
      <c r="AA36" s="141">
        <f t="shared" si="277"/>
        <v>1.0999999999999998E-6</v>
      </c>
      <c r="AB36" s="141">
        <f t="shared" si="277"/>
        <v>1.0999999999999998E-6</v>
      </c>
      <c r="AC36" s="141">
        <f t="shared" si="277"/>
        <v>1.0999999999999998E-6</v>
      </c>
      <c r="AD36" s="141">
        <f t="shared" si="277"/>
        <v>1.0999999999999998E-6</v>
      </c>
      <c r="AE36" s="141">
        <f t="shared" si="277"/>
        <v>1.0999999999999998E-6</v>
      </c>
      <c r="AF36" s="141">
        <f t="shared" si="277"/>
        <v>1.0999999999999998E-6</v>
      </c>
      <c r="AG36" s="141">
        <f t="shared" si="277"/>
        <v>1.0999999999999998E-6</v>
      </c>
      <c r="AH36" s="141">
        <f t="shared" si="277"/>
        <v>1.0999999999999998E-6</v>
      </c>
      <c r="AI36" s="141">
        <f t="shared" si="277"/>
        <v>1.0999999999999998E-6</v>
      </c>
      <c r="AJ36" s="141">
        <f t="shared" si="277"/>
        <v>1.0999999999999998E-6</v>
      </c>
      <c r="AK36" s="141">
        <f t="shared" si="277"/>
        <v>1.0999999999999998E-6</v>
      </c>
      <c r="AL36" s="141">
        <f t="shared" si="277"/>
        <v>1.0999999999999998E-6</v>
      </c>
      <c r="AM36" s="141">
        <f t="shared" si="277"/>
        <v>1.0999999999999998E-6</v>
      </c>
      <c r="AN36" s="141">
        <f t="shared" si="277"/>
        <v>1.0999999999999998E-6</v>
      </c>
      <c r="AO36" s="141">
        <f t="shared" si="277"/>
        <v>1.0999999999999998E-6</v>
      </c>
      <c r="AP36" s="141">
        <f t="shared" si="277"/>
        <v>1.0999999999999998E-6</v>
      </c>
      <c r="AQ36" s="141">
        <f t="shared" si="277"/>
        <v>1.0999999999999998E-6</v>
      </c>
      <c r="AR36" s="141">
        <f t="shared" si="277"/>
        <v>1.0999999999999998E-6</v>
      </c>
      <c r="AS36" s="141">
        <f t="shared" si="277"/>
        <v>1.0999999999999998E-6</v>
      </c>
      <c r="AT36" s="141">
        <f t="shared" si="277"/>
        <v>1.0999999999999998E-6</v>
      </c>
      <c r="AU36" s="141">
        <f t="shared" si="277"/>
        <v>1.0999999999999998E-6</v>
      </c>
      <c r="AV36" s="141">
        <f t="shared" si="277"/>
        <v>1.0999999999999998E-6</v>
      </c>
      <c r="AW36" s="157">
        <f>0.022%*0.3/30</f>
        <v>2.1999999999999997E-6</v>
      </c>
      <c r="AX36" s="156">
        <f>AW36</f>
        <v>2.1999999999999997E-6</v>
      </c>
      <c r="AY36" s="157">
        <f t="shared" ref="AY36:BZ36" si="278">AX36</f>
        <v>2.1999999999999997E-6</v>
      </c>
      <c r="AZ36" s="157">
        <f t="shared" si="278"/>
        <v>2.1999999999999997E-6</v>
      </c>
      <c r="BA36" s="157">
        <f t="shared" si="278"/>
        <v>2.1999999999999997E-6</v>
      </c>
      <c r="BB36" s="157">
        <f t="shared" si="278"/>
        <v>2.1999999999999997E-6</v>
      </c>
      <c r="BC36" s="157">
        <f t="shared" si="278"/>
        <v>2.1999999999999997E-6</v>
      </c>
      <c r="BD36" s="157">
        <f t="shared" si="278"/>
        <v>2.1999999999999997E-6</v>
      </c>
      <c r="BE36" s="157">
        <f t="shared" si="278"/>
        <v>2.1999999999999997E-6</v>
      </c>
      <c r="BF36" s="157">
        <f t="shared" si="278"/>
        <v>2.1999999999999997E-6</v>
      </c>
      <c r="BG36" s="157">
        <f t="shared" si="278"/>
        <v>2.1999999999999997E-6</v>
      </c>
      <c r="BH36" s="157">
        <f t="shared" si="278"/>
        <v>2.1999999999999997E-6</v>
      </c>
      <c r="BI36" s="157">
        <f t="shared" si="278"/>
        <v>2.1999999999999997E-6</v>
      </c>
      <c r="BJ36" s="157">
        <f t="shared" si="278"/>
        <v>2.1999999999999997E-6</v>
      </c>
      <c r="BK36" s="157">
        <f t="shared" si="278"/>
        <v>2.1999999999999997E-6</v>
      </c>
      <c r="BL36" s="157">
        <f t="shared" si="278"/>
        <v>2.1999999999999997E-6</v>
      </c>
      <c r="BM36" s="157">
        <f t="shared" si="278"/>
        <v>2.1999999999999997E-6</v>
      </c>
      <c r="BN36" s="157">
        <f t="shared" si="278"/>
        <v>2.1999999999999997E-6</v>
      </c>
      <c r="BO36" s="157">
        <f t="shared" si="278"/>
        <v>2.1999999999999997E-6</v>
      </c>
      <c r="BP36" s="157">
        <f t="shared" si="278"/>
        <v>2.1999999999999997E-6</v>
      </c>
      <c r="BQ36" s="157">
        <f t="shared" si="278"/>
        <v>2.1999999999999997E-6</v>
      </c>
      <c r="BR36" s="157">
        <f t="shared" si="278"/>
        <v>2.1999999999999997E-6</v>
      </c>
      <c r="BS36" s="157">
        <f t="shared" si="278"/>
        <v>2.1999999999999997E-6</v>
      </c>
      <c r="BT36" s="157">
        <f t="shared" si="278"/>
        <v>2.1999999999999997E-6</v>
      </c>
      <c r="BU36" s="157">
        <f t="shared" si="278"/>
        <v>2.1999999999999997E-6</v>
      </c>
      <c r="BV36" s="157">
        <f t="shared" si="278"/>
        <v>2.1999999999999997E-6</v>
      </c>
      <c r="BW36" s="157">
        <f t="shared" si="278"/>
        <v>2.1999999999999997E-6</v>
      </c>
      <c r="BX36" s="157">
        <f t="shared" si="278"/>
        <v>2.1999999999999997E-6</v>
      </c>
      <c r="BY36" s="157">
        <f t="shared" si="278"/>
        <v>2.1999999999999997E-6</v>
      </c>
      <c r="BZ36" s="157">
        <f t="shared" si="278"/>
        <v>2.1999999999999997E-6</v>
      </c>
      <c r="CA36" s="157">
        <f>0.023%*0.3/30</f>
        <v>2.3E-6</v>
      </c>
      <c r="CB36" s="156">
        <f>CA36</f>
        <v>2.3E-6</v>
      </c>
      <c r="CC36" s="156">
        <f t="shared" ref="CC36:DD36" si="279">CB36</f>
        <v>2.3E-6</v>
      </c>
      <c r="CD36" s="156">
        <f t="shared" si="279"/>
        <v>2.3E-6</v>
      </c>
      <c r="CE36" s="156">
        <f t="shared" si="279"/>
        <v>2.3E-6</v>
      </c>
      <c r="CF36" s="156">
        <f t="shared" si="279"/>
        <v>2.3E-6</v>
      </c>
      <c r="CG36" s="156">
        <f t="shared" si="279"/>
        <v>2.3E-6</v>
      </c>
      <c r="CH36" s="156">
        <f t="shared" si="279"/>
        <v>2.3E-6</v>
      </c>
      <c r="CI36" s="156">
        <f t="shared" si="279"/>
        <v>2.3E-6</v>
      </c>
      <c r="CJ36" s="156">
        <f t="shared" si="279"/>
        <v>2.3E-6</v>
      </c>
      <c r="CK36" s="156">
        <f t="shared" si="279"/>
        <v>2.3E-6</v>
      </c>
      <c r="CL36" s="156">
        <f t="shared" si="279"/>
        <v>2.3E-6</v>
      </c>
      <c r="CM36" s="156">
        <f t="shared" si="279"/>
        <v>2.3E-6</v>
      </c>
      <c r="CN36" s="156">
        <f t="shared" si="279"/>
        <v>2.3E-6</v>
      </c>
      <c r="CO36" s="156">
        <f t="shared" si="279"/>
        <v>2.3E-6</v>
      </c>
      <c r="CP36" s="156">
        <f t="shared" si="279"/>
        <v>2.3E-6</v>
      </c>
      <c r="CQ36" s="156">
        <f t="shared" si="279"/>
        <v>2.3E-6</v>
      </c>
      <c r="CR36" s="156">
        <f t="shared" si="279"/>
        <v>2.3E-6</v>
      </c>
      <c r="CS36" s="156">
        <f t="shared" si="279"/>
        <v>2.3E-6</v>
      </c>
      <c r="CT36" s="156">
        <f t="shared" si="279"/>
        <v>2.3E-6</v>
      </c>
      <c r="CU36" s="156">
        <f t="shared" si="279"/>
        <v>2.3E-6</v>
      </c>
      <c r="CV36" s="156">
        <f t="shared" si="279"/>
        <v>2.3E-6</v>
      </c>
      <c r="CW36" s="156">
        <f t="shared" si="279"/>
        <v>2.3E-6</v>
      </c>
      <c r="CX36" s="156">
        <f t="shared" si="279"/>
        <v>2.3E-6</v>
      </c>
      <c r="CY36" s="156">
        <f t="shared" si="279"/>
        <v>2.3E-6</v>
      </c>
      <c r="CZ36" s="156">
        <f t="shared" si="279"/>
        <v>2.3E-6</v>
      </c>
      <c r="DA36" s="156">
        <f t="shared" si="279"/>
        <v>2.3E-6</v>
      </c>
      <c r="DB36" s="156">
        <f t="shared" si="279"/>
        <v>2.3E-6</v>
      </c>
      <c r="DC36" s="156">
        <f t="shared" si="279"/>
        <v>2.3E-6</v>
      </c>
      <c r="DD36" s="156">
        <f t="shared" si="279"/>
        <v>2.3E-6</v>
      </c>
      <c r="DE36" s="157">
        <f>0.023%*0.3/30</f>
        <v>2.3E-6</v>
      </c>
      <c r="DF36" s="156">
        <f>DE36</f>
        <v>2.3E-6</v>
      </c>
      <c r="DG36" s="156">
        <f t="shared" ref="DG36:EH36" si="280">DF36</f>
        <v>2.3E-6</v>
      </c>
      <c r="DH36" s="156">
        <f t="shared" si="280"/>
        <v>2.3E-6</v>
      </c>
      <c r="DI36" s="156">
        <f t="shared" si="280"/>
        <v>2.3E-6</v>
      </c>
      <c r="DJ36" s="156">
        <f t="shared" si="280"/>
        <v>2.3E-6</v>
      </c>
      <c r="DK36" s="156">
        <f t="shared" si="280"/>
        <v>2.3E-6</v>
      </c>
      <c r="DL36" s="156">
        <f t="shared" si="280"/>
        <v>2.3E-6</v>
      </c>
      <c r="DM36" s="156">
        <f t="shared" si="280"/>
        <v>2.3E-6</v>
      </c>
      <c r="DN36" s="156">
        <f t="shared" si="280"/>
        <v>2.3E-6</v>
      </c>
      <c r="DO36" s="156">
        <f t="shared" si="280"/>
        <v>2.3E-6</v>
      </c>
      <c r="DP36" s="156">
        <f t="shared" si="280"/>
        <v>2.3E-6</v>
      </c>
      <c r="DQ36" s="156">
        <f t="shared" si="280"/>
        <v>2.3E-6</v>
      </c>
      <c r="DR36" s="156">
        <f t="shared" si="280"/>
        <v>2.3E-6</v>
      </c>
      <c r="DS36" s="156">
        <f t="shared" si="280"/>
        <v>2.3E-6</v>
      </c>
      <c r="DT36" s="156">
        <f t="shared" si="280"/>
        <v>2.3E-6</v>
      </c>
      <c r="DU36" s="156">
        <f t="shared" si="280"/>
        <v>2.3E-6</v>
      </c>
      <c r="DV36" s="156">
        <f t="shared" si="280"/>
        <v>2.3E-6</v>
      </c>
      <c r="DW36" s="156">
        <f t="shared" si="280"/>
        <v>2.3E-6</v>
      </c>
      <c r="DX36" s="156">
        <f t="shared" si="280"/>
        <v>2.3E-6</v>
      </c>
      <c r="DY36" s="156">
        <f t="shared" si="280"/>
        <v>2.3E-6</v>
      </c>
      <c r="DZ36" s="156">
        <f t="shared" si="280"/>
        <v>2.3E-6</v>
      </c>
      <c r="EA36" s="156">
        <f t="shared" si="280"/>
        <v>2.3E-6</v>
      </c>
      <c r="EB36" s="156">
        <f t="shared" si="280"/>
        <v>2.3E-6</v>
      </c>
      <c r="EC36" s="156">
        <f t="shared" si="280"/>
        <v>2.3E-6</v>
      </c>
      <c r="ED36" s="156">
        <f t="shared" si="280"/>
        <v>2.3E-6</v>
      </c>
      <c r="EE36" s="156">
        <f t="shared" si="280"/>
        <v>2.3E-6</v>
      </c>
      <c r="EF36" s="156">
        <f t="shared" si="280"/>
        <v>2.3E-6</v>
      </c>
      <c r="EG36" s="156">
        <f t="shared" si="280"/>
        <v>2.3E-6</v>
      </c>
      <c r="EH36" s="156">
        <f t="shared" si="280"/>
        <v>2.3E-6</v>
      </c>
      <c r="EI36" s="156">
        <f>0.031%*0.3/30</f>
        <v>3.1E-6</v>
      </c>
      <c r="EJ36" s="156">
        <f>EI36</f>
        <v>3.1E-6</v>
      </c>
      <c r="EK36" s="156">
        <f t="shared" ref="EK36:FL36" si="281">EJ36</f>
        <v>3.1E-6</v>
      </c>
      <c r="EL36" s="156">
        <f t="shared" si="281"/>
        <v>3.1E-6</v>
      </c>
      <c r="EM36" s="156">
        <f t="shared" si="281"/>
        <v>3.1E-6</v>
      </c>
      <c r="EN36" s="156">
        <f t="shared" si="281"/>
        <v>3.1E-6</v>
      </c>
      <c r="EO36" s="156">
        <f t="shared" si="281"/>
        <v>3.1E-6</v>
      </c>
      <c r="EP36" s="156">
        <f t="shared" si="281"/>
        <v>3.1E-6</v>
      </c>
      <c r="EQ36" s="156">
        <f t="shared" si="281"/>
        <v>3.1E-6</v>
      </c>
      <c r="ER36" s="156">
        <f t="shared" si="281"/>
        <v>3.1E-6</v>
      </c>
      <c r="ES36" s="156">
        <f t="shared" si="281"/>
        <v>3.1E-6</v>
      </c>
      <c r="ET36" s="156">
        <f t="shared" si="281"/>
        <v>3.1E-6</v>
      </c>
      <c r="EU36" s="156">
        <f t="shared" si="281"/>
        <v>3.1E-6</v>
      </c>
      <c r="EV36" s="156">
        <f t="shared" si="281"/>
        <v>3.1E-6</v>
      </c>
      <c r="EW36" s="156">
        <f t="shared" si="281"/>
        <v>3.1E-6</v>
      </c>
      <c r="EX36" s="156">
        <f t="shared" si="281"/>
        <v>3.1E-6</v>
      </c>
      <c r="EY36" s="156">
        <f t="shared" si="281"/>
        <v>3.1E-6</v>
      </c>
      <c r="EZ36" s="156">
        <f t="shared" si="281"/>
        <v>3.1E-6</v>
      </c>
      <c r="FA36" s="156">
        <f t="shared" si="281"/>
        <v>3.1E-6</v>
      </c>
      <c r="FB36" s="156">
        <f t="shared" si="281"/>
        <v>3.1E-6</v>
      </c>
      <c r="FC36" s="156">
        <f t="shared" si="281"/>
        <v>3.1E-6</v>
      </c>
      <c r="FD36" s="156">
        <f t="shared" si="281"/>
        <v>3.1E-6</v>
      </c>
      <c r="FE36" s="156">
        <f t="shared" si="281"/>
        <v>3.1E-6</v>
      </c>
      <c r="FF36" s="156">
        <f t="shared" si="281"/>
        <v>3.1E-6</v>
      </c>
      <c r="FG36" s="156">
        <f t="shared" si="281"/>
        <v>3.1E-6</v>
      </c>
      <c r="FH36" s="156">
        <f t="shared" si="281"/>
        <v>3.1E-6</v>
      </c>
      <c r="FI36" s="156">
        <f t="shared" si="281"/>
        <v>3.1E-6</v>
      </c>
      <c r="FJ36" s="156">
        <f t="shared" si="281"/>
        <v>3.1E-6</v>
      </c>
      <c r="FK36" s="156">
        <f t="shared" si="281"/>
        <v>3.1E-6</v>
      </c>
      <c r="FL36" s="156">
        <f t="shared" si="281"/>
        <v>3.1E-6</v>
      </c>
      <c r="FM36" s="156">
        <f>0.031%*0.3/30</f>
        <v>3.1E-6</v>
      </c>
      <c r="FN36" s="156">
        <f>FM36</f>
        <v>3.1E-6</v>
      </c>
      <c r="FO36" s="156">
        <f t="shared" ref="FO36:GP36" si="282">FN36</f>
        <v>3.1E-6</v>
      </c>
      <c r="FP36" s="156">
        <f t="shared" si="282"/>
        <v>3.1E-6</v>
      </c>
      <c r="FQ36" s="156">
        <f t="shared" si="282"/>
        <v>3.1E-6</v>
      </c>
      <c r="FR36" s="156">
        <f t="shared" si="282"/>
        <v>3.1E-6</v>
      </c>
      <c r="FS36" s="156">
        <f t="shared" si="282"/>
        <v>3.1E-6</v>
      </c>
      <c r="FT36" s="156">
        <f t="shared" si="282"/>
        <v>3.1E-6</v>
      </c>
      <c r="FU36" s="156">
        <f t="shared" si="282"/>
        <v>3.1E-6</v>
      </c>
      <c r="FV36" s="156">
        <f t="shared" si="282"/>
        <v>3.1E-6</v>
      </c>
      <c r="FW36" s="156">
        <f t="shared" si="282"/>
        <v>3.1E-6</v>
      </c>
      <c r="FX36" s="156">
        <f t="shared" si="282"/>
        <v>3.1E-6</v>
      </c>
      <c r="FY36" s="156">
        <f t="shared" si="282"/>
        <v>3.1E-6</v>
      </c>
      <c r="FZ36" s="156">
        <f t="shared" si="282"/>
        <v>3.1E-6</v>
      </c>
      <c r="GA36" s="156">
        <f t="shared" si="282"/>
        <v>3.1E-6</v>
      </c>
      <c r="GB36" s="156">
        <f t="shared" si="282"/>
        <v>3.1E-6</v>
      </c>
      <c r="GC36" s="156">
        <f t="shared" si="282"/>
        <v>3.1E-6</v>
      </c>
      <c r="GD36" s="156">
        <f t="shared" si="282"/>
        <v>3.1E-6</v>
      </c>
      <c r="GE36" s="156">
        <f t="shared" si="282"/>
        <v>3.1E-6</v>
      </c>
      <c r="GF36" s="156">
        <f t="shared" si="282"/>
        <v>3.1E-6</v>
      </c>
      <c r="GG36" s="156">
        <f t="shared" si="282"/>
        <v>3.1E-6</v>
      </c>
      <c r="GH36" s="156">
        <f t="shared" si="282"/>
        <v>3.1E-6</v>
      </c>
      <c r="GI36" s="156">
        <f t="shared" si="282"/>
        <v>3.1E-6</v>
      </c>
      <c r="GJ36" s="156">
        <f t="shared" si="282"/>
        <v>3.1E-6</v>
      </c>
      <c r="GK36" s="156">
        <f t="shared" si="282"/>
        <v>3.1E-6</v>
      </c>
      <c r="GL36" s="156">
        <f t="shared" si="282"/>
        <v>3.1E-6</v>
      </c>
      <c r="GM36" s="156">
        <f t="shared" si="282"/>
        <v>3.1E-6</v>
      </c>
      <c r="GN36" s="156">
        <f t="shared" si="282"/>
        <v>3.1E-6</v>
      </c>
      <c r="GO36" s="156">
        <f t="shared" si="282"/>
        <v>3.1E-6</v>
      </c>
      <c r="GP36" s="156">
        <f t="shared" si="282"/>
        <v>3.1E-6</v>
      </c>
      <c r="GQ36" s="156">
        <f>0.021%*0.2/30</f>
        <v>1.4000000000000001E-6</v>
      </c>
      <c r="GR36" s="156">
        <f>GQ36</f>
        <v>1.4000000000000001E-6</v>
      </c>
      <c r="GS36" s="156">
        <f t="shared" ref="GS36:HT36" si="283">GR36</f>
        <v>1.4000000000000001E-6</v>
      </c>
      <c r="GT36" s="156">
        <f t="shared" si="283"/>
        <v>1.4000000000000001E-6</v>
      </c>
      <c r="GU36" s="156">
        <f t="shared" si="283"/>
        <v>1.4000000000000001E-6</v>
      </c>
      <c r="GV36" s="156">
        <f t="shared" si="283"/>
        <v>1.4000000000000001E-6</v>
      </c>
      <c r="GW36" s="156">
        <f t="shared" si="283"/>
        <v>1.4000000000000001E-6</v>
      </c>
      <c r="GX36" s="156">
        <f t="shared" si="283"/>
        <v>1.4000000000000001E-6</v>
      </c>
      <c r="GY36" s="156">
        <f t="shared" si="283"/>
        <v>1.4000000000000001E-6</v>
      </c>
      <c r="GZ36" s="156">
        <f t="shared" si="283"/>
        <v>1.4000000000000001E-6</v>
      </c>
      <c r="HA36" s="156">
        <f t="shared" si="283"/>
        <v>1.4000000000000001E-6</v>
      </c>
      <c r="HB36" s="156">
        <f t="shared" si="283"/>
        <v>1.4000000000000001E-6</v>
      </c>
      <c r="HC36" s="156">
        <f t="shared" si="283"/>
        <v>1.4000000000000001E-6</v>
      </c>
      <c r="HD36" s="156">
        <f t="shared" si="283"/>
        <v>1.4000000000000001E-6</v>
      </c>
      <c r="HE36" s="156">
        <f t="shared" si="283"/>
        <v>1.4000000000000001E-6</v>
      </c>
      <c r="HF36" s="156">
        <f t="shared" si="283"/>
        <v>1.4000000000000001E-6</v>
      </c>
      <c r="HG36" s="156">
        <f t="shared" si="283"/>
        <v>1.4000000000000001E-6</v>
      </c>
      <c r="HH36" s="156">
        <f t="shared" si="283"/>
        <v>1.4000000000000001E-6</v>
      </c>
      <c r="HI36" s="156">
        <f t="shared" si="283"/>
        <v>1.4000000000000001E-6</v>
      </c>
      <c r="HJ36" s="156">
        <f t="shared" si="283"/>
        <v>1.4000000000000001E-6</v>
      </c>
      <c r="HK36" s="156">
        <f t="shared" si="283"/>
        <v>1.4000000000000001E-6</v>
      </c>
      <c r="HL36" s="156">
        <f t="shared" si="283"/>
        <v>1.4000000000000001E-6</v>
      </c>
      <c r="HM36" s="156">
        <f t="shared" si="283"/>
        <v>1.4000000000000001E-6</v>
      </c>
      <c r="HN36" s="156">
        <f t="shared" si="283"/>
        <v>1.4000000000000001E-6</v>
      </c>
      <c r="HO36" s="156">
        <f t="shared" si="283"/>
        <v>1.4000000000000001E-6</v>
      </c>
      <c r="HP36" s="156">
        <f t="shared" si="283"/>
        <v>1.4000000000000001E-6</v>
      </c>
      <c r="HQ36" s="156">
        <f t="shared" si="283"/>
        <v>1.4000000000000001E-6</v>
      </c>
      <c r="HR36" s="156">
        <f t="shared" si="283"/>
        <v>1.4000000000000001E-6</v>
      </c>
      <c r="HS36" s="156">
        <f t="shared" si="283"/>
        <v>1.4000000000000001E-6</v>
      </c>
      <c r="HT36" s="156">
        <f t="shared" si="283"/>
        <v>1.4000000000000001E-6</v>
      </c>
      <c r="HU36" s="156">
        <f>0.021%*0.2/30</f>
        <v>1.4000000000000001E-6</v>
      </c>
      <c r="HV36" s="156">
        <f>HU36</f>
        <v>1.4000000000000001E-6</v>
      </c>
      <c r="HW36" s="156">
        <f t="shared" ref="HW36:IX36" si="284">HV36</f>
        <v>1.4000000000000001E-6</v>
      </c>
      <c r="HX36" s="156">
        <f t="shared" si="284"/>
        <v>1.4000000000000001E-6</v>
      </c>
      <c r="HY36" s="156">
        <f t="shared" si="284"/>
        <v>1.4000000000000001E-6</v>
      </c>
      <c r="HZ36" s="156">
        <f t="shared" si="284"/>
        <v>1.4000000000000001E-6</v>
      </c>
      <c r="IA36" s="156">
        <f t="shared" si="284"/>
        <v>1.4000000000000001E-6</v>
      </c>
      <c r="IB36" s="156">
        <f t="shared" si="284"/>
        <v>1.4000000000000001E-6</v>
      </c>
      <c r="IC36" s="156">
        <f t="shared" si="284"/>
        <v>1.4000000000000001E-6</v>
      </c>
      <c r="ID36" s="156">
        <f t="shared" si="284"/>
        <v>1.4000000000000001E-6</v>
      </c>
      <c r="IE36" s="156">
        <f t="shared" si="284"/>
        <v>1.4000000000000001E-6</v>
      </c>
      <c r="IF36" s="156">
        <f t="shared" si="284"/>
        <v>1.4000000000000001E-6</v>
      </c>
      <c r="IG36" s="156">
        <f t="shared" si="284"/>
        <v>1.4000000000000001E-6</v>
      </c>
      <c r="IH36" s="156">
        <f t="shared" si="284"/>
        <v>1.4000000000000001E-6</v>
      </c>
      <c r="II36" s="156">
        <f t="shared" si="284"/>
        <v>1.4000000000000001E-6</v>
      </c>
      <c r="IJ36" s="156">
        <f t="shared" si="284"/>
        <v>1.4000000000000001E-6</v>
      </c>
      <c r="IK36" s="156">
        <f t="shared" si="284"/>
        <v>1.4000000000000001E-6</v>
      </c>
      <c r="IL36" s="156">
        <f t="shared" si="284"/>
        <v>1.4000000000000001E-6</v>
      </c>
      <c r="IM36" s="156">
        <f t="shared" si="284"/>
        <v>1.4000000000000001E-6</v>
      </c>
      <c r="IN36" s="156">
        <f t="shared" si="284"/>
        <v>1.4000000000000001E-6</v>
      </c>
      <c r="IO36" s="156">
        <f t="shared" si="284"/>
        <v>1.4000000000000001E-6</v>
      </c>
      <c r="IP36" s="156">
        <f t="shared" si="284"/>
        <v>1.4000000000000001E-6</v>
      </c>
      <c r="IQ36" s="156">
        <f t="shared" si="284"/>
        <v>1.4000000000000001E-6</v>
      </c>
      <c r="IR36" s="156">
        <f t="shared" si="284"/>
        <v>1.4000000000000001E-6</v>
      </c>
      <c r="IS36" s="156">
        <f t="shared" si="284"/>
        <v>1.4000000000000001E-6</v>
      </c>
      <c r="IT36" s="156">
        <f t="shared" si="284"/>
        <v>1.4000000000000001E-6</v>
      </c>
      <c r="IU36" s="156">
        <f t="shared" si="284"/>
        <v>1.4000000000000001E-6</v>
      </c>
      <c r="IV36" s="156">
        <f t="shared" si="284"/>
        <v>1.4000000000000001E-6</v>
      </c>
      <c r="IW36" s="156">
        <f t="shared" si="284"/>
        <v>1.4000000000000001E-6</v>
      </c>
      <c r="IX36" s="156">
        <f t="shared" si="284"/>
        <v>1.4000000000000001E-6</v>
      </c>
      <c r="IY36" s="156">
        <f>0.021%*0.2/30</f>
        <v>1.4000000000000001E-6</v>
      </c>
      <c r="IZ36" s="156">
        <f>IY36</f>
        <v>1.4000000000000001E-6</v>
      </c>
      <c r="JA36" s="156">
        <f t="shared" ref="JA36:KB36" si="285">IZ36</f>
        <v>1.4000000000000001E-6</v>
      </c>
      <c r="JB36" s="156">
        <f t="shared" si="285"/>
        <v>1.4000000000000001E-6</v>
      </c>
      <c r="JC36" s="156">
        <f t="shared" si="285"/>
        <v>1.4000000000000001E-6</v>
      </c>
      <c r="JD36" s="156">
        <f t="shared" si="285"/>
        <v>1.4000000000000001E-6</v>
      </c>
      <c r="JE36" s="156">
        <f t="shared" si="285"/>
        <v>1.4000000000000001E-6</v>
      </c>
      <c r="JF36" s="156">
        <f t="shared" si="285"/>
        <v>1.4000000000000001E-6</v>
      </c>
      <c r="JG36" s="156">
        <f t="shared" si="285"/>
        <v>1.4000000000000001E-6</v>
      </c>
      <c r="JH36" s="156">
        <f t="shared" si="285"/>
        <v>1.4000000000000001E-6</v>
      </c>
      <c r="JI36" s="156">
        <f t="shared" si="285"/>
        <v>1.4000000000000001E-6</v>
      </c>
      <c r="JJ36" s="156">
        <f t="shared" si="285"/>
        <v>1.4000000000000001E-6</v>
      </c>
      <c r="JK36" s="156">
        <f t="shared" si="285"/>
        <v>1.4000000000000001E-6</v>
      </c>
      <c r="JL36" s="156">
        <f t="shared" si="285"/>
        <v>1.4000000000000001E-6</v>
      </c>
      <c r="JM36" s="156">
        <f t="shared" si="285"/>
        <v>1.4000000000000001E-6</v>
      </c>
      <c r="JN36" s="156">
        <f t="shared" si="285"/>
        <v>1.4000000000000001E-6</v>
      </c>
      <c r="JO36" s="156">
        <f t="shared" si="285"/>
        <v>1.4000000000000001E-6</v>
      </c>
      <c r="JP36" s="156">
        <f t="shared" si="285"/>
        <v>1.4000000000000001E-6</v>
      </c>
      <c r="JQ36" s="156">
        <f t="shared" si="285"/>
        <v>1.4000000000000001E-6</v>
      </c>
      <c r="JR36" s="156">
        <f t="shared" si="285"/>
        <v>1.4000000000000001E-6</v>
      </c>
      <c r="JS36" s="156">
        <f t="shared" si="285"/>
        <v>1.4000000000000001E-6</v>
      </c>
      <c r="JT36" s="156">
        <f t="shared" si="285"/>
        <v>1.4000000000000001E-6</v>
      </c>
      <c r="JU36" s="156">
        <f t="shared" si="285"/>
        <v>1.4000000000000001E-6</v>
      </c>
      <c r="JV36" s="156">
        <f t="shared" si="285"/>
        <v>1.4000000000000001E-6</v>
      </c>
      <c r="JW36" s="156">
        <f t="shared" si="285"/>
        <v>1.4000000000000001E-6</v>
      </c>
      <c r="JX36" s="156">
        <f t="shared" si="285"/>
        <v>1.4000000000000001E-6</v>
      </c>
      <c r="JY36" s="156">
        <f t="shared" si="285"/>
        <v>1.4000000000000001E-6</v>
      </c>
      <c r="JZ36" s="156">
        <f t="shared" si="285"/>
        <v>1.4000000000000001E-6</v>
      </c>
      <c r="KA36" s="156">
        <f t="shared" si="285"/>
        <v>1.4000000000000001E-6</v>
      </c>
      <c r="KB36" s="156">
        <f t="shared" si="285"/>
        <v>1.4000000000000001E-6</v>
      </c>
      <c r="KC36" s="66"/>
      <c r="KD36" s="67"/>
      <c r="KE36" s="67"/>
      <c r="KF36" s="212">
        <v>4.7800000000000002E-4</v>
      </c>
      <c r="KG36" s="212"/>
      <c r="KH36" s="212"/>
      <c r="KI36" s="212">
        <v>4.7800000000000002E-4</v>
      </c>
      <c r="KJ36" s="212"/>
      <c r="KK36" s="212"/>
      <c r="KL36" s="212">
        <v>4.7800000000000002E-4</v>
      </c>
      <c r="KM36" s="212"/>
      <c r="KN36" s="212"/>
      <c r="KO36" s="212">
        <v>4.7699999999999999E-4</v>
      </c>
      <c r="KP36" s="212"/>
      <c r="KQ36" s="212"/>
      <c r="KR36" s="214"/>
      <c r="KS36" s="214"/>
      <c r="KT36" s="214"/>
      <c r="KU36" s="67"/>
      <c r="KV36" s="67"/>
      <c r="KW36" s="67"/>
      <c r="KX36" s="66"/>
      <c r="KY36" s="67"/>
      <c r="KZ36" s="67"/>
      <c r="LA36" s="70"/>
      <c r="LB36" s="67"/>
      <c r="LC36" s="71"/>
      <c r="LD36" s="67"/>
      <c r="LE36" s="67"/>
      <c r="LF36" s="68"/>
      <c r="LG36" s="67"/>
      <c r="LH36" s="67"/>
      <c r="LI36" s="68"/>
      <c r="LJ36" s="66"/>
      <c r="LK36" s="67"/>
      <c r="LL36" s="68"/>
      <c r="LM36" s="66"/>
      <c r="LN36" s="67"/>
      <c r="LO36" s="68"/>
      <c r="LP36" s="66"/>
      <c r="LQ36" s="67"/>
      <c r="LR36" s="68"/>
      <c r="LS36" s="66"/>
      <c r="LT36" s="67"/>
      <c r="LU36" s="68"/>
      <c r="LV36" s="67"/>
      <c r="LW36" s="67"/>
      <c r="LX36" s="67"/>
      <c r="LY36" s="66"/>
      <c r="LZ36" s="67"/>
      <c r="MA36" s="68"/>
      <c r="MB36" s="67"/>
      <c r="MC36" s="67"/>
      <c r="MD36" s="67"/>
      <c r="ME36" s="66"/>
      <c r="MF36" s="67"/>
      <c r="MG36" s="68"/>
      <c r="MH36" s="66"/>
      <c r="MI36" s="67"/>
      <c r="MJ36" s="68"/>
      <c r="MK36" s="67"/>
      <c r="ML36" s="67"/>
      <c r="MM36" s="67"/>
      <c r="MN36" s="66"/>
      <c r="MO36" s="67"/>
      <c r="MP36" s="68"/>
      <c r="MQ36" s="66"/>
      <c r="MR36" s="67"/>
      <c r="MS36" s="68"/>
      <c r="MT36" s="66"/>
      <c r="MU36" s="67"/>
      <c r="MV36" s="68"/>
      <c r="MW36" s="66"/>
      <c r="MX36" s="67"/>
      <c r="MY36" s="68"/>
      <c r="MZ36" s="66"/>
      <c r="NA36" s="67"/>
      <c r="NB36" s="68"/>
      <c r="NC36" s="67"/>
      <c r="ND36" s="67"/>
      <c r="NE36" s="72"/>
      <c r="NG36" s="275">
        <f>SUM(R36:NE36)</f>
        <v>2.4600000000000021E-3</v>
      </c>
      <c r="NH36" s="1"/>
      <c r="NI36" s="1"/>
      <c r="NJ36" s="1"/>
      <c r="NK36" s="1"/>
    </row>
    <row r="37" spans="5:375" s="6" customFormat="1" ht="6.95" customHeight="1">
      <c r="F37" s="196"/>
      <c r="G37" s="197"/>
      <c r="H37" s="52">
        <v>2</v>
      </c>
      <c r="L37" s="340"/>
      <c r="M37" s="371"/>
      <c r="N37" s="357"/>
      <c r="O37" s="353"/>
      <c r="P37" s="308"/>
      <c r="Q37" s="237"/>
      <c r="R37" s="60"/>
      <c r="S37" s="61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1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3"/>
      <c r="CA37" s="61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1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1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62"/>
      <c r="FG37" s="62"/>
      <c r="FH37" s="62"/>
      <c r="FI37" s="62"/>
      <c r="FJ37" s="62"/>
      <c r="FK37" s="62"/>
      <c r="FL37" s="62"/>
      <c r="FM37" s="61"/>
      <c r="FN37" s="62"/>
      <c r="FO37" s="62"/>
      <c r="FP37" s="62"/>
      <c r="FQ37" s="62"/>
      <c r="FR37" s="62"/>
      <c r="FS37" s="62"/>
      <c r="FT37" s="62"/>
      <c r="FU37" s="62"/>
      <c r="FV37" s="62"/>
      <c r="FW37" s="62"/>
      <c r="FX37" s="62"/>
      <c r="FY37" s="62"/>
      <c r="FZ37" s="62"/>
      <c r="GA37" s="62"/>
      <c r="GB37" s="62"/>
      <c r="GC37" s="62"/>
      <c r="GD37" s="62"/>
      <c r="GE37" s="62"/>
      <c r="GF37" s="62"/>
      <c r="GG37" s="62"/>
      <c r="GH37" s="62"/>
      <c r="GI37" s="62"/>
      <c r="GJ37" s="62"/>
      <c r="GK37" s="62"/>
      <c r="GL37" s="62"/>
      <c r="GM37" s="62"/>
      <c r="GN37" s="62"/>
      <c r="GO37" s="62"/>
      <c r="GP37" s="62"/>
      <c r="GQ37" s="61"/>
      <c r="GR37" s="62"/>
      <c r="GS37" s="62"/>
      <c r="GT37" s="62"/>
      <c r="GU37" s="62"/>
      <c r="GV37" s="62"/>
      <c r="GW37" s="62"/>
      <c r="GX37" s="62"/>
      <c r="GY37" s="62"/>
      <c r="GZ37" s="62"/>
      <c r="HA37" s="62"/>
      <c r="HB37" s="62"/>
      <c r="HC37" s="62"/>
      <c r="HD37" s="62"/>
      <c r="HE37" s="62"/>
      <c r="HF37" s="62"/>
      <c r="HG37" s="62"/>
      <c r="HH37" s="62"/>
      <c r="HI37" s="62"/>
      <c r="HJ37" s="62"/>
      <c r="HK37" s="62"/>
      <c r="HL37" s="62"/>
      <c r="HM37" s="62"/>
      <c r="HN37" s="62"/>
      <c r="HO37" s="62"/>
      <c r="HP37" s="62"/>
      <c r="HQ37" s="62"/>
      <c r="HR37" s="62"/>
      <c r="HS37" s="62"/>
      <c r="HT37" s="62"/>
      <c r="HU37" s="61"/>
      <c r="HV37" s="62"/>
      <c r="HW37" s="62"/>
      <c r="HX37" s="62"/>
      <c r="HY37" s="62"/>
      <c r="HZ37" s="62"/>
      <c r="IA37" s="62"/>
      <c r="IB37" s="62"/>
      <c r="IC37" s="62"/>
      <c r="ID37" s="62"/>
      <c r="IE37" s="62"/>
      <c r="IF37" s="62"/>
      <c r="IG37" s="62"/>
      <c r="IH37" s="62"/>
      <c r="II37" s="62"/>
      <c r="IJ37" s="62"/>
      <c r="IK37" s="62"/>
      <c r="IL37" s="62"/>
      <c r="IM37" s="62"/>
      <c r="IN37" s="62"/>
      <c r="IO37" s="62"/>
      <c r="IP37" s="62"/>
      <c r="IQ37" s="62"/>
      <c r="IR37" s="62"/>
      <c r="IS37" s="62"/>
      <c r="IT37" s="62"/>
      <c r="IU37" s="62"/>
      <c r="IV37" s="62"/>
      <c r="IW37" s="62"/>
      <c r="IX37" s="62"/>
      <c r="IY37" s="61"/>
      <c r="IZ37" s="62"/>
      <c r="JA37" s="62"/>
      <c r="JB37" s="62"/>
      <c r="JC37" s="62"/>
      <c r="JD37" s="62"/>
      <c r="JE37" s="62"/>
      <c r="JF37" s="62"/>
      <c r="JG37" s="62"/>
      <c r="JH37" s="62"/>
      <c r="JI37" s="62"/>
      <c r="JJ37" s="62"/>
      <c r="JK37" s="62"/>
      <c r="JL37" s="62"/>
      <c r="JM37" s="62"/>
      <c r="JN37" s="62"/>
      <c r="JO37" s="62"/>
      <c r="JP37" s="62"/>
      <c r="JQ37" s="62"/>
      <c r="JR37" s="62"/>
      <c r="JS37" s="62"/>
      <c r="JT37" s="62"/>
      <c r="JU37" s="62"/>
      <c r="JV37" s="62"/>
      <c r="JW37" s="62"/>
      <c r="JX37" s="62"/>
      <c r="JY37" s="62"/>
      <c r="JZ37" s="62"/>
      <c r="KA37" s="62"/>
      <c r="KB37" s="62"/>
      <c r="KC37" s="39"/>
      <c r="KD37" s="40"/>
      <c r="KE37" s="40"/>
      <c r="KF37" s="61"/>
      <c r="KG37" s="62"/>
      <c r="KH37" s="63"/>
      <c r="KI37" s="61"/>
      <c r="KJ37" s="62"/>
      <c r="KK37" s="63"/>
      <c r="KL37" s="61"/>
      <c r="KM37" s="62"/>
      <c r="KN37" s="63"/>
      <c r="KO37" s="61"/>
      <c r="KP37" s="62"/>
      <c r="KQ37" s="63"/>
      <c r="KR37" s="39"/>
      <c r="KS37" s="40"/>
      <c r="KT37" s="41"/>
      <c r="KU37" s="40"/>
      <c r="KV37" s="40"/>
      <c r="KW37" s="40"/>
      <c r="KX37" s="39"/>
      <c r="KY37" s="40"/>
      <c r="KZ37" s="40"/>
      <c r="LA37" s="64"/>
      <c r="LB37" s="40"/>
      <c r="LC37" s="65"/>
      <c r="LD37" s="40"/>
      <c r="LE37" s="40"/>
      <c r="LF37" s="41"/>
      <c r="LG37" s="40"/>
      <c r="LH37" s="40"/>
      <c r="LI37" s="41"/>
      <c r="LJ37" s="39"/>
      <c r="LK37" s="40"/>
      <c r="LL37" s="41"/>
      <c r="LM37" s="39"/>
      <c r="LN37" s="40"/>
      <c r="LO37" s="41"/>
      <c r="LP37" s="39"/>
      <c r="LQ37" s="40"/>
      <c r="LR37" s="41"/>
      <c r="LS37" s="39"/>
      <c r="LT37" s="40"/>
      <c r="LU37" s="41"/>
      <c r="LV37" s="40"/>
      <c r="LW37" s="40"/>
      <c r="LX37" s="40"/>
      <c r="LY37" s="39"/>
      <c r="LZ37" s="40"/>
      <c r="MA37" s="41"/>
      <c r="MB37" s="40"/>
      <c r="MC37" s="40"/>
      <c r="MD37" s="40"/>
      <c r="ME37" s="39"/>
      <c r="MF37" s="40"/>
      <c r="MG37" s="41"/>
      <c r="MH37" s="39"/>
      <c r="MI37" s="40"/>
      <c r="MJ37" s="41"/>
      <c r="MK37" s="40"/>
      <c r="ML37" s="40"/>
      <c r="MM37" s="40"/>
      <c r="MN37" s="39"/>
      <c r="MO37" s="40"/>
      <c r="MP37" s="41"/>
      <c r="MQ37" s="39"/>
      <c r="MR37" s="40"/>
      <c r="MS37" s="41"/>
      <c r="MT37" s="39"/>
      <c r="MU37" s="40"/>
      <c r="MV37" s="41"/>
      <c r="MW37" s="39"/>
      <c r="MX37" s="40"/>
      <c r="MY37" s="41"/>
      <c r="MZ37" s="39"/>
      <c r="NA37" s="40"/>
      <c r="NB37" s="41"/>
      <c r="NC37" s="40"/>
      <c r="ND37" s="40"/>
      <c r="NE37" s="42"/>
      <c r="NG37" s="275"/>
      <c r="NH37" s="1"/>
      <c r="NI37" s="1"/>
      <c r="NJ37" s="1"/>
      <c r="NK37" s="1"/>
    </row>
    <row r="38" spans="5:375" s="6" customFormat="1" ht="9.9499999999999993" customHeight="1">
      <c r="F38" s="196">
        <f t="shared" ref="F38" si="286">NG38</f>
        <v>2.2000000000000014E-4</v>
      </c>
      <c r="G38" s="197">
        <f>Q38-F38</f>
        <v>0</v>
      </c>
      <c r="H38" s="27">
        <v>1</v>
      </c>
      <c r="K38" s="6" t="s">
        <v>179</v>
      </c>
      <c r="L38" s="292"/>
      <c r="M38" s="295" t="s">
        <v>33</v>
      </c>
      <c r="N38" s="296">
        <v>17864</v>
      </c>
      <c r="O38" s="297" t="s">
        <v>34</v>
      </c>
      <c r="P38" s="315">
        <v>46732</v>
      </c>
      <c r="Q38" s="236">
        <f>ROUND(P38/$P$256,5)</f>
        <v>2.2000000000000001E-4</v>
      </c>
      <c r="R38" s="21"/>
      <c r="S38" s="141">
        <f>0.002%*0.3/30</f>
        <v>2.0000000000000002E-7</v>
      </c>
      <c r="T38" s="141">
        <f>S38</f>
        <v>2.0000000000000002E-7</v>
      </c>
      <c r="U38" s="141">
        <f t="shared" ref="U38:AV38" si="287">T38</f>
        <v>2.0000000000000002E-7</v>
      </c>
      <c r="V38" s="141">
        <f t="shared" si="287"/>
        <v>2.0000000000000002E-7</v>
      </c>
      <c r="W38" s="141">
        <f t="shared" si="287"/>
        <v>2.0000000000000002E-7</v>
      </c>
      <c r="X38" s="141">
        <f t="shared" si="287"/>
        <v>2.0000000000000002E-7</v>
      </c>
      <c r="Y38" s="141">
        <f t="shared" si="287"/>
        <v>2.0000000000000002E-7</v>
      </c>
      <c r="Z38" s="141">
        <f t="shared" si="287"/>
        <v>2.0000000000000002E-7</v>
      </c>
      <c r="AA38" s="141">
        <f t="shared" si="287"/>
        <v>2.0000000000000002E-7</v>
      </c>
      <c r="AB38" s="141">
        <f t="shared" si="287"/>
        <v>2.0000000000000002E-7</v>
      </c>
      <c r="AC38" s="141">
        <f t="shared" si="287"/>
        <v>2.0000000000000002E-7</v>
      </c>
      <c r="AD38" s="141">
        <f t="shared" si="287"/>
        <v>2.0000000000000002E-7</v>
      </c>
      <c r="AE38" s="141">
        <f t="shared" si="287"/>
        <v>2.0000000000000002E-7</v>
      </c>
      <c r="AF38" s="141">
        <f t="shared" si="287"/>
        <v>2.0000000000000002E-7</v>
      </c>
      <c r="AG38" s="141">
        <f t="shared" si="287"/>
        <v>2.0000000000000002E-7</v>
      </c>
      <c r="AH38" s="141">
        <f t="shared" si="287"/>
        <v>2.0000000000000002E-7</v>
      </c>
      <c r="AI38" s="141">
        <f t="shared" si="287"/>
        <v>2.0000000000000002E-7</v>
      </c>
      <c r="AJ38" s="141">
        <f t="shared" si="287"/>
        <v>2.0000000000000002E-7</v>
      </c>
      <c r="AK38" s="141">
        <f t="shared" si="287"/>
        <v>2.0000000000000002E-7</v>
      </c>
      <c r="AL38" s="141">
        <f t="shared" si="287"/>
        <v>2.0000000000000002E-7</v>
      </c>
      <c r="AM38" s="141">
        <f t="shared" si="287"/>
        <v>2.0000000000000002E-7</v>
      </c>
      <c r="AN38" s="141">
        <f t="shared" si="287"/>
        <v>2.0000000000000002E-7</v>
      </c>
      <c r="AO38" s="141">
        <f t="shared" si="287"/>
        <v>2.0000000000000002E-7</v>
      </c>
      <c r="AP38" s="141">
        <f t="shared" si="287"/>
        <v>2.0000000000000002E-7</v>
      </c>
      <c r="AQ38" s="141">
        <f t="shared" si="287"/>
        <v>2.0000000000000002E-7</v>
      </c>
      <c r="AR38" s="141">
        <f t="shared" si="287"/>
        <v>2.0000000000000002E-7</v>
      </c>
      <c r="AS38" s="141">
        <f t="shared" si="287"/>
        <v>2.0000000000000002E-7</v>
      </c>
      <c r="AT38" s="141">
        <f t="shared" si="287"/>
        <v>2.0000000000000002E-7</v>
      </c>
      <c r="AU38" s="141">
        <f t="shared" si="287"/>
        <v>2.0000000000000002E-7</v>
      </c>
      <c r="AV38" s="141">
        <f t="shared" si="287"/>
        <v>2.0000000000000002E-7</v>
      </c>
      <c r="AW38" s="178">
        <f>0.002%*0.3/30</f>
        <v>2.0000000000000002E-7</v>
      </c>
      <c r="AX38" s="156">
        <f>AW38</f>
        <v>2.0000000000000002E-7</v>
      </c>
      <c r="AY38" s="141">
        <f t="shared" ref="AY38:BZ38" si="288">AX38</f>
        <v>2.0000000000000002E-7</v>
      </c>
      <c r="AZ38" s="141">
        <f t="shared" si="288"/>
        <v>2.0000000000000002E-7</v>
      </c>
      <c r="BA38" s="141">
        <f t="shared" si="288"/>
        <v>2.0000000000000002E-7</v>
      </c>
      <c r="BB38" s="141">
        <f t="shared" si="288"/>
        <v>2.0000000000000002E-7</v>
      </c>
      <c r="BC38" s="141">
        <f t="shared" si="288"/>
        <v>2.0000000000000002E-7</v>
      </c>
      <c r="BD38" s="141">
        <f t="shared" si="288"/>
        <v>2.0000000000000002E-7</v>
      </c>
      <c r="BE38" s="141">
        <f t="shared" si="288"/>
        <v>2.0000000000000002E-7</v>
      </c>
      <c r="BF38" s="141">
        <f t="shared" si="288"/>
        <v>2.0000000000000002E-7</v>
      </c>
      <c r="BG38" s="141">
        <f t="shared" si="288"/>
        <v>2.0000000000000002E-7</v>
      </c>
      <c r="BH38" s="141">
        <f t="shared" si="288"/>
        <v>2.0000000000000002E-7</v>
      </c>
      <c r="BI38" s="141">
        <f t="shared" si="288"/>
        <v>2.0000000000000002E-7</v>
      </c>
      <c r="BJ38" s="141">
        <f t="shared" si="288"/>
        <v>2.0000000000000002E-7</v>
      </c>
      <c r="BK38" s="141">
        <f t="shared" si="288"/>
        <v>2.0000000000000002E-7</v>
      </c>
      <c r="BL38" s="141">
        <f t="shared" si="288"/>
        <v>2.0000000000000002E-7</v>
      </c>
      <c r="BM38" s="141">
        <f t="shared" si="288"/>
        <v>2.0000000000000002E-7</v>
      </c>
      <c r="BN38" s="141">
        <f t="shared" si="288"/>
        <v>2.0000000000000002E-7</v>
      </c>
      <c r="BO38" s="141">
        <f t="shared" si="288"/>
        <v>2.0000000000000002E-7</v>
      </c>
      <c r="BP38" s="141">
        <f t="shared" si="288"/>
        <v>2.0000000000000002E-7</v>
      </c>
      <c r="BQ38" s="141">
        <f t="shared" si="288"/>
        <v>2.0000000000000002E-7</v>
      </c>
      <c r="BR38" s="141">
        <f t="shared" si="288"/>
        <v>2.0000000000000002E-7</v>
      </c>
      <c r="BS38" s="141">
        <f t="shared" si="288"/>
        <v>2.0000000000000002E-7</v>
      </c>
      <c r="BT38" s="141">
        <f t="shared" si="288"/>
        <v>2.0000000000000002E-7</v>
      </c>
      <c r="BU38" s="141">
        <f t="shared" si="288"/>
        <v>2.0000000000000002E-7</v>
      </c>
      <c r="BV38" s="141">
        <f t="shared" si="288"/>
        <v>2.0000000000000002E-7</v>
      </c>
      <c r="BW38" s="141">
        <f t="shared" si="288"/>
        <v>2.0000000000000002E-7</v>
      </c>
      <c r="BX38" s="141">
        <f t="shared" si="288"/>
        <v>2.0000000000000002E-7</v>
      </c>
      <c r="BY38" s="141">
        <f t="shared" si="288"/>
        <v>2.0000000000000002E-7</v>
      </c>
      <c r="BZ38" s="154">
        <f t="shared" si="288"/>
        <v>2.0000000000000002E-7</v>
      </c>
      <c r="CA38" s="178">
        <f>0.002%*0.3/30</f>
        <v>2.0000000000000002E-7</v>
      </c>
      <c r="CB38" s="156">
        <f>CA38</f>
        <v>2.0000000000000002E-7</v>
      </c>
      <c r="CC38" s="156">
        <f t="shared" ref="CC38:DD38" si="289">CB38</f>
        <v>2.0000000000000002E-7</v>
      </c>
      <c r="CD38" s="156">
        <f t="shared" si="289"/>
        <v>2.0000000000000002E-7</v>
      </c>
      <c r="CE38" s="156">
        <f t="shared" si="289"/>
        <v>2.0000000000000002E-7</v>
      </c>
      <c r="CF38" s="156">
        <f t="shared" si="289"/>
        <v>2.0000000000000002E-7</v>
      </c>
      <c r="CG38" s="156">
        <f t="shared" si="289"/>
        <v>2.0000000000000002E-7</v>
      </c>
      <c r="CH38" s="156">
        <f t="shared" si="289"/>
        <v>2.0000000000000002E-7</v>
      </c>
      <c r="CI38" s="156">
        <f t="shared" si="289"/>
        <v>2.0000000000000002E-7</v>
      </c>
      <c r="CJ38" s="156">
        <f t="shared" si="289"/>
        <v>2.0000000000000002E-7</v>
      </c>
      <c r="CK38" s="156">
        <f t="shared" si="289"/>
        <v>2.0000000000000002E-7</v>
      </c>
      <c r="CL38" s="156">
        <f t="shared" si="289"/>
        <v>2.0000000000000002E-7</v>
      </c>
      <c r="CM38" s="156">
        <f t="shared" si="289"/>
        <v>2.0000000000000002E-7</v>
      </c>
      <c r="CN38" s="156">
        <f t="shared" si="289"/>
        <v>2.0000000000000002E-7</v>
      </c>
      <c r="CO38" s="156">
        <f t="shared" si="289"/>
        <v>2.0000000000000002E-7</v>
      </c>
      <c r="CP38" s="156">
        <f t="shared" si="289"/>
        <v>2.0000000000000002E-7</v>
      </c>
      <c r="CQ38" s="156">
        <f t="shared" si="289"/>
        <v>2.0000000000000002E-7</v>
      </c>
      <c r="CR38" s="156">
        <f t="shared" si="289"/>
        <v>2.0000000000000002E-7</v>
      </c>
      <c r="CS38" s="156">
        <f t="shared" si="289"/>
        <v>2.0000000000000002E-7</v>
      </c>
      <c r="CT38" s="156">
        <f t="shared" si="289"/>
        <v>2.0000000000000002E-7</v>
      </c>
      <c r="CU38" s="156">
        <f t="shared" si="289"/>
        <v>2.0000000000000002E-7</v>
      </c>
      <c r="CV38" s="156">
        <f t="shared" si="289"/>
        <v>2.0000000000000002E-7</v>
      </c>
      <c r="CW38" s="156">
        <f t="shared" si="289"/>
        <v>2.0000000000000002E-7</v>
      </c>
      <c r="CX38" s="156">
        <f t="shared" si="289"/>
        <v>2.0000000000000002E-7</v>
      </c>
      <c r="CY38" s="156">
        <f t="shared" si="289"/>
        <v>2.0000000000000002E-7</v>
      </c>
      <c r="CZ38" s="156">
        <f t="shared" si="289"/>
        <v>2.0000000000000002E-7</v>
      </c>
      <c r="DA38" s="156">
        <f t="shared" si="289"/>
        <v>2.0000000000000002E-7</v>
      </c>
      <c r="DB38" s="156">
        <f t="shared" si="289"/>
        <v>2.0000000000000002E-7</v>
      </c>
      <c r="DC38" s="156">
        <f t="shared" si="289"/>
        <v>2.0000000000000002E-7</v>
      </c>
      <c r="DD38" s="156">
        <f t="shared" si="289"/>
        <v>2.0000000000000002E-7</v>
      </c>
      <c r="DE38" s="178">
        <f>0.002%*0.3/30</f>
        <v>2.0000000000000002E-7</v>
      </c>
      <c r="DF38" s="156">
        <f>DE38</f>
        <v>2.0000000000000002E-7</v>
      </c>
      <c r="DG38" s="156">
        <f t="shared" ref="DG38:EH38" si="290">DF38</f>
        <v>2.0000000000000002E-7</v>
      </c>
      <c r="DH38" s="156">
        <f t="shared" si="290"/>
        <v>2.0000000000000002E-7</v>
      </c>
      <c r="DI38" s="156">
        <f t="shared" si="290"/>
        <v>2.0000000000000002E-7</v>
      </c>
      <c r="DJ38" s="156">
        <f t="shared" si="290"/>
        <v>2.0000000000000002E-7</v>
      </c>
      <c r="DK38" s="156">
        <f t="shared" si="290"/>
        <v>2.0000000000000002E-7</v>
      </c>
      <c r="DL38" s="156">
        <f t="shared" si="290"/>
        <v>2.0000000000000002E-7</v>
      </c>
      <c r="DM38" s="156">
        <f t="shared" si="290"/>
        <v>2.0000000000000002E-7</v>
      </c>
      <c r="DN38" s="156">
        <f t="shared" si="290"/>
        <v>2.0000000000000002E-7</v>
      </c>
      <c r="DO38" s="156">
        <f t="shared" si="290"/>
        <v>2.0000000000000002E-7</v>
      </c>
      <c r="DP38" s="156">
        <f t="shared" si="290"/>
        <v>2.0000000000000002E-7</v>
      </c>
      <c r="DQ38" s="156">
        <f t="shared" si="290"/>
        <v>2.0000000000000002E-7</v>
      </c>
      <c r="DR38" s="156">
        <f t="shared" si="290"/>
        <v>2.0000000000000002E-7</v>
      </c>
      <c r="DS38" s="156">
        <f t="shared" si="290"/>
        <v>2.0000000000000002E-7</v>
      </c>
      <c r="DT38" s="156">
        <f t="shared" si="290"/>
        <v>2.0000000000000002E-7</v>
      </c>
      <c r="DU38" s="156">
        <f t="shared" si="290"/>
        <v>2.0000000000000002E-7</v>
      </c>
      <c r="DV38" s="156">
        <f t="shared" si="290"/>
        <v>2.0000000000000002E-7</v>
      </c>
      <c r="DW38" s="156">
        <f t="shared" si="290"/>
        <v>2.0000000000000002E-7</v>
      </c>
      <c r="DX38" s="156">
        <f t="shared" si="290"/>
        <v>2.0000000000000002E-7</v>
      </c>
      <c r="DY38" s="156">
        <f t="shared" si="290"/>
        <v>2.0000000000000002E-7</v>
      </c>
      <c r="DZ38" s="156">
        <f t="shared" si="290"/>
        <v>2.0000000000000002E-7</v>
      </c>
      <c r="EA38" s="156">
        <f t="shared" si="290"/>
        <v>2.0000000000000002E-7</v>
      </c>
      <c r="EB38" s="156">
        <f t="shared" si="290"/>
        <v>2.0000000000000002E-7</v>
      </c>
      <c r="EC38" s="156">
        <f t="shared" si="290"/>
        <v>2.0000000000000002E-7</v>
      </c>
      <c r="ED38" s="156">
        <f t="shared" si="290"/>
        <v>2.0000000000000002E-7</v>
      </c>
      <c r="EE38" s="156">
        <f t="shared" si="290"/>
        <v>2.0000000000000002E-7</v>
      </c>
      <c r="EF38" s="156">
        <f t="shared" si="290"/>
        <v>2.0000000000000002E-7</v>
      </c>
      <c r="EG38" s="156">
        <f t="shared" si="290"/>
        <v>2.0000000000000002E-7</v>
      </c>
      <c r="EH38" s="156">
        <f t="shared" si="290"/>
        <v>2.0000000000000002E-7</v>
      </c>
      <c r="EI38" s="178">
        <f>0.002%*0.3/30</f>
        <v>2.0000000000000002E-7</v>
      </c>
      <c r="EJ38" s="156">
        <f>EI38</f>
        <v>2.0000000000000002E-7</v>
      </c>
      <c r="EK38" s="156">
        <f t="shared" ref="EK38:FL38" si="291">EJ38</f>
        <v>2.0000000000000002E-7</v>
      </c>
      <c r="EL38" s="156">
        <f t="shared" si="291"/>
        <v>2.0000000000000002E-7</v>
      </c>
      <c r="EM38" s="156">
        <f t="shared" si="291"/>
        <v>2.0000000000000002E-7</v>
      </c>
      <c r="EN38" s="156">
        <f t="shared" si="291"/>
        <v>2.0000000000000002E-7</v>
      </c>
      <c r="EO38" s="156">
        <f t="shared" si="291"/>
        <v>2.0000000000000002E-7</v>
      </c>
      <c r="EP38" s="156">
        <f t="shared" si="291"/>
        <v>2.0000000000000002E-7</v>
      </c>
      <c r="EQ38" s="156">
        <f t="shared" si="291"/>
        <v>2.0000000000000002E-7</v>
      </c>
      <c r="ER38" s="156">
        <f t="shared" si="291"/>
        <v>2.0000000000000002E-7</v>
      </c>
      <c r="ES38" s="156">
        <f t="shared" si="291"/>
        <v>2.0000000000000002E-7</v>
      </c>
      <c r="ET38" s="156">
        <f t="shared" si="291"/>
        <v>2.0000000000000002E-7</v>
      </c>
      <c r="EU38" s="156">
        <f t="shared" si="291"/>
        <v>2.0000000000000002E-7</v>
      </c>
      <c r="EV38" s="156">
        <f t="shared" si="291"/>
        <v>2.0000000000000002E-7</v>
      </c>
      <c r="EW38" s="156">
        <f t="shared" si="291"/>
        <v>2.0000000000000002E-7</v>
      </c>
      <c r="EX38" s="156">
        <f t="shared" si="291"/>
        <v>2.0000000000000002E-7</v>
      </c>
      <c r="EY38" s="156">
        <f t="shared" si="291"/>
        <v>2.0000000000000002E-7</v>
      </c>
      <c r="EZ38" s="156">
        <f t="shared" si="291"/>
        <v>2.0000000000000002E-7</v>
      </c>
      <c r="FA38" s="156">
        <f t="shared" si="291"/>
        <v>2.0000000000000002E-7</v>
      </c>
      <c r="FB38" s="156">
        <f t="shared" si="291"/>
        <v>2.0000000000000002E-7</v>
      </c>
      <c r="FC38" s="156">
        <f t="shared" si="291"/>
        <v>2.0000000000000002E-7</v>
      </c>
      <c r="FD38" s="156">
        <f t="shared" si="291"/>
        <v>2.0000000000000002E-7</v>
      </c>
      <c r="FE38" s="156">
        <f t="shared" si="291"/>
        <v>2.0000000000000002E-7</v>
      </c>
      <c r="FF38" s="156">
        <f t="shared" si="291"/>
        <v>2.0000000000000002E-7</v>
      </c>
      <c r="FG38" s="156">
        <f t="shared" si="291"/>
        <v>2.0000000000000002E-7</v>
      </c>
      <c r="FH38" s="156">
        <f t="shared" si="291"/>
        <v>2.0000000000000002E-7</v>
      </c>
      <c r="FI38" s="156">
        <f t="shared" si="291"/>
        <v>2.0000000000000002E-7</v>
      </c>
      <c r="FJ38" s="156">
        <f t="shared" si="291"/>
        <v>2.0000000000000002E-7</v>
      </c>
      <c r="FK38" s="156">
        <f t="shared" si="291"/>
        <v>2.0000000000000002E-7</v>
      </c>
      <c r="FL38" s="156">
        <f t="shared" si="291"/>
        <v>2.0000000000000002E-7</v>
      </c>
      <c r="FM38" s="178">
        <f>0.002%*0.3/30</f>
        <v>2.0000000000000002E-7</v>
      </c>
      <c r="FN38" s="156">
        <f>FM38</f>
        <v>2.0000000000000002E-7</v>
      </c>
      <c r="FO38" s="156">
        <f t="shared" ref="FO38:GP38" si="292">FN38</f>
        <v>2.0000000000000002E-7</v>
      </c>
      <c r="FP38" s="156">
        <f t="shared" si="292"/>
        <v>2.0000000000000002E-7</v>
      </c>
      <c r="FQ38" s="156">
        <f t="shared" si="292"/>
        <v>2.0000000000000002E-7</v>
      </c>
      <c r="FR38" s="156">
        <f t="shared" si="292"/>
        <v>2.0000000000000002E-7</v>
      </c>
      <c r="FS38" s="156">
        <f t="shared" si="292"/>
        <v>2.0000000000000002E-7</v>
      </c>
      <c r="FT38" s="156">
        <f t="shared" si="292"/>
        <v>2.0000000000000002E-7</v>
      </c>
      <c r="FU38" s="156">
        <f t="shared" si="292"/>
        <v>2.0000000000000002E-7</v>
      </c>
      <c r="FV38" s="156">
        <f t="shared" si="292"/>
        <v>2.0000000000000002E-7</v>
      </c>
      <c r="FW38" s="156">
        <f t="shared" si="292"/>
        <v>2.0000000000000002E-7</v>
      </c>
      <c r="FX38" s="156">
        <f t="shared" si="292"/>
        <v>2.0000000000000002E-7</v>
      </c>
      <c r="FY38" s="156">
        <f t="shared" si="292"/>
        <v>2.0000000000000002E-7</v>
      </c>
      <c r="FZ38" s="156">
        <f t="shared" si="292"/>
        <v>2.0000000000000002E-7</v>
      </c>
      <c r="GA38" s="156">
        <f t="shared" si="292"/>
        <v>2.0000000000000002E-7</v>
      </c>
      <c r="GB38" s="156">
        <f t="shared" si="292"/>
        <v>2.0000000000000002E-7</v>
      </c>
      <c r="GC38" s="156">
        <f t="shared" si="292"/>
        <v>2.0000000000000002E-7</v>
      </c>
      <c r="GD38" s="156">
        <f t="shared" si="292"/>
        <v>2.0000000000000002E-7</v>
      </c>
      <c r="GE38" s="156">
        <f t="shared" si="292"/>
        <v>2.0000000000000002E-7</v>
      </c>
      <c r="GF38" s="156">
        <f t="shared" si="292"/>
        <v>2.0000000000000002E-7</v>
      </c>
      <c r="GG38" s="156">
        <f t="shared" si="292"/>
        <v>2.0000000000000002E-7</v>
      </c>
      <c r="GH38" s="156">
        <f t="shared" si="292"/>
        <v>2.0000000000000002E-7</v>
      </c>
      <c r="GI38" s="156">
        <f t="shared" si="292"/>
        <v>2.0000000000000002E-7</v>
      </c>
      <c r="GJ38" s="156">
        <f t="shared" si="292"/>
        <v>2.0000000000000002E-7</v>
      </c>
      <c r="GK38" s="156">
        <f t="shared" si="292"/>
        <v>2.0000000000000002E-7</v>
      </c>
      <c r="GL38" s="156">
        <f t="shared" si="292"/>
        <v>2.0000000000000002E-7</v>
      </c>
      <c r="GM38" s="156">
        <f t="shared" si="292"/>
        <v>2.0000000000000002E-7</v>
      </c>
      <c r="GN38" s="156">
        <f t="shared" si="292"/>
        <v>2.0000000000000002E-7</v>
      </c>
      <c r="GO38" s="156">
        <f t="shared" si="292"/>
        <v>2.0000000000000002E-7</v>
      </c>
      <c r="GP38" s="156">
        <f t="shared" si="292"/>
        <v>2.0000000000000002E-7</v>
      </c>
      <c r="GQ38" s="178">
        <f>0.002%*0.2/30</f>
        <v>1.3333333333333336E-7</v>
      </c>
      <c r="GR38" s="156">
        <f>GQ38</f>
        <v>1.3333333333333336E-7</v>
      </c>
      <c r="GS38" s="156">
        <f t="shared" ref="GS38:HT38" si="293">GR38</f>
        <v>1.3333333333333336E-7</v>
      </c>
      <c r="GT38" s="156">
        <f t="shared" si="293"/>
        <v>1.3333333333333336E-7</v>
      </c>
      <c r="GU38" s="156">
        <f t="shared" si="293"/>
        <v>1.3333333333333336E-7</v>
      </c>
      <c r="GV38" s="156">
        <f t="shared" si="293"/>
        <v>1.3333333333333336E-7</v>
      </c>
      <c r="GW38" s="156">
        <f t="shared" si="293"/>
        <v>1.3333333333333336E-7</v>
      </c>
      <c r="GX38" s="156">
        <f t="shared" si="293"/>
        <v>1.3333333333333336E-7</v>
      </c>
      <c r="GY38" s="156">
        <f t="shared" si="293"/>
        <v>1.3333333333333336E-7</v>
      </c>
      <c r="GZ38" s="156">
        <f t="shared" si="293"/>
        <v>1.3333333333333336E-7</v>
      </c>
      <c r="HA38" s="156">
        <f t="shared" si="293"/>
        <v>1.3333333333333336E-7</v>
      </c>
      <c r="HB38" s="156">
        <f t="shared" si="293"/>
        <v>1.3333333333333336E-7</v>
      </c>
      <c r="HC38" s="156">
        <f t="shared" si="293"/>
        <v>1.3333333333333336E-7</v>
      </c>
      <c r="HD38" s="156">
        <f t="shared" si="293"/>
        <v>1.3333333333333336E-7</v>
      </c>
      <c r="HE38" s="156">
        <f t="shared" si="293"/>
        <v>1.3333333333333336E-7</v>
      </c>
      <c r="HF38" s="156">
        <f t="shared" si="293"/>
        <v>1.3333333333333336E-7</v>
      </c>
      <c r="HG38" s="156">
        <f t="shared" si="293"/>
        <v>1.3333333333333336E-7</v>
      </c>
      <c r="HH38" s="156">
        <f t="shared" si="293"/>
        <v>1.3333333333333336E-7</v>
      </c>
      <c r="HI38" s="156">
        <f t="shared" si="293"/>
        <v>1.3333333333333336E-7</v>
      </c>
      <c r="HJ38" s="156">
        <f t="shared" si="293"/>
        <v>1.3333333333333336E-7</v>
      </c>
      <c r="HK38" s="156">
        <f t="shared" si="293"/>
        <v>1.3333333333333336E-7</v>
      </c>
      <c r="HL38" s="156">
        <f t="shared" si="293"/>
        <v>1.3333333333333336E-7</v>
      </c>
      <c r="HM38" s="156">
        <f t="shared" si="293"/>
        <v>1.3333333333333336E-7</v>
      </c>
      <c r="HN38" s="156">
        <f t="shared" si="293"/>
        <v>1.3333333333333336E-7</v>
      </c>
      <c r="HO38" s="156">
        <f t="shared" si="293"/>
        <v>1.3333333333333336E-7</v>
      </c>
      <c r="HP38" s="156">
        <f t="shared" si="293"/>
        <v>1.3333333333333336E-7</v>
      </c>
      <c r="HQ38" s="156">
        <f t="shared" si="293"/>
        <v>1.3333333333333336E-7</v>
      </c>
      <c r="HR38" s="156">
        <f t="shared" si="293"/>
        <v>1.3333333333333336E-7</v>
      </c>
      <c r="HS38" s="156">
        <f t="shared" si="293"/>
        <v>1.3333333333333336E-7</v>
      </c>
      <c r="HT38" s="156">
        <f t="shared" si="293"/>
        <v>1.3333333333333336E-7</v>
      </c>
      <c r="HU38" s="178">
        <f>0.002%*0.2/30</f>
        <v>1.3333333333333336E-7</v>
      </c>
      <c r="HV38" s="156">
        <f>HU38</f>
        <v>1.3333333333333336E-7</v>
      </c>
      <c r="HW38" s="156">
        <f t="shared" ref="HW38:IX38" si="294">HV38</f>
        <v>1.3333333333333336E-7</v>
      </c>
      <c r="HX38" s="156">
        <f t="shared" si="294"/>
        <v>1.3333333333333336E-7</v>
      </c>
      <c r="HY38" s="156">
        <f t="shared" si="294"/>
        <v>1.3333333333333336E-7</v>
      </c>
      <c r="HZ38" s="156">
        <f t="shared" si="294"/>
        <v>1.3333333333333336E-7</v>
      </c>
      <c r="IA38" s="156">
        <f t="shared" si="294"/>
        <v>1.3333333333333336E-7</v>
      </c>
      <c r="IB38" s="156">
        <f t="shared" si="294"/>
        <v>1.3333333333333336E-7</v>
      </c>
      <c r="IC38" s="156">
        <f t="shared" si="294"/>
        <v>1.3333333333333336E-7</v>
      </c>
      <c r="ID38" s="156">
        <f t="shared" si="294"/>
        <v>1.3333333333333336E-7</v>
      </c>
      <c r="IE38" s="156">
        <f t="shared" si="294"/>
        <v>1.3333333333333336E-7</v>
      </c>
      <c r="IF38" s="156">
        <f t="shared" si="294"/>
        <v>1.3333333333333336E-7</v>
      </c>
      <c r="IG38" s="156">
        <f t="shared" si="294"/>
        <v>1.3333333333333336E-7</v>
      </c>
      <c r="IH38" s="156">
        <f t="shared" si="294"/>
        <v>1.3333333333333336E-7</v>
      </c>
      <c r="II38" s="156">
        <f t="shared" si="294"/>
        <v>1.3333333333333336E-7</v>
      </c>
      <c r="IJ38" s="156">
        <f t="shared" si="294"/>
        <v>1.3333333333333336E-7</v>
      </c>
      <c r="IK38" s="156">
        <f t="shared" si="294"/>
        <v>1.3333333333333336E-7</v>
      </c>
      <c r="IL38" s="156">
        <f t="shared" si="294"/>
        <v>1.3333333333333336E-7</v>
      </c>
      <c r="IM38" s="156">
        <f t="shared" si="294"/>
        <v>1.3333333333333336E-7</v>
      </c>
      <c r="IN38" s="156">
        <f t="shared" si="294"/>
        <v>1.3333333333333336E-7</v>
      </c>
      <c r="IO38" s="156">
        <f t="shared" si="294"/>
        <v>1.3333333333333336E-7</v>
      </c>
      <c r="IP38" s="156">
        <f t="shared" si="294"/>
        <v>1.3333333333333336E-7</v>
      </c>
      <c r="IQ38" s="156">
        <f t="shared" si="294"/>
        <v>1.3333333333333336E-7</v>
      </c>
      <c r="IR38" s="156">
        <f t="shared" si="294"/>
        <v>1.3333333333333336E-7</v>
      </c>
      <c r="IS38" s="156">
        <f t="shared" si="294"/>
        <v>1.3333333333333336E-7</v>
      </c>
      <c r="IT38" s="156">
        <f t="shared" si="294"/>
        <v>1.3333333333333336E-7</v>
      </c>
      <c r="IU38" s="156">
        <f t="shared" si="294"/>
        <v>1.3333333333333336E-7</v>
      </c>
      <c r="IV38" s="156">
        <f t="shared" si="294"/>
        <v>1.3333333333333336E-7</v>
      </c>
      <c r="IW38" s="156">
        <f t="shared" si="294"/>
        <v>1.3333333333333336E-7</v>
      </c>
      <c r="IX38" s="156">
        <f t="shared" si="294"/>
        <v>1.3333333333333336E-7</v>
      </c>
      <c r="IY38" s="178">
        <f>0.002%*0.2/30</f>
        <v>1.3333333333333336E-7</v>
      </c>
      <c r="IZ38" s="156">
        <f>IY38</f>
        <v>1.3333333333333336E-7</v>
      </c>
      <c r="JA38" s="156">
        <f t="shared" ref="JA38:KB38" si="295">IZ38</f>
        <v>1.3333333333333336E-7</v>
      </c>
      <c r="JB38" s="156">
        <f t="shared" si="295"/>
        <v>1.3333333333333336E-7</v>
      </c>
      <c r="JC38" s="156">
        <f t="shared" si="295"/>
        <v>1.3333333333333336E-7</v>
      </c>
      <c r="JD38" s="156">
        <f t="shared" si="295"/>
        <v>1.3333333333333336E-7</v>
      </c>
      <c r="JE38" s="156">
        <f t="shared" si="295"/>
        <v>1.3333333333333336E-7</v>
      </c>
      <c r="JF38" s="156">
        <f t="shared" si="295"/>
        <v>1.3333333333333336E-7</v>
      </c>
      <c r="JG38" s="156">
        <f t="shared" si="295"/>
        <v>1.3333333333333336E-7</v>
      </c>
      <c r="JH38" s="156">
        <f t="shared" si="295"/>
        <v>1.3333333333333336E-7</v>
      </c>
      <c r="JI38" s="156">
        <f t="shared" si="295"/>
        <v>1.3333333333333336E-7</v>
      </c>
      <c r="JJ38" s="156">
        <f t="shared" si="295"/>
        <v>1.3333333333333336E-7</v>
      </c>
      <c r="JK38" s="156">
        <f t="shared" si="295"/>
        <v>1.3333333333333336E-7</v>
      </c>
      <c r="JL38" s="156">
        <f t="shared" si="295"/>
        <v>1.3333333333333336E-7</v>
      </c>
      <c r="JM38" s="156">
        <f t="shared" si="295"/>
        <v>1.3333333333333336E-7</v>
      </c>
      <c r="JN38" s="156">
        <f t="shared" si="295"/>
        <v>1.3333333333333336E-7</v>
      </c>
      <c r="JO38" s="156">
        <f t="shared" si="295"/>
        <v>1.3333333333333336E-7</v>
      </c>
      <c r="JP38" s="156">
        <f t="shared" si="295"/>
        <v>1.3333333333333336E-7</v>
      </c>
      <c r="JQ38" s="156">
        <f t="shared" si="295"/>
        <v>1.3333333333333336E-7</v>
      </c>
      <c r="JR38" s="156">
        <f t="shared" si="295"/>
        <v>1.3333333333333336E-7</v>
      </c>
      <c r="JS38" s="156">
        <f t="shared" si="295"/>
        <v>1.3333333333333336E-7</v>
      </c>
      <c r="JT38" s="156">
        <f t="shared" si="295"/>
        <v>1.3333333333333336E-7</v>
      </c>
      <c r="JU38" s="156">
        <f t="shared" si="295"/>
        <v>1.3333333333333336E-7</v>
      </c>
      <c r="JV38" s="156">
        <f t="shared" si="295"/>
        <v>1.3333333333333336E-7</v>
      </c>
      <c r="JW38" s="156">
        <f t="shared" si="295"/>
        <v>1.3333333333333336E-7</v>
      </c>
      <c r="JX38" s="156">
        <f t="shared" si="295"/>
        <v>1.3333333333333336E-7</v>
      </c>
      <c r="JY38" s="156">
        <f t="shared" si="295"/>
        <v>1.3333333333333336E-7</v>
      </c>
      <c r="JZ38" s="156">
        <f t="shared" si="295"/>
        <v>1.3333333333333336E-7</v>
      </c>
      <c r="KA38" s="156">
        <f t="shared" si="295"/>
        <v>1.3333333333333336E-7</v>
      </c>
      <c r="KB38" s="156">
        <f t="shared" si="295"/>
        <v>1.3333333333333336E-7</v>
      </c>
      <c r="KC38" s="216">
        <v>2.9E-5</v>
      </c>
      <c r="KD38" s="217"/>
      <c r="KE38" s="215"/>
      <c r="KF38" s="216">
        <v>2.9E-5</v>
      </c>
      <c r="KG38" s="217"/>
      <c r="KH38" s="215"/>
      <c r="KI38" s="216">
        <v>2.9E-5</v>
      </c>
      <c r="KJ38" s="217"/>
      <c r="KK38" s="215"/>
      <c r="KL38" s="69"/>
      <c r="KM38" s="74"/>
      <c r="KN38" s="75"/>
      <c r="KO38" s="216"/>
      <c r="KP38" s="217"/>
      <c r="KQ38" s="215"/>
      <c r="KR38" s="69"/>
      <c r="KS38" s="74"/>
      <c r="KT38" s="75"/>
      <c r="KU38" s="67"/>
      <c r="KV38" s="67"/>
      <c r="KW38" s="67"/>
      <c r="KX38" s="66"/>
      <c r="KY38" s="67"/>
      <c r="KZ38" s="67"/>
      <c r="LA38" s="416"/>
      <c r="LB38" s="217"/>
      <c r="LC38" s="417"/>
      <c r="LD38" s="67"/>
      <c r="LE38" s="67"/>
      <c r="LF38" s="68"/>
      <c r="LG38" s="67"/>
      <c r="LH38" s="67"/>
      <c r="LI38" s="68"/>
      <c r="LJ38" s="66"/>
      <c r="LK38" s="67"/>
      <c r="LL38" s="68"/>
      <c r="LM38" s="216">
        <v>2.9E-5</v>
      </c>
      <c r="LN38" s="217"/>
      <c r="LO38" s="215"/>
      <c r="LP38" s="216">
        <v>2.9E-5</v>
      </c>
      <c r="LQ38" s="217"/>
      <c r="LR38" s="215"/>
      <c r="LS38" s="216">
        <v>2.6999999999999999E-5</v>
      </c>
      <c r="LT38" s="217"/>
      <c r="LU38" s="215"/>
      <c r="LV38" s="67"/>
      <c r="LW38" s="67"/>
      <c r="LX38" s="67"/>
      <c r="LY38" s="66"/>
      <c r="LZ38" s="67"/>
      <c r="MA38" s="68"/>
      <c r="MB38" s="67"/>
      <c r="MC38" s="67"/>
      <c r="MD38" s="67"/>
      <c r="ME38" s="66"/>
      <c r="MF38" s="67"/>
      <c r="MG38" s="68"/>
      <c r="MH38" s="66"/>
      <c r="MI38" s="67"/>
      <c r="MJ38" s="68"/>
      <c r="MK38" s="67"/>
      <c r="ML38" s="67"/>
      <c r="MM38" s="67"/>
      <c r="MN38" s="66"/>
      <c r="MO38" s="67"/>
      <c r="MP38" s="68"/>
      <c r="MQ38" s="66"/>
      <c r="MR38" s="67"/>
      <c r="MS38" s="68"/>
      <c r="MT38" s="66"/>
      <c r="MU38" s="67"/>
      <c r="MV38" s="68"/>
      <c r="MW38" s="66"/>
      <c r="MX38" s="67"/>
      <c r="MY38" s="68"/>
      <c r="MZ38" s="66"/>
      <c r="NA38" s="67"/>
      <c r="NB38" s="68"/>
      <c r="NC38" s="67"/>
      <c r="ND38" s="67"/>
      <c r="NE38" s="72"/>
      <c r="NG38" s="275">
        <f>SUM(R38:NE38)</f>
        <v>2.2000000000000014E-4</v>
      </c>
      <c r="NH38" s="1"/>
      <c r="NI38" s="1"/>
      <c r="NJ38" s="1"/>
      <c r="NK38" s="1"/>
    </row>
    <row r="39" spans="5:375" s="6" customFormat="1" ht="6.95" customHeight="1">
      <c r="F39" s="196"/>
      <c r="G39" s="197"/>
      <c r="H39" s="52">
        <v>2</v>
      </c>
      <c r="L39" s="292"/>
      <c r="M39" s="295"/>
      <c r="N39" s="296"/>
      <c r="O39" s="298"/>
      <c r="P39" s="315"/>
      <c r="Q39" s="237"/>
      <c r="R39" s="73"/>
      <c r="S39" s="61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1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3"/>
      <c r="CA39" s="61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1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1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62"/>
      <c r="FG39" s="62"/>
      <c r="FH39" s="62"/>
      <c r="FI39" s="62"/>
      <c r="FJ39" s="62"/>
      <c r="FK39" s="62"/>
      <c r="FL39" s="62"/>
      <c r="FM39" s="61"/>
      <c r="FN39" s="62"/>
      <c r="FO39" s="62"/>
      <c r="FP39" s="62"/>
      <c r="FQ39" s="62"/>
      <c r="FR39" s="62"/>
      <c r="FS39" s="62"/>
      <c r="FT39" s="62"/>
      <c r="FU39" s="62"/>
      <c r="FV39" s="62"/>
      <c r="FW39" s="62"/>
      <c r="FX39" s="62"/>
      <c r="FY39" s="62"/>
      <c r="FZ39" s="62"/>
      <c r="GA39" s="62"/>
      <c r="GB39" s="62"/>
      <c r="GC39" s="62"/>
      <c r="GD39" s="62"/>
      <c r="GE39" s="62"/>
      <c r="GF39" s="62"/>
      <c r="GG39" s="62"/>
      <c r="GH39" s="62"/>
      <c r="GI39" s="62"/>
      <c r="GJ39" s="62"/>
      <c r="GK39" s="62"/>
      <c r="GL39" s="62"/>
      <c r="GM39" s="62"/>
      <c r="GN39" s="62"/>
      <c r="GO39" s="62"/>
      <c r="GP39" s="62"/>
      <c r="GQ39" s="61"/>
      <c r="GR39" s="62"/>
      <c r="GS39" s="62"/>
      <c r="GT39" s="62"/>
      <c r="GU39" s="62"/>
      <c r="GV39" s="62"/>
      <c r="GW39" s="62"/>
      <c r="GX39" s="62"/>
      <c r="GY39" s="62"/>
      <c r="GZ39" s="62"/>
      <c r="HA39" s="62"/>
      <c r="HB39" s="62"/>
      <c r="HC39" s="62"/>
      <c r="HD39" s="62"/>
      <c r="HE39" s="62"/>
      <c r="HF39" s="62"/>
      <c r="HG39" s="62"/>
      <c r="HH39" s="62"/>
      <c r="HI39" s="62"/>
      <c r="HJ39" s="62"/>
      <c r="HK39" s="62"/>
      <c r="HL39" s="62"/>
      <c r="HM39" s="62"/>
      <c r="HN39" s="62"/>
      <c r="HO39" s="62"/>
      <c r="HP39" s="62"/>
      <c r="HQ39" s="62"/>
      <c r="HR39" s="62"/>
      <c r="HS39" s="62"/>
      <c r="HT39" s="62"/>
      <c r="HU39" s="61"/>
      <c r="HV39" s="62"/>
      <c r="HW39" s="62"/>
      <c r="HX39" s="62"/>
      <c r="HY39" s="62"/>
      <c r="HZ39" s="62"/>
      <c r="IA39" s="62"/>
      <c r="IB39" s="62"/>
      <c r="IC39" s="62"/>
      <c r="ID39" s="62"/>
      <c r="IE39" s="62"/>
      <c r="IF39" s="62"/>
      <c r="IG39" s="62"/>
      <c r="IH39" s="62"/>
      <c r="II39" s="62"/>
      <c r="IJ39" s="62"/>
      <c r="IK39" s="62"/>
      <c r="IL39" s="62"/>
      <c r="IM39" s="62"/>
      <c r="IN39" s="62"/>
      <c r="IO39" s="62"/>
      <c r="IP39" s="62"/>
      <c r="IQ39" s="62"/>
      <c r="IR39" s="62"/>
      <c r="IS39" s="62"/>
      <c r="IT39" s="62"/>
      <c r="IU39" s="62"/>
      <c r="IV39" s="62"/>
      <c r="IW39" s="62"/>
      <c r="IX39" s="62"/>
      <c r="IY39" s="61"/>
      <c r="IZ39" s="62"/>
      <c r="JA39" s="62"/>
      <c r="JB39" s="62"/>
      <c r="JC39" s="62"/>
      <c r="JD39" s="62"/>
      <c r="JE39" s="62"/>
      <c r="JF39" s="62"/>
      <c r="JG39" s="62"/>
      <c r="JH39" s="62"/>
      <c r="JI39" s="62"/>
      <c r="JJ39" s="62"/>
      <c r="JK39" s="62"/>
      <c r="JL39" s="62"/>
      <c r="JM39" s="62"/>
      <c r="JN39" s="62"/>
      <c r="JO39" s="62"/>
      <c r="JP39" s="62"/>
      <c r="JQ39" s="62"/>
      <c r="JR39" s="62"/>
      <c r="JS39" s="62"/>
      <c r="JT39" s="62"/>
      <c r="JU39" s="62"/>
      <c r="JV39" s="62"/>
      <c r="JW39" s="62"/>
      <c r="JX39" s="62"/>
      <c r="JY39" s="62"/>
      <c r="JZ39" s="62"/>
      <c r="KA39" s="62"/>
      <c r="KB39" s="62"/>
      <c r="KC39" s="61"/>
      <c r="KD39" s="62"/>
      <c r="KE39" s="63"/>
      <c r="KF39" s="61"/>
      <c r="KG39" s="62"/>
      <c r="KH39" s="63"/>
      <c r="KI39" s="61"/>
      <c r="KJ39" s="62"/>
      <c r="KK39" s="63"/>
      <c r="KL39" s="66"/>
      <c r="KM39" s="67"/>
      <c r="KN39" s="68"/>
      <c r="KO39" s="66"/>
      <c r="KP39" s="67"/>
      <c r="KQ39" s="68"/>
      <c r="KR39" s="66"/>
      <c r="KS39" s="67"/>
      <c r="KT39" s="68"/>
      <c r="KU39" s="67"/>
      <c r="KV39" s="67"/>
      <c r="KW39" s="67"/>
      <c r="KX39" s="66"/>
      <c r="KY39" s="67"/>
      <c r="KZ39" s="67"/>
      <c r="LA39" s="70"/>
      <c r="LB39" s="67"/>
      <c r="LC39" s="71"/>
      <c r="LD39" s="67"/>
      <c r="LE39" s="67"/>
      <c r="LF39" s="68"/>
      <c r="LG39" s="67"/>
      <c r="LH39" s="67"/>
      <c r="LI39" s="68"/>
      <c r="LJ39" s="66"/>
      <c r="LK39" s="67"/>
      <c r="LL39" s="68"/>
      <c r="LM39" s="61"/>
      <c r="LN39" s="62"/>
      <c r="LO39" s="63"/>
      <c r="LP39" s="61"/>
      <c r="LQ39" s="62"/>
      <c r="LR39" s="63"/>
      <c r="LS39" s="61"/>
      <c r="LT39" s="62"/>
      <c r="LU39" s="63"/>
      <c r="LV39" s="67"/>
      <c r="LW39" s="67"/>
      <c r="LX39" s="67"/>
      <c r="LY39" s="66"/>
      <c r="LZ39" s="67"/>
      <c r="MA39" s="68"/>
      <c r="MB39" s="67"/>
      <c r="MC39" s="67"/>
      <c r="MD39" s="67"/>
      <c r="ME39" s="66"/>
      <c r="MF39" s="67"/>
      <c r="MG39" s="68"/>
      <c r="MH39" s="66"/>
      <c r="MI39" s="67"/>
      <c r="MJ39" s="68"/>
      <c r="MK39" s="67"/>
      <c r="ML39" s="67"/>
      <c r="MM39" s="67"/>
      <c r="MN39" s="66"/>
      <c r="MO39" s="67"/>
      <c r="MP39" s="68"/>
      <c r="MQ39" s="66"/>
      <c r="MR39" s="67"/>
      <c r="MS39" s="68"/>
      <c r="MT39" s="66"/>
      <c r="MU39" s="67"/>
      <c r="MV39" s="68"/>
      <c r="MW39" s="66"/>
      <c r="MX39" s="67"/>
      <c r="MY39" s="68"/>
      <c r="MZ39" s="66"/>
      <c r="NA39" s="67"/>
      <c r="NB39" s="68"/>
      <c r="NC39" s="67"/>
      <c r="ND39" s="67"/>
      <c r="NE39" s="72"/>
      <c r="NG39" s="275"/>
      <c r="NH39" s="1"/>
      <c r="NI39" s="1"/>
      <c r="NJ39" s="1"/>
      <c r="NK39" s="1"/>
    </row>
    <row r="40" spans="5:375" s="6" customFormat="1" ht="9.9499999999999993" customHeight="1">
      <c r="F40" s="196">
        <f t="shared" ref="F40" si="296">NG40</f>
        <v>9.9999999999999959E-4</v>
      </c>
      <c r="G40" s="197">
        <f>Q40-F40</f>
        <v>0</v>
      </c>
      <c r="H40" s="27">
        <v>1</v>
      </c>
      <c r="J40" s="6" t="s">
        <v>180</v>
      </c>
      <c r="K40" s="6" t="s">
        <v>181</v>
      </c>
      <c r="L40" s="339"/>
      <c r="M40" s="370" t="s">
        <v>136</v>
      </c>
      <c r="N40" s="356">
        <v>527572</v>
      </c>
      <c r="O40" s="352" t="s">
        <v>260</v>
      </c>
      <c r="P40" s="307">
        <v>208293</v>
      </c>
      <c r="Q40" s="236">
        <f>ROUND(P40/$P$256,5)</f>
        <v>1E-3</v>
      </c>
      <c r="R40" s="76"/>
      <c r="S40" s="142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79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  <c r="BP40" s="143"/>
      <c r="BQ40" s="143"/>
      <c r="BR40" s="143"/>
      <c r="BS40" s="143"/>
      <c r="BT40" s="143"/>
      <c r="BU40" s="143"/>
      <c r="BV40" s="143"/>
      <c r="BW40" s="143"/>
      <c r="BX40" s="143"/>
      <c r="BY40" s="143"/>
      <c r="BZ40" s="155"/>
      <c r="CA40" s="179"/>
      <c r="CB40" s="143"/>
      <c r="CC40" s="143"/>
      <c r="CD40" s="143"/>
      <c r="CE40" s="143"/>
      <c r="CF40" s="143"/>
      <c r="CG40" s="143"/>
      <c r="CH40" s="143"/>
      <c r="CI40" s="143"/>
      <c r="CJ40" s="143"/>
      <c r="CK40" s="143"/>
      <c r="CL40" s="143"/>
      <c r="CM40" s="143"/>
      <c r="CN40" s="143"/>
      <c r="CO40" s="143"/>
      <c r="CP40" s="143"/>
      <c r="CQ40" s="143"/>
      <c r="CR40" s="143"/>
      <c r="CS40" s="143"/>
      <c r="CT40" s="143"/>
      <c r="CU40" s="143"/>
      <c r="CV40" s="143"/>
      <c r="CW40" s="143"/>
      <c r="CX40" s="143"/>
      <c r="CY40" s="143"/>
      <c r="CZ40" s="143"/>
      <c r="DA40" s="143"/>
      <c r="DB40" s="143"/>
      <c r="DC40" s="143"/>
      <c r="DD40" s="143"/>
      <c r="DE40" s="179">
        <f>0.01%*0.3/30</f>
        <v>9.9999999999999995E-7</v>
      </c>
      <c r="DF40" s="156">
        <f>DE40</f>
        <v>9.9999999999999995E-7</v>
      </c>
      <c r="DG40" s="156">
        <f t="shared" ref="DG40:EH40" si="297">DF40</f>
        <v>9.9999999999999995E-7</v>
      </c>
      <c r="DH40" s="156">
        <f t="shared" si="297"/>
        <v>9.9999999999999995E-7</v>
      </c>
      <c r="DI40" s="156">
        <f t="shared" si="297"/>
        <v>9.9999999999999995E-7</v>
      </c>
      <c r="DJ40" s="156">
        <f t="shared" si="297"/>
        <v>9.9999999999999995E-7</v>
      </c>
      <c r="DK40" s="156">
        <f t="shared" si="297"/>
        <v>9.9999999999999995E-7</v>
      </c>
      <c r="DL40" s="156">
        <f t="shared" si="297"/>
        <v>9.9999999999999995E-7</v>
      </c>
      <c r="DM40" s="156">
        <f t="shared" si="297"/>
        <v>9.9999999999999995E-7</v>
      </c>
      <c r="DN40" s="156">
        <f t="shared" si="297"/>
        <v>9.9999999999999995E-7</v>
      </c>
      <c r="DO40" s="156">
        <f t="shared" si="297"/>
        <v>9.9999999999999995E-7</v>
      </c>
      <c r="DP40" s="156">
        <f t="shared" si="297"/>
        <v>9.9999999999999995E-7</v>
      </c>
      <c r="DQ40" s="156">
        <f t="shared" si="297"/>
        <v>9.9999999999999995E-7</v>
      </c>
      <c r="DR40" s="156">
        <f t="shared" si="297"/>
        <v>9.9999999999999995E-7</v>
      </c>
      <c r="DS40" s="156">
        <f t="shared" si="297"/>
        <v>9.9999999999999995E-7</v>
      </c>
      <c r="DT40" s="156">
        <f t="shared" si="297"/>
        <v>9.9999999999999995E-7</v>
      </c>
      <c r="DU40" s="156">
        <f t="shared" si="297"/>
        <v>9.9999999999999995E-7</v>
      </c>
      <c r="DV40" s="156">
        <f t="shared" si="297"/>
        <v>9.9999999999999995E-7</v>
      </c>
      <c r="DW40" s="156">
        <f t="shared" si="297"/>
        <v>9.9999999999999995E-7</v>
      </c>
      <c r="DX40" s="156">
        <f t="shared" si="297"/>
        <v>9.9999999999999995E-7</v>
      </c>
      <c r="DY40" s="156">
        <f t="shared" si="297"/>
        <v>9.9999999999999995E-7</v>
      </c>
      <c r="DZ40" s="156">
        <f t="shared" si="297"/>
        <v>9.9999999999999995E-7</v>
      </c>
      <c r="EA40" s="156">
        <f t="shared" si="297"/>
        <v>9.9999999999999995E-7</v>
      </c>
      <c r="EB40" s="156">
        <f t="shared" si="297"/>
        <v>9.9999999999999995E-7</v>
      </c>
      <c r="EC40" s="156">
        <f t="shared" si="297"/>
        <v>9.9999999999999995E-7</v>
      </c>
      <c r="ED40" s="156">
        <f t="shared" si="297"/>
        <v>9.9999999999999995E-7</v>
      </c>
      <c r="EE40" s="156">
        <f t="shared" si="297"/>
        <v>9.9999999999999995E-7</v>
      </c>
      <c r="EF40" s="156">
        <f t="shared" si="297"/>
        <v>9.9999999999999995E-7</v>
      </c>
      <c r="EG40" s="156">
        <f t="shared" si="297"/>
        <v>9.9999999999999995E-7</v>
      </c>
      <c r="EH40" s="156">
        <f t="shared" si="297"/>
        <v>9.9999999999999995E-7</v>
      </c>
      <c r="EI40" s="179">
        <f>0.01%*0.3/30</f>
        <v>9.9999999999999995E-7</v>
      </c>
      <c r="EJ40" s="156">
        <f>EI40</f>
        <v>9.9999999999999995E-7</v>
      </c>
      <c r="EK40" s="156">
        <f t="shared" ref="EK40:FL40" si="298">EJ40</f>
        <v>9.9999999999999995E-7</v>
      </c>
      <c r="EL40" s="156">
        <f t="shared" si="298"/>
        <v>9.9999999999999995E-7</v>
      </c>
      <c r="EM40" s="156">
        <f t="shared" si="298"/>
        <v>9.9999999999999995E-7</v>
      </c>
      <c r="EN40" s="156">
        <f t="shared" si="298"/>
        <v>9.9999999999999995E-7</v>
      </c>
      <c r="EO40" s="156">
        <f t="shared" si="298"/>
        <v>9.9999999999999995E-7</v>
      </c>
      <c r="EP40" s="156">
        <f t="shared" si="298"/>
        <v>9.9999999999999995E-7</v>
      </c>
      <c r="EQ40" s="156">
        <f t="shared" si="298"/>
        <v>9.9999999999999995E-7</v>
      </c>
      <c r="ER40" s="156">
        <f t="shared" si="298"/>
        <v>9.9999999999999995E-7</v>
      </c>
      <c r="ES40" s="156">
        <f t="shared" si="298"/>
        <v>9.9999999999999995E-7</v>
      </c>
      <c r="ET40" s="156">
        <f t="shared" si="298"/>
        <v>9.9999999999999995E-7</v>
      </c>
      <c r="EU40" s="156">
        <f t="shared" si="298"/>
        <v>9.9999999999999995E-7</v>
      </c>
      <c r="EV40" s="156">
        <f t="shared" si="298"/>
        <v>9.9999999999999995E-7</v>
      </c>
      <c r="EW40" s="156">
        <f t="shared" si="298"/>
        <v>9.9999999999999995E-7</v>
      </c>
      <c r="EX40" s="156">
        <f t="shared" si="298"/>
        <v>9.9999999999999995E-7</v>
      </c>
      <c r="EY40" s="156">
        <f t="shared" si="298"/>
        <v>9.9999999999999995E-7</v>
      </c>
      <c r="EZ40" s="156">
        <f t="shared" si="298"/>
        <v>9.9999999999999995E-7</v>
      </c>
      <c r="FA40" s="156">
        <f t="shared" si="298"/>
        <v>9.9999999999999995E-7</v>
      </c>
      <c r="FB40" s="156">
        <f t="shared" si="298"/>
        <v>9.9999999999999995E-7</v>
      </c>
      <c r="FC40" s="156">
        <f t="shared" si="298"/>
        <v>9.9999999999999995E-7</v>
      </c>
      <c r="FD40" s="156">
        <f t="shared" si="298"/>
        <v>9.9999999999999995E-7</v>
      </c>
      <c r="FE40" s="156">
        <f t="shared" si="298"/>
        <v>9.9999999999999995E-7</v>
      </c>
      <c r="FF40" s="156">
        <f t="shared" si="298"/>
        <v>9.9999999999999995E-7</v>
      </c>
      <c r="FG40" s="156">
        <f t="shared" si="298"/>
        <v>9.9999999999999995E-7</v>
      </c>
      <c r="FH40" s="156">
        <f t="shared" si="298"/>
        <v>9.9999999999999995E-7</v>
      </c>
      <c r="FI40" s="156">
        <f t="shared" si="298"/>
        <v>9.9999999999999995E-7</v>
      </c>
      <c r="FJ40" s="156">
        <f t="shared" si="298"/>
        <v>9.9999999999999995E-7</v>
      </c>
      <c r="FK40" s="156">
        <f t="shared" si="298"/>
        <v>9.9999999999999995E-7</v>
      </c>
      <c r="FL40" s="156">
        <f t="shared" si="298"/>
        <v>9.9999999999999995E-7</v>
      </c>
      <c r="FM40" s="179">
        <f>0.01%*0.3/30</f>
        <v>9.9999999999999995E-7</v>
      </c>
      <c r="FN40" s="156">
        <f>FM40</f>
        <v>9.9999999999999995E-7</v>
      </c>
      <c r="FO40" s="156">
        <f t="shared" ref="FO40:GP40" si="299">FN40</f>
        <v>9.9999999999999995E-7</v>
      </c>
      <c r="FP40" s="156">
        <f t="shared" si="299"/>
        <v>9.9999999999999995E-7</v>
      </c>
      <c r="FQ40" s="156">
        <f t="shared" si="299"/>
        <v>9.9999999999999995E-7</v>
      </c>
      <c r="FR40" s="156">
        <f t="shared" si="299"/>
        <v>9.9999999999999995E-7</v>
      </c>
      <c r="FS40" s="156">
        <f t="shared" si="299"/>
        <v>9.9999999999999995E-7</v>
      </c>
      <c r="FT40" s="156">
        <f t="shared" si="299"/>
        <v>9.9999999999999995E-7</v>
      </c>
      <c r="FU40" s="156">
        <f t="shared" si="299"/>
        <v>9.9999999999999995E-7</v>
      </c>
      <c r="FV40" s="156">
        <f t="shared" si="299"/>
        <v>9.9999999999999995E-7</v>
      </c>
      <c r="FW40" s="156">
        <f t="shared" si="299"/>
        <v>9.9999999999999995E-7</v>
      </c>
      <c r="FX40" s="156">
        <f t="shared" si="299"/>
        <v>9.9999999999999995E-7</v>
      </c>
      <c r="FY40" s="156">
        <f t="shared" si="299"/>
        <v>9.9999999999999995E-7</v>
      </c>
      <c r="FZ40" s="156">
        <f t="shared" si="299"/>
        <v>9.9999999999999995E-7</v>
      </c>
      <c r="GA40" s="156">
        <f t="shared" si="299"/>
        <v>9.9999999999999995E-7</v>
      </c>
      <c r="GB40" s="156">
        <f t="shared" si="299"/>
        <v>9.9999999999999995E-7</v>
      </c>
      <c r="GC40" s="156">
        <f t="shared" si="299"/>
        <v>9.9999999999999995E-7</v>
      </c>
      <c r="GD40" s="156">
        <f t="shared" si="299"/>
        <v>9.9999999999999995E-7</v>
      </c>
      <c r="GE40" s="156">
        <f t="shared" si="299"/>
        <v>9.9999999999999995E-7</v>
      </c>
      <c r="GF40" s="156">
        <f t="shared" si="299"/>
        <v>9.9999999999999995E-7</v>
      </c>
      <c r="GG40" s="156">
        <f t="shared" si="299"/>
        <v>9.9999999999999995E-7</v>
      </c>
      <c r="GH40" s="156">
        <f t="shared" si="299"/>
        <v>9.9999999999999995E-7</v>
      </c>
      <c r="GI40" s="156">
        <f t="shared" si="299"/>
        <v>9.9999999999999995E-7</v>
      </c>
      <c r="GJ40" s="156">
        <f t="shared" si="299"/>
        <v>9.9999999999999995E-7</v>
      </c>
      <c r="GK40" s="156">
        <f t="shared" si="299"/>
        <v>9.9999999999999995E-7</v>
      </c>
      <c r="GL40" s="156">
        <f t="shared" si="299"/>
        <v>9.9999999999999995E-7</v>
      </c>
      <c r="GM40" s="156">
        <f t="shared" si="299"/>
        <v>9.9999999999999995E-7</v>
      </c>
      <c r="GN40" s="156">
        <f t="shared" si="299"/>
        <v>9.9999999999999995E-7</v>
      </c>
      <c r="GO40" s="156">
        <f t="shared" si="299"/>
        <v>9.9999999999999995E-7</v>
      </c>
      <c r="GP40" s="156">
        <f t="shared" si="299"/>
        <v>9.9999999999999995E-7</v>
      </c>
      <c r="GQ40" s="179">
        <f>0.02%*0.2/30</f>
        <v>1.3333333333333334E-6</v>
      </c>
      <c r="GR40" s="156">
        <f>GQ40</f>
        <v>1.3333333333333334E-6</v>
      </c>
      <c r="GS40" s="156">
        <f t="shared" ref="GS40:HT40" si="300">GR40</f>
        <v>1.3333333333333334E-6</v>
      </c>
      <c r="GT40" s="156">
        <f t="shared" si="300"/>
        <v>1.3333333333333334E-6</v>
      </c>
      <c r="GU40" s="156">
        <f t="shared" si="300"/>
        <v>1.3333333333333334E-6</v>
      </c>
      <c r="GV40" s="156">
        <f t="shared" si="300"/>
        <v>1.3333333333333334E-6</v>
      </c>
      <c r="GW40" s="156">
        <f t="shared" si="300"/>
        <v>1.3333333333333334E-6</v>
      </c>
      <c r="GX40" s="156">
        <f t="shared" si="300"/>
        <v>1.3333333333333334E-6</v>
      </c>
      <c r="GY40" s="156">
        <f t="shared" si="300"/>
        <v>1.3333333333333334E-6</v>
      </c>
      <c r="GZ40" s="156">
        <f t="shared" si="300"/>
        <v>1.3333333333333334E-6</v>
      </c>
      <c r="HA40" s="156">
        <f t="shared" si="300"/>
        <v>1.3333333333333334E-6</v>
      </c>
      <c r="HB40" s="156">
        <f t="shared" si="300"/>
        <v>1.3333333333333334E-6</v>
      </c>
      <c r="HC40" s="156">
        <f t="shared" si="300"/>
        <v>1.3333333333333334E-6</v>
      </c>
      <c r="HD40" s="156">
        <f t="shared" si="300"/>
        <v>1.3333333333333334E-6</v>
      </c>
      <c r="HE40" s="156">
        <f t="shared" si="300"/>
        <v>1.3333333333333334E-6</v>
      </c>
      <c r="HF40" s="156">
        <f t="shared" si="300"/>
        <v>1.3333333333333334E-6</v>
      </c>
      <c r="HG40" s="156">
        <f t="shared" si="300"/>
        <v>1.3333333333333334E-6</v>
      </c>
      <c r="HH40" s="156">
        <f t="shared" si="300"/>
        <v>1.3333333333333334E-6</v>
      </c>
      <c r="HI40" s="156">
        <f t="shared" si="300"/>
        <v>1.3333333333333334E-6</v>
      </c>
      <c r="HJ40" s="156">
        <f t="shared" si="300"/>
        <v>1.3333333333333334E-6</v>
      </c>
      <c r="HK40" s="156">
        <f t="shared" si="300"/>
        <v>1.3333333333333334E-6</v>
      </c>
      <c r="HL40" s="156">
        <f t="shared" si="300"/>
        <v>1.3333333333333334E-6</v>
      </c>
      <c r="HM40" s="156">
        <f t="shared" si="300"/>
        <v>1.3333333333333334E-6</v>
      </c>
      <c r="HN40" s="156">
        <f t="shared" si="300"/>
        <v>1.3333333333333334E-6</v>
      </c>
      <c r="HO40" s="156">
        <f t="shared" si="300"/>
        <v>1.3333333333333334E-6</v>
      </c>
      <c r="HP40" s="156">
        <f t="shared" si="300"/>
        <v>1.3333333333333334E-6</v>
      </c>
      <c r="HQ40" s="156">
        <f t="shared" si="300"/>
        <v>1.3333333333333334E-6</v>
      </c>
      <c r="HR40" s="156">
        <f t="shared" si="300"/>
        <v>1.3333333333333334E-6</v>
      </c>
      <c r="HS40" s="156">
        <f t="shared" si="300"/>
        <v>1.3333333333333334E-6</v>
      </c>
      <c r="HT40" s="156">
        <f t="shared" si="300"/>
        <v>1.3333333333333334E-6</v>
      </c>
      <c r="HU40" s="179">
        <f>0.01%*0.2/30</f>
        <v>6.6666666666666671E-7</v>
      </c>
      <c r="HV40" s="156">
        <f>HU40</f>
        <v>6.6666666666666671E-7</v>
      </c>
      <c r="HW40" s="156">
        <f t="shared" ref="HW40:IX40" si="301">HV40</f>
        <v>6.6666666666666671E-7</v>
      </c>
      <c r="HX40" s="156">
        <f t="shared" si="301"/>
        <v>6.6666666666666671E-7</v>
      </c>
      <c r="HY40" s="156">
        <f t="shared" si="301"/>
        <v>6.6666666666666671E-7</v>
      </c>
      <c r="HZ40" s="156">
        <f t="shared" si="301"/>
        <v>6.6666666666666671E-7</v>
      </c>
      <c r="IA40" s="156">
        <f t="shared" si="301"/>
        <v>6.6666666666666671E-7</v>
      </c>
      <c r="IB40" s="156">
        <f t="shared" si="301"/>
        <v>6.6666666666666671E-7</v>
      </c>
      <c r="IC40" s="156">
        <f t="shared" si="301"/>
        <v>6.6666666666666671E-7</v>
      </c>
      <c r="ID40" s="156">
        <f t="shared" si="301"/>
        <v>6.6666666666666671E-7</v>
      </c>
      <c r="IE40" s="156">
        <f t="shared" si="301"/>
        <v>6.6666666666666671E-7</v>
      </c>
      <c r="IF40" s="156">
        <f t="shared" si="301"/>
        <v>6.6666666666666671E-7</v>
      </c>
      <c r="IG40" s="156">
        <f t="shared" si="301"/>
        <v>6.6666666666666671E-7</v>
      </c>
      <c r="IH40" s="156">
        <f t="shared" si="301"/>
        <v>6.6666666666666671E-7</v>
      </c>
      <c r="II40" s="156">
        <f t="shared" si="301"/>
        <v>6.6666666666666671E-7</v>
      </c>
      <c r="IJ40" s="156">
        <f t="shared" si="301"/>
        <v>6.6666666666666671E-7</v>
      </c>
      <c r="IK40" s="156">
        <f t="shared" si="301"/>
        <v>6.6666666666666671E-7</v>
      </c>
      <c r="IL40" s="156">
        <f t="shared" si="301"/>
        <v>6.6666666666666671E-7</v>
      </c>
      <c r="IM40" s="156">
        <f t="shared" si="301"/>
        <v>6.6666666666666671E-7</v>
      </c>
      <c r="IN40" s="156">
        <f t="shared" si="301"/>
        <v>6.6666666666666671E-7</v>
      </c>
      <c r="IO40" s="156">
        <f t="shared" si="301"/>
        <v>6.6666666666666671E-7</v>
      </c>
      <c r="IP40" s="156">
        <f t="shared" si="301"/>
        <v>6.6666666666666671E-7</v>
      </c>
      <c r="IQ40" s="156">
        <f t="shared" si="301"/>
        <v>6.6666666666666671E-7</v>
      </c>
      <c r="IR40" s="156">
        <f t="shared" si="301"/>
        <v>6.6666666666666671E-7</v>
      </c>
      <c r="IS40" s="156">
        <f t="shared" si="301"/>
        <v>6.6666666666666671E-7</v>
      </c>
      <c r="IT40" s="156">
        <f t="shared" si="301"/>
        <v>6.6666666666666671E-7</v>
      </c>
      <c r="IU40" s="156">
        <f t="shared" si="301"/>
        <v>6.6666666666666671E-7</v>
      </c>
      <c r="IV40" s="156">
        <f t="shared" si="301"/>
        <v>6.6666666666666671E-7</v>
      </c>
      <c r="IW40" s="156">
        <f t="shared" si="301"/>
        <v>6.6666666666666671E-7</v>
      </c>
      <c r="IX40" s="156">
        <f t="shared" si="301"/>
        <v>6.6666666666666671E-7</v>
      </c>
      <c r="IY40" s="179">
        <f>0.01%*0.2/30</f>
        <v>6.6666666666666671E-7</v>
      </c>
      <c r="IZ40" s="156">
        <f>IY40</f>
        <v>6.6666666666666671E-7</v>
      </c>
      <c r="JA40" s="156">
        <f t="shared" ref="JA40:KB40" si="302">IZ40</f>
        <v>6.6666666666666671E-7</v>
      </c>
      <c r="JB40" s="156">
        <f t="shared" si="302"/>
        <v>6.6666666666666671E-7</v>
      </c>
      <c r="JC40" s="156">
        <f t="shared" si="302"/>
        <v>6.6666666666666671E-7</v>
      </c>
      <c r="JD40" s="156">
        <f t="shared" si="302"/>
        <v>6.6666666666666671E-7</v>
      </c>
      <c r="JE40" s="156">
        <f t="shared" si="302"/>
        <v>6.6666666666666671E-7</v>
      </c>
      <c r="JF40" s="156">
        <f t="shared" si="302"/>
        <v>6.6666666666666671E-7</v>
      </c>
      <c r="JG40" s="156">
        <f t="shared" si="302"/>
        <v>6.6666666666666671E-7</v>
      </c>
      <c r="JH40" s="156">
        <f t="shared" si="302"/>
        <v>6.6666666666666671E-7</v>
      </c>
      <c r="JI40" s="156">
        <f t="shared" si="302"/>
        <v>6.6666666666666671E-7</v>
      </c>
      <c r="JJ40" s="156">
        <f t="shared" si="302"/>
        <v>6.6666666666666671E-7</v>
      </c>
      <c r="JK40" s="156">
        <f t="shared" si="302"/>
        <v>6.6666666666666671E-7</v>
      </c>
      <c r="JL40" s="156">
        <f t="shared" si="302"/>
        <v>6.6666666666666671E-7</v>
      </c>
      <c r="JM40" s="156">
        <f t="shared" si="302"/>
        <v>6.6666666666666671E-7</v>
      </c>
      <c r="JN40" s="156">
        <f t="shared" si="302"/>
        <v>6.6666666666666671E-7</v>
      </c>
      <c r="JO40" s="156">
        <f t="shared" si="302"/>
        <v>6.6666666666666671E-7</v>
      </c>
      <c r="JP40" s="156">
        <f t="shared" si="302"/>
        <v>6.6666666666666671E-7</v>
      </c>
      <c r="JQ40" s="156">
        <f t="shared" si="302"/>
        <v>6.6666666666666671E-7</v>
      </c>
      <c r="JR40" s="156">
        <f t="shared" si="302"/>
        <v>6.6666666666666671E-7</v>
      </c>
      <c r="JS40" s="156">
        <f t="shared" si="302"/>
        <v>6.6666666666666671E-7</v>
      </c>
      <c r="JT40" s="156">
        <f t="shared" si="302"/>
        <v>6.6666666666666671E-7</v>
      </c>
      <c r="JU40" s="156">
        <f t="shared" si="302"/>
        <v>6.6666666666666671E-7</v>
      </c>
      <c r="JV40" s="156">
        <f t="shared" si="302"/>
        <v>6.6666666666666671E-7</v>
      </c>
      <c r="JW40" s="156">
        <f t="shared" si="302"/>
        <v>6.6666666666666671E-7</v>
      </c>
      <c r="JX40" s="156">
        <f t="shared" si="302"/>
        <v>6.6666666666666671E-7</v>
      </c>
      <c r="JY40" s="156">
        <f t="shared" si="302"/>
        <v>6.6666666666666671E-7</v>
      </c>
      <c r="JZ40" s="156">
        <f t="shared" si="302"/>
        <v>6.6666666666666671E-7</v>
      </c>
      <c r="KA40" s="156">
        <f t="shared" si="302"/>
        <v>6.6666666666666671E-7</v>
      </c>
      <c r="KB40" s="156">
        <f t="shared" si="302"/>
        <v>6.6666666666666671E-7</v>
      </c>
      <c r="KC40" s="218">
        <v>2.7700000000000001E-4</v>
      </c>
      <c r="KD40" s="219"/>
      <c r="KE40" s="220"/>
      <c r="KF40" s="218">
        <v>2.7700000000000001E-4</v>
      </c>
      <c r="KG40" s="219"/>
      <c r="KH40" s="220"/>
      <c r="KI40" s="218">
        <v>2.7599999999999999E-4</v>
      </c>
      <c r="KJ40" s="219"/>
      <c r="KK40" s="220"/>
      <c r="KL40" s="218"/>
      <c r="KM40" s="219"/>
      <c r="KN40" s="220"/>
      <c r="KO40" s="218"/>
      <c r="KP40" s="219"/>
      <c r="KQ40" s="220"/>
      <c r="KR40" s="218"/>
      <c r="KS40" s="219"/>
      <c r="KT40" s="220"/>
      <c r="KU40" s="54"/>
      <c r="KV40" s="54"/>
      <c r="KW40" s="54"/>
      <c r="KX40" s="53"/>
      <c r="KY40" s="54"/>
      <c r="KZ40" s="54"/>
      <c r="LA40" s="57"/>
      <c r="LB40" s="54"/>
      <c r="LC40" s="58"/>
      <c r="LD40" s="54"/>
      <c r="LE40" s="54"/>
      <c r="LF40" s="55"/>
      <c r="LG40" s="54"/>
      <c r="LH40" s="54"/>
      <c r="LI40" s="54"/>
      <c r="LJ40" s="53"/>
      <c r="LK40" s="54"/>
      <c r="LL40" s="55"/>
      <c r="LM40" s="56"/>
      <c r="LN40" s="54"/>
      <c r="LO40" s="55"/>
      <c r="LP40" s="56"/>
      <c r="LQ40" s="77"/>
      <c r="LR40" s="78"/>
      <c r="LS40" s="56"/>
      <c r="LT40" s="54"/>
      <c r="LU40" s="55"/>
      <c r="LV40" s="54"/>
      <c r="LW40" s="54"/>
      <c r="LX40" s="54"/>
      <c r="LY40" s="53"/>
      <c r="LZ40" s="54"/>
      <c r="MA40" s="55"/>
      <c r="MB40" s="77"/>
      <c r="MC40" s="54"/>
      <c r="MD40" s="54"/>
      <c r="ME40" s="56"/>
      <c r="MF40" s="54"/>
      <c r="MG40" s="55"/>
      <c r="MH40" s="56"/>
      <c r="MI40" s="54"/>
      <c r="MJ40" s="55"/>
      <c r="MK40" s="54"/>
      <c r="ML40" s="54"/>
      <c r="MM40" s="54"/>
      <c r="MN40" s="56"/>
      <c r="MO40" s="54"/>
      <c r="MP40" s="55"/>
      <c r="MQ40" s="56"/>
      <c r="MR40" s="54"/>
      <c r="MS40" s="55"/>
      <c r="MT40" s="56"/>
      <c r="MU40" s="54"/>
      <c r="MV40" s="55"/>
      <c r="MW40" s="56"/>
      <c r="MX40" s="54"/>
      <c r="MY40" s="55"/>
      <c r="MZ40" s="56"/>
      <c r="NA40" s="54"/>
      <c r="NB40" s="55"/>
      <c r="NC40" s="77"/>
      <c r="ND40" s="54"/>
      <c r="NE40" s="59"/>
      <c r="NG40" s="275">
        <f>SUM(R40:NE40)</f>
        <v>9.9999999999999959E-4</v>
      </c>
      <c r="NH40" s="1"/>
      <c r="NI40" s="1"/>
      <c r="NJ40" s="1"/>
      <c r="NK40" s="1"/>
    </row>
    <row r="41" spans="5:375" s="6" customFormat="1" ht="6.95" customHeight="1">
      <c r="F41" s="196"/>
      <c r="G41" s="197"/>
      <c r="H41" s="52">
        <v>2</v>
      </c>
      <c r="L41" s="340"/>
      <c r="M41" s="371"/>
      <c r="N41" s="357"/>
      <c r="O41" s="353"/>
      <c r="P41" s="308"/>
      <c r="Q41" s="237"/>
      <c r="R41" s="6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39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1"/>
      <c r="CA41" s="39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61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1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62"/>
      <c r="FG41" s="62"/>
      <c r="FH41" s="62"/>
      <c r="FI41" s="62"/>
      <c r="FJ41" s="62"/>
      <c r="FK41" s="62"/>
      <c r="FL41" s="62"/>
      <c r="FM41" s="61"/>
      <c r="FN41" s="62"/>
      <c r="FO41" s="62"/>
      <c r="FP41" s="62"/>
      <c r="FQ41" s="62"/>
      <c r="FR41" s="62"/>
      <c r="FS41" s="62"/>
      <c r="FT41" s="62"/>
      <c r="FU41" s="62"/>
      <c r="FV41" s="62"/>
      <c r="FW41" s="62"/>
      <c r="FX41" s="62"/>
      <c r="FY41" s="62"/>
      <c r="FZ41" s="62"/>
      <c r="GA41" s="62"/>
      <c r="GB41" s="62"/>
      <c r="GC41" s="62"/>
      <c r="GD41" s="62"/>
      <c r="GE41" s="62"/>
      <c r="GF41" s="62"/>
      <c r="GG41" s="62"/>
      <c r="GH41" s="62"/>
      <c r="GI41" s="62"/>
      <c r="GJ41" s="62"/>
      <c r="GK41" s="62"/>
      <c r="GL41" s="62"/>
      <c r="GM41" s="62"/>
      <c r="GN41" s="62"/>
      <c r="GO41" s="62"/>
      <c r="GP41" s="62"/>
      <c r="GQ41" s="61"/>
      <c r="GR41" s="62"/>
      <c r="GS41" s="62"/>
      <c r="GT41" s="62"/>
      <c r="GU41" s="62"/>
      <c r="GV41" s="62"/>
      <c r="GW41" s="62"/>
      <c r="GX41" s="62"/>
      <c r="GY41" s="62"/>
      <c r="GZ41" s="62"/>
      <c r="HA41" s="62"/>
      <c r="HB41" s="62"/>
      <c r="HC41" s="62"/>
      <c r="HD41" s="62"/>
      <c r="HE41" s="62"/>
      <c r="HF41" s="62"/>
      <c r="HG41" s="62"/>
      <c r="HH41" s="62"/>
      <c r="HI41" s="62"/>
      <c r="HJ41" s="62"/>
      <c r="HK41" s="62"/>
      <c r="HL41" s="62"/>
      <c r="HM41" s="62"/>
      <c r="HN41" s="62"/>
      <c r="HO41" s="62"/>
      <c r="HP41" s="62"/>
      <c r="HQ41" s="62"/>
      <c r="HR41" s="62"/>
      <c r="HS41" s="62"/>
      <c r="HT41" s="62"/>
      <c r="HU41" s="61"/>
      <c r="HV41" s="62"/>
      <c r="HW41" s="62"/>
      <c r="HX41" s="62"/>
      <c r="HY41" s="62"/>
      <c r="HZ41" s="62"/>
      <c r="IA41" s="62"/>
      <c r="IB41" s="62"/>
      <c r="IC41" s="62"/>
      <c r="ID41" s="62"/>
      <c r="IE41" s="62"/>
      <c r="IF41" s="62"/>
      <c r="IG41" s="62"/>
      <c r="IH41" s="62"/>
      <c r="II41" s="62"/>
      <c r="IJ41" s="62"/>
      <c r="IK41" s="62"/>
      <c r="IL41" s="62"/>
      <c r="IM41" s="62"/>
      <c r="IN41" s="62"/>
      <c r="IO41" s="62"/>
      <c r="IP41" s="62"/>
      <c r="IQ41" s="62"/>
      <c r="IR41" s="62"/>
      <c r="IS41" s="62"/>
      <c r="IT41" s="62"/>
      <c r="IU41" s="62"/>
      <c r="IV41" s="62"/>
      <c r="IW41" s="62"/>
      <c r="IX41" s="62"/>
      <c r="IY41" s="61"/>
      <c r="IZ41" s="62"/>
      <c r="JA41" s="62"/>
      <c r="JB41" s="62"/>
      <c r="JC41" s="62"/>
      <c r="JD41" s="62"/>
      <c r="JE41" s="62"/>
      <c r="JF41" s="62"/>
      <c r="JG41" s="62"/>
      <c r="JH41" s="62"/>
      <c r="JI41" s="62"/>
      <c r="JJ41" s="62"/>
      <c r="JK41" s="62"/>
      <c r="JL41" s="62"/>
      <c r="JM41" s="62"/>
      <c r="JN41" s="62"/>
      <c r="JO41" s="62"/>
      <c r="JP41" s="62"/>
      <c r="JQ41" s="62"/>
      <c r="JR41" s="62"/>
      <c r="JS41" s="62"/>
      <c r="JT41" s="62"/>
      <c r="JU41" s="62"/>
      <c r="JV41" s="62"/>
      <c r="JW41" s="62"/>
      <c r="JX41" s="62"/>
      <c r="JY41" s="62"/>
      <c r="JZ41" s="62"/>
      <c r="KA41" s="62"/>
      <c r="KB41" s="62"/>
      <c r="KC41" s="61"/>
      <c r="KD41" s="62"/>
      <c r="KE41" s="63"/>
      <c r="KF41" s="61"/>
      <c r="KG41" s="62"/>
      <c r="KH41" s="63"/>
      <c r="KI41" s="61"/>
      <c r="KJ41" s="62"/>
      <c r="KK41" s="63"/>
      <c r="KL41" s="66"/>
      <c r="KM41" s="67"/>
      <c r="KN41" s="68"/>
      <c r="KO41" s="66"/>
      <c r="KP41" s="67"/>
      <c r="KQ41" s="68"/>
      <c r="KR41" s="39"/>
      <c r="KS41" s="40"/>
      <c r="KT41" s="41"/>
      <c r="KU41" s="40"/>
      <c r="KV41" s="40"/>
      <c r="KW41" s="40"/>
      <c r="KX41" s="39"/>
      <c r="KY41" s="40"/>
      <c r="KZ41" s="40"/>
      <c r="LA41" s="64"/>
      <c r="LB41" s="40"/>
      <c r="LC41" s="65"/>
      <c r="LD41" s="40"/>
      <c r="LE41" s="40"/>
      <c r="LF41" s="41"/>
      <c r="LG41" s="40"/>
      <c r="LH41" s="40"/>
      <c r="LI41" s="40"/>
      <c r="LJ41" s="39"/>
      <c r="LK41" s="40"/>
      <c r="LL41" s="41"/>
      <c r="LM41" s="39"/>
      <c r="LN41" s="40"/>
      <c r="LO41" s="41"/>
      <c r="LP41" s="39"/>
      <c r="LQ41" s="40"/>
      <c r="LR41" s="41"/>
      <c r="LS41" s="39"/>
      <c r="LT41" s="40"/>
      <c r="LU41" s="41"/>
      <c r="LV41" s="40"/>
      <c r="LW41" s="40"/>
      <c r="LX41" s="40"/>
      <c r="LY41" s="39"/>
      <c r="LZ41" s="40"/>
      <c r="MA41" s="41"/>
      <c r="MB41" s="40"/>
      <c r="MC41" s="40"/>
      <c r="MD41" s="40"/>
      <c r="ME41" s="39"/>
      <c r="MF41" s="40"/>
      <c r="MG41" s="41"/>
      <c r="MH41" s="39"/>
      <c r="MI41" s="40"/>
      <c r="MJ41" s="41"/>
      <c r="MK41" s="40"/>
      <c r="ML41" s="40"/>
      <c r="MM41" s="40"/>
      <c r="MN41" s="39"/>
      <c r="MO41" s="40"/>
      <c r="MP41" s="41"/>
      <c r="MQ41" s="39"/>
      <c r="MR41" s="40"/>
      <c r="MS41" s="41"/>
      <c r="MT41" s="39"/>
      <c r="MU41" s="40"/>
      <c r="MV41" s="41"/>
      <c r="MW41" s="39"/>
      <c r="MX41" s="40"/>
      <c r="MY41" s="41"/>
      <c r="MZ41" s="39"/>
      <c r="NA41" s="40"/>
      <c r="NB41" s="41"/>
      <c r="NC41" s="40"/>
      <c r="ND41" s="40"/>
      <c r="NE41" s="42"/>
      <c r="NG41" s="275"/>
      <c r="NH41" s="1"/>
      <c r="NI41" s="1"/>
      <c r="NJ41" s="1"/>
      <c r="NK41" s="1"/>
    </row>
    <row r="42" spans="5:375" s="6" customFormat="1" ht="9.9499999999999993" customHeight="1">
      <c r="F42" s="196">
        <f t="shared" ref="F42" si="303">NG42</f>
        <v>0.21609000000000009</v>
      </c>
      <c r="G42" s="197">
        <f>Q42-F42</f>
        <v>0</v>
      </c>
      <c r="H42" s="27">
        <v>1</v>
      </c>
      <c r="I42" s="6" t="s">
        <v>183</v>
      </c>
      <c r="J42" s="6" t="s">
        <v>184</v>
      </c>
      <c r="K42" s="6" t="s">
        <v>182</v>
      </c>
      <c r="L42" s="292"/>
      <c r="M42" s="295" t="s">
        <v>261</v>
      </c>
      <c r="N42" s="296">
        <v>6424776</v>
      </c>
      <c r="O42" s="297" t="s">
        <v>262</v>
      </c>
      <c r="P42" s="315">
        <v>44981792</v>
      </c>
      <c r="Q42" s="236">
        <f>ROUND(P42/$P$256,5)+0.00003</f>
        <v>0.21609</v>
      </c>
      <c r="R42" s="21"/>
      <c r="S42" s="142">
        <f>0.048%*0.3/30</f>
        <v>4.7999999999999998E-6</v>
      </c>
      <c r="T42" s="141">
        <f>S42</f>
        <v>4.7999999999999998E-6</v>
      </c>
      <c r="U42" s="141">
        <f t="shared" ref="U42:AV42" si="304">T42</f>
        <v>4.7999999999999998E-6</v>
      </c>
      <c r="V42" s="141">
        <f t="shared" si="304"/>
        <v>4.7999999999999998E-6</v>
      </c>
      <c r="W42" s="141">
        <f t="shared" si="304"/>
        <v>4.7999999999999998E-6</v>
      </c>
      <c r="X42" s="141">
        <f t="shared" si="304"/>
        <v>4.7999999999999998E-6</v>
      </c>
      <c r="Y42" s="141">
        <f t="shared" si="304"/>
        <v>4.7999999999999998E-6</v>
      </c>
      <c r="Z42" s="141">
        <f t="shared" si="304"/>
        <v>4.7999999999999998E-6</v>
      </c>
      <c r="AA42" s="141">
        <f t="shared" si="304"/>
        <v>4.7999999999999998E-6</v>
      </c>
      <c r="AB42" s="141">
        <f t="shared" si="304"/>
        <v>4.7999999999999998E-6</v>
      </c>
      <c r="AC42" s="141">
        <f t="shared" si="304"/>
        <v>4.7999999999999998E-6</v>
      </c>
      <c r="AD42" s="141">
        <f t="shared" si="304"/>
        <v>4.7999999999999998E-6</v>
      </c>
      <c r="AE42" s="141">
        <f t="shared" si="304"/>
        <v>4.7999999999999998E-6</v>
      </c>
      <c r="AF42" s="141">
        <f t="shared" si="304"/>
        <v>4.7999999999999998E-6</v>
      </c>
      <c r="AG42" s="141">
        <f t="shared" si="304"/>
        <v>4.7999999999999998E-6</v>
      </c>
      <c r="AH42" s="141">
        <f t="shared" si="304"/>
        <v>4.7999999999999998E-6</v>
      </c>
      <c r="AI42" s="141">
        <f t="shared" si="304"/>
        <v>4.7999999999999998E-6</v>
      </c>
      <c r="AJ42" s="141">
        <f t="shared" si="304"/>
        <v>4.7999999999999998E-6</v>
      </c>
      <c r="AK42" s="141">
        <f t="shared" si="304"/>
        <v>4.7999999999999998E-6</v>
      </c>
      <c r="AL42" s="141">
        <f t="shared" si="304"/>
        <v>4.7999999999999998E-6</v>
      </c>
      <c r="AM42" s="141">
        <f t="shared" si="304"/>
        <v>4.7999999999999998E-6</v>
      </c>
      <c r="AN42" s="141">
        <f t="shared" si="304"/>
        <v>4.7999999999999998E-6</v>
      </c>
      <c r="AO42" s="141">
        <f t="shared" si="304"/>
        <v>4.7999999999999998E-6</v>
      </c>
      <c r="AP42" s="141">
        <f t="shared" si="304"/>
        <v>4.7999999999999998E-6</v>
      </c>
      <c r="AQ42" s="141">
        <f t="shared" si="304"/>
        <v>4.7999999999999998E-6</v>
      </c>
      <c r="AR42" s="141">
        <f t="shared" si="304"/>
        <v>4.7999999999999998E-6</v>
      </c>
      <c r="AS42" s="141">
        <f t="shared" si="304"/>
        <v>4.7999999999999998E-6</v>
      </c>
      <c r="AT42" s="141">
        <f t="shared" si="304"/>
        <v>4.7999999999999998E-6</v>
      </c>
      <c r="AU42" s="141">
        <f t="shared" si="304"/>
        <v>4.7999999999999998E-6</v>
      </c>
      <c r="AV42" s="141">
        <f t="shared" si="304"/>
        <v>4.7999999999999998E-6</v>
      </c>
      <c r="AW42" s="157">
        <f>0.2%*0.3/30</f>
        <v>1.9999999999999998E-5</v>
      </c>
      <c r="AX42" s="156">
        <f>AW42</f>
        <v>1.9999999999999998E-5</v>
      </c>
      <c r="AY42" s="157">
        <f t="shared" ref="AY42:BZ42" si="305">AX42</f>
        <v>1.9999999999999998E-5</v>
      </c>
      <c r="AZ42" s="157">
        <f t="shared" si="305"/>
        <v>1.9999999999999998E-5</v>
      </c>
      <c r="BA42" s="157">
        <f t="shared" si="305"/>
        <v>1.9999999999999998E-5</v>
      </c>
      <c r="BB42" s="157">
        <f t="shared" si="305"/>
        <v>1.9999999999999998E-5</v>
      </c>
      <c r="BC42" s="157">
        <f t="shared" si="305"/>
        <v>1.9999999999999998E-5</v>
      </c>
      <c r="BD42" s="157">
        <f t="shared" si="305"/>
        <v>1.9999999999999998E-5</v>
      </c>
      <c r="BE42" s="157">
        <f t="shared" si="305"/>
        <v>1.9999999999999998E-5</v>
      </c>
      <c r="BF42" s="157">
        <f t="shared" si="305"/>
        <v>1.9999999999999998E-5</v>
      </c>
      <c r="BG42" s="157">
        <f t="shared" si="305"/>
        <v>1.9999999999999998E-5</v>
      </c>
      <c r="BH42" s="157">
        <f t="shared" si="305"/>
        <v>1.9999999999999998E-5</v>
      </c>
      <c r="BI42" s="157">
        <f t="shared" si="305"/>
        <v>1.9999999999999998E-5</v>
      </c>
      <c r="BJ42" s="157">
        <f t="shared" si="305"/>
        <v>1.9999999999999998E-5</v>
      </c>
      <c r="BK42" s="157">
        <f t="shared" si="305"/>
        <v>1.9999999999999998E-5</v>
      </c>
      <c r="BL42" s="157">
        <f t="shared" si="305"/>
        <v>1.9999999999999998E-5</v>
      </c>
      <c r="BM42" s="157">
        <f t="shared" si="305"/>
        <v>1.9999999999999998E-5</v>
      </c>
      <c r="BN42" s="157">
        <f t="shared" si="305"/>
        <v>1.9999999999999998E-5</v>
      </c>
      <c r="BO42" s="157">
        <f t="shared" si="305"/>
        <v>1.9999999999999998E-5</v>
      </c>
      <c r="BP42" s="157">
        <f t="shared" si="305"/>
        <v>1.9999999999999998E-5</v>
      </c>
      <c r="BQ42" s="157">
        <f t="shared" si="305"/>
        <v>1.9999999999999998E-5</v>
      </c>
      <c r="BR42" s="157">
        <f t="shared" si="305"/>
        <v>1.9999999999999998E-5</v>
      </c>
      <c r="BS42" s="157">
        <f t="shared" si="305"/>
        <v>1.9999999999999998E-5</v>
      </c>
      <c r="BT42" s="157">
        <f t="shared" si="305"/>
        <v>1.9999999999999998E-5</v>
      </c>
      <c r="BU42" s="157">
        <f t="shared" si="305"/>
        <v>1.9999999999999998E-5</v>
      </c>
      <c r="BV42" s="157">
        <f t="shared" si="305"/>
        <v>1.9999999999999998E-5</v>
      </c>
      <c r="BW42" s="157">
        <f t="shared" si="305"/>
        <v>1.9999999999999998E-5</v>
      </c>
      <c r="BX42" s="157">
        <f t="shared" si="305"/>
        <v>1.9999999999999998E-5</v>
      </c>
      <c r="BY42" s="157">
        <f t="shared" si="305"/>
        <v>1.9999999999999998E-5</v>
      </c>
      <c r="BZ42" s="157">
        <f t="shared" si="305"/>
        <v>1.9999999999999998E-5</v>
      </c>
      <c r="CA42" s="157">
        <f>0.25%*0.3/30</f>
        <v>2.5000000000000001E-5</v>
      </c>
      <c r="CB42" s="156">
        <f>CA42</f>
        <v>2.5000000000000001E-5</v>
      </c>
      <c r="CC42" s="156">
        <f t="shared" ref="CC42:DD42" si="306">CB42</f>
        <v>2.5000000000000001E-5</v>
      </c>
      <c r="CD42" s="156">
        <f t="shared" si="306"/>
        <v>2.5000000000000001E-5</v>
      </c>
      <c r="CE42" s="156">
        <f t="shared" si="306"/>
        <v>2.5000000000000001E-5</v>
      </c>
      <c r="CF42" s="156">
        <f t="shared" si="306"/>
        <v>2.5000000000000001E-5</v>
      </c>
      <c r="CG42" s="156">
        <f t="shared" si="306"/>
        <v>2.5000000000000001E-5</v>
      </c>
      <c r="CH42" s="156">
        <f t="shared" si="306"/>
        <v>2.5000000000000001E-5</v>
      </c>
      <c r="CI42" s="156">
        <f t="shared" si="306"/>
        <v>2.5000000000000001E-5</v>
      </c>
      <c r="CJ42" s="156">
        <f t="shared" si="306"/>
        <v>2.5000000000000001E-5</v>
      </c>
      <c r="CK42" s="156">
        <f t="shared" si="306"/>
        <v>2.5000000000000001E-5</v>
      </c>
      <c r="CL42" s="156">
        <f t="shared" si="306"/>
        <v>2.5000000000000001E-5</v>
      </c>
      <c r="CM42" s="156">
        <f t="shared" si="306"/>
        <v>2.5000000000000001E-5</v>
      </c>
      <c r="CN42" s="156">
        <f t="shared" si="306"/>
        <v>2.5000000000000001E-5</v>
      </c>
      <c r="CO42" s="156">
        <f t="shared" si="306"/>
        <v>2.5000000000000001E-5</v>
      </c>
      <c r="CP42" s="156">
        <f t="shared" si="306"/>
        <v>2.5000000000000001E-5</v>
      </c>
      <c r="CQ42" s="156">
        <f t="shared" si="306"/>
        <v>2.5000000000000001E-5</v>
      </c>
      <c r="CR42" s="156">
        <f t="shared" si="306"/>
        <v>2.5000000000000001E-5</v>
      </c>
      <c r="CS42" s="156">
        <f t="shared" si="306"/>
        <v>2.5000000000000001E-5</v>
      </c>
      <c r="CT42" s="156">
        <f t="shared" si="306"/>
        <v>2.5000000000000001E-5</v>
      </c>
      <c r="CU42" s="156">
        <f t="shared" si="306"/>
        <v>2.5000000000000001E-5</v>
      </c>
      <c r="CV42" s="156">
        <f t="shared" si="306"/>
        <v>2.5000000000000001E-5</v>
      </c>
      <c r="CW42" s="156">
        <f t="shared" si="306"/>
        <v>2.5000000000000001E-5</v>
      </c>
      <c r="CX42" s="156">
        <f t="shared" si="306"/>
        <v>2.5000000000000001E-5</v>
      </c>
      <c r="CY42" s="156">
        <f t="shared" si="306"/>
        <v>2.5000000000000001E-5</v>
      </c>
      <c r="CZ42" s="156">
        <f t="shared" si="306"/>
        <v>2.5000000000000001E-5</v>
      </c>
      <c r="DA42" s="156">
        <f t="shared" si="306"/>
        <v>2.5000000000000001E-5</v>
      </c>
      <c r="DB42" s="156">
        <f t="shared" si="306"/>
        <v>2.5000000000000001E-5</v>
      </c>
      <c r="DC42" s="156">
        <f t="shared" si="306"/>
        <v>2.5000000000000001E-5</v>
      </c>
      <c r="DD42" s="156">
        <f t="shared" si="306"/>
        <v>2.5000000000000001E-5</v>
      </c>
      <c r="DE42" s="157">
        <f>0.45%*0.3/30</f>
        <v>4.5000000000000003E-5</v>
      </c>
      <c r="DF42" s="156">
        <f>DE42</f>
        <v>4.5000000000000003E-5</v>
      </c>
      <c r="DG42" s="156">
        <f t="shared" ref="DG42:EH42" si="307">DF42</f>
        <v>4.5000000000000003E-5</v>
      </c>
      <c r="DH42" s="156">
        <f t="shared" si="307"/>
        <v>4.5000000000000003E-5</v>
      </c>
      <c r="DI42" s="156">
        <f t="shared" si="307"/>
        <v>4.5000000000000003E-5</v>
      </c>
      <c r="DJ42" s="156">
        <f t="shared" si="307"/>
        <v>4.5000000000000003E-5</v>
      </c>
      <c r="DK42" s="156">
        <f t="shared" si="307"/>
        <v>4.5000000000000003E-5</v>
      </c>
      <c r="DL42" s="156">
        <f t="shared" si="307"/>
        <v>4.5000000000000003E-5</v>
      </c>
      <c r="DM42" s="156">
        <f t="shared" si="307"/>
        <v>4.5000000000000003E-5</v>
      </c>
      <c r="DN42" s="156">
        <f t="shared" si="307"/>
        <v>4.5000000000000003E-5</v>
      </c>
      <c r="DO42" s="156">
        <f t="shared" si="307"/>
        <v>4.5000000000000003E-5</v>
      </c>
      <c r="DP42" s="156">
        <f t="shared" si="307"/>
        <v>4.5000000000000003E-5</v>
      </c>
      <c r="DQ42" s="156">
        <f t="shared" si="307"/>
        <v>4.5000000000000003E-5</v>
      </c>
      <c r="DR42" s="156">
        <f t="shared" si="307"/>
        <v>4.5000000000000003E-5</v>
      </c>
      <c r="DS42" s="156">
        <f t="shared" si="307"/>
        <v>4.5000000000000003E-5</v>
      </c>
      <c r="DT42" s="156">
        <f t="shared" si="307"/>
        <v>4.5000000000000003E-5</v>
      </c>
      <c r="DU42" s="156">
        <f t="shared" si="307"/>
        <v>4.5000000000000003E-5</v>
      </c>
      <c r="DV42" s="156">
        <f t="shared" si="307"/>
        <v>4.5000000000000003E-5</v>
      </c>
      <c r="DW42" s="156">
        <f t="shared" si="307"/>
        <v>4.5000000000000003E-5</v>
      </c>
      <c r="DX42" s="156">
        <f t="shared" si="307"/>
        <v>4.5000000000000003E-5</v>
      </c>
      <c r="DY42" s="156">
        <f t="shared" si="307"/>
        <v>4.5000000000000003E-5</v>
      </c>
      <c r="DZ42" s="156">
        <f t="shared" si="307"/>
        <v>4.5000000000000003E-5</v>
      </c>
      <c r="EA42" s="156">
        <f t="shared" si="307"/>
        <v>4.5000000000000003E-5</v>
      </c>
      <c r="EB42" s="156">
        <f t="shared" si="307"/>
        <v>4.5000000000000003E-5</v>
      </c>
      <c r="EC42" s="156">
        <f t="shared" si="307"/>
        <v>4.5000000000000003E-5</v>
      </c>
      <c r="ED42" s="156">
        <f t="shared" si="307"/>
        <v>4.5000000000000003E-5</v>
      </c>
      <c r="EE42" s="156">
        <f t="shared" si="307"/>
        <v>4.5000000000000003E-5</v>
      </c>
      <c r="EF42" s="156">
        <f t="shared" si="307"/>
        <v>4.5000000000000003E-5</v>
      </c>
      <c r="EG42" s="156">
        <f t="shared" si="307"/>
        <v>4.5000000000000003E-5</v>
      </c>
      <c r="EH42" s="156">
        <f t="shared" si="307"/>
        <v>4.5000000000000003E-5</v>
      </c>
      <c r="EI42" s="157">
        <f>0.65%*0.3/30</f>
        <v>6.5000000000000008E-5</v>
      </c>
      <c r="EJ42" s="156">
        <f>EI42</f>
        <v>6.5000000000000008E-5</v>
      </c>
      <c r="EK42" s="156">
        <f t="shared" ref="EK42:FL42" si="308">EJ42</f>
        <v>6.5000000000000008E-5</v>
      </c>
      <c r="EL42" s="156">
        <f t="shared" si="308"/>
        <v>6.5000000000000008E-5</v>
      </c>
      <c r="EM42" s="156">
        <f t="shared" si="308"/>
        <v>6.5000000000000008E-5</v>
      </c>
      <c r="EN42" s="156">
        <f t="shared" si="308"/>
        <v>6.5000000000000008E-5</v>
      </c>
      <c r="EO42" s="156">
        <f t="shared" si="308"/>
        <v>6.5000000000000008E-5</v>
      </c>
      <c r="EP42" s="156">
        <f t="shared" si="308"/>
        <v>6.5000000000000008E-5</v>
      </c>
      <c r="EQ42" s="156">
        <f t="shared" si="308"/>
        <v>6.5000000000000008E-5</v>
      </c>
      <c r="ER42" s="156">
        <f t="shared" si="308"/>
        <v>6.5000000000000008E-5</v>
      </c>
      <c r="ES42" s="156">
        <f t="shared" si="308"/>
        <v>6.5000000000000008E-5</v>
      </c>
      <c r="ET42" s="156">
        <f t="shared" si="308"/>
        <v>6.5000000000000008E-5</v>
      </c>
      <c r="EU42" s="156">
        <f t="shared" si="308"/>
        <v>6.5000000000000008E-5</v>
      </c>
      <c r="EV42" s="156">
        <f t="shared" si="308"/>
        <v>6.5000000000000008E-5</v>
      </c>
      <c r="EW42" s="156">
        <f t="shared" si="308"/>
        <v>6.5000000000000008E-5</v>
      </c>
      <c r="EX42" s="156">
        <f t="shared" si="308"/>
        <v>6.5000000000000008E-5</v>
      </c>
      <c r="EY42" s="156">
        <f t="shared" si="308"/>
        <v>6.5000000000000008E-5</v>
      </c>
      <c r="EZ42" s="156">
        <f t="shared" si="308"/>
        <v>6.5000000000000008E-5</v>
      </c>
      <c r="FA42" s="156">
        <f t="shared" si="308"/>
        <v>6.5000000000000008E-5</v>
      </c>
      <c r="FB42" s="156">
        <f t="shared" si="308"/>
        <v>6.5000000000000008E-5</v>
      </c>
      <c r="FC42" s="156">
        <f t="shared" si="308"/>
        <v>6.5000000000000008E-5</v>
      </c>
      <c r="FD42" s="156">
        <f t="shared" si="308"/>
        <v>6.5000000000000008E-5</v>
      </c>
      <c r="FE42" s="156">
        <f t="shared" si="308"/>
        <v>6.5000000000000008E-5</v>
      </c>
      <c r="FF42" s="156">
        <f t="shared" si="308"/>
        <v>6.5000000000000008E-5</v>
      </c>
      <c r="FG42" s="156">
        <f t="shared" si="308"/>
        <v>6.5000000000000008E-5</v>
      </c>
      <c r="FH42" s="156">
        <f t="shared" si="308"/>
        <v>6.5000000000000008E-5</v>
      </c>
      <c r="FI42" s="156">
        <f t="shared" si="308"/>
        <v>6.5000000000000008E-5</v>
      </c>
      <c r="FJ42" s="156">
        <f t="shared" si="308"/>
        <v>6.5000000000000008E-5</v>
      </c>
      <c r="FK42" s="156">
        <f t="shared" si="308"/>
        <v>6.5000000000000008E-5</v>
      </c>
      <c r="FL42" s="156">
        <f t="shared" si="308"/>
        <v>6.5000000000000008E-5</v>
      </c>
      <c r="FM42" s="157">
        <f>0.95%*0.3/30</f>
        <v>9.4999999999999992E-5</v>
      </c>
      <c r="FN42" s="156">
        <f>FM42</f>
        <v>9.4999999999999992E-5</v>
      </c>
      <c r="FO42" s="156">
        <f t="shared" ref="FO42:GP42" si="309">FN42</f>
        <v>9.4999999999999992E-5</v>
      </c>
      <c r="FP42" s="156">
        <f t="shared" si="309"/>
        <v>9.4999999999999992E-5</v>
      </c>
      <c r="FQ42" s="156">
        <f t="shared" si="309"/>
        <v>9.4999999999999992E-5</v>
      </c>
      <c r="FR42" s="156">
        <f t="shared" si="309"/>
        <v>9.4999999999999992E-5</v>
      </c>
      <c r="FS42" s="156">
        <f t="shared" si="309"/>
        <v>9.4999999999999992E-5</v>
      </c>
      <c r="FT42" s="156">
        <f t="shared" si="309"/>
        <v>9.4999999999999992E-5</v>
      </c>
      <c r="FU42" s="156">
        <f t="shared" si="309"/>
        <v>9.4999999999999992E-5</v>
      </c>
      <c r="FV42" s="156">
        <f t="shared" si="309"/>
        <v>9.4999999999999992E-5</v>
      </c>
      <c r="FW42" s="156">
        <f t="shared" si="309"/>
        <v>9.4999999999999992E-5</v>
      </c>
      <c r="FX42" s="156">
        <f t="shared" si="309"/>
        <v>9.4999999999999992E-5</v>
      </c>
      <c r="FY42" s="156">
        <f t="shared" si="309"/>
        <v>9.4999999999999992E-5</v>
      </c>
      <c r="FZ42" s="156">
        <f t="shared" si="309"/>
        <v>9.4999999999999992E-5</v>
      </c>
      <c r="GA42" s="156">
        <f t="shared" si="309"/>
        <v>9.4999999999999992E-5</v>
      </c>
      <c r="GB42" s="156">
        <f t="shared" si="309"/>
        <v>9.4999999999999992E-5</v>
      </c>
      <c r="GC42" s="156">
        <f t="shared" si="309"/>
        <v>9.4999999999999992E-5</v>
      </c>
      <c r="GD42" s="156">
        <f t="shared" si="309"/>
        <v>9.4999999999999992E-5</v>
      </c>
      <c r="GE42" s="156">
        <f t="shared" si="309"/>
        <v>9.4999999999999992E-5</v>
      </c>
      <c r="GF42" s="156">
        <f t="shared" si="309"/>
        <v>9.4999999999999992E-5</v>
      </c>
      <c r="GG42" s="156">
        <f t="shared" si="309"/>
        <v>9.4999999999999992E-5</v>
      </c>
      <c r="GH42" s="156">
        <f t="shared" si="309"/>
        <v>9.4999999999999992E-5</v>
      </c>
      <c r="GI42" s="156">
        <f t="shared" si="309"/>
        <v>9.4999999999999992E-5</v>
      </c>
      <c r="GJ42" s="156">
        <f t="shared" si="309"/>
        <v>9.4999999999999992E-5</v>
      </c>
      <c r="GK42" s="156">
        <f t="shared" si="309"/>
        <v>9.4999999999999992E-5</v>
      </c>
      <c r="GL42" s="156">
        <f t="shared" si="309"/>
        <v>9.4999999999999992E-5</v>
      </c>
      <c r="GM42" s="156">
        <f t="shared" si="309"/>
        <v>9.4999999999999992E-5</v>
      </c>
      <c r="GN42" s="156">
        <f t="shared" si="309"/>
        <v>9.4999999999999992E-5</v>
      </c>
      <c r="GO42" s="156">
        <f t="shared" si="309"/>
        <v>9.4999999999999992E-5</v>
      </c>
      <c r="GP42" s="156">
        <f t="shared" si="309"/>
        <v>9.4999999999999992E-5</v>
      </c>
      <c r="GQ42" s="157">
        <f>1.05%*0.2/30</f>
        <v>7.0000000000000007E-5</v>
      </c>
      <c r="GR42" s="156">
        <f>GQ42</f>
        <v>7.0000000000000007E-5</v>
      </c>
      <c r="GS42" s="156">
        <f t="shared" ref="GS42:HT42" si="310">GR42</f>
        <v>7.0000000000000007E-5</v>
      </c>
      <c r="GT42" s="156">
        <f t="shared" si="310"/>
        <v>7.0000000000000007E-5</v>
      </c>
      <c r="GU42" s="156">
        <f t="shared" si="310"/>
        <v>7.0000000000000007E-5</v>
      </c>
      <c r="GV42" s="156">
        <f t="shared" si="310"/>
        <v>7.0000000000000007E-5</v>
      </c>
      <c r="GW42" s="156">
        <f t="shared" si="310"/>
        <v>7.0000000000000007E-5</v>
      </c>
      <c r="GX42" s="156">
        <f t="shared" si="310"/>
        <v>7.0000000000000007E-5</v>
      </c>
      <c r="GY42" s="156">
        <f t="shared" si="310"/>
        <v>7.0000000000000007E-5</v>
      </c>
      <c r="GZ42" s="156">
        <f t="shared" si="310"/>
        <v>7.0000000000000007E-5</v>
      </c>
      <c r="HA42" s="156">
        <f t="shared" si="310"/>
        <v>7.0000000000000007E-5</v>
      </c>
      <c r="HB42" s="156">
        <f t="shared" si="310"/>
        <v>7.0000000000000007E-5</v>
      </c>
      <c r="HC42" s="156">
        <f t="shared" si="310"/>
        <v>7.0000000000000007E-5</v>
      </c>
      <c r="HD42" s="156">
        <f t="shared" si="310"/>
        <v>7.0000000000000007E-5</v>
      </c>
      <c r="HE42" s="156">
        <f t="shared" si="310"/>
        <v>7.0000000000000007E-5</v>
      </c>
      <c r="HF42" s="156">
        <f t="shared" si="310"/>
        <v>7.0000000000000007E-5</v>
      </c>
      <c r="HG42" s="156">
        <f t="shared" si="310"/>
        <v>7.0000000000000007E-5</v>
      </c>
      <c r="HH42" s="156">
        <f t="shared" si="310"/>
        <v>7.0000000000000007E-5</v>
      </c>
      <c r="HI42" s="156">
        <f t="shared" si="310"/>
        <v>7.0000000000000007E-5</v>
      </c>
      <c r="HJ42" s="156">
        <f t="shared" si="310"/>
        <v>7.0000000000000007E-5</v>
      </c>
      <c r="HK42" s="156">
        <f t="shared" si="310"/>
        <v>7.0000000000000007E-5</v>
      </c>
      <c r="HL42" s="156">
        <f t="shared" si="310"/>
        <v>7.0000000000000007E-5</v>
      </c>
      <c r="HM42" s="156">
        <f t="shared" si="310"/>
        <v>7.0000000000000007E-5</v>
      </c>
      <c r="HN42" s="156">
        <f t="shared" si="310"/>
        <v>7.0000000000000007E-5</v>
      </c>
      <c r="HO42" s="156">
        <f t="shared" si="310"/>
        <v>7.0000000000000007E-5</v>
      </c>
      <c r="HP42" s="156">
        <f t="shared" si="310"/>
        <v>7.0000000000000007E-5</v>
      </c>
      <c r="HQ42" s="156">
        <f t="shared" si="310"/>
        <v>7.0000000000000007E-5</v>
      </c>
      <c r="HR42" s="156">
        <f t="shared" si="310"/>
        <v>7.0000000000000007E-5</v>
      </c>
      <c r="HS42" s="156">
        <f t="shared" si="310"/>
        <v>7.0000000000000007E-5</v>
      </c>
      <c r="HT42" s="156">
        <f t="shared" si="310"/>
        <v>7.0000000000000007E-5</v>
      </c>
      <c r="HU42" s="157">
        <f>1.2%*0.2/30</f>
        <v>8.0000000000000007E-5</v>
      </c>
      <c r="HV42" s="156">
        <f>HU42</f>
        <v>8.0000000000000007E-5</v>
      </c>
      <c r="HW42" s="156">
        <f t="shared" ref="HW42:IX42" si="311">HV42</f>
        <v>8.0000000000000007E-5</v>
      </c>
      <c r="HX42" s="156">
        <f t="shared" si="311"/>
        <v>8.0000000000000007E-5</v>
      </c>
      <c r="HY42" s="156">
        <f t="shared" si="311"/>
        <v>8.0000000000000007E-5</v>
      </c>
      <c r="HZ42" s="156">
        <f t="shared" si="311"/>
        <v>8.0000000000000007E-5</v>
      </c>
      <c r="IA42" s="156">
        <f t="shared" si="311"/>
        <v>8.0000000000000007E-5</v>
      </c>
      <c r="IB42" s="156">
        <f t="shared" si="311"/>
        <v>8.0000000000000007E-5</v>
      </c>
      <c r="IC42" s="156">
        <f t="shared" si="311"/>
        <v>8.0000000000000007E-5</v>
      </c>
      <c r="ID42" s="156">
        <f t="shared" si="311"/>
        <v>8.0000000000000007E-5</v>
      </c>
      <c r="IE42" s="156">
        <f t="shared" si="311"/>
        <v>8.0000000000000007E-5</v>
      </c>
      <c r="IF42" s="156">
        <f t="shared" si="311"/>
        <v>8.0000000000000007E-5</v>
      </c>
      <c r="IG42" s="156">
        <f t="shared" si="311"/>
        <v>8.0000000000000007E-5</v>
      </c>
      <c r="IH42" s="156">
        <f t="shared" si="311"/>
        <v>8.0000000000000007E-5</v>
      </c>
      <c r="II42" s="156">
        <f t="shared" si="311"/>
        <v>8.0000000000000007E-5</v>
      </c>
      <c r="IJ42" s="156">
        <f t="shared" si="311"/>
        <v>8.0000000000000007E-5</v>
      </c>
      <c r="IK42" s="156">
        <f t="shared" si="311"/>
        <v>8.0000000000000007E-5</v>
      </c>
      <c r="IL42" s="156">
        <f t="shared" si="311"/>
        <v>8.0000000000000007E-5</v>
      </c>
      <c r="IM42" s="156">
        <f t="shared" si="311"/>
        <v>8.0000000000000007E-5</v>
      </c>
      <c r="IN42" s="156">
        <f t="shared" si="311"/>
        <v>8.0000000000000007E-5</v>
      </c>
      <c r="IO42" s="156">
        <f t="shared" si="311"/>
        <v>8.0000000000000007E-5</v>
      </c>
      <c r="IP42" s="156">
        <f t="shared" si="311"/>
        <v>8.0000000000000007E-5</v>
      </c>
      <c r="IQ42" s="156">
        <f t="shared" si="311"/>
        <v>8.0000000000000007E-5</v>
      </c>
      <c r="IR42" s="156">
        <f t="shared" si="311"/>
        <v>8.0000000000000007E-5</v>
      </c>
      <c r="IS42" s="156">
        <f t="shared" si="311"/>
        <v>8.0000000000000007E-5</v>
      </c>
      <c r="IT42" s="156">
        <f t="shared" si="311"/>
        <v>8.0000000000000007E-5</v>
      </c>
      <c r="IU42" s="156">
        <f t="shared" si="311"/>
        <v>8.0000000000000007E-5</v>
      </c>
      <c r="IV42" s="156">
        <f t="shared" si="311"/>
        <v>8.0000000000000007E-5</v>
      </c>
      <c r="IW42" s="156">
        <f t="shared" si="311"/>
        <v>8.0000000000000007E-5</v>
      </c>
      <c r="IX42" s="156">
        <f t="shared" si="311"/>
        <v>8.0000000000000007E-5</v>
      </c>
      <c r="IY42" s="157">
        <f>1.2%*0.2/30</f>
        <v>8.0000000000000007E-5</v>
      </c>
      <c r="IZ42" s="156">
        <f>IY42</f>
        <v>8.0000000000000007E-5</v>
      </c>
      <c r="JA42" s="156">
        <f t="shared" ref="JA42:KB42" si="312">IZ42</f>
        <v>8.0000000000000007E-5</v>
      </c>
      <c r="JB42" s="156">
        <f t="shared" si="312"/>
        <v>8.0000000000000007E-5</v>
      </c>
      <c r="JC42" s="156">
        <f t="shared" si="312"/>
        <v>8.0000000000000007E-5</v>
      </c>
      <c r="JD42" s="156">
        <f t="shared" si="312"/>
        <v>8.0000000000000007E-5</v>
      </c>
      <c r="JE42" s="156">
        <f t="shared" si="312"/>
        <v>8.0000000000000007E-5</v>
      </c>
      <c r="JF42" s="156">
        <f t="shared" si="312"/>
        <v>8.0000000000000007E-5</v>
      </c>
      <c r="JG42" s="156">
        <f t="shared" si="312"/>
        <v>8.0000000000000007E-5</v>
      </c>
      <c r="JH42" s="156">
        <f t="shared" si="312"/>
        <v>8.0000000000000007E-5</v>
      </c>
      <c r="JI42" s="156">
        <f t="shared" si="312"/>
        <v>8.0000000000000007E-5</v>
      </c>
      <c r="JJ42" s="156">
        <f t="shared" si="312"/>
        <v>8.0000000000000007E-5</v>
      </c>
      <c r="JK42" s="156">
        <f t="shared" si="312"/>
        <v>8.0000000000000007E-5</v>
      </c>
      <c r="JL42" s="156">
        <f t="shared" si="312"/>
        <v>8.0000000000000007E-5</v>
      </c>
      <c r="JM42" s="156">
        <f t="shared" si="312"/>
        <v>8.0000000000000007E-5</v>
      </c>
      <c r="JN42" s="156">
        <f t="shared" si="312"/>
        <v>8.0000000000000007E-5</v>
      </c>
      <c r="JO42" s="156">
        <f t="shared" si="312"/>
        <v>8.0000000000000007E-5</v>
      </c>
      <c r="JP42" s="156">
        <f t="shared" si="312"/>
        <v>8.0000000000000007E-5</v>
      </c>
      <c r="JQ42" s="156">
        <f t="shared" si="312"/>
        <v>8.0000000000000007E-5</v>
      </c>
      <c r="JR42" s="156">
        <f t="shared" si="312"/>
        <v>8.0000000000000007E-5</v>
      </c>
      <c r="JS42" s="156">
        <f t="shared" si="312"/>
        <v>8.0000000000000007E-5</v>
      </c>
      <c r="JT42" s="156">
        <f t="shared" si="312"/>
        <v>8.0000000000000007E-5</v>
      </c>
      <c r="JU42" s="156">
        <f t="shared" si="312"/>
        <v>8.0000000000000007E-5</v>
      </c>
      <c r="JV42" s="156">
        <f t="shared" si="312"/>
        <v>8.0000000000000007E-5</v>
      </c>
      <c r="JW42" s="156">
        <f t="shared" si="312"/>
        <v>8.0000000000000007E-5</v>
      </c>
      <c r="JX42" s="156">
        <f t="shared" si="312"/>
        <v>8.0000000000000007E-5</v>
      </c>
      <c r="JY42" s="156">
        <f t="shared" si="312"/>
        <v>8.0000000000000007E-5</v>
      </c>
      <c r="JZ42" s="156">
        <f t="shared" si="312"/>
        <v>8.0000000000000007E-5</v>
      </c>
      <c r="KA42" s="156">
        <f t="shared" si="312"/>
        <v>8.0000000000000007E-5</v>
      </c>
      <c r="KB42" s="156">
        <f t="shared" si="312"/>
        <v>8.0000000000000007E-5</v>
      </c>
      <c r="KC42" s="214">
        <f>1.55%+0.2391%</f>
        <v>1.7891000000000001E-2</v>
      </c>
      <c r="KD42" s="214"/>
      <c r="KE42" s="214"/>
      <c r="KF42" s="214">
        <f>1.55%+0.2391%</f>
        <v>1.7891000000000001E-2</v>
      </c>
      <c r="KG42" s="214"/>
      <c r="KH42" s="214"/>
      <c r="KI42" s="214">
        <f>1.55%+0.2391%</f>
        <v>1.7891000000000001E-2</v>
      </c>
      <c r="KJ42" s="214"/>
      <c r="KK42" s="214"/>
      <c r="KL42" s="214">
        <f>1.25%+0.2391%</f>
        <v>1.4891000000000001E-2</v>
      </c>
      <c r="KM42" s="214"/>
      <c r="KN42" s="214"/>
      <c r="KO42" s="214">
        <f>1.25%+0.2391%</f>
        <v>1.4891000000000001E-2</v>
      </c>
      <c r="KP42" s="214"/>
      <c r="KQ42" s="214"/>
      <c r="KR42" s="214">
        <f>1.2%+0.2391%</f>
        <v>1.4391000000000001E-2</v>
      </c>
      <c r="KS42" s="214"/>
      <c r="KT42" s="214"/>
      <c r="KU42" s="214">
        <f>1.05%+0.2391%</f>
        <v>1.2891E-2</v>
      </c>
      <c r="KV42" s="214"/>
      <c r="KW42" s="214"/>
      <c r="KX42" s="214">
        <f>1.011%+0.2391%</f>
        <v>1.2500999999999998E-2</v>
      </c>
      <c r="KY42" s="214"/>
      <c r="KZ42" s="216"/>
      <c r="LA42" s="233">
        <f>1%+0.2391%</f>
        <v>1.2390999999999999E-2</v>
      </c>
      <c r="LB42" s="214"/>
      <c r="LC42" s="234"/>
      <c r="LD42" s="215">
        <f>0.8%+0.2391%</f>
        <v>1.0391000000000001E-2</v>
      </c>
      <c r="LE42" s="214"/>
      <c r="LF42" s="214"/>
      <c r="LG42" s="214">
        <f>0.8%+0.2391%</f>
        <v>1.0391000000000001E-2</v>
      </c>
      <c r="LH42" s="214"/>
      <c r="LI42" s="214"/>
      <c r="LJ42" s="214">
        <f>0.5%+0.2391%</f>
        <v>7.391E-3</v>
      </c>
      <c r="LK42" s="214"/>
      <c r="LL42" s="214"/>
      <c r="LM42" s="214">
        <f>0.5%+0.2391%</f>
        <v>7.391E-3</v>
      </c>
      <c r="LN42" s="214"/>
      <c r="LO42" s="214"/>
      <c r="LP42" s="214">
        <f>0.5%+0.2391%</f>
        <v>7.391E-3</v>
      </c>
      <c r="LQ42" s="214"/>
      <c r="LR42" s="214"/>
      <c r="LS42" s="214">
        <f>0.3%+0.2391%</f>
        <v>5.391E-3</v>
      </c>
      <c r="LT42" s="214"/>
      <c r="LU42" s="214"/>
      <c r="LV42" s="214">
        <f>0.3%+0.2391%</f>
        <v>5.391E-3</v>
      </c>
      <c r="LW42" s="214"/>
      <c r="LX42" s="214"/>
      <c r="LY42" s="214">
        <f>0.2%+0.2391%</f>
        <v>4.3909999999999999E-3</v>
      </c>
      <c r="LZ42" s="214"/>
      <c r="MA42" s="214"/>
      <c r="MB42" s="214">
        <f>0.2%+0.2391%</f>
        <v>4.3909999999999999E-3</v>
      </c>
      <c r="MC42" s="214"/>
      <c r="MD42" s="214"/>
      <c r="ME42" s="214">
        <f>0.1%+0.2398%</f>
        <v>3.398E-3</v>
      </c>
      <c r="MF42" s="214"/>
      <c r="MG42" s="214"/>
      <c r="MH42" s="214"/>
      <c r="MI42" s="214"/>
      <c r="MJ42" s="214"/>
      <c r="MK42" s="214"/>
      <c r="ML42" s="214"/>
      <c r="MM42" s="214"/>
      <c r="MN42" s="66"/>
      <c r="MO42" s="67"/>
      <c r="MP42" s="68"/>
      <c r="MQ42" s="66"/>
      <c r="MR42" s="67"/>
      <c r="MS42" s="68"/>
      <c r="MT42" s="66"/>
      <c r="MU42" s="67"/>
      <c r="MV42" s="68"/>
      <c r="MW42" s="66"/>
      <c r="MX42" s="67"/>
      <c r="MY42" s="68"/>
      <c r="MZ42" s="66"/>
      <c r="NA42" s="67"/>
      <c r="NB42" s="68"/>
      <c r="NC42" s="67"/>
      <c r="ND42" s="67"/>
      <c r="NE42" s="72"/>
      <c r="NG42" s="275">
        <f>SUM(R42:NE42)</f>
        <v>0.21609000000000009</v>
      </c>
      <c r="NH42" s="1"/>
      <c r="NI42" s="1"/>
      <c r="NJ42" s="1"/>
      <c r="NK42" s="1"/>
    </row>
    <row r="43" spans="5:375" s="6" customFormat="1" ht="6.95" customHeight="1">
      <c r="F43" s="196"/>
      <c r="G43" s="197"/>
      <c r="H43" s="52">
        <v>2</v>
      </c>
      <c r="L43" s="292"/>
      <c r="M43" s="295"/>
      <c r="N43" s="296"/>
      <c r="O43" s="298"/>
      <c r="P43" s="315"/>
      <c r="Q43" s="237"/>
      <c r="R43" s="73"/>
      <c r="S43" s="61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1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3"/>
      <c r="CA43" s="61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1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62"/>
      <c r="DX43" s="62"/>
      <c r="DY43" s="62"/>
      <c r="DZ43" s="62"/>
      <c r="EA43" s="62"/>
      <c r="EB43" s="62"/>
      <c r="EC43" s="62"/>
      <c r="ED43" s="62"/>
      <c r="EE43" s="62"/>
      <c r="EF43" s="62"/>
      <c r="EG43" s="62"/>
      <c r="EH43" s="62"/>
      <c r="EI43" s="61"/>
      <c r="EJ43" s="62"/>
      <c r="EK43" s="62"/>
      <c r="EL43" s="62"/>
      <c r="EM43" s="62"/>
      <c r="EN43" s="62"/>
      <c r="EO43" s="62"/>
      <c r="EP43" s="62"/>
      <c r="EQ43" s="62"/>
      <c r="ER43" s="62"/>
      <c r="ES43" s="62"/>
      <c r="ET43" s="62"/>
      <c r="EU43" s="62"/>
      <c r="EV43" s="62"/>
      <c r="EW43" s="62"/>
      <c r="EX43" s="62"/>
      <c r="EY43" s="62"/>
      <c r="EZ43" s="62"/>
      <c r="FA43" s="62"/>
      <c r="FB43" s="62"/>
      <c r="FC43" s="62"/>
      <c r="FD43" s="62"/>
      <c r="FE43" s="62"/>
      <c r="FF43" s="62"/>
      <c r="FG43" s="62"/>
      <c r="FH43" s="62"/>
      <c r="FI43" s="62"/>
      <c r="FJ43" s="62"/>
      <c r="FK43" s="62"/>
      <c r="FL43" s="62"/>
      <c r="FM43" s="61"/>
      <c r="FN43" s="62"/>
      <c r="FO43" s="62"/>
      <c r="FP43" s="62"/>
      <c r="FQ43" s="62"/>
      <c r="FR43" s="62"/>
      <c r="FS43" s="62"/>
      <c r="FT43" s="62"/>
      <c r="FU43" s="62"/>
      <c r="FV43" s="62"/>
      <c r="FW43" s="62"/>
      <c r="FX43" s="62"/>
      <c r="FY43" s="62"/>
      <c r="FZ43" s="62"/>
      <c r="GA43" s="62"/>
      <c r="GB43" s="62"/>
      <c r="GC43" s="62"/>
      <c r="GD43" s="62"/>
      <c r="GE43" s="62"/>
      <c r="GF43" s="62"/>
      <c r="GG43" s="62"/>
      <c r="GH43" s="62"/>
      <c r="GI43" s="62"/>
      <c r="GJ43" s="62"/>
      <c r="GK43" s="62"/>
      <c r="GL43" s="62"/>
      <c r="GM43" s="62"/>
      <c r="GN43" s="62"/>
      <c r="GO43" s="62"/>
      <c r="GP43" s="62"/>
      <c r="GQ43" s="61"/>
      <c r="GR43" s="62"/>
      <c r="GS43" s="62"/>
      <c r="GT43" s="62"/>
      <c r="GU43" s="62"/>
      <c r="GV43" s="62"/>
      <c r="GW43" s="62"/>
      <c r="GX43" s="62"/>
      <c r="GY43" s="62"/>
      <c r="GZ43" s="62"/>
      <c r="HA43" s="62"/>
      <c r="HB43" s="62"/>
      <c r="HC43" s="62"/>
      <c r="HD43" s="62"/>
      <c r="HE43" s="62"/>
      <c r="HF43" s="62"/>
      <c r="HG43" s="62"/>
      <c r="HH43" s="62"/>
      <c r="HI43" s="62"/>
      <c r="HJ43" s="62"/>
      <c r="HK43" s="62"/>
      <c r="HL43" s="62"/>
      <c r="HM43" s="62"/>
      <c r="HN43" s="62"/>
      <c r="HO43" s="62"/>
      <c r="HP43" s="62"/>
      <c r="HQ43" s="62"/>
      <c r="HR43" s="62"/>
      <c r="HS43" s="62"/>
      <c r="HT43" s="62"/>
      <c r="HU43" s="61"/>
      <c r="HV43" s="62"/>
      <c r="HW43" s="62"/>
      <c r="HX43" s="62"/>
      <c r="HY43" s="62"/>
      <c r="HZ43" s="62"/>
      <c r="IA43" s="62"/>
      <c r="IB43" s="62"/>
      <c r="IC43" s="62"/>
      <c r="ID43" s="62"/>
      <c r="IE43" s="62"/>
      <c r="IF43" s="62"/>
      <c r="IG43" s="62"/>
      <c r="IH43" s="62"/>
      <c r="II43" s="62"/>
      <c r="IJ43" s="62"/>
      <c r="IK43" s="62"/>
      <c r="IL43" s="62"/>
      <c r="IM43" s="62"/>
      <c r="IN43" s="62"/>
      <c r="IO43" s="62"/>
      <c r="IP43" s="62"/>
      <c r="IQ43" s="62"/>
      <c r="IR43" s="62"/>
      <c r="IS43" s="62"/>
      <c r="IT43" s="62"/>
      <c r="IU43" s="62"/>
      <c r="IV43" s="62"/>
      <c r="IW43" s="62"/>
      <c r="IX43" s="62"/>
      <c r="IY43" s="61"/>
      <c r="IZ43" s="62"/>
      <c r="JA43" s="62"/>
      <c r="JB43" s="62"/>
      <c r="JC43" s="62"/>
      <c r="JD43" s="62"/>
      <c r="JE43" s="62"/>
      <c r="JF43" s="62"/>
      <c r="JG43" s="62"/>
      <c r="JH43" s="62"/>
      <c r="JI43" s="62"/>
      <c r="JJ43" s="62"/>
      <c r="JK43" s="62"/>
      <c r="JL43" s="62"/>
      <c r="JM43" s="62"/>
      <c r="JN43" s="62"/>
      <c r="JO43" s="62"/>
      <c r="JP43" s="62"/>
      <c r="JQ43" s="62"/>
      <c r="JR43" s="62"/>
      <c r="JS43" s="62"/>
      <c r="JT43" s="62"/>
      <c r="JU43" s="62"/>
      <c r="JV43" s="62"/>
      <c r="JW43" s="62"/>
      <c r="JX43" s="62"/>
      <c r="JY43" s="62"/>
      <c r="JZ43" s="62"/>
      <c r="KA43" s="62"/>
      <c r="KB43" s="62"/>
      <c r="KC43" s="61"/>
      <c r="KD43" s="62"/>
      <c r="KE43" s="63"/>
      <c r="KF43" s="61"/>
      <c r="KG43" s="62"/>
      <c r="KH43" s="63"/>
      <c r="KI43" s="61"/>
      <c r="KJ43" s="62"/>
      <c r="KK43" s="63"/>
      <c r="KL43" s="61"/>
      <c r="KM43" s="62"/>
      <c r="KN43" s="63"/>
      <c r="KO43" s="61"/>
      <c r="KP43" s="62"/>
      <c r="KQ43" s="63"/>
      <c r="KR43" s="61"/>
      <c r="KS43" s="62"/>
      <c r="KT43" s="63"/>
      <c r="KU43" s="61"/>
      <c r="KV43" s="62"/>
      <c r="KW43" s="63"/>
      <c r="KX43" s="61"/>
      <c r="KY43" s="62"/>
      <c r="KZ43" s="63"/>
      <c r="LA43" s="61"/>
      <c r="LB43" s="62"/>
      <c r="LC43" s="63"/>
      <c r="LD43" s="61"/>
      <c r="LE43" s="62"/>
      <c r="LF43" s="63"/>
      <c r="LG43" s="61"/>
      <c r="LH43" s="62"/>
      <c r="LI43" s="63"/>
      <c r="LJ43" s="61"/>
      <c r="LK43" s="62"/>
      <c r="LL43" s="63"/>
      <c r="LM43" s="61"/>
      <c r="LN43" s="62"/>
      <c r="LO43" s="63"/>
      <c r="LP43" s="61"/>
      <c r="LQ43" s="62"/>
      <c r="LR43" s="63"/>
      <c r="LS43" s="61"/>
      <c r="LT43" s="62"/>
      <c r="LU43" s="63"/>
      <c r="LV43" s="61"/>
      <c r="LW43" s="62"/>
      <c r="LX43" s="63"/>
      <c r="LY43" s="61"/>
      <c r="LZ43" s="62"/>
      <c r="MA43" s="63"/>
      <c r="MB43" s="61"/>
      <c r="MC43" s="62"/>
      <c r="MD43" s="63"/>
      <c r="ME43" s="61"/>
      <c r="MF43" s="62"/>
      <c r="MG43" s="63"/>
      <c r="MH43" s="66"/>
      <c r="MI43" s="67"/>
      <c r="MJ43" s="68"/>
      <c r="MK43" s="67"/>
      <c r="ML43" s="67"/>
      <c r="MM43" s="67"/>
      <c r="MN43" s="66"/>
      <c r="MO43" s="67"/>
      <c r="MP43" s="68"/>
      <c r="MQ43" s="66"/>
      <c r="MR43" s="67"/>
      <c r="MS43" s="68"/>
      <c r="MT43" s="66"/>
      <c r="MU43" s="67"/>
      <c r="MV43" s="68"/>
      <c r="MW43" s="66"/>
      <c r="MX43" s="67"/>
      <c r="MY43" s="68"/>
      <c r="MZ43" s="66"/>
      <c r="NA43" s="67"/>
      <c r="NB43" s="68"/>
      <c r="NC43" s="67"/>
      <c r="ND43" s="67"/>
      <c r="NE43" s="72"/>
      <c r="NG43" s="275"/>
      <c r="NH43" s="1"/>
      <c r="NI43" s="1"/>
      <c r="NJ43" s="1"/>
      <c r="NK43" s="1"/>
    </row>
    <row r="44" spans="5:375" s="6" customFormat="1" ht="9.9499999999999993" customHeight="1">
      <c r="F44" s="196">
        <f t="shared" ref="F44" si="313">NG44</f>
        <v>6.7000000000000024E-4</v>
      </c>
      <c r="G44" s="197">
        <f>Q44-F44</f>
        <v>0</v>
      </c>
      <c r="H44" s="27">
        <v>1</v>
      </c>
      <c r="L44" s="339"/>
      <c r="M44" s="370" t="s">
        <v>263</v>
      </c>
      <c r="N44" s="356">
        <v>1</v>
      </c>
      <c r="O44" s="352" t="s">
        <v>264</v>
      </c>
      <c r="P44" s="307">
        <v>138957</v>
      </c>
      <c r="Q44" s="236">
        <f>ROUND(P44/$P$256,5)</f>
        <v>6.7000000000000002E-4</v>
      </c>
      <c r="R44" s="21"/>
      <c r="S44" s="142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56">
        <f>0.017%*0.3/30</f>
        <v>1.7E-6</v>
      </c>
      <c r="AX44" s="156">
        <f>AW44</f>
        <v>1.7E-6</v>
      </c>
      <c r="AY44" s="156">
        <f t="shared" ref="AY44:BZ44" si="314">AX44</f>
        <v>1.7E-6</v>
      </c>
      <c r="AZ44" s="156">
        <f t="shared" si="314"/>
        <v>1.7E-6</v>
      </c>
      <c r="BA44" s="156">
        <f t="shared" si="314"/>
        <v>1.7E-6</v>
      </c>
      <c r="BB44" s="156">
        <f t="shared" si="314"/>
        <v>1.7E-6</v>
      </c>
      <c r="BC44" s="156">
        <f t="shared" si="314"/>
        <v>1.7E-6</v>
      </c>
      <c r="BD44" s="156">
        <f t="shared" si="314"/>
        <v>1.7E-6</v>
      </c>
      <c r="BE44" s="156">
        <f t="shared" si="314"/>
        <v>1.7E-6</v>
      </c>
      <c r="BF44" s="156">
        <f t="shared" si="314"/>
        <v>1.7E-6</v>
      </c>
      <c r="BG44" s="156">
        <f t="shared" si="314"/>
        <v>1.7E-6</v>
      </c>
      <c r="BH44" s="156">
        <f t="shared" si="314"/>
        <v>1.7E-6</v>
      </c>
      <c r="BI44" s="156">
        <f t="shared" si="314"/>
        <v>1.7E-6</v>
      </c>
      <c r="BJ44" s="156">
        <f t="shared" si="314"/>
        <v>1.7E-6</v>
      </c>
      <c r="BK44" s="156">
        <f t="shared" si="314"/>
        <v>1.7E-6</v>
      </c>
      <c r="BL44" s="156">
        <f t="shared" si="314"/>
        <v>1.7E-6</v>
      </c>
      <c r="BM44" s="156">
        <f t="shared" si="314"/>
        <v>1.7E-6</v>
      </c>
      <c r="BN44" s="156">
        <f t="shared" si="314"/>
        <v>1.7E-6</v>
      </c>
      <c r="BO44" s="156">
        <f t="shared" si="314"/>
        <v>1.7E-6</v>
      </c>
      <c r="BP44" s="156">
        <f t="shared" si="314"/>
        <v>1.7E-6</v>
      </c>
      <c r="BQ44" s="156">
        <f t="shared" si="314"/>
        <v>1.7E-6</v>
      </c>
      <c r="BR44" s="156">
        <f t="shared" si="314"/>
        <v>1.7E-6</v>
      </c>
      <c r="BS44" s="156">
        <f t="shared" si="314"/>
        <v>1.7E-6</v>
      </c>
      <c r="BT44" s="156">
        <f t="shared" si="314"/>
        <v>1.7E-6</v>
      </c>
      <c r="BU44" s="156">
        <f t="shared" si="314"/>
        <v>1.7E-6</v>
      </c>
      <c r="BV44" s="156">
        <f t="shared" si="314"/>
        <v>1.7E-6</v>
      </c>
      <c r="BW44" s="156">
        <f t="shared" si="314"/>
        <v>1.7E-6</v>
      </c>
      <c r="BX44" s="156">
        <f t="shared" si="314"/>
        <v>1.7E-6</v>
      </c>
      <c r="BY44" s="156">
        <f t="shared" si="314"/>
        <v>1.7E-6</v>
      </c>
      <c r="BZ44" s="156">
        <f t="shared" si="314"/>
        <v>1.7E-6</v>
      </c>
      <c r="CA44" s="156">
        <f>0.019%*0.3/30</f>
        <v>1.8999999999999996E-6</v>
      </c>
      <c r="CB44" s="156">
        <f>CA44</f>
        <v>1.8999999999999996E-6</v>
      </c>
      <c r="CC44" s="156">
        <f t="shared" ref="CC44:DD44" si="315">CB44</f>
        <v>1.8999999999999996E-6</v>
      </c>
      <c r="CD44" s="156">
        <f t="shared" si="315"/>
        <v>1.8999999999999996E-6</v>
      </c>
      <c r="CE44" s="156">
        <f t="shared" si="315"/>
        <v>1.8999999999999996E-6</v>
      </c>
      <c r="CF44" s="156">
        <f t="shared" si="315"/>
        <v>1.8999999999999996E-6</v>
      </c>
      <c r="CG44" s="156">
        <f t="shared" si="315"/>
        <v>1.8999999999999996E-6</v>
      </c>
      <c r="CH44" s="156">
        <f t="shared" si="315"/>
        <v>1.8999999999999996E-6</v>
      </c>
      <c r="CI44" s="156">
        <f t="shared" si="315"/>
        <v>1.8999999999999996E-6</v>
      </c>
      <c r="CJ44" s="156">
        <f t="shared" si="315"/>
        <v>1.8999999999999996E-6</v>
      </c>
      <c r="CK44" s="156">
        <f t="shared" si="315"/>
        <v>1.8999999999999996E-6</v>
      </c>
      <c r="CL44" s="156">
        <f t="shared" si="315"/>
        <v>1.8999999999999996E-6</v>
      </c>
      <c r="CM44" s="156">
        <f t="shared" si="315"/>
        <v>1.8999999999999996E-6</v>
      </c>
      <c r="CN44" s="156">
        <f t="shared" si="315"/>
        <v>1.8999999999999996E-6</v>
      </c>
      <c r="CO44" s="156">
        <f t="shared" si="315"/>
        <v>1.8999999999999996E-6</v>
      </c>
      <c r="CP44" s="156">
        <f t="shared" si="315"/>
        <v>1.8999999999999996E-6</v>
      </c>
      <c r="CQ44" s="156">
        <f t="shared" si="315"/>
        <v>1.8999999999999996E-6</v>
      </c>
      <c r="CR44" s="156">
        <f t="shared" si="315"/>
        <v>1.8999999999999996E-6</v>
      </c>
      <c r="CS44" s="156">
        <f t="shared" si="315"/>
        <v>1.8999999999999996E-6</v>
      </c>
      <c r="CT44" s="156">
        <f t="shared" si="315"/>
        <v>1.8999999999999996E-6</v>
      </c>
      <c r="CU44" s="156">
        <f t="shared" si="315"/>
        <v>1.8999999999999996E-6</v>
      </c>
      <c r="CV44" s="156">
        <f t="shared" si="315"/>
        <v>1.8999999999999996E-6</v>
      </c>
      <c r="CW44" s="156">
        <f t="shared" si="315"/>
        <v>1.8999999999999996E-6</v>
      </c>
      <c r="CX44" s="156">
        <f t="shared" si="315"/>
        <v>1.8999999999999996E-6</v>
      </c>
      <c r="CY44" s="156">
        <f t="shared" si="315"/>
        <v>1.8999999999999996E-6</v>
      </c>
      <c r="CZ44" s="156">
        <f t="shared" si="315"/>
        <v>1.8999999999999996E-6</v>
      </c>
      <c r="DA44" s="156">
        <f t="shared" si="315"/>
        <v>1.8999999999999996E-6</v>
      </c>
      <c r="DB44" s="156">
        <f t="shared" si="315"/>
        <v>1.8999999999999996E-6</v>
      </c>
      <c r="DC44" s="156">
        <f t="shared" si="315"/>
        <v>1.8999999999999996E-6</v>
      </c>
      <c r="DD44" s="156">
        <f t="shared" si="315"/>
        <v>1.8999999999999996E-6</v>
      </c>
      <c r="DE44" s="156">
        <f>0.001%*0.3/30</f>
        <v>1.0000000000000001E-7</v>
      </c>
      <c r="DF44" s="156">
        <f>DE44</f>
        <v>1.0000000000000001E-7</v>
      </c>
      <c r="DG44" s="156">
        <f t="shared" ref="DG44:EH44" si="316">DF44</f>
        <v>1.0000000000000001E-7</v>
      </c>
      <c r="DH44" s="156">
        <f t="shared" si="316"/>
        <v>1.0000000000000001E-7</v>
      </c>
      <c r="DI44" s="156">
        <f t="shared" si="316"/>
        <v>1.0000000000000001E-7</v>
      </c>
      <c r="DJ44" s="156">
        <f t="shared" si="316"/>
        <v>1.0000000000000001E-7</v>
      </c>
      <c r="DK44" s="156">
        <f t="shared" si="316"/>
        <v>1.0000000000000001E-7</v>
      </c>
      <c r="DL44" s="156">
        <f t="shared" si="316"/>
        <v>1.0000000000000001E-7</v>
      </c>
      <c r="DM44" s="156">
        <f t="shared" si="316"/>
        <v>1.0000000000000001E-7</v>
      </c>
      <c r="DN44" s="156">
        <f t="shared" si="316"/>
        <v>1.0000000000000001E-7</v>
      </c>
      <c r="DO44" s="156">
        <f t="shared" si="316"/>
        <v>1.0000000000000001E-7</v>
      </c>
      <c r="DP44" s="156">
        <f t="shared" si="316"/>
        <v>1.0000000000000001E-7</v>
      </c>
      <c r="DQ44" s="156">
        <f t="shared" si="316"/>
        <v>1.0000000000000001E-7</v>
      </c>
      <c r="DR44" s="156">
        <f t="shared" si="316"/>
        <v>1.0000000000000001E-7</v>
      </c>
      <c r="DS44" s="156">
        <f t="shared" si="316"/>
        <v>1.0000000000000001E-7</v>
      </c>
      <c r="DT44" s="156">
        <f t="shared" si="316"/>
        <v>1.0000000000000001E-7</v>
      </c>
      <c r="DU44" s="156">
        <f t="shared" si="316"/>
        <v>1.0000000000000001E-7</v>
      </c>
      <c r="DV44" s="156">
        <f t="shared" si="316"/>
        <v>1.0000000000000001E-7</v>
      </c>
      <c r="DW44" s="156">
        <f t="shared" si="316"/>
        <v>1.0000000000000001E-7</v>
      </c>
      <c r="DX44" s="156">
        <f t="shared" si="316"/>
        <v>1.0000000000000001E-7</v>
      </c>
      <c r="DY44" s="156">
        <f t="shared" si="316"/>
        <v>1.0000000000000001E-7</v>
      </c>
      <c r="DZ44" s="156">
        <f t="shared" si="316"/>
        <v>1.0000000000000001E-7</v>
      </c>
      <c r="EA44" s="156">
        <f t="shared" si="316"/>
        <v>1.0000000000000001E-7</v>
      </c>
      <c r="EB44" s="156">
        <f t="shared" si="316"/>
        <v>1.0000000000000001E-7</v>
      </c>
      <c r="EC44" s="156">
        <f t="shared" si="316"/>
        <v>1.0000000000000001E-7</v>
      </c>
      <c r="ED44" s="156">
        <f t="shared" si="316"/>
        <v>1.0000000000000001E-7</v>
      </c>
      <c r="EE44" s="156">
        <f t="shared" si="316"/>
        <v>1.0000000000000001E-7</v>
      </c>
      <c r="EF44" s="156">
        <f t="shared" si="316"/>
        <v>1.0000000000000001E-7</v>
      </c>
      <c r="EG44" s="156">
        <f t="shared" si="316"/>
        <v>1.0000000000000001E-7</v>
      </c>
      <c r="EH44" s="156">
        <f t="shared" si="316"/>
        <v>1.0000000000000001E-7</v>
      </c>
      <c r="EI44" s="156">
        <f>0.001%*0.3/30</f>
        <v>1.0000000000000001E-7</v>
      </c>
      <c r="EJ44" s="156">
        <f>EI44</f>
        <v>1.0000000000000001E-7</v>
      </c>
      <c r="EK44" s="156">
        <f t="shared" ref="EK44:FL44" si="317">EJ44</f>
        <v>1.0000000000000001E-7</v>
      </c>
      <c r="EL44" s="156">
        <f t="shared" si="317"/>
        <v>1.0000000000000001E-7</v>
      </c>
      <c r="EM44" s="156">
        <f t="shared" si="317"/>
        <v>1.0000000000000001E-7</v>
      </c>
      <c r="EN44" s="156">
        <f t="shared" si="317"/>
        <v>1.0000000000000001E-7</v>
      </c>
      <c r="EO44" s="156">
        <f t="shared" si="317"/>
        <v>1.0000000000000001E-7</v>
      </c>
      <c r="EP44" s="156">
        <f t="shared" si="317"/>
        <v>1.0000000000000001E-7</v>
      </c>
      <c r="EQ44" s="156">
        <f t="shared" si="317"/>
        <v>1.0000000000000001E-7</v>
      </c>
      <c r="ER44" s="156">
        <f t="shared" si="317"/>
        <v>1.0000000000000001E-7</v>
      </c>
      <c r="ES44" s="156">
        <f t="shared" si="317"/>
        <v>1.0000000000000001E-7</v>
      </c>
      <c r="ET44" s="156">
        <f t="shared" si="317"/>
        <v>1.0000000000000001E-7</v>
      </c>
      <c r="EU44" s="156">
        <f t="shared" si="317"/>
        <v>1.0000000000000001E-7</v>
      </c>
      <c r="EV44" s="156">
        <f t="shared" si="317"/>
        <v>1.0000000000000001E-7</v>
      </c>
      <c r="EW44" s="156">
        <f t="shared" si="317"/>
        <v>1.0000000000000001E-7</v>
      </c>
      <c r="EX44" s="156">
        <f t="shared" si="317"/>
        <v>1.0000000000000001E-7</v>
      </c>
      <c r="EY44" s="156">
        <f t="shared" si="317"/>
        <v>1.0000000000000001E-7</v>
      </c>
      <c r="EZ44" s="156">
        <f t="shared" si="317"/>
        <v>1.0000000000000001E-7</v>
      </c>
      <c r="FA44" s="156">
        <f t="shared" si="317"/>
        <v>1.0000000000000001E-7</v>
      </c>
      <c r="FB44" s="156">
        <f t="shared" si="317"/>
        <v>1.0000000000000001E-7</v>
      </c>
      <c r="FC44" s="156">
        <f t="shared" si="317"/>
        <v>1.0000000000000001E-7</v>
      </c>
      <c r="FD44" s="156">
        <f t="shared" si="317"/>
        <v>1.0000000000000001E-7</v>
      </c>
      <c r="FE44" s="156">
        <f t="shared" si="317"/>
        <v>1.0000000000000001E-7</v>
      </c>
      <c r="FF44" s="156">
        <f t="shared" si="317"/>
        <v>1.0000000000000001E-7</v>
      </c>
      <c r="FG44" s="156">
        <f t="shared" si="317"/>
        <v>1.0000000000000001E-7</v>
      </c>
      <c r="FH44" s="156">
        <f t="shared" si="317"/>
        <v>1.0000000000000001E-7</v>
      </c>
      <c r="FI44" s="156">
        <f t="shared" si="317"/>
        <v>1.0000000000000001E-7</v>
      </c>
      <c r="FJ44" s="156">
        <f t="shared" si="317"/>
        <v>1.0000000000000001E-7</v>
      </c>
      <c r="FK44" s="156">
        <f t="shared" si="317"/>
        <v>1.0000000000000001E-7</v>
      </c>
      <c r="FL44" s="156">
        <f t="shared" si="317"/>
        <v>1.0000000000000001E-7</v>
      </c>
      <c r="FM44" s="156">
        <f>0.002%*0.3/30</f>
        <v>2.0000000000000002E-7</v>
      </c>
      <c r="FN44" s="156">
        <f>FM44</f>
        <v>2.0000000000000002E-7</v>
      </c>
      <c r="FO44" s="156">
        <f t="shared" ref="FO44:GP44" si="318">FN44</f>
        <v>2.0000000000000002E-7</v>
      </c>
      <c r="FP44" s="156">
        <f t="shared" si="318"/>
        <v>2.0000000000000002E-7</v>
      </c>
      <c r="FQ44" s="156">
        <f t="shared" si="318"/>
        <v>2.0000000000000002E-7</v>
      </c>
      <c r="FR44" s="156">
        <f t="shared" si="318"/>
        <v>2.0000000000000002E-7</v>
      </c>
      <c r="FS44" s="156">
        <f t="shared" si="318"/>
        <v>2.0000000000000002E-7</v>
      </c>
      <c r="FT44" s="156">
        <f t="shared" si="318"/>
        <v>2.0000000000000002E-7</v>
      </c>
      <c r="FU44" s="156">
        <f t="shared" si="318"/>
        <v>2.0000000000000002E-7</v>
      </c>
      <c r="FV44" s="156">
        <f t="shared" si="318"/>
        <v>2.0000000000000002E-7</v>
      </c>
      <c r="FW44" s="156">
        <f t="shared" si="318"/>
        <v>2.0000000000000002E-7</v>
      </c>
      <c r="FX44" s="156">
        <f t="shared" si="318"/>
        <v>2.0000000000000002E-7</v>
      </c>
      <c r="FY44" s="156">
        <f t="shared" si="318"/>
        <v>2.0000000000000002E-7</v>
      </c>
      <c r="FZ44" s="156">
        <f t="shared" si="318"/>
        <v>2.0000000000000002E-7</v>
      </c>
      <c r="GA44" s="156">
        <f t="shared" si="318"/>
        <v>2.0000000000000002E-7</v>
      </c>
      <c r="GB44" s="156">
        <f t="shared" si="318"/>
        <v>2.0000000000000002E-7</v>
      </c>
      <c r="GC44" s="156">
        <f t="shared" si="318"/>
        <v>2.0000000000000002E-7</v>
      </c>
      <c r="GD44" s="156">
        <f t="shared" si="318"/>
        <v>2.0000000000000002E-7</v>
      </c>
      <c r="GE44" s="156">
        <f t="shared" si="318"/>
        <v>2.0000000000000002E-7</v>
      </c>
      <c r="GF44" s="156">
        <f t="shared" si="318"/>
        <v>2.0000000000000002E-7</v>
      </c>
      <c r="GG44" s="156">
        <f t="shared" si="318"/>
        <v>2.0000000000000002E-7</v>
      </c>
      <c r="GH44" s="156">
        <f t="shared" si="318"/>
        <v>2.0000000000000002E-7</v>
      </c>
      <c r="GI44" s="156">
        <f t="shared" si="318"/>
        <v>2.0000000000000002E-7</v>
      </c>
      <c r="GJ44" s="156">
        <f t="shared" si="318"/>
        <v>2.0000000000000002E-7</v>
      </c>
      <c r="GK44" s="156">
        <f t="shared" si="318"/>
        <v>2.0000000000000002E-7</v>
      </c>
      <c r="GL44" s="156">
        <f t="shared" si="318"/>
        <v>2.0000000000000002E-7</v>
      </c>
      <c r="GM44" s="156">
        <f t="shared" si="318"/>
        <v>2.0000000000000002E-7</v>
      </c>
      <c r="GN44" s="156">
        <f t="shared" si="318"/>
        <v>2.0000000000000002E-7</v>
      </c>
      <c r="GO44" s="156">
        <f t="shared" si="318"/>
        <v>2.0000000000000002E-7</v>
      </c>
      <c r="GP44" s="156">
        <f t="shared" si="318"/>
        <v>2.0000000000000002E-7</v>
      </c>
      <c r="GQ44" s="156">
        <f>0.003%*0.2/30</f>
        <v>2.0000000000000002E-7</v>
      </c>
      <c r="GR44" s="156">
        <f>GQ44</f>
        <v>2.0000000000000002E-7</v>
      </c>
      <c r="GS44" s="156">
        <f t="shared" ref="GS44:HT44" si="319">GR44</f>
        <v>2.0000000000000002E-7</v>
      </c>
      <c r="GT44" s="156">
        <f t="shared" si="319"/>
        <v>2.0000000000000002E-7</v>
      </c>
      <c r="GU44" s="156">
        <f t="shared" si="319"/>
        <v>2.0000000000000002E-7</v>
      </c>
      <c r="GV44" s="156">
        <f t="shared" si="319"/>
        <v>2.0000000000000002E-7</v>
      </c>
      <c r="GW44" s="156">
        <f t="shared" si="319"/>
        <v>2.0000000000000002E-7</v>
      </c>
      <c r="GX44" s="156">
        <f t="shared" si="319"/>
        <v>2.0000000000000002E-7</v>
      </c>
      <c r="GY44" s="156">
        <f t="shared" si="319"/>
        <v>2.0000000000000002E-7</v>
      </c>
      <c r="GZ44" s="156">
        <f t="shared" si="319"/>
        <v>2.0000000000000002E-7</v>
      </c>
      <c r="HA44" s="156">
        <f t="shared" si="319"/>
        <v>2.0000000000000002E-7</v>
      </c>
      <c r="HB44" s="156">
        <f t="shared" si="319"/>
        <v>2.0000000000000002E-7</v>
      </c>
      <c r="HC44" s="156">
        <f t="shared" si="319"/>
        <v>2.0000000000000002E-7</v>
      </c>
      <c r="HD44" s="156">
        <f t="shared" si="319"/>
        <v>2.0000000000000002E-7</v>
      </c>
      <c r="HE44" s="156">
        <f t="shared" si="319"/>
        <v>2.0000000000000002E-7</v>
      </c>
      <c r="HF44" s="156">
        <f t="shared" si="319"/>
        <v>2.0000000000000002E-7</v>
      </c>
      <c r="HG44" s="156">
        <f t="shared" si="319"/>
        <v>2.0000000000000002E-7</v>
      </c>
      <c r="HH44" s="156">
        <f t="shared" si="319"/>
        <v>2.0000000000000002E-7</v>
      </c>
      <c r="HI44" s="156">
        <f t="shared" si="319"/>
        <v>2.0000000000000002E-7</v>
      </c>
      <c r="HJ44" s="156">
        <f t="shared" si="319"/>
        <v>2.0000000000000002E-7</v>
      </c>
      <c r="HK44" s="156">
        <f t="shared" si="319"/>
        <v>2.0000000000000002E-7</v>
      </c>
      <c r="HL44" s="156">
        <f t="shared" si="319"/>
        <v>2.0000000000000002E-7</v>
      </c>
      <c r="HM44" s="156">
        <f t="shared" si="319"/>
        <v>2.0000000000000002E-7</v>
      </c>
      <c r="HN44" s="156">
        <f t="shared" si="319"/>
        <v>2.0000000000000002E-7</v>
      </c>
      <c r="HO44" s="156">
        <f t="shared" si="319"/>
        <v>2.0000000000000002E-7</v>
      </c>
      <c r="HP44" s="156">
        <f t="shared" si="319"/>
        <v>2.0000000000000002E-7</v>
      </c>
      <c r="HQ44" s="156">
        <f t="shared" si="319"/>
        <v>2.0000000000000002E-7</v>
      </c>
      <c r="HR44" s="156">
        <f t="shared" si="319"/>
        <v>2.0000000000000002E-7</v>
      </c>
      <c r="HS44" s="156">
        <f t="shared" si="319"/>
        <v>2.0000000000000002E-7</v>
      </c>
      <c r="HT44" s="156">
        <f t="shared" si="319"/>
        <v>2.0000000000000002E-7</v>
      </c>
      <c r="HU44" s="156">
        <f>0.002%*0.2/30</f>
        <v>1.3333333333333336E-7</v>
      </c>
      <c r="HV44" s="156">
        <f>HU44</f>
        <v>1.3333333333333336E-7</v>
      </c>
      <c r="HW44" s="156">
        <f t="shared" ref="HW44:IX44" si="320">HV44</f>
        <v>1.3333333333333336E-7</v>
      </c>
      <c r="HX44" s="156">
        <f t="shared" si="320"/>
        <v>1.3333333333333336E-7</v>
      </c>
      <c r="HY44" s="156">
        <f t="shared" si="320"/>
        <v>1.3333333333333336E-7</v>
      </c>
      <c r="HZ44" s="156">
        <f t="shared" si="320"/>
        <v>1.3333333333333336E-7</v>
      </c>
      <c r="IA44" s="156">
        <f t="shared" si="320"/>
        <v>1.3333333333333336E-7</v>
      </c>
      <c r="IB44" s="156">
        <f t="shared" si="320"/>
        <v>1.3333333333333336E-7</v>
      </c>
      <c r="IC44" s="156">
        <f t="shared" si="320"/>
        <v>1.3333333333333336E-7</v>
      </c>
      <c r="ID44" s="156">
        <f t="shared" si="320"/>
        <v>1.3333333333333336E-7</v>
      </c>
      <c r="IE44" s="156">
        <f t="shared" si="320"/>
        <v>1.3333333333333336E-7</v>
      </c>
      <c r="IF44" s="156">
        <f t="shared" si="320"/>
        <v>1.3333333333333336E-7</v>
      </c>
      <c r="IG44" s="156">
        <f t="shared" si="320"/>
        <v>1.3333333333333336E-7</v>
      </c>
      <c r="IH44" s="156">
        <f t="shared" si="320"/>
        <v>1.3333333333333336E-7</v>
      </c>
      <c r="II44" s="156">
        <f t="shared" si="320"/>
        <v>1.3333333333333336E-7</v>
      </c>
      <c r="IJ44" s="156">
        <f t="shared" si="320"/>
        <v>1.3333333333333336E-7</v>
      </c>
      <c r="IK44" s="156">
        <f t="shared" si="320"/>
        <v>1.3333333333333336E-7</v>
      </c>
      <c r="IL44" s="156">
        <f t="shared" si="320"/>
        <v>1.3333333333333336E-7</v>
      </c>
      <c r="IM44" s="156">
        <f t="shared" si="320"/>
        <v>1.3333333333333336E-7</v>
      </c>
      <c r="IN44" s="156">
        <f t="shared" si="320"/>
        <v>1.3333333333333336E-7</v>
      </c>
      <c r="IO44" s="156">
        <f t="shared" si="320"/>
        <v>1.3333333333333336E-7</v>
      </c>
      <c r="IP44" s="156">
        <f t="shared" si="320"/>
        <v>1.3333333333333336E-7</v>
      </c>
      <c r="IQ44" s="156">
        <f t="shared" si="320"/>
        <v>1.3333333333333336E-7</v>
      </c>
      <c r="IR44" s="156">
        <f t="shared" si="320"/>
        <v>1.3333333333333336E-7</v>
      </c>
      <c r="IS44" s="156">
        <f t="shared" si="320"/>
        <v>1.3333333333333336E-7</v>
      </c>
      <c r="IT44" s="156">
        <f t="shared" si="320"/>
        <v>1.3333333333333336E-7</v>
      </c>
      <c r="IU44" s="156">
        <f t="shared" si="320"/>
        <v>1.3333333333333336E-7</v>
      </c>
      <c r="IV44" s="156">
        <f t="shared" si="320"/>
        <v>1.3333333333333336E-7</v>
      </c>
      <c r="IW44" s="156">
        <f t="shared" si="320"/>
        <v>1.3333333333333336E-7</v>
      </c>
      <c r="IX44" s="156">
        <f t="shared" si="320"/>
        <v>1.3333333333333336E-7</v>
      </c>
      <c r="IY44" s="156">
        <f>0.002%*0.2/30</f>
        <v>1.3333333333333336E-7</v>
      </c>
      <c r="IZ44" s="156">
        <f>IY44</f>
        <v>1.3333333333333336E-7</v>
      </c>
      <c r="JA44" s="156">
        <f t="shared" ref="JA44:KB44" si="321">IZ44</f>
        <v>1.3333333333333336E-7</v>
      </c>
      <c r="JB44" s="156">
        <f t="shared" si="321"/>
        <v>1.3333333333333336E-7</v>
      </c>
      <c r="JC44" s="156">
        <f t="shared" si="321"/>
        <v>1.3333333333333336E-7</v>
      </c>
      <c r="JD44" s="156">
        <f t="shared" si="321"/>
        <v>1.3333333333333336E-7</v>
      </c>
      <c r="JE44" s="156">
        <f t="shared" si="321"/>
        <v>1.3333333333333336E-7</v>
      </c>
      <c r="JF44" s="156">
        <f t="shared" si="321"/>
        <v>1.3333333333333336E-7</v>
      </c>
      <c r="JG44" s="156">
        <f t="shared" si="321"/>
        <v>1.3333333333333336E-7</v>
      </c>
      <c r="JH44" s="156">
        <f t="shared" si="321"/>
        <v>1.3333333333333336E-7</v>
      </c>
      <c r="JI44" s="156">
        <f t="shared" si="321"/>
        <v>1.3333333333333336E-7</v>
      </c>
      <c r="JJ44" s="156">
        <f t="shared" si="321"/>
        <v>1.3333333333333336E-7</v>
      </c>
      <c r="JK44" s="156">
        <f t="shared" si="321"/>
        <v>1.3333333333333336E-7</v>
      </c>
      <c r="JL44" s="156">
        <f t="shared" si="321"/>
        <v>1.3333333333333336E-7</v>
      </c>
      <c r="JM44" s="156">
        <f t="shared" si="321"/>
        <v>1.3333333333333336E-7</v>
      </c>
      <c r="JN44" s="156">
        <f t="shared" si="321"/>
        <v>1.3333333333333336E-7</v>
      </c>
      <c r="JO44" s="156">
        <f t="shared" si="321"/>
        <v>1.3333333333333336E-7</v>
      </c>
      <c r="JP44" s="156">
        <f t="shared" si="321"/>
        <v>1.3333333333333336E-7</v>
      </c>
      <c r="JQ44" s="156">
        <f t="shared" si="321"/>
        <v>1.3333333333333336E-7</v>
      </c>
      <c r="JR44" s="156">
        <f t="shared" si="321"/>
        <v>1.3333333333333336E-7</v>
      </c>
      <c r="JS44" s="156">
        <f t="shared" si="321"/>
        <v>1.3333333333333336E-7</v>
      </c>
      <c r="JT44" s="156">
        <f t="shared" si="321"/>
        <v>1.3333333333333336E-7</v>
      </c>
      <c r="JU44" s="156">
        <f t="shared" si="321"/>
        <v>1.3333333333333336E-7</v>
      </c>
      <c r="JV44" s="156">
        <f t="shared" si="321"/>
        <v>1.3333333333333336E-7</v>
      </c>
      <c r="JW44" s="156">
        <f t="shared" si="321"/>
        <v>1.3333333333333336E-7</v>
      </c>
      <c r="JX44" s="156">
        <f t="shared" si="321"/>
        <v>1.3333333333333336E-7</v>
      </c>
      <c r="JY44" s="156">
        <f t="shared" si="321"/>
        <v>1.3333333333333336E-7</v>
      </c>
      <c r="JZ44" s="156">
        <f t="shared" si="321"/>
        <v>1.3333333333333336E-7</v>
      </c>
      <c r="KA44" s="156">
        <f t="shared" si="321"/>
        <v>1.3333333333333336E-7</v>
      </c>
      <c r="KB44" s="156">
        <f t="shared" si="321"/>
        <v>1.3333333333333336E-7</v>
      </c>
      <c r="KC44" s="212">
        <f>0.002%+0.0034%</f>
        <v>5.3999999999999998E-5</v>
      </c>
      <c r="KD44" s="212"/>
      <c r="KE44" s="212"/>
      <c r="KF44" s="212">
        <f>0.002%+0.0034%</f>
        <v>5.3999999999999998E-5</v>
      </c>
      <c r="KG44" s="212"/>
      <c r="KH44" s="212"/>
      <c r="KI44" s="212">
        <f>0.003%+0.0034%</f>
        <v>6.3999999999999997E-5</v>
      </c>
      <c r="KJ44" s="212"/>
      <c r="KK44" s="212"/>
      <c r="KL44" s="212">
        <f>0.002%+0.0034%</f>
        <v>5.3999999999999998E-5</v>
      </c>
      <c r="KM44" s="212"/>
      <c r="KN44" s="212"/>
      <c r="KO44" s="212">
        <f>0.002%+0.0034%</f>
        <v>5.3999999999999998E-5</v>
      </c>
      <c r="KP44" s="212"/>
      <c r="KQ44" s="212"/>
      <c r="KR44" s="212">
        <f>0.002%+0.0034%</f>
        <v>5.3999999999999998E-5</v>
      </c>
      <c r="KS44" s="212"/>
      <c r="KT44" s="212"/>
      <c r="KU44" s="212">
        <f>0.002%+0.0034%</f>
        <v>5.3999999999999998E-5</v>
      </c>
      <c r="KV44" s="212"/>
      <c r="KW44" s="212"/>
      <c r="KX44" s="212">
        <f>0.002%+0.0034%</f>
        <v>5.3999999999999998E-5</v>
      </c>
      <c r="KY44" s="212"/>
      <c r="KZ44" s="218"/>
      <c r="LA44" s="211">
        <f>0.002%+0.0034%</f>
        <v>5.3999999999999998E-5</v>
      </c>
      <c r="LB44" s="212"/>
      <c r="LC44" s="213"/>
      <c r="LD44" s="220">
        <f>0.001%+0.003%</f>
        <v>4.0000000000000003E-5</v>
      </c>
      <c r="LE44" s="212"/>
      <c r="LF44" s="212"/>
      <c r="LG44" s="212"/>
      <c r="LH44" s="212"/>
      <c r="LI44" s="212"/>
      <c r="LJ44" s="212"/>
      <c r="LK44" s="212"/>
      <c r="LL44" s="212"/>
      <c r="LM44" s="212"/>
      <c r="LN44" s="212"/>
      <c r="LO44" s="212"/>
      <c r="LP44" s="212"/>
      <c r="LQ44" s="212"/>
      <c r="LR44" s="212"/>
      <c r="LS44" s="212"/>
      <c r="LT44" s="212"/>
      <c r="LU44" s="212"/>
      <c r="LV44" s="54"/>
      <c r="LW44" s="54"/>
      <c r="LX44" s="54"/>
      <c r="LY44" s="53"/>
      <c r="LZ44" s="54"/>
      <c r="MA44" s="55"/>
      <c r="MB44" s="54"/>
      <c r="MC44" s="54"/>
      <c r="MD44" s="54"/>
      <c r="ME44" s="53"/>
      <c r="MF44" s="54"/>
      <c r="MG44" s="55"/>
      <c r="MH44" s="53"/>
      <c r="MI44" s="54"/>
      <c r="MJ44" s="55"/>
      <c r="MK44" s="54"/>
      <c r="ML44" s="54"/>
      <c r="MM44" s="54"/>
      <c r="MN44" s="53"/>
      <c r="MO44" s="54"/>
      <c r="MP44" s="55"/>
      <c r="MQ44" s="53"/>
      <c r="MR44" s="54"/>
      <c r="MS44" s="55"/>
      <c r="MT44" s="53"/>
      <c r="MU44" s="54"/>
      <c r="MV44" s="55"/>
      <c r="MW44" s="53"/>
      <c r="MX44" s="54"/>
      <c r="MY44" s="55"/>
      <c r="MZ44" s="53"/>
      <c r="NA44" s="54"/>
      <c r="NB44" s="55"/>
      <c r="NC44" s="54"/>
      <c r="ND44" s="54"/>
      <c r="NE44" s="59"/>
      <c r="NG44" s="275">
        <f>SUM(R44:NE44)</f>
        <v>6.7000000000000024E-4</v>
      </c>
      <c r="NH44" s="1"/>
      <c r="NI44" s="1"/>
      <c r="NJ44" s="1"/>
      <c r="NK44" s="1"/>
    </row>
    <row r="45" spans="5:375" s="6" customFormat="1" ht="6.95" customHeight="1">
      <c r="F45" s="196"/>
      <c r="G45" s="197"/>
      <c r="H45" s="52">
        <v>2</v>
      </c>
      <c r="L45" s="340"/>
      <c r="M45" s="371"/>
      <c r="N45" s="357"/>
      <c r="O45" s="353"/>
      <c r="P45" s="308"/>
      <c r="Q45" s="237"/>
      <c r="R45" s="6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61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3"/>
      <c r="CA45" s="61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1"/>
      <c r="DF45" s="62"/>
      <c r="DG45" s="62"/>
      <c r="DH45" s="62"/>
      <c r="DI45" s="62"/>
      <c r="DJ45" s="62"/>
      <c r="DK45" s="62"/>
      <c r="DL45" s="62"/>
      <c r="DM45" s="62"/>
      <c r="DN45" s="62"/>
      <c r="DO45" s="62"/>
      <c r="DP45" s="62"/>
      <c r="DQ45" s="62"/>
      <c r="DR45" s="62"/>
      <c r="DS45" s="62"/>
      <c r="DT45" s="62"/>
      <c r="DU45" s="62"/>
      <c r="DV45" s="62"/>
      <c r="DW45" s="62"/>
      <c r="DX45" s="62"/>
      <c r="DY45" s="62"/>
      <c r="DZ45" s="62"/>
      <c r="EA45" s="62"/>
      <c r="EB45" s="62"/>
      <c r="EC45" s="62"/>
      <c r="ED45" s="62"/>
      <c r="EE45" s="62"/>
      <c r="EF45" s="62"/>
      <c r="EG45" s="62"/>
      <c r="EH45" s="62"/>
      <c r="EI45" s="61"/>
      <c r="EJ45" s="62"/>
      <c r="EK45" s="62"/>
      <c r="EL45" s="62"/>
      <c r="EM45" s="62"/>
      <c r="EN45" s="62"/>
      <c r="EO45" s="62"/>
      <c r="EP45" s="62"/>
      <c r="EQ45" s="62"/>
      <c r="ER45" s="62"/>
      <c r="ES45" s="62"/>
      <c r="ET45" s="62"/>
      <c r="EU45" s="62"/>
      <c r="EV45" s="62"/>
      <c r="EW45" s="62"/>
      <c r="EX45" s="62"/>
      <c r="EY45" s="62"/>
      <c r="EZ45" s="62"/>
      <c r="FA45" s="62"/>
      <c r="FB45" s="62"/>
      <c r="FC45" s="62"/>
      <c r="FD45" s="62"/>
      <c r="FE45" s="62"/>
      <c r="FF45" s="62"/>
      <c r="FG45" s="62"/>
      <c r="FH45" s="62"/>
      <c r="FI45" s="62"/>
      <c r="FJ45" s="62"/>
      <c r="FK45" s="62"/>
      <c r="FL45" s="62"/>
      <c r="FM45" s="61"/>
      <c r="FN45" s="62"/>
      <c r="FO45" s="62"/>
      <c r="FP45" s="62"/>
      <c r="FQ45" s="62"/>
      <c r="FR45" s="62"/>
      <c r="FS45" s="62"/>
      <c r="FT45" s="62"/>
      <c r="FU45" s="62"/>
      <c r="FV45" s="62"/>
      <c r="FW45" s="62"/>
      <c r="FX45" s="62"/>
      <c r="FY45" s="62"/>
      <c r="FZ45" s="62"/>
      <c r="GA45" s="62"/>
      <c r="GB45" s="62"/>
      <c r="GC45" s="62"/>
      <c r="GD45" s="62"/>
      <c r="GE45" s="62"/>
      <c r="GF45" s="62"/>
      <c r="GG45" s="62"/>
      <c r="GH45" s="62"/>
      <c r="GI45" s="62"/>
      <c r="GJ45" s="62"/>
      <c r="GK45" s="62"/>
      <c r="GL45" s="62"/>
      <c r="GM45" s="62"/>
      <c r="GN45" s="62"/>
      <c r="GO45" s="62"/>
      <c r="GP45" s="62"/>
      <c r="GQ45" s="61"/>
      <c r="GR45" s="62"/>
      <c r="GS45" s="62"/>
      <c r="GT45" s="62"/>
      <c r="GU45" s="62"/>
      <c r="GV45" s="62"/>
      <c r="GW45" s="62"/>
      <c r="GX45" s="62"/>
      <c r="GY45" s="62"/>
      <c r="GZ45" s="62"/>
      <c r="HA45" s="62"/>
      <c r="HB45" s="62"/>
      <c r="HC45" s="62"/>
      <c r="HD45" s="62"/>
      <c r="HE45" s="62"/>
      <c r="HF45" s="62"/>
      <c r="HG45" s="62"/>
      <c r="HH45" s="62"/>
      <c r="HI45" s="62"/>
      <c r="HJ45" s="62"/>
      <c r="HK45" s="62"/>
      <c r="HL45" s="62"/>
      <c r="HM45" s="62"/>
      <c r="HN45" s="62"/>
      <c r="HO45" s="62"/>
      <c r="HP45" s="62"/>
      <c r="HQ45" s="62"/>
      <c r="HR45" s="62"/>
      <c r="HS45" s="62"/>
      <c r="HT45" s="62"/>
      <c r="HU45" s="61"/>
      <c r="HV45" s="62"/>
      <c r="HW45" s="62"/>
      <c r="HX45" s="62"/>
      <c r="HY45" s="62"/>
      <c r="HZ45" s="62"/>
      <c r="IA45" s="62"/>
      <c r="IB45" s="62"/>
      <c r="IC45" s="62"/>
      <c r="ID45" s="62"/>
      <c r="IE45" s="62"/>
      <c r="IF45" s="62"/>
      <c r="IG45" s="62"/>
      <c r="IH45" s="62"/>
      <c r="II45" s="62"/>
      <c r="IJ45" s="62"/>
      <c r="IK45" s="62"/>
      <c r="IL45" s="62"/>
      <c r="IM45" s="62"/>
      <c r="IN45" s="62"/>
      <c r="IO45" s="62"/>
      <c r="IP45" s="62"/>
      <c r="IQ45" s="62"/>
      <c r="IR45" s="62"/>
      <c r="IS45" s="62"/>
      <c r="IT45" s="62"/>
      <c r="IU45" s="62"/>
      <c r="IV45" s="62"/>
      <c r="IW45" s="62"/>
      <c r="IX45" s="62"/>
      <c r="IY45" s="61"/>
      <c r="IZ45" s="62"/>
      <c r="JA45" s="62"/>
      <c r="JB45" s="62"/>
      <c r="JC45" s="62"/>
      <c r="JD45" s="62"/>
      <c r="JE45" s="62"/>
      <c r="JF45" s="62"/>
      <c r="JG45" s="62"/>
      <c r="JH45" s="62"/>
      <c r="JI45" s="62"/>
      <c r="JJ45" s="62"/>
      <c r="JK45" s="62"/>
      <c r="JL45" s="62"/>
      <c r="JM45" s="62"/>
      <c r="JN45" s="62"/>
      <c r="JO45" s="62"/>
      <c r="JP45" s="62"/>
      <c r="JQ45" s="62"/>
      <c r="JR45" s="62"/>
      <c r="JS45" s="62"/>
      <c r="JT45" s="62"/>
      <c r="JU45" s="62"/>
      <c r="JV45" s="62"/>
      <c r="JW45" s="62"/>
      <c r="JX45" s="62"/>
      <c r="JY45" s="62"/>
      <c r="JZ45" s="62"/>
      <c r="KA45" s="62"/>
      <c r="KB45" s="62"/>
      <c r="KC45" s="61"/>
      <c r="KD45" s="62"/>
      <c r="KE45" s="63"/>
      <c r="KF45" s="61"/>
      <c r="KG45" s="62"/>
      <c r="KH45" s="63"/>
      <c r="KI45" s="61"/>
      <c r="KJ45" s="62"/>
      <c r="KK45" s="63"/>
      <c r="KL45" s="61"/>
      <c r="KM45" s="62"/>
      <c r="KN45" s="63"/>
      <c r="KO45" s="61"/>
      <c r="KP45" s="62"/>
      <c r="KQ45" s="63"/>
      <c r="KR45" s="61"/>
      <c r="KS45" s="62"/>
      <c r="KT45" s="63"/>
      <c r="KU45" s="61"/>
      <c r="KV45" s="62"/>
      <c r="KW45" s="63"/>
      <c r="KX45" s="61"/>
      <c r="KY45" s="62"/>
      <c r="KZ45" s="63"/>
      <c r="LA45" s="61"/>
      <c r="LB45" s="62"/>
      <c r="LC45" s="63"/>
      <c r="LD45" s="61"/>
      <c r="LE45" s="62"/>
      <c r="LF45" s="63"/>
      <c r="LG45" s="39"/>
      <c r="LH45" s="40"/>
      <c r="LI45" s="41"/>
      <c r="LJ45" s="39"/>
      <c r="LK45" s="40"/>
      <c r="LL45" s="41"/>
      <c r="LM45" s="39"/>
      <c r="LN45" s="40"/>
      <c r="LO45" s="41"/>
      <c r="LP45" s="39"/>
      <c r="LQ45" s="40"/>
      <c r="LR45" s="41"/>
      <c r="LS45" s="39"/>
      <c r="LT45" s="40"/>
      <c r="LU45" s="41"/>
      <c r="LV45" s="40"/>
      <c r="LW45" s="40"/>
      <c r="LX45" s="40"/>
      <c r="LY45" s="39"/>
      <c r="LZ45" s="40"/>
      <c r="MA45" s="41"/>
      <c r="MB45" s="40"/>
      <c r="MC45" s="40"/>
      <c r="MD45" s="40"/>
      <c r="ME45" s="39"/>
      <c r="MF45" s="40"/>
      <c r="MG45" s="41"/>
      <c r="MH45" s="39"/>
      <c r="MI45" s="40"/>
      <c r="MJ45" s="41"/>
      <c r="MK45" s="40"/>
      <c r="ML45" s="40"/>
      <c r="MM45" s="40"/>
      <c r="MN45" s="39"/>
      <c r="MO45" s="40"/>
      <c r="MP45" s="41"/>
      <c r="MQ45" s="39"/>
      <c r="MR45" s="40"/>
      <c r="MS45" s="41"/>
      <c r="MT45" s="39"/>
      <c r="MU45" s="40"/>
      <c r="MV45" s="41"/>
      <c r="MW45" s="39"/>
      <c r="MX45" s="40"/>
      <c r="MY45" s="41"/>
      <c r="MZ45" s="39"/>
      <c r="NA45" s="40"/>
      <c r="NB45" s="41"/>
      <c r="NC45" s="40"/>
      <c r="ND45" s="40"/>
      <c r="NE45" s="42"/>
      <c r="NG45" s="275"/>
      <c r="NH45" s="1"/>
      <c r="NI45" s="1"/>
      <c r="NJ45" s="1"/>
      <c r="NK45" s="1"/>
    </row>
    <row r="46" spans="5:375" s="6" customFormat="1" ht="9.9499999999999993" customHeight="1">
      <c r="F46" s="196">
        <f t="shared" ref="F46" si="322">NG46</f>
        <v>0.17791000000000001</v>
      </c>
      <c r="G46" s="197">
        <f>Q46-F46</f>
        <v>0</v>
      </c>
      <c r="H46" s="27">
        <v>1</v>
      </c>
      <c r="I46" s="6" t="s">
        <v>185</v>
      </c>
      <c r="J46" s="6" t="s">
        <v>184</v>
      </c>
      <c r="K46" s="6" t="s">
        <v>186</v>
      </c>
      <c r="L46" s="292"/>
      <c r="M46" s="295" t="s">
        <v>265</v>
      </c>
      <c r="N46" s="296">
        <v>7101189</v>
      </c>
      <c r="O46" s="297" t="s">
        <v>262</v>
      </c>
      <c r="P46" s="315">
        <v>37041017</v>
      </c>
      <c r="Q46" s="236">
        <f>ROUND(P46/$P$256,5)</f>
        <v>0.17791000000000001</v>
      </c>
      <c r="R46" s="21"/>
      <c r="S46" s="141">
        <f>0.027%*0.3/30</f>
        <v>2.7E-6</v>
      </c>
      <c r="T46" s="141">
        <f>S46</f>
        <v>2.7E-6</v>
      </c>
      <c r="U46" s="141">
        <f t="shared" ref="U46:AV46" si="323">T46</f>
        <v>2.7E-6</v>
      </c>
      <c r="V46" s="141">
        <f t="shared" si="323"/>
        <v>2.7E-6</v>
      </c>
      <c r="W46" s="141">
        <f t="shared" si="323"/>
        <v>2.7E-6</v>
      </c>
      <c r="X46" s="141">
        <f t="shared" si="323"/>
        <v>2.7E-6</v>
      </c>
      <c r="Y46" s="141">
        <f t="shared" si="323"/>
        <v>2.7E-6</v>
      </c>
      <c r="Z46" s="141">
        <f t="shared" si="323"/>
        <v>2.7E-6</v>
      </c>
      <c r="AA46" s="141">
        <f t="shared" si="323"/>
        <v>2.7E-6</v>
      </c>
      <c r="AB46" s="141">
        <f t="shared" si="323"/>
        <v>2.7E-6</v>
      </c>
      <c r="AC46" s="141">
        <f t="shared" si="323"/>
        <v>2.7E-6</v>
      </c>
      <c r="AD46" s="141">
        <f t="shared" si="323"/>
        <v>2.7E-6</v>
      </c>
      <c r="AE46" s="141">
        <f t="shared" si="323"/>
        <v>2.7E-6</v>
      </c>
      <c r="AF46" s="141">
        <f t="shared" si="323"/>
        <v>2.7E-6</v>
      </c>
      <c r="AG46" s="141">
        <f t="shared" si="323"/>
        <v>2.7E-6</v>
      </c>
      <c r="AH46" s="141">
        <f t="shared" si="323"/>
        <v>2.7E-6</v>
      </c>
      <c r="AI46" s="141">
        <f t="shared" si="323"/>
        <v>2.7E-6</v>
      </c>
      <c r="AJ46" s="141">
        <f t="shared" si="323"/>
        <v>2.7E-6</v>
      </c>
      <c r="AK46" s="141">
        <f t="shared" si="323"/>
        <v>2.7E-6</v>
      </c>
      <c r="AL46" s="141">
        <f t="shared" si="323"/>
        <v>2.7E-6</v>
      </c>
      <c r="AM46" s="141">
        <f t="shared" si="323"/>
        <v>2.7E-6</v>
      </c>
      <c r="AN46" s="141">
        <f t="shared" si="323"/>
        <v>2.7E-6</v>
      </c>
      <c r="AO46" s="141">
        <f t="shared" si="323"/>
        <v>2.7E-6</v>
      </c>
      <c r="AP46" s="141">
        <f t="shared" si="323"/>
        <v>2.7E-6</v>
      </c>
      <c r="AQ46" s="141">
        <f t="shared" si="323"/>
        <v>2.7E-6</v>
      </c>
      <c r="AR46" s="141">
        <f t="shared" si="323"/>
        <v>2.7E-6</v>
      </c>
      <c r="AS46" s="141">
        <f t="shared" si="323"/>
        <v>2.7E-6</v>
      </c>
      <c r="AT46" s="141">
        <f t="shared" si="323"/>
        <v>2.7E-6</v>
      </c>
      <c r="AU46" s="141">
        <f t="shared" si="323"/>
        <v>2.7E-6</v>
      </c>
      <c r="AV46" s="141">
        <f t="shared" si="323"/>
        <v>2.7E-6</v>
      </c>
      <c r="AW46" s="157">
        <f>0.144%*0.3/30</f>
        <v>1.4399999999999998E-5</v>
      </c>
      <c r="AX46" s="156">
        <f>AW46</f>
        <v>1.4399999999999998E-5</v>
      </c>
      <c r="AY46" s="157">
        <f t="shared" ref="AY46:BZ46" si="324">AX46</f>
        <v>1.4399999999999998E-5</v>
      </c>
      <c r="AZ46" s="157">
        <f t="shared" si="324"/>
        <v>1.4399999999999998E-5</v>
      </c>
      <c r="BA46" s="157">
        <f t="shared" si="324"/>
        <v>1.4399999999999998E-5</v>
      </c>
      <c r="BB46" s="157">
        <f t="shared" si="324"/>
        <v>1.4399999999999998E-5</v>
      </c>
      <c r="BC46" s="157">
        <f t="shared" si="324"/>
        <v>1.4399999999999998E-5</v>
      </c>
      <c r="BD46" s="157">
        <f t="shared" si="324"/>
        <v>1.4399999999999998E-5</v>
      </c>
      <c r="BE46" s="157">
        <f t="shared" si="324"/>
        <v>1.4399999999999998E-5</v>
      </c>
      <c r="BF46" s="157">
        <f t="shared" si="324"/>
        <v>1.4399999999999998E-5</v>
      </c>
      <c r="BG46" s="157">
        <f t="shared" si="324"/>
        <v>1.4399999999999998E-5</v>
      </c>
      <c r="BH46" s="157">
        <f t="shared" si="324"/>
        <v>1.4399999999999998E-5</v>
      </c>
      <c r="BI46" s="157">
        <f t="shared" si="324"/>
        <v>1.4399999999999998E-5</v>
      </c>
      <c r="BJ46" s="157">
        <f t="shared" si="324"/>
        <v>1.4399999999999998E-5</v>
      </c>
      <c r="BK46" s="157">
        <f t="shared" si="324"/>
        <v>1.4399999999999998E-5</v>
      </c>
      <c r="BL46" s="157">
        <f t="shared" si="324"/>
        <v>1.4399999999999998E-5</v>
      </c>
      <c r="BM46" s="157">
        <f t="shared" si="324"/>
        <v>1.4399999999999998E-5</v>
      </c>
      <c r="BN46" s="157">
        <f t="shared" si="324"/>
        <v>1.4399999999999998E-5</v>
      </c>
      <c r="BO46" s="157">
        <f t="shared" si="324"/>
        <v>1.4399999999999998E-5</v>
      </c>
      <c r="BP46" s="157">
        <f t="shared" si="324"/>
        <v>1.4399999999999998E-5</v>
      </c>
      <c r="BQ46" s="157">
        <f t="shared" si="324"/>
        <v>1.4399999999999998E-5</v>
      </c>
      <c r="BR46" s="157">
        <f t="shared" si="324"/>
        <v>1.4399999999999998E-5</v>
      </c>
      <c r="BS46" s="157">
        <f t="shared" si="324"/>
        <v>1.4399999999999998E-5</v>
      </c>
      <c r="BT46" s="157">
        <f t="shared" si="324"/>
        <v>1.4399999999999998E-5</v>
      </c>
      <c r="BU46" s="157">
        <f t="shared" si="324"/>
        <v>1.4399999999999998E-5</v>
      </c>
      <c r="BV46" s="157">
        <f t="shared" si="324"/>
        <v>1.4399999999999998E-5</v>
      </c>
      <c r="BW46" s="157">
        <f t="shared" si="324"/>
        <v>1.4399999999999998E-5</v>
      </c>
      <c r="BX46" s="157">
        <f t="shared" si="324"/>
        <v>1.4399999999999998E-5</v>
      </c>
      <c r="BY46" s="157">
        <f t="shared" si="324"/>
        <v>1.4399999999999998E-5</v>
      </c>
      <c r="BZ46" s="157">
        <f t="shared" si="324"/>
        <v>1.4399999999999998E-5</v>
      </c>
      <c r="CA46" s="157">
        <f>0.184%*0.3/30</f>
        <v>1.84E-5</v>
      </c>
      <c r="CB46" s="156">
        <f>CA46</f>
        <v>1.84E-5</v>
      </c>
      <c r="CC46" s="156">
        <f t="shared" ref="CC46:DD46" si="325">CB46</f>
        <v>1.84E-5</v>
      </c>
      <c r="CD46" s="156">
        <f t="shared" si="325"/>
        <v>1.84E-5</v>
      </c>
      <c r="CE46" s="156">
        <f t="shared" si="325"/>
        <v>1.84E-5</v>
      </c>
      <c r="CF46" s="156">
        <f t="shared" si="325"/>
        <v>1.84E-5</v>
      </c>
      <c r="CG46" s="156">
        <f t="shared" si="325"/>
        <v>1.84E-5</v>
      </c>
      <c r="CH46" s="156">
        <f t="shared" si="325"/>
        <v>1.84E-5</v>
      </c>
      <c r="CI46" s="156">
        <f t="shared" si="325"/>
        <v>1.84E-5</v>
      </c>
      <c r="CJ46" s="156">
        <f t="shared" si="325"/>
        <v>1.84E-5</v>
      </c>
      <c r="CK46" s="156">
        <f t="shared" si="325"/>
        <v>1.84E-5</v>
      </c>
      <c r="CL46" s="156">
        <f t="shared" si="325"/>
        <v>1.84E-5</v>
      </c>
      <c r="CM46" s="156">
        <f t="shared" si="325"/>
        <v>1.84E-5</v>
      </c>
      <c r="CN46" s="156">
        <f t="shared" si="325"/>
        <v>1.84E-5</v>
      </c>
      <c r="CO46" s="156">
        <f t="shared" si="325"/>
        <v>1.84E-5</v>
      </c>
      <c r="CP46" s="156">
        <f t="shared" si="325"/>
        <v>1.84E-5</v>
      </c>
      <c r="CQ46" s="156">
        <f t="shared" si="325"/>
        <v>1.84E-5</v>
      </c>
      <c r="CR46" s="156">
        <f t="shared" si="325"/>
        <v>1.84E-5</v>
      </c>
      <c r="CS46" s="156">
        <f t="shared" si="325"/>
        <v>1.84E-5</v>
      </c>
      <c r="CT46" s="156">
        <f t="shared" si="325"/>
        <v>1.84E-5</v>
      </c>
      <c r="CU46" s="156">
        <f t="shared" si="325"/>
        <v>1.84E-5</v>
      </c>
      <c r="CV46" s="156">
        <f t="shared" si="325"/>
        <v>1.84E-5</v>
      </c>
      <c r="CW46" s="156">
        <f t="shared" si="325"/>
        <v>1.84E-5</v>
      </c>
      <c r="CX46" s="156">
        <f t="shared" si="325"/>
        <v>1.84E-5</v>
      </c>
      <c r="CY46" s="156">
        <f t="shared" si="325"/>
        <v>1.84E-5</v>
      </c>
      <c r="CZ46" s="156">
        <f t="shared" si="325"/>
        <v>1.84E-5</v>
      </c>
      <c r="DA46" s="156">
        <f t="shared" si="325"/>
        <v>1.84E-5</v>
      </c>
      <c r="DB46" s="156">
        <f t="shared" si="325"/>
        <v>1.84E-5</v>
      </c>
      <c r="DC46" s="156">
        <f t="shared" si="325"/>
        <v>1.84E-5</v>
      </c>
      <c r="DD46" s="156">
        <f t="shared" si="325"/>
        <v>1.84E-5</v>
      </c>
      <c r="DE46" s="157">
        <f>0.354%*0.3/30</f>
        <v>3.5399999999999993E-5</v>
      </c>
      <c r="DF46" s="156">
        <f>DE46</f>
        <v>3.5399999999999993E-5</v>
      </c>
      <c r="DG46" s="156">
        <f t="shared" ref="DG46:EH46" si="326">DF46</f>
        <v>3.5399999999999993E-5</v>
      </c>
      <c r="DH46" s="156">
        <f t="shared" si="326"/>
        <v>3.5399999999999993E-5</v>
      </c>
      <c r="DI46" s="156">
        <f t="shared" si="326"/>
        <v>3.5399999999999993E-5</v>
      </c>
      <c r="DJ46" s="156">
        <f t="shared" si="326"/>
        <v>3.5399999999999993E-5</v>
      </c>
      <c r="DK46" s="156">
        <f t="shared" si="326"/>
        <v>3.5399999999999993E-5</v>
      </c>
      <c r="DL46" s="156">
        <f t="shared" si="326"/>
        <v>3.5399999999999993E-5</v>
      </c>
      <c r="DM46" s="156">
        <f t="shared" si="326"/>
        <v>3.5399999999999993E-5</v>
      </c>
      <c r="DN46" s="156">
        <f t="shared" si="326"/>
        <v>3.5399999999999993E-5</v>
      </c>
      <c r="DO46" s="156">
        <f t="shared" si="326"/>
        <v>3.5399999999999993E-5</v>
      </c>
      <c r="DP46" s="156">
        <f t="shared" si="326"/>
        <v>3.5399999999999993E-5</v>
      </c>
      <c r="DQ46" s="156">
        <f t="shared" si="326"/>
        <v>3.5399999999999993E-5</v>
      </c>
      <c r="DR46" s="156">
        <f t="shared" si="326"/>
        <v>3.5399999999999993E-5</v>
      </c>
      <c r="DS46" s="156">
        <f t="shared" si="326"/>
        <v>3.5399999999999993E-5</v>
      </c>
      <c r="DT46" s="156">
        <f t="shared" si="326"/>
        <v>3.5399999999999993E-5</v>
      </c>
      <c r="DU46" s="156">
        <f t="shared" si="326"/>
        <v>3.5399999999999993E-5</v>
      </c>
      <c r="DV46" s="156">
        <f t="shared" si="326"/>
        <v>3.5399999999999993E-5</v>
      </c>
      <c r="DW46" s="156">
        <f t="shared" si="326"/>
        <v>3.5399999999999993E-5</v>
      </c>
      <c r="DX46" s="156">
        <f t="shared" si="326"/>
        <v>3.5399999999999993E-5</v>
      </c>
      <c r="DY46" s="156">
        <f t="shared" si="326"/>
        <v>3.5399999999999993E-5</v>
      </c>
      <c r="DZ46" s="156">
        <f t="shared" si="326"/>
        <v>3.5399999999999993E-5</v>
      </c>
      <c r="EA46" s="156">
        <f t="shared" si="326"/>
        <v>3.5399999999999993E-5</v>
      </c>
      <c r="EB46" s="156">
        <f t="shared" si="326"/>
        <v>3.5399999999999993E-5</v>
      </c>
      <c r="EC46" s="156">
        <f t="shared" si="326"/>
        <v>3.5399999999999993E-5</v>
      </c>
      <c r="ED46" s="156">
        <f t="shared" si="326"/>
        <v>3.5399999999999993E-5</v>
      </c>
      <c r="EE46" s="156">
        <f t="shared" si="326"/>
        <v>3.5399999999999993E-5</v>
      </c>
      <c r="EF46" s="156">
        <f t="shared" si="326"/>
        <v>3.5399999999999993E-5</v>
      </c>
      <c r="EG46" s="156">
        <f t="shared" si="326"/>
        <v>3.5399999999999993E-5</v>
      </c>
      <c r="EH46" s="156">
        <f t="shared" si="326"/>
        <v>3.5399999999999993E-5</v>
      </c>
      <c r="EI46" s="157">
        <f>0.494%*0.3/30</f>
        <v>4.9400000000000001E-5</v>
      </c>
      <c r="EJ46" s="156">
        <f>EI46</f>
        <v>4.9400000000000001E-5</v>
      </c>
      <c r="EK46" s="156">
        <f t="shared" ref="EK46:FL46" si="327">EJ46</f>
        <v>4.9400000000000001E-5</v>
      </c>
      <c r="EL46" s="156">
        <f t="shared" si="327"/>
        <v>4.9400000000000001E-5</v>
      </c>
      <c r="EM46" s="156">
        <f t="shared" si="327"/>
        <v>4.9400000000000001E-5</v>
      </c>
      <c r="EN46" s="156">
        <f t="shared" si="327"/>
        <v>4.9400000000000001E-5</v>
      </c>
      <c r="EO46" s="156">
        <f t="shared" si="327"/>
        <v>4.9400000000000001E-5</v>
      </c>
      <c r="EP46" s="156">
        <f t="shared" si="327"/>
        <v>4.9400000000000001E-5</v>
      </c>
      <c r="EQ46" s="156">
        <f t="shared" si="327"/>
        <v>4.9400000000000001E-5</v>
      </c>
      <c r="ER46" s="156">
        <f t="shared" si="327"/>
        <v>4.9400000000000001E-5</v>
      </c>
      <c r="ES46" s="156">
        <f t="shared" si="327"/>
        <v>4.9400000000000001E-5</v>
      </c>
      <c r="ET46" s="156">
        <f t="shared" si="327"/>
        <v>4.9400000000000001E-5</v>
      </c>
      <c r="EU46" s="156">
        <f t="shared" si="327"/>
        <v>4.9400000000000001E-5</v>
      </c>
      <c r="EV46" s="156">
        <f t="shared" si="327"/>
        <v>4.9400000000000001E-5</v>
      </c>
      <c r="EW46" s="156">
        <f t="shared" si="327"/>
        <v>4.9400000000000001E-5</v>
      </c>
      <c r="EX46" s="156">
        <f t="shared" si="327"/>
        <v>4.9400000000000001E-5</v>
      </c>
      <c r="EY46" s="156">
        <f t="shared" si="327"/>
        <v>4.9400000000000001E-5</v>
      </c>
      <c r="EZ46" s="156">
        <f t="shared" si="327"/>
        <v>4.9400000000000001E-5</v>
      </c>
      <c r="FA46" s="156">
        <f t="shared" si="327"/>
        <v>4.9400000000000001E-5</v>
      </c>
      <c r="FB46" s="156">
        <f t="shared" si="327"/>
        <v>4.9400000000000001E-5</v>
      </c>
      <c r="FC46" s="156">
        <f t="shared" si="327"/>
        <v>4.9400000000000001E-5</v>
      </c>
      <c r="FD46" s="156">
        <f t="shared" si="327"/>
        <v>4.9400000000000001E-5</v>
      </c>
      <c r="FE46" s="156">
        <f t="shared" si="327"/>
        <v>4.9400000000000001E-5</v>
      </c>
      <c r="FF46" s="156">
        <f t="shared" si="327"/>
        <v>4.9400000000000001E-5</v>
      </c>
      <c r="FG46" s="156">
        <f t="shared" si="327"/>
        <v>4.9400000000000001E-5</v>
      </c>
      <c r="FH46" s="156">
        <f t="shared" si="327"/>
        <v>4.9400000000000001E-5</v>
      </c>
      <c r="FI46" s="156">
        <f t="shared" si="327"/>
        <v>4.9400000000000001E-5</v>
      </c>
      <c r="FJ46" s="156">
        <f t="shared" si="327"/>
        <v>4.9400000000000001E-5</v>
      </c>
      <c r="FK46" s="156">
        <f t="shared" si="327"/>
        <v>4.9400000000000001E-5</v>
      </c>
      <c r="FL46" s="156">
        <f t="shared" si="327"/>
        <v>4.9400000000000001E-5</v>
      </c>
      <c r="FM46" s="157">
        <f>0.754%*0.3/30</f>
        <v>7.539999999999999E-5</v>
      </c>
      <c r="FN46" s="156">
        <f>FM46</f>
        <v>7.539999999999999E-5</v>
      </c>
      <c r="FO46" s="156">
        <f t="shared" ref="FO46:GP46" si="328">FN46</f>
        <v>7.539999999999999E-5</v>
      </c>
      <c r="FP46" s="156">
        <f t="shared" si="328"/>
        <v>7.539999999999999E-5</v>
      </c>
      <c r="FQ46" s="156">
        <f t="shared" si="328"/>
        <v>7.539999999999999E-5</v>
      </c>
      <c r="FR46" s="156">
        <f t="shared" si="328"/>
        <v>7.539999999999999E-5</v>
      </c>
      <c r="FS46" s="156">
        <f t="shared" si="328"/>
        <v>7.539999999999999E-5</v>
      </c>
      <c r="FT46" s="156">
        <f t="shared" si="328"/>
        <v>7.539999999999999E-5</v>
      </c>
      <c r="FU46" s="156">
        <f t="shared" si="328"/>
        <v>7.539999999999999E-5</v>
      </c>
      <c r="FV46" s="156">
        <f t="shared" si="328"/>
        <v>7.539999999999999E-5</v>
      </c>
      <c r="FW46" s="156">
        <f t="shared" si="328"/>
        <v>7.539999999999999E-5</v>
      </c>
      <c r="FX46" s="156">
        <f t="shared" si="328"/>
        <v>7.539999999999999E-5</v>
      </c>
      <c r="FY46" s="156">
        <f t="shared" si="328"/>
        <v>7.539999999999999E-5</v>
      </c>
      <c r="FZ46" s="156">
        <f t="shared" si="328"/>
        <v>7.539999999999999E-5</v>
      </c>
      <c r="GA46" s="156">
        <f t="shared" si="328"/>
        <v>7.539999999999999E-5</v>
      </c>
      <c r="GB46" s="156">
        <f t="shared" si="328"/>
        <v>7.539999999999999E-5</v>
      </c>
      <c r="GC46" s="156">
        <f t="shared" si="328"/>
        <v>7.539999999999999E-5</v>
      </c>
      <c r="GD46" s="156">
        <f t="shared" si="328"/>
        <v>7.539999999999999E-5</v>
      </c>
      <c r="GE46" s="156">
        <f t="shared" si="328"/>
        <v>7.539999999999999E-5</v>
      </c>
      <c r="GF46" s="156">
        <f t="shared" si="328"/>
        <v>7.539999999999999E-5</v>
      </c>
      <c r="GG46" s="156">
        <f t="shared" si="328"/>
        <v>7.539999999999999E-5</v>
      </c>
      <c r="GH46" s="156">
        <f t="shared" si="328"/>
        <v>7.539999999999999E-5</v>
      </c>
      <c r="GI46" s="156">
        <f t="shared" si="328"/>
        <v>7.539999999999999E-5</v>
      </c>
      <c r="GJ46" s="156">
        <f t="shared" si="328"/>
        <v>7.539999999999999E-5</v>
      </c>
      <c r="GK46" s="156">
        <f t="shared" si="328"/>
        <v>7.539999999999999E-5</v>
      </c>
      <c r="GL46" s="156">
        <f t="shared" si="328"/>
        <v>7.539999999999999E-5</v>
      </c>
      <c r="GM46" s="156">
        <f t="shared" si="328"/>
        <v>7.539999999999999E-5</v>
      </c>
      <c r="GN46" s="156">
        <f t="shared" si="328"/>
        <v>7.539999999999999E-5</v>
      </c>
      <c r="GO46" s="156">
        <f t="shared" si="328"/>
        <v>7.539999999999999E-5</v>
      </c>
      <c r="GP46" s="156">
        <f t="shared" si="328"/>
        <v>7.539999999999999E-5</v>
      </c>
      <c r="GQ46" s="157">
        <f>0.844%*0.2/30</f>
        <v>5.6266666666666668E-5</v>
      </c>
      <c r="GR46" s="156">
        <f>GQ46</f>
        <v>5.6266666666666668E-5</v>
      </c>
      <c r="GS46" s="156">
        <f t="shared" ref="GS46:HT46" si="329">GR46</f>
        <v>5.6266666666666668E-5</v>
      </c>
      <c r="GT46" s="156">
        <f t="shared" si="329"/>
        <v>5.6266666666666668E-5</v>
      </c>
      <c r="GU46" s="156">
        <f t="shared" si="329"/>
        <v>5.6266666666666668E-5</v>
      </c>
      <c r="GV46" s="156">
        <f t="shared" si="329"/>
        <v>5.6266666666666668E-5</v>
      </c>
      <c r="GW46" s="156">
        <f t="shared" si="329"/>
        <v>5.6266666666666668E-5</v>
      </c>
      <c r="GX46" s="156">
        <f t="shared" si="329"/>
        <v>5.6266666666666668E-5</v>
      </c>
      <c r="GY46" s="156">
        <f t="shared" si="329"/>
        <v>5.6266666666666668E-5</v>
      </c>
      <c r="GZ46" s="156">
        <f t="shared" si="329"/>
        <v>5.6266666666666668E-5</v>
      </c>
      <c r="HA46" s="156">
        <f t="shared" si="329"/>
        <v>5.6266666666666668E-5</v>
      </c>
      <c r="HB46" s="156">
        <f t="shared" si="329"/>
        <v>5.6266666666666668E-5</v>
      </c>
      <c r="HC46" s="156">
        <f t="shared" si="329"/>
        <v>5.6266666666666668E-5</v>
      </c>
      <c r="HD46" s="156">
        <f t="shared" si="329"/>
        <v>5.6266666666666668E-5</v>
      </c>
      <c r="HE46" s="156">
        <f t="shared" si="329"/>
        <v>5.6266666666666668E-5</v>
      </c>
      <c r="HF46" s="156">
        <f t="shared" si="329"/>
        <v>5.6266666666666668E-5</v>
      </c>
      <c r="HG46" s="156">
        <f t="shared" si="329"/>
        <v>5.6266666666666668E-5</v>
      </c>
      <c r="HH46" s="156">
        <f t="shared" si="329"/>
        <v>5.6266666666666668E-5</v>
      </c>
      <c r="HI46" s="156">
        <f t="shared" si="329"/>
        <v>5.6266666666666668E-5</v>
      </c>
      <c r="HJ46" s="156">
        <f t="shared" si="329"/>
        <v>5.6266666666666668E-5</v>
      </c>
      <c r="HK46" s="156">
        <f t="shared" si="329"/>
        <v>5.6266666666666668E-5</v>
      </c>
      <c r="HL46" s="156">
        <f t="shared" si="329"/>
        <v>5.6266666666666668E-5</v>
      </c>
      <c r="HM46" s="156">
        <f t="shared" si="329"/>
        <v>5.6266666666666668E-5</v>
      </c>
      <c r="HN46" s="156">
        <f t="shared" si="329"/>
        <v>5.6266666666666668E-5</v>
      </c>
      <c r="HO46" s="156">
        <f t="shared" si="329"/>
        <v>5.6266666666666668E-5</v>
      </c>
      <c r="HP46" s="156">
        <f t="shared" si="329"/>
        <v>5.6266666666666668E-5</v>
      </c>
      <c r="HQ46" s="156">
        <f t="shared" si="329"/>
        <v>5.6266666666666668E-5</v>
      </c>
      <c r="HR46" s="156">
        <f t="shared" si="329"/>
        <v>5.6266666666666668E-5</v>
      </c>
      <c r="HS46" s="156">
        <f t="shared" si="329"/>
        <v>5.6266666666666668E-5</v>
      </c>
      <c r="HT46" s="156">
        <f t="shared" si="329"/>
        <v>5.6266666666666668E-5</v>
      </c>
      <c r="HU46" s="157">
        <f>0.964%*0.2/30</f>
        <v>6.4266666666666666E-5</v>
      </c>
      <c r="HV46" s="156">
        <f>HU46</f>
        <v>6.4266666666666666E-5</v>
      </c>
      <c r="HW46" s="156">
        <f t="shared" ref="HW46:IX46" si="330">HV46</f>
        <v>6.4266666666666666E-5</v>
      </c>
      <c r="HX46" s="156">
        <f t="shared" si="330"/>
        <v>6.4266666666666666E-5</v>
      </c>
      <c r="HY46" s="156">
        <f t="shared" si="330"/>
        <v>6.4266666666666666E-5</v>
      </c>
      <c r="HZ46" s="156">
        <f t="shared" si="330"/>
        <v>6.4266666666666666E-5</v>
      </c>
      <c r="IA46" s="156">
        <f t="shared" si="330"/>
        <v>6.4266666666666666E-5</v>
      </c>
      <c r="IB46" s="156">
        <f t="shared" si="330"/>
        <v>6.4266666666666666E-5</v>
      </c>
      <c r="IC46" s="156">
        <f t="shared" si="330"/>
        <v>6.4266666666666666E-5</v>
      </c>
      <c r="ID46" s="156">
        <f t="shared" si="330"/>
        <v>6.4266666666666666E-5</v>
      </c>
      <c r="IE46" s="156">
        <f t="shared" si="330"/>
        <v>6.4266666666666666E-5</v>
      </c>
      <c r="IF46" s="156">
        <f t="shared" si="330"/>
        <v>6.4266666666666666E-5</v>
      </c>
      <c r="IG46" s="156">
        <f t="shared" si="330"/>
        <v>6.4266666666666666E-5</v>
      </c>
      <c r="IH46" s="156">
        <f t="shared" si="330"/>
        <v>6.4266666666666666E-5</v>
      </c>
      <c r="II46" s="156">
        <f t="shared" si="330"/>
        <v>6.4266666666666666E-5</v>
      </c>
      <c r="IJ46" s="156">
        <f t="shared" si="330"/>
        <v>6.4266666666666666E-5</v>
      </c>
      <c r="IK46" s="156">
        <f t="shared" si="330"/>
        <v>6.4266666666666666E-5</v>
      </c>
      <c r="IL46" s="156">
        <f t="shared" si="330"/>
        <v>6.4266666666666666E-5</v>
      </c>
      <c r="IM46" s="156">
        <f t="shared" si="330"/>
        <v>6.4266666666666666E-5</v>
      </c>
      <c r="IN46" s="156">
        <f t="shared" si="330"/>
        <v>6.4266666666666666E-5</v>
      </c>
      <c r="IO46" s="156">
        <f t="shared" si="330"/>
        <v>6.4266666666666666E-5</v>
      </c>
      <c r="IP46" s="156">
        <f t="shared" si="330"/>
        <v>6.4266666666666666E-5</v>
      </c>
      <c r="IQ46" s="156">
        <f t="shared" si="330"/>
        <v>6.4266666666666666E-5</v>
      </c>
      <c r="IR46" s="156">
        <f t="shared" si="330"/>
        <v>6.4266666666666666E-5</v>
      </c>
      <c r="IS46" s="156">
        <f t="shared" si="330"/>
        <v>6.4266666666666666E-5</v>
      </c>
      <c r="IT46" s="156">
        <f t="shared" si="330"/>
        <v>6.4266666666666666E-5</v>
      </c>
      <c r="IU46" s="156">
        <f t="shared" si="330"/>
        <v>6.4266666666666666E-5</v>
      </c>
      <c r="IV46" s="156">
        <f t="shared" si="330"/>
        <v>6.4266666666666666E-5</v>
      </c>
      <c r="IW46" s="156">
        <f t="shared" si="330"/>
        <v>6.4266666666666666E-5</v>
      </c>
      <c r="IX46" s="156">
        <f t="shared" si="330"/>
        <v>6.4266666666666666E-5</v>
      </c>
      <c r="IY46" s="157">
        <f>0.964%*0.2/30</f>
        <v>6.4266666666666666E-5</v>
      </c>
      <c r="IZ46" s="156">
        <f>IY46</f>
        <v>6.4266666666666666E-5</v>
      </c>
      <c r="JA46" s="156">
        <f t="shared" ref="JA46:KB46" si="331">IZ46</f>
        <v>6.4266666666666666E-5</v>
      </c>
      <c r="JB46" s="156">
        <f t="shared" si="331"/>
        <v>6.4266666666666666E-5</v>
      </c>
      <c r="JC46" s="156">
        <f t="shared" si="331"/>
        <v>6.4266666666666666E-5</v>
      </c>
      <c r="JD46" s="156">
        <f t="shared" si="331"/>
        <v>6.4266666666666666E-5</v>
      </c>
      <c r="JE46" s="156">
        <f t="shared" si="331"/>
        <v>6.4266666666666666E-5</v>
      </c>
      <c r="JF46" s="156">
        <f t="shared" si="331"/>
        <v>6.4266666666666666E-5</v>
      </c>
      <c r="JG46" s="156">
        <f t="shared" si="331"/>
        <v>6.4266666666666666E-5</v>
      </c>
      <c r="JH46" s="156">
        <f t="shared" si="331"/>
        <v>6.4266666666666666E-5</v>
      </c>
      <c r="JI46" s="156">
        <f t="shared" si="331"/>
        <v>6.4266666666666666E-5</v>
      </c>
      <c r="JJ46" s="156">
        <f t="shared" si="331"/>
        <v>6.4266666666666666E-5</v>
      </c>
      <c r="JK46" s="156">
        <f t="shared" si="331"/>
        <v>6.4266666666666666E-5</v>
      </c>
      <c r="JL46" s="156">
        <f t="shared" si="331"/>
        <v>6.4266666666666666E-5</v>
      </c>
      <c r="JM46" s="156">
        <f t="shared" si="331"/>
        <v>6.4266666666666666E-5</v>
      </c>
      <c r="JN46" s="156">
        <f t="shared" si="331"/>
        <v>6.4266666666666666E-5</v>
      </c>
      <c r="JO46" s="156">
        <f t="shared" si="331"/>
        <v>6.4266666666666666E-5</v>
      </c>
      <c r="JP46" s="156">
        <f t="shared" si="331"/>
        <v>6.4266666666666666E-5</v>
      </c>
      <c r="JQ46" s="156">
        <f t="shared" si="331"/>
        <v>6.4266666666666666E-5</v>
      </c>
      <c r="JR46" s="156">
        <f t="shared" si="331"/>
        <v>6.4266666666666666E-5</v>
      </c>
      <c r="JS46" s="156">
        <f t="shared" si="331"/>
        <v>6.4266666666666666E-5</v>
      </c>
      <c r="JT46" s="156">
        <f t="shared" si="331"/>
        <v>6.4266666666666666E-5</v>
      </c>
      <c r="JU46" s="156">
        <f t="shared" si="331"/>
        <v>6.4266666666666666E-5</v>
      </c>
      <c r="JV46" s="156">
        <f t="shared" si="331"/>
        <v>6.4266666666666666E-5</v>
      </c>
      <c r="JW46" s="156">
        <f t="shared" si="331"/>
        <v>6.4266666666666666E-5</v>
      </c>
      <c r="JX46" s="156">
        <f t="shared" si="331"/>
        <v>6.4266666666666666E-5</v>
      </c>
      <c r="JY46" s="156">
        <f t="shared" si="331"/>
        <v>6.4266666666666666E-5</v>
      </c>
      <c r="JZ46" s="156">
        <f t="shared" si="331"/>
        <v>6.4266666666666666E-5</v>
      </c>
      <c r="KA46" s="156">
        <f t="shared" si="331"/>
        <v>6.4266666666666666E-5</v>
      </c>
      <c r="KB46" s="156">
        <f t="shared" si="331"/>
        <v>6.4266666666666666E-5</v>
      </c>
      <c r="KC46" s="214">
        <f>1.264%+0.1888%</f>
        <v>1.4527999999999999E-2</v>
      </c>
      <c r="KD46" s="214"/>
      <c r="KE46" s="214"/>
      <c r="KF46" s="214">
        <f>1.264%+0.1888%</f>
        <v>1.4527999999999999E-2</v>
      </c>
      <c r="KG46" s="214"/>
      <c r="KH46" s="214"/>
      <c r="KI46" s="214">
        <f>1.264%+0.1888%</f>
        <v>1.4527999999999999E-2</v>
      </c>
      <c r="KJ46" s="214"/>
      <c r="KK46" s="214"/>
      <c r="KL46" s="214">
        <f>1.014%+0.1888%</f>
        <v>1.2028E-2</v>
      </c>
      <c r="KM46" s="214"/>
      <c r="KN46" s="214"/>
      <c r="KO46" s="214">
        <f>1.014%+0.1888%</f>
        <v>1.2028E-2</v>
      </c>
      <c r="KP46" s="214"/>
      <c r="KQ46" s="214"/>
      <c r="KR46" s="214">
        <f>0.994%+0.1888%</f>
        <v>1.1827999999999998E-2</v>
      </c>
      <c r="KS46" s="214"/>
      <c r="KT46" s="214"/>
      <c r="KU46" s="212">
        <f>0.854%+0.1888%</f>
        <v>1.0428E-2</v>
      </c>
      <c r="KV46" s="212"/>
      <c r="KW46" s="212"/>
      <c r="KX46" s="212">
        <f>0.854%+0.1888%</f>
        <v>1.0428E-2</v>
      </c>
      <c r="KY46" s="212"/>
      <c r="KZ46" s="218"/>
      <c r="LA46" s="211">
        <f>0.854%+0.1888%</f>
        <v>1.0428E-2</v>
      </c>
      <c r="LB46" s="212"/>
      <c r="LC46" s="213"/>
      <c r="LD46" s="220">
        <f>0.694%+0.1888%</f>
        <v>8.827999999999999E-3</v>
      </c>
      <c r="LE46" s="212"/>
      <c r="LF46" s="212"/>
      <c r="LG46" s="212">
        <f>0.694%+0.1888%</f>
        <v>8.827999999999999E-3</v>
      </c>
      <c r="LH46" s="212"/>
      <c r="LI46" s="212"/>
      <c r="LJ46" s="212">
        <f>0.434%+0.1888%</f>
        <v>6.228E-3</v>
      </c>
      <c r="LK46" s="212"/>
      <c r="LL46" s="212"/>
      <c r="LM46" s="212">
        <f>0.434%+0.1888%</f>
        <v>6.228E-3</v>
      </c>
      <c r="LN46" s="212"/>
      <c r="LO46" s="212"/>
      <c r="LP46" s="212">
        <f>0.434%+0.1888%</f>
        <v>6.228E-3</v>
      </c>
      <c r="LQ46" s="212"/>
      <c r="LR46" s="212"/>
      <c r="LS46" s="212">
        <f>0.264%+0.1888%</f>
        <v>4.5279999999999999E-3</v>
      </c>
      <c r="LT46" s="212"/>
      <c r="LU46" s="212"/>
      <c r="LV46" s="212">
        <f>0.264%+0.1888%</f>
        <v>4.5279999999999999E-3</v>
      </c>
      <c r="LW46" s="212"/>
      <c r="LX46" s="212"/>
      <c r="LY46" s="212">
        <f>0.184%+0.1888%</f>
        <v>3.728E-3</v>
      </c>
      <c r="LZ46" s="212"/>
      <c r="MA46" s="212"/>
      <c r="MB46" s="212">
        <f>0.184%+0.1888%</f>
        <v>3.728E-3</v>
      </c>
      <c r="MC46" s="212"/>
      <c r="MD46" s="212"/>
      <c r="ME46" s="212">
        <f>0.1%+0.1891%</f>
        <v>2.8909999999999999E-3</v>
      </c>
      <c r="MF46" s="212"/>
      <c r="MG46" s="212"/>
      <c r="MH46" s="212"/>
      <c r="MI46" s="212"/>
      <c r="MJ46" s="212"/>
      <c r="MK46" s="67"/>
      <c r="ML46" s="67"/>
      <c r="MM46" s="67"/>
      <c r="MN46" s="66"/>
      <c r="MO46" s="67"/>
      <c r="MP46" s="68"/>
      <c r="MQ46" s="66"/>
      <c r="MR46" s="67"/>
      <c r="MS46" s="68"/>
      <c r="MT46" s="66"/>
      <c r="MU46" s="67"/>
      <c r="MV46" s="68"/>
      <c r="MW46" s="66"/>
      <c r="MX46" s="67"/>
      <c r="MY46" s="68"/>
      <c r="MZ46" s="66"/>
      <c r="NA46" s="67"/>
      <c r="NB46" s="68"/>
      <c r="NC46" s="67"/>
      <c r="ND46" s="67"/>
      <c r="NE46" s="72"/>
      <c r="NG46" s="275">
        <f>SUM(R46:NE46)</f>
        <v>0.17791000000000001</v>
      </c>
      <c r="NH46" s="1"/>
      <c r="NI46" s="1"/>
      <c r="NJ46" s="1"/>
      <c r="NK46" s="1"/>
    </row>
    <row r="47" spans="5:375" s="6" customFormat="1" ht="6.95" customHeight="1">
      <c r="F47" s="196"/>
      <c r="G47" s="197"/>
      <c r="H47" s="52">
        <v>2</v>
      </c>
      <c r="L47" s="292"/>
      <c r="M47" s="295"/>
      <c r="N47" s="296"/>
      <c r="O47" s="298"/>
      <c r="P47" s="315"/>
      <c r="Q47" s="237"/>
      <c r="R47" s="73"/>
      <c r="S47" s="61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1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3"/>
      <c r="CA47" s="61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1"/>
      <c r="DF47" s="62"/>
      <c r="DG47" s="62"/>
      <c r="DH47" s="62"/>
      <c r="DI47" s="62"/>
      <c r="DJ47" s="62"/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E47" s="62"/>
      <c r="EF47" s="62"/>
      <c r="EG47" s="62"/>
      <c r="EH47" s="62"/>
      <c r="EI47" s="61"/>
      <c r="EJ47" s="62"/>
      <c r="EK47" s="62"/>
      <c r="EL47" s="62"/>
      <c r="EM47" s="62"/>
      <c r="EN47" s="62"/>
      <c r="EO47" s="62"/>
      <c r="EP47" s="62"/>
      <c r="EQ47" s="62"/>
      <c r="ER47" s="62"/>
      <c r="ES47" s="62"/>
      <c r="ET47" s="62"/>
      <c r="EU47" s="62"/>
      <c r="EV47" s="62"/>
      <c r="EW47" s="62"/>
      <c r="EX47" s="62"/>
      <c r="EY47" s="62"/>
      <c r="EZ47" s="62"/>
      <c r="FA47" s="62"/>
      <c r="FB47" s="62"/>
      <c r="FC47" s="62"/>
      <c r="FD47" s="62"/>
      <c r="FE47" s="62"/>
      <c r="FF47" s="62"/>
      <c r="FG47" s="62"/>
      <c r="FH47" s="62"/>
      <c r="FI47" s="62"/>
      <c r="FJ47" s="62"/>
      <c r="FK47" s="62"/>
      <c r="FL47" s="62"/>
      <c r="FM47" s="61"/>
      <c r="FN47" s="62"/>
      <c r="FO47" s="62"/>
      <c r="FP47" s="62"/>
      <c r="FQ47" s="62"/>
      <c r="FR47" s="62"/>
      <c r="FS47" s="62"/>
      <c r="FT47" s="62"/>
      <c r="FU47" s="62"/>
      <c r="FV47" s="62"/>
      <c r="FW47" s="62"/>
      <c r="FX47" s="62"/>
      <c r="FY47" s="62"/>
      <c r="FZ47" s="62"/>
      <c r="GA47" s="62"/>
      <c r="GB47" s="62"/>
      <c r="GC47" s="62"/>
      <c r="GD47" s="62"/>
      <c r="GE47" s="62"/>
      <c r="GF47" s="62"/>
      <c r="GG47" s="62"/>
      <c r="GH47" s="62"/>
      <c r="GI47" s="62"/>
      <c r="GJ47" s="62"/>
      <c r="GK47" s="62"/>
      <c r="GL47" s="62"/>
      <c r="GM47" s="62"/>
      <c r="GN47" s="62"/>
      <c r="GO47" s="62"/>
      <c r="GP47" s="62"/>
      <c r="GQ47" s="61"/>
      <c r="GR47" s="62"/>
      <c r="GS47" s="62"/>
      <c r="GT47" s="62"/>
      <c r="GU47" s="62"/>
      <c r="GV47" s="62"/>
      <c r="GW47" s="62"/>
      <c r="GX47" s="62"/>
      <c r="GY47" s="62"/>
      <c r="GZ47" s="62"/>
      <c r="HA47" s="62"/>
      <c r="HB47" s="62"/>
      <c r="HC47" s="62"/>
      <c r="HD47" s="62"/>
      <c r="HE47" s="62"/>
      <c r="HF47" s="62"/>
      <c r="HG47" s="62"/>
      <c r="HH47" s="62"/>
      <c r="HI47" s="62"/>
      <c r="HJ47" s="62"/>
      <c r="HK47" s="62"/>
      <c r="HL47" s="62"/>
      <c r="HM47" s="62"/>
      <c r="HN47" s="62"/>
      <c r="HO47" s="62"/>
      <c r="HP47" s="62"/>
      <c r="HQ47" s="62"/>
      <c r="HR47" s="62"/>
      <c r="HS47" s="62"/>
      <c r="HT47" s="62"/>
      <c r="HU47" s="61"/>
      <c r="HV47" s="62"/>
      <c r="HW47" s="62"/>
      <c r="HX47" s="62"/>
      <c r="HY47" s="62"/>
      <c r="HZ47" s="62"/>
      <c r="IA47" s="62"/>
      <c r="IB47" s="62"/>
      <c r="IC47" s="62"/>
      <c r="ID47" s="62"/>
      <c r="IE47" s="62"/>
      <c r="IF47" s="62"/>
      <c r="IG47" s="62"/>
      <c r="IH47" s="62"/>
      <c r="II47" s="62"/>
      <c r="IJ47" s="62"/>
      <c r="IK47" s="62"/>
      <c r="IL47" s="62"/>
      <c r="IM47" s="62"/>
      <c r="IN47" s="62"/>
      <c r="IO47" s="62"/>
      <c r="IP47" s="62"/>
      <c r="IQ47" s="62"/>
      <c r="IR47" s="62"/>
      <c r="IS47" s="62"/>
      <c r="IT47" s="62"/>
      <c r="IU47" s="62"/>
      <c r="IV47" s="62"/>
      <c r="IW47" s="62"/>
      <c r="IX47" s="62"/>
      <c r="IY47" s="61"/>
      <c r="IZ47" s="62"/>
      <c r="JA47" s="62"/>
      <c r="JB47" s="62"/>
      <c r="JC47" s="62"/>
      <c r="JD47" s="62"/>
      <c r="JE47" s="62"/>
      <c r="JF47" s="62"/>
      <c r="JG47" s="62"/>
      <c r="JH47" s="62"/>
      <c r="JI47" s="62"/>
      <c r="JJ47" s="62"/>
      <c r="JK47" s="62"/>
      <c r="JL47" s="62"/>
      <c r="JM47" s="62"/>
      <c r="JN47" s="62"/>
      <c r="JO47" s="62"/>
      <c r="JP47" s="62"/>
      <c r="JQ47" s="62"/>
      <c r="JR47" s="62"/>
      <c r="JS47" s="62"/>
      <c r="JT47" s="62"/>
      <c r="JU47" s="62"/>
      <c r="JV47" s="62"/>
      <c r="JW47" s="62"/>
      <c r="JX47" s="62"/>
      <c r="JY47" s="62"/>
      <c r="JZ47" s="62"/>
      <c r="KA47" s="62"/>
      <c r="KB47" s="62"/>
      <c r="KC47" s="61"/>
      <c r="KD47" s="62"/>
      <c r="KE47" s="63"/>
      <c r="KF47" s="61"/>
      <c r="KG47" s="62"/>
      <c r="KH47" s="63"/>
      <c r="KI47" s="61"/>
      <c r="KJ47" s="62"/>
      <c r="KK47" s="63"/>
      <c r="KL47" s="61"/>
      <c r="KM47" s="62"/>
      <c r="KN47" s="63"/>
      <c r="KO47" s="61"/>
      <c r="KP47" s="62"/>
      <c r="KQ47" s="63"/>
      <c r="KR47" s="61"/>
      <c r="KS47" s="62"/>
      <c r="KT47" s="63"/>
      <c r="KU47" s="61"/>
      <c r="KV47" s="62"/>
      <c r="KW47" s="63"/>
      <c r="KX47" s="61"/>
      <c r="KY47" s="62"/>
      <c r="KZ47" s="63"/>
      <c r="LA47" s="61"/>
      <c r="LB47" s="62"/>
      <c r="LC47" s="63"/>
      <c r="LD47" s="61"/>
      <c r="LE47" s="62"/>
      <c r="LF47" s="63"/>
      <c r="LG47" s="61"/>
      <c r="LH47" s="62"/>
      <c r="LI47" s="63"/>
      <c r="LJ47" s="61"/>
      <c r="LK47" s="62"/>
      <c r="LL47" s="63"/>
      <c r="LM47" s="61"/>
      <c r="LN47" s="62"/>
      <c r="LO47" s="63"/>
      <c r="LP47" s="61"/>
      <c r="LQ47" s="62"/>
      <c r="LR47" s="63"/>
      <c r="LS47" s="61"/>
      <c r="LT47" s="62"/>
      <c r="LU47" s="63"/>
      <c r="LV47" s="61"/>
      <c r="LW47" s="62"/>
      <c r="LX47" s="63"/>
      <c r="LY47" s="61"/>
      <c r="LZ47" s="62"/>
      <c r="MA47" s="63"/>
      <c r="MB47" s="61"/>
      <c r="MC47" s="62"/>
      <c r="MD47" s="63"/>
      <c r="ME47" s="61"/>
      <c r="MF47" s="62"/>
      <c r="MG47" s="63"/>
      <c r="MH47" s="66"/>
      <c r="MI47" s="67"/>
      <c r="MJ47" s="68"/>
      <c r="MK47" s="67"/>
      <c r="ML47" s="67"/>
      <c r="MM47" s="67"/>
      <c r="MN47" s="66"/>
      <c r="MO47" s="67"/>
      <c r="MP47" s="68"/>
      <c r="MQ47" s="66"/>
      <c r="MR47" s="67"/>
      <c r="MS47" s="68"/>
      <c r="MT47" s="66"/>
      <c r="MU47" s="67"/>
      <c r="MV47" s="68"/>
      <c r="MW47" s="66"/>
      <c r="MX47" s="67"/>
      <c r="MY47" s="68"/>
      <c r="MZ47" s="66"/>
      <c r="NA47" s="67"/>
      <c r="NB47" s="68"/>
      <c r="NC47" s="67"/>
      <c r="ND47" s="67"/>
      <c r="NE47" s="72"/>
      <c r="NG47" s="275"/>
      <c r="NH47" s="1"/>
      <c r="NI47" s="1"/>
      <c r="NJ47" s="1"/>
      <c r="NK47" s="1"/>
    </row>
    <row r="48" spans="5:375" s="6" customFormat="1" ht="9.9499999999999993" customHeight="1">
      <c r="E48" s="79"/>
      <c r="F48" s="196">
        <f t="shared" ref="F48" si="332">NG48</f>
        <v>7.1350000000000025E-2</v>
      </c>
      <c r="G48" s="197">
        <f>Q48-F48</f>
        <v>0</v>
      </c>
      <c r="H48" s="27">
        <v>1</v>
      </c>
      <c r="I48" s="19" t="s">
        <v>185</v>
      </c>
      <c r="J48" s="19" t="s">
        <v>184</v>
      </c>
      <c r="K48" s="19" t="s">
        <v>187</v>
      </c>
      <c r="L48" s="339"/>
      <c r="M48" s="370" t="s">
        <v>266</v>
      </c>
      <c r="N48" s="356">
        <v>7742307</v>
      </c>
      <c r="O48" s="352" t="s">
        <v>262</v>
      </c>
      <c r="P48" s="307">
        <v>14855571</v>
      </c>
      <c r="Q48" s="236">
        <f>ROUND(P48/$P$256,5)</f>
        <v>7.1349999999999997E-2</v>
      </c>
      <c r="R48" s="21"/>
      <c r="S48" s="141">
        <f>0.012%*0.3/30</f>
        <v>1.1999999999999999E-6</v>
      </c>
      <c r="T48" s="141">
        <f>S48</f>
        <v>1.1999999999999999E-6</v>
      </c>
      <c r="U48" s="141">
        <f t="shared" ref="U48:AV48" si="333">T48</f>
        <v>1.1999999999999999E-6</v>
      </c>
      <c r="V48" s="141">
        <f t="shared" si="333"/>
        <v>1.1999999999999999E-6</v>
      </c>
      <c r="W48" s="141">
        <f t="shared" si="333"/>
        <v>1.1999999999999999E-6</v>
      </c>
      <c r="X48" s="141">
        <f t="shared" si="333"/>
        <v>1.1999999999999999E-6</v>
      </c>
      <c r="Y48" s="141">
        <f t="shared" si="333"/>
        <v>1.1999999999999999E-6</v>
      </c>
      <c r="Z48" s="141">
        <f t="shared" si="333"/>
        <v>1.1999999999999999E-6</v>
      </c>
      <c r="AA48" s="141">
        <f t="shared" si="333"/>
        <v>1.1999999999999999E-6</v>
      </c>
      <c r="AB48" s="141">
        <f t="shared" si="333"/>
        <v>1.1999999999999999E-6</v>
      </c>
      <c r="AC48" s="141">
        <f t="shared" si="333"/>
        <v>1.1999999999999999E-6</v>
      </c>
      <c r="AD48" s="141">
        <f t="shared" si="333"/>
        <v>1.1999999999999999E-6</v>
      </c>
      <c r="AE48" s="141">
        <f t="shared" si="333"/>
        <v>1.1999999999999999E-6</v>
      </c>
      <c r="AF48" s="141">
        <f t="shared" si="333"/>
        <v>1.1999999999999999E-6</v>
      </c>
      <c r="AG48" s="141">
        <f t="shared" si="333"/>
        <v>1.1999999999999999E-6</v>
      </c>
      <c r="AH48" s="141">
        <f t="shared" si="333"/>
        <v>1.1999999999999999E-6</v>
      </c>
      <c r="AI48" s="141">
        <f t="shared" si="333"/>
        <v>1.1999999999999999E-6</v>
      </c>
      <c r="AJ48" s="141">
        <f t="shared" si="333"/>
        <v>1.1999999999999999E-6</v>
      </c>
      <c r="AK48" s="141">
        <f t="shared" si="333"/>
        <v>1.1999999999999999E-6</v>
      </c>
      <c r="AL48" s="141">
        <f t="shared" si="333"/>
        <v>1.1999999999999999E-6</v>
      </c>
      <c r="AM48" s="141">
        <f t="shared" si="333"/>
        <v>1.1999999999999999E-6</v>
      </c>
      <c r="AN48" s="141">
        <f t="shared" si="333"/>
        <v>1.1999999999999999E-6</v>
      </c>
      <c r="AO48" s="141">
        <f t="shared" si="333"/>
        <v>1.1999999999999999E-6</v>
      </c>
      <c r="AP48" s="141">
        <f t="shared" si="333"/>
        <v>1.1999999999999999E-6</v>
      </c>
      <c r="AQ48" s="141">
        <f t="shared" si="333"/>
        <v>1.1999999999999999E-6</v>
      </c>
      <c r="AR48" s="141">
        <f t="shared" si="333"/>
        <v>1.1999999999999999E-6</v>
      </c>
      <c r="AS48" s="141">
        <f t="shared" si="333"/>
        <v>1.1999999999999999E-6</v>
      </c>
      <c r="AT48" s="141">
        <f t="shared" si="333"/>
        <v>1.1999999999999999E-6</v>
      </c>
      <c r="AU48" s="141">
        <f t="shared" si="333"/>
        <v>1.1999999999999999E-6</v>
      </c>
      <c r="AV48" s="141">
        <f t="shared" si="333"/>
        <v>1.1999999999999999E-6</v>
      </c>
      <c r="AW48" s="156">
        <f>0.057%*0.3/30</f>
        <v>5.6999999999999996E-6</v>
      </c>
      <c r="AX48" s="156">
        <f>AW48</f>
        <v>5.6999999999999996E-6</v>
      </c>
      <c r="AY48" s="156">
        <f t="shared" ref="AY48:BZ48" si="334">AX48</f>
        <v>5.6999999999999996E-6</v>
      </c>
      <c r="AZ48" s="156">
        <f t="shared" si="334"/>
        <v>5.6999999999999996E-6</v>
      </c>
      <c r="BA48" s="156">
        <f t="shared" si="334"/>
        <v>5.6999999999999996E-6</v>
      </c>
      <c r="BB48" s="156">
        <f t="shared" si="334"/>
        <v>5.6999999999999996E-6</v>
      </c>
      <c r="BC48" s="156">
        <f t="shared" si="334"/>
        <v>5.6999999999999996E-6</v>
      </c>
      <c r="BD48" s="156">
        <f t="shared" si="334"/>
        <v>5.6999999999999996E-6</v>
      </c>
      <c r="BE48" s="156">
        <f t="shared" si="334"/>
        <v>5.6999999999999996E-6</v>
      </c>
      <c r="BF48" s="156">
        <f t="shared" si="334"/>
        <v>5.6999999999999996E-6</v>
      </c>
      <c r="BG48" s="156">
        <f t="shared" si="334"/>
        <v>5.6999999999999996E-6</v>
      </c>
      <c r="BH48" s="156">
        <f t="shared" si="334"/>
        <v>5.6999999999999996E-6</v>
      </c>
      <c r="BI48" s="156">
        <f t="shared" si="334"/>
        <v>5.6999999999999996E-6</v>
      </c>
      <c r="BJ48" s="156">
        <f t="shared" si="334"/>
        <v>5.6999999999999996E-6</v>
      </c>
      <c r="BK48" s="156">
        <f t="shared" si="334"/>
        <v>5.6999999999999996E-6</v>
      </c>
      <c r="BL48" s="156">
        <f t="shared" si="334"/>
        <v>5.6999999999999996E-6</v>
      </c>
      <c r="BM48" s="156">
        <f t="shared" si="334"/>
        <v>5.6999999999999996E-6</v>
      </c>
      <c r="BN48" s="156">
        <f t="shared" si="334"/>
        <v>5.6999999999999996E-6</v>
      </c>
      <c r="BO48" s="156">
        <f t="shared" si="334"/>
        <v>5.6999999999999996E-6</v>
      </c>
      <c r="BP48" s="156">
        <f t="shared" si="334"/>
        <v>5.6999999999999996E-6</v>
      </c>
      <c r="BQ48" s="156">
        <f t="shared" si="334"/>
        <v>5.6999999999999996E-6</v>
      </c>
      <c r="BR48" s="156">
        <f t="shared" si="334"/>
        <v>5.6999999999999996E-6</v>
      </c>
      <c r="BS48" s="156">
        <f t="shared" si="334"/>
        <v>5.6999999999999996E-6</v>
      </c>
      <c r="BT48" s="156">
        <f t="shared" si="334"/>
        <v>5.6999999999999996E-6</v>
      </c>
      <c r="BU48" s="156">
        <f t="shared" si="334"/>
        <v>5.6999999999999996E-6</v>
      </c>
      <c r="BV48" s="156">
        <f t="shared" si="334"/>
        <v>5.6999999999999996E-6</v>
      </c>
      <c r="BW48" s="156">
        <f t="shared" si="334"/>
        <v>5.6999999999999996E-6</v>
      </c>
      <c r="BX48" s="156">
        <f t="shared" si="334"/>
        <v>5.6999999999999996E-6</v>
      </c>
      <c r="BY48" s="156">
        <f t="shared" si="334"/>
        <v>5.6999999999999996E-6</v>
      </c>
      <c r="BZ48" s="156">
        <f t="shared" si="334"/>
        <v>5.6999999999999996E-6</v>
      </c>
      <c r="CA48" s="156">
        <f>0.077%*0.3/30</f>
        <v>7.6999999999999991E-6</v>
      </c>
      <c r="CB48" s="156">
        <f>CA48</f>
        <v>7.6999999999999991E-6</v>
      </c>
      <c r="CC48" s="156">
        <f t="shared" ref="CC48:DD48" si="335">CB48</f>
        <v>7.6999999999999991E-6</v>
      </c>
      <c r="CD48" s="156">
        <f t="shared" si="335"/>
        <v>7.6999999999999991E-6</v>
      </c>
      <c r="CE48" s="156">
        <f t="shared" si="335"/>
        <v>7.6999999999999991E-6</v>
      </c>
      <c r="CF48" s="156">
        <f t="shared" si="335"/>
        <v>7.6999999999999991E-6</v>
      </c>
      <c r="CG48" s="156">
        <f t="shared" si="335"/>
        <v>7.6999999999999991E-6</v>
      </c>
      <c r="CH48" s="156">
        <f t="shared" si="335"/>
        <v>7.6999999999999991E-6</v>
      </c>
      <c r="CI48" s="156">
        <f t="shared" si="335"/>
        <v>7.6999999999999991E-6</v>
      </c>
      <c r="CJ48" s="156">
        <f t="shared" si="335"/>
        <v>7.6999999999999991E-6</v>
      </c>
      <c r="CK48" s="156">
        <f t="shared" si="335"/>
        <v>7.6999999999999991E-6</v>
      </c>
      <c r="CL48" s="156">
        <f t="shared" si="335"/>
        <v>7.6999999999999991E-6</v>
      </c>
      <c r="CM48" s="156">
        <f t="shared" si="335"/>
        <v>7.6999999999999991E-6</v>
      </c>
      <c r="CN48" s="156">
        <f t="shared" si="335"/>
        <v>7.6999999999999991E-6</v>
      </c>
      <c r="CO48" s="156">
        <f t="shared" si="335"/>
        <v>7.6999999999999991E-6</v>
      </c>
      <c r="CP48" s="156">
        <f t="shared" si="335"/>
        <v>7.6999999999999991E-6</v>
      </c>
      <c r="CQ48" s="156">
        <f t="shared" si="335"/>
        <v>7.6999999999999991E-6</v>
      </c>
      <c r="CR48" s="156">
        <f t="shared" si="335"/>
        <v>7.6999999999999991E-6</v>
      </c>
      <c r="CS48" s="156">
        <f t="shared" si="335"/>
        <v>7.6999999999999991E-6</v>
      </c>
      <c r="CT48" s="156">
        <f t="shared" si="335"/>
        <v>7.6999999999999991E-6</v>
      </c>
      <c r="CU48" s="156">
        <f t="shared" si="335"/>
        <v>7.6999999999999991E-6</v>
      </c>
      <c r="CV48" s="156">
        <f t="shared" si="335"/>
        <v>7.6999999999999991E-6</v>
      </c>
      <c r="CW48" s="156">
        <f t="shared" si="335"/>
        <v>7.6999999999999991E-6</v>
      </c>
      <c r="CX48" s="156">
        <f t="shared" si="335"/>
        <v>7.6999999999999991E-6</v>
      </c>
      <c r="CY48" s="156">
        <f t="shared" si="335"/>
        <v>7.6999999999999991E-6</v>
      </c>
      <c r="CZ48" s="156">
        <f t="shared" si="335"/>
        <v>7.6999999999999991E-6</v>
      </c>
      <c r="DA48" s="156">
        <f t="shared" si="335"/>
        <v>7.6999999999999991E-6</v>
      </c>
      <c r="DB48" s="156">
        <f t="shared" si="335"/>
        <v>7.6999999999999991E-6</v>
      </c>
      <c r="DC48" s="156">
        <f t="shared" si="335"/>
        <v>7.6999999999999991E-6</v>
      </c>
      <c r="DD48" s="156">
        <f t="shared" si="335"/>
        <v>7.6999999999999991E-6</v>
      </c>
      <c r="DE48" s="156">
        <f>0.146%*0.3/30</f>
        <v>1.4599999999999999E-5</v>
      </c>
      <c r="DF48" s="156">
        <f>DE48</f>
        <v>1.4599999999999999E-5</v>
      </c>
      <c r="DG48" s="156">
        <f t="shared" ref="DG48:EH48" si="336">DF48</f>
        <v>1.4599999999999999E-5</v>
      </c>
      <c r="DH48" s="156">
        <f t="shared" si="336"/>
        <v>1.4599999999999999E-5</v>
      </c>
      <c r="DI48" s="156">
        <f t="shared" si="336"/>
        <v>1.4599999999999999E-5</v>
      </c>
      <c r="DJ48" s="156">
        <f t="shared" si="336"/>
        <v>1.4599999999999999E-5</v>
      </c>
      <c r="DK48" s="156">
        <f t="shared" si="336"/>
        <v>1.4599999999999999E-5</v>
      </c>
      <c r="DL48" s="156">
        <f t="shared" si="336"/>
        <v>1.4599999999999999E-5</v>
      </c>
      <c r="DM48" s="156">
        <f t="shared" si="336"/>
        <v>1.4599999999999999E-5</v>
      </c>
      <c r="DN48" s="156">
        <f t="shared" si="336"/>
        <v>1.4599999999999999E-5</v>
      </c>
      <c r="DO48" s="156">
        <f t="shared" si="336"/>
        <v>1.4599999999999999E-5</v>
      </c>
      <c r="DP48" s="156">
        <f t="shared" si="336"/>
        <v>1.4599999999999999E-5</v>
      </c>
      <c r="DQ48" s="156">
        <f t="shared" si="336"/>
        <v>1.4599999999999999E-5</v>
      </c>
      <c r="DR48" s="156">
        <f t="shared" si="336"/>
        <v>1.4599999999999999E-5</v>
      </c>
      <c r="DS48" s="156">
        <f t="shared" si="336"/>
        <v>1.4599999999999999E-5</v>
      </c>
      <c r="DT48" s="156">
        <f t="shared" si="336"/>
        <v>1.4599999999999999E-5</v>
      </c>
      <c r="DU48" s="156">
        <f t="shared" si="336"/>
        <v>1.4599999999999999E-5</v>
      </c>
      <c r="DV48" s="156">
        <f t="shared" si="336"/>
        <v>1.4599999999999999E-5</v>
      </c>
      <c r="DW48" s="156">
        <f t="shared" si="336"/>
        <v>1.4599999999999999E-5</v>
      </c>
      <c r="DX48" s="156">
        <f t="shared" si="336"/>
        <v>1.4599999999999999E-5</v>
      </c>
      <c r="DY48" s="156">
        <f t="shared" si="336"/>
        <v>1.4599999999999999E-5</v>
      </c>
      <c r="DZ48" s="156">
        <f t="shared" si="336"/>
        <v>1.4599999999999999E-5</v>
      </c>
      <c r="EA48" s="156">
        <f t="shared" si="336"/>
        <v>1.4599999999999999E-5</v>
      </c>
      <c r="EB48" s="156">
        <f t="shared" si="336"/>
        <v>1.4599999999999999E-5</v>
      </c>
      <c r="EC48" s="156">
        <f t="shared" si="336"/>
        <v>1.4599999999999999E-5</v>
      </c>
      <c r="ED48" s="156">
        <f t="shared" si="336"/>
        <v>1.4599999999999999E-5</v>
      </c>
      <c r="EE48" s="156">
        <f t="shared" si="336"/>
        <v>1.4599999999999999E-5</v>
      </c>
      <c r="EF48" s="156">
        <f t="shared" si="336"/>
        <v>1.4599999999999999E-5</v>
      </c>
      <c r="EG48" s="156">
        <f t="shared" si="336"/>
        <v>1.4599999999999999E-5</v>
      </c>
      <c r="EH48" s="156">
        <f t="shared" si="336"/>
        <v>1.4599999999999999E-5</v>
      </c>
      <c r="EI48" s="156">
        <f>0.197%*0.3/30</f>
        <v>1.9699999999999998E-5</v>
      </c>
      <c r="EJ48" s="156">
        <f>EI48</f>
        <v>1.9699999999999998E-5</v>
      </c>
      <c r="EK48" s="156">
        <f t="shared" ref="EK48:FL48" si="337">EJ48</f>
        <v>1.9699999999999998E-5</v>
      </c>
      <c r="EL48" s="156">
        <f t="shared" si="337"/>
        <v>1.9699999999999998E-5</v>
      </c>
      <c r="EM48" s="156">
        <f t="shared" si="337"/>
        <v>1.9699999999999998E-5</v>
      </c>
      <c r="EN48" s="156">
        <f t="shared" si="337"/>
        <v>1.9699999999999998E-5</v>
      </c>
      <c r="EO48" s="156">
        <f t="shared" si="337"/>
        <v>1.9699999999999998E-5</v>
      </c>
      <c r="EP48" s="156">
        <f t="shared" si="337"/>
        <v>1.9699999999999998E-5</v>
      </c>
      <c r="EQ48" s="156">
        <f t="shared" si="337"/>
        <v>1.9699999999999998E-5</v>
      </c>
      <c r="ER48" s="156">
        <f t="shared" si="337"/>
        <v>1.9699999999999998E-5</v>
      </c>
      <c r="ES48" s="156">
        <f t="shared" si="337"/>
        <v>1.9699999999999998E-5</v>
      </c>
      <c r="ET48" s="156">
        <f t="shared" si="337"/>
        <v>1.9699999999999998E-5</v>
      </c>
      <c r="EU48" s="156">
        <f t="shared" si="337"/>
        <v>1.9699999999999998E-5</v>
      </c>
      <c r="EV48" s="156">
        <f t="shared" si="337"/>
        <v>1.9699999999999998E-5</v>
      </c>
      <c r="EW48" s="156">
        <f t="shared" si="337"/>
        <v>1.9699999999999998E-5</v>
      </c>
      <c r="EX48" s="156">
        <f t="shared" si="337"/>
        <v>1.9699999999999998E-5</v>
      </c>
      <c r="EY48" s="156">
        <f t="shared" si="337"/>
        <v>1.9699999999999998E-5</v>
      </c>
      <c r="EZ48" s="156">
        <f t="shared" si="337"/>
        <v>1.9699999999999998E-5</v>
      </c>
      <c r="FA48" s="156">
        <f t="shared" si="337"/>
        <v>1.9699999999999998E-5</v>
      </c>
      <c r="FB48" s="156">
        <f t="shared" si="337"/>
        <v>1.9699999999999998E-5</v>
      </c>
      <c r="FC48" s="156">
        <f t="shared" si="337"/>
        <v>1.9699999999999998E-5</v>
      </c>
      <c r="FD48" s="156">
        <f t="shared" si="337"/>
        <v>1.9699999999999998E-5</v>
      </c>
      <c r="FE48" s="156">
        <f t="shared" si="337"/>
        <v>1.9699999999999998E-5</v>
      </c>
      <c r="FF48" s="156">
        <f t="shared" si="337"/>
        <v>1.9699999999999998E-5</v>
      </c>
      <c r="FG48" s="156">
        <f t="shared" si="337"/>
        <v>1.9699999999999998E-5</v>
      </c>
      <c r="FH48" s="156">
        <f t="shared" si="337"/>
        <v>1.9699999999999998E-5</v>
      </c>
      <c r="FI48" s="156">
        <f t="shared" si="337"/>
        <v>1.9699999999999998E-5</v>
      </c>
      <c r="FJ48" s="156">
        <f t="shared" si="337"/>
        <v>1.9699999999999998E-5</v>
      </c>
      <c r="FK48" s="156">
        <f t="shared" si="337"/>
        <v>1.9699999999999998E-5</v>
      </c>
      <c r="FL48" s="156">
        <f t="shared" si="337"/>
        <v>1.9699999999999998E-5</v>
      </c>
      <c r="FM48" s="156">
        <f>0.297%*0.3/30</f>
        <v>2.97E-5</v>
      </c>
      <c r="FN48" s="156">
        <f>FM48</f>
        <v>2.97E-5</v>
      </c>
      <c r="FO48" s="156">
        <f t="shared" ref="FO48:GP48" si="338">FN48</f>
        <v>2.97E-5</v>
      </c>
      <c r="FP48" s="156">
        <f t="shared" si="338"/>
        <v>2.97E-5</v>
      </c>
      <c r="FQ48" s="156">
        <f t="shared" si="338"/>
        <v>2.97E-5</v>
      </c>
      <c r="FR48" s="156">
        <f t="shared" si="338"/>
        <v>2.97E-5</v>
      </c>
      <c r="FS48" s="156">
        <f t="shared" si="338"/>
        <v>2.97E-5</v>
      </c>
      <c r="FT48" s="156">
        <f t="shared" si="338"/>
        <v>2.97E-5</v>
      </c>
      <c r="FU48" s="156">
        <f t="shared" si="338"/>
        <v>2.97E-5</v>
      </c>
      <c r="FV48" s="156">
        <f t="shared" si="338"/>
        <v>2.97E-5</v>
      </c>
      <c r="FW48" s="156">
        <f t="shared" si="338"/>
        <v>2.97E-5</v>
      </c>
      <c r="FX48" s="156">
        <f t="shared" si="338"/>
        <v>2.97E-5</v>
      </c>
      <c r="FY48" s="156">
        <f t="shared" si="338"/>
        <v>2.97E-5</v>
      </c>
      <c r="FZ48" s="156">
        <f t="shared" si="338"/>
        <v>2.97E-5</v>
      </c>
      <c r="GA48" s="156">
        <f t="shared" si="338"/>
        <v>2.97E-5</v>
      </c>
      <c r="GB48" s="156">
        <f t="shared" si="338"/>
        <v>2.97E-5</v>
      </c>
      <c r="GC48" s="156">
        <f t="shared" si="338"/>
        <v>2.97E-5</v>
      </c>
      <c r="GD48" s="156">
        <f t="shared" si="338"/>
        <v>2.97E-5</v>
      </c>
      <c r="GE48" s="156">
        <f t="shared" si="338"/>
        <v>2.97E-5</v>
      </c>
      <c r="GF48" s="156">
        <f t="shared" si="338"/>
        <v>2.97E-5</v>
      </c>
      <c r="GG48" s="156">
        <f t="shared" si="338"/>
        <v>2.97E-5</v>
      </c>
      <c r="GH48" s="156">
        <f t="shared" si="338"/>
        <v>2.97E-5</v>
      </c>
      <c r="GI48" s="156">
        <f t="shared" si="338"/>
        <v>2.97E-5</v>
      </c>
      <c r="GJ48" s="156">
        <f t="shared" si="338"/>
        <v>2.97E-5</v>
      </c>
      <c r="GK48" s="156">
        <f t="shared" si="338"/>
        <v>2.97E-5</v>
      </c>
      <c r="GL48" s="156">
        <f t="shared" si="338"/>
        <v>2.97E-5</v>
      </c>
      <c r="GM48" s="156">
        <f t="shared" si="338"/>
        <v>2.97E-5</v>
      </c>
      <c r="GN48" s="156">
        <f t="shared" si="338"/>
        <v>2.97E-5</v>
      </c>
      <c r="GO48" s="156">
        <f t="shared" si="338"/>
        <v>2.97E-5</v>
      </c>
      <c r="GP48" s="156">
        <f t="shared" si="338"/>
        <v>2.97E-5</v>
      </c>
      <c r="GQ48" s="156">
        <f>0.337%*0.2/30</f>
        <v>2.246666666666667E-5</v>
      </c>
      <c r="GR48" s="156">
        <f>GQ48</f>
        <v>2.246666666666667E-5</v>
      </c>
      <c r="GS48" s="156">
        <f t="shared" ref="GS48:HT48" si="339">GR48</f>
        <v>2.246666666666667E-5</v>
      </c>
      <c r="GT48" s="156">
        <f t="shared" si="339"/>
        <v>2.246666666666667E-5</v>
      </c>
      <c r="GU48" s="156">
        <f t="shared" si="339"/>
        <v>2.246666666666667E-5</v>
      </c>
      <c r="GV48" s="156">
        <f t="shared" si="339"/>
        <v>2.246666666666667E-5</v>
      </c>
      <c r="GW48" s="156">
        <f t="shared" si="339"/>
        <v>2.246666666666667E-5</v>
      </c>
      <c r="GX48" s="156">
        <f t="shared" si="339"/>
        <v>2.246666666666667E-5</v>
      </c>
      <c r="GY48" s="156">
        <f t="shared" si="339"/>
        <v>2.246666666666667E-5</v>
      </c>
      <c r="GZ48" s="156">
        <f t="shared" si="339"/>
        <v>2.246666666666667E-5</v>
      </c>
      <c r="HA48" s="156">
        <f t="shared" si="339"/>
        <v>2.246666666666667E-5</v>
      </c>
      <c r="HB48" s="156">
        <f t="shared" si="339"/>
        <v>2.246666666666667E-5</v>
      </c>
      <c r="HC48" s="156">
        <f t="shared" si="339"/>
        <v>2.246666666666667E-5</v>
      </c>
      <c r="HD48" s="156">
        <f t="shared" si="339"/>
        <v>2.246666666666667E-5</v>
      </c>
      <c r="HE48" s="156">
        <f t="shared" si="339"/>
        <v>2.246666666666667E-5</v>
      </c>
      <c r="HF48" s="156">
        <f t="shared" si="339"/>
        <v>2.246666666666667E-5</v>
      </c>
      <c r="HG48" s="156">
        <f t="shared" si="339"/>
        <v>2.246666666666667E-5</v>
      </c>
      <c r="HH48" s="156">
        <f t="shared" si="339"/>
        <v>2.246666666666667E-5</v>
      </c>
      <c r="HI48" s="156">
        <f t="shared" si="339"/>
        <v>2.246666666666667E-5</v>
      </c>
      <c r="HJ48" s="156">
        <f t="shared" si="339"/>
        <v>2.246666666666667E-5</v>
      </c>
      <c r="HK48" s="156">
        <f t="shared" si="339"/>
        <v>2.246666666666667E-5</v>
      </c>
      <c r="HL48" s="156">
        <f t="shared" si="339"/>
        <v>2.246666666666667E-5</v>
      </c>
      <c r="HM48" s="156">
        <f t="shared" si="339"/>
        <v>2.246666666666667E-5</v>
      </c>
      <c r="HN48" s="156">
        <f t="shared" si="339"/>
        <v>2.246666666666667E-5</v>
      </c>
      <c r="HO48" s="156">
        <f t="shared" si="339"/>
        <v>2.246666666666667E-5</v>
      </c>
      <c r="HP48" s="156">
        <f t="shared" si="339"/>
        <v>2.246666666666667E-5</v>
      </c>
      <c r="HQ48" s="156">
        <f t="shared" si="339"/>
        <v>2.246666666666667E-5</v>
      </c>
      <c r="HR48" s="156">
        <f t="shared" si="339"/>
        <v>2.246666666666667E-5</v>
      </c>
      <c r="HS48" s="156">
        <f t="shared" si="339"/>
        <v>2.246666666666667E-5</v>
      </c>
      <c r="HT48" s="156">
        <f t="shared" si="339"/>
        <v>2.246666666666667E-5</v>
      </c>
      <c r="HU48" s="156">
        <f>0.377%*0.2/30</f>
        <v>2.5133333333333332E-5</v>
      </c>
      <c r="HV48" s="156">
        <f>HU48</f>
        <v>2.5133333333333332E-5</v>
      </c>
      <c r="HW48" s="156">
        <f t="shared" ref="HW48:IX48" si="340">HV48</f>
        <v>2.5133333333333332E-5</v>
      </c>
      <c r="HX48" s="156">
        <f t="shared" si="340"/>
        <v>2.5133333333333332E-5</v>
      </c>
      <c r="HY48" s="156">
        <f t="shared" si="340"/>
        <v>2.5133333333333332E-5</v>
      </c>
      <c r="HZ48" s="156">
        <f t="shared" si="340"/>
        <v>2.5133333333333332E-5</v>
      </c>
      <c r="IA48" s="156">
        <f t="shared" si="340"/>
        <v>2.5133333333333332E-5</v>
      </c>
      <c r="IB48" s="156">
        <f t="shared" si="340"/>
        <v>2.5133333333333332E-5</v>
      </c>
      <c r="IC48" s="156">
        <f t="shared" si="340"/>
        <v>2.5133333333333332E-5</v>
      </c>
      <c r="ID48" s="156">
        <f t="shared" si="340"/>
        <v>2.5133333333333332E-5</v>
      </c>
      <c r="IE48" s="156">
        <f t="shared" si="340"/>
        <v>2.5133333333333332E-5</v>
      </c>
      <c r="IF48" s="156">
        <f t="shared" si="340"/>
        <v>2.5133333333333332E-5</v>
      </c>
      <c r="IG48" s="156">
        <f t="shared" si="340"/>
        <v>2.5133333333333332E-5</v>
      </c>
      <c r="IH48" s="156">
        <f t="shared" si="340"/>
        <v>2.5133333333333332E-5</v>
      </c>
      <c r="II48" s="156">
        <f t="shared" si="340"/>
        <v>2.5133333333333332E-5</v>
      </c>
      <c r="IJ48" s="156">
        <f t="shared" si="340"/>
        <v>2.5133333333333332E-5</v>
      </c>
      <c r="IK48" s="156">
        <f t="shared" si="340"/>
        <v>2.5133333333333332E-5</v>
      </c>
      <c r="IL48" s="156">
        <f t="shared" si="340"/>
        <v>2.5133333333333332E-5</v>
      </c>
      <c r="IM48" s="156">
        <f t="shared" si="340"/>
        <v>2.5133333333333332E-5</v>
      </c>
      <c r="IN48" s="156">
        <f t="shared" si="340"/>
        <v>2.5133333333333332E-5</v>
      </c>
      <c r="IO48" s="156">
        <f t="shared" si="340"/>
        <v>2.5133333333333332E-5</v>
      </c>
      <c r="IP48" s="156">
        <f t="shared" si="340"/>
        <v>2.5133333333333332E-5</v>
      </c>
      <c r="IQ48" s="156">
        <f t="shared" si="340"/>
        <v>2.5133333333333332E-5</v>
      </c>
      <c r="IR48" s="156">
        <f t="shared" si="340"/>
        <v>2.5133333333333332E-5</v>
      </c>
      <c r="IS48" s="156">
        <f t="shared" si="340"/>
        <v>2.5133333333333332E-5</v>
      </c>
      <c r="IT48" s="156">
        <f t="shared" si="340"/>
        <v>2.5133333333333332E-5</v>
      </c>
      <c r="IU48" s="156">
        <f t="shared" si="340"/>
        <v>2.5133333333333332E-5</v>
      </c>
      <c r="IV48" s="156">
        <f t="shared" si="340"/>
        <v>2.5133333333333332E-5</v>
      </c>
      <c r="IW48" s="156">
        <f t="shared" si="340"/>
        <v>2.5133333333333332E-5</v>
      </c>
      <c r="IX48" s="156">
        <f t="shared" si="340"/>
        <v>2.5133333333333332E-5</v>
      </c>
      <c r="IY48" s="156">
        <f>0.387%*0.2/30</f>
        <v>2.58E-5</v>
      </c>
      <c r="IZ48" s="156">
        <f>IY48</f>
        <v>2.58E-5</v>
      </c>
      <c r="JA48" s="156">
        <f t="shared" ref="JA48:KB48" si="341">IZ48</f>
        <v>2.58E-5</v>
      </c>
      <c r="JB48" s="156">
        <f t="shared" si="341"/>
        <v>2.58E-5</v>
      </c>
      <c r="JC48" s="156">
        <f t="shared" si="341"/>
        <v>2.58E-5</v>
      </c>
      <c r="JD48" s="156">
        <f t="shared" si="341"/>
        <v>2.58E-5</v>
      </c>
      <c r="JE48" s="156">
        <f t="shared" si="341"/>
        <v>2.58E-5</v>
      </c>
      <c r="JF48" s="156">
        <f t="shared" si="341"/>
        <v>2.58E-5</v>
      </c>
      <c r="JG48" s="156">
        <f t="shared" si="341"/>
        <v>2.58E-5</v>
      </c>
      <c r="JH48" s="156">
        <f t="shared" si="341"/>
        <v>2.58E-5</v>
      </c>
      <c r="JI48" s="156">
        <f t="shared" si="341"/>
        <v>2.58E-5</v>
      </c>
      <c r="JJ48" s="156">
        <f t="shared" si="341"/>
        <v>2.58E-5</v>
      </c>
      <c r="JK48" s="156">
        <f t="shared" si="341"/>
        <v>2.58E-5</v>
      </c>
      <c r="JL48" s="156">
        <f t="shared" si="341"/>
        <v>2.58E-5</v>
      </c>
      <c r="JM48" s="156">
        <f t="shared" si="341"/>
        <v>2.58E-5</v>
      </c>
      <c r="JN48" s="156">
        <f t="shared" si="341"/>
        <v>2.58E-5</v>
      </c>
      <c r="JO48" s="156">
        <f t="shared" si="341"/>
        <v>2.58E-5</v>
      </c>
      <c r="JP48" s="156">
        <f t="shared" si="341"/>
        <v>2.58E-5</v>
      </c>
      <c r="JQ48" s="156">
        <f t="shared" si="341"/>
        <v>2.58E-5</v>
      </c>
      <c r="JR48" s="156">
        <f t="shared" si="341"/>
        <v>2.58E-5</v>
      </c>
      <c r="JS48" s="156">
        <f t="shared" si="341"/>
        <v>2.58E-5</v>
      </c>
      <c r="JT48" s="156">
        <f t="shared" si="341"/>
        <v>2.58E-5</v>
      </c>
      <c r="JU48" s="156">
        <f t="shared" si="341"/>
        <v>2.58E-5</v>
      </c>
      <c r="JV48" s="156">
        <f t="shared" si="341"/>
        <v>2.58E-5</v>
      </c>
      <c r="JW48" s="156">
        <f t="shared" si="341"/>
        <v>2.58E-5</v>
      </c>
      <c r="JX48" s="156">
        <f t="shared" si="341"/>
        <v>2.58E-5</v>
      </c>
      <c r="JY48" s="156">
        <f t="shared" si="341"/>
        <v>2.58E-5</v>
      </c>
      <c r="JZ48" s="156">
        <f t="shared" si="341"/>
        <v>2.58E-5</v>
      </c>
      <c r="KA48" s="156">
        <f t="shared" si="341"/>
        <v>2.58E-5</v>
      </c>
      <c r="KB48" s="156">
        <f t="shared" si="341"/>
        <v>2.58E-5</v>
      </c>
      <c r="KC48" s="212">
        <f>0.507%+0.0753%</f>
        <v>5.8230000000000001E-3</v>
      </c>
      <c r="KD48" s="212"/>
      <c r="KE48" s="212"/>
      <c r="KF48" s="212">
        <f>0.507%+0.0753%</f>
        <v>5.8230000000000001E-3</v>
      </c>
      <c r="KG48" s="212"/>
      <c r="KH48" s="212"/>
      <c r="KI48" s="212">
        <f>0.507%+0.0753%</f>
        <v>5.8230000000000001E-3</v>
      </c>
      <c r="KJ48" s="212"/>
      <c r="KK48" s="212"/>
      <c r="KL48" s="212">
        <f>0.408%+0.0753%</f>
        <v>4.8329999999999996E-3</v>
      </c>
      <c r="KM48" s="212"/>
      <c r="KN48" s="212"/>
      <c r="KO48" s="212">
        <f>0.407%+0.0753%</f>
        <v>4.823E-3</v>
      </c>
      <c r="KP48" s="212"/>
      <c r="KQ48" s="212"/>
      <c r="KR48" s="212">
        <f>0.398%+0.0753%</f>
        <v>4.7330000000000002E-3</v>
      </c>
      <c r="KS48" s="212"/>
      <c r="KT48" s="212"/>
      <c r="KU48" s="212">
        <f>0.338%+0.0753%</f>
        <v>4.1330000000000004E-3</v>
      </c>
      <c r="KV48" s="212"/>
      <c r="KW48" s="212"/>
      <c r="KX48" s="212">
        <f>0.338%+0.0753%</f>
        <v>4.1330000000000004E-3</v>
      </c>
      <c r="KY48" s="212"/>
      <c r="KZ48" s="218"/>
      <c r="LA48" s="211">
        <f>0.338%+0.0753%</f>
        <v>4.1330000000000004E-3</v>
      </c>
      <c r="LB48" s="212"/>
      <c r="LC48" s="213"/>
      <c r="LD48" s="220">
        <f>0.278%+0.0753%</f>
        <v>3.5330000000000005E-3</v>
      </c>
      <c r="LE48" s="212"/>
      <c r="LF48" s="212"/>
      <c r="LG48" s="212">
        <f>0.278%+0.0753%</f>
        <v>3.5330000000000005E-3</v>
      </c>
      <c r="LH48" s="212"/>
      <c r="LI48" s="212"/>
      <c r="LJ48" s="212">
        <f>0.178%+0.0753%</f>
        <v>2.5330000000000001E-3</v>
      </c>
      <c r="LK48" s="212"/>
      <c r="LL48" s="212"/>
      <c r="LM48" s="212">
        <f>0.178%+0.0753%</f>
        <v>2.5330000000000001E-3</v>
      </c>
      <c r="LN48" s="212"/>
      <c r="LO48" s="212"/>
      <c r="LP48" s="212">
        <f>0.178%+0.0753%</f>
        <v>2.5330000000000001E-3</v>
      </c>
      <c r="LQ48" s="212"/>
      <c r="LR48" s="212"/>
      <c r="LS48" s="212">
        <f>0.108%+0.0753%</f>
        <v>1.833E-3</v>
      </c>
      <c r="LT48" s="212"/>
      <c r="LU48" s="212"/>
      <c r="LV48" s="212">
        <f>0.108%+0.0753%</f>
        <v>1.833E-3</v>
      </c>
      <c r="LW48" s="212"/>
      <c r="LX48" s="212"/>
      <c r="LY48" s="212">
        <f>0.078%+0.0753%</f>
        <v>1.5330000000000001E-3</v>
      </c>
      <c r="LZ48" s="212"/>
      <c r="MA48" s="212"/>
      <c r="MB48" s="212">
        <f>0.078%+0.0753%</f>
        <v>1.5330000000000001E-3</v>
      </c>
      <c r="MC48" s="212"/>
      <c r="MD48" s="212"/>
      <c r="ME48" s="212">
        <f>0.038%+0.0756%</f>
        <v>1.1360000000000001E-3</v>
      </c>
      <c r="MF48" s="212"/>
      <c r="MG48" s="212"/>
      <c r="MH48" s="53"/>
      <c r="MI48" s="54"/>
      <c r="MJ48" s="55"/>
      <c r="MK48" s="54"/>
      <c r="ML48" s="54"/>
      <c r="MM48" s="54"/>
      <c r="MN48" s="53"/>
      <c r="MO48" s="54"/>
      <c r="MP48" s="55"/>
      <c r="MQ48" s="53"/>
      <c r="MR48" s="54"/>
      <c r="MS48" s="55"/>
      <c r="MT48" s="53"/>
      <c r="MU48" s="54"/>
      <c r="MV48" s="55"/>
      <c r="MW48" s="53"/>
      <c r="MX48" s="54"/>
      <c r="MY48" s="55"/>
      <c r="MZ48" s="53"/>
      <c r="NA48" s="54"/>
      <c r="NB48" s="55"/>
      <c r="NC48" s="54"/>
      <c r="ND48" s="54"/>
      <c r="NE48" s="59"/>
      <c r="NG48" s="275">
        <f>SUM(R48:NE48)</f>
        <v>7.1350000000000025E-2</v>
      </c>
      <c r="NH48" s="1"/>
      <c r="NI48" s="1"/>
      <c r="NJ48" s="1"/>
      <c r="NK48" s="1"/>
    </row>
    <row r="49" spans="5:375" s="6" customFormat="1" ht="6.95" customHeight="1">
      <c r="E49" s="79"/>
      <c r="F49" s="196"/>
      <c r="G49" s="197"/>
      <c r="H49" s="52">
        <v>2</v>
      </c>
      <c r="I49" s="79"/>
      <c r="J49" s="80"/>
      <c r="L49" s="340"/>
      <c r="M49" s="371"/>
      <c r="N49" s="357"/>
      <c r="O49" s="353"/>
      <c r="P49" s="308"/>
      <c r="Q49" s="237"/>
      <c r="R49" s="60"/>
      <c r="S49" s="61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1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3"/>
      <c r="CA49" s="61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1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1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  <c r="EX49" s="62"/>
      <c r="EY49" s="62"/>
      <c r="EZ49" s="62"/>
      <c r="FA49" s="62"/>
      <c r="FB49" s="62"/>
      <c r="FC49" s="62"/>
      <c r="FD49" s="62"/>
      <c r="FE49" s="62"/>
      <c r="FF49" s="62"/>
      <c r="FG49" s="62"/>
      <c r="FH49" s="62"/>
      <c r="FI49" s="62"/>
      <c r="FJ49" s="62"/>
      <c r="FK49" s="62"/>
      <c r="FL49" s="62"/>
      <c r="FM49" s="61"/>
      <c r="FN49" s="62"/>
      <c r="FO49" s="62"/>
      <c r="FP49" s="62"/>
      <c r="FQ49" s="62"/>
      <c r="FR49" s="62"/>
      <c r="FS49" s="62"/>
      <c r="FT49" s="62"/>
      <c r="FU49" s="62"/>
      <c r="FV49" s="62"/>
      <c r="FW49" s="62"/>
      <c r="FX49" s="62"/>
      <c r="FY49" s="62"/>
      <c r="FZ49" s="62"/>
      <c r="GA49" s="62"/>
      <c r="GB49" s="62"/>
      <c r="GC49" s="62"/>
      <c r="GD49" s="62"/>
      <c r="GE49" s="62"/>
      <c r="GF49" s="62"/>
      <c r="GG49" s="62"/>
      <c r="GH49" s="62"/>
      <c r="GI49" s="62"/>
      <c r="GJ49" s="62"/>
      <c r="GK49" s="62"/>
      <c r="GL49" s="62"/>
      <c r="GM49" s="62"/>
      <c r="GN49" s="62"/>
      <c r="GO49" s="62"/>
      <c r="GP49" s="62"/>
      <c r="GQ49" s="61"/>
      <c r="GR49" s="62"/>
      <c r="GS49" s="62"/>
      <c r="GT49" s="62"/>
      <c r="GU49" s="62"/>
      <c r="GV49" s="62"/>
      <c r="GW49" s="62"/>
      <c r="GX49" s="62"/>
      <c r="GY49" s="62"/>
      <c r="GZ49" s="62"/>
      <c r="HA49" s="62"/>
      <c r="HB49" s="62"/>
      <c r="HC49" s="62"/>
      <c r="HD49" s="62"/>
      <c r="HE49" s="62"/>
      <c r="HF49" s="62"/>
      <c r="HG49" s="62"/>
      <c r="HH49" s="62"/>
      <c r="HI49" s="62"/>
      <c r="HJ49" s="62"/>
      <c r="HK49" s="62"/>
      <c r="HL49" s="62"/>
      <c r="HM49" s="62"/>
      <c r="HN49" s="62"/>
      <c r="HO49" s="62"/>
      <c r="HP49" s="62"/>
      <c r="HQ49" s="62"/>
      <c r="HR49" s="62"/>
      <c r="HS49" s="62"/>
      <c r="HT49" s="62"/>
      <c r="HU49" s="61"/>
      <c r="HV49" s="62"/>
      <c r="HW49" s="62"/>
      <c r="HX49" s="62"/>
      <c r="HY49" s="62"/>
      <c r="HZ49" s="62"/>
      <c r="IA49" s="62"/>
      <c r="IB49" s="62"/>
      <c r="IC49" s="62"/>
      <c r="ID49" s="62"/>
      <c r="IE49" s="62"/>
      <c r="IF49" s="62"/>
      <c r="IG49" s="62"/>
      <c r="IH49" s="62"/>
      <c r="II49" s="62"/>
      <c r="IJ49" s="62"/>
      <c r="IK49" s="62"/>
      <c r="IL49" s="62"/>
      <c r="IM49" s="62"/>
      <c r="IN49" s="62"/>
      <c r="IO49" s="62"/>
      <c r="IP49" s="62"/>
      <c r="IQ49" s="62"/>
      <c r="IR49" s="62"/>
      <c r="IS49" s="62"/>
      <c r="IT49" s="62"/>
      <c r="IU49" s="62"/>
      <c r="IV49" s="62"/>
      <c r="IW49" s="62"/>
      <c r="IX49" s="62"/>
      <c r="IY49" s="61"/>
      <c r="IZ49" s="62"/>
      <c r="JA49" s="62"/>
      <c r="JB49" s="62"/>
      <c r="JC49" s="62"/>
      <c r="JD49" s="62"/>
      <c r="JE49" s="62"/>
      <c r="JF49" s="62"/>
      <c r="JG49" s="62"/>
      <c r="JH49" s="62"/>
      <c r="JI49" s="62"/>
      <c r="JJ49" s="62"/>
      <c r="JK49" s="62"/>
      <c r="JL49" s="62"/>
      <c r="JM49" s="62"/>
      <c r="JN49" s="62"/>
      <c r="JO49" s="62"/>
      <c r="JP49" s="62"/>
      <c r="JQ49" s="62"/>
      <c r="JR49" s="62"/>
      <c r="JS49" s="62"/>
      <c r="JT49" s="62"/>
      <c r="JU49" s="62"/>
      <c r="JV49" s="62"/>
      <c r="JW49" s="62"/>
      <c r="JX49" s="62"/>
      <c r="JY49" s="62"/>
      <c r="JZ49" s="62"/>
      <c r="KA49" s="62"/>
      <c r="KB49" s="62"/>
      <c r="KC49" s="61"/>
      <c r="KD49" s="62"/>
      <c r="KE49" s="63"/>
      <c r="KF49" s="61"/>
      <c r="KG49" s="62"/>
      <c r="KH49" s="63"/>
      <c r="KI49" s="61"/>
      <c r="KJ49" s="62"/>
      <c r="KK49" s="63"/>
      <c r="KL49" s="61"/>
      <c r="KM49" s="62"/>
      <c r="KN49" s="63"/>
      <c r="KO49" s="61"/>
      <c r="KP49" s="62"/>
      <c r="KQ49" s="63"/>
      <c r="KR49" s="61"/>
      <c r="KS49" s="62"/>
      <c r="KT49" s="63"/>
      <c r="KU49" s="61"/>
      <c r="KV49" s="62"/>
      <c r="KW49" s="63"/>
      <c r="KX49" s="61"/>
      <c r="KY49" s="62"/>
      <c r="KZ49" s="63"/>
      <c r="LA49" s="61"/>
      <c r="LB49" s="62"/>
      <c r="LC49" s="63"/>
      <c r="LD49" s="61"/>
      <c r="LE49" s="62"/>
      <c r="LF49" s="63"/>
      <c r="LG49" s="61"/>
      <c r="LH49" s="62"/>
      <c r="LI49" s="63"/>
      <c r="LJ49" s="61"/>
      <c r="LK49" s="62"/>
      <c r="LL49" s="63"/>
      <c r="LM49" s="61"/>
      <c r="LN49" s="62"/>
      <c r="LO49" s="63"/>
      <c r="LP49" s="61"/>
      <c r="LQ49" s="62"/>
      <c r="LR49" s="63"/>
      <c r="LS49" s="61"/>
      <c r="LT49" s="62"/>
      <c r="LU49" s="63"/>
      <c r="LV49" s="61"/>
      <c r="LW49" s="62"/>
      <c r="LX49" s="63"/>
      <c r="LY49" s="61"/>
      <c r="LZ49" s="62"/>
      <c r="MA49" s="63"/>
      <c r="MB49" s="61"/>
      <c r="MC49" s="62"/>
      <c r="MD49" s="63"/>
      <c r="ME49" s="61"/>
      <c r="MF49" s="62"/>
      <c r="MG49" s="63"/>
      <c r="MH49" s="39"/>
      <c r="MI49" s="40"/>
      <c r="MJ49" s="41"/>
      <c r="MK49" s="40"/>
      <c r="ML49" s="40"/>
      <c r="MM49" s="40"/>
      <c r="MN49" s="39"/>
      <c r="MO49" s="40"/>
      <c r="MP49" s="41"/>
      <c r="MQ49" s="39"/>
      <c r="MR49" s="40"/>
      <c r="MS49" s="41"/>
      <c r="MT49" s="39"/>
      <c r="MU49" s="40"/>
      <c r="MV49" s="41"/>
      <c r="MW49" s="39"/>
      <c r="MX49" s="40"/>
      <c r="MY49" s="41"/>
      <c r="MZ49" s="39"/>
      <c r="NA49" s="40"/>
      <c r="NB49" s="41"/>
      <c r="NC49" s="40"/>
      <c r="ND49" s="40"/>
      <c r="NE49" s="42"/>
      <c r="NG49" s="275"/>
      <c r="NH49" s="1"/>
      <c r="NI49" s="1"/>
      <c r="NJ49" s="1"/>
      <c r="NK49" s="1"/>
    </row>
    <row r="50" spans="5:375" s="6" customFormat="1" ht="9.9499999999999993" customHeight="1">
      <c r="E50" s="80"/>
      <c r="F50" s="196">
        <f t="shared" ref="F50" si="342">NG50</f>
        <v>7.8399999999999997E-3</v>
      </c>
      <c r="G50" s="197">
        <f>Q50-F50</f>
        <v>0</v>
      </c>
      <c r="H50" s="27">
        <v>1</v>
      </c>
      <c r="I50" s="19" t="s">
        <v>189</v>
      </c>
      <c r="J50" s="19" t="s">
        <v>184</v>
      </c>
      <c r="K50" s="19" t="s">
        <v>188</v>
      </c>
      <c r="L50" s="292"/>
      <c r="M50" s="295" t="s">
        <v>267</v>
      </c>
      <c r="N50" s="296">
        <v>55319</v>
      </c>
      <c r="O50" s="297" t="s">
        <v>262</v>
      </c>
      <c r="P50" s="315">
        <v>1633129</v>
      </c>
      <c r="Q50" s="236">
        <f>ROUND(P50/$P$256,5)</f>
        <v>7.8399999999999997E-3</v>
      </c>
      <c r="R50" s="73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6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8"/>
      <c r="CA50" s="66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7"/>
      <c r="DA50" s="67"/>
      <c r="DB50" s="67"/>
      <c r="DC50" s="67"/>
      <c r="DD50" s="67"/>
      <c r="DE50" s="157"/>
      <c r="DF50" s="157"/>
      <c r="DG50" s="157"/>
      <c r="DH50" s="157"/>
      <c r="DI50" s="157"/>
      <c r="DJ50" s="157"/>
      <c r="DK50" s="157"/>
      <c r="DL50" s="157"/>
      <c r="DM50" s="157"/>
      <c r="DN50" s="157"/>
      <c r="DO50" s="157"/>
      <c r="DP50" s="157"/>
      <c r="DQ50" s="157"/>
      <c r="DR50" s="157"/>
      <c r="DS50" s="157"/>
      <c r="DT50" s="157"/>
      <c r="DU50" s="157"/>
      <c r="DV50" s="157"/>
      <c r="DW50" s="157"/>
      <c r="DX50" s="157"/>
      <c r="DY50" s="157"/>
      <c r="DZ50" s="157"/>
      <c r="EA50" s="157"/>
      <c r="EB50" s="157"/>
      <c r="EC50" s="157"/>
      <c r="ED50" s="157"/>
      <c r="EE50" s="157"/>
      <c r="EF50" s="157"/>
      <c r="EG50" s="157"/>
      <c r="EH50" s="157"/>
      <c r="EI50" s="157"/>
      <c r="EJ50" s="157"/>
      <c r="EK50" s="157"/>
      <c r="EL50" s="157"/>
      <c r="EM50" s="157"/>
      <c r="EN50" s="157"/>
      <c r="EO50" s="157"/>
      <c r="EP50" s="157"/>
      <c r="EQ50" s="157"/>
      <c r="ER50" s="157"/>
      <c r="ES50" s="157"/>
      <c r="ET50" s="157"/>
      <c r="EU50" s="157"/>
      <c r="EV50" s="157"/>
      <c r="EW50" s="157"/>
      <c r="EX50" s="157"/>
      <c r="EY50" s="157"/>
      <c r="EZ50" s="157"/>
      <c r="FA50" s="157"/>
      <c r="FB50" s="157"/>
      <c r="FC50" s="157"/>
      <c r="FD50" s="157"/>
      <c r="FE50" s="157"/>
      <c r="FF50" s="157"/>
      <c r="FG50" s="157"/>
      <c r="FH50" s="157"/>
      <c r="FI50" s="157"/>
      <c r="FJ50" s="157"/>
      <c r="FK50" s="157"/>
      <c r="FL50" s="157"/>
      <c r="FM50" s="157"/>
      <c r="FN50" s="157"/>
      <c r="FO50" s="157"/>
      <c r="FP50" s="157"/>
      <c r="FQ50" s="157"/>
      <c r="FR50" s="157"/>
      <c r="FS50" s="157"/>
      <c r="FT50" s="157"/>
      <c r="FU50" s="157"/>
      <c r="FV50" s="157"/>
      <c r="FW50" s="157"/>
      <c r="FX50" s="157"/>
      <c r="FY50" s="157"/>
      <c r="FZ50" s="157"/>
      <c r="GA50" s="157"/>
      <c r="GB50" s="157"/>
      <c r="GC50" s="157"/>
      <c r="GD50" s="157"/>
      <c r="GE50" s="157"/>
      <c r="GF50" s="157"/>
      <c r="GG50" s="157"/>
      <c r="GH50" s="157"/>
      <c r="GI50" s="157"/>
      <c r="GJ50" s="157"/>
      <c r="GK50" s="157"/>
      <c r="GL50" s="157"/>
      <c r="GM50" s="157"/>
      <c r="GN50" s="157"/>
      <c r="GO50" s="157"/>
      <c r="GP50" s="157"/>
      <c r="GQ50" s="156">
        <f>0.026%*0.2/30</f>
        <v>1.7333333333333332E-6</v>
      </c>
      <c r="GR50" s="156">
        <f>GQ50</f>
        <v>1.7333333333333332E-6</v>
      </c>
      <c r="GS50" s="156">
        <f t="shared" ref="GS50:HT50" si="343">GR50</f>
        <v>1.7333333333333332E-6</v>
      </c>
      <c r="GT50" s="156">
        <f t="shared" si="343"/>
        <v>1.7333333333333332E-6</v>
      </c>
      <c r="GU50" s="156">
        <f t="shared" si="343"/>
        <v>1.7333333333333332E-6</v>
      </c>
      <c r="GV50" s="156">
        <f t="shared" si="343"/>
        <v>1.7333333333333332E-6</v>
      </c>
      <c r="GW50" s="156">
        <f t="shared" si="343"/>
        <v>1.7333333333333332E-6</v>
      </c>
      <c r="GX50" s="156">
        <f t="shared" si="343"/>
        <v>1.7333333333333332E-6</v>
      </c>
      <c r="GY50" s="156">
        <f t="shared" si="343"/>
        <v>1.7333333333333332E-6</v>
      </c>
      <c r="GZ50" s="156">
        <f t="shared" si="343"/>
        <v>1.7333333333333332E-6</v>
      </c>
      <c r="HA50" s="156">
        <f t="shared" si="343"/>
        <v>1.7333333333333332E-6</v>
      </c>
      <c r="HB50" s="156">
        <f t="shared" si="343"/>
        <v>1.7333333333333332E-6</v>
      </c>
      <c r="HC50" s="156">
        <f t="shared" si="343"/>
        <v>1.7333333333333332E-6</v>
      </c>
      <c r="HD50" s="156">
        <f t="shared" si="343"/>
        <v>1.7333333333333332E-6</v>
      </c>
      <c r="HE50" s="156">
        <f t="shared" si="343"/>
        <v>1.7333333333333332E-6</v>
      </c>
      <c r="HF50" s="156">
        <f t="shared" si="343"/>
        <v>1.7333333333333332E-6</v>
      </c>
      <c r="HG50" s="156">
        <f t="shared" si="343"/>
        <v>1.7333333333333332E-6</v>
      </c>
      <c r="HH50" s="156">
        <f t="shared" si="343"/>
        <v>1.7333333333333332E-6</v>
      </c>
      <c r="HI50" s="156">
        <f t="shared" si="343"/>
        <v>1.7333333333333332E-6</v>
      </c>
      <c r="HJ50" s="156">
        <f t="shared" si="343"/>
        <v>1.7333333333333332E-6</v>
      </c>
      <c r="HK50" s="156">
        <f t="shared" si="343"/>
        <v>1.7333333333333332E-6</v>
      </c>
      <c r="HL50" s="156">
        <f t="shared" si="343"/>
        <v>1.7333333333333332E-6</v>
      </c>
      <c r="HM50" s="156">
        <f t="shared" si="343"/>
        <v>1.7333333333333332E-6</v>
      </c>
      <c r="HN50" s="156">
        <f t="shared" si="343"/>
        <v>1.7333333333333332E-6</v>
      </c>
      <c r="HO50" s="156">
        <f t="shared" si="343"/>
        <v>1.7333333333333332E-6</v>
      </c>
      <c r="HP50" s="156">
        <f t="shared" si="343"/>
        <v>1.7333333333333332E-6</v>
      </c>
      <c r="HQ50" s="156">
        <f t="shared" si="343"/>
        <v>1.7333333333333332E-6</v>
      </c>
      <c r="HR50" s="156">
        <f t="shared" si="343"/>
        <v>1.7333333333333332E-6</v>
      </c>
      <c r="HS50" s="156">
        <f t="shared" si="343"/>
        <v>1.7333333333333332E-6</v>
      </c>
      <c r="HT50" s="156">
        <f t="shared" si="343"/>
        <v>1.7333333333333332E-6</v>
      </c>
      <c r="HU50" s="157">
        <f>0.036%*0.2/30</f>
        <v>2.3999999999999999E-6</v>
      </c>
      <c r="HV50" s="156">
        <f>HU50</f>
        <v>2.3999999999999999E-6</v>
      </c>
      <c r="HW50" s="156">
        <f t="shared" ref="HW50:IX50" si="344">HV50</f>
        <v>2.3999999999999999E-6</v>
      </c>
      <c r="HX50" s="156">
        <f t="shared" si="344"/>
        <v>2.3999999999999999E-6</v>
      </c>
      <c r="HY50" s="156">
        <f t="shared" si="344"/>
        <v>2.3999999999999999E-6</v>
      </c>
      <c r="HZ50" s="156">
        <f t="shared" si="344"/>
        <v>2.3999999999999999E-6</v>
      </c>
      <c r="IA50" s="156">
        <f t="shared" si="344"/>
        <v>2.3999999999999999E-6</v>
      </c>
      <c r="IB50" s="156">
        <f t="shared" si="344"/>
        <v>2.3999999999999999E-6</v>
      </c>
      <c r="IC50" s="156">
        <f t="shared" si="344"/>
        <v>2.3999999999999999E-6</v>
      </c>
      <c r="ID50" s="156">
        <f t="shared" si="344"/>
        <v>2.3999999999999999E-6</v>
      </c>
      <c r="IE50" s="156">
        <f t="shared" si="344"/>
        <v>2.3999999999999999E-6</v>
      </c>
      <c r="IF50" s="156">
        <f t="shared" si="344"/>
        <v>2.3999999999999999E-6</v>
      </c>
      <c r="IG50" s="156">
        <f t="shared" si="344"/>
        <v>2.3999999999999999E-6</v>
      </c>
      <c r="IH50" s="156">
        <f t="shared" si="344"/>
        <v>2.3999999999999999E-6</v>
      </c>
      <c r="II50" s="156">
        <f t="shared" si="344"/>
        <v>2.3999999999999999E-6</v>
      </c>
      <c r="IJ50" s="156">
        <f t="shared" si="344"/>
        <v>2.3999999999999999E-6</v>
      </c>
      <c r="IK50" s="156">
        <f t="shared" si="344"/>
        <v>2.3999999999999999E-6</v>
      </c>
      <c r="IL50" s="156">
        <f t="shared" si="344"/>
        <v>2.3999999999999999E-6</v>
      </c>
      <c r="IM50" s="156">
        <f t="shared" si="344"/>
        <v>2.3999999999999999E-6</v>
      </c>
      <c r="IN50" s="156">
        <f t="shared" si="344"/>
        <v>2.3999999999999999E-6</v>
      </c>
      <c r="IO50" s="156">
        <f t="shared" si="344"/>
        <v>2.3999999999999999E-6</v>
      </c>
      <c r="IP50" s="156">
        <f t="shared" si="344"/>
        <v>2.3999999999999999E-6</v>
      </c>
      <c r="IQ50" s="156">
        <f t="shared" si="344"/>
        <v>2.3999999999999999E-6</v>
      </c>
      <c r="IR50" s="156">
        <f t="shared" si="344"/>
        <v>2.3999999999999999E-6</v>
      </c>
      <c r="IS50" s="156">
        <f t="shared" si="344"/>
        <v>2.3999999999999999E-6</v>
      </c>
      <c r="IT50" s="156">
        <f t="shared" si="344"/>
        <v>2.3999999999999999E-6</v>
      </c>
      <c r="IU50" s="156">
        <f t="shared" si="344"/>
        <v>2.3999999999999999E-6</v>
      </c>
      <c r="IV50" s="156">
        <f t="shared" si="344"/>
        <v>2.3999999999999999E-6</v>
      </c>
      <c r="IW50" s="156">
        <f t="shared" si="344"/>
        <v>2.3999999999999999E-6</v>
      </c>
      <c r="IX50" s="156">
        <f t="shared" si="344"/>
        <v>2.3999999999999999E-6</v>
      </c>
      <c r="IY50" s="157">
        <f>0.056%*0.2/30</f>
        <v>3.7333333333333337E-6</v>
      </c>
      <c r="IZ50" s="156">
        <f>IY50</f>
        <v>3.7333333333333337E-6</v>
      </c>
      <c r="JA50" s="156">
        <f t="shared" ref="JA50:KB50" si="345">IZ50</f>
        <v>3.7333333333333337E-6</v>
      </c>
      <c r="JB50" s="156">
        <f t="shared" si="345"/>
        <v>3.7333333333333337E-6</v>
      </c>
      <c r="JC50" s="156">
        <f t="shared" si="345"/>
        <v>3.7333333333333337E-6</v>
      </c>
      <c r="JD50" s="156">
        <f t="shared" si="345"/>
        <v>3.7333333333333337E-6</v>
      </c>
      <c r="JE50" s="156">
        <f t="shared" si="345"/>
        <v>3.7333333333333337E-6</v>
      </c>
      <c r="JF50" s="156">
        <f t="shared" si="345"/>
        <v>3.7333333333333337E-6</v>
      </c>
      <c r="JG50" s="156">
        <f t="shared" si="345"/>
        <v>3.7333333333333337E-6</v>
      </c>
      <c r="JH50" s="156">
        <f t="shared" si="345"/>
        <v>3.7333333333333337E-6</v>
      </c>
      <c r="JI50" s="156">
        <f t="shared" si="345"/>
        <v>3.7333333333333337E-6</v>
      </c>
      <c r="JJ50" s="156">
        <f t="shared" si="345"/>
        <v>3.7333333333333337E-6</v>
      </c>
      <c r="JK50" s="156">
        <f t="shared" si="345"/>
        <v>3.7333333333333337E-6</v>
      </c>
      <c r="JL50" s="156">
        <f t="shared" si="345"/>
        <v>3.7333333333333337E-6</v>
      </c>
      <c r="JM50" s="156">
        <f t="shared" si="345"/>
        <v>3.7333333333333337E-6</v>
      </c>
      <c r="JN50" s="156">
        <f t="shared" si="345"/>
        <v>3.7333333333333337E-6</v>
      </c>
      <c r="JO50" s="156">
        <f t="shared" si="345"/>
        <v>3.7333333333333337E-6</v>
      </c>
      <c r="JP50" s="156">
        <f t="shared" si="345"/>
        <v>3.7333333333333337E-6</v>
      </c>
      <c r="JQ50" s="156">
        <f t="shared" si="345"/>
        <v>3.7333333333333337E-6</v>
      </c>
      <c r="JR50" s="156">
        <f t="shared" si="345"/>
        <v>3.7333333333333337E-6</v>
      </c>
      <c r="JS50" s="156">
        <f t="shared" si="345"/>
        <v>3.7333333333333337E-6</v>
      </c>
      <c r="JT50" s="156">
        <f t="shared" si="345"/>
        <v>3.7333333333333337E-6</v>
      </c>
      <c r="JU50" s="156">
        <f t="shared" si="345"/>
        <v>3.7333333333333337E-6</v>
      </c>
      <c r="JV50" s="156">
        <f t="shared" si="345"/>
        <v>3.7333333333333337E-6</v>
      </c>
      <c r="JW50" s="156">
        <f t="shared" si="345"/>
        <v>3.7333333333333337E-6</v>
      </c>
      <c r="JX50" s="156">
        <f t="shared" si="345"/>
        <v>3.7333333333333337E-6</v>
      </c>
      <c r="JY50" s="156">
        <f t="shared" si="345"/>
        <v>3.7333333333333337E-6</v>
      </c>
      <c r="JZ50" s="156">
        <f t="shared" si="345"/>
        <v>3.7333333333333337E-6</v>
      </c>
      <c r="KA50" s="156">
        <f t="shared" si="345"/>
        <v>3.7333333333333337E-6</v>
      </c>
      <c r="KB50" s="156">
        <f t="shared" si="345"/>
        <v>3.7333333333333337E-6</v>
      </c>
      <c r="KC50" s="214">
        <f>0.056%+0.0086%</f>
        <v>6.4600000000000009E-4</v>
      </c>
      <c r="KD50" s="214"/>
      <c r="KE50" s="214"/>
      <c r="KF50" s="214">
        <f>0.056%+0.0086%</f>
        <v>6.4600000000000009E-4</v>
      </c>
      <c r="KG50" s="214"/>
      <c r="KH50" s="214"/>
      <c r="KI50" s="214">
        <f>0.066%+0.0086%</f>
        <v>7.4600000000000003E-4</v>
      </c>
      <c r="KJ50" s="214"/>
      <c r="KK50" s="214"/>
      <c r="KL50" s="214">
        <f>0.066%+0.0086%</f>
        <v>7.4600000000000003E-4</v>
      </c>
      <c r="KM50" s="214"/>
      <c r="KN50" s="214"/>
      <c r="KO50" s="214">
        <f>0.076%+0.0086%</f>
        <v>8.4599999999999996E-4</v>
      </c>
      <c r="KP50" s="214"/>
      <c r="KQ50" s="214"/>
      <c r="KR50" s="214">
        <f>0.076%+0.0086%</f>
        <v>8.4599999999999996E-4</v>
      </c>
      <c r="KS50" s="214"/>
      <c r="KT50" s="214"/>
      <c r="KU50" s="214">
        <f>0.066%+0.0086%</f>
        <v>7.4600000000000003E-4</v>
      </c>
      <c r="KV50" s="214"/>
      <c r="KW50" s="214"/>
      <c r="KX50" s="214">
        <f>0.056%+0.0086%</f>
        <v>6.4600000000000009E-4</v>
      </c>
      <c r="KY50" s="214"/>
      <c r="KZ50" s="216"/>
      <c r="LA50" s="233">
        <f>0.056%+0.0086%</f>
        <v>6.4600000000000009E-4</v>
      </c>
      <c r="LB50" s="214"/>
      <c r="LC50" s="234"/>
      <c r="LD50" s="215">
        <f>0.056%+0.0086%</f>
        <v>6.4600000000000009E-4</v>
      </c>
      <c r="LE50" s="214"/>
      <c r="LF50" s="214"/>
      <c r="LG50" s="214">
        <f>0.036%+0.0084%</f>
        <v>4.4399999999999995E-4</v>
      </c>
      <c r="LH50" s="214"/>
      <c r="LI50" s="214"/>
      <c r="LJ50" s="69"/>
      <c r="LK50" s="74"/>
      <c r="LL50" s="75"/>
      <c r="LM50" s="69"/>
      <c r="LN50" s="74"/>
      <c r="LO50" s="75"/>
      <c r="LP50" s="69"/>
      <c r="LQ50" s="74"/>
      <c r="LR50" s="75"/>
      <c r="LS50" s="69"/>
      <c r="LT50" s="67"/>
      <c r="LU50" s="68"/>
      <c r="LV50" s="74"/>
      <c r="LW50" s="67"/>
      <c r="LX50" s="67"/>
      <c r="LY50" s="66"/>
      <c r="LZ50" s="67"/>
      <c r="MA50" s="68"/>
      <c r="MB50" s="67"/>
      <c r="MC50" s="67"/>
      <c r="MD50" s="67"/>
      <c r="ME50" s="69"/>
      <c r="MF50" s="67"/>
      <c r="MG50" s="68"/>
      <c r="MH50" s="66"/>
      <c r="MI50" s="67"/>
      <c r="MJ50" s="68"/>
      <c r="MK50" s="67"/>
      <c r="ML50" s="67"/>
      <c r="MM50" s="67"/>
      <c r="MN50" s="66"/>
      <c r="MO50" s="67"/>
      <c r="MP50" s="68"/>
      <c r="MQ50" s="66"/>
      <c r="MR50" s="67"/>
      <c r="MS50" s="68"/>
      <c r="MT50" s="66"/>
      <c r="MU50" s="67"/>
      <c r="MV50" s="68"/>
      <c r="MW50" s="66"/>
      <c r="MX50" s="67"/>
      <c r="MY50" s="68"/>
      <c r="MZ50" s="66"/>
      <c r="NA50" s="67"/>
      <c r="NB50" s="68"/>
      <c r="NC50" s="67"/>
      <c r="ND50" s="67"/>
      <c r="NE50" s="72"/>
      <c r="NG50" s="275">
        <f>SUM(R50:NE50)</f>
        <v>7.8399999999999997E-3</v>
      </c>
      <c r="NH50" s="1"/>
      <c r="NI50" s="1"/>
      <c r="NJ50" s="1"/>
      <c r="NK50" s="1"/>
    </row>
    <row r="51" spans="5:375" s="6" customFormat="1" ht="6.95" customHeight="1">
      <c r="E51" s="80"/>
      <c r="F51" s="196"/>
      <c r="G51" s="197"/>
      <c r="H51" s="52">
        <v>2</v>
      </c>
      <c r="I51" s="80"/>
      <c r="J51" s="80"/>
      <c r="L51" s="292"/>
      <c r="M51" s="295"/>
      <c r="N51" s="296"/>
      <c r="O51" s="298"/>
      <c r="P51" s="315"/>
      <c r="Q51" s="237"/>
      <c r="R51" s="73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6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8"/>
      <c r="CA51" s="66"/>
      <c r="CB51" s="67"/>
      <c r="CC51" s="67"/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7"/>
      <c r="DA51" s="67"/>
      <c r="DB51" s="67"/>
      <c r="DC51" s="67"/>
      <c r="DD51" s="67"/>
      <c r="DE51" s="66"/>
      <c r="DF51" s="67"/>
      <c r="DG51" s="67"/>
      <c r="DH51" s="67"/>
      <c r="DI51" s="67"/>
      <c r="DJ51" s="67"/>
      <c r="DK51" s="67"/>
      <c r="DL51" s="67"/>
      <c r="DM51" s="67"/>
      <c r="DN51" s="67"/>
      <c r="DO51" s="67"/>
      <c r="DP51" s="67"/>
      <c r="DQ51" s="67"/>
      <c r="DR51" s="67"/>
      <c r="DS51" s="67"/>
      <c r="DT51" s="67"/>
      <c r="DU51" s="67"/>
      <c r="DV51" s="67"/>
      <c r="DW51" s="67"/>
      <c r="DX51" s="67"/>
      <c r="DY51" s="67"/>
      <c r="DZ51" s="67"/>
      <c r="EA51" s="67"/>
      <c r="EB51" s="67"/>
      <c r="EC51" s="67"/>
      <c r="ED51" s="67"/>
      <c r="EE51" s="67"/>
      <c r="EF51" s="67"/>
      <c r="EG51" s="67"/>
      <c r="EH51" s="67"/>
      <c r="EI51" s="66"/>
      <c r="EJ51" s="67"/>
      <c r="EK51" s="67"/>
      <c r="EL51" s="67"/>
      <c r="EM51" s="67"/>
      <c r="EN51" s="67"/>
      <c r="EO51" s="67"/>
      <c r="EP51" s="67"/>
      <c r="EQ51" s="67"/>
      <c r="ER51" s="67"/>
      <c r="ES51" s="67"/>
      <c r="ET51" s="67"/>
      <c r="EU51" s="67"/>
      <c r="EV51" s="67"/>
      <c r="EW51" s="67"/>
      <c r="EX51" s="67"/>
      <c r="EY51" s="67"/>
      <c r="EZ51" s="67"/>
      <c r="FA51" s="67"/>
      <c r="FB51" s="67"/>
      <c r="FC51" s="67"/>
      <c r="FD51" s="67"/>
      <c r="FE51" s="67"/>
      <c r="FF51" s="67"/>
      <c r="FG51" s="67"/>
      <c r="FH51" s="67"/>
      <c r="FI51" s="67"/>
      <c r="FJ51" s="67"/>
      <c r="FK51" s="67"/>
      <c r="FL51" s="67"/>
      <c r="FM51" s="66"/>
      <c r="FN51" s="67"/>
      <c r="FO51" s="67"/>
      <c r="FP51" s="67"/>
      <c r="FQ51" s="67"/>
      <c r="FR51" s="67"/>
      <c r="FS51" s="67"/>
      <c r="FT51" s="67"/>
      <c r="FU51" s="67"/>
      <c r="FV51" s="67"/>
      <c r="FW51" s="67"/>
      <c r="FX51" s="67"/>
      <c r="FY51" s="67"/>
      <c r="FZ51" s="67"/>
      <c r="GA51" s="67"/>
      <c r="GB51" s="67"/>
      <c r="GC51" s="67"/>
      <c r="GD51" s="67"/>
      <c r="GE51" s="67"/>
      <c r="GF51" s="67"/>
      <c r="GG51" s="67"/>
      <c r="GH51" s="67"/>
      <c r="GI51" s="67"/>
      <c r="GJ51" s="67"/>
      <c r="GK51" s="67"/>
      <c r="GL51" s="67"/>
      <c r="GM51" s="67"/>
      <c r="GN51" s="67"/>
      <c r="GO51" s="67"/>
      <c r="GP51" s="67"/>
      <c r="GQ51" s="61"/>
      <c r="GR51" s="62"/>
      <c r="GS51" s="62"/>
      <c r="GT51" s="62"/>
      <c r="GU51" s="62"/>
      <c r="GV51" s="62"/>
      <c r="GW51" s="62"/>
      <c r="GX51" s="62"/>
      <c r="GY51" s="62"/>
      <c r="GZ51" s="62"/>
      <c r="HA51" s="62"/>
      <c r="HB51" s="62"/>
      <c r="HC51" s="62"/>
      <c r="HD51" s="62"/>
      <c r="HE51" s="62"/>
      <c r="HF51" s="62"/>
      <c r="HG51" s="62"/>
      <c r="HH51" s="62"/>
      <c r="HI51" s="62"/>
      <c r="HJ51" s="62"/>
      <c r="HK51" s="62"/>
      <c r="HL51" s="62"/>
      <c r="HM51" s="62"/>
      <c r="HN51" s="62"/>
      <c r="HO51" s="62"/>
      <c r="HP51" s="62"/>
      <c r="HQ51" s="62"/>
      <c r="HR51" s="62"/>
      <c r="HS51" s="62"/>
      <c r="HT51" s="62"/>
      <c r="HU51" s="61"/>
      <c r="HV51" s="62"/>
      <c r="HW51" s="62"/>
      <c r="HX51" s="62"/>
      <c r="HY51" s="62"/>
      <c r="HZ51" s="62"/>
      <c r="IA51" s="62"/>
      <c r="IB51" s="62"/>
      <c r="IC51" s="62"/>
      <c r="ID51" s="62"/>
      <c r="IE51" s="62"/>
      <c r="IF51" s="62"/>
      <c r="IG51" s="62"/>
      <c r="IH51" s="62"/>
      <c r="II51" s="62"/>
      <c r="IJ51" s="62"/>
      <c r="IK51" s="62"/>
      <c r="IL51" s="62"/>
      <c r="IM51" s="62"/>
      <c r="IN51" s="62"/>
      <c r="IO51" s="62"/>
      <c r="IP51" s="62"/>
      <c r="IQ51" s="62"/>
      <c r="IR51" s="62"/>
      <c r="IS51" s="62"/>
      <c r="IT51" s="62"/>
      <c r="IU51" s="62"/>
      <c r="IV51" s="62"/>
      <c r="IW51" s="62"/>
      <c r="IX51" s="62"/>
      <c r="IY51" s="61"/>
      <c r="IZ51" s="62"/>
      <c r="JA51" s="62"/>
      <c r="JB51" s="62"/>
      <c r="JC51" s="62"/>
      <c r="JD51" s="62"/>
      <c r="JE51" s="62"/>
      <c r="JF51" s="62"/>
      <c r="JG51" s="62"/>
      <c r="JH51" s="62"/>
      <c r="JI51" s="62"/>
      <c r="JJ51" s="62"/>
      <c r="JK51" s="62"/>
      <c r="JL51" s="62"/>
      <c r="JM51" s="62"/>
      <c r="JN51" s="62"/>
      <c r="JO51" s="62"/>
      <c r="JP51" s="62"/>
      <c r="JQ51" s="62"/>
      <c r="JR51" s="62"/>
      <c r="JS51" s="62"/>
      <c r="JT51" s="62"/>
      <c r="JU51" s="62"/>
      <c r="JV51" s="62"/>
      <c r="JW51" s="62"/>
      <c r="JX51" s="62"/>
      <c r="JY51" s="62"/>
      <c r="JZ51" s="62"/>
      <c r="KA51" s="62"/>
      <c r="KB51" s="62"/>
      <c r="KC51" s="61"/>
      <c r="KD51" s="62"/>
      <c r="KE51" s="63"/>
      <c r="KF51" s="61"/>
      <c r="KG51" s="62"/>
      <c r="KH51" s="63"/>
      <c r="KI51" s="61"/>
      <c r="KJ51" s="62"/>
      <c r="KK51" s="63"/>
      <c r="KL51" s="61"/>
      <c r="KM51" s="62"/>
      <c r="KN51" s="63"/>
      <c r="KO51" s="61"/>
      <c r="KP51" s="62"/>
      <c r="KQ51" s="63"/>
      <c r="KR51" s="61"/>
      <c r="KS51" s="62"/>
      <c r="KT51" s="63"/>
      <c r="KU51" s="61"/>
      <c r="KV51" s="62"/>
      <c r="KW51" s="63"/>
      <c r="KX51" s="61"/>
      <c r="KY51" s="62"/>
      <c r="KZ51" s="63"/>
      <c r="LA51" s="61"/>
      <c r="LB51" s="62"/>
      <c r="LC51" s="63"/>
      <c r="LD51" s="61"/>
      <c r="LE51" s="62"/>
      <c r="LF51" s="63"/>
      <c r="LG51" s="61"/>
      <c r="LH51" s="62"/>
      <c r="LI51" s="63"/>
      <c r="LJ51" s="67"/>
      <c r="LK51" s="67"/>
      <c r="LL51" s="67"/>
      <c r="LM51" s="66"/>
      <c r="LN51" s="67"/>
      <c r="LO51" s="68"/>
      <c r="LP51" s="66"/>
      <c r="LQ51" s="67"/>
      <c r="LR51" s="68"/>
      <c r="LS51" s="66"/>
      <c r="LT51" s="67"/>
      <c r="LU51" s="68"/>
      <c r="LV51" s="67"/>
      <c r="LW51" s="67"/>
      <c r="LX51" s="67"/>
      <c r="LY51" s="66"/>
      <c r="LZ51" s="67"/>
      <c r="MA51" s="68"/>
      <c r="MB51" s="67"/>
      <c r="MC51" s="67"/>
      <c r="MD51" s="67"/>
      <c r="ME51" s="66"/>
      <c r="MF51" s="67"/>
      <c r="MG51" s="68"/>
      <c r="MH51" s="66"/>
      <c r="MI51" s="67"/>
      <c r="MJ51" s="68"/>
      <c r="MK51" s="67"/>
      <c r="ML51" s="67"/>
      <c r="MM51" s="67"/>
      <c r="MN51" s="66"/>
      <c r="MO51" s="67"/>
      <c r="MP51" s="68"/>
      <c r="MQ51" s="66"/>
      <c r="MR51" s="67"/>
      <c r="MS51" s="68"/>
      <c r="MT51" s="66"/>
      <c r="MU51" s="67"/>
      <c r="MV51" s="68"/>
      <c r="MW51" s="66"/>
      <c r="MX51" s="67"/>
      <c r="MY51" s="68"/>
      <c r="MZ51" s="66"/>
      <c r="NA51" s="67"/>
      <c r="NB51" s="68"/>
      <c r="NC51" s="67"/>
      <c r="ND51" s="67"/>
      <c r="NE51" s="72"/>
      <c r="NG51" s="275"/>
      <c r="NH51" s="1"/>
      <c r="NI51" s="1"/>
      <c r="NJ51" s="1"/>
      <c r="NK51" s="1"/>
    </row>
    <row r="52" spans="5:375" s="6" customFormat="1" ht="9.9499999999999993" customHeight="1">
      <c r="F52" s="196">
        <f t="shared" ref="F52" si="346">NG52</f>
        <v>9.6000000000000013E-4</v>
      </c>
      <c r="G52" s="197">
        <f>Q52-F52</f>
        <v>0</v>
      </c>
      <c r="H52" s="27">
        <v>1</v>
      </c>
      <c r="I52" s="19" t="s">
        <v>189</v>
      </c>
      <c r="J52" s="19" t="s">
        <v>184</v>
      </c>
      <c r="K52" s="6" t="s">
        <v>190</v>
      </c>
      <c r="L52" s="339"/>
      <c r="M52" s="370" t="s">
        <v>268</v>
      </c>
      <c r="N52" s="356">
        <v>37200</v>
      </c>
      <c r="O52" s="352" t="s">
        <v>34</v>
      </c>
      <c r="P52" s="307">
        <v>200396</v>
      </c>
      <c r="Q52" s="236">
        <f>ROUND(P52/$P$256,5)</f>
        <v>9.6000000000000002E-4</v>
      </c>
      <c r="R52" s="76"/>
      <c r="S52" s="54"/>
      <c r="T52" s="54" t="s">
        <v>279</v>
      </c>
      <c r="U52" s="54" t="s">
        <v>279</v>
      </c>
      <c r="V52" s="54" t="s">
        <v>279</v>
      </c>
      <c r="W52" s="54" t="s">
        <v>279</v>
      </c>
      <c r="X52" s="54" t="s">
        <v>279</v>
      </c>
      <c r="Y52" s="54" t="s">
        <v>279</v>
      </c>
      <c r="Z52" s="54" t="s">
        <v>279</v>
      </c>
      <c r="AA52" s="54" t="s">
        <v>279</v>
      </c>
      <c r="AB52" s="54" t="s">
        <v>279</v>
      </c>
      <c r="AC52" s="54" t="s">
        <v>279</v>
      </c>
      <c r="AD52" s="54" t="s">
        <v>279</v>
      </c>
      <c r="AE52" s="54" t="s">
        <v>279</v>
      </c>
      <c r="AF52" s="54" t="s">
        <v>279</v>
      </c>
      <c r="AG52" s="54" t="s">
        <v>279</v>
      </c>
      <c r="AH52" s="54" t="s">
        <v>279</v>
      </c>
      <c r="AI52" s="54" t="s">
        <v>279</v>
      </c>
      <c r="AJ52" s="54" t="s">
        <v>279</v>
      </c>
      <c r="AK52" s="54" t="s">
        <v>279</v>
      </c>
      <c r="AL52" s="54" t="s">
        <v>279</v>
      </c>
      <c r="AM52" s="54" t="s">
        <v>279</v>
      </c>
      <c r="AN52" s="54" t="s">
        <v>279</v>
      </c>
      <c r="AO52" s="54" t="s">
        <v>279</v>
      </c>
      <c r="AP52" s="54" t="s">
        <v>279</v>
      </c>
      <c r="AQ52" s="54" t="s">
        <v>279</v>
      </c>
      <c r="AR52" s="54" t="s">
        <v>279</v>
      </c>
      <c r="AS52" s="54" t="s">
        <v>279</v>
      </c>
      <c r="AT52" s="54" t="s">
        <v>279</v>
      </c>
      <c r="AU52" s="54" t="s">
        <v>279</v>
      </c>
      <c r="AV52" s="54" t="s">
        <v>279</v>
      </c>
      <c r="AW52" s="53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5"/>
      <c r="CA52" s="53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3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3"/>
      <c r="EJ52" s="54"/>
      <c r="EK52" s="54"/>
      <c r="EL52" s="54"/>
      <c r="EM52" s="54"/>
      <c r="EN52" s="54"/>
      <c r="EO52" s="54"/>
      <c r="EP52" s="54"/>
      <c r="EQ52" s="54"/>
      <c r="ER52" s="54"/>
      <c r="ES52" s="54"/>
      <c r="ET52" s="54"/>
      <c r="EU52" s="54"/>
      <c r="EV52" s="54"/>
      <c r="EW52" s="54"/>
      <c r="EX52" s="54"/>
      <c r="EY52" s="54"/>
      <c r="EZ52" s="54"/>
      <c r="FA52" s="54"/>
      <c r="FB52" s="54"/>
      <c r="FC52" s="54"/>
      <c r="FD52" s="54"/>
      <c r="FE52" s="54"/>
      <c r="FF52" s="54"/>
      <c r="FG52" s="54"/>
      <c r="FH52" s="54"/>
      <c r="FI52" s="54"/>
      <c r="FJ52" s="54"/>
      <c r="FK52" s="54"/>
      <c r="FL52" s="54"/>
      <c r="FM52" s="53"/>
      <c r="FN52" s="54"/>
      <c r="FO52" s="54"/>
      <c r="FP52" s="54"/>
      <c r="FQ52" s="54"/>
      <c r="FR52" s="54"/>
      <c r="FS52" s="54"/>
      <c r="FT52" s="54"/>
      <c r="FU52" s="54"/>
      <c r="FV52" s="54"/>
      <c r="FW52" s="54"/>
      <c r="FX52" s="54"/>
      <c r="FY52" s="54"/>
      <c r="FZ52" s="54"/>
      <c r="GA52" s="54"/>
      <c r="GB52" s="54"/>
      <c r="GC52" s="54"/>
      <c r="GD52" s="54"/>
      <c r="GE52" s="54"/>
      <c r="GF52" s="54"/>
      <c r="GG52" s="54"/>
      <c r="GH52" s="54"/>
      <c r="GI52" s="54"/>
      <c r="GJ52" s="54"/>
      <c r="GK52" s="54"/>
      <c r="GL52" s="54"/>
      <c r="GM52" s="54"/>
      <c r="GN52" s="54"/>
      <c r="GO52" s="54"/>
      <c r="GP52" s="54"/>
      <c r="GQ52" s="53"/>
      <c r="GR52" s="54"/>
      <c r="GS52" s="54"/>
      <c r="GT52" s="54"/>
      <c r="GU52" s="54"/>
      <c r="GV52" s="54"/>
      <c r="GW52" s="54"/>
      <c r="GX52" s="54"/>
      <c r="GY52" s="54"/>
      <c r="GZ52" s="54"/>
      <c r="HA52" s="54"/>
      <c r="HB52" s="54"/>
      <c r="HC52" s="54"/>
      <c r="HD52" s="54"/>
      <c r="HE52" s="54"/>
      <c r="HF52" s="54"/>
      <c r="HG52" s="54"/>
      <c r="HH52" s="54"/>
      <c r="HI52" s="54"/>
      <c r="HJ52" s="54"/>
      <c r="HK52" s="54"/>
      <c r="HL52" s="54"/>
      <c r="HM52" s="54"/>
      <c r="HN52" s="54"/>
      <c r="HO52" s="54"/>
      <c r="HP52" s="54"/>
      <c r="HQ52" s="54"/>
      <c r="HR52" s="54"/>
      <c r="HS52" s="54"/>
      <c r="HT52" s="54"/>
      <c r="HU52" s="156">
        <f>0.004%*0.2/30</f>
        <v>2.6666666666666673E-7</v>
      </c>
      <c r="HV52" s="156">
        <f>HU52</f>
        <v>2.6666666666666673E-7</v>
      </c>
      <c r="HW52" s="156">
        <f t="shared" ref="HW52:IX52" si="347">HV52</f>
        <v>2.6666666666666673E-7</v>
      </c>
      <c r="HX52" s="156">
        <f t="shared" si="347"/>
        <v>2.6666666666666673E-7</v>
      </c>
      <c r="HY52" s="156">
        <f t="shared" si="347"/>
        <v>2.6666666666666673E-7</v>
      </c>
      <c r="HZ52" s="156">
        <f t="shared" si="347"/>
        <v>2.6666666666666673E-7</v>
      </c>
      <c r="IA52" s="156">
        <f t="shared" si="347"/>
        <v>2.6666666666666673E-7</v>
      </c>
      <c r="IB52" s="156">
        <f t="shared" si="347"/>
        <v>2.6666666666666673E-7</v>
      </c>
      <c r="IC52" s="156">
        <f t="shared" si="347"/>
        <v>2.6666666666666673E-7</v>
      </c>
      <c r="ID52" s="156">
        <f t="shared" si="347"/>
        <v>2.6666666666666673E-7</v>
      </c>
      <c r="IE52" s="156">
        <f t="shared" si="347"/>
        <v>2.6666666666666673E-7</v>
      </c>
      <c r="IF52" s="156">
        <f t="shared" si="347"/>
        <v>2.6666666666666673E-7</v>
      </c>
      <c r="IG52" s="156">
        <f t="shared" si="347"/>
        <v>2.6666666666666673E-7</v>
      </c>
      <c r="IH52" s="156">
        <f t="shared" si="347"/>
        <v>2.6666666666666673E-7</v>
      </c>
      <c r="II52" s="156">
        <f t="shared" si="347"/>
        <v>2.6666666666666673E-7</v>
      </c>
      <c r="IJ52" s="156">
        <f t="shared" si="347"/>
        <v>2.6666666666666673E-7</v>
      </c>
      <c r="IK52" s="156">
        <f t="shared" si="347"/>
        <v>2.6666666666666673E-7</v>
      </c>
      <c r="IL52" s="156">
        <f t="shared" si="347"/>
        <v>2.6666666666666673E-7</v>
      </c>
      <c r="IM52" s="156">
        <f t="shared" si="347"/>
        <v>2.6666666666666673E-7</v>
      </c>
      <c r="IN52" s="156">
        <f t="shared" si="347"/>
        <v>2.6666666666666673E-7</v>
      </c>
      <c r="IO52" s="156">
        <f t="shared" si="347"/>
        <v>2.6666666666666673E-7</v>
      </c>
      <c r="IP52" s="156">
        <f t="shared" si="347"/>
        <v>2.6666666666666673E-7</v>
      </c>
      <c r="IQ52" s="156">
        <f t="shared" si="347"/>
        <v>2.6666666666666673E-7</v>
      </c>
      <c r="IR52" s="156">
        <f t="shared" si="347"/>
        <v>2.6666666666666673E-7</v>
      </c>
      <c r="IS52" s="156">
        <f t="shared" si="347"/>
        <v>2.6666666666666673E-7</v>
      </c>
      <c r="IT52" s="156">
        <f t="shared" si="347"/>
        <v>2.6666666666666673E-7</v>
      </c>
      <c r="IU52" s="156">
        <f t="shared" si="347"/>
        <v>2.6666666666666673E-7</v>
      </c>
      <c r="IV52" s="156">
        <f t="shared" si="347"/>
        <v>2.6666666666666673E-7</v>
      </c>
      <c r="IW52" s="156">
        <f t="shared" si="347"/>
        <v>2.6666666666666673E-7</v>
      </c>
      <c r="IX52" s="156">
        <f t="shared" si="347"/>
        <v>2.6666666666666673E-7</v>
      </c>
      <c r="IY52" s="156">
        <f>0.007%*0.2/30</f>
        <v>4.6666666666666672E-7</v>
      </c>
      <c r="IZ52" s="156">
        <f>IY52</f>
        <v>4.6666666666666672E-7</v>
      </c>
      <c r="JA52" s="156">
        <f t="shared" ref="JA52:KB52" si="348">IZ52</f>
        <v>4.6666666666666672E-7</v>
      </c>
      <c r="JB52" s="156">
        <f t="shared" si="348"/>
        <v>4.6666666666666672E-7</v>
      </c>
      <c r="JC52" s="156">
        <f t="shared" si="348"/>
        <v>4.6666666666666672E-7</v>
      </c>
      <c r="JD52" s="156">
        <f t="shared" si="348"/>
        <v>4.6666666666666672E-7</v>
      </c>
      <c r="JE52" s="156">
        <f t="shared" si="348"/>
        <v>4.6666666666666672E-7</v>
      </c>
      <c r="JF52" s="156">
        <f t="shared" si="348"/>
        <v>4.6666666666666672E-7</v>
      </c>
      <c r="JG52" s="156">
        <f t="shared" si="348"/>
        <v>4.6666666666666672E-7</v>
      </c>
      <c r="JH52" s="156">
        <f t="shared" si="348"/>
        <v>4.6666666666666672E-7</v>
      </c>
      <c r="JI52" s="156">
        <f t="shared" si="348"/>
        <v>4.6666666666666672E-7</v>
      </c>
      <c r="JJ52" s="156">
        <f t="shared" si="348"/>
        <v>4.6666666666666672E-7</v>
      </c>
      <c r="JK52" s="156">
        <f t="shared" si="348"/>
        <v>4.6666666666666672E-7</v>
      </c>
      <c r="JL52" s="156">
        <f t="shared" si="348"/>
        <v>4.6666666666666672E-7</v>
      </c>
      <c r="JM52" s="156">
        <f t="shared" si="348"/>
        <v>4.6666666666666672E-7</v>
      </c>
      <c r="JN52" s="156">
        <f t="shared" si="348"/>
        <v>4.6666666666666672E-7</v>
      </c>
      <c r="JO52" s="156">
        <f t="shared" si="348"/>
        <v>4.6666666666666672E-7</v>
      </c>
      <c r="JP52" s="156">
        <f t="shared" si="348"/>
        <v>4.6666666666666672E-7</v>
      </c>
      <c r="JQ52" s="156">
        <f t="shared" si="348"/>
        <v>4.6666666666666672E-7</v>
      </c>
      <c r="JR52" s="156">
        <f t="shared" si="348"/>
        <v>4.6666666666666672E-7</v>
      </c>
      <c r="JS52" s="156">
        <f t="shared" si="348"/>
        <v>4.6666666666666672E-7</v>
      </c>
      <c r="JT52" s="156">
        <f t="shared" si="348"/>
        <v>4.6666666666666672E-7</v>
      </c>
      <c r="JU52" s="156">
        <f t="shared" si="348"/>
        <v>4.6666666666666672E-7</v>
      </c>
      <c r="JV52" s="156">
        <f t="shared" si="348"/>
        <v>4.6666666666666672E-7</v>
      </c>
      <c r="JW52" s="156">
        <f t="shared" si="348"/>
        <v>4.6666666666666672E-7</v>
      </c>
      <c r="JX52" s="156">
        <f t="shared" si="348"/>
        <v>4.6666666666666672E-7</v>
      </c>
      <c r="JY52" s="156">
        <f t="shared" si="348"/>
        <v>4.6666666666666672E-7</v>
      </c>
      <c r="JZ52" s="156">
        <f t="shared" si="348"/>
        <v>4.6666666666666672E-7</v>
      </c>
      <c r="KA52" s="156">
        <f t="shared" si="348"/>
        <v>4.6666666666666672E-7</v>
      </c>
      <c r="KB52" s="156">
        <f t="shared" si="348"/>
        <v>4.6666666666666672E-7</v>
      </c>
      <c r="KC52" s="212">
        <f>0.007%+0.0007%</f>
        <v>7.7000000000000001E-5</v>
      </c>
      <c r="KD52" s="212"/>
      <c r="KE52" s="212"/>
      <c r="KF52" s="212">
        <f>0.007%+0.0007%</f>
        <v>7.7000000000000001E-5</v>
      </c>
      <c r="KG52" s="212"/>
      <c r="KH52" s="212"/>
      <c r="KI52" s="212">
        <f>0.007%+0.0008%</f>
        <v>7.8000000000000012E-5</v>
      </c>
      <c r="KJ52" s="212"/>
      <c r="KK52" s="212"/>
      <c r="KL52" s="212">
        <f>0.007%+0.0008%</f>
        <v>7.8000000000000012E-5</v>
      </c>
      <c r="KM52" s="212"/>
      <c r="KN52" s="212"/>
      <c r="KO52" s="212">
        <f>0.007%+0.0008%</f>
        <v>7.8000000000000012E-5</v>
      </c>
      <c r="KP52" s="212"/>
      <c r="KQ52" s="212"/>
      <c r="KR52" s="212">
        <f>0.007%+0.0008%</f>
        <v>7.8000000000000012E-5</v>
      </c>
      <c r="KS52" s="212"/>
      <c r="KT52" s="212"/>
      <c r="KU52" s="212">
        <f>0.007%+0.0007%</f>
        <v>7.7000000000000001E-5</v>
      </c>
      <c r="KV52" s="212"/>
      <c r="KW52" s="212"/>
      <c r="KX52" s="212">
        <f>0.008%+0.0007%</f>
        <v>8.7000000000000001E-5</v>
      </c>
      <c r="KY52" s="212"/>
      <c r="KZ52" s="218"/>
      <c r="LA52" s="211">
        <f>0.007%+0.0007%</f>
        <v>7.7000000000000001E-5</v>
      </c>
      <c r="LB52" s="212"/>
      <c r="LC52" s="213"/>
      <c r="LD52" s="220">
        <f>0.007%+0.0007%</f>
        <v>7.7000000000000001E-5</v>
      </c>
      <c r="LE52" s="212"/>
      <c r="LF52" s="212"/>
      <c r="LG52" s="212">
        <f>0.007%+0.0007%</f>
        <v>7.7000000000000001E-5</v>
      </c>
      <c r="LH52" s="212"/>
      <c r="LI52" s="212"/>
      <c r="LJ52" s="212">
        <f>0.007%+0.0007%</f>
        <v>7.7000000000000001E-5</v>
      </c>
      <c r="LK52" s="212"/>
      <c r="LL52" s="212"/>
      <c r="LM52" s="53"/>
      <c r="LN52" s="54"/>
      <c r="LO52" s="55"/>
      <c r="LP52" s="53"/>
      <c r="LQ52" s="54"/>
      <c r="LR52" s="55"/>
      <c r="LS52" s="53"/>
      <c r="LT52" s="54"/>
      <c r="LU52" s="55"/>
      <c r="LV52" s="54"/>
      <c r="LW52" s="54"/>
      <c r="LX52" s="54"/>
      <c r="LY52" s="53"/>
      <c r="LZ52" s="54"/>
      <c r="MA52" s="55"/>
      <c r="MB52" s="54"/>
      <c r="MC52" s="54"/>
      <c r="MD52" s="54"/>
      <c r="ME52" s="53"/>
      <c r="MF52" s="54"/>
      <c r="MG52" s="55"/>
      <c r="MH52" s="53"/>
      <c r="MI52" s="54"/>
      <c r="MJ52" s="55"/>
      <c r="MK52" s="54"/>
      <c r="ML52" s="54"/>
      <c r="MM52" s="54"/>
      <c r="MN52" s="53"/>
      <c r="MO52" s="54"/>
      <c r="MP52" s="55"/>
      <c r="MQ52" s="53"/>
      <c r="MR52" s="54"/>
      <c r="MS52" s="55"/>
      <c r="MT52" s="53"/>
      <c r="MU52" s="54"/>
      <c r="MV52" s="55"/>
      <c r="MW52" s="53"/>
      <c r="MX52" s="54"/>
      <c r="MY52" s="55"/>
      <c r="MZ52" s="53"/>
      <c r="NA52" s="54"/>
      <c r="NB52" s="55"/>
      <c r="NC52" s="54"/>
      <c r="ND52" s="54"/>
      <c r="NE52" s="59"/>
      <c r="NG52" s="275">
        <f>SUM(R52:NE52)</f>
        <v>9.6000000000000013E-4</v>
      </c>
      <c r="NH52" s="1"/>
      <c r="NI52" s="1"/>
      <c r="NJ52" s="1"/>
      <c r="NK52" s="1"/>
    </row>
    <row r="53" spans="5:375" s="6" customFormat="1" ht="6.95" customHeight="1">
      <c r="F53" s="196"/>
      <c r="G53" s="197"/>
      <c r="H53" s="52">
        <v>2</v>
      </c>
      <c r="L53" s="340"/>
      <c r="M53" s="371"/>
      <c r="N53" s="357"/>
      <c r="O53" s="353"/>
      <c r="P53" s="308"/>
      <c r="Q53" s="237"/>
      <c r="R53" s="6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39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1"/>
      <c r="CA53" s="39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39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39"/>
      <c r="EJ53" s="40"/>
      <c r="EK53" s="40"/>
      <c r="EL53" s="40"/>
      <c r="EM53" s="40"/>
      <c r="EN53" s="40"/>
      <c r="EO53" s="40"/>
      <c r="EP53" s="40"/>
      <c r="EQ53" s="40"/>
      <c r="ER53" s="40"/>
      <c r="ES53" s="40"/>
      <c r="ET53" s="40"/>
      <c r="EU53" s="40"/>
      <c r="EV53" s="40"/>
      <c r="EW53" s="40"/>
      <c r="EX53" s="40"/>
      <c r="EY53" s="40"/>
      <c r="EZ53" s="40"/>
      <c r="FA53" s="40"/>
      <c r="FB53" s="40"/>
      <c r="FC53" s="40"/>
      <c r="FD53" s="40"/>
      <c r="FE53" s="40"/>
      <c r="FF53" s="40"/>
      <c r="FG53" s="40"/>
      <c r="FH53" s="40"/>
      <c r="FI53" s="40"/>
      <c r="FJ53" s="40"/>
      <c r="FK53" s="40"/>
      <c r="FL53" s="40"/>
      <c r="FM53" s="39"/>
      <c r="FN53" s="40"/>
      <c r="FO53" s="40"/>
      <c r="FP53" s="40"/>
      <c r="FQ53" s="40"/>
      <c r="FR53" s="40"/>
      <c r="FS53" s="40"/>
      <c r="FT53" s="40"/>
      <c r="FU53" s="40"/>
      <c r="FV53" s="40"/>
      <c r="FW53" s="40"/>
      <c r="FX53" s="40"/>
      <c r="FY53" s="40"/>
      <c r="FZ53" s="40"/>
      <c r="GA53" s="40"/>
      <c r="GB53" s="40"/>
      <c r="GC53" s="40"/>
      <c r="GD53" s="40"/>
      <c r="GE53" s="40"/>
      <c r="GF53" s="40"/>
      <c r="GG53" s="40"/>
      <c r="GH53" s="40"/>
      <c r="GI53" s="40"/>
      <c r="GJ53" s="40"/>
      <c r="GK53" s="40"/>
      <c r="GL53" s="40"/>
      <c r="GM53" s="40"/>
      <c r="GN53" s="40"/>
      <c r="GO53" s="40"/>
      <c r="GP53" s="40"/>
      <c r="GQ53" s="39"/>
      <c r="GR53" s="40"/>
      <c r="GS53" s="40"/>
      <c r="GT53" s="40"/>
      <c r="GU53" s="40"/>
      <c r="GV53" s="40"/>
      <c r="GW53" s="40"/>
      <c r="GX53" s="40"/>
      <c r="GY53" s="40"/>
      <c r="GZ53" s="40"/>
      <c r="HA53" s="40"/>
      <c r="HB53" s="40"/>
      <c r="HC53" s="40"/>
      <c r="HD53" s="40"/>
      <c r="HE53" s="40"/>
      <c r="HF53" s="40"/>
      <c r="HG53" s="40"/>
      <c r="HH53" s="40"/>
      <c r="HI53" s="40"/>
      <c r="HJ53" s="40"/>
      <c r="HK53" s="40"/>
      <c r="HL53" s="40"/>
      <c r="HM53" s="40"/>
      <c r="HN53" s="40"/>
      <c r="HO53" s="40"/>
      <c r="HP53" s="40"/>
      <c r="HQ53" s="40"/>
      <c r="HR53" s="40"/>
      <c r="HS53" s="40"/>
      <c r="HT53" s="40"/>
      <c r="HU53" s="61"/>
      <c r="HV53" s="62"/>
      <c r="HW53" s="62"/>
      <c r="HX53" s="62"/>
      <c r="HY53" s="62"/>
      <c r="HZ53" s="62"/>
      <c r="IA53" s="62"/>
      <c r="IB53" s="62"/>
      <c r="IC53" s="62"/>
      <c r="ID53" s="62"/>
      <c r="IE53" s="62"/>
      <c r="IF53" s="62"/>
      <c r="IG53" s="62"/>
      <c r="IH53" s="62"/>
      <c r="II53" s="62"/>
      <c r="IJ53" s="62"/>
      <c r="IK53" s="62"/>
      <c r="IL53" s="62"/>
      <c r="IM53" s="62"/>
      <c r="IN53" s="62"/>
      <c r="IO53" s="62"/>
      <c r="IP53" s="62"/>
      <c r="IQ53" s="62"/>
      <c r="IR53" s="62"/>
      <c r="IS53" s="62"/>
      <c r="IT53" s="62"/>
      <c r="IU53" s="62"/>
      <c r="IV53" s="62"/>
      <c r="IW53" s="62"/>
      <c r="IX53" s="62"/>
      <c r="IY53" s="61"/>
      <c r="IZ53" s="62"/>
      <c r="JA53" s="62"/>
      <c r="JB53" s="62"/>
      <c r="JC53" s="62"/>
      <c r="JD53" s="62"/>
      <c r="JE53" s="62"/>
      <c r="JF53" s="62"/>
      <c r="JG53" s="62"/>
      <c r="JH53" s="62"/>
      <c r="JI53" s="62"/>
      <c r="JJ53" s="62"/>
      <c r="JK53" s="62"/>
      <c r="JL53" s="62"/>
      <c r="JM53" s="62"/>
      <c r="JN53" s="62"/>
      <c r="JO53" s="62"/>
      <c r="JP53" s="62"/>
      <c r="JQ53" s="62"/>
      <c r="JR53" s="62"/>
      <c r="JS53" s="62"/>
      <c r="JT53" s="62"/>
      <c r="JU53" s="62"/>
      <c r="JV53" s="62"/>
      <c r="JW53" s="62"/>
      <c r="JX53" s="62"/>
      <c r="JY53" s="62"/>
      <c r="JZ53" s="62"/>
      <c r="KA53" s="62"/>
      <c r="KB53" s="62"/>
      <c r="KC53" s="61"/>
      <c r="KD53" s="62"/>
      <c r="KE53" s="63"/>
      <c r="KF53" s="61"/>
      <c r="KG53" s="62"/>
      <c r="KH53" s="63"/>
      <c r="KI53" s="61"/>
      <c r="KJ53" s="62"/>
      <c r="KK53" s="63"/>
      <c r="KL53" s="61"/>
      <c r="KM53" s="62"/>
      <c r="KN53" s="63"/>
      <c r="KO53" s="61"/>
      <c r="KP53" s="62"/>
      <c r="KQ53" s="63"/>
      <c r="KR53" s="61"/>
      <c r="KS53" s="62"/>
      <c r="KT53" s="63"/>
      <c r="KU53" s="61"/>
      <c r="KV53" s="62"/>
      <c r="KW53" s="63"/>
      <c r="KX53" s="61"/>
      <c r="KY53" s="62"/>
      <c r="KZ53" s="63"/>
      <c r="LA53" s="61"/>
      <c r="LB53" s="62"/>
      <c r="LC53" s="63"/>
      <c r="LD53" s="61"/>
      <c r="LE53" s="62"/>
      <c r="LF53" s="63"/>
      <c r="LG53" s="61"/>
      <c r="LH53" s="62"/>
      <c r="LI53" s="63"/>
      <c r="LJ53" s="61"/>
      <c r="LK53" s="62"/>
      <c r="LL53" s="63"/>
      <c r="LM53" s="39"/>
      <c r="LN53" s="40"/>
      <c r="LO53" s="41"/>
      <c r="LP53" s="39"/>
      <c r="LQ53" s="40"/>
      <c r="LR53" s="41"/>
      <c r="LS53" s="39"/>
      <c r="LT53" s="40"/>
      <c r="LU53" s="41"/>
      <c r="LV53" s="40"/>
      <c r="LW53" s="40"/>
      <c r="LX53" s="40"/>
      <c r="LY53" s="39"/>
      <c r="LZ53" s="40"/>
      <c r="MA53" s="41"/>
      <c r="MB53" s="40"/>
      <c r="MC53" s="40"/>
      <c r="MD53" s="40"/>
      <c r="ME53" s="39"/>
      <c r="MF53" s="40"/>
      <c r="MG53" s="41"/>
      <c r="MH53" s="39"/>
      <c r="MI53" s="40"/>
      <c r="MJ53" s="41"/>
      <c r="MK53" s="40"/>
      <c r="ML53" s="40"/>
      <c r="MM53" s="40"/>
      <c r="MN53" s="39"/>
      <c r="MO53" s="40"/>
      <c r="MP53" s="41"/>
      <c r="MQ53" s="39"/>
      <c r="MR53" s="40"/>
      <c r="MS53" s="41"/>
      <c r="MT53" s="39"/>
      <c r="MU53" s="40"/>
      <c r="MV53" s="41"/>
      <c r="MW53" s="39"/>
      <c r="MX53" s="40"/>
      <c r="MY53" s="41"/>
      <c r="MZ53" s="39"/>
      <c r="NA53" s="40"/>
      <c r="NB53" s="41"/>
      <c r="NC53" s="40"/>
      <c r="ND53" s="40"/>
      <c r="NE53" s="42"/>
      <c r="NG53" s="275"/>
      <c r="NH53" s="1"/>
      <c r="NI53" s="1"/>
      <c r="NJ53" s="1"/>
      <c r="NK53" s="1"/>
    </row>
    <row r="54" spans="5:375" s="6" customFormat="1" ht="9.9499999999999993" customHeight="1">
      <c r="E54" s="6" t="s">
        <v>191</v>
      </c>
      <c r="F54" s="196">
        <f t="shared" ref="F54" si="349">NG54</f>
        <v>1.2520000000000003E-2</v>
      </c>
      <c r="G54" s="197">
        <f>Q54-F54</f>
        <v>0</v>
      </c>
      <c r="H54" s="27">
        <v>1</v>
      </c>
      <c r="I54" s="19" t="s">
        <v>192</v>
      </c>
      <c r="J54" s="19" t="s">
        <v>184</v>
      </c>
      <c r="K54" s="6" t="s">
        <v>193</v>
      </c>
      <c r="L54" s="292"/>
      <c r="M54" s="295" t="s">
        <v>269</v>
      </c>
      <c r="N54" s="296">
        <v>263941</v>
      </c>
      <c r="O54" s="297" t="s">
        <v>260</v>
      </c>
      <c r="P54" s="315">
        <v>2605925</v>
      </c>
      <c r="Q54" s="236">
        <f>ROUND(P54/$P$256,5)</f>
        <v>1.252E-2</v>
      </c>
      <c r="R54" s="73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6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8"/>
      <c r="CA54" s="66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7"/>
      <c r="DA54" s="67"/>
      <c r="DB54" s="67"/>
      <c r="DC54" s="67"/>
      <c r="DD54" s="67"/>
      <c r="DE54" s="66"/>
      <c r="DF54" s="67"/>
      <c r="DG54" s="67"/>
      <c r="DH54" s="67"/>
      <c r="DI54" s="67"/>
      <c r="DJ54" s="67"/>
      <c r="DK54" s="67"/>
      <c r="DL54" s="67"/>
      <c r="DM54" s="67"/>
      <c r="DN54" s="67"/>
      <c r="DO54" s="67"/>
      <c r="DP54" s="67"/>
      <c r="DQ54" s="67"/>
      <c r="DR54" s="67"/>
      <c r="DS54" s="67"/>
      <c r="DT54" s="67"/>
      <c r="DU54" s="67"/>
      <c r="DV54" s="67"/>
      <c r="DW54" s="67"/>
      <c r="DX54" s="67"/>
      <c r="DY54" s="67"/>
      <c r="DZ54" s="67"/>
      <c r="EA54" s="67"/>
      <c r="EB54" s="67"/>
      <c r="EC54" s="67"/>
      <c r="ED54" s="67"/>
      <c r="EE54" s="67"/>
      <c r="EF54" s="67"/>
      <c r="EG54" s="67"/>
      <c r="EH54" s="67"/>
      <c r="EI54" s="67"/>
      <c r="EJ54" s="67"/>
      <c r="EK54" s="67"/>
      <c r="EL54" s="67"/>
      <c r="EM54" s="67"/>
      <c r="EN54" s="67"/>
      <c r="EO54" s="67"/>
      <c r="EP54" s="67"/>
      <c r="EQ54" s="67"/>
      <c r="ER54" s="67"/>
      <c r="ES54" s="67"/>
      <c r="ET54" s="67"/>
      <c r="EU54" s="67"/>
      <c r="EV54" s="67"/>
      <c r="EW54" s="67"/>
      <c r="EX54" s="67"/>
      <c r="EY54" s="67"/>
      <c r="EZ54" s="67"/>
      <c r="FA54" s="67"/>
      <c r="FB54" s="67"/>
      <c r="FC54" s="67"/>
      <c r="FD54" s="67"/>
      <c r="FE54" s="67"/>
      <c r="FF54" s="67"/>
      <c r="FG54" s="67"/>
      <c r="FH54" s="67"/>
      <c r="FI54" s="67"/>
      <c r="FJ54" s="67"/>
      <c r="FK54" s="67"/>
      <c r="FL54" s="67"/>
      <c r="FM54" s="66"/>
      <c r="FN54" s="67"/>
      <c r="FO54" s="67"/>
      <c r="FP54" s="67"/>
      <c r="FQ54" s="67"/>
      <c r="FR54" s="67"/>
      <c r="FS54" s="67"/>
      <c r="FT54" s="67"/>
      <c r="FU54" s="67"/>
      <c r="FV54" s="67"/>
      <c r="FW54" s="67"/>
      <c r="FX54" s="67"/>
      <c r="FY54" s="67"/>
      <c r="FZ54" s="67"/>
      <c r="GA54" s="67"/>
      <c r="GB54" s="67"/>
      <c r="GC54" s="67"/>
      <c r="GD54" s="67"/>
      <c r="GE54" s="67"/>
      <c r="GF54" s="67"/>
      <c r="GG54" s="67"/>
      <c r="GH54" s="67"/>
      <c r="GI54" s="67"/>
      <c r="GJ54" s="67"/>
      <c r="GK54" s="67"/>
      <c r="GL54" s="67"/>
      <c r="GM54" s="67"/>
      <c r="GN54" s="67"/>
      <c r="GO54" s="67"/>
      <c r="GP54" s="67"/>
      <c r="GQ54" s="66"/>
      <c r="GR54" s="67"/>
      <c r="GS54" s="67"/>
      <c r="GT54" s="67"/>
      <c r="GU54" s="67"/>
      <c r="GV54" s="67"/>
      <c r="GW54" s="67"/>
      <c r="GX54" s="67"/>
      <c r="GY54" s="67"/>
      <c r="GZ54" s="67"/>
      <c r="HA54" s="67"/>
      <c r="HB54" s="67"/>
      <c r="HC54" s="67"/>
      <c r="HD54" s="67"/>
      <c r="HE54" s="67"/>
      <c r="HF54" s="67"/>
      <c r="HG54" s="67"/>
      <c r="HH54" s="67"/>
      <c r="HI54" s="67"/>
      <c r="HJ54" s="67"/>
      <c r="HK54" s="67"/>
      <c r="HL54" s="67"/>
      <c r="HM54" s="67"/>
      <c r="HN54" s="67"/>
      <c r="HO54" s="67"/>
      <c r="HP54" s="67"/>
      <c r="HQ54" s="67"/>
      <c r="HR54" s="67"/>
      <c r="HS54" s="67"/>
      <c r="HT54" s="67"/>
      <c r="HU54" s="66"/>
      <c r="HV54" s="67"/>
      <c r="HW54" s="67"/>
      <c r="HX54" s="67"/>
      <c r="HY54" s="67"/>
      <c r="HZ54" s="67"/>
      <c r="IA54" s="67"/>
      <c r="IB54" s="67"/>
      <c r="IC54" s="67"/>
      <c r="ID54" s="67"/>
      <c r="IE54" s="67"/>
      <c r="IF54" s="67"/>
      <c r="IG54" s="67"/>
      <c r="IH54" s="67"/>
      <c r="II54" s="67"/>
      <c r="IJ54" s="67"/>
      <c r="IK54" s="67"/>
      <c r="IL54" s="67"/>
      <c r="IM54" s="67"/>
      <c r="IN54" s="67"/>
      <c r="IO54" s="67"/>
      <c r="IP54" s="67"/>
      <c r="IQ54" s="67"/>
      <c r="IR54" s="67"/>
      <c r="IS54" s="67"/>
      <c r="IT54" s="67"/>
      <c r="IU54" s="67"/>
      <c r="IV54" s="67"/>
      <c r="IW54" s="67"/>
      <c r="IX54" s="67"/>
      <c r="IY54" s="66"/>
      <c r="IZ54" s="67"/>
      <c r="JA54" s="67"/>
      <c r="JB54" s="67"/>
      <c r="JC54" s="67"/>
      <c r="JD54" s="67"/>
      <c r="JE54" s="67"/>
      <c r="JF54" s="67"/>
      <c r="JG54" s="67"/>
      <c r="JH54" s="67"/>
      <c r="JI54" s="67"/>
      <c r="JJ54" s="67"/>
      <c r="JK54" s="67"/>
      <c r="JL54" s="67"/>
      <c r="JM54" s="67"/>
      <c r="JN54" s="67"/>
      <c r="JO54" s="67"/>
      <c r="JP54" s="67"/>
      <c r="JQ54" s="67"/>
      <c r="JR54" s="67"/>
      <c r="JS54" s="67"/>
      <c r="JT54" s="67"/>
      <c r="JU54" s="67"/>
      <c r="JV54" s="67"/>
      <c r="JW54" s="67"/>
      <c r="JX54" s="67"/>
      <c r="JY54" s="67"/>
      <c r="JZ54" s="67"/>
      <c r="KA54" s="67"/>
      <c r="KB54" s="67"/>
      <c r="KC54" s="66"/>
      <c r="KD54" s="67"/>
      <c r="KE54" s="67"/>
      <c r="KF54" s="66"/>
      <c r="KG54" s="67"/>
      <c r="KH54" s="68"/>
      <c r="KI54" s="67"/>
      <c r="KJ54" s="67"/>
      <c r="KK54" s="67"/>
      <c r="KL54" s="66"/>
      <c r="KM54" s="67"/>
      <c r="KN54" s="68"/>
      <c r="KO54" s="67"/>
      <c r="KP54" s="67"/>
      <c r="KQ54" s="67"/>
      <c r="KR54" s="66"/>
      <c r="KS54" s="67"/>
      <c r="KT54" s="68"/>
      <c r="KU54" s="53"/>
      <c r="KV54" s="54"/>
      <c r="KW54" s="55"/>
      <c r="KX54" s="67"/>
      <c r="KY54" s="67"/>
      <c r="KZ54" s="67"/>
      <c r="LA54" s="233"/>
      <c r="LB54" s="214"/>
      <c r="LC54" s="234"/>
      <c r="LD54" s="215"/>
      <c r="LE54" s="214"/>
      <c r="LF54" s="214"/>
      <c r="LG54" s="214"/>
      <c r="LH54" s="214"/>
      <c r="LI54" s="214"/>
      <c r="LJ54" s="214"/>
      <c r="LK54" s="214"/>
      <c r="LL54" s="214"/>
      <c r="LM54" s="214">
        <v>3.3E-4</v>
      </c>
      <c r="LN54" s="214"/>
      <c r="LO54" s="214"/>
      <c r="LP54" s="214">
        <v>3.3E-4</v>
      </c>
      <c r="LQ54" s="214"/>
      <c r="LR54" s="214"/>
      <c r="LS54" s="214">
        <v>1.34E-3</v>
      </c>
      <c r="LT54" s="214"/>
      <c r="LU54" s="214"/>
      <c r="LV54" s="214">
        <v>1.14E-3</v>
      </c>
      <c r="LW54" s="214"/>
      <c r="LX54" s="214"/>
      <c r="LY54" s="66"/>
      <c r="LZ54" s="67"/>
      <c r="MA54" s="68"/>
      <c r="MB54" s="214">
        <v>1.34E-3</v>
      </c>
      <c r="MC54" s="214"/>
      <c r="MD54" s="214"/>
      <c r="ME54" s="214">
        <v>1.34E-3</v>
      </c>
      <c r="MF54" s="214"/>
      <c r="MG54" s="214"/>
      <c r="MH54" s="214">
        <v>1.34E-3</v>
      </c>
      <c r="MI54" s="214"/>
      <c r="MJ54" s="214"/>
      <c r="MK54" s="214"/>
      <c r="ML54" s="214"/>
      <c r="MM54" s="214"/>
      <c r="MN54" s="214">
        <v>1.34E-3</v>
      </c>
      <c r="MO54" s="214"/>
      <c r="MP54" s="214"/>
      <c r="MQ54" s="214">
        <v>1.34E-3</v>
      </c>
      <c r="MR54" s="214"/>
      <c r="MS54" s="214"/>
      <c r="MT54" s="214">
        <v>1.34E-3</v>
      </c>
      <c r="MU54" s="214"/>
      <c r="MV54" s="214"/>
      <c r="MW54" s="214">
        <v>1.34E-3</v>
      </c>
      <c r="MX54" s="214"/>
      <c r="MY54" s="214"/>
      <c r="MZ54" s="66"/>
      <c r="NA54" s="67"/>
      <c r="NB54" s="68"/>
      <c r="NC54" s="67"/>
      <c r="ND54" s="67"/>
      <c r="NE54" s="72"/>
      <c r="NG54" s="275">
        <f>SUM(R54:NE54)</f>
        <v>1.2520000000000003E-2</v>
      </c>
      <c r="NH54" s="1"/>
      <c r="NI54" s="1"/>
      <c r="NJ54" s="1"/>
      <c r="NK54" s="1"/>
    </row>
    <row r="55" spans="5:375" s="6" customFormat="1" ht="6.95" customHeight="1">
      <c r="F55" s="196"/>
      <c r="G55" s="197"/>
      <c r="H55" s="52">
        <v>2</v>
      </c>
      <c r="L55" s="292"/>
      <c r="M55" s="295"/>
      <c r="N55" s="296"/>
      <c r="O55" s="298"/>
      <c r="P55" s="315"/>
      <c r="Q55" s="237"/>
      <c r="R55" s="73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6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8"/>
      <c r="CA55" s="66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6"/>
      <c r="DF55" s="67"/>
      <c r="DG55" s="67"/>
      <c r="DH55" s="67"/>
      <c r="DI55" s="67"/>
      <c r="DJ55" s="67"/>
      <c r="DK55" s="67"/>
      <c r="DL55" s="67"/>
      <c r="DM55" s="67"/>
      <c r="DN55" s="67"/>
      <c r="DO55" s="67"/>
      <c r="DP55" s="67"/>
      <c r="DQ55" s="67"/>
      <c r="DR55" s="67"/>
      <c r="DS55" s="67"/>
      <c r="DT55" s="67"/>
      <c r="DU55" s="67"/>
      <c r="DV55" s="67"/>
      <c r="DW55" s="67"/>
      <c r="DX55" s="67"/>
      <c r="DY55" s="67"/>
      <c r="DZ55" s="67"/>
      <c r="EA55" s="67"/>
      <c r="EB55" s="67"/>
      <c r="EC55" s="67"/>
      <c r="ED55" s="67"/>
      <c r="EE55" s="67"/>
      <c r="EF55" s="67"/>
      <c r="EG55" s="67"/>
      <c r="EH55" s="67"/>
      <c r="EI55" s="67"/>
      <c r="EJ55" s="67"/>
      <c r="EK55" s="67"/>
      <c r="EL55" s="67"/>
      <c r="EM55" s="67"/>
      <c r="EN55" s="67"/>
      <c r="EO55" s="67"/>
      <c r="EP55" s="67"/>
      <c r="EQ55" s="67"/>
      <c r="ER55" s="67"/>
      <c r="ES55" s="67"/>
      <c r="ET55" s="67"/>
      <c r="EU55" s="67"/>
      <c r="EV55" s="67"/>
      <c r="EW55" s="67"/>
      <c r="EX55" s="67"/>
      <c r="EY55" s="67"/>
      <c r="EZ55" s="67"/>
      <c r="FA55" s="67"/>
      <c r="FB55" s="67"/>
      <c r="FC55" s="67"/>
      <c r="FD55" s="67"/>
      <c r="FE55" s="67"/>
      <c r="FF55" s="67"/>
      <c r="FG55" s="67"/>
      <c r="FH55" s="67"/>
      <c r="FI55" s="67"/>
      <c r="FJ55" s="67"/>
      <c r="FK55" s="67"/>
      <c r="FL55" s="67"/>
      <c r="FM55" s="66"/>
      <c r="FN55" s="67"/>
      <c r="FO55" s="67"/>
      <c r="FP55" s="67"/>
      <c r="FQ55" s="67"/>
      <c r="FR55" s="67"/>
      <c r="FS55" s="67"/>
      <c r="FT55" s="67"/>
      <c r="FU55" s="67"/>
      <c r="FV55" s="67"/>
      <c r="FW55" s="67"/>
      <c r="FX55" s="67"/>
      <c r="FY55" s="67"/>
      <c r="FZ55" s="67"/>
      <c r="GA55" s="67"/>
      <c r="GB55" s="67"/>
      <c r="GC55" s="67"/>
      <c r="GD55" s="67"/>
      <c r="GE55" s="67"/>
      <c r="GF55" s="67"/>
      <c r="GG55" s="67"/>
      <c r="GH55" s="67"/>
      <c r="GI55" s="67"/>
      <c r="GJ55" s="67"/>
      <c r="GK55" s="67"/>
      <c r="GL55" s="67"/>
      <c r="GM55" s="67"/>
      <c r="GN55" s="67"/>
      <c r="GO55" s="67"/>
      <c r="GP55" s="67"/>
      <c r="GQ55" s="66"/>
      <c r="GR55" s="67"/>
      <c r="GS55" s="67"/>
      <c r="GT55" s="67"/>
      <c r="GU55" s="67"/>
      <c r="GV55" s="67"/>
      <c r="GW55" s="67"/>
      <c r="GX55" s="67"/>
      <c r="GY55" s="67"/>
      <c r="GZ55" s="67"/>
      <c r="HA55" s="67"/>
      <c r="HB55" s="67"/>
      <c r="HC55" s="67"/>
      <c r="HD55" s="67"/>
      <c r="HE55" s="67"/>
      <c r="HF55" s="67"/>
      <c r="HG55" s="67"/>
      <c r="HH55" s="67"/>
      <c r="HI55" s="67"/>
      <c r="HJ55" s="67"/>
      <c r="HK55" s="67"/>
      <c r="HL55" s="67"/>
      <c r="HM55" s="67"/>
      <c r="HN55" s="67"/>
      <c r="HO55" s="67"/>
      <c r="HP55" s="67"/>
      <c r="HQ55" s="67"/>
      <c r="HR55" s="67"/>
      <c r="HS55" s="67"/>
      <c r="HT55" s="67"/>
      <c r="HU55" s="66"/>
      <c r="HV55" s="67"/>
      <c r="HW55" s="67"/>
      <c r="HX55" s="67"/>
      <c r="HY55" s="67"/>
      <c r="HZ55" s="67"/>
      <c r="IA55" s="67"/>
      <c r="IB55" s="67"/>
      <c r="IC55" s="67"/>
      <c r="ID55" s="67"/>
      <c r="IE55" s="67"/>
      <c r="IF55" s="67"/>
      <c r="IG55" s="67"/>
      <c r="IH55" s="67"/>
      <c r="II55" s="67"/>
      <c r="IJ55" s="67"/>
      <c r="IK55" s="67"/>
      <c r="IL55" s="67"/>
      <c r="IM55" s="67"/>
      <c r="IN55" s="67"/>
      <c r="IO55" s="67"/>
      <c r="IP55" s="67"/>
      <c r="IQ55" s="67"/>
      <c r="IR55" s="67"/>
      <c r="IS55" s="67"/>
      <c r="IT55" s="67"/>
      <c r="IU55" s="67"/>
      <c r="IV55" s="67"/>
      <c r="IW55" s="67"/>
      <c r="IX55" s="67"/>
      <c r="IY55" s="66"/>
      <c r="IZ55" s="67"/>
      <c r="JA55" s="67"/>
      <c r="JB55" s="67"/>
      <c r="JC55" s="67"/>
      <c r="JD55" s="67"/>
      <c r="JE55" s="67"/>
      <c r="JF55" s="67"/>
      <c r="JG55" s="67"/>
      <c r="JH55" s="67"/>
      <c r="JI55" s="67"/>
      <c r="JJ55" s="67"/>
      <c r="JK55" s="67"/>
      <c r="JL55" s="67"/>
      <c r="JM55" s="67"/>
      <c r="JN55" s="67"/>
      <c r="JO55" s="67"/>
      <c r="JP55" s="67"/>
      <c r="JQ55" s="67"/>
      <c r="JR55" s="67"/>
      <c r="JS55" s="67"/>
      <c r="JT55" s="67"/>
      <c r="JU55" s="67"/>
      <c r="JV55" s="67"/>
      <c r="JW55" s="67"/>
      <c r="JX55" s="67"/>
      <c r="JY55" s="67"/>
      <c r="JZ55" s="67"/>
      <c r="KA55" s="67"/>
      <c r="KB55" s="67"/>
      <c r="KC55" s="66"/>
      <c r="KD55" s="67"/>
      <c r="KE55" s="67"/>
      <c r="KF55" s="66"/>
      <c r="KG55" s="67"/>
      <c r="KH55" s="68"/>
      <c r="KI55" s="67"/>
      <c r="KJ55" s="67"/>
      <c r="KK55" s="67"/>
      <c r="KL55" s="66"/>
      <c r="KM55" s="67"/>
      <c r="KN55" s="68"/>
      <c r="KO55" s="67"/>
      <c r="KP55" s="67"/>
      <c r="KQ55" s="67"/>
      <c r="KR55" s="66"/>
      <c r="KS55" s="67"/>
      <c r="KT55" s="68"/>
      <c r="KU55" s="67"/>
      <c r="KV55" s="67"/>
      <c r="KW55" s="67"/>
      <c r="KX55" s="66"/>
      <c r="KY55" s="67"/>
      <c r="KZ55" s="67"/>
      <c r="LA55" s="70"/>
      <c r="LB55" s="67"/>
      <c r="LC55" s="71"/>
      <c r="LD55" s="67"/>
      <c r="LE55" s="67"/>
      <c r="LF55" s="68"/>
      <c r="LG55" s="67"/>
      <c r="LH55" s="67"/>
      <c r="LI55" s="67"/>
      <c r="LJ55" s="66"/>
      <c r="LK55" s="67"/>
      <c r="LL55" s="68"/>
      <c r="LM55" s="61"/>
      <c r="LN55" s="62"/>
      <c r="LO55" s="63"/>
      <c r="LP55" s="61"/>
      <c r="LQ55" s="62"/>
      <c r="LR55" s="63"/>
      <c r="LS55" s="61"/>
      <c r="LT55" s="62"/>
      <c r="LU55" s="63"/>
      <c r="LV55" s="61"/>
      <c r="LW55" s="62"/>
      <c r="LX55" s="63"/>
      <c r="LY55" s="66"/>
      <c r="LZ55" s="67"/>
      <c r="MA55" s="68"/>
      <c r="MB55" s="61"/>
      <c r="MC55" s="62"/>
      <c r="MD55" s="63"/>
      <c r="ME55" s="61"/>
      <c r="MF55" s="62"/>
      <c r="MG55" s="63"/>
      <c r="MH55" s="61"/>
      <c r="MI55" s="62"/>
      <c r="MJ55" s="63"/>
      <c r="MK55" s="66"/>
      <c r="ML55" s="67"/>
      <c r="MM55" s="68"/>
      <c r="MN55" s="61"/>
      <c r="MO55" s="62"/>
      <c r="MP55" s="63"/>
      <c r="MQ55" s="61"/>
      <c r="MR55" s="62"/>
      <c r="MS55" s="63"/>
      <c r="MT55" s="61"/>
      <c r="MU55" s="62"/>
      <c r="MV55" s="63"/>
      <c r="MW55" s="61"/>
      <c r="MX55" s="62"/>
      <c r="MY55" s="63"/>
      <c r="MZ55" s="66"/>
      <c r="NA55" s="67"/>
      <c r="NB55" s="68"/>
      <c r="NC55" s="66"/>
      <c r="ND55" s="67"/>
      <c r="NE55" s="72"/>
      <c r="NG55" s="275"/>
      <c r="NH55" s="1"/>
      <c r="NI55" s="1"/>
      <c r="NJ55" s="1"/>
      <c r="NK55" s="1"/>
    </row>
    <row r="56" spans="5:375" s="6" customFormat="1" ht="9.9499999999999993" customHeight="1">
      <c r="F56" s="196">
        <f t="shared" ref="F56" si="350">NG56</f>
        <v>2.81E-3</v>
      </c>
      <c r="G56" s="197">
        <f>Q56-F56</f>
        <v>0</v>
      </c>
      <c r="H56" s="27">
        <v>1</v>
      </c>
      <c r="I56" s="19" t="s">
        <v>194</v>
      </c>
      <c r="J56" s="19" t="s">
        <v>184</v>
      </c>
      <c r="K56" s="6" t="s">
        <v>195</v>
      </c>
      <c r="L56" s="339"/>
      <c r="M56" s="370" t="s">
        <v>270</v>
      </c>
      <c r="N56" s="356">
        <v>76775</v>
      </c>
      <c r="O56" s="352" t="s">
        <v>260</v>
      </c>
      <c r="P56" s="307">
        <v>585789</v>
      </c>
      <c r="Q56" s="236">
        <f>ROUND(P56/$P$256,5)</f>
        <v>2.81E-3</v>
      </c>
      <c r="R56" s="76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3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5"/>
      <c r="CA56" s="53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3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156">
        <f>0.04%*0.3/30</f>
        <v>3.9999999999999998E-6</v>
      </c>
      <c r="EJ56" s="156">
        <f>EI56</f>
        <v>3.9999999999999998E-6</v>
      </c>
      <c r="EK56" s="156">
        <f t="shared" ref="EK56:FL56" si="351">EJ56</f>
        <v>3.9999999999999998E-6</v>
      </c>
      <c r="EL56" s="156">
        <f t="shared" si="351"/>
        <v>3.9999999999999998E-6</v>
      </c>
      <c r="EM56" s="156">
        <f t="shared" si="351"/>
        <v>3.9999999999999998E-6</v>
      </c>
      <c r="EN56" s="156">
        <f t="shared" si="351"/>
        <v>3.9999999999999998E-6</v>
      </c>
      <c r="EO56" s="156">
        <f t="shared" si="351"/>
        <v>3.9999999999999998E-6</v>
      </c>
      <c r="EP56" s="156">
        <f t="shared" si="351"/>
        <v>3.9999999999999998E-6</v>
      </c>
      <c r="EQ56" s="156">
        <f t="shared" si="351"/>
        <v>3.9999999999999998E-6</v>
      </c>
      <c r="ER56" s="156">
        <f t="shared" si="351"/>
        <v>3.9999999999999998E-6</v>
      </c>
      <c r="ES56" s="156">
        <f t="shared" si="351"/>
        <v>3.9999999999999998E-6</v>
      </c>
      <c r="ET56" s="156">
        <f t="shared" si="351"/>
        <v>3.9999999999999998E-6</v>
      </c>
      <c r="EU56" s="156">
        <f t="shared" si="351"/>
        <v>3.9999999999999998E-6</v>
      </c>
      <c r="EV56" s="156">
        <f t="shared" si="351"/>
        <v>3.9999999999999998E-6</v>
      </c>
      <c r="EW56" s="156">
        <f t="shared" si="351"/>
        <v>3.9999999999999998E-6</v>
      </c>
      <c r="EX56" s="156">
        <f t="shared" si="351"/>
        <v>3.9999999999999998E-6</v>
      </c>
      <c r="EY56" s="156">
        <f t="shared" si="351"/>
        <v>3.9999999999999998E-6</v>
      </c>
      <c r="EZ56" s="156">
        <f t="shared" si="351"/>
        <v>3.9999999999999998E-6</v>
      </c>
      <c r="FA56" s="156">
        <f t="shared" si="351"/>
        <v>3.9999999999999998E-6</v>
      </c>
      <c r="FB56" s="156">
        <f t="shared" si="351"/>
        <v>3.9999999999999998E-6</v>
      </c>
      <c r="FC56" s="156">
        <f t="shared" si="351"/>
        <v>3.9999999999999998E-6</v>
      </c>
      <c r="FD56" s="156">
        <f t="shared" si="351"/>
        <v>3.9999999999999998E-6</v>
      </c>
      <c r="FE56" s="156">
        <f t="shared" si="351"/>
        <v>3.9999999999999998E-6</v>
      </c>
      <c r="FF56" s="156">
        <f t="shared" si="351"/>
        <v>3.9999999999999998E-6</v>
      </c>
      <c r="FG56" s="156">
        <f t="shared" si="351"/>
        <v>3.9999999999999998E-6</v>
      </c>
      <c r="FH56" s="156">
        <f t="shared" si="351"/>
        <v>3.9999999999999998E-6</v>
      </c>
      <c r="FI56" s="156">
        <f t="shared" si="351"/>
        <v>3.9999999999999998E-6</v>
      </c>
      <c r="FJ56" s="156">
        <f t="shared" si="351"/>
        <v>3.9999999999999998E-6</v>
      </c>
      <c r="FK56" s="156">
        <f t="shared" si="351"/>
        <v>3.9999999999999998E-6</v>
      </c>
      <c r="FL56" s="156">
        <f t="shared" si="351"/>
        <v>3.9999999999999998E-6</v>
      </c>
      <c r="FM56" s="156">
        <f>0.05%*0.3/30</f>
        <v>4.9999999999999996E-6</v>
      </c>
      <c r="FN56" s="156">
        <f>FM56</f>
        <v>4.9999999999999996E-6</v>
      </c>
      <c r="FO56" s="156">
        <f t="shared" ref="FO56:GP56" si="352">FN56</f>
        <v>4.9999999999999996E-6</v>
      </c>
      <c r="FP56" s="156">
        <f t="shared" si="352"/>
        <v>4.9999999999999996E-6</v>
      </c>
      <c r="FQ56" s="156">
        <f t="shared" si="352"/>
        <v>4.9999999999999996E-6</v>
      </c>
      <c r="FR56" s="156">
        <f t="shared" si="352"/>
        <v>4.9999999999999996E-6</v>
      </c>
      <c r="FS56" s="156">
        <f t="shared" si="352"/>
        <v>4.9999999999999996E-6</v>
      </c>
      <c r="FT56" s="156">
        <f t="shared" si="352"/>
        <v>4.9999999999999996E-6</v>
      </c>
      <c r="FU56" s="156">
        <f t="shared" si="352"/>
        <v>4.9999999999999996E-6</v>
      </c>
      <c r="FV56" s="156">
        <f t="shared" si="352"/>
        <v>4.9999999999999996E-6</v>
      </c>
      <c r="FW56" s="156">
        <f t="shared" si="352"/>
        <v>4.9999999999999996E-6</v>
      </c>
      <c r="FX56" s="156">
        <f t="shared" si="352"/>
        <v>4.9999999999999996E-6</v>
      </c>
      <c r="FY56" s="156">
        <f t="shared" si="352"/>
        <v>4.9999999999999996E-6</v>
      </c>
      <c r="FZ56" s="156">
        <f t="shared" si="352"/>
        <v>4.9999999999999996E-6</v>
      </c>
      <c r="GA56" s="156">
        <f t="shared" si="352"/>
        <v>4.9999999999999996E-6</v>
      </c>
      <c r="GB56" s="156">
        <f t="shared" si="352"/>
        <v>4.9999999999999996E-6</v>
      </c>
      <c r="GC56" s="156">
        <f t="shared" si="352"/>
        <v>4.9999999999999996E-6</v>
      </c>
      <c r="GD56" s="156">
        <f t="shared" si="352"/>
        <v>4.9999999999999996E-6</v>
      </c>
      <c r="GE56" s="156">
        <f t="shared" si="352"/>
        <v>4.9999999999999996E-6</v>
      </c>
      <c r="GF56" s="156">
        <f t="shared" si="352"/>
        <v>4.9999999999999996E-6</v>
      </c>
      <c r="GG56" s="156">
        <f t="shared" si="352"/>
        <v>4.9999999999999996E-6</v>
      </c>
      <c r="GH56" s="156">
        <f t="shared" si="352"/>
        <v>4.9999999999999996E-6</v>
      </c>
      <c r="GI56" s="156">
        <f t="shared" si="352"/>
        <v>4.9999999999999996E-6</v>
      </c>
      <c r="GJ56" s="156">
        <f t="shared" si="352"/>
        <v>4.9999999999999996E-6</v>
      </c>
      <c r="GK56" s="156">
        <f t="shared" si="352"/>
        <v>4.9999999999999996E-6</v>
      </c>
      <c r="GL56" s="156">
        <f t="shared" si="352"/>
        <v>4.9999999999999996E-6</v>
      </c>
      <c r="GM56" s="156">
        <f t="shared" si="352"/>
        <v>4.9999999999999996E-6</v>
      </c>
      <c r="GN56" s="156">
        <f t="shared" si="352"/>
        <v>4.9999999999999996E-6</v>
      </c>
      <c r="GO56" s="156">
        <f t="shared" si="352"/>
        <v>4.9999999999999996E-6</v>
      </c>
      <c r="GP56" s="156">
        <f t="shared" si="352"/>
        <v>4.9999999999999996E-6</v>
      </c>
      <c r="GQ56" s="53"/>
      <c r="GR56" s="54"/>
      <c r="GS56" s="54"/>
      <c r="GT56" s="54"/>
      <c r="GU56" s="54"/>
      <c r="GV56" s="54"/>
      <c r="GW56" s="54"/>
      <c r="GX56" s="54"/>
      <c r="GY56" s="54"/>
      <c r="GZ56" s="54"/>
      <c r="HA56" s="54"/>
      <c r="HB56" s="54"/>
      <c r="HC56" s="54"/>
      <c r="HD56" s="54"/>
      <c r="HE56" s="54"/>
      <c r="HF56" s="54"/>
      <c r="HG56" s="54"/>
      <c r="HH56" s="54"/>
      <c r="HI56" s="54"/>
      <c r="HJ56" s="54"/>
      <c r="HK56" s="54"/>
      <c r="HL56" s="54"/>
      <c r="HM56" s="54"/>
      <c r="HN56" s="54"/>
      <c r="HO56" s="54"/>
      <c r="HP56" s="54"/>
      <c r="HQ56" s="54"/>
      <c r="HR56" s="54"/>
      <c r="HS56" s="54"/>
      <c r="HT56" s="54"/>
      <c r="HU56" s="53"/>
      <c r="HV56" s="54"/>
      <c r="HW56" s="54"/>
      <c r="HX56" s="54"/>
      <c r="HY56" s="54"/>
      <c r="HZ56" s="54"/>
      <c r="IA56" s="54"/>
      <c r="IB56" s="54"/>
      <c r="IC56" s="54"/>
      <c r="ID56" s="54"/>
      <c r="IE56" s="54"/>
      <c r="IF56" s="54"/>
      <c r="IG56" s="54"/>
      <c r="IH56" s="54"/>
      <c r="II56" s="54"/>
      <c r="IJ56" s="54"/>
      <c r="IK56" s="54"/>
      <c r="IL56" s="54"/>
      <c r="IM56" s="54"/>
      <c r="IN56" s="54"/>
      <c r="IO56" s="54"/>
      <c r="IP56" s="54"/>
      <c r="IQ56" s="54"/>
      <c r="IR56" s="54"/>
      <c r="IS56" s="54"/>
      <c r="IT56" s="54"/>
      <c r="IU56" s="54"/>
      <c r="IV56" s="54"/>
      <c r="IW56" s="54"/>
      <c r="IX56" s="54"/>
      <c r="IY56" s="53"/>
      <c r="IZ56" s="54"/>
      <c r="JA56" s="54"/>
      <c r="JB56" s="54"/>
      <c r="JC56" s="54"/>
      <c r="JD56" s="54"/>
      <c r="JE56" s="54"/>
      <c r="JF56" s="54"/>
      <c r="JG56" s="54"/>
      <c r="JH56" s="54"/>
      <c r="JI56" s="54"/>
      <c r="JJ56" s="54"/>
      <c r="JK56" s="54"/>
      <c r="JL56" s="54"/>
      <c r="JM56" s="54"/>
      <c r="JN56" s="54"/>
      <c r="JO56" s="54"/>
      <c r="JP56" s="54"/>
      <c r="JQ56" s="54"/>
      <c r="JR56" s="54"/>
      <c r="JS56" s="54"/>
      <c r="JT56" s="54"/>
      <c r="JU56" s="54"/>
      <c r="JV56" s="54"/>
      <c r="JW56" s="54"/>
      <c r="JX56" s="54"/>
      <c r="JY56" s="54"/>
      <c r="JZ56" s="54"/>
      <c r="KA56" s="54"/>
      <c r="KB56" s="54"/>
      <c r="KC56" s="53"/>
      <c r="KD56" s="54"/>
      <c r="KE56" s="54"/>
      <c r="KF56" s="53"/>
      <c r="KG56" s="54"/>
      <c r="KH56" s="55"/>
      <c r="KI56" s="54"/>
      <c r="KJ56" s="54"/>
      <c r="KK56" s="54"/>
      <c r="KL56" s="212">
        <f>0.012%+0.0039%</f>
        <v>1.5900000000000002E-4</v>
      </c>
      <c r="KM56" s="212"/>
      <c r="KN56" s="212"/>
      <c r="KO56" s="212">
        <f>0.012%+0.0039%</f>
        <v>1.5900000000000002E-4</v>
      </c>
      <c r="KP56" s="212"/>
      <c r="KQ56" s="212"/>
      <c r="KR56" s="212">
        <f>0.012%+0.0039%</f>
        <v>1.5900000000000002E-4</v>
      </c>
      <c r="KS56" s="212"/>
      <c r="KT56" s="212"/>
      <c r="KU56" s="212">
        <f>0.012%+0.0039%</f>
        <v>1.5900000000000002E-4</v>
      </c>
      <c r="KV56" s="212"/>
      <c r="KW56" s="212"/>
      <c r="KX56" s="212">
        <f>0.012%+0.0039%</f>
        <v>1.5900000000000002E-4</v>
      </c>
      <c r="KY56" s="212"/>
      <c r="KZ56" s="218"/>
      <c r="LA56" s="211">
        <f>0.012%+0.0039%</f>
        <v>1.5900000000000002E-4</v>
      </c>
      <c r="LB56" s="212"/>
      <c r="LC56" s="213"/>
      <c r="LD56" s="220">
        <f>0.012%+0.0039%</f>
        <v>1.5900000000000002E-4</v>
      </c>
      <c r="LE56" s="212"/>
      <c r="LF56" s="212"/>
      <c r="LG56" s="212">
        <f>0.012%+0.0039%</f>
        <v>1.5900000000000002E-4</v>
      </c>
      <c r="LH56" s="212"/>
      <c r="LI56" s="212"/>
      <c r="LJ56" s="212">
        <f>0.012%+0.0039%</f>
        <v>1.5900000000000002E-4</v>
      </c>
      <c r="LK56" s="212"/>
      <c r="LL56" s="212"/>
      <c r="LM56" s="212">
        <f>0.012%+0.0039%</f>
        <v>1.5900000000000002E-4</v>
      </c>
      <c r="LN56" s="212"/>
      <c r="LO56" s="212"/>
      <c r="LP56" s="212">
        <f>0.012%+0.0039%</f>
        <v>1.5900000000000002E-4</v>
      </c>
      <c r="LQ56" s="212"/>
      <c r="LR56" s="212"/>
      <c r="LS56" s="212">
        <f>0.012%+0.0039%</f>
        <v>1.5900000000000002E-4</v>
      </c>
      <c r="LT56" s="212"/>
      <c r="LU56" s="212"/>
      <c r="LV56" s="212">
        <f>0.012%+0.0039%</f>
        <v>1.5900000000000002E-4</v>
      </c>
      <c r="LW56" s="212"/>
      <c r="LX56" s="212"/>
      <c r="LY56" s="212">
        <f>0.012%+0.0039%</f>
        <v>1.5900000000000002E-4</v>
      </c>
      <c r="LZ56" s="212"/>
      <c r="MA56" s="212"/>
      <c r="MB56" s="212">
        <f>0.012%+0.0039%</f>
        <v>1.5900000000000002E-4</v>
      </c>
      <c r="MC56" s="212"/>
      <c r="MD56" s="214"/>
      <c r="ME56" s="214">
        <f>0.011%+0.0045%</f>
        <v>1.5499999999999997E-4</v>
      </c>
      <c r="MF56" s="214"/>
      <c r="MG56" s="214"/>
      <c r="MH56" s="66"/>
      <c r="MI56" s="67"/>
      <c r="MJ56" s="55"/>
      <c r="MK56" s="54"/>
      <c r="ML56" s="54"/>
      <c r="MM56" s="54"/>
      <c r="MN56" s="53"/>
      <c r="MO56" s="54"/>
      <c r="MP56" s="55"/>
      <c r="MQ56" s="53"/>
      <c r="MR56" s="54"/>
      <c r="MS56" s="55"/>
      <c r="MT56" s="53"/>
      <c r="MU56" s="54"/>
      <c r="MV56" s="55"/>
      <c r="MW56" s="53"/>
      <c r="MX56" s="54"/>
      <c r="MY56" s="55"/>
      <c r="MZ56" s="53"/>
      <c r="NA56" s="54"/>
      <c r="NB56" s="55"/>
      <c r="NC56" s="54"/>
      <c r="ND56" s="54"/>
      <c r="NE56" s="59"/>
      <c r="NG56" s="275">
        <f>SUM(R56:NE56)</f>
        <v>2.81E-3</v>
      </c>
      <c r="NH56" s="1"/>
      <c r="NI56" s="1"/>
      <c r="NJ56" s="1"/>
      <c r="NK56" s="1"/>
    </row>
    <row r="57" spans="5:375" s="6" customFormat="1" ht="6.95" customHeight="1">
      <c r="F57" s="196"/>
      <c r="G57" s="197"/>
      <c r="H57" s="52">
        <v>2</v>
      </c>
      <c r="L57" s="340"/>
      <c r="M57" s="371"/>
      <c r="N57" s="357"/>
      <c r="O57" s="353"/>
      <c r="P57" s="308"/>
      <c r="Q57" s="237"/>
      <c r="R57" s="6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39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1"/>
      <c r="CA57" s="39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39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 s="40"/>
      <c r="DT57" s="40"/>
      <c r="DU57" s="40"/>
      <c r="DV57" s="40"/>
      <c r="DW57" s="40"/>
      <c r="DX57" s="40"/>
      <c r="DY57" s="40"/>
      <c r="DZ57" s="40"/>
      <c r="EA57" s="40"/>
      <c r="EB57" s="40"/>
      <c r="EC57" s="40"/>
      <c r="ED57" s="40"/>
      <c r="EE57" s="40"/>
      <c r="EF57" s="40"/>
      <c r="EG57" s="40"/>
      <c r="EH57" s="40"/>
      <c r="EI57" s="61"/>
      <c r="EJ57" s="62"/>
      <c r="EK57" s="62"/>
      <c r="EL57" s="62"/>
      <c r="EM57" s="62"/>
      <c r="EN57" s="62"/>
      <c r="EO57" s="62"/>
      <c r="EP57" s="62"/>
      <c r="EQ57" s="62"/>
      <c r="ER57" s="62"/>
      <c r="ES57" s="62"/>
      <c r="ET57" s="62"/>
      <c r="EU57" s="62"/>
      <c r="EV57" s="62"/>
      <c r="EW57" s="62"/>
      <c r="EX57" s="62"/>
      <c r="EY57" s="62"/>
      <c r="EZ57" s="62"/>
      <c r="FA57" s="62"/>
      <c r="FB57" s="62"/>
      <c r="FC57" s="62"/>
      <c r="FD57" s="62"/>
      <c r="FE57" s="62"/>
      <c r="FF57" s="62"/>
      <c r="FG57" s="62"/>
      <c r="FH57" s="62"/>
      <c r="FI57" s="62"/>
      <c r="FJ57" s="62"/>
      <c r="FK57" s="62"/>
      <c r="FL57" s="62"/>
      <c r="FM57" s="61"/>
      <c r="FN57" s="62"/>
      <c r="FO57" s="62"/>
      <c r="FP57" s="62"/>
      <c r="FQ57" s="62"/>
      <c r="FR57" s="62"/>
      <c r="FS57" s="62"/>
      <c r="FT57" s="62"/>
      <c r="FU57" s="62"/>
      <c r="FV57" s="62"/>
      <c r="FW57" s="62"/>
      <c r="FX57" s="62"/>
      <c r="FY57" s="62"/>
      <c r="FZ57" s="62"/>
      <c r="GA57" s="62"/>
      <c r="GB57" s="62"/>
      <c r="GC57" s="62"/>
      <c r="GD57" s="62"/>
      <c r="GE57" s="62"/>
      <c r="GF57" s="62"/>
      <c r="GG57" s="62"/>
      <c r="GH57" s="62"/>
      <c r="GI57" s="62"/>
      <c r="GJ57" s="62"/>
      <c r="GK57" s="62"/>
      <c r="GL57" s="62"/>
      <c r="GM57" s="62"/>
      <c r="GN57" s="62"/>
      <c r="GO57" s="62"/>
      <c r="GP57" s="62"/>
      <c r="GQ57" s="39"/>
      <c r="GR57" s="40"/>
      <c r="GS57" s="40"/>
      <c r="GT57" s="40"/>
      <c r="GU57" s="40"/>
      <c r="GV57" s="40"/>
      <c r="GW57" s="40"/>
      <c r="GX57" s="40"/>
      <c r="GY57" s="40"/>
      <c r="GZ57" s="40"/>
      <c r="HA57" s="40"/>
      <c r="HB57" s="40"/>
      <c r="HC57" s="40"/>
      <c r="HD57" s="40"/>
      <c r="HE57" s="40"/>
      <c r="HF57" s="40"/>
      <c r="HG57" s="40"/>
      <c r="HH57" s="40"/>
      <c r="HI57" s="40"/>
      <c r="HJ57" s="40"/>
      <c r="HK57" s="40"/>
      <c r="HL57" s="40"/>
      <c r="HM57" s="40"/>
      <c r="HN57" s="40"/>
      <c r="HO57" s="40"/>
      <c r="HP57" s="40"/>
      <c r="HQ57" s="40"/>
      <c r="HR57" s="40"/>
      <c r="HS57" s="40"/>
      <c r="HT57" s="40"/>
      <c r="HU57" s="39"/>
      <c r="HV57" s="40"/>
      <c r="HW57" s="40"/>
      <c r="HX57" s="40"/>
      <c r="HY57" s="40"/>
      <c r="HZ57" s="40"/>
      <c r="IA57" s="40"/>
      <c r="IB57" s="40"/>
      <c r="IC57" s="40"/>
      <c r="ID57" s="40"/>
      <c r="IE57" s="40"/>
      <c r="IF57" s="40"/>
      <c r="IG57" s="40"/>
      <c r="IH57" s="40"/>
      <c r="II57" s="40"/>
      <c r="IJ57" s="40"/>
      <c r="IK57" s="40"/>
      <c r="IL57" s="40"/>
      <c r="IM57" s="40"/>
      <c r="IN57" s="40"/>
      <c r="IO57" s="40"/>
      <c r="IP57" s="40"/>
      <c r="IQ57" s="40"/>
      <c r="IR57" s="40"/>
      <c r="IS57" s="40"/>
      <c r="IT57" s="40"/>
      <c r="IU57" s="40"/>
      <c r="IV57" s="40"/>
      <c r="IW57" s="40"/>
      <c r="IX57" s="40"/>
      <c r="IY57" s="39"/>
      <c r="IZ57" s="40"/>
      <c r="JA57" s="40"/>
      <c r="JB57" s="40"/>
      <c r="JC57" s="40"/>
      <c r="JD57" s="40"/>
      <c r="JE57" s="40"/>
      <c r="JF57" s="40"/>
      <c r="JG57" s="40"/>
      <c r="JH57" s="40"/>
      <c r="JI57" s="40"/>
      <c r="JJ57" s="40"/>
      <c r="JK57" s="40"/>
      <c r="JL57" s="40"/>
      <c r="JM57" s="40"/>
      <c r="JN57" s="40"/>
      <c r="JO57" s="40"/>
      <c r="JP57" s="40"/>
      <c r="JQ57" s="40"/>
      <c r="JR57" s="40"/>
      <c r="JS57" s="40"/>
      <c r="JT57" s="40"/>
      <c r="JU57" s="40"/>
      <c r="JV57" s="40"/>
      <c r="JW57" s="40"/>
      <c r="JX57" s="40"/>
      <c r="JY57" s="40"/>
      <c r="JZ57" s="40"/>
      <c r="KA57" s="40"/>
      <c r="KB57" s="40"/>
      <c r="KC57" s="39"/>
      <c r="KD57" s="40"/>
      <c r="KE57" s="40"/>
      <c r="KF57" s="39"/>
      <c r="KG57" s="40"/>
      <c r="KH57" s="41"/>
      <c r="KI57" s="40"/>
      <c r="KJ57" s="40"/>
      <c r="KK57" s="40"/>
      <c r="KL57" s="61"/>
      <c r="KM57" s="62"/>
      <c r="KN57" s="63"/>
      <c r="KO57" s="61"/>
      <c r="KP57" s="62"/>
      <c r="KQ57" s="63"/>
      <c r="KR57" s="61"/>
      <c r="KS57" s="62"/>
      <c r="KT57" s="63"/>
      <c r="KU57" s="61"/>
      <c r="KV57" s="62"/>
      <c r="KW57" s="63"/>
      <c r="KX57" s="61"/>
      <c r="KY57" s="62"/>
      <c r="KZ57" s="63"/>
      <c r="LA57" s="61"/>
      <c r="LB57" s="62"/>
      <c r="LC57" s="63"/>
      <c r="LD57" s="61"/>
      <c r="LE57" s="62"/>
      <c r="LF57" s="63"/>
      <c r="LG57" s="61"/>
      <c r="LH57" s="62"/>
      <c r="LI57" s="63"/>
      <c r="LJ57" s="61"/>
      <c r="LK57" s="62"/>
      <c r="LL57" s="63"/>
      <c r="LM57" s="61"/>
      <c r="LN57" s="62"/>
      <c r="LO57" s="63"/>
      <c r="LP57" s="61"/>
      <c r="LQ57" s="62"/>
      <c r="LR57" s="63"/>
      <c r="LS57" s="61"/>
      <c r="LT57" s="62"/>
      <c r="LU57" s="63"/>
      <c r="LV57" s="61"/>
      <c r="LW57" s="62"/>
      <c r="LX57" s="63"/>
      <c r="LY57" s="61"/>
      <c r="LZ57" s="62"/>
      <c r="MA57" s="63"/>
      <c r="MB57" s="61"/>
      <c r="MC57" s="62"/>
      <c r="MD57" s="63"/>
      <c r="ME57" s="61"/>
      <c r="MF57" s="62"/>
      <c r="MG57" s="63"/>
      <c r="MH57" s="39"/>
      <c r="MI57" s="40"/>
      <c r="MJ57" s="41"/>
      <c r="MK57" s="40"/>
      <c r="ML57" s="40"/>
      <c r="MM57" s="40"/>
      <c r="MN57" s="39"/>
      <c r="MO57" s="40"/>
      <c r="MP57" s="41"/>
      <c r="MQ57" s="39"/>
      <c r="MR57" s="40"/>
      <c r="MS57" s="41"/>
      <c r="MT57" s="39"/>
      <c r="MU57" s="40"/>
      <c r="MV57" s="41"/>
      <c r="MW57" s="39"/>
      <c r="MX57" s="40"/>
      <c r="MY57" s="41"/>
      <c r="MZ57" s="39"/>
      <c r="NA57" s="40"/>
      <c r="NB57" s="41"/>
      <c r="NC57" s="40"/>
      <c r="ND57" s="40"/>
      <c r="NE57" s="42"/>
      <c r="NG57" s="275"/>
      <c r="NH57" s="1"/>
      <c r="NI57" s="1"/>
      <c r="NJ57" s="1"/>
      <c r="NK57" s="1"/>
    </row>
    <row r="58" spans="5:375" s="6" customFormat="1" ht="9.9499999999999993" customHeight="1">
      <c r="F58" s="196">
        <f t="shared" ref="F58" si="353">NG58</f>
        <v>1.6000000000000007E-4</v>
      </c>
      <c r="G58" s="197">
        <f>Q58-F58</f>
        <v>0</v>
      </c>
      <c r="H58" s="27">
        <v>1</v>
      </c>
      <c r="L58" s="292"/>
      <c r="M58" s="295" t="s">
        <v>271</v>
      </c>
      <c r="N58" s="296">
        <v>476</v>
      </c>
      <c r="O58" s="297" t="s">
        <v>272</v>
      </c>
      <c r="P58" s="315">
        <v>33984</v>
      </c>
      <c r="Q58" s="236">
        <f>ROUND(P58/$P$256,5)</f>
        <v>1.6000000000000001E-4</v>
      </c>
      <c r="R58" s="73"/>
      <c r="S58" s="141">
        <f>0.002%*0.3/30</f>
        <v>2.0000000000000002E-7</v>
      </c>
      <c r="T58" s="141">
        <f>S58</f>
        <v>2.0000000000000002E-7</v>
      </c>
      <c r="U58" s="141">
        <f t="shared" ref="U58:AV58" si="354">T58</f>
        <v>2.0000000000000002E-7</v>
      </c>
      <c r="V58" s="141">
        <f t="shared" si="354"/>
        <v>2.0000000000000002E-7</v>
      </c>
      <c r="W58" s="141">
        <f t="shared" si="354"/>
        <v>2.0000000000000002E-7</v>
      </c>
      <c r="X58" s="141">
        <f t="shared" si="354"/>
        <v>2.0000000000000002E-7</v>
      </c>
      <c r="Y58" s="141">
        <f t="shared" si="354"/>
        <v>2.0000000000000002E-7</v>
      </c>
      <c r="Z58" s="141">
        <f t="shared" si="354"/>
        <v>2.0000000000000002E-7</v>
      </c>
      <c r="AA58" s="141">
        <f t="shared" si="354"/>
        <v>2.0000000000000002E-7</v>
      </c>
      <c r="AB58" s="141">
        <f t="shared" si="354"/>
        <v>2.0000000000000002E-7</v>
      </c>
      <c r="AC58" s="141">
        <f t="shared" si="354"/>
        <v>2.0000000000000002E-7</v>
      </c>
      <c r="AD58" s="141">
        <f t="shared" si="354"/>
        <v>2.0000000000000002E-7</v>
      </c>
      <c r="AE58" s="141">
        <f t="shared" si="354"/>
        <v>2.0000000000000002E-7</v>
      </c>
      <c r="AF58" s="141">
        <f t="shared" si="354"/>
        <v>2.0000000000000002E-7</v>
      </c>
      <c r="AG58" s="141">
        <f t="shared" si="354"/>
        <v>2.0000000000000002E-7</v>
      </c>
      <c r="AH58" s="141">
        <f t="shared" si="354"/>
        <v>2.0000000000000002E-7</v>
      </c>
      <c r="AI58" s="141">
        <f t="shared" si="354"/>
        <v>2.0000000000000002E-7</v>
      </c>
      <c r="AJ58" s="141">
        <f t="shared" si="354"/>
        <v>2.0000000000000002E-7</v>
      </c>
      <c r="AK58" s="141">
        <f t="shared" si="354"/>
        <v>2.0000000000000002E-7</v>
      </c>
      <c r="AL58" s="141">
        <f t="shared" si="354"/>
        <v>2.0000000000000002E-7</v>
      </c>
      <c r="AM58" s="141">
        <f t="shared" si="354"/>
        <v>2.0000000000000002E-7</v>
      </c>
      <c r="AN58" s="141">
        <f t="shared" si="354"/>
        <v>2.0000000000000002E-7</v>
      </c>
      <c r="AO58" s="141">
        <f t="shared" si="354"/>
        <v>2.0000000000000002E-7</v>
      </c>
      <c r="AP58" s="141">
        <f t="shared" si="354"/>
        <v>2.0000000000000002E-7</v>
      </c>
      <c r="AQ58" s="141">
        <f t="shared" si="354"/>
        <v>2.0000000000000002E-7</v>
      </c>
      <c r="AR58" s="141">
        <f t="shared" si="354"/>
        <v>2.0000000000000002E-7</v>
      </c>
      <c r="AS58" s="141">
        <f t="shared" si="354"/>
        <v>2.0000000000000002E-7</v>
      </c>
      <c r="AT58" s="141">
        <f t="shared" si="354"/>
        <v>2.0000000000000002E-7</v>
      </c>
      <c r="AU58" s="141">
        <f t="shared" si="354"/>
        <v>2.0000000000000002E-7</v>
      </c>
      <c r="AV58" s="141">
        <f t="shared" si="354"/>
        <v>2.0000000000000002E-7</v>
      </c>
      <c r="AW58" s="157">
        <f>0.002%*0.3/30</f>
        <v>2.0000000000000002E-7</v>
      </c>
      <c r="AX58" s="156">
        <f>AW58</f>
        <v>2.0000000000000002E-7</v>
      </c>
      <c r="AY58" s="157">
        <f t="shared" ref="AY58:BZ58" si="355">AX58</f>
        <v>2.0000000000000002E-7</v>
      </c>
      <c r="AZ58" s="157">
        <f t="shared" si="355"/>
        <v>2.0000000000000002E-7</v>
      </c>
      <c r="BA58" s="157">
        <f t="shared" si="355"/>
        <v>2.0000000000000002E-7</v>
      </c>
      <c r="BB58" s="157">
        <f t="shared" si="355"/>
        <v>2.0000000000000002E-7</v>
      </c>
      <c r="BC58" s="157">
        <f t="shared" si="355"/>
        <v>2.0000000000000002E-7</v>
      </c>
      <c r="BD58" s="157">
        <f t="shared" si="355"/>
        <v>2.0000000000000002E-7</v>
      </c>
      <c r="BE58" s="157">
        <f t="shared" si="355"/>
        <v>2.0000000000000002E-7</v>
      </c>
      <c r="BF58" s="157">
        <f t="shared" si="355"/>
        <v>2.0000000000000002E-7</v>
      </c>
      <c r="BG58" s="157">
        <f t="shared" si="355"/>
        <v>2.0000000000000002E-7</v>
      </c>
      <c r="BH58" s="157">
        <f t="shared" si="355"/>
        <v>2.0000000000000002E-7</v>
      </c>
      <c r="BI58" s="157">
        <f t="shared" si="355"/>
        <v>2.0000000000000002E-7</v>
      </c>
      <c r="BJ58" s="157">
        <f t="shared" si="355"/>
        <v>2.0000000000000002E-7</v>
      </c>
      <c r="BK58" s="157">
        <f t="shared" si="355"/>
        <v>2.0000000000000002E-7</v>
      </c>
      <c r="BL58" s="157">
        <f t="shared" si="355"/>
        <v>2.0000000000000002E-7</v>
      </c>
      <c r="BM58" s="157">
        <f t="shared" si="355"/>
        <v>2.0000000000000002E-7</v>
      </c>
      <c r="BN58" s="157">
        <f t="shared" si="355"/>
        <v>2.0000000000000002E-7</v>
      </c>
      <c r="BO58" s="157">
        <f t="shared" si="355"/>
        <v>2.0000000000000002E-7</v>
      </c>
      <c r="BP58" s="157">
        <f t="shared" si="355"/>
        <v>2.0000000000000002E-7</v>
      </c>
      <c r="BQ58" s="157">
        <f t="shared" si="355"/>
        <v>2.0000000000000002E-7</v>
      </c>
      <c r="BR58" s="157">
        <f t="shared" si="355"/>
        <v>2.0000000000000002E-7</v>
      </c>
      <c r="BS58" s="157">
        <f t="shared" si="355"/>
        <v>2.0000000000000002E-7</v>
      </c>
      <c r="BT58" s="157">
        <f t="shared" si="355"/>
        <v>2.0000000000000002E-7</v>
      </c>
      <c r="BU58" s="157">
        <f t="shared" si="355"/>
        <v>2.0000000000000002E-7</v>
      </c>
      <c r="BV58" s="157">
        <f t="shared" si="355"/>
        <v>2.0000000000000002E-7</v>
      </c>
      <c r="BW58" s="157">
        <f t="shared" si="355"/>
        <v>2.0000000000000002E-7</v>
      </c>
      <c r="BX58" s="157">
        <f t="shared" si="355"/>
        <v>2.0000000000000002E-7</v>
      </c>
      <c r="BY58" s="157">
        <f t="shared" si="355"/>
        <v>2.0000000000000002E-7</v>
      </c>
      <c r="BZ58" s="157">
        <f t="shared" si="355"/>
        <v>2.0000000000000002E-7</v>
      </c>
      <c r="CA58" s="157">
        <f>0.003%*0.3/30</f>
        <v>2.9999999999999999E-7</v>
      </c>
      <c r="CB58" s="156">
        <f>CA58</f>
        <v>2.9999999999999999E-7</v>
      </c>
      <c r="CC58" s="156">
        <f t="shared" ref="CC58:DD58" si="356">CB58</f>
        <v>2.9999999999999999E-7</v>
      </c>
      <c r="CD58" s="156">
        <f t="shared" si="356"/>
        <v>2.9999999999999999E-7</v>
      </c>
      <c r="CE58" s="156">
        <f t="shared" si="356"/>
        <v>2.9999999999999999E-7</v>
      </c>
      <c r="CF58" s="156">
        <f t="shared" si="356"/>
        <v>2.9999999999999999E-7</v>
      </c>
      <c r="CG58" s="156">
        <f t="shared" si="356"/>
        <v>2.9999999999999999E-7</v>
      </c>
      <c r="CH58" s="156">
        <f t="shared" si="356"/>
        <v>2.9999999999999999E-7</v>
      </c>
      <c r="CI58" s="156">
        <f t="shared" si="356"/>
        <v>2.9999999999999999E-7</v>
      </c>
      <c r="CJ58" s="156">
        <f t="shared" si="356"/>
        <v>2.9999999999999999E-7</v>
      </c>
      <c r="CK58" s="156">
        <f t="shared" si="356"/>
        <v>2.9999999999999999E-7</v>
      </c>
      <c r="CL58" s="156">
        <f t="shared" si="356"/>
        <v>2.9999999999999999E-7</v>
      </c>
      <c r="CM58" s="156">
        <f t="shared" si="356"/>
        <v>2.9999999999999999E-7</v>
      </c>
      <c r="CN58" s="156">
        <f t="shared" si="356"/>
        <v>2.9999999999999999E-7</v>
      </c>
      <c r="CO58" s="156">
        <f t="shared" si="356"/>
        <v>2.9999999999999999E-7</v>
      </c>
      <c r="CP58" s="156">
        <f t="shared" si="356"/>
        <v>2.9999999999999999E-7</v>
      </c>
      <c r="CQ58" s="156">
        <f t="shared" si="356"/>
        <v>2.9999999999999999E-7</v>
      </c>
      <c r="CR58" s="156">
        <f t="shared" si="356"/>
        <v>2.9999999999999999E-7</v>
      </c>
      <c r="CS58" s="156">
        <f t="shared" si="356"/>
        <v>2.9999999999999999E-7</v>
      </c>
      <c r="CT58" s="156">
        <f t="shared" si="356"/>
        <v>2.9999999999999999E-7</v>
      </c>
      <c r="CU58" s="156">
        <f t="shared" si="356"/>
        <v>2.9999999999999999E-7</v>
      </c>
      <c r="CV58" s="156">
        <f t="shared" si="356"/>
        <v>2.9999999999999999E-7</v>
      </c>
      <c r="CW58" s="156">
        <f t="shared" si="356"/>
        <v>2.9999999999999999E-7</v>
      </c>
      <c r="CX58" s="156">
        <f t="shared" si="356"/>
        <v>2.9999999999999999E-7</v>
      </c>
      <c r="CY58" s="156">
        <f t="shared" si="356"/>
        <v>2.9999999999999999E-7</v>
      </c>
      <c r="CZ58" s="156">
        <f t="shared" si="356"/>
        <v>2.9999999999999999E-7</v>
      </c>
      <c r="DA58" s="156">
        <f t="shared" si="356"/>
        <v>2.9999999999999999E-7</v>
      </c>
      <c r="DB58" s="156">
        <f t="shared" si="356"/>
        <v>2.9999999999999999E-7</v>
      </c>
      <c r="DC58" s="156">
        <f t="shared" si="356"/>
        <v>2.9999999999999999E-7</v>
      </c>
      <c r="DD58" s="156">
        <f t="shared" si="356"/>
        <v>2.9999999999999999E-7</v>
      </c>
      <c r="DE58" s="66"/>
      <c r="DF58" s="67"/>
      <c r="DG58" s="67"/>
      <c r="DH58" s="67"/>
      <c r="DI58" s="67"/>
      <c r="DJ58" s="67"/>
      <c r="DK58" s="67"/>
      <c r="DL58" s="67"/>
      <c r="DM58" s="67"/>
      <c r="DN58" s="67"/>
      <c r="DO58" s="67"/>
      <c r="DP58" s="67"/>
      <c r="DQ58" s="67"/>
      <c r="DR58" s="67"/>
      <c r="DS58" s="67"/>
      <c r="DT58" s="67"/>
      <c r="DU58" s="67"/>
      <c r="DV58" s="67"/>
      <c r="DW58" s="67"/>
      <c r="DX58" s="67"/>
      <c r="DY58" s="67"/>
      <c r="DZ58" s="67"/>
      <c r="EA58" s="67"/>
      <c r="EB58" s="67"/>
      <c r="EC58" s="67"/>
      <c r="ED58" s="67"/>
      <c r="EE58" s="67"/>
      <c r="EF58" s="67"/>
      <c r="EG58" s="67"/>
      <c r="EH58" s="67"/>
      <c r="EI58" s="67"/>
      <c r="EJ58" s="67"/>
      <c r="EK58" s="67"/>
      <c r="EL58" s="67"/>
      <c r="EM58" s="67"/>
      <c r="EN58" s="67"/>
      <c r="EO58" s="67"/>
      <c r="EP58" s="67"/>
      <c r="EQ58" s="67"/>
      <c r="ER58" s="67"/>
      <c r="ES58" s="67"/>
      <c r="ET58" s="67"/>
      <c r="EU58" s="67"/>
      <c r="EV58" s="67"/>
      <c r="EW58" s="67"/>
      <c r="EX58" s="67"/>
      <c r="EY58" s="67"/>
      <c r="EZ58" s="67"/>
      <c r="FA58" s="67"/>
      <c r="FB58" s="67"/>
      <c r="FC58" s="67"/>
      <c r="FD58" s="67"/>
      <c r="FE58" s="67"/>
      <c r="FF58" s="67"/>
      <c r="FG58" s="67"/>
      <c r="FH58" s="67"/>
      <c r="FI58" s="67"/>
      <c r="FJ58" s="67"/>
      <c r="FK58" s="67"/>
      <c r="FL58" s="67"/>
      <c r="FM58" s="66"/>
      <c r="FN58" s="67"/>
      <c r="FO58" s="67"/>
      <c r="FP58" s="67"/>
      <c r="FQ58" s="67"/>
      <c r="FR58" s="67"/>
      <c r="FS58" s="67"/>
      <c r="FT58" s="67"/>
      <c r="FU58" s="67"/>
      <c r="FV58" s="67"/>
      <c r="FW58" s="67"/>
      <c r="FX58" s="67"/>
      <c r="FY58" s="67"/>
      <c r="FZ58" s="67"/>
      <c r="GA58" s="67"/>
      <c r="GB58" s="67"/>
      <c r="GC58" s="67"/>
      <c r="GD58" s="67"/>
      <c r="GE58" s="67"/>
      <c r="GF58" s="67"/>
      <c r="GG58" s="67"/>
      <c r="GH58" s="67"/>
      <c r="GI58" s="67"/>
      <c r="GJ58" s="67"/>
      <c r="GK58" s="67"/>
      <c r="GL58" s="67"/>
      <c r="GM58" s="67"/>
      <c r="GN58" s="67"/>
      <c r="GO58" s="67"/>
      <c r="GP58" s="67"/>
      <c r="GQ58" s="66"/>
      <c r="GR58" s="67"/>
      <c r="GS58" s="67"/>
      <c r="GT58" s="67"/>
      <c r="GU58" s="67"/>
      <c r="GV58" s="67"/>
      <c r="GW58" s="67"/>
      <c r="GX58" s="67"/>
      <c r="GY58" s="67"/>
      <c r="GZ58" s="67"/>
      <c r="HA58" s="67"/>
      <c r="HB58" s="67"/>
      <c r="HC58" s="67"/>
      <c r="HD58" s="67"/>
      <c r="HE58" s="67"/>
      <c r="HF58" s="67"/>
      <c r="HG58" s="67"/>
      <c r="HH58" s="67"/>
      <c r="HI58" s="67"/>
      <c r="HJ58" s="67"/>
      <c r="HK58" s="67"/>
      <c r="HL58" s="67"/>
      <c r="HM58" s="67"/>
      <c r="HN58" s="67"/>
      <c r="HO58" s="67"/>
      <c r="HP58" s="67"/>
      <c r="HQ58" s="67"/>
      <c r="HR58" s="67"/>
      <c r="HS58" s="67"/>
      <c r="HT58" s="67"/>
      <c r="HU58" s="66"/>
      <c r="HV58" s="67"/>
      <c r="HW58" s="67"/>
      <c r="HX58" s="67"/>
      <c r="HY58" s="67"/>
      <c r="HZ58" s="67"/>
      <c r="IA58" s="67"/>
      <c r="IB58" s="67"/>
      <c r="IC58" s="67"/>
      <c r="ID58" s="67"/>
      <c r="IE58" s="67"/>
      <c r="IF58" s="67"/>
      <c r="IG58" s="67"/>
      <c r="IH58" s="67"/>
      <c r="II58" s="67"/>
      <c r="IJ58" s="67"/>
      <c r="IK58" s="67"/>
      <c r="IL58" s="67"/>
      <c r="IM58" s="67"/>
      <c r="IN58" s="67"/>
      <c r="IO58" s="67"/>
      <c r="IP58" s="67"/>
      <c r="IQ58" s="67"/>
      <c r="IR58" s="67"/>
      <c r="IS58" s="67"/>
      <c r="IT58" s="67"/>
      <c r="IU58" s="67"/>
      <c r="IV58" s="67"/>
      <c r="IW58" s="67"/>
      <c r="IX58" s="67"/>
      <c r="IY58" s="157">
        <f>0.003%*0.2/30</f>
        <v>2.0000000000000002E-7</v>
      </c>
      <c r="IZ58" s="156">
        <f>IY58</f>
        <v>2.0000000000000002E-7</v>
      </c>
      <c r="JA58" s="156">
        <f t="shared" ref="JA58:KB58" si="357">IZ58</f>
        <v>2.0000000000000002E-7</v>
      </c>
      <c r="JB58" s="156">
        <f t="shared" si="357"/>
        <v>2.0000000000000002E-7</v>
      </c>
      <c r="JC58" s="156">
        <f t="shared" si="357"/>
        <v>2.0000000000000002E-7</v>
      </c>
      <c r="JD58" s="156">
        <f t="shared" si="357"/>
        <v>2.0000000000000002E-7</v>
      </c>
      <c r="JE58" s="156">
        <f t="shared" si="357"/>
        <v>2.0000000000000002E-7</v>
      </c>
      <c r="JF58" s="156">
        <f t="shared" si="357"/>
        <v>2.0000000000000002E-7</v>
      </c>
      <c r="JG58" s="156">
        <f t="shared" si="357"/>
        <v>2.0000000000000002E-7</v>
      </c>
      <c r="JH58" s="156">
        <f t="shared" si="357"/>
        <v>2.0000000000000002E-7</v>
      </c>
      <c r="JI58" s="156">
        <f t="shared" si="357"/>
        <v>2.0000000000000002E-7</v>
      </c>
      <c r="JJ58" s="156">
        <f t="shared" si="357"/>
        <v>2.0000000000000002E-7</v>
      </c>
      <c r="JK58" s="156">
        <f t="shared" si="357"/>
        <v>2.0000000000000002E-7</v>
      </c>
      <c r="JL58" s="156">
        <f t="shared" si="357"/>
        <v>2.0000000000000002E-7</v>
      </c>
      <c r="JM58" s="156">
        <f t="shared" si="357"/>
        <v>2.0000000000000002E-7</v>
      </c>
      <c r="JN58" s="156">
        <f t="shared" si="357"/>
        <v>2.0000000000000002E-7</v>
      </c>
      <c r="JO58" s="156">
        <f t="shared" si="357"/>
        <v>2.0000000000000002E-7</v>
      </c>
      <c r="JP58" s="156">
        <f t="shared" si="357"/>
        <v>2.0000000000000002E-7</v>
      </c>
      <c r="JQ58" s="156">
        <f t="shared" si="357"/>
        <v>2.0000000000000002E-7</v>
      </c>
      <c r="JR58" s="156">
        <f t="shared" si="357"/>
        <v>2.0000000000000002E-7</v>
      </c>
      <c r="JS58" s="156">
        <f t="shared" si="357"/>
        <v>2.0000000000000002E-7</v>
      </c>
      <c r="JT58" s="156">
        <f t="shared" si="357"/>
        <v>2.0000000000000002E-7</v>
      </c>
      <c r="JU58" s="156">
        <f t="shared" si="357"/>
        <v>2.0000000000000002E-7</v>
      </c>
      <c r="JV58" s="156">
        <f t="shared" si="357"/>
        <v>2.0000000000000002E-7</v>
      </c>
      <c r="JW58" s="156">
        <f t="shared" si="357"/>
        <v>2.0000000000000002E-7</v>
      </c>
      <c r="JX58" s="156">
        <f t="shared" si="357"/>
        <v>2.0000000000000002E-7</v>
      </c>
      <c r="JY58" s="156">
        <f t="shared" si="357"/>
        <v>2.0000000000000002E-7</v>
      </c>
      <c r="JZ58" s="156">
        <f t="shared" si="357"/>
        <v>2.0000000000000002E-7</v>
      </c>
      <c r="KA58" s="156">
        <f t="shared" si="357"/>
        <v>2.0000000000000002E-7</v>
      </c>
      <c r="KB58" s="156">
        <f t="shared" si="357"/>
        <v>2.0000000000000002E-7</v>
      </c>
      <c r="KC58" s="214">
        <f>0.003%+0.0037%</f>
        <v>6.7000000000000002E-5</v>
      </c>
      <c r="KD58" s="214"/>
      <c r="KE58" s="214"/>
      <c r="KF58" s="214">
        <f>0.003%+0.0036%</f>
        <v>6.6000000000000005E-5</v>
      </c>
      <c r="KG58" s="214"/>
      <c r="KH58" s="214"/>
      <c r="KI58" s="67"/>
      <c r="KJ58" s="67"/>
      <c r="KK58" s="67"/>
      <c r="KL58" s="66"/>
      <c r="KM58" s="67"/>
      <c r="KN58" s="68"/>
      <c r="KO58" s="67"/>
      <c r="KP58" s="67"/>
      <c r="KQ58" s="67"/>
      <c r="KR58" s="66"/>
      <c r="KS58" s="67"/>
      <c r="KT58" s="68"/>
      <c r="KU58" s="67"/>
      <c r="KV58" s="67"/>
      <c r="KW58" s="67"/>
      <c r="KX58" s="66"/>
      <c r="KY58" s="67"/>
      <c r="KZ58" s="67"/>
      <c r="LA58" s="70"/>
      <c r="LB58" s="67"/>
      <c r="LC58" s="71"/>
      <c r="LD58" s="67"/>
      <c r="LE58" s="67"/>
      <c r="LF58" s="68"/>
      <c r="LG58" s="67"/>
      <c r="LH58" s="67"/>
      <c r="LI58" s="67"/>
      <c r="LJ58" s="66"/>
      <c r="LK58" s="67"/>
      <c r="LL58" s="68"/>
      <c r="LM58" s="66"/>
      <c r="LN58" s="67"/>
      <c r="LO58" s="68"/>
      <c r="LP58" s="66"/>
      <c r="LQ58" s="67"/>
      <c r="LR58" s="68"/>
      <c r="LS58" s="66"/>
      <c r="LT58" s="67"/>
      <c r="LU58" s="68"/>
      <c r="LV58" s="67"/>
      <c r="LW58" s="67"/>
      <c r="LX58" s="67"/>
      <c r="LY58" s="66"/>
      <c r="LZ58" s="67"/>
      <c r="MA58" s="68"/>
      <c r="MB58" s="67"/>
      <c r="MC58" s="67"/>
      <c r="MD58" s="67"/>
      <c r="ME58" s="66"/>
      <c r="MF58" s="67"/>
      <c r="MG58" s="68"/>
      <c r="MH58" s="66"/>
      <c r="MI58" s="67"/>
      <c r="MJ58" s="68"/>
      <c r="MK58" s="67"/>
      <c r="ML58" s="67"/>
      <c r="MM58" s="67"/>
      <c r="MN58" s="66"/>
      <c r="MO58" s="67"/>
      <c r="MP58" s="68"/>
      <c r="MQ58" s="66"/>
      <c r="MR58" s="67"/>
      <c r="MS58" s="68"/>
      <c r="MT58" s="66"/>
      <c r="MU58" s="67"/>
      <c r="MV58" s="68"/>
      <c r="MW58" s="66"/>
      <c r="MX58" s="67"/>
      <c r="MY58" s="68"/>
      <c r="MZ58" s="66"/>
      <c r="NA58" s="67"/>
      <c r="NB58" s="68"/>
      <c r="NC58" s="67"/>
      <c r="ND58" s="67"/>
      <c r="NE58" s="72"/>
      <c r="NG58" s="275">
        <f>SUM(R58:NE58)</f>
        <v>1.6000000000000007E-4</v>
      </c>
      <c r="NH58" s="1"/>
      <c r="NI58" s="1"/>
      <c r="NJ58" s="1"/>
      <c r="NK58" s="1"/>
    </row>
    <row r="59" spans="5:375" s="6" customFormat="1" ht="6.95" customHeight="1">
      <c r="F59" s="196"/>
      <c r="G59" s="197"/>
      <c r="H59" s="52">
        <v>2</v>
      </c>
      <c r="L59" s="292"/>
      <c r="M59" s="295"/>
      <c r="N59" s="296"/>
      <c r="O59" s="298"/>
      <c r="P59" s="315"/>
      <c r="Q59" s="237"/>
      <c r="R59" s="73"/>
      <c r="S59" s="61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3"/>
      <c r="AW59" s="61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3"/>
      <c r="CA59" s="61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6"/>
      <c r="DF59" s="67"/>
      <c r="DG59" s="67"/>
      <c r="DH59" s="67"/>
      <c r="DI59" s="67"/>
      <c r="DJ59" s="67"/>
      <c r="DK59" s="67"/>
      <c r="DL59" s="67"/>
      <c r="DM59" s="67"/>
      <c r="DN59" s="67"/>
      <c r="DO59" s="67"/>
      <c r="DP59" s="67"/>
      <c r="DQ59" s="67"/>
      <c r="DR59" s="67"/>
      <c r="DS59" s="67"/>
      <c r="DT59" s="67"/>
      <c r="DU59" s="67"/>
      <c r="DV59" s="67"/>
      <c r="DW59" s="67"/>
      <c r="DX59" s="67"/>
      <c r="DY59" s="67"/>
      <c r="DZ59" s="67"/>
      <c r="EA59" s="67"/>
      <c r="EB59" s="67"/>
      <c r="EC59" s="67"/>
      <c r="ED59" s="67"/>
      <c r="EE59" s="67"/>
      <c r="EF59" s="67"/>
      <c r="EG59" s="67"/>
      <c r="EH59" s="67"/>
      <c r="EI59" s="39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  <c r="FK59" s="40"/>
      <c r="FL59" s="40"/>
      <c r="FM59" s="39"/>
      <c r="FN59" s="40"/>
      <c r="FO59" s="40"/>
      <c r="FP59" s="40"/>
      <c r="FQ59" s="40"/>
      <c r="FR59" s="40"/>
      <c r="FS59" s="40"/>
      <c r="FT59" s="40"/>
      <c r="FU59" s="40"/>
      <c r="FV59" s="40"/>
      <c r="FW59" s="40"/>
      <c r="FX59" s="40"/>
      <c r="FY59" s="40"/>
      <c r="FZ59" s="40"/>
      <c r="GA59" s="40"/>
      <c r="GB59" s="40"/>
      <c r="GC59" s="40"/>
      <c r="GD59" s="40"/>
      <c r="GE59" s="40"/>
      <c r="GF59" s="40"/>
      <c r="GG59" s="40"/>
      <c r="GH59" s="40"/>
      <c r="GI59" s="40"/>
      <c r="GJ59" s="40"/>
      <c r="GK59" s="40"/>
      <c r="GL59" s="40"/>
      <c r="GM59" s="40"/>
      <c r="GN59" s="40"/>
      <c r="GO59" s="40"/>
      <c r="GP59" s="40"/>
      <c r="GQ59" s="39"/>
      <c r="GR59" s="40"/>
      <c r="GS59" s="40"/>
      <c r="GT59" s="40"/>
      <c r="GU59" s="40"/>
      <c r="GV59" s="40"/>
      <c r="GW59" s="40"/>
      <c r="GX59" s="40"/>
      <c r="GY59" s="40"/>
      <c r="GZ59" s="40"/>
      <c r="HA59" s="40"/>
      <c r="HB59" s="40"/>
      <c r="HC59" s="40"/>
      <c r="HD59" s="40"/>
      <c r="HE59" s="40"/>
      <c r="HF59" s="40"/>
      <c r="HG59" s="40"/>
      <c r="HH59" s="40"/>
      <c r="HI59" s="40"/>
      <c r="HJ59" s="40"/>
      <c r="HK59" s="40"/>
      <c r="HL59" s="40"/>
      <c r="HM59" s="40"/>
      <c r="HN59" s="40"/>
      <c r="HO59" s="40"/>
      <c r="HP59" s="40"/>
      <c r="HQ59" s="40"/>
      <c r="HR59" s="40"/>
      <c r="HS59" s="40"/>
      <c r="HT59" s="40"/>
      <c r="HU59" s="39"/>
      <c r="HV59" s="40"/>
      <c r="HW59" s="40"/>
      <c r="HX59" s="40"/>
      <c r="HY59" s="40"/>
      <c r="HZ59" s="40"/>
      <c r="IA59" s="40"/>
      <c r="IB59" s="40"/>
      <c r="IC59" s="40"/>
      <c r="ID59" s="40"/>
      <c r="IE59" s="40"/>
      <c r="IF59" s="40"/>
      <c r="IG59" s="40"/>
      <c r="IH59" s="40"/>
      <c r="II59" s="40"/>
      <c r="IJ59" s="40"/>
      <c r="IK59" s="40"/>
      <c r="IL59" s="40"/>
      <c r="IM59" s="40"/>
      <c r="IN59" s="40"/>
      <c r="IO59" s="40"/>
      <c r="IP59" s="40"/>
      <c r="IQ59" s="40"/>
      <c r="IR59" s="40"/>
      <c r="IS59" s="40"/>
      <c r="IT59" s="40"/>
      <c r="IU59" s="40"/>
      <c r="IV59" s="40"/>
      <c r="IW59" s="40"/>
      <c r="IX59" s="40"/>
      <c r="IY59" s="61"/>
      <c r="IZ59" s="62"/>
      <c r="JA59" s="62"/>
      <c r="JB59" s="62"/>
      <c r="JC59" s="62"/>
      <c r="JD59" s="62"/>
      <c r="JE59" s="62"/>
      <c r="JF59" s="62"/>
      <c r="JG59" s="62"/>
      <c r="JH59" s="62"/>
      <c r="JI59" s="62"/>
      <c r="JJ59" s="62"/>
      <c r="JK59" s="62"/>
      <c r="JL59" s="62"/>
      <c r="JM59" s="62"/>
      <c r="JN59" s="62"/>
      <c r="JO59" s="62"/>
      <c r="JP59" s="62"/>
      <c r="JQ59" s="62"/>
      <c r="JR59" s="62"/>
      <c r="JS59" s="62"/>
      <c r="JT59" s="62"/>
      <c r="JU59" s="62"/>
      <c r="JV59" s="62"/>
      <c r="JW59" s="62"/>
      <c r="JX59" s="62"/>
      <c r="JY59" s="62"/>
      <c r="JZ59" s="62"/>
      <c r="KA59" s="62"/>
      <c r="KB59" s="62"/>
      <c r="KC59" s="61"/>
      <c r="KD59" s="62"/>
      <c r="KE59" s="63"/>
      <c r="KF59" s="61"/>
      <c r="KG59" s="62"/>
      <c r="KH59" s="63"/>
      <c r="KI59" s="67"/>
      <c r="KJ59" s="67"/>
      <c r="KK59" s="67"/>
      <c r="KL59" s="66"/>
      <c r="KM59" s="67"/>
      <c r="KN59" s="68"/>
      <c r="KO59" s="67"/>
      <c r="KP59" s="67"/>
      <c r="KQ59" s="67"/>
      <c r="KR59" s="66"/>
      <c r="KS59" s="67"/>
      <c r="KT59" s="68"/>
      <c r="KU59" s="67"/>
      <c r="KV59" s="67"/>
      <c r="KW59" s="67"/>
      <c r="KX59" s="66"/>
      <c r="KY59" s="67"/>
      <c r="KZ59" s="67"/>
      <c r="LA59" s="70"/>
      <c r="LB59" s="67"/>
      <c r="LC59" s="71"/>
      <c r="LD59" s="67"/>
      <c r="LE59" s="67"/>
      <c r="LF59" s="68"/>
      <c r="LG59" s="67"/>
      <c r="LH59" s="67"/>
      <c r="LI59" s="67"/>
      <c r="LJ59" s="66"/>
      <c r="LK59" s="67"/>
      <c r="LL59" s="68"/>
      <c r="LM59" s="66"/>
      <c r="LN59" s="67"/>
      <c r="LO59" s="68"/>
      <c r="LP59" s="66"/>
      <c r="LQ59" s="67"/>
      <c r="LR59" s="68"/>
      <c r="LS59" s="66"/>
      <c r="LT59" s="67"/>
      <c r="LU59" s="68"/>
      <c r="LV59" s="67"/>
      <c r="LW59" s="67"/>
      <c r="LX59" s="67"/>
      <c r="LY59" s="66"/>
      <c r="LZ59" s="67"/>
      <c r="MA59" s="68"/>
      <c r="MB59" s="67"/>
      <c r="MC59" s="67"/>
      <c r="MD59" s="67"/>
      <c r="ME59" s="66"/>
      <c r="MF59" s="67"/>
      <c r="MG59" s="68"/>
      <c r="MH59" s="66"/>
      <c r="MI59" s="67"/>
      <c r="MJ59" s="68"/>
      <c r="MK59" s="67"/>
      <c r="ML59" s="67"/>
      <c r="MM59" s="67"/>
      <c r="MN59" s="66"/>
      <c r="MO59" s="67"/>
      <c r="MP59" s="68"/>
      <c r="MQ59" s="66"/>
      <c r="MR59" s="67"/>
      <c r="MS59" s="68"/>
      <c r="MT59" s="66"/>
      <c r="MU59" s="67"/>
      <c r="MV59" s="68"/>
      <c r="MW59" s="66"/>
      <c r="MX59" s="67"/>
      <c r="MY59" s="68"/>
      <c r="MZ59" s="66"/>
      <c r="NA59" s="67"/>
      <c r="NB59" s="68"/>
      <c r="NC59" s="67"/>
      <c r="ND59" s="67"/>
      <c r="NE59" s="72"/>
      <c r="NG59" s="275"/>
      <c r="NH59" s="1"/>
      <c r="NI59" s="1"/>
      <c r="NJ59" s="1"/>
      <c r="NK59" s="1"/>
    </row>
    <row r="60" spans="5:375" s="6" customFormat="1" ht="9.9499999999999993" customHeight="1">
      <c r="F60" s="196">
        <f t="shared" ref="F60" si="358">NG60</f>
        <v>5.5000000000000003E-4</v>
      </c>
      <c r="G60" s="197">
        <f>Q60-F60</f>
        <v>0</v>
      </c>
      <c r="H60" s="27">
        <v>1</v>
      </c>
      <c r="K60" s="6" t="s">
        <v>196</v>
      </c>
      <c r="L60" s="339"/>
      <c r="M60" s="370" t="s">
        <v>273</v>
      </c>
      <c r="N60" s="356">
        <v>1</v>
      </c>
      <c r="O60" s="352" t="s">
        <v>1</v>
      </c>
      <c r="P60" s="307">
        <v>115011</v>
      </c>
      <c r="Q60" s="236">
        <f>ROUND(P60/$P$256,5)</f>
        <v>5.5000000000000003E-4</v>
      </c>
      <c r="R60" s="76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6"/>
      <c r="BV60" s="156"/>
      <c r="BW60" s="156"/>
      <c r="BX60" s="156"/>
      <c r="BY60" s="156"/>
      <c r="BZ60" s="156"/>
      <c r="CA60" s="53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3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67"/>
      <c r="EJ60" s="67"/>
      <c r="EK60" s="67"/>
      <c r="EL60" s="67"/>
      <c r="EM60" s="67"/>
      <c r="EN60" s="67"/>
      <c r="EO60" s="67"/>
      <c r="EP60" s="67"/>
      <c r="EQ60" s="67"/>
      <c r="ER60" s="67"/>
      <c r="ES60" s="67"/>
      <c r="ET60" s="67"/>
      <c r="EU60" s="67"/>
      <c r="EV60" s="67"/>
      <c r="EW60" s="67"/>
      <c r="EX60" s="67"/>
      <c r="EY60" s="67"/>
      <c r="EZ60" s="67"/>
      <c r="FA60" s="67"/>
      <c r="FB60" s="67"/>
      <c r="FC60" s="67"/>
      <c r="FD60" s="67"/>
      <c r="FE60" s="67"/>
      <c r="FF60" s="67"/>
      <c r="FG60" s="67"/>
      <c r="FH60" s="67"/>
      <c r="FI60" s="67"/>
      <c r="FJ60" s="67"/>
      <c r="FK60" s="67"/>
      <c r="FL60" s="67"/>
      <c r="FM60" s="157">
        <f>0.032%*0.3/30</f>
        <v>3.2000000000000003E-6</v>
      </c>
      <c r="FN60" s="156">
        <f>FM60</f>
        <v>3.2000000000000003E-6</v>
      </c>
      <c r="FO60" s="156">
        <f t="shared" ref="FO60:GP60" si="359">FN60</f>
        <v>3.2000000000000003E-6</v>
      </c>
      <c r="FP60" s="156">
        <f t="shared" si="359"/>
        <v>3.2000000000000003E-6</v>
      </c>
      <c r="FQ60" s="156">
        <f t="shared" si="359"/>
        <v>3.2000000000000003E-6</v>
      </c>
      <c r="FR60" s="156">
        <f t="shared" si="359"/>
        <v>3.2000000000000003E-6</v>
      </c>
      <c r="FS60" s="156">
        <f t="shared" si="359"/>
        <v>3.2000000000000003E-6</v>
      </c>
      <c r="FT60" s="156">
        <f t="shared" si="359"/>
        <v>3.2000000000000003E-6</v>
      </c>
      <c r="FU60" s="156">
        <f t="shared" si="359"/>
        <v>3.2000000000000003E-6</v>
      </c>
      <c r="FV60" s="156">
        <f t="shared" si="359"/>
        <v>3.2000000000000003E-6</v>
      </c>
      <c r="FW60" s="156">
        <f t="shared" si="359"/>
        <v>3.2000000000000003E-6</v>
      </c>
      <c r="FX60" s="156">
        <f t="shared" si="359"/>
        <v>3.2000000000000003E-6</v>
      </c>
      <c r="FY60" s="156">
        <f t="shared" si="359"/>
        <v>3.2000000000000003E-6</v>
      </c>
      <c r="FZ60" s="156">
        <f t="shared" si="359"/>
        <v>3.2000000000000003E-6</v>
      </c>
      <c r="GA60" s="156">
        <f t="shared" si="359"/>
        <v>3.2000000000000003E-6</v>
      </c>
      <c r="GB60" s="156">
        <f t="shared" si="359"/>
        <v>3.2000000000000003E-6</v>
      </c>
      <c r="GC60" s="156">
        <f t="shared" si="359"/>
        <v>3.2000000000000003E-6</v>
      </c>
      <c r="GD60" s="156">
        <f t="shared" si="359"/>
        <v>3.2000000000000003E-6</v>
      </c>
      <c r="GE60" s="156">
        <f t="shared" si="359"/>
        <v>3.2000000000000003E-6</v>
      </c>
      <c r="GF60" s="156">
        <f t="shared" si="359"/>
        <v>3.2000000000000003E-6</v>
      </c>
      <c r="GG60" s="156">
        <f t="shared" si="359"/>
        <v>3.2000000000000003E-6</v>
      </c>
      <c r="GH60" s="156">
        <f t="shared" si="359"/>
        <v>3.2000000000000003E-6</v>
      </c>
      <c r="GI60" s="156">
        <f t="shared" si="359"/>
        <v>3.2000000000000003E-6</v>
      </c>
      <c r="GJ60" s="156">
        <f t="shared" si="359"/>
        <v>3.2000000000000003E-6</v>
      </c>
      <c r="GK60" s="156">
        <f t="shared" si="359"/>
        <v>3.2000000000000003E-6</v>
      </c>
      <c r="GL60" s="156">
        <f t="shared" si="359"/>
        <v>3.2000000000000003E-6</v>
      </c>
      <c r="GM60" s="156">
        <f t="shared" si="359"/>
        <v>3.2000000000000003E-6</v>
      </c>
      <c r="GN60" s="156">
        <f t="shared" si="359"/>
        <v>3.2000000000000003E-6</v>
      </c>
      <c r="GO60" s="156">
        <f t="shared" si="359"/>
        <v>3.2000000000000003E-6</v>
      </c>
      <c r="GP60" s="156">
        <f t="shared" si="359"/>
        <v>3.2000000000000003E-6</v>
      </c>
      <c r="GQ60" s="157">
        <f>0.023%*0.2/30</f>
        <v>1.5333333333333336E-6</v>
      </c>
      <c r="GR60" s="156">
        <f>GQ60</f>
        <v>1.5333333333333336E-6</v>
      </c>
      <c r="GS60" s="156">
        <f t="shared" ref="GS60:HT60" si="360">GR60</f>
        <v>1.5333333333333336E-6</v>
      </c>
      <c r="GT60" s="156">
        <f t="shared" si="360"/>
        <v>1.5333333333333336E-6</v>
      </c>
      <c r="GU60" s="156">
        <f t="shared" si="360"/>
        <v>1.5333333333333336E-6</v>
      </c>
      <c r="GV60" s="156">
        <f t="shared" si="360"/>
        <v>1.5333333333333336E-6</v>
      </c>
      <c r="GW60" s="156">
        <f t="shared" si="360"/>
        <v>1.5333333333333336E-6</v>
      </c>
      <c r="GX60" s="156">
        <f t="shared" si="360"/>
        <v>1.5333333333333336E-6</v>
      </c>
      <c r="GY60" s="156">
        <f t="shared" si="360"/>
        <v>1.5333333333333336E-6</v>
      </c>
      <c r="GZ60" s="156">
        <f t="shared" si="360"/>
        <v>1.5333333333333336E-6</v>
      </c>
      <c r="HA60" s="156">
        <f t="shared" si="360"/>
        <v>1.5333333333333336E-6</v>
      </c>
      <c r="HB60" s="156">
        <f t="shared" si="360"/>
        <v>1.5333333333333336E-6</v>
      </c>
      <c r="HC60" s="156">
        <f t="shared" si="360"/>
        <v>1.5333333333333336E-6</v>
      </c>
      <c r="HD60" s="156">
        <f t="shared" si="360"/>
        <v>1.5333333333333336E-6</v>
      </c>
      <c r="HE60" s="156">
        <f t="shared" si="360"/>
        <v>1.5333333333333336E-6</v>
      </c>
      <c r="HF60" s="156">
        <f t="shared" si="360"/>
        <v>1.5333333333333336E-6</v>
      </c>
      <c r="HG60" s="156">
        <f t="shared" si="360"/>
        <v>1.5333333333333336E-6</v>
      </c>
      <c r="HH60" s="156">
        <f t="shared" si="360"/>
        <v>1.5333333333333336E-6</v>
      </c>
      <c r="HI60" s="156">
        <f t="shared" si="360"/>
        <v>1.5333333333333336E-6</v>
      </c>
      <c r="HJ60" s="156">
        <f t="shared" si="360"/>
        <v>1.5333333333333336E-6</v>
      </c>
      <c r="HK60" s="156">
        <f t="shared" si="360"/>
        <v>1.5333333333333336E-6</v>
      </c>
      <c r="HL60" s="156">
        <f t="shared" si="360"/>
        <v>1.5333333333333336E-6</v>
      </c>
      <c r="HM60" s="156">
        <f t="shared" si="360"/>
        <v>1.5333333333333336E-6</v>
      </c>
      <c r="HN60" s="156">
        <f t="shared" si="360"/>
        <v>1.5333333333333336E-6</v>
      </c>
      <c r="HO60" s="156">
        <f t="shared" si="360"/>
        <v>1.5333333333333336E-6</v>
      </c>
      <c r="HP60" s="156">
        <f t="shared" si="360"/>
        <v>1.5333333333333336E-6</v>
      </c>
      <c r="HQ60" s="156">
        <f t="shared" si="360"/>
        <v>1.5333333333333336E-6</v>
      </c>
      <c r="HR60" s="156">
        <f t="shared" si="360"/>
        <v>1.5333333333333336E-6</v>
      </c>
      <c r="HS60" s="156">
        <f t="shared" si="360"/>
        <v>1.5333333333333336E-6</v>
      </c>
      <c r="HT60" s="156">
        <f t="shared" si="360"/>
        <v>1.5333333333333336E-6</v>
      </c>
      <c r="HU60" s="66"/>
      <c r="HV60" s="67"/>
      <c r="HW60" s="67"/>
      <c r="HX60" s="67"/>
      <c r="HY60" s="67"/>
      <c r="HZ60" s="67"/>
      <c r="IA60" s="67"/>
      <c r="IB60" s="67"/>
      <c r="IC60" s="67"/>
      <c r="ID60" s="67"/>
      <c r="IE60" s="67"/>
      <c r="IF60" s="67"/>
      <c r="IG60" s="67"/>
      <c r="IH60" s="67"/>
      <c r="II60" s="67"/>
      <c r="IJ60" s="67"/>
      <c r="IK60" s="67"/>
      <c r="IL60" s="67"/>
      <c r="IM60" s="67"/>
      <c r="IN60" s="67"/>
      <c r="IO60" s="67"/>
      <c r="IP60" s="67"/>
      <c r="IQ60" s="67"/>
      <c r="IR60" s="67"/>
      <c r="IS60" s="67"/>
      <c r="IT60" s="67"/>
      <c r="IU60" s="67"/>
      <c r="IV60" s="67"/>
      <c r="IW60" s="67"/>
      <c r="IX60" s="67"/>
      <c r="IY60" s="66"/>
      <c r="IZ60" s="67"/>
      <c r="JA60" s="67"/>
      <c r="JB60" s="67"/>
      <c r="JC60" s="67"/>
      <c r="JD60" s="67"/>
      <c r="JE60" s="67"/>
      <c r="JF60" s="67"/>
      <c r="JG60" s="67"/>
      <c r="JH60" s="67"/>
      <c r="JI60" s="67"/>
      <c r="JJ60" s="67"/>
      <c r="JK60" s="67"/>
      <c r="JL60" s="67"/>
      <c r="JM60" s="67"/>
      <c r="JN60" s="67"/>
      <c r="JO60" s="67"/>
      <c r="JP60" s="67"/>
      <c r="JQ60" s="67"/>
      <c r="JR60" s="67"/>
      <c r="JS60" s="67"/>
      <c r="JT60" s="67"/>
      <c r="JU60" s="67"/>
      <c r="JV60" s="67"/>
      <c r="JW60" s="67"/>
      <c r="JX60" s="67"/>
      <c r="JY60" s="67"/>
      <c r="JZ60" s="67"/>
      <c r="KA60" s="67"/>
      <c r="KB60" s="67"/>
      <c r="KC60" s="214">
        <v>2.04E-4</v>
      </c>
      <c r="KD60" s="214"/>
      <c r="KE60" s="214"/>
      <c r="KF60" s="214">
        <v>2.04E-4</v>
      </c>
      <c r="KG60" s="214"/>
      <c r="KH60" s="214"/>
      <c r="KI60" s="53"/>
      <c r="KJ60" s="54"/>
      <c r="KK60" s="55"/>
      <c r="KL60" s="53"/>
      <c r="KM60" s="54"/>
      <c r="KN60" s="55"/>
      <c r="KO60" s="54"/>
      <c r="KP60" s="54"/>
      <c r="KQ60" s="54"/>
      <c r="KR60" s="53"/>
      <c r="KS60" s="54"/>
      <c r="KT60" s="55"/>
      <c r="KU60" s="54"/>
      <c r="KV60" s="54"/>
      <c r="KW60" s="54"/>
      <c r="KX60" s="53"/>
      <c r="KY60" s="54"/>
      <c r="KZ60" s="54"/>
      <c r="LA60" s="57"/>
      <c r="LB60" s="54"/>
      <c r="LC60" s="58"/>
      <c r="LD60" s="54"/>
      <c r="LE60" s="54"/>
      <c r="LF60" s="55"/>
      <c r="LG60" s="54"/>
      <c r="LH60" s="54"/>
      <c r="LI60" s="54"/>
      <c r="LJ60" s="53"/>
      <c r="LK60" s="54"/>
      <c r="LL60" s="55"/>
      <c r="LM60" s="53"/>
      <c r="LN60" s="54"/>
      <c r="LO60" s="55"/>
      <c r="LP60" s="53"/>
      <c r="LQ60" s="54"/>
      <c r="LR60" s="55"/>
      <c r="LS60" s="53"/>
      <c r="LT60" s="54"/>
      <c r="LU60" s="55"/>
      <c r="LV60" s="54"/>
      <c r="LW60" s="54"/>
      <c r="LX60" s="54"/>
      <c r="LY60" s="53"/>
      <c r="LZ60" s="54"/>
      <c r="MA60" s="55"/>
      <c r="MB60" s="54"/>
      <c r="MC60" s="54"/>
      <c r="MD60" s="54"/>
      <c r="ME60" s="53"/>
      <c r="MF60" s="54"/>
      <c r="MG60" s="55"/>
      <c r="MH60" s="53"/>
      <c r="MI60" s="54"/>
      <c r="MJ60" s="55"/>
      <c r="MK60" s="54"/>
      <c r="ML60" s="54"/>
      <c r="MM60" s="54"/>
      <c r="MN60" s="53"/>
      <c r="MO60" s="54"/>
      <c r="MP60" s="55"/>
      <c r="MQ60" s="53"/>
      <c r="MR60" s="54"/>
      <c r="MS60" s="55"/>
      <c r="MT60" s="53"/>
      <c r="MU60" s="54"/>
      <c r="MV60" s="55"/>
      <c r="MW60" s="53"/>
      <c r="MX60" s="54"/>
      <c r="MY60" s="55"/>
      <c r="MZ60" s="53"/>
      <c r="NA60" s="54"/>
      <c r="NB60" s="55"/>
      <c r="NC60" s="54"/>
      <c r="ND60" s="54"/>
      <c r="NE60" s="59"/>
      <c r="NG60" s="275">
        <f>SUM(R60:NE60)</f>
        <v>5.5000000000000003E-4</v>
      </c>
      <c r="NH60" s="1"/>
      <c r="NI60" s="1"/>
      <c r="NJ60" s="1"/>
      <c r="NK60" s="1"/>
    </row>
    <row r="61" spans="5:375" s="6" customFormat="1" ht="6.95" customHeight="1">
      <c r="F61" s="196"/>
      <c r="G61" s="197"/>
      <c r="H61" s="52">
        <v>2</v>
      </c>
      <c r="L61" s="340"/>
      <c r="M61" s="371"/>
      <c r="N61" s="357"/>
      <c r="O61" s="353"/>
      <c r="P61" s="308"/>
      <c r="Q61" s="237"/>
      <c r="R61" s="6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39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1"/>
      <c r="CA61" s="39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39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  <c r="FK61" s="40"/>
      <c r="FL61" s="40"/>
      <c r="FM61" s="61"/>
      <c r="FN61" s="62"/>
      <c r="FO61" s="62"/>
      <c r="FP61" s="62"/>
      <c r="FQ61" s="62"/>
      <c r="FR61" s="62"/>
      <c r="FS61" s="62"/>
      <c r="FT61" s="62"/>
      <c r="FU61" s="62"/>
      <c r="FV61" s="62"/>
      <c r="FW61" s="62"/>
      <c r="FX61" s="62"/>
      <c r="FY61" s="62"/>
      <c r="FZ61" s="62"/>
      <c r="GA61" s="62"/>
      <c r="GB61" s="62"/>
      <c r="GC61" s="62"/>
      <c r="GD61" s="62"/>
      <c r="GE61" s="62"/>
      <c r="GF61" s="62"/>
      <c r="GG61" s="62"/>
      <c r="GH61" s="62"/>
      <c r="GI61" s="62"/>
      <c r="GJ61" s="62"/>
      <c r="GK61" s="62"/>
      <c r="GL61" s="62"/>
      <c r="GM61" s="62"/>
      <c r="GN61" s="62"/>
      <c r="GO61" s="62"/>
      <c r="GP61" s="62"/>
      <c r="GQ61" s="61"/>
      <c r="GR61" s="62"/>
      <c r="GS61" s="62"/>
      <c r="GT61" s="62"/>
      <c r="GU61" s="62"/>
      <c r="GV61" s="62"/>
      <c r="GW61" s="62"/>
      <c r="GX61" s="62"/>
      <c r="GY61" s="62"/>
      <c r="GZ61" s="62"/>
      <c r="HA61" s="62"/>
      <c r="HB61" s="62"/>
      <c r="HC61" s="62"/>
      <c r="HD61" s="62"/>
      <c r="HE61" s="62"/>
      <c r="HF61" s="62"/>
      <c r="HG61" s="62"/>
      <c r="HH61" s="62"/>
      <c r="HI61" s="62"/>
      <c r="HJ61" s="62"/>
      <c r="HK61" s="62"/>
      <c r="HL61" s="62"/>
      <c r="HM61" s="62"/>
      <c r="HN61" s="62"/>
      <c r="HO61" s="62"/>
      <c r="HP61" s="62"/>
      <c r="HQ61" s="62"/>
      <c r="HR61" s="62"/>
      <c r="HS61" s="62"/>
      <c r="HT61" s="62"/>
      <c r="HU61" s="39"/>
      <c r="HV61" s="40"/>
      <c r="HW61" s="40"/>
      <c r="HX61" s="40"/>
      <c r="HY61" s="40"/>
      <c r="HZ61" s="40"/>
      <c r="IA61" s="40"/>
      <c r="IB61" s="40"/>
      <c r="IC61" s="40"/>
      <c r="ID61" s="40"/>
      <c r="IE61" s="40"/>
      <c r="IF61" s="40"/>
      <c r="IG61" s="40"/>
      <c r="IH61" s="40"/>
      <c r="II61" s="40"/>
      <c r="IJ61" s="40"/>
      <c r="IK61" s="40"/>
      <c r="IL61" s="40"/>
      <c r="IM61" s="40"/>
      <c r="IN61" s="40"/>
      <c r="IO61" s="40"/>
      <c r="IP61" s="40"/>
      <c r="IQ61" s="40"/>
      <c r="IR61" s="40"/>
      <c r="IS61" s="40"/>
      <c r="IT61" s="40"/>
      <c r="IU61" s="40"/>
      <c r="IV61" s="40"/>
      <c r="IW61" s="40"/>
      <c r="IX61" s="40"/>
      <c r="IY61" s="39"/>
      <c r="IZ61" s="40"/>
      <c r="JA61" s="40"/>
      <c r="JB61" s="40"/>
      <c r="JC61" s="40"/>
      <c r="JD61" s="40"/>
      <c r="JE61" s="40"/>
      <c r="JF61" s="40"/>
      <c r="JG61" s="40"/>
      <c r="JH61" s="40"/>
      <c r="JI61" s="40"/>
      <c r="JJ61" s="40"/>
      <c r="JK61" s="40"/>
      <c r="JL61" s="40"/>
      <c r="JM61" s="40"/>
      <c r="JN61" s="40"/>
      <c r="JO61" s="40"/>
      <c r="JP61" s="40"/>
      <c r="JQ61" s="40"/>
      <c r="JR61" s="40"/>
      <c r="JS61" s="40"/>
      <c r="JT61" s="40"/>
      <c r="JU61" s="40"/>
      <c r="JV61" s="40"/>
      <c r="JW61" s="40"/>
      <c r="JX61" s="40"/>
      <c r="JY61" s="40"/>
      <c r="JZ61" s="40"/>
      <c r="KA61" s="40"/>
      <c r="KB61" s="40"/>
      <c r="KC61" s="61"/>
      <c r="KD61" s="62"/>
      <c r="KE61" s="63"/>
      <c r="KF61" s="61"/>
      <c r="KG61" s="62"/>
      <c r="KH61" s="63"/>
      <c r="KI61" s="40"/>
      <c r="KJ61" s="40"/>
      <c r="KK61" s="40"/>
      <c r="KL61" s="39"/>
      <c r="KM61" s="40"/>
      <c r="KN61" s="41"/>
      <c r="KO61" s="40"/>
      <c r="KP61" s="40"/>
      <c r="KQ61" s="40"/>
      <c r="KR61" s="39"/>
      <c r="KS61" s="40"/>
      <c r="KT61" s="41"/>
      <c r="KU61" s="40"/>
      <c r="KV61" s="40"/>
      <c r="KW61" s="40"/>
      <c r="KX61" s="39"/>
      <c r="KY61" s="40"/>
      <c r="KZ61" s="40"/>
      <c r="LA61" s="64"/>
      <c r="LB61" s="40"/>
      <c r="LC61" s="65"/>
      <c r="LD61" s="40"/>
      <c r="LE61" s="40"/>
      <c r="LF61" s="41"/>
      <c r="LG61" s="40"/>
      <c r="LH61" s="40"/>
      <c r="LI61" s="40"/>
      <c r="LJ61" s="39"/>
      <c r="LK61" s="40"/>
      <c r="LL61" s="41"/>
      <c r="LM61" s="39"/>
      <c r="LN61" s="40"/>
      <c r="LO61" s="41"/>
      <c r="LP61" s="39"/>
      <c r="LQ61" s="40"/>
      <c r="LR61" s="41"/>
      <c r="LS61" s="39"/>
      <c r="LT61" s="40"/>
      <c r="LU61" s="41"/>
      <c r="LV61" s="40"/>
      <c r="LW61" s="40"/>
      <c r="LX61" s="40"/>
      <c r="LY61" s="39"/>
      <c r="LZ61" s="40"/>
      <c r="MA61" s="41"/>
      <c r="MB61" s="40"/>
      <c r="MC61" s="40"/>
      <c r="MD61" s="40"/>
      <c r="ME61" s="39"/>
      <c r="MF61" s="40"/>
      <c r="MG61" s="41"/>
      <c r="MH61" s="39"/>
      <c r="MI61" s="40"/>
      <c r="MJ61" s="41"/>
      <c r="MK61" s="40"/>
      <c r="ML61" s="40"/>
      <c r="MM61" s="40"/>
      <c r="MN61" s="39"/>
      <c r="MO61" s="40"/>
      <c r="MP61" s="41"/>
      <c r="MQ61" s="39"/>
      <c r="MR61" s="40"/>
      <c r="MS61" s="41"/>
      <c r="MT61" s="39"/>
      <c r="MU61" s="40"/>
      <c r="MV61" s="41"/>
      <c r="MW61" s="39"/>
      <c r="MX61" s="40"/>
      <c r="MY61" s="41"/>
      <c r="MZ61" s="39"/>
      <c r="NA61" s="40"/>
      <c r="NB61" s="41"/>
      <c r="NC61" s="40"/>
      <c r="ND61" s="40"/>
      <c r="NE61" s="42"/>
      <c r="NG61" s="275"/>
      <c r="NH61" s="1"/>
      <c r="NI61" s="1"/>
      <c r="NJ61" s="1"/>
      <c r="NK61" s="1"/>
    </row>
    <row r="62" spans="5:375" s="6" customFormat="1" ht="9.9499999999999993" customHeight="1">
      <c r="F62" s="196">
        <f t="shared" ref="F62" si="361">NG62</f>
        <v>3.9800000000000018E-3</v>
      </c>
      <c r="G62" s="197">
        <f>Q62-F62</f>
        <v>0</v>
      </c>
      <c r="H62" s="27">
        <v>1</v>
      </c>
      <c r="K62" s="6" t="s">
        <v>197</v>
      </c>
      <c r="L62" s="292"/>
      <c r="M62" s="295" t="s">
        <v>137</v>
      </c>
      <c r="N62" s="296">
        <v>1</v>
      </c>
      <c r="O62" s="297" t="s">
        <v>256</v>
      </c>
      <c r="P62" s="315">
        <v>827749</v>
      </c>
      <c r="Q62" s="236">
        <f>ROUND(P62/$P$256,5)</f>
        <v>3.98E-3</v>
      </c>
      <c r="R62" s="81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6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8"/>
      <c r="CA62" s="66"/>
      <c r="CB62" s="67"/>
      <c r="CC62" s="67"/>
      <c r="CD62" s="67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7"/>
      <c r="DA62" s="67"/>
      <c r="DB62" s="67"/>
      <c r="DC62" s="67"/>
      <c r="DD62" s="67"/>
      <c r="DE62" s="53"/>
      <c r="DF62" s="54"/>
      <c r="DG62" s="54"/>
      <c r="DH62" s="54"/>
      <c r="DI62" s="54"/>
      <c r="DJ62" s="54"/>
      <c r="DK62" s="54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4"/>
      <c r="DW62" s="54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4"/>
      <c r="EI62" s="157">
        <f>0.036%*0.3/30</f>
        <v>3.5999999999999994E-6</v>
      </c>
      <c r="EJ62" s="156">
        <f>EI62</f>
        <v>3.5999999999999994E-6</v>
      </c>
      <c r="EK62" s="156">
        <f t="shared" ref="EK62:FL62" si="362">EJ62</f>
        <v>3.5999999999999994E-6</v>
      </c>
      <c r="EL62" s="156">
        <f t="shared" si="362"/>
        <v>3.5999999999999994E-6</v>
      </c>
      <c r="EM62" s="156">
        <f t="shared" si="362"/>
        <v>3.5999999999999994E-6</v>
      </c>
      <c r="EN62" s="156">
        <f t="shared" si="362"/>
        <v>3.5999999999999994E-6</v>
      </c>
      <c r="EO62" s="156">
        <f t="shared" si="362"/>
        <v>3.5999999999999994E-6</v>
      </c>
      <c r="EP62" s="156">
        <f t="shared" si="362"/>
        <v>3.5999999999999994E-6</v>
      </c>
      <c r="EQ62" s="156">
        <f t="shared" si="362"/>
        <v>3.5999999999999994E-6</v>
      </c>
      <c r="ER62" s="156">
        <f t="shared" si="362"/>
        <v>3.5999999999999994E-6</v>
      </c>
      <c r="ES62" s="156">
        <f t="shared" si="362"/>
        <v>3.5999999999999994E-6</v>
      </c>
      <c r="ET62" s="156">
        <f t="shared" si="362"/>
        <v>3.5999999999999994E-6</v>
      </c>
      <c r="EU62" s="156">
        <f t="shared" si="362"/>
        <v>3.5999999999999994E-6</v>
      </c>
      <c r="EV62" s="156">
        <f t="shared" si="362"/>
        <v>3.5999999999999994E-6</v>
      </c>
      <c r="EW62" s="156">
        <f t="shared" si="362"/>
        <v>3.5999999999999994E-6</v>
      </c>
      <c r="EX62" s="156">
        <f t="shared" si="362"/>
        <v>3.5999999999999994E-6</v>
      </c>
      <c r="EY62" s="156">
        <f t="shared" si="362"/>
        <v>3.5999999999999994E-6</v>
      </c>
      <c r="EZ62" s="156">
        <f t="shared" si="362"/>
        <v>3.5999999999999994E-6</v>
      </c>
      <c r="FA62" s="156">
        <f t="shared" si="362"/>
        <v>3.5999999999999994E-6</v>
      </c>
      <c r="FB62" s="156">
        <f t="shared" si="362"/>
        <v>3.5999999999999994E-6</v>
      </c>
      <c r="FC62" s="156">
        <f t="shared" si="362"/>
        <v>3.5999999999999994E-6</v>
      </c>
      <c r="FD62" s="156">
        <f t="shared" si="362"/>
        <v>3.5999999999999994E-6</v>
      </c>
      <c r="FE62" s="156">
        <f t="shared" si="362"/>
        <v>3.5999999999999994E-6</v>
      </c>
      <c r="FF62" s="156">
        <f t="shared" si="362"/>
        <v>3.5999999999999994E-6</v>
      </c>
      <c r="FG62" s="156">
        <f t="shared" si="362"/>
        <v>3.5999999999999994E-6</v>
      </c>
      <c r="FH62" s="156">
        <f t="shared" si="362"/>
        <v>3.5999999999999994E-6</v>
      </c>
      <c r="FI62" s="156">
        <f t="shared" si="362"/>
        <v>3.5999999999999994E-6</v>
      </c>
      <c r="FJ62" s="156">
        <f t="shared" si="362"/>
        <v>3.5999999999999994E-6</v>
      </c>
      <c r="FK62" s="156">
        <f t="shared" si="362"/>
        <v>3.5999999999999994E-6</v>
      </c>
      <c r="FL62" s="156">
        <f t="shared" si="362"/>
        <v>3.5999999999999994E-6</v>
      </c>
      <c r="FM62" s="157">
        <f>0.036%*0.3/30</f>
        <v>3.5999999999999994E-6</v>
      </c>
      <c r="FN62" s="156">
        <f>FM62</f>
        <v>3.5999999999999994E-6</v>
      </c>
      <c r="FO62" s="156">
        <f t="shared" ref="FO62:GP62" si="363">FN62</f>
        <v>3.5999999999999994E-6</v>
      </c>
      <c r="FP62" s="156">
        <f t="shared" si="363"/>
        <v>3.5999999999999994E-6</v>
      </c>
      <c r="FQ62" s="156">
        <f t="shared" si="363"/>
        <v>3.5999999999999994E-6</v>
      </c>
      <c r="FR62" s="156">
        <f t="shared" si="363"/>
        <v>3.5999999999999994E-6</v>
      </c>
      <c r="FS62" s="156">
        <f t="shared" si="363"/>
        <v>3.5999999999999994E-6</v>
      </c>
      <c r="FT62" s="156">
        <f t="shared" si="363"/>
        <v>3.5999999999999994E-6</v>
      </c>
      <c r="FU62" s="156">
        <f t="shared" si="363"/>
        <v>3.5999999999999994E-6</v>
      </c>
      <c r="FV62" s="156">
        <f t="shared" si="363"/>
        <v>3.5999999999999994E-6</v>
      </c>
      <c r="FW62" s="156">
        <f t="shared" si="363"/>
        <v>3.5999999999999994E-6</v>
      </c>
      <c r="FX62" s="156">
        <f t="shared" si="363"/>
        <v>3.5999999999999994E-6</v>
      </c>
      <c r="FY62" s="156">
        <f t="shared" si="363"/>
        <v>3.5999999999999994E-6</v>
      </c>
      <c r="FZ62" s="156">
        <f t="shared" si="363"/>
        <v>3.5999999999999994E-6</v>
      </c>
      <c r="GA62" s="156">
        <f t="shared" si="363"/>
        <v>3.5999999999999994E-6</v>
      </c>
      <c r="GB62" s="156">
        <f t="shared" si="363"/>
        <v>3.5999999999999994E-6</v>
      </c>
      <c r="GC62" s="156">
        <f t="shared" si="363"/>
        <v>3.5999999999999994E-6</v>
      </c>
      <c r="GD62" s="156">
        <f t="shared" si="363"/>
        <v>3.5999999999999994E-6</v>
      </c>
      <c r="GE62" s="156">
        <f t="shared" si="363"/>
        <v>3.5999999999999994E-6</v>
      </c>
      <c r="GF62" s="156">
        <f t="shared" si="363"/>
        <v>3.5999999999999994E-6</v>
      </c>
      <c r="GG62" s="156">
        <f t="shared" si="363"/>
        <v>3.5999999999999994E-6</v>
      </c>
      <c r="GH62" s="156">
        <f t="shared" si="363"/>
        <v>3.5999999999999994E-6</v>
      </c>
      <c r="GI62" s="156">
        <f t="shared" si="363"/>
        <v>3.5999999999999994E-6</v>
      </c>
      <c r="GJ62" s="156">
        <f t="shared" si="363"/>
        <v>3.5999999999999994E-6</v>
      </c>
      <c r="GK62" s="156">
        <f t="shared" si="363"/>
        <v>3.5999999999999994E-6</v>
      </c>
      <c r="GL62" s="156">
        <f t="shared" si="363"/>
        <v>3.5999999999999994E-6</v>
      </c>
      <c r="GM62" s="156">
        <f t="shared" si="363"/>
        <v>3.5999999999999994E-6</v>
      </c>
      <c r="GN62" s="156">
        <f t="shared" si="363"/>
        <v>3.5999999999999994E-6</v>
      </c>
      <c r="GO62" s="156">
        <f t="shared" si="363"/>
        <v>3.5999999999999994E-6</v>
      </c>
      <c r="GP62" s="156">
        <f t="shared" si="363"/>
        <v>3.5999999999999994E-6</v>
      </c>
      <c r="GQ62" s="157">
        <f>0.036%*0.2/30</f>
        <v>2.3999999999999999E-6</v>
      </c>
      <c r="GR62" s="156">
        <f>GQ62</f>
        <v>2.3999999999999999E-6</v>
      </c>
      <c r="GS62" s="156">
        <f t="shared" ref="GS62:HT62" si="364">GR62</f>
        <v>2.3999999999999999E-6</v>
      </c>
      <c r="GT62" s="156">
        <f t="shared" si="364"/>
        <v>2.3999999999999999E-6</v>
      </c>
      <c r="GU62" s="156">
        <f t="shared" si="364"/>
        <v>2.3999999999999999E-6</v>
      </c>
      <c r="GV62" s="156">
        <f t="shared" si="364"/>
        <v>2.3999999999999999E-6</v>
      </c>
      <c r="GW62" s="156">
        <f t="shared" si="364"/>
        <v>2.3999999999999999E-6</v>
      </c>
      <c r="GX62" s="156">
        <f t="shared" si="364"/>
        <v>2.3999999999999999E-6</v>
      </c>
      <c r="GY62" s="156">
        <f t="shared" si="364"/>
        <v>2.3999999999999999E-6</v>
      </c>
      <c r="GZ62" s="156">
        <f t="shared" si="364"/>
        <v>2.3999999999999999E-6</v>
      </c>
      <c r="HA62" s="156">
        <f t="shared" si="364"/>
        <v>2.3999999999999999E-6</v>
      </c>
      <c r="HB62" s="156">
        <f t="shared" si="364"/>
        <v>2.3999999999999999E-6</v>
      </c>
      <c r="HC62" s="156">
        <f t="shared" si="364"/>
        <v>2.3999999999999999E-6</v>
      </c>
      <c r="HD62" s="156">
        <f t="shared" si="364"/>
        <v>2.3999999999999999E-6</v>
      </c>
      <c r="HE62" s="156">
        <f t="shared" si="364"/>
        <v>2.3999999999999999E-6</v>
      </c>
      <c r="HF62" s="156">
        <f t="shared" si="364"/>
        <v>2.3999999999999999E-6</v>
      </c>
      <c r="HG62" s="156">
        <f t="shared" si="364"/>
        <v>2.3999999999999999E-6</v>
      </c>
      <c r="HH62" s="156">
        <f t="shared" si="364"/>
        <v>2.3999999999999999E-6</v>
      </c>
      <c r="HI62" s="156">
        <f t="shared" si="364"/>
        <v>2.3999999999999999E-6</v>
      </c>
      <c r="HJ62" s="156">
        <f t="shared" si="364"/>
        <v>2.3999999999999999E-6</v>
      </c>
      <c r="HK62" s="156">
        <f t="shared" si="364"/>
        <v>2.3999999999999999E-6</v>
      </c>
      <c r="HL62" s="156">
        <f t="shared" si="364"/>
        <v>2.3999999999999999E-6</v>
      </c>
      <c r="HM62" s="156">
        <f t="shared" si="364"/>
        <v>2.3999999999999999E-6</v>
      </c>
      <c r="HN62" s="156">
        <f t="shared" si="364"/>
        <v>2.3999999999999999E-6</v>
      </c>
      <c r="HO62" s="156">
        <f t="shared" si="364"/>
        <v>2.3999999999999999E-6</v>
      </c>
      <c r="HP62" s="156">
        <f t="shared" si="364"/>
        <v>2.3999999999999999E-6</v>
      </c>
      <c r="HQ62" s="156">
        <f t="shared" si="364"/>
        <v>2.3999999999999999E-6</v>
      </c>
      <c r="HR62" s="156">
        <f t="shared" si="364"/>
        <v>2.3999999999999999E-6</v>
      </c>
      <c r="HS62" s="156">
        <f t="shared" si="364"/>
        <v>2.3999999999999999E-6</v>
      </c>
      <c r="HT62" s="156">
        <f t="shared" si="364"/>
        <v>2.3999999999999999E-6</v>
      </c>
      <c r="HU62" s="157">
        <f>0.094%*0.2/30</f>
        <v>6.2666666666666671E-6</v>
      </c>
      <c r="HV62" s="156">
        <f>HU62</f>
        <v>6.2666666666666671E-6</v>
      </c>
      <c r="HW62" s="156">
        <f t="shared" ref="HW62:IX62" si="365">HV62</f>
        <v>6.2666666666666671E-6</v>
      </c>
      <c r="HX62" s="156">
        <f t="shared" si="365"/>
        <v>6.2666666666666671E-6</v>
      </c>
      <c r="HY62" s="156">
        <f t="shared" si="365"/>
        <v>6.2666666666666671E-6</v>
      </c>
      <c r="HZ62" s="156">
        <f t="shared" si="365"/>
        <v>6.2666666666666671E-6</v>
      </c>
      <c r="IA62" s="156">
        <f t="shared" si="365"/>
        <v>6.2666666666666671E-6</v>
      </c>
      <c r="IB62" s="156">
        <f t="shared" si="365"/>
        <v>6.2666666666666671E-6</v>
      </c>
      <c r="IC62" s="156">
        <f t="shared" si="365"/>
        <v>6.2666666666666671E-6</v>
      </c>
      <c r="ID62" s="156">
        <f t="shared" si="365"/>
        <v>6.2666666666666671E-6</v>
      </c>
      <c r="IE62" s="156">
        <f t="shared" si="365"/>
        <v>6.2666666666666671E-6</v>
      </c>
      <c r="IF62" s="156">
        <f t="shared" si="365"/>
        <v>6.2666666666666671E-6</v>
      </c>
      <c r="IG62" s="156">
        <f t="shared" si="365"/>
        <v>6.2666666666666671E-6</v>
      </c>
      <c r="IH62" s="156">
        <f t="shared" si="365"/>
        <v>6.2666666666666671E-6</v>
      </c>
      <c r="II62" s="156">
        <f t="shared" si="365"/>
        <v>6.2666666666666671E-6</v>
      </c>
      <c r="IJ62" s="156">
        <f t="shared" si="365"/>
        <v>6.2666666666666671E-6</v>
      </c>
      <c r="IK62" s="156">
        <f t="shared" si="365"/>
        <v>6.2666666666666671E-6</v>
      </c>
      <c r="IL62" s="156">
        <f t="shared" si="365"/>
        <v>6.2666666666666671E-6</v>
      </c>
      <c r="IM62" s="156">
        <f t="shared" si="365"/>
        <v>6.2666666666666671E-6</v>
      </c>
      <c r="IN62" s="156">
        <f t="shared" si="365"/>
        <v>6.2666666666666671E-6</v>
      </c>
      <c r="IO62" s="156">
        <f t="shared" si="365"/>
        <v>6.2666666666666671E-6</v>
      </c>
      <c r="IP62" s="156">
        <f t="shared" si="365"/>
        <v>6.2666666666666671E-6</v>
      </c>
      <c r="IQ62" s="156">
        <f t="shared" si="365"/>
        <v>6.2666666666666671E-6</v>
      </c>
      <c r="IR62" s="156">
        <f t="shared" si="365"/>
        <v>6.2666666666666671E-6</v>
      </c>
      <c r="IS62" s="156">
        <f t="shared" si="365"/>
        <v>6.2666666666666671E-6</v>
      </c>
      <c r="IT62" s="156">
        <f t="shared" si="365"/>
        <v>6.2666666666666671E-6</v>
      </c>
      <c r="IU62" s="156">
        <f t="shared" si="365"/>
        <v>6.2666666666666671E-6</v>
      </c>
      <c r="IV62" s="156">
        <f t="shared" si="365"/>
        <v>6.2666666666666671E-6</v>
      </c>
      <c r="IW62" s="156">
        <f t="shared" si="365"/>
        <v>6.2666666666666671E-6</v>
      </c>
      <c r="IX62" s="156">
        <f t="shared" si="365"/>
        <v>6.2666666666666671E-6</v>
      </c>
      <c r="IY62" s="157">
        <f>0.044%*0.2/30</f>
        <v>2.9333333333333333E-6</v>
      </c>
      <c r="IZ62" s="156">
        <f>IY62</f>
        <v>2.9333333333333333E-6</v>
      </c>
      <c r="JA62" s="156">
        <f t="shared" ref="JA62:KB62" si="366">IZ62</f>
        <v>2.9333333333333333E-6</v>
      </c>
      <c r="JB62" s="156">
        <f t="shared" si="366"/>
        <v>2.9333333333333333E-6</v>
      </c>
      <c r="JC62" s="156">
        <f t="shared" si="366"/>
        <v>2.9333333333333333E-6</v>
      </c>
      <c r="JD62" s="156">
        <f t="shared" si="366"/>
        <v>2.9333333333333333E-6</v>
      </c>
      <c r="JE62" s="156">
        <f t="shared" si="366"/>
        <v>2.9333333333333333E-6</v>
      </c>
      <c r="JF62" s="156">
        <f t="shared" si="366"/>
        <v>2.9333333333333333E-6</v>
      </c>
      <c r="JG62" s="156">
        <f t="shared" si="366"/>
        <v>2.9333333333333333E-6</v>
      </c>
      <c r="JH62" s="156">
        <f t="shared" si="366"/>
        <v>2.9333333333333333E-6</v>
      </c>
      <c r="JI62" s="156">
        <f t="shared" si="366"/>
        <v>2.9333333333333333E-6</v>
      </c>
      <c r="JJ62" s="156">
        <f t="shared" si="366"/>
        <v>2.9333333333333333E-6</v>
      </c>
      <c r="JK62" s="156">
        <f t="shared" si="366"/>
        <v>2.9333333333333333E-6</v>
      </c>
      <c r="JL62" s="156">
        <f t="shared" si="366"/>
        <v>2.9333333333333333E-6</v>
      </c>
      <c r="JM62" s="156">
        <f t="shared" si="366"/>
        <v>2.9333333333333333E-6</v>
      </c>
      <c r="JN62" s="156">
        <f t="shared" si="366"/>
        <v>2.9333333333333333E-6</v>
      </c>
      <c r="JO62" s="156">
        <f t="shared" si="366"/>
        <v>2.9333333333333333E-6</v>
      </c>
      <c r="JP62" s="156">
        <f t="shared" si="366"/>
        <v>2.9333333333333333E-6</v>
      </c>
      <c r="JQ62" s="156">
        <f t="shared" si="366"/>
        <v>2.9333333333333333E-6</v>
      </c>
      <c r="JR62" s="156">
        <f t="shared" si="366"/>
        <v>2.9333333333333333E-6</v>
      </c>
      <c r="JS62" s="156">
        <f t="shared" si="366"/>
        <v>2.9333333333333333E-6</v>
      </c>
      <c r="JT62" s="156">
        <f t="shared" si="366"/>
        <v>2.9333333333333333E-6</v>
      </c>
      <c r="JU62" s="156">
        <f t="shared" si="366"/>
        <v>2.9333333333333333E-6</v>
      </c>
      <c r="JV62" s="156">
        <f t="shared" si="366"/>
        <v>2.9333333333333333E-6</v>
      </c>
      <c r="JW62" s="156">
        <f t="shared" si="366"/>
        <v>2.9333333333333333E-6</v>
      </c>
      <c r="JX62" s="156">
        <f t="shared" si="366"/>
        <v>2.9333333333333333E-6</v>
      </c>
      <c r="JY62" s="156">
        <f t="shared" si="366"/>
        <v>2.9333333333333333E-6</v>
      </c>
      <c r="JZ62" s="156">
        <f t="shared" si="366"/>
        <v>2.9333333333333333E-6</v>
      </c>
      <c r="KA62" s="156">
        <f t="shared" si="366"/>
        <v>2.9333333333333333E-6</v>
      </c>
      <c r="KB62" s="156">
        <f t="shared" si="366"/>
        <v>2.9333333333333333E-6</v>
      </c>
      <c r="KC62" s="214">
        <f>0.036%+0.0474%</f>
        <v>8.3399999999999989E-4</v>
      </c>
      <c r="KD62" s="214"/>
      <c r="KE62" s="214"/>
      <c r="KF62" s="214">
        <f>0.036%+0.0474%</f>
        <v>8.3399999999999989E-4</v>
      </c>
      <c r="KG62" s="214"/>
      <c r="KH62" s="214"/>
      <c r="KI62" s="67"/>
      <c r="KJ62" s="67"/>
      <c r="KK62" s="67"/>
      <c r="KL62" s="66"/>
      <c r="KM62" s="67"/>
      <c r="KN62" s="68"/>
      <c r="KO62" s="214">
        <f>0.04%+0.0474%</f>
        <v>8.7399999999999999E-4</v>
      </c>
      <c r="KP62" s="214"/>
      <c r="KQ62" s="214"/>
      <c r="KR62" s="214">
        <f>0.04%+0.0474%</f>
        <v>8.7399999999999999E-4</v>
      </c>
      <c r="KS62" s="214"/>
      <c r="KT62" s="214"/>
      <c r="KU62" s="67"/>
      <c r="KV62" s="67"/>
      <c r="KW62" s="67"/>
      <c r="KX62" s="66"/>
      <c r="KY62" s="67"/>
      <c r="KZ62" s="67"/>
      <c r="LA62" s="70"/>
      <c r="LB62" s="67"/>
      <c r="LC62" s="71"/>
      <c r="LD62" s="67"/>
      <c r="LE62" s="67"/>
      <c r="LF62" s="68"/>
      <c r="LG62" s="67"/>
      <c r="LH62" s="67"/>
      <c r="LI62" s="67"/>
      <c r="LJ62" s="66"/>
      <c r="LK62" s="67"/>
      <c r="LL62" s="68"/>
      <c r="LM62" s="66"/>
      <c r="LN62" s="67"/>
      <c r="LO62" s="68"/>
      <c r="LP62" s="66"/>
      <c r="LQ62" s="67"/>
      <c r="LR62" s="68"/>
      <c r="LS62" s="66"/>
      <c r="LT62" s="67"/>
      <c r="LU62" s="68"/>
      <c r="LV62" s="67"/>
      <c r="LW62" s="67"/>
      <c r="LX62" s="67"/>
      <c r="LY62" s="66"/>
      <c r="LZ62" s="67"/>
      <c r="MA62" s="68"/>
      <c r="MB62" s="67"/>
      <c r="MC62" s="67"/>
      <c r="MD62" s="67"/>
      <c r="ME62" s="66"/>
      <c r="MF62" s="67"/>
      <c r="MG62" s="68"/>
      <c r="MH62" s="66"/>
      <c r="MI62" s="67"/>
      <c r="MJ62" s="68"/>
      <c r="MK62" s="67"/>
      <c r="ML62" s="67"/>
      <c r="MM62" s="67"/>
      <c r="MN62" s="66"/>
      <c r="MO62" s="67"/>
      <c r="MP62" s="68"/>
      <c r="MQ62" s="66"/>
      <c r="MR62" s="67"/>
      <c r="MS62" s="68"/>
      <c r="MT62" s="66"/>
      <c r="MU62" s="67"/>
      <c r="MV62" s="68"/>
      <c r="MW62" s="66"/>
      <c r="MX62" s="67"/>
      <c r="MY62" s="68"/>
      <c r="MZ62" s="66"/>
      <c r="NA62" s="67"/>
      <c r="NB62" s="68"/>
      <c r="NC62" s="67"/>
      <c r="ND62" s="67"/>
      <c r="NE62" s="72"/>
      <c r="NG62" s="275">
        <f>SUM(R62:NE62)</f>
        <v>3.9800000000000018E-3</v>
      </c>
      <c r="NH62" s="1"/>
      <c r="NI62" s="1"/>
      <c r="NJ62" s="1"/>
      <c r="NK62" s="1"/>
    </row>
    <row r="63" spans="5:375" s="6" customFormat="1" ht="6.95" customHeight="1" thickBot="1">
      <c r="F63" s="196"/>
      <c r="G63" s="197"/>
      <c r="H63" s="52">
        <v>2</v>
      </c>
      <c r="L63" s="311"/>
      <c r="M63" s="372"/>
      <c r="N63" s="373"/>
      <c r="O63" s="369"/>
      <c r="P63" s="316"/>
      <c r="Q63" s="237"/>
      <c r="R63" s="82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4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5"/>
      <c r="CA63" s="84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4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61"/>
      <c r="EJ63" s="62"/>
      <c r="EK63" s="62"/>
      <c r="EL63" s="62"/>
      <c r="EM63" s="62"/>
      <c r="EN63" s="62"/>
      <c r="EO63" s="62"/>
      <c r="EP63" s="62"/>
      <c r="EQ63" s="62"/>
      <c r="ER63" s="62"/>
      <c r="ES63" s="62"/>
      <c r="ET63" s="62"/>
      <c r="EU63" s="62"/>
      <c r="EV63" s="62"/>
      <c r="EW63" s="62"/>
      <c r="EX63" s="62"/>
      <c r="EY63" s="62"/>
      <c r="EZ63" s="62"/>
      <c r="FA63" s="62"/>
      <c r="FB63" s="62"/>
      <c r="FC63" s="62"/>
      <c r="FD63" s="62"/>
      <c r="FE63" s="62"/>
      <c r="FF63" s="62"/>
      <c r="FG63" s="62"/>
      <c r="FH63" s="62"/>
      <c r="FI63" s="62"/>
      <c r="FJ63" s="62"/>
      <c r="FK63" s="62"/>
      <c r="FL63" s="62"/>
      <c r="FM63" s="61"/>
      <c r="FN63" s="62"/>
      <c r="FO63" s="62"/>
      <c r="FP63" s="62"/>
      <c r="FQ63" s="62"/>
      <c r="FR63" s="62"/>
      <c r="FS63" s="62"/>
      <c r="FT63" s="62"/>
      <c r="FU63" s="62"/>
      <c r="FV63" s="62"/>
      <c r="FW63" s="62"/>
      <c r="FX63" s="62"/>
      <c r="FY63" s="62"/>
      <c r="FZ63" s="62"/>
      <c r="GA63" s="62"/>
      <c r="GB63" s="62"/>
      <c r="GC63" s="62"/>
      <c r="GD63" s="62"/>
      <c r="GE63" s="62"/>
      <c r="GF63" s="62"/>
      <c r="GG63" s="62"/>
      <c r="GH63" s="62"/>
      <c r="GI63" s="62"/>
      <c r="GJ63" s="62"/>
      <c r="GK63" s="62"/>
      <c r="GL63" s="62"/>
      <c r="GM63" s="62"/>
      <c r="GN63" s="62"/>
      <c r="GO63" s="62"/>
      <c r="GP63" s="62"/>
      <c r="GQ63" s="61"/>
      <c r="GR63" s="62"/>
      <c r="GS63" s="62"/>
      <c r="GT63" s="62"/>
      <c r="GU63" s="62"/>
      <c r="GV63" s="62"/>
      <c r="GW63" s="62"/>
      <c r="GX63" s="62"/>
      <c r="GY63" s="62"/>
      <c r="GZ63" s="62"/>
      <c r="HA63" s="62"/>
      <c r="HB63" s="62"/>
      <c r="HC63" s="62"/>
      <c r="HD63" s="62"/>
      <c r="HE63" s="62"/>
      <c r="HF63" s="62"/>
      <c r="HG63" s="62"/>
      <c r="HH63" s="62"/>
      <c r="HI63" s="62"/>
      <c r="HJ63" s="62"/>
      <c r="HK63" s="62"/>
      <c r="HL63" s="62"/>
      <c r="HM63" s="62"/>
      <c r="HN63" s="62"/>
      <c r="HO63" s="62"/>
      <c r="HP63" s="62"/>
      <c r="HQ63" s="62"/>
      <c r="HR63" s="62"/>
      <c r="HS63" s="62"/>
      <c r="HT63" s="62"/>
      <c r="HU63" s="61"/>
      <c r="HV63" s="62"/>
      <c r="HW63" s="62"/>
      <c r="HX63" s="62"/>
      <c r="HY63" s="62"/>
      <c r="HZ63" s="62"/>
      <c r="IA63" s="62"/>
      <c r="IB63" s="62"/>
      <c r="IC63" s="62"/>
      <c r="ID63" s="62"/>
      <c r="IE63" s="62"/>
      <c r="IF63" s="62"/>
      <c r="IG63" s="62"/>
      <c r="IH63" s="62"/>
      <c r="II63" s="62"/>
      <c r="IJ63" s="62"/>
      <c r="IK63" s="62"/>
      <c r="IL63" s="62"/>
      <c r="IM63" s="62"/>
      <c r="IN63" s="62"/>
      <c r="IO63" s="62"/>
      <c r="IP63" s="62"/>
      <c r="IQ63" s="62"/>
      <c r="IR63" s="62"/>
      <c r="IS63" s="62"/>
      <c r="IT63" s="62"/>
      <c r="IU63" s="62"/>
      <c r="IV63" s="62"/>
      <c r="IW63" s="62"/>
      <c r="IX63" s="62"/>
      <c r="IY63" s="61"/>
      <c r="IZ63" s="62"/>
      <c r="JA63" s="62"/>
      <c r="JB63" s="62"/>
      <c r="JC63" s="62"/>
      <c r="JD63" s="62"/>
      <c r="JE63" s="62"/>
      <c r="JF63" s="62"/>
      <c r="JG63" s="62"/>
      <c r="JH63" s="62"/>
      <c r="JI63" s="62"/>
      <c r="JJ63" s="62"/>
      <c r="JK63" s="62"/>
      <c r="JL63" s="62"/>
      <c r="JM63" s="62"/>
      <c r="JN63" s="62"/>
      <c r="JO63" s="62"/>
      <c r="JP63" s="62"/>
      <c r="JQ63" s="62"/>
      <c r="JR63" s="62"/>
      <c r="JS63" s="62"/>
      <c r="JT63" s="62"/>
      <c r="JU63" s="62"/>
      <c r="JV63" s="62"/>
      <c r="JW63" s="62"/>
      <c r="JX63" s="62"/>
      <c r="JY63" s="62"/>
      <c r="JZ63" s="62"/>
      <c r="KA63" s="62"/>
      <c r="KB63" s="62"/>
      <c r="KC63" s="61"/>
      <c r="KD63" s="62"/>
      <c r="KE63" s="63"/>
      <c r="KF63" s="61"/>
      <c r="KG63" s="62"/>
      <c r="KH63" s="63"/>
      <c r="KI63" s="83"/>
      <c r="KJ63" s="83"/>
      <c r="KK63" s="83"/>
      <c r="KL63" s="84"/>
      <c r="KM63" s="83"/>
      <c r="KN63" s="85"/>
      <c r="KO63" s="61"/>
      <c r="KP63" s="62"/>
      <c r="KQ63" s="63"/>
      <c r="KR63" s="61"/>
      <c r="KS63" s="62"/>
      <c r="KT63" s="63"/>
      <c r="KU63" s="83"/>
      <c r="KV63" s="83"/>
      <c r="KW63" s="83"/>
      <c r="KX63" s="84"/>
      <c r="KY63" s="83"/>
      <c r="KZ63" s="83"/>
      <c r="LA63" s="86"/>
      <c r="LB63" s="83"/>
      <c r="LC63" s="87"/>
      <c r="LD63" s="83"/>
      <c r="LE63" s="83"/>
      <c r="LF63" s="85"/>
      <c r="LG63" s="83"/>
      <c r="LH63" s="83"/>
      <c r="LI63" s="85"/>
      <c r="LJ63" s="84"/>
      <c r="LK63" s="83"/>
      <c r="LL63" s="85"/>
      <c r="LM63" s="84"/>
      <c r="LN63" s="83"/>
      <c r="LO63" s="85"/>
      <c r="LP63" s="84"/>
      <c r="LQ63" s="83"/>
      <c r="LR63" s="85"/>
      <c r="LS63" s="84"/>
      <c r="LT63" s="83"/>
      <c r="LU63" s="85"/>
      <c r="LV63" s="83"/>
      <c r="LW63" s="83"/>
      <c r="LX63" s="83"/>
      <c r="LY63" s="84"/>
      <c r="LZ63" s="83"/>
      <c r="MA63" s="85"/>
      <c r="MB63" s="83"/>
      <c r="MC63" s="83"/>
      <c r="MD63" s="83"/>
      <c r="ME63" s="84"/>
      <c r="MF63" s="83"/>
      <c r="MG63" s="85"/>
      <c r="MH63" s="84"/>
      <c r="MI63" s="83"/>
      <c r="MJ63" s="85"/>
      <c r="MK63" s="83"/>
      <c r="ML63" s="83"/>
      <c r="MM63" s="83"/>
      <c r="MN63" s="84"/>
      <c r="MO63" s="83"/>
      <c r="MP63" s="85"/>
      <c r="MQ63" s="84"/>
      <c r="MR63" s="83"/>
      <c r="MS63" s="85"/>
      <c r="MT63" s="84"/>
      <c r="MU63" s="83"/>
      <c r="MV63" s="85"/>
      <c r="MW63" s="84"/>
      <c r="MX63" s="83"/>
      <c r="MY63" s="85"/>
      <c r="MZ63" s="84"/>
      <c r="NA63" s="83"/>
      <c r="NB63" s="85"/>
      <c r="NC63" s="83"/>
      <c r="ND63" s="83"/>
      <c r="NE63" s="88"/>
      <c r="NG63" s="275"/>
      <c r="NH63" s="1"/>
      <c r="NI63" s="1"/>
      <c r="NJ63" s="1"/>
      <c r="NK63" s="1"/>
    </row>
    <row r="64" spans="5:375" s="6" customFormat="1" ht="9.9499999999999993" customHeight="1">
      <c r="F64" s="194">
        <f t="shared" ref="F64" si="367">NG64</f>
        <v>9.6659999999999996E-2</v>
      </c>
      <c r="G64" s="195">
        <f>Q64-F64</f>
        <v>6.31000000000001E-3</v>
      </c>
      <c r="H64" s="27">
        <v>1</v>
      </c>
      <c r="L64" s="286" t="s">
        <v>7</v>
      </c>
      <c r="M64" s="287"/>
      <c r="N64" s="287"/>
      <c r="O64" s="288"/>
      <c r="P64" s="240">
        <f>SUM(P66:P93)</f>
        <v>21439954</v>
      </c>
      <c r="Q64" s="238">
        <f>ROUND(SUM(Q66:Q93),5)</f>
        <v>0.10297000000000001</v>
      </c>
      <c r="R64" s="238">
        <f>ROUND(SUM(R66:R93),5)</f>
        <v>0</v>
      </c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8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8"/>
      <c r="CA64" s="137"/>
      <c r="CB64" s="137"/>
      <c r="CC64" s="137"/>
      <c r="CD64" s="137"/>
      <c r="CE64" s="137"/>
      <c r="CF64" s="137"/>
      <c r="CG64" s="137"/>
      <c r="CH64" s="137"/>
      <c r="CI64" s="137"/>
      <c r="CJ64" s="137"/>
      <c r="CK64" s="137"/>
      <c r="CL64" s="137"/>
      <c r="CM64" s="137"/>
      <c r="CN64" s="137"/>
      <c r="CO64" s="137"/>
      <c r="CP64" s="137"/>
      <c r="CQ64" s="137"/>
      <c r="CR64" s="137"/>
      <c r="CS64" s="137"/>
      <c r="CT64" s="137"/>
      <c r="CU64" s="137"/>
      <c r="CV64" s="137"/>
      <c r="CW64" s="137"/>
      <c r="CX64" s="137"/>
      <c r="CY64" s="137"/>
      <c r="CZ64" s="137"/>
      <c r="DA64" s="137"/>
      <c r="DB64" s="137"/>
      <c r="DC64" s="137"/>
      <c r="DD64" s="137"/>
      <c r="DE64" s="137"/>
      <c r="DF64" s="137"/>
      <c r="DG64" s="137"/>
      <c r="DH64" s="137"/>
      <c r="DI64" s="137"/>
      <c r="DJ64" s="137"/>
      <c r="DK64" s="137"/>
      <c r="DL64" s="137"/>
      <c r="DM64" s="137"/>
      <c r="DN64" s="137"/>
      <c r="DO64" s="137"/>
      <c r="DP64" s="137"/>
      <c r="DQ64" s="137"/>
      <c r="DR64" s="137"/>
      <c r="DS64" s="137"/>
      <c r="DT64" s="137"/>
      <c r="DU64" s="137"/>
      <c r="DV64" s="137"/>
      <c r="DW64" s="137"/>
      <c r="DX64" s="137"/>
      <c r="DY64" s="137"/>
      <c r="DZ64" s="137"/>
      <c r="EA64" s="137"/>
      <c r="EB64" s="137"/>
      <c r="EC64" s="137"/>
      <c r="ED64" s="137"/>
      <c r="EE64" s="137"/>
      <c r="EF64" s="137"/>
      <c r="EG64" s="137"/>
      <c r="EH64" s="137"/>
      <c r="EI64" s="137"/>
      <c r="EJ64" s="137"/>
      <c r="EK64" s="137"/>
      <c r="EL64" s="137"/>
      <c r="EM64" s="137"/>
      <c r="EN64" s="137"/>
      <c r="EO64" s="137"/>
      <c r="EP64" s="137"/>
      <c r="EQ64" s="137"/>
      <c r="ER64" s="137"/>
      <c r="ES64" s="137"/>
      <c r="ET64" s="137"/>
      <c r="EU64" s="137"/>
      <c r="EV64" s="137"/>
      <c r="EW64" s="137"/>
      <c r="EX64" s="137"/>
      <c r="EY64" s="137"/>
      <c r="EZ64" s="137"/>
      <c r="FA64" s="137"/>
      <c r="FB64" s="137"/>
      <c r="FC64" s="137"/>
      <c r="FD64" s="137"/>
      <c r="FE64" s="137"/>
      <c r="FF64" s="137"/>
      <c r="FG64" s="137"/>
      <c r="FH64" s="137"/>
      <c r="FI64" s="137"/>
      <c r="FJ64" s="137"/>
      <c r="FK64" s="137"/>
      <c r="FL64" s="137"/>
      <c r="FM64" s="137"/>
      <c r="FN64" s="137"/>
      <c r="FO64" s="137"/>
      <c r="FP64" s="137"/>
      <c r="FQ64" s="137"/>
      <c r="FR64" s="137"/>
      <c r="FS64" s="137"/>
      <c r="FT64" s="137"/>
      <c r="FU64" s="137"/>
      <c r="FV64" s="137"/>
      <c r="FW64" s="137"/>
      <c r="FX64" s="137"/>
      <c r="FY64" s="137"/>
      <c r="FZ64" s="137"/>
      <c r="GA64" s="137"/>
      <c r="GB64" s="137"/>
      <c r="GC64" s="137"/>
      <c r="GD64" s="137"/>
      <c r="GE64" s="137"/>
      <c r="GF64" s="137"/>
      <c r="GG64" s="137"/>
      <c r="GH64" s="137"/>
      <c r="GI64" s="137"/>
      <c r="GJ64" s="137"/>
      <c r="GK64" s="137"/>
      <c r="GL64" s="137"/>
      <c r="GM64" s="137"/>
      <c r="GN64" s="137"/>
      <c r="GO64" s="137"/>
      <c r="GP64" s="137"/>
      <c r="GQ64" s="137"/>
      <c r="GR64" s="137"/>
      <c r="GS64" s="137"/>
      <c r="GT64" s="137"/>
      <c r="GU64" s="137"/>
      <c r="GV64" s="137"/>
      <c r="GW64" s="137"/>
      <c r="GX64" s="137"/>
      <c r="GY64" s="137"/>
      <c r="GZ64" s="137"/>
      <c r="HA64" s="137"/>
      <c r="HB64" s="137"/>
      <c r="HC64" s="137"/>
      <c r="HD64" s="137"/>
      <c r="HE64" s="137"/>
      <c r="HF64" s="137"/>
      <c r="HG64" s="137"/>
      <c r="HH64" s="137"/>
      <c r="HI64" s="137"/>
      <c r="HJ64" s="137"/>
      <c r="HK64" s="137"/>
      <c r="HL64" s="137"/>
      <c r="HM64" s="137"/>
      <c r="HN64" s="137"/>
      <c r="HO64" s="137"/>
      <c r="HP64" s="137"/>
      <c r="HQ64" s="137"/>
      <c r="HR64" s="137"/>
      <c r="HS64" s="137"/>
      <c r="HT64" s="137"/>
      <c r="HU64" s="137"/>
      <c r="HV64" s="137"/>
      <c r="HW64" s="137"/>
      <c r="HX64" s="137"/>
      <c r="HY64" s="137"/>
      <c r="HZ64" s="137"/>
      <c r="IA64" s="137"/>
      <c r="IB64" s="137"/>
      <c r="IC64" s="137"/>
      <c r="ID64" s="137"/>
      <c r="IE64" s="137"/>
      <c r="IF64" s="137"/>
      <c r="IG64" s="137"/>
      <c r="IH64" s="137"/>
      <c r="II64" s="137"/>
      <c r="IJ64" s="137"/>
      <c r="IK64" s="137"/>
      <c r="IL64" s="137"/>
      <c r="IM64" s="137"/>
      <c r="IN64" s="137"/>
      <c r="IO64" s="137"/>
      <c r="IP64" s="137"/>
      <c r="IQ64" s="137"/>
      <c r="IR64" s="137"/>
      <c r="IS64" s="137"/>
      <c r="IT64" s="137"/>
      <c r="IU64" s="137"/>
      <c r="IV64" s="137"/>
      <c r="IW64" s="137"/>
      <c r="IX64" s="137"/>
      <c r="IY64" s="137"/>
      <c r="IZ64" s="137"/>
      <c r="JA64" s="137"/>
      <c r="JB64" s="137"/>
      <c r="JC64" s="137"/>
      <c r="JD64" s="137"/>
      <c r="JE64" s="137"/>
      <c r="JF64" s="137"/>
      <c r="JG64" s="137"/>
      <c r="JH64" s="137"/>
      <c r="JI64" s="137"/>
      <c r="JJ64" s="137"/>
      <c r="JK64" s="137"/>
      <c r="JL64" s="137"/>
      <c r="JM64" s="137"/>
      <c r="JN64" s="137"/>
      <c r="JO64" s="137"/>
      <c r="JP64" s="137"/>
      <c r="JQ64" s="137"/>
      <c r="JR64" s="137"/>
      <c r="JS64" s="137"/>
      <c r="JT64" s="137"/>
      <c r="JU64" s="137"/>
      <c r="JV64" s="137"/>
      <c r="JW64" s="137"/>
      <c r="JX64" s="137"/>
      <c r="JY64" s="137"/>
      <c r="JZ64" s="137"/>
      <c r="KA64" s="137"/>
      <c r="KB64" s="137"/>
      <c r="KC64" s="206">
        <f>ROUND(SUM(KC66:KE93),5)</f>
        <v>3.4299999999999999E-3</v>
      </c>
      <c r="KD64" s="206"/>
      <c r="KE64" s="207"/>
      <c r="KF64" s="206">
        <f>ROUND(SUM(KF66:KH93),5)</f>
        <v>3.3999999999999998E-3</v>
      </c>
      <c r="KG64" s="206"/>
      <c r="KH64" s="207"/>
      <c r="KI64" s="206">
        <f>ROUND(SUM(KI66:KK93),5)</f>
        <v>3.3899999999999998E-3</v>
      </c>
      <c r="KJ64" s="206"/>
      <c r="KK64" s="207"/>
      <c r="KL64" s="206">
        <f>ROUND(SUM(KL66:KN93),5)</f>
        <v>4.8700000000000002E-3</v>
      </c>
      <c r="KM64" s="206"/>
      <c r="KN64" s="207"/>
      <c r="KO64" s="206">
        <f>ROUND(SUM(KO66:KQ93),5)</f>
        <v>4.8799999999999998E-3</v>
      </c>
      <c r="KP64" s="206"/>
      <c r="KQ64" s="207"/>
      <c r="KR64" s="206">
        <f>ROUND(SUM(KR66:KT93),5)</f>
        <v>5.0800000000000003E-3</v>
      </c>
      <c r="KS64" s="206"/>
      <c r="KT64" s="207"/>
      <c r="KU64" s="206">
        <f>ROUND(SUM(KU66:KW93),5)</f>
        <v>6.2500000000000003E-3</v>
      </c>
      <c r="KV64" s="206"/>
      <c r="KW64" s="207"/>
      <c r="KX64" s="206">
        <f>ROUND(SUM(KX66:KZ93),5)</f>
        <v>6.6499999999999997E-3</v>
      </c>
      <c r="KY64" s="206"/>
      <c r="KZ64" s="206"/>
      <c r="LA64" s="229">
        <f>ROUND(SUM(LA66:LC93),5)</f>
        <v>6.9300000000000004E-3</v>
      </c>
      <c r="LB64" s="206"/>
      <c r="LC64" s="230"/>
      <c r="LD64" s="206">
        <f>ROUND(SUM(LD66:LF93),5)</f>
        <v>7.0400000000000003E-3</v>
      </c>
      <c r="LE64" s="206"/>
      <c r="LF64" s="207"/>
      <c r="LG64" s="206">
        <f>ROUND(SUM(LG66:LI93),5)</f>
        <v>6.7999999999999996E-3</v>
      </c>
      <c r="LH64" s="206"/>
      <c r="LI64" s="207"/>
      <c r="LJ64" s="206">
        <f>ROUND(SUM(LJ66:LL93),5)</f>
        <v>6.7499999999999999E-3</v>
      </c>
      <c r="LK64" s="206"/>
      <c r="LL64" s="207"/>
      <c r="LM64" s="206">
        <f>ROUND(SUM(LM66:LO93),5)</f>
        <v>5.3600000000000002E-3</v>
      </c>
      <c r="LN64" s="206"/>
      <c r="LO64" s="207"/>
      <c r="LP64" s="206">
        <f>ROUND(SUM(LP66:LR93),5)</f>
        <v>4.9100000000000003E-3</v>
      </c>
      <c r="LQ64" s="206"/>
      <c r="LR64" s="207"/>
      <c r="LS64" s="206">
        <f>ROUND(SUM(LS66:LU93),5)</f>
        <v>4.1999999999999997E-3</v>
      </c>
      <c r="LT64" s="206"/>
      <c r="LU64" s="207"/>
      <c r="LV64" s="206">
        <f>ROUND(SUM(LV66:LX93),5)</f>
        <v>3.3800000000000002E-3</v>
      </c>
      <c r="LW64" s="206"/>
      <c r="LX64" s="207"/>
      <c r="LY64" s="206">
        <f>ROUND(SUM(LY66:MA93),5)</f>
        <v>3.79E-3</v>
      </c>
      <c r="LZ64" s="206"/>
      <c r="MA64" s="207"/>
      <c r="MB64" s="206">
        <f>ROUND(SUM(MB66:MD93),5)</f>
        <v>3.2799999999999999E-3</v>
      </c>
      <c r="MC64" s="206"/>
      <c r="MD64" s="207"/>
      <c r="ME64" s="206">
        <f>ROUND(SUM(ME66:MG93),5)</f>
        <v>3.31E-3</v>
      </c>
      <c r="MF64" s="206"/>
      <c r="MG64" s="207"/>
      <c r="MH64" s="206">
        <f>ROUND(SUM(MH66:MJ93),5)</f>
        <v>2.5000000000000001E-3</v>
      </c>
      <c r="MI64" s="206"/>
      <c r="MJ64" s="207"/>
      <c r="MK64" s="206">
        <f>ROUND(SUM(MK66:MM93),5)</f>
        <v>4.6000000000000001E-4</v>
      </c>
      <c r="ML64" s="206"/>
      <c r="MM64" s="207"/>
      <c r="MN64" s="206">
        <f>ROUND(SUM(MN66:MP93),5)</f>
        <v>0</v>
      </c>
      <c r="MO64" s="206"/>
      <c r="MP64" s="207"/>
      <c r="MQ64" s="206">
        <f>ROUND(SUM(MQ66:MS93),5)</f>
        <v>0</v>
      </c>
      <c r="MR64" s="206"/>
      <c r="MS64" s="207"/>
      <c r="MT64" s="206">
        <f>ROUND(SUM(MT66:MV93),5)</f>
        <v>0</v>
      </c>
      <c r="MU64" s="206"/>
      <c r="MV64" s="207"/>
      <c r="MW64" s="206">
        <f>ROUND(SUM(MW66:MY93),5)</f>
        <v>0</v>
      </c>
      <c r="MX64" s="206"/>
      <c r="MY64" s="207"/>
      <c r="MZ64" s="206">
        <f>ROUND(SUM(MZ66:NB93),5)</f>
        <v>0</v>
      </c>
      <c r="NA64" s="206"/>
      <c r="NB64" s="207"/>
      <c r="NC64" s="206">
        <f>ROUND(SUM(NC66:NE93),5)</f>
        <v>0</v>
      </c>
      <c r="ND64" s="206"/>
      <c r="NE64" s="223"/>
      <c r="NG64" s="198">
        <f>SUM(R64:NE64)</f>
        <v>9.6659999999999996E-2</v>
      </c>
      <c r="NH64" s="198">
        <f>SUM(NG66:NG93)</f>
        <v>0.10296976999999999</v>
      </c>
      <c r="NI64" s="1"/>
      <c r="NJ64" s="1"/>
      <c r="NK64" s="1"/>
    </row>
    <row r="65" spans="6:375" s="6" customFormat="1" ht="9.9499999999999993" customHeight="1">
      <c r="F65" s="194"/>
      <c r="G65" s="195"/>
      <c r="H65" s="52">
        <v>2</v>
      </c>
      <c r="L65" s="289"/>
      <c r="M65" s="290"/>
      <c r="N65" s="290"/>
      <c r="O65" s="291"/>
      <c r="P65" s="241"/>
      <c r="Q65" s="239"/>
      <c r="R65" s="2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40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139"/>
      <c r="BJ65" s="139"/>
      <c r="BK65" s="139"/>
      <c r="BL65" s="139"/>
      <c r="BM65" s="139"/>
      <c r="BN65" s="139"/>
      <c r="BO65" s="139"/>
      <c r="BP65" s="139"/>
      <c r="BQ65" s="139"/>
      <c r="BR65" s="139"/>
      <c r="BS65" s="139"/>
      <c r="BT65" s="139"/>
      <c r="BU65" s="139"/>
      <c r="BV65" s="139"/>
      <c r="BW65" s="139"/>
      <c r="BX65" s="139"/>
      <c r="BY65" s="139"/>
      <c r="BZ65" s="140"/>
      <c r="CA65" s="139"/>
      <c r="CB65" s="139"/>
      <c r="CC65" s="139"/>
      <c r="CD65" s="139"/>
      <c r="CE65" s="139"/>
      <c r="CF65" s="139"/>
      <c r="CG65" s="139"/>
      <c r="CH65" s="139"/>
      <c r="CI65" s="139"/>
      <c r="CJ65" s="139"/>
      <c r="CK65" s="139"/>
      <c r="CL65" s="139"/>
      <c r="CM65" s="139"/>
      <c r="CN65" s="139"/>
      <c r="CO65" s="139"/>
      <c r="CP65" s="139"/>
      <c r="CQ65" s="139"/>
      <c r="CR65" s="139"/>
      <c r="CS65" s="139"/>
      <c r="CT65" s="139"/>
      <c r="CU65" s="139"/>
      <c r="CV65" s="139"/>
      <c r="CW65" s="139"/>
      <c r="CX65" s="139"/>
      <c r="CY65" s="139"/>
      <c r="CZ65" s="139"/>
      <c r="DA65" s="139"/>
      <c r="DB65" s="139"/>
      <c r="DC65" s="139"/>
      <c r="DD65" s="139"/>
      <c r="DE65" s="139"/>
      <c r="DF65" s="139"/>
      <c r="DG65" s="139"/>
      <c r="DH65" s="139"/>
      <c r="DI65" s="139"/>
      <c r="DJ65" s="139"/>
      <c r="DK65" s="139"/>
      <c r="DL65" s="139"/>
      <c r="DM65" s="139"/>
      <c r="DN65" s="139"/>
      <c r="DO65" s="139"/>
      <c r="DP65" s="139"/>
      <c r="DQ65" s="139"/>
      <c r="DR65" s="139"/>
      <c r="DS65" s="139"/>
      <c r="DT65" s="139"/>
      <c r="DU65" s="139"/>
      <c r="DV65" s="139"/>
      <c r="DW65" s="139"/>
      <c r="DX65" s="139"/>
      <c r="DY65" s="139"/>
      <c r="DZ65" s="139"/>
      <c r="EA65" s="139"/>
      <c r="EB65" s="139"/>
      <c r="EC65" s="139"/>
      <c r="ED65" s="139"/>
      <c r="EE65" s="139"/>
      <c r="EF65" s="139"/>
      <c r="EG65" s="139"/>
      <c r="EH65" s="139"/>
      <c r="EI65" s="139"/>
      <c r="EJ65" s="139"/>
      <c r="EK65" s="139"/>
      <c r="EL65" s="139"/>
      <c r="EM65" s="139"/>
      <c r="EN65" s="139"/>
      <c r="EO65" s="139"/>
      <c r="EP65" s="139"/>
      <c r="EQ65" s="139"/>
      <c r="ER65" s="139"/>
      <c r="ES65" s="139"/>
      <c r="ET65" s="139"/>
      <c r="EU65" s="139"/>
      <c r="EV65" s="139"/>
      <c r="EW65" s="139"/>
      <c r="EX65" s="139"/>
      <c r="EY65" s="139"/>
      <c r="EZ65" s="139"/>
      <c r="FA65" s="139"/>
      <c r="FB65" s="139"/>
      <c r="FC65" s="139"/>
      <c r="FD65" s="139"/>
      <c r="FE65" s="139"/>
      <c r="FF65" s="139"/>
      <c r="FG65" s="139"/>
      <c r="FH65" s="139"/>
      <c r="FI65" s="139"/>
      <c r="FJ65" s="139"/>
      <c r="FK65" s="139"/>
      <c r="FL65" s="139"/>
      <c r="FM65" s="139"/>
      <c r="FN65" s="139"/>
      <c r="FO65" s="139"/>
      <c r="FP65" s="139"/>
      <c r="FQ65" s="139"/>
      <c r="FR65" s="139"/>
      <c r="FS65" s="139"/>
      <c r="FT65" s="139"/>
      <c r="FU65" s="139"/>
      <c r="FV65" s="139"/>
      <c r="FW65" s="139"/>
      <c r="FX65" s="139"/>
      <c r="FY65" s="139"/>
      <c r="FZ65" s="139"/>
      <c r="GA65" s="139"/>
      <c r="GB65" s="139"/>
      <c r="GC65" s="139"/>
      <c r="GD65" s="139"/>
      <c r="GE65" s="139"/>
      <c r="GF65" s="139"/>
      <c r="GG65" s="139"/>
      <c r="GH65" s="139"/>
      <c r="GI65" s="139"/>
      <c r="GJ65" s="139"/>
      <c r="GK65" s="139"/>
      <c r="GL65" s="139"/>
      <c r="GM65" s="139"/>
      <c r="GN65" s="139"/>
      <c r="GO65" s="139"/>
      <c r="GP65" s="139"/>
      <c r="GQ65" s="139"/>
      <c r="GR65" s="139"/>
      <c r="GS65" s="139"/>
      <c r="GT65" s="139"/>
      <c r="GU65" s="139"/>
      <c r="GV65" s="139"/>
      <c r="GW65" s="139"/>
      <c r="GX65" s="139"/>
      <c r="GY65" s="139"/>
      <c r="GZ65" s="139"/>
      <c r="HA65" s="139"/>
      <c r="HB65" s="139"/>
      <c r="HC65" s="139"/>
      <c r="HD65" s="139"/>
      <c r="HE65" s="139"/>
      <c r="HF65" s="139"/>
      <c r="HG65" s="139"/>
      <c r="HH65" s="139"/>
      <c r="HI65" s="139"/>
      <c r="HJ65" s="139"/>
      <c r="HK65" s="139"/>
      <c r="HL65" s="139"/>
      <c r="HM65" s="139"/>
      <c r="HN65" s="139"/>
      <c r="HO65" s="139"/>
      <c r="HP65" s="139"/>
      <c r="HQ65" s="139"/>
      <c r="HR65" s="139"/>
      <c r="HS65" s="139"/>
      <c r="HT65" s="139"/>
      <c r="HU65" s="139"/>
      <c r="HV65" s="139"/>
      <c r="HW65" s="139"/>
      <c r="HX65" s="139"/>
      <c r="HY65" s="139"/>
      <c r="HZ65" s="139"/>
      <c r="IA65" s="139"/>
      <c r="IB65" s="139"/>
      <c r="IC65" s="139"/>
      <c r="ID65" s="139"/>
      <c r="IE65" s="139"/>
      <c r="IF65" s="139"/>
      <c r="IG65" s="139"/>
      <c r="IH65" s="139"/>
      <c r="II65" s="139"/>
      <c r="IJ65" s="139"/>
      <c r="IK65" s="139"/>
      <c r="IL65" s="139"/>
      <c r="IM65" s="139"/>
      <c r="IN65" s="139"/>
      <c r="IO65" s="139"/>
      <c r="IP65" s="139"/>
      <c r="IQ65" s="139"/>
      <c r="IR65" s="139"/>
      <c r="IS65" s="139"/>
      <c r="IT65" s="139"/>
      <c r="IU65" s="139"/>
      <c r="IV65" s="139"/>
      <c r="IW65" s="139"/>
      <c r="IX65" s="139"/>
      <c r="IY65" s="139"/>
      <c r="IZ65" s="139"/>
      <c r="JA65" s="139"/>
      <c r="JB65" s="139"/>
      <c r="JC65" s="139"/>
      <c r="JD65" s="139"/>
      <c r="JE65" s="139"/>
      <c r="JF65" s="139"/>
      <c r="JG65" s="139"/>
      <c r="JH65" s="139"/>
      <c r="JI65" s="139"/>
      <c r="JJ65" s="139"/>
      <c r="JK65" s="139"/>
      <c r="JL65" s="139"/>
      <c r="JM65" s="139"/>
      <c r="JN65" s="139"/>
      <c r="JO65" s="139"/>
      <c r="JP65" s="139"/>
      <c r="JQ65" s="139"/>
      <c r="JR65" s="139"/>
      <c r="JS65" s="139"/>
      <c r="JT65" s="139"/>
      <c r="JU65" s="139"/>
      <c r="JV65" s="139"/>
      <c r="JW65" s="139"/>
      <c r="JX65" s="139"/>
      <c r="JY65" s="139"/>
      <c r="JZ65" s="139"/>
      <c r="KA65" s="139"/>
      <c r="KB65" s="139"/>
      <c r="KC65" s="209"/>
      <c r="KD65" s="209"/>
      <c r="KE65" s="210"/>
      <c r="KF65" s="209"/>
      <c r="KG65" s="209"/>
      <c r="KH65" s="210"/>
      <c r="KI65" s="209"/>
      <c r="KJ65" s="209"/>
      <c r="KK65" s="210"/>
      <c r="KL65" s="209"/>
      <c r="KM65" s="209"/>
      <c r="KN65" s="210"/>
      <c r="KO65" s="209"/>
      <c r="KP65" s="209"/>
      <c r="KQ65" s="210"/>
      <c r="KR65" s="209"/>
      <c r="KS65" s="209"/>
      <c r="KT65" s="210"/>
      <c r="KU65" s="209"/>
      <c r="KV65" s="209"/>
      <c r="KW65" s="210"/>
      <c r="KX65" s="209"/>
      <c r="KY65" s="209"/>
      <c r="KZ65" s="209"/>
      <c r="LA65" s="231"/>
      <c r="LB65" s="209"/>
      <c r="LC65" s="232"/>
      <c r="LD65" s="209"/>
      <c r="LE65" s="209"/>
      <c r="LF65" s="210"/>
      <c r="LG65" s="209"/>
      <c r="LH65" s="209"/>
      <c r="LI65" s="210"/>
      <c r="LJ65" s="209"/>
      <c r="LK65" s="209"/>
      <c r="LL65" s="210"/>
      <c r="LM65" s="209"/>
      <c r="LN65" s="209"/>
      <c r="LO65" s="210"/>
      <c r="LP65" s="209"/>
      <c r="LQ65" s="209"/>
      <c r="LR65" s="210"/>
      <c r="LS65" s="209"/>
      <c r="LT65" s="209"/>
      <c r="LU65" s="210"/>
      <c r="LV65" s="209"/>
      <c r="LW65" s="209"/>
      <c r="LX65" s="210"/>
      <c r="LY65" s="209"/>
      <c r="LZ65" s="209"/>
      <c r="MA65" s="210"/>
      <c r="MB65" s="209"/>
      <c r="MC65" s="209"/>
      <c r="MD65" s="210"/>
      <c r="ME65" s="209"/>
      <c r="MF65" s="209"/>
      <c r="MG65" s="210"/>
      <c r="MH65" s="209"/>
      <c r="MI65" s="209"/>
      <c r="MJ65" s="210"/>
      <c r="MK65" s="209"/>
      <c r="ML65" s="209"/>
      <c r="MM65" s="210"/>
      <c r="MN65" s="209"/>
      <c r="MO65" s="209"/>
      <c r="MP65" s="210"/>
      <c r="MQ65" s="209"/>
      <c r="MR65" s="209"/>
      <c r="MS65" s="210"/>
      <c r="MT65" s="209"/>
      <c r="MU65" s="209"/>
      <c r="MV65" s="210"/>
      <c r="MW65" s="209"/>
      <c r="MX65" s="209"/>
      <c r="MY65" s="210"/>
      <c r="MZ65" s="209"/>
      <c r="NA65" s="209"/>
      <c r="NB65" s="210"/>
      <c r="NC65" s="209"/>
      <c r="ND65" s="209"/>
      <c r="NE65" s="224"/>
      <c r="NG65" s="198"/>
      <c r="NH65" s="198"/>
      <c r="NI65" s="1"/>
      <c r="NJ65" s="1"/>
      <c r="NK65" s="1"/>
    </row>
    <row r="66" spans="6:375" s="6" customFormat="1" ht="9.9499999999999993" customHeight="1">
      <c r="F66" s="196">
        <f t="shared" ref="F66" si="368">NG66</f>
        <v>5.3900000000000016E-3</v>
      </c>
      <c r="G66" s="197">
        <f>Q66-F66</f>
        <v>0</v>
      </c>
      <c r="H66" s="27">
        <v>1</v>
      </c>
      <c r="I66" s="19" t="s">
        <v>198</v>
      </c>
      <c r="J66" s="19" t="s">
        <v>184</v>
      </c>
      <c r="K66" s="6" t="s">
        <v>199</v>
      </c>
      <c r="L66" s="339"/>
      <c r="M66" s="299" t="s">
        <v>36</v>
      </c>
      <c r="N66" s="313">
        <v>152651</v>
      </c>
      <c r="O66" s="352" t="s">
        <v>34</v>
      </c>
      <c r="P66" s="307">
        <v>1122668</v>
      </c>
      <c r="Q66" s="236">
        <f>ROUND(P66/$P$256,5)</f>
        <v>5.3899999999999998E-3</v>
      </c>
      <c r="R66" s="76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3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5"/>
      <c r="CA66" s="53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3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156"/>
      <c r="EJ66" s="156"/>
      <c r="EK66" s="156"/>
      <c r="EL66" s="156"/>
      <c r="EM66" s="156"/>
      <c r="EN66" s="156"/>
      <c r="EO66" s="156"/>
      <c r="EP66" s="156"/>
      <c r="EQ66" s="156"/>
      <c r="ER66" s="156"/>
      <c r="ES66" s="156"/>
      <c r="ET66" s="156"/>
      <c r="EU66" s="156"/>
      <c r="EV66" s="156"/>
      <c r="EW66" s="156"/>
      <c r="EX66" s="156"/>
      <c r="EY66" s="156"/>
      <c r="EZ66" s="156"/>
      <c r="FA66" s="156"/>
      <c r="FB66" s="156"/>
      <c r="FC66" s="156"/>
      <c r="FD66" s="156"/>
      <c r="FE66" s="156"/>
      <c r="FF66" s="156"/>
      <c r="FG66" s="156"/>
      <c r="FH66" s="156"/>
      <c r="FI66" s="156"/>
      <c r="FJ66" s="156"/>
      <c r="FK66" s="156"/>
      <c r="FL66" s="156"/>
      <c r="FM66" s="156"/>
      <c r="FN66" s="156"/>
      <c r="FO66" s="156"/>
      <c r="FP66" s="156"/>
      <c r="FQ66" s="156"/>
      <c r="FR66" s="156"/>
      <c r="FS66" s="156"/>
      <c r="FT66" s="156"/>
      <c r="FU66" s="156"/>
      <c r="FV66" s="156"/>
      <c r="FW66" s="156"/>
      <c r="FX66" s="156"/>
      <c r="FY66" s="156"/>
      <c r="FZ66" s="156"/>
      <c r="GA66" s="156"/>
      <c r="GB66" s="156"/>
      <c r="GC66" s="156"/>
      <c r="GD66" s="156"/>
      <c r="GE66" s="156"/>
      <c r="GF66" s="156"/>
      <c r="GG66" s="156"/>
      <c r="GH66" s="156"/>
      <c r="GI66" s="156"/>
      <c r="GJ66" s="156"/>
      <c r="GK66" s="156"/>
      <c r="GL66" s="156"/>
      <c r="GM66" s="156"/>
      <c r="GN66" s="156"/>
      <c r="GO66" s="156"/>
      <c r="GP66" s="156"/>
      <c r="GQ66" s="156"/>
      <c r="GR66" s="156"/>
      <c r="GS66" s="156"/>
      <c r="GT66" s="156"/>
      <c r="GU66" s="156"/>
      <c r="GV66" s="156"/>
      <c r="GW66" s="156"/>
      <c r="GX66" s="156"/>
      <c r="GY66" s="156"/>
      <c r="GZ66" s="156"/>
      <c r="HA66" s="156"/>
      <c r="HB66" s="156"/>
      <c r="HC66" s="156"/>
      <c r="HD66" s="156"/>
      <c r="HE66" s="156"/>
      <c r="HF66" s="156"/>
      <c r="HG66" s="156"/>
      <c r="HH66" s="156"/>
      <c r="HI66" s="156"/>
      <c r="HJ66" s="156"/>
      <c r="HK66" s="156"/>
      <c r="HL66" s="156"/>
      <c r="HM66" s="156"/>
      <c r="HN66" s="156"/>
      <c r="HO66" s="156"/>
      <c r="HP66" s="156"/>
      <c r="HQ66" s="156"/>
      <c r="HR66" s="156"/>
      <c r="HS66" s="156"/>
      <c r="HT66" s="156"/>
      <c r="HU66" s="156"/>
      <c r="HV66" s="156"/>
      <c r="HW66" s="156"/>
      <c r="HX66" s="156"/>
      <c r="HY66" s="156"/>
      <c r="HZ66" s="156"/>
      <c r="IA66" s="156"/>
      <c r="IB66" s="156"/>
      <c r="IC66" s="156"/>
      <c r="ID66" s="156"/>
      <c r="IE66" s="156"/>
      <c r="IF66" s="156"/>
      <c r="IG66" s="156"/>
      <c r="IH66" s="156"/>
      <c r="II66" s="156"/>
      <c r="IJ66" s="156"/>
      <c r="IK66" s="156"/>
      <c r="IL66" s="156"/>
      <c r="IM66" s="156"/>
      <c r="IN66" s="156"/>
      <c r="IO66" s="156"/>
      <c r="IP66" s="156"/>
      <c r="IQ66" s="156"/>
      <c r="IR66" s="156"/>
      <c r="IS66" s="156"/>
      <c r="IT66" s="156"/>
      <c r="IU66" s="156"/>
      <c r="IV66" s="156"/>
      <c r="IW66" s="156"/>
      <c r="IX66" s="156"/>
      <c r="IY66" s="156"/>
      <c r="IZ66" s="156"/>
      <c r="JA66" s="156"/>
      <c r="JB66" s="156"/>
      <c r="JC66" s="156"/>
      <c r="JD66" s="156"/>
      <c r="JE66" s="156"/>
      <c r="JF66" s="156"/>
      <c r="JG66" s="156"/>
      <c r="JH66" s="156"/>
      <c r="JI66" s="156"/>
      <c r="JJ66" s="156"/>
      <c r="JK66" s="156"/>
      <c r="JL66" s="156"/>
      <c r="JM66" s="156"/>
      <c r="JN66" s="156"/>
      <c r="JO66" s="156"/>
      <c r="JP66" s="156"/>
      <c r="JQ66" s="156"/>
      <c r="JR66" s="156"/>
      <c r="JS66" s="156"/>
      <c r="JT66" s="156"/>
      <c r="JU66" s="156"/>
      <c r="JV66" s="156"/>
      <c r="JW66" s="156"/>
      <c r="JX66" s="156"/>
      <c r="JY66" s="156"/>
      <c r="JZ66" s="156"/>
      <c r="KA66" s="156"/>
      <c r="KB66" s="156"/>
      <c r="KC66" s="212"/>
      <c r="KD66" s="212"/>
      <c r="KE66" s="212"/>
      <c r="KF66" s="212"/>
      <c r="KG66" s="212"/>
      <c r="KH66" s="212"/>
      <c r="KI66" s="212"/>
      <c r="KJ66" s="212"/>
      <c r="KK66" s="212"/>
      <c r="KL66" s="212"/>
      <c r="KM66" s="212"/>
      <c r="KN66" s="212"/>
      <c r="KO66" s="212"/>
      <c r="KP66" s="212"/>
      <c r="KQ66" s="212"/>
      <c r="KR66" s="212"/>
      <c r="KS66" s="212"/>
      <c r="KT66" s="212"/>
      <c r="KU66" s="212">
        <v>4.4999999999999999E-4</v>
      </c>
      <c r="KV66" s="212"/>
      <c r="KW66" s="212"/>
      <c r="KX66" s="212">
        <v>5.5000000000000003E-4</v>
      </c>
      <c r="KY66" s="212"/>
      <c r="KZ66" s="218"/>
      <c r="LA66" s="211">
        <v>5.5000000000000003E-4</v>
      </c>
      <c r="LB66" s="212"/>
      <c r="LC66" s="213"/>
      <c r="LD66" s="220">
        <v>5.5000000000000003E-4</v>
      </c>
      <c r="LE66" s="212"/>
      <c r="LF66" s="212"/>
      <c r="LG66" s="212">
        <v>5.5000000000000003E-4</v>
      </c>
      <c r="LH66" s="212"/>
      <c r="LI66" s="212"/>
      <c r="LJ66" s="212">
        <v>5.4000000000000001E-4</v>
      </c>
      <c r="LK66" s="212"/>
      <c r="LL66" s="212"/>
      <c r="LM66" s="212">
        <v>5.4000000000000001E-4</v>
      </c>
      <c r="LN66" s="212"/>
      <c r="LO66" s="212"/>
      <c r="LP66" s="212">
        <v>5.4000000000000001E-4</v>
      </c>
      <c r="LQ66" s="212"/>
      <c r="LR66" s="212"/>
      <c r="LS66" s="212">
        <v>4.4000000000000002E-4</v>
      </c>
      <c r="LT66" s="212"/>
      <c r="LU66" s="212"/>
      <c r="LV66" s="212">
        <v>2.4000000000000001E-4</v>
      </c>
      <c r="LW66" s="212"/>
      <c r="LX66" s="212"/>
      <c r="LY66" s="212">
        <v>1.3999999999999999E-4</v>
      </c>
      <c r="LZ66" s="212"/>
      <c r="MA66" s="212"/>
      <c r="MB66" s="212">
        <v>1.3999999999999999E-4</v>
      </c>
      <c r="MC66" s="212"/>
      <c r="MD66" s="212"/>
      <c r="ME66" s="212">
        <v>1.6000000000000001E-4</v>
      </c>
      <c r="MF66" s="212"/>
      <c r="MG66" s="212"/>
      <c r="MH66" s="53"/>
      <c r="MI66" s="54"/>
      <c r="MJ66" s="55"/>
      <c r="MK66" s="54"/>
      <c r="ML66" s="54"/>
      <c r="MM66" s="54"/>
      <c r="MN66" s="53"/>
      <c r="MO66" s="54"/>
      <c r="MP66" s="55"/>
      <c r="MQ66" s="53"/>
      <c r="MR66" s="54"/>
      <c r="MS66" s="55"/>
      <c r="MT66" s="53"/>
      <c r="MU66" s="54"/>
      <c r="MV66" s="55"/>
      <c r="MW66" s="53"/>
      <c r="MX66" s="54"/>
      <c r="MY66" s="55"/>
      <c r="MZ66" s="53"/>
      <c r="NA66" s="54"/>
      <c r="NB66" s="55"/>
      <c r="NC66" s="54"/>
      <c r="ND66" s="54"/>
      <c r="NE66" s="59"/>
      <c r="NG66" s="275">
        <f>SUM(R66:NE66)</f>
        <v>5.3900000000000016E-3</v>
      </c>
      <c r="NH66" s="1"/>
      <c r="NI66" s="1"/>
      <c r="NJ66" s="1"/>
      <c r="NK66" s="1"/>
    </row>
    <row r="67" spans="6:375" s="6" customFormat="1" ht="6.95" customHeight="1">
      <c r="F67" s="196"/>
      <c r="G67" s="197"/>
      <c r="H67" s="52">
        <v>2</v>
      </c>
      <c r="L67" s="340"/>
      <c r="M67" s="294"/>
      <c r="N67" s="314"/>
      <c r="O67" s="353"/>
      <c r="P67" s="308"/>
      <c r="Q67" s="237"/>
      <c r="R67" s="6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39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1"/>
      <c r="CA67" s="39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39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 s="40"/>
      <c r="DT67" s="40"/>
      <c r="DU67" s="40"/>
      <c r="DV67" s="40"/>
      <c r="DW67" s="40"/>
      <c r="DX67" s="40"/>
      <c r="DY67" s="40"/>
      <c r="DZ67" s="40"/>
      <c r="EA67" s="40"/>
      <c r="EB67" s="40"/>
      <c r="EC67" s="40"/>
      <c r="ED67" s="40"/>
      <c r="EE67" s="40"/>
      <c r="EF67" s="40"/>
      <c r="EG67" s="40"/>
      <c r="EH67" s="40"/>
      <c r="EI67" s="39"/>
      <c r="EJ67" s="40"/>
      <c r="EK67" s="40"/>
      <c r="EL67" s="40"/>
      <c r="EM67" s="40"/>
      <c r="EN67" s="40"/>
      <c r="EO67" s="40"/>
      <c r="EP67" s="40"/>
      <c r="EQ67" s="40"/>
      <c r="ER67" s="40"/>
      <c r="ES67" s="40"/>
      <c r="ET67" s="40"/>
      <c r="EU67" s="40"/>
      <c r="EV67" s="40"/>
      <c r="EW67" s="40"/>
      <c r="EX67" s="40"/>
      <c r="EY67" s="40"/>
      <c r="EZ67" s="40"/>
      <c r="FA67" s="40"/>
      <c r="FB67" s="40"/>
      <c r="FC67" s="40"/>
      <c r="FD67" s="40"/>
      <c r="FE67" s="40"/>
      <c r="FF67" s="40"/>
      <c r="FG67" s="40"/>
      <c r="FH67" s="40"/>
      <c r="FI67" s="40"/>
      <c r="FJ67" s="40"/>
      <c r="FK67" s="40"/>
      <c r="FL67" s="40"/>
      <c r="FM67" s="39"/>
      <c r="FN67" s="40"/>
      <c r="FO67" s="40"/>
      <c r="FP67" s="40"/>
      <c r="FQ67" s="40"/>
      <c r="FR67" s="40"/>
      <c r="FS67" s="40"/>
      <c r="FT67" s="40"/>
      <c r="FU67" s="40"/>
      <c r="FV67" s="40"/>
      <c r="FW67" s="40"/>
      <c r="FX67" s="40"/>
      <c r="FY67" s="40"/>
      <c r="FZ67" s="40"/>
      <c r="GA67" s="40"/>
      <c r="GB67" s="40"/>
      <c r="GC67" s="40"/>
      <c r="GD67" s="40"/>
      <c r="GE67" s="40"/>
      <c r="GF67" s="40"/>
      <c r="GG67" s="40"/>
      <c r="GH67" s="40"/>
      <c r="GI67" s="40"/>
      <c r="GJ67" s="40"/>
      <c r="GK67" s="40"/>
      <c r="GL67" s="40"/>
      <c r="GM67" s="40"/>
      <c r="GN67" s="40"/>
      <c r="GO67" s="40"/>
      <c r="GP67" s="40"/>
      <c r="GQ67" s="39"/>
      <c r="GR67" s="40"/>
      <c r="GS67" s="40"/>
      <c r="GT67" s="40"/>
      <c r="GU67" s="40"/>
      <c r="GV67" s="40"/>
      <c r="GW67" s="40"/>
      <c r="GX67" s="40"/>
      <c r="GY67" s="40"/>
      <c r="GZ67" s="40"/>
      <c r="HA67" s="40"/>
      <c r="HB67" s="40"/>
      <c r="HC67" s="40"/>
      <c r="HD67" s="40"/>
      <c r="HE67" s="40"/>
      <c r="HF67" s="40"/>
      <c r="HG67" s="40"/>
      <c r="HH67" s="40"/>
      <c r="HI67" s="40"/>
      <c r="HJ67" s="40"/>
      <c r="HK67" s="40"/>
      <c r="HL67" s="40"/>
      <c r="HM67" s="40"/>
      <c r="HN67" s="40"/>
      <c r="HO67" s="40"/>
      <c r="HP67" s="40"/>
      <c r="HQ67" s="40"/>
      <c r="HR67" s="40"/>
      <c r="HS67" s="40"/>
      <c r="HT67" s="40"/>
      <c r="HU67" s="39"/>
      <c r="HV67" s="40"/>
      <c r="HW67" s="40"/>
      <c r="HX67" s="40"/>
      <c r="HY67" s="40"/>
      <c r="HZ67" s="40"/>
      <c r="IA67" s="40"/>
      <c r="IB67" s="40"/>
      <c r="IC67" s="40"/>
      <c r="ID67" s="40"/>
      <c r="IE67" s="40"/>
      <c r="IF67" s="40"/>
      <c r="IG67" s="40"/>
      <c r="IH67" s="40"/>
      <c r="II67" s="40"/>
      <c r="IJ67" s="40"/>
      <c r="IK67" s="40"/>
      <c r="IL67" s="40"/>
      <c r="IM67" s="40"/>
      <c r="IN67" s="40"/>
      <c r="IO67" s="40"/>
      <c r="IP67" s="40"/>
      <c r="IQ67" s="40"/>
      <c r="IR67" s="40"/>
      <c r="IS67" s="40"/>
      <c r="IT67" s="40"/>
      <c r="IU67" s="40"/>
      <c r="IV67" s="40"/>
      <c r="IW67" s="40"/>
      <c r="IX67" s="40"/>
      <c r="IY67" s="39"/>
      <c r="IZ67" s="40"/>
      <c r="JA67" s="40"/>
      <c r="JB67" s="40"/>
      <c r="JC67" s="40"/>
      <c r="JD67" s="40"/>
      <c r="JE67" s="40"/>
      <c r="JF67" s="40"/>
      <c r="JG67" s="40"/>
      <c r="JH67" s="40"/>
      <c r="JI67" s="40"/>
      <c r="JJ67" s="40"/>
      <c r="JK67" s="40"/>
      <c r="JL67" s="40"/>
      <c r="JM67" s="40"/>
      <c r="JN67" s="40"/>
      <c r="JO67" s="40"/>
      <c r="JP67" s="40"/>
      <c r="JQ67" s="40"/>
      <c r="JR67" s="40"/>
      <c r="JS67" s="40"/>
      <c r="JT67" s="40"/>
      <c r="JU67" s="40"/>
      <c r="JV67" s="40"/>
      <c r="JW67" s="40"/>
      <c r="JX67" s="40"/>
      <c r="JY67" s="40"/>
      <c r="JZ67" s="40"/>
      <c r="KA67" s="40"/>
      <c r="KB67" s="40"/>
      <c r="KC67" s="39"/>
      <c r="KD67" s="40"/>
      <c r="KE67" s="41"/>
      <c r="KF67" s="39"/>
      <c r="KG67" s="40"/>
      <c r="KH67" s="41"/>
      <c r="KI67" s="39"/>
      <c r="KJ67" s="40"/>
      <c r="KK67" s="41"/>
      <c r="KL67" s="39"/>
      <c r="KM67" s="40"/>
      <c r="KN67" s="41"/>
      <c r="KO67" s="39"/>
      <c r="KP67" s="40"/>
      <c r="KQ67" s="41"/>
      <c r="KR67" s="39"/>
      <c r="KS67" s="40"/>
      <c r="KT67" s="41"/>
      <c r="KU67" s="61"/>
      <c r="KV67" s="62"/>
      <c r="KW67" s="63"/>
      <c r="KX67" s="61"/>
      <c r="KY67" s="62"/>
      <c r="KZ67" s="63"/>
      <c r="LA67" s="61"/>
      <c r="LB67" s="62"/>
      <c r="LC67" s="63"/>
      <c r="LD67" s="61"/>
      <c r="LE67" s="62"/>
      <c r="LF67" s="63"/>
      <c r="LG67" s="61"/>
      <c r="LH67" s="62"/>
      <c r="LI67" s="63"/>
      <c r="LJ67" s="61"/>
      <c r="LK67" s="62"/>
      <c r="LL67" s="63"/>
      <c r="LM67" s="61"/>
      <c r="LN67" s="62"/>
      <c r="LO67" s="63"/>
      <c r="LP67" s="61"/>
      <c r="LQ67" s="62"/>
      <c r="LR67" s="63"/>
      <c r="LS67" s="61"/>
      <c r="LT67" s="62"/>
      <c r="LU67" s="63"/>
      <c r="LV67" s="61"/>
      <c r="LW67" s="62"/>
      <c r="LX67" s="63"/>
      <c r="LY67" s="61"/>
      <c r="LZ67" s="62"/>
      <c r="MA67" s="63"/>
      <c r="MB67" s="61"/>
      <c r="MC67" s="62"/>
      <c r="MD67" s="63"/>
      <c r="ME67" s="61"/>
      <c r="MF67" s="62"/>
      <c r="MG67" s="63"/>
      <c r="MH67" s="39"/>
      <c r="MI67" s="40"/>
      <c r="MJ67" s="41"/>
      <c r="MK67" s="40"/>
      <c r="ML67" s="40"/>
      <c r="MM67" s="40"/>
      <c r="MN67" s="39"/>
      <c r="MO67" s="40"/>
      <c r="MP67" s="41"/>
      <c r="MQ67" s="39"/>
      <c r="MR67" s="40"/>
      <c r="MS67" s="41"/>
      <c r="MT67" s="39"/>
      <c r="MU67" s="40"/>
      <c r="MV67" s="41"/>
      <c r="MW67" s="39"/>
      <c r="MX67" s="40"/>
      <c r="MY67" s="41"/>
      <c r="MZ67" s="39"/>
      <c r="NA67" s="40"/>
      <c r="NB67" s="41"/>
      <c r="NC67" s="40"/>
      <c r="ND67" s="40"/>
      <c r="NE67" s="42"/>
      <c r="NG67" s="275"/>
      <c r="NH67" s="1"/>
      <c r="NI67" s="1"/>
      <c r="NJ67" s="1"/>
      <c r="NK67" s="1"/>
    </row>
    <row r="68" spans="6:375" s="6" customFormat="1" ht="9.9499999999999993" customHeight="1">
      <c r="F68" s="196">
        <f t="shared" ref="F68" si="369">NG68</f>
        <v>4.96E-3</v>
      </c>
      <c r="G68" s="197">
        <f>Q68-F68</f>
        <v>0</v>
      </c>
      <c r="H68" s="27">
        <v>1</v>
      </c>
      <c r="I68" s="6" t="s">
        <v>200</v>
      </c>
      <c r="J68" s="19" t="s">
        <v>184</v>
      </c>
      <c r="K68" s="6" t="s">
        <v>201</v>
      </c>
      <c r="L68" s="292"/>
      <c r="M68" s="355" t="s">
        <v>37</v>
      </c>
      <c r="N68" s="301">
        <v>10868</v>
      </c>
      <c r="O68" s="309" t="s">
        <v>15</v>
      </c>
      <c r="P68" s="315">
        <v>1033429</v>
      </c>
      <c r="Q68" s="236">
        <f>ROUND(P68/$P$256,5)</f>
        <v>4.96E-3</v>
      </c>
      <c r="R68" s="73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6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8"/>
      <c r="CA68" s="66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6"/>
      <c r="DF68" s="67"/>
      <c r="DG68" s="67"/>
      <c r="DH68" s="67"/>
      <c r="DI68" s="67"/>
      <c r="DJ68" s="67"/>
      <c r="DK68" s="67"/>
      <c r="DL68" s="67"/>
      <c r="DM68" s="67"/>
      <c r="DN68" s="67"/>
      <c r="DO68" s="67"/>
      <c r="DP68" s="67"/>
      <c r="DQ68" s="67"/>
      <c r="DR68" s="67"/>
      <c r="DS68" s="67"/>
      <c r="DT68" s="67"/>
      <c r="DU68" s="67"/>
      <c r="DV68" s="67"/>
      <c r="DW68" s="67"/>
      <c r="DX68" s="67"/>
      <c r="DY68" s="67"/>
      <c r="DZ68" s="67"/>
      <c r="EA68" s="67"/>
      <c r="EB68" s="67"/>
      <c r="EC68" s="67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157"/>
      <c r="FN68" s="157"/>
      <c r="FO68" s="157"/>
      <c r="FP68" s="157"/>
      <c r="FQ68" s="157"/>
      <c r="FR68" s="157"/>
      <c r="FS68" s="157"/>
      <c r="FT68" s="157"/>
      <c r="FU68" s="157"/>
      <c r="FV68" s="157"/>
      <c r="FW68" s="157"/>
      <c r="FX68" s="157"/>
      <c r="FY68" s="157"/>
      <c r="FZ68" s="157"/>
      <c r="GA68" s="157"/>
      <c r="GB68" s="157"/>
      <c r="GC68" s="157"/>
      <c r="GD68" s="157"/>
      <c r="GE68" s="157"/>
      <c r="GF68" s="157"/>
      <c r="GG68" s="157"/>
      <c r="GH68" s="157"/>
      <c r="GI68" s="157"/>
      <c r="GJ68" s="157"/>
      <c r="GK68" s="157"/>
      <c r="GL68" s="157"/>
      <c r="GM68" s="157"/>
      <c r="GN68" s="157"/>
      <c r="GO68" s="157"/>
      <c r="GP68" s="157"/>
      <c r="GQ68" s="157"/>
      <c r="GR68" s="157"/>
      <c r="GS68" s="157"/>
      <c r="GT68" s="157"/>
      <c r="GU68" s="157"/>
      <c r="GV68" s="157"/>
      <c r="GW68" s="157"/>
      <c r="GX68" s="157"/>
      <c r="GY68" s="157"/>
      <c r="GZ68" s="157"/>
      <c r="HA68" s="157"/>
      <c r="HB68" s="157"/>
      <c r="HC68" s="157"/>
      <c r="HD68" s="157"/>
      <c r="HE68" s="157"/>
      <c r="HF68" s="157"/>
      <c r="HG68" s="157"/>
      <c r="HH68" s="157"/>
      <c r="HI68" s="157"/>
      <c r="HJ68" s="157"/>
      <c r="HK68" s="157"/>
      <c r="HL68" s="157"/>
      <c r="HM68" s="157"/>
      <c r="HN68" s="157"/>
      <c r="HO68" s="157"/>
      <c r="HP68" s="157"/>
      <c r="HQ68" s="157"/>
      <c r="HR68" s="157"/>
      <c r="HS68" s="157"/>
      <c r="HT68" s="157"/>
      <c r="HU68" s="157"/>
      <c r="HV68" s="157"/>
      <c r="HW68" s="157"/>
      <c r="HX68" s="157"/>
      <c r="HY68" s="157"/>
      <c r="HZ68" s="157"/>
      <c r="IA68" s="157"/>
      <c r="IB68" s="157"/>
      <c r="IC68" s="157"/>
      <c r="ID68" s="157"/>
      <c r="IE68" s="157"/>
      <c r="IF68" s="157"/>
      <c r="IG68" s="157"/>
      <c r="IH68" s="157"/>
      <c r="II68" s="157"/>
      <c r="IJ68" s="157"/>
      <c r="IK68" s="157"/>
      <c r="IL68" s="157"/>
      <c r="IM68" s="157"/>
      <c r="IN68" s="157"/>
      <c r="IO68" s="157"/>
      <c r="IP68" s="157"/>
      <c r="IQ68" s="157"/>
      <c r="IR68" s="157"/>
      <c r="IS68" s="157"/>
      <c r="IT68" s="157"/>
      <c r="IU68" s="157"/>
      <c r="IV68" s="157"/>
      <c r="IW68" s="157"/>
      <c r="IX68" s="157"/>
      <c r="IY68" s="66"/>
      <c r="IZ68" s="67"/>
      <c r="JA68" s="67"/>
      <c r="JB68" s="67"/>
      <c r="JC68" s="67"/>
      <c r="JD68" s="67"/>
      <c r="JE68" s="67"/>
      <c r="JF68" s="67"/>
      <c r="JG68" s="67"/>
      <c r="JH68" s="67"/>
      <c r="JI68" s="67"/>
      <c r="JJ68" s="67"/>
      <c r="JK68" s="67"/>
      <c r="JL68" s="67"/>
      <c r="JM68" s="67"/>
      <c r="JN68" s="67"/>
      <c r="JO68" s="67"/>
      <c r="JP68" s="67"/>
      <c r="JQ68" s="67"/>
      <c r="JR68" s="67"/>
      <c r="JS68" s="67"/>
      <c r="JT68" s="67"/>
      <c r="JU68" s="67"/>
      <c r="JV68" s="67"/>
      <c r="JW68" s="67"/>
      <c r="JX68" s="67"/>
      <c r="JY68" s="67"/>
      <c r="JZ68" s="67"/>
      <c r="KA68" s="67"/>
      <c r="KB68" s="67"/>
      <c r="KC68" s="66"/>
      <c r="KD68" s="67"/>
      <c r="KE68" s="68"/>
      <c r="KF68" s="67"/>
      <c r="KG68" s="67"/>
      <c r="KH68" s="67"/>
      <c r="KI68" s="66"/>
      <c r="KJ68" s="67"/>
      <c r="KK68" s="68"/>
      <c r="KL68" s="67"/>
      <c r="KM68" s="67"/>
      <c r="KN68" s="67"/>
      <c r="KO68" s="66"/>
      <c r="KP68" s="67"/>
      <c r="KQ68" s="68"/>
      <c r="KR68" s="214"/>
      <c r="KS68" s="214"/>
      <c r="KT68" s="214"/>
      <c r="KU68" s="214">
        <v>3.5E-4</v>
      </c>
      <c r="KV68" s="214"/>
      <c r="KW68" s="214"/>
      <c r="KX68" s="214">
        <v>4.4999999999999999E-4</v>
      </c>
      <c r="KY68" s="214"/>
      <c r="KZ68" s="216"/>
      <c r="LA68" s="233">
        <v>6.4999999999999997E-4</v>
      </c>
      <c r="LB68" s="214"/>
      <c r="LC68" s="234"/>
      <c r="LD68" s="215">
        <v>6.4999999999999997E-4</v>
      </c>
      <c r="LE68" s="214"/>
      <c r="LF68" s="214"/>
      <c r="LG68" s="214">
        <v>6.4000000000000005E-4</v>
      </c>
      <c r="LH68" s="214"/>
      <c r="LI68" s="214"/>
      <c r="LJ68" s="214">
        <v>6.4000000000000005E-4</v>
      </c>
      <c r="LK68" s="214"/>
      <c r="LL68" s="214"/>
      <c r="LM68" s="214">
        <v>6.4000000000000005E-4</v>
      </c>
      <c r="LN68" s="214"/>
      <c r="LO68" s="214"/>
      <c r="LP68" s="214">
        <v>4.4000000000000002E-4</v>
      </c>
      <c r="LQ68" s="214"/>
      <c r="LR68" s="214"/>
      <c r="LS68" s="212">
        <v>2.7999999999999998E-4</v>
      </c>
      <c r="LT68" s="212"/>
      <c r="LU68" s="212"/>
      <c r="LV68" s="212">
        <v>6.9999999999999994E-5</v>
      </c>
      <c r="LW68" s="212"/>
      <c r="LX68" s="212"/>
      <c r="LY68" s="212">
        <v>8.0000000000000007E-5</v>
      </c>
      <c r="LZ68" s="212"/>
      <c r="MA68" s="212"/>
      <c r="MB68" s="212">
        <v>6.9999999999999994E-5</v>
      </c>
      <c r="MC68" s="212"/>
      <c r="MD68" s="212"/>
      <c r="ME68" s="66"/>
      <c r="MF68" s="67"/>
      <c r="MG68" s="68"/>
      <c r="MH68" s="66"/>
      <c r="MI68" s="67"/>
      <c r="MJ68" s="68"/>
      <c r="MK68" s="67"/>
      <c r="ML68" s="67"/>
      <c r="MM68" s="67"/>
      <c r="MN68" s="66"/>
      <c r="MO68" s="67"/>
      <c r="MP68" s="68"/>
      <c r="MQ68" s="66"/>
      <c r="MR68" s="67"/>
      <c r="MS68" s="68"/>
      <c r="MT68" s="66"/>
      <c r="MU68" s="67"/>
      <c r="MV68" s="68"/>
      <c r="MW68" s="66"/>
      <c r="MX68" s="67"/>
      <c r="MY68" s="68"/>
      <c r="MZ68" s="66"/>
      <c r="NA68" s="67"/>
      <c r="NB68" s="68"/>
      <c r="NC68" s="67"/>
      <c r="ND68" s="67"/>
      <c r="NE68" s="72"/>
      <c r="NG68" s="275">
        <f>SUM(R68:NE68)</f>
        <v>4.96E-3</v>
      </c>
      <c r="NH68" s="1"/>
      <c r="NI68" s="1"/>
      <c r="NJ68" s="1"/>
      <c r="NK68" s="1"/>
    </row>
    <row r="69" spans="6:375" s="6" customFormat="1" ht="6.95" customHeight="1">
      <c r="F69" s="196"/>
      <c r="G69" s="197"/>
      <c r="H69" s="52">
        <v>2</v>
      </c>
      <c r="L69" s="292"/>
      <c r="M69" s="300"/>
      <c r="N69" s="301"/>
      <c r="O69" s="302"/>
      <c r="P69" s="315"/>
      <c r="Q69" s="237"/>
      <c r="R69" s="73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6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8"/>
      <c r="CA69" s="66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6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  <c r="DY69" s="67"/>
      <c r="DZ69" s="67"/>
      <c r="EA69" s="67"/>
      <c r="EB69" s="67"/>
      <c r="EC69" s="67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  <c r="FK69" s="67"/>
      <c r="FL69" s="67"/>
      <c r="FM69" s="66"/>
      <c r="FN69" s="67"/>
      <c r="FO69" s="67"/>
      <c r="FP69" s="67"/>
      <c r="FQ69" s="67"/>
      <c r="FR69" s="67"/>
      <c r="FS69" s="67"/>
      <c r="FT69" s="67"/>
      <c r="FU69" s="67"/>
      <c r="FV69" s="67"/>
      <c r="FW69" s="67"/>
      <c r="FX69" s="67"/>
      <c r="FY69" s="67"/>
      <c r="FZ69" s="67"/>
      <c r="GA69" s="67"/>
      <c r="GB69" s="67"/>
      <c r="GC69" s="67"/>
      <c r="GD69" s="67"/>
      <c r="GE69" s="67"/>
      <c r="GF69" s="67"/>
      <c r="GG69" s="67"/>
      <c r="GH69" s="67"/>
      <c r="GI69" s="67"/>
      <c r="GJ69" s="67"/>
      <c r="GK69" s="67"/>
      <c r="GL69" s="67"/>
      <c r="GM69" s="67"/>
      <c r="GN69" s="67"/>
      <c r="GO69" s="67"/>
      <c r="GP69" s="67"/>
      <c r="GQ69" s="66"/>
      <c r="GR69" s="67"/>
      <c r="GS69" s="67"/>
      <c r="GT69" s="67"/>
      <c r="GU69" s="67"/>
      <c r="GV69" s="67"/>
      <c r="GW69" s="67"/>
      <c r="GX69" s="67"/>
      <c r="GY69" s="67"/>
      <c r="GZ69" s="67"/>
      <c r="HA69" s="67"/>
      <c r="HB69" s="67"/>
      <c r="HC69" s="67"/>
      <c r="HD69" s="67"/>
      <c r="HE69" s="67"/>
      <c r="HF69" s="67"/>
      <c r="HG69" s="67"/>
      <c r="HH69" s="67"/>
      <c r="HI69" s="67"/>
      <c r="HJ69" s="67"/>
      <c r="HK69" s="67"/>
      <c r="HL69" s="67"/>
      <c r="HM69" s="67"/>
      <c r="HN69" s="67"/>
      <c r="HO69" s="67"/>
      <c r="HP69" s="67"/>
      <c r="HQ69" s="67"/>
      <c r="HR69" s="67"/>
      <c r="HS69" s="67"/>
      <c r="HT69" s="67"/>
      <c r="HU69" s="66"/>
      <c r="HV69" s="67"/>
      <c r="HW69" s="67"/>
      <c r="HX69" s="67"/>
      <c r="HY69" s="67"/>
      <c r="HZ69" s="67"/>
      <c r="IA69" s="67"/>
      <c r="IB69" s="67"/>
      <c r="IC69" s="67"/>
      <c r="ID69" s="67"/>
      <c r="IE69" s="67"/>
      <c r="IF69" s="67"/>
      <c r="IG69" s="67"/>
      <c r="IH69" s="67"/>
      <c r="II69" s="67"/>
      <c r="IJ69" s="67"/>
      <c r="IK69" s="67"/>
      <c r="IL69" s="67"/>
      <c r="IM69" s="67"/>
      <c r="IN69" s="67"/>
      <c r="IO69" s="67"/>
      <c r="IP69" s="67"/>
      <c r="IQ69" s="67"/>
      <c r="IR69" s="67"/>
      <c r="IS69" s="67"/>
      <c r="IT69" s="67"/>
      <c r="IU69" s="67"/>
      <c r="IV69" s="67"/>
      <c r="IW69" s="67"/>
      <c r="IX69" s="67"/>
      <c r="IY69" s="66"/>
      <c r="IZ69" s="67"/>
      <c r="JA69" s="67"/>
      <c r="JB69" s="67"/>
      <c r="JC69" s="67"/>
      <c r="JD69" s="67"/>
      <c r="JE69" s="67"/>
      <c r="JF69" s="67"/>
      <c r="JG69" s="67"/>
      <c r="JH69" s="67"/>
      <c r="JI69" s="67"/>
      <c r="JJ69" s="67"/>
      <c r="JK69" s="67"/>
      <c r="JL69" s="67"/>
      <c r="JM69" s="67"/>
      <c r="JN69" s="67"/>
      <c r="JO69" s="67"/>
      <c r="JP69" s="67"/>
      <c r="JQ69" s="67"/>
      <c r="JR69" s="67"/>
      <c r="JS69" s="67"/>
      <c r="JT69" s="67"/>
      <c r="JU69" s="67"/>
      <c r="JV69" s="67"/>
      <c r="JW69" s="67"/>
      <c r="JX69" s="67"/>
      <c r="JY69" s="67"/>
      <c r="JZ69" s="67"/>
      <c r="KA69" s="67"/>
      <c r="KB69" s="67"/>
      <c r="KC69" s="66"/>
      <c r="KD69" s="67"/>
      <c r="KE69" s="68"/>
      <c r="KF69" s="67"/>
      <c r="KG69" s="67"/>
      <c r="KH69" s="67"/>
      <c r="KI69" s="66"/>
      <c r="KJ69" s="67"/>
      <c r="KK69" s="68"/>
      <c r="KL69" s="67"/>
      <c r="KM69" s="67"/>
      <c r="KN69" s="67"/>
      <c r="KO69" s="66"/>
      <c r="KP69" s="67"/>
      <c r="KQ69" s="68"/>
      <c r="KR69" s="66"/>
      <c r="KS69" s="67"/>
      <c r="KT69" s="68"/>
      <c r="KU69" s="61"/>
      <c r="KV69" s="62"/>
      <c r="KW69" s="63"/>
      <c r="KX69" s="61"/>
      <c r="KY69" s="62"/>
      <c r="KZ69" s="63"/>
      <c r="LA69" s="61"/>
      <c r="LB69" s="62"/>
      <c r="LC69" s="63"/>
      <c r="LD69" s="61"/>
      <c r="LE69" s="62"/>
      <c r="LF69" s="63"/>
      <c r="LG69" s="61"/>
      <c r="LH69" s="62"/>
      <c r="LI69" s="63"/>
      <c r="LJ69" s="61"/>
      <c r="LK69" s="62"/>
      <c r="LL69" s="63"/>
      <c r="LM69" s="61"/>
      <c r="LN69" s="62"/>
      <c r="LO69" s="63"/>
      <c r="LP69" s="61"/>
      <c r="LQ69" s="62"/>
      <c r="LR69" s="63"/>
      <c r="LS69" s="61"/>
      <c r="LT69" s="62"/>
      <c r="LU69" s="63"/>
      <c r="LV69" s="61"/>
      <c r="LW69" s="62"/>
      <c r="LX69" s="63"/>
      <c r="LY69" s="61"/>
      <c r="LZ69" s="62"/>
      <c r="MA69" s="63"/>
      <c r="MB69" s="61"/>
      <c r="MC69" s="62"/>
      <c r="MD69" s="63"/>
      <c r="ME69" s="66"/>
      <c r="MF69" s="67"/>
      <c r="MG69" s="68"/>
      <c r="MH69" s="66"/>
      <c r="MI69" s="67"/>
      <c r="MJ69" s="68"/>
      <c r="MK69" s="67"/>
      <c r="ML69" s="67"/>
      <c r="MM69" s="67"/>
      <c r="MN69" s="66"/>
      <c r="MO69" s="67"/>
      <c r="MP69" s="68"/>
      <c r="MQ69" s="66"/>
      <c r="MR69" s="67"/>
      <c r="MS69" s="68"/>
      <c r="MT69" s="66"/>
      <c r="MU69" s="67"/>
      <c r="MV69" s="68"/>
      <c r="MW69" s="66"/>
      <c r="MX69" s="67"/>
      <c r="MY69" s="68"/>
      <c r="MZ69" s="66"/>
      <c r="NA69" s="67"/>
      <c r="NB69" s="68"/>
      <c r="NC69" s="67"/>
      <c r="ND69" s="67"/>
      <c r="NE69" s="72"/>
      <c r="NG69" s="275"/>
      <c r="NH69" s="270"/>
      <c r="NI69" s="1"/>
      <c r="NJ69" s="1"/>
      <c r="NK69" s="1"/>
    </row>
    <row r="70" spans="6:375" s="6" customFormat="1" ht="9.9499999999999993" customHeight="1">
      <c r="F70" s="196">
        <f t="shared" ref="F70" si="370">NG70</f>
        <v>4.4200000000000003E-3</v>
      </c>
      <c r="G70" s="197">
        <f>Q70-F70</f>
        <v>0</v>
      </c>
      <c r="H70" s="27">
        <v>1</v>
      </c>
      <c r="I70" s="6" t="s">
        <v>202</v>
      </c>
      <c r="J70" s="19" t="s">
        <v>184</v>
      </c>
      <c r="K70" s="6" t="s">
        <v>203</v>
      </c>
      <c r="L70" s="339"/>
      <c r="M70" s="299" t="s">
        <v>38</v>
      </c>
      <c r="N70" s="313">
        <v>6250</v>
      </c>
      <c r="O70" s="350" t="s">
        <v>15</v>
      </c>
      <c r="P70" s="307">
        <v>920462</v>
      </c>
      <c r="Q70" s="236">
        <f>ROUND(P70/$P$256,5)</f>
        <v>4.4200000000000003E-3</v>
      </c>
      <c r="R70" s="76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3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5"/>
      <c r="CA70" s="53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C70" s="54"/>
      <c r="DD70" s="54"/>
      <c r="DE70" s="53"/>
      <c r="DF70" s="54"/>
      <c r="DG70" s="54"/>
      <c r="DH70" s="54"/>
      <c r="DI70" s="54"/>
      <c r="DJ70" s="54"/>
      <c r="DK70" s="54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4"/>
      <c r="DW70" s="54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4"/>
      <c r="EI70" s="54"/>
      <c r="EJ70" s="54"/>
      <c r="EK70" s="54"/>
      <c r="EL70" s="54"/>
      <c r="EM70" s="54"/>
      <c r="EN70" s="54"/>
      <c r="EO70" s="54"/>
      <c r="EP70" s="54"/>
      <c r="EQ70" s="54"/>
      <c r="ER70" s="54"/>
      <c r="ES70" s="54"/>
      <c r="ET70" s="54"/>
      <c r="EU70" s="54"/>
      <c r="EV70" s="54"/>
      <c r="EW70" s="54"/>
      <c r="EX70" s="54"/>
      <c r="EY70" s="54"/>
      <c r="EZ70" s="54"/>
      <c r="FA70" s="54"/>
      <c r="FB70" s="54"/>
      <c r="FC70" s="54"/>
      <c r="FD70" s="54"/>
      <c r="FE70" s="54"/>
      <c r="FF70" s="54"/>
      <c r="FG70" s="54"/>
      <c r="FH70" s="54"/>
      <c r="FI70" s="54"/>
      <c r="FJ70" s="54"/>
      <c r="FK70" s="54"/>
      <c r="FL70" s="54"/>
      <c r="FM70" s="156"/>
      <c r="FN70" s="156"/>
      <c r="FO70" s="156"/>
      <c r="FP70" s="156"/>
      <c r="FQ70" s="156"/>
      <c r="FR70" s="156"/>
      <c r="FS70" s="156"/>
      <c r="FT70" s="156"/>
      <c r="FU70" s="156"/>
      <c r="FV70" s="156"/>
      <c r="FW70" s="156"/>
      <c r="FX70" s="156"/>
      <c r="FY70" s="156"/>
      <c r="FZ70" s="156"/>
      <c r="GA70" s="156"/>
      <c r="GB70" s="156"/>
      <c r="GC70" s="156"/>
      <c r="GD70" s="156"/>
      <c r="GE70" s="156"/>
      <c r="GF70" s="156"/>
      <c r="GG70" s="156"/>
      <c r="GH70" s="156"/>
      <c r="GI70" s="156"/>
      <c r="GJ70" s="156"/>
      <c r="GK70" s="156"/>
      <c r="GL70" s="156"/>
      <c r="GM70" s="156"/>
      <c r="GN70" s="156"/>
      <c r="GO70" s="156"/>
      <c r="GP70" s="156"/>
      <c r="GQ70" s="179">
        <f>0.014%/30</f>
        <v>4.6666666666666672E-6</v>
      </c>
      <c r="GR70" s="156">
        <f>GQ70</f>
        <v>4.6666666666666672E-6</v>
      </c>
      <c r="GS70" s="156">
        <f t="shared" ref="GS70:HT70" si="371">GR70</f>
        <v>4.6666666666666672E-6</v>
      </c>
      <c r="GT70" s="156">
        <f t="shared" si="371"/>
        <v>4.6666666666666672E-6</v>
      </c>
      <c r="GU70" s="156">
        <f t="shared" si="371"/>
        <v>4.6666666666666672E-6</v>
      </c>
      <c r="GV70" s="156">
        <f t="shared" si="371"/>
        <v>4.6666666666666672E-6</v>
      </c>
      <c r="GW70" s="156">
        <f t="shared" si="371"/>
        <v>4.6666666666666672E-6</v>
      </c>
      <c r="GX70" s="156">
        <f t="shared" si="371"/>
        <v>4.6666666666666672E-6</v>
      </c>
      <c r="GY70" s="156">
        <f t="shared" si="371"/>
        <v>4.6666666666666672E-6</v>
      </c>
      <c r="GZ70" s="156">
        <f t="shared" si="371"/>
        <v>4.6666666666666672E-6</v>
      </c>
      <c r="HA70" s="156">
        <f t="shared" si="371"/>
        <v>4.6666666666666672E-6</v>
      </c>
      <c r="HB70" s="156">
        <f t="shared" si="371"/>
        <v>4.6666666666666672E-6</v>
      </c>
      <c r="HC70" s="156">
        <f t="shared" si="371"/>
        <v>4.6666666666666672E-6</v>
      </c>
      <c r="HD70" s="156">
        <f t="shared" si="371"/>
        <v>4.6666666666666672E-6</v>
      </c>
      <c r="HE70" s="156">
        <f t="shared" si="371"/>
        <v>4.6666666666666672E-6</v>
      </c>
      <c r="HF70" s="156">
        <f t="shared" si="371"/>
        <v>4.6666666666666672E-6</v>
      </c>
      <c r="HG70" s="156">
        <f t="shared" si="371"/>
        <v>4.6666666666666672E-6</v>
      </c>
      <c r="HH70" s="156">
        <f t="shared" si="371"/>
        <v>4.6666666666666672E-6</v>
      </c>
      <c r="HI70" s="156">
        <f t="shared" si="371"/>
        <v>4.6666666666666672E-6</v>
      </c>
      <c r="HJ70" s="156">
        <f t="shared" si="371"/>
        <v>4.6666666666666672E-6</v>
      </c>
      <c r="HK70" s="156">
        <f t="shared" si="371"/>
        <v>4.6666666666666672E-6</v>
      </c>
      <c r="HL70" s="156">
        <f t="shared" si="371"/>
        <v>4.6666666666666672E-6</v>
      </c>
      <c r="HM70" s="156">
        <f t="shared" si="371"/>
        <v>4.6666666666666672E-6</v>
      </c>
      <c r="HN70" s="156">
        <f t="shared" si="371"/>
        <v>4.6666666666666672E-6</v>
      </c>
      <c r="HO70" s="156">
        <f t="shared" si="371"/>
        <v>4.6666666666666672E-6</v>
      </c>
      <c r="HP70" s="156">
        <f t="shared" si="371"/>
        <v>4.6666666666666672E-6</v>
      </c>
      <c r="HQ70" s="156">
        <f t="shared" si="371"/>
        <v>4.6666666666666672E-6</v>
      </c>
      <c r="HR70" s="156">
        <f t="shared" si="371"/>
        <v>4.6666666666666672E-6</v>
      </c>
      <c r="HS70" s="156">
        <f t="shared" si="371"/>
        <v>4.6666666666666672E-6</v>
      </c>
      <c r="HT70" s="156">
        <f t="shared" si="371"/>
        <v>4.6666666666666672E-6</v>
      </c>
      <c r="HU70" s="179">
        <f>0.024%/30</f>
        <v>7.9999999999999996E-6</v>
      </c>
      <c r="HV70" s="156">
        <f>HU70</f>
        <v>7.9999999999999996E-6</v>
      </c>
      <c r="HW70" s="156">
        <f t="shared" ref="HW70:IX70" si="372">HV70</f>
        <v>7.9999999999999996E-6</v>
      </c>
      <c r="HX70" s="156">
        <f t="shared" si="372"/>
        <v>7.9999999999999996E-6</v>
      </c>
      <c r="HY70" s="156">
        <f t="shared" si="372"/>
        <v>7.9999999999999996E-6</v>
      </c>
      <c r="HZ70" s="156">
        <f t="shared" si="372"/>
        <v>7.9999999999999996E-6</v>
      </c>
      <c r="IA70" s="156">
        <f t="shared" si="372"/>
        <v>7.9999999999999996E-6</v>
      </c>
      <c r="IB70" s="156">
        <f t="shared" si="372"/>
        <v>7.9999999999999996E-6</v>
      </c>
      <c r="IC70" s="156">
        <f t="shared" si="372"/>
        <v>7.9999999999999996E-6</v>
      </c>
      <c r="ID70" s="156">
        <f t="shared" si="372"/>
        <v>7.9999999999999996E-6</v>
      </c>
      <c r="IE70" s="156">
        <f t="shared" si="372"/>
        <v>7.9999999999999996E-6</v>
      </c>
      <c r="IF70" s="156">
        <f t="shared" si="372"/>
        <v>7.9999999999999996E-6</v>
      </c>
      <c r="IG70" s="156">
        <f t="shared" si="372"/>
        <v>7.9999999999999996E-6</v>
      </c>
      <c r="IH70" s="156">
        <f t="shared" si="372"/>
        <v>7.9999999999999996E-6</v>
      </c>
      <c r="II70" s="156">
        <f t="shared" si="372"/>
        <v>7.9999999999999996E-6</v>
      </c>
      <c r="IJ70" s="156">
        <f t="shared" si="372"/>
        <v>7.9999999999999996E-6</v>
      </c>
      <c r="IK70" s="156">
        <f t="shared" si="372"/>
        <v>7.9999999999999996E-6</v>
      </c>
      <c r="IL70" s="156">
        <f t="shared" si="372"/>
        <v>7.9999999999999996E-6</v>
      </c>
      <c r="IM70" s="156">
        <f t="shared" si="372"/>
        <v>7.9999999999999996E-6</v>
      </c>
      <c r="IN70" s="156">
        <f t="shared" si="372"/>
        <v>7.9999999999999996E-6</v>
      </c>
      <c r="IO70" s="156">
        <f t="shared" si="372"/>
        <v>7.9999999999999996E-6</v>
      </c>
      <c r="IP70" s="156">
        <f t="shared" si="372"/>
        <v>7.9999999999999996E-6</v>
      </c>
      <c r="IQ70" s="156">
        <f t="shared" si="372"/>
        <v>7.9999999999999996E-6</v>
      </c>
      <c r="IR70" s="156">
        <f t="shared" si="372"/>
        <v>7.9999999999999996E-6</v>
      </c>
      <c r="IS70" s="156">
        <f t="shared" si="372"/>
        <v>7.9999999999999996E-6</v>
      </c>
      <c r="IT70" s="156">
        <f t="shared" si="372"/>
        <v>7.9999999999999996E-6</v>
      </c>
      <c r="IU70" s="156">
        <f t="shared" si="372"/>
        <v>7.9999999999999996E-6</v>
      </c>
      <c r="IV70" s="156">
        <f t="shared" si="372"/>
        <v>7.9999999999999996E-6</v>
      </c>
      <c r="IW70" s="156">
        <f t="shared" si="372"/>
        <v>7.9999999999999996E-6</v>
      </c>
      <c r="IX70" s="156">
        <f t="shared" si="372"/>
        <v>7.9999999999999996E-6</v>
      </c>
      <c r="IY70" s="179">
        <f>0.033%/30</f>
        <v>1.1E-5</v>
      </c>
      <c r="IZ70" s="156">
        <f>IY70</f>
        <v>1.1E-5</v>
      </c>
      <c r="JA70" s="156">
        <f t="shared" ref="JA70:KB70" si="373">IZ70</f>
        <v>1.1E-5</v>
      </c>
      <c r="JB70" s="156">
        <f t="shared" si="373"/>
        <v>1.1E-5</v>
      </c>
      <c r="JC70" s="156">
        <f t="shared" si="373"/>
        <v>1.1E-5</v>
      </c>
      <c r="JD70" s="156">
        <f t="shared" si="373"/>
        <v>1.1E-5</v>
      </c>
      <c r="JE70" s="156">
        <f t="shared" si="373"/>
        <v>1.1E-5</v>
      </c>
      <c r="JF70" s="156">
        <f t="shared" si="373"/>
        <v>1.1E-5</v>
      </c>
      <c r="JG70" s="156">
        <f t="shared" si="373"/>
        <v>1.1E-5</v>
      </c>
      <c r="JH70" s="156">
        <f t="shared" si="373"/>
        <v>1.1E-5</v>
      </c>
      <c r="JI70" s="156">
        <f t="shared" si="373"/>
        <v>1.1E-5</v>
      </c>
      <c r="JJ70" s="156">
        <f t="shared" si="373"/>
        <v>1.1E-5</v>
      </c>
      <c r="JK70" s="156">
        <f t="shared" si="373"/>
        <v>1.1E-5</v>
      </c>
      <c r="JL70" s="156">
        <f t="shared" si="373"/>
        <v>1.1E-5</v>
      </c>
      <c r="JM70" s="156">
        <f t="shared" si="373"/>
        <v>1.1E-5</v>
      </c>
      <c r="JN70" s="156">
        <f t="shared" si="373"/>
        <v>1.1E-5</v>
      </c>
      <c r="JO70" s="156">
        <f t="shared" si="373"/>
        <v>1.1E-5</v>
      </c>
      <c r="JP70" s="156">
        <f t="shared" si="373"/>
        <v>1.1E-5</v>
      </c>
      <c r="JQ70" s="156">
        <f t="shared" si="373"/>
        <v>1.1E-5</v>
      </c>
      <c r="JR70" s="156">
        <f t="shared" si="373"/>
        <v>1.1E-5</v>
      </c>
      <c r="JS70" s="156">
        <f t="shared" si="373"/>
        <v>1.1E-5</v>
      </c>
      <c r="JT70" s="156">
        <f t="shared" si="373"/>
        <v>1.1E-5</v>
      </c>
      <c r="JU70" s="156">
        <f t="shared" si="373"/>
        <v>1.1E-5</v>
      </c>
      <c r="JV70" s="156">
        <f t="shared" si="373"/>
        <v>1.1E-5</v>
      </c>
      <c r="JW70" s="156">
        <f t="shared" si="373"/>
        <v>1.1E-5</v>
      </c>
      <c r="JX70" s="156">
        <f t="shared" si="373"/>
        <v>1.1E-5</v>
      </c>
      <c r="JY70" s="156">
        <f t="shared" si="373"/>
        <v>1.1E-5</v>
      </c>
      <c r="JZ70" s="156">
        <f t="shared" si="373"/>
        <v>1.1E-5</v>
      </c>
      <c r="KA70" s="156">
        <f t="shared" si="373"/>
        <v>1.1E-5</v>
      </c>
      <c r="KB70" s="156">
        <f t="shared" si="373"/>
        <v>1.1E-5</v>
      </c>
      <c r="KC70" s="218">
        <v>3.3E-4</v>
      </c>
      <c r="KD70" s="219"/>
      <c r="KE70" s="220"/>
      <c r="KF70" s="218">
        <v>3.3E-4</v>
      </c>
      <c r="KG70" s="219"/>
      <c r="KH70" s="220"/>
      <c r="KI70" s="218">
        <v>3.3E-4</v>
      </c>
      <c r="KJ70" s="219"/>
      <c r="KK70" s="220"/>
      <c r="KL70" s="218">
        <v>3.3E-4</v>
      </c>
      <c r="KM70" s="219"/>
      <c r="KN70" s="220"/>
      <c r="KO70" s="218">
        <v>3.3E-4</v>
      </c>
      <c r="KP70" s="219"/>
      <c r="KQ70" s="220"/>
      <c r="KR70" s="218">
        <v>3.3E-4</v>
      </c>
      <c r="KS70" s="219"/>
      <c r="KT70" s="220"/>
      <c r="KU70" s="212">
        <v>3.3E-4</v>
      </c>
      <c r="KV70" s="212"/>
      <c r="KW70" s="212"/>
      <c r="KX70" s="212">
        <v>3.3E-4</v>
      </c>
      <c r="KY70" s="212"/>
      <c r="KZ70" s="218"/>
      <c r="LA70" s="211">
        <v>3.3E-4</v>
      </c>
      <c r="LB70" s="212"/>
      <c r="LC70" s="213"/>
      <c r="LD70" s="220">
        <v>3.3E-4</v>
      </c>
      <c r="LE70" s="212"/>
      <c r="LF70" s="212"/>
      <c r="LG70" s="212">
        <v>2.3000000000000001E-4</v>
      </c>
      <c r="LH70" s="212"/>
      <c r="LI70" s="212"/>
      <c r="LJ70" s="212">
        <v>1.8000000000000001E-4</v>
      </c>
      <c r="LK70" s="212"/>
      <c r="LL70" s="212"/>
      <c r="LM70" s="53"/>
      <c r="LN70" s="54"/>
      <c r="LO70" s="55"/>
      <c r="LP70" s="53"/>
      <c r="LQ70" s="54"/>
      <c r="LR70" s="55"/>
      <c r="LS70" s="53"/>
      <c r="LT70" s="54"/>
      <c r="LU70" s="55"/>
      <c r="LV70" s="54"/>
      <c r="LW70" s="54"/>
      <c r="LX70" s="55"/>
      <c r="LY70" s="54"/>
      <c r="LZ70" s="54"/>
      <c r="MA70" s="54"/>
      <c r="MB70" s="53"/>
      <c r="MC70" s="54"/>
      <c r="MD70" s="55"/>
      <c r="ME70" s="53"/>
      <c r="MF70" s="54"/>
      <c r="MG70" s="55"/>
      <c r="MH70" s="53"/>
      <c r="MI70" s="54"/>
      <c r="MJ70" s="55"/>
      <c r="MK70" s="54"/>
      <c r="ML70" s="54"/>
      <c r="MM70" s="54"/>
      <c r="MN70" s="53"/>
      <c r="MO70" s="54"/>
      <c r="MP70" s="55"/>
      <c r="MQ70" s="53"/>
      <c r="MR70" s="54"/>
      <c r="MS70" s="55"/>
      <c r="MT70" s="53"/>
      <c r="MU70" s="54"/>
      <c r="MV70" s="55"/>
      <c r="MW70" s="53"/>
      <c r="MX70" s="54"/>
      <c r="MY70" s="55"/>
      <c r="MZ70" s="53"/>
      <c r="NA70" s="54"/>
      <c r="NB70" s="55"/>
      <c r="NC70" s="54"/>
      <c r="ND70" s="54"/>
      <c r="NE70" s="59"/>
      <c r="NG70" s="275">
        <f>SUM(R70:NE70)</f>
        <v>4.4200000000000003E-3</v>
      </c>
      <c r="NH70" s="270"/>
      <c r="NI70" s="1"/>
      <c r="NJ70" s="1"/>
      <c r="NK70" s="1"/>
    </row>
    <row r="71" spans="6:375" s="6" customFormat="1" ht="6.95" customHeight="1">
      <c r="F71" s="196"/>
      <c r="G71" s="197"/>
      <c r="H71" s="52">
        <v>2</v>
      </c>
      <c r="L71" s="340"/>
      <c r="M71" s="294"/>
      <c r="N71" s="314"/>
      <c r="O71" s="306"/>
      <c r="P71" s="308"/>
      <c r="Q71" s="237"/>
      <c r="R71" s="6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39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1"/>
      <c r="CA71" s="39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39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 s="40"/>
      <c r="DT71" s="40"/>
      <c r="DU71" s="40"/>
      <c r="DV71" s="40"/>
      <c r="DW71" s="40"/>
      <c r="DX71" s="40"/>
      <c r="DY71" s="40"/>
      <c r="DZ71" s="40"/>
      <c r="EA71" s="40"/>
      <c r="EB71" s="40"/>
      <c r="EC71" s="40"/>
      <c r="ED71" s="40"/>
      <c r="EE71" s="40"/>
      <c r="EF71" s="40"/>
      <c r="EG71" s="40"/>
      <c r="EH71" s="40"/>
      <c r="EI71" s="40"/>
      <c r="EJ71" s="40"/>
      <c r="EK71" s="40"/>
      <c r="EL71" s="40"/>
      <c r="EM71" s="40"/>
      <c r="EN71" s="40"/>
      <c r="EO71" s="40"/>
      <c r="EP71" s="40"/>
      <c r="EQ71" s="40"/>
      <c r="ER71" s="40"/>
      <c r="ES71" s="40"/>
      <c r="ET71" s="40"/>
      <c r="EU71" s="40"/>
      <c r="EV71" s="40"/>
      <c r="EW71" s="40"/>
      <c r="EX71" s="40"/>
      <c r="EY71" s="40"/>
      <c r="EZ71" s="40"/>
      <c r="FA71" s="40"/>
      <c r="FB71" s="40"/>
      <c r="FC71" s="40"/>
      <c r="FD71" s="40"/>
      <c r="FE71" s="40"/>
      <c r="FF71" s="40"/>
      <c r="FG71" s="40"/>
      <c r="FH71" s="40"/>
      <c r="FI71" s="40"/>
      <c r="FJ71" s="40"/>
      <c r="FK71" s="40"/>
      <c r="FL71" s="40"/>
      <c r="FM71" s="39"/>
      <c r="FN71" s="40"/>
      <c r="FO71" s="40"/>
      <c r="FP71" s="40"/>
      <c r="FQ71" s="40"/>
      <c r="FR71" s="40"/>
      <c r="FS71" s="40"/>
      <c r="FT71" s="40"/>
      <c r="FU71" s="40"/>
      <c r="FV71" s="40"/>
      <c r="FW71" s="40"/>
      <c r="FX71" s="40"/>
      <c r="FY71" s="40"/>
      <c r="FZ71" s="40"/>
      <c r="GA71" s="40"/>
      <c r="GB71" s="40"/>
      <c r="GC71" s="40"/>
      <c r="GD71" s="40"/>
      <c r="GE71" s="40"/>
      <c r="GF71" s="40"/>
      <c r="GG71" s="40"/>
      <c r="GH71" s="40"/>
      <c r="GI71" s="40"/>
      <c r="GJ71" s="40"/>
      <c r="GK71" s="40"/>
      <c r="GL71" s="40"/>
      <c r="GM71" s="40"/>
      <c r="GN71" s="40"/>
      <c r="GO71" s="40"/>
      <c r="GP71" s="40"/>
      <c r="GQ71" s="61"/>
      <c r="GR71" s="62"/>
      <c r="GS71" s="62"/>
      <c r="GT71" s="62"/>
      <c r="GU71" s="62"/>
      <c r="GV71" s="62"/>
      <c r="GW71" s="62"/>
      <c r="GX71" s="62"/>
      <c r="GY71" s="62"/>
      <c r="GZ71" s="62"/>
      <c r="HA71" s="62"/>
      <c r="HB71" s="62"/>
      <c r="HC71" s="62"/>
      <c r="HD71" s="62"/>
      <c r="HE71" s="62"/>
      <c r="HF71" s="62"/>
      <c r="HG71" s="62"/>
      <c r="HH71" s="62"/>
      <c r="HI71" s="62"/>
      <c r="HJ71" s="62"/>
      <c r="HK71" s="62"/>
      <c r="HL71" s="62"/>
      <c r="HM71" s="62"/>
      <c r="HN71" s="62"/>
      <c r="HO71" s="62"/>
      <c r="HP71" s="62"/>
      <c r="HQ71" s="62"/>
      <c r="HR71" s="62"/>
      <c r="HS71" s="62"/>
      <c r="HT71" s="62"/>
      <c r="HU71" s="61"/>
      <c r="HV71" s="62"/>
      <c r="HW71" s="62"/>
      <c r="HX71" s="62"/>
      <c r="HY71" s="62"/>
      <c r="HZ71" s="62"/>
      <c r="IA71" s="62"/>
      <c r="IB71" s="62"/>
      <c r="IC71" s="62"/>
      <c r="ID71" s="62"/>
      <c r="IE71" s="62"/>
      <c r="IF71" s="62"/>
      <c r="IG71" s="62"/>
      <c r="IH71" s="62"/>
      <c r="II71" s="62"/>
      <c r="IJ71" s="62"/>
      <c r="IK71" s="62"/>
      <c r="IL71" s="62"/>
      <c r="IM71" s="62"/>
      <c r="IN71" s="62"/>
      <c r="IO71" s="62"/>
      <c r="IP71" s="62"/>
      <c r="IQ71" s="62"/>
      <c r="IR71" s="62"/>
      <c r="IS71" s="62"/>
      <c r="IT71" s="62"/>
      <c r="IU71" s="62"/>
      <c r="IV71" s="62"/>
      <c r="IW71" s="62"/>
      <c r="IX71" s="62"/>
      <c r="IY71" s="61"/>
      <c r="IZ71" s="62"/>
      <c r="JA71" s="62"/>
      <c r="JB71" s="62"/>
      <c r="JC71" s="62"/>
      <c r="JD71" s="62"/>
      <c r="JE71" s="62"/>
      <c r="JF71" s="62"/>
      <c r="JG71" s="62"/>
      <c r="JH71" s="62"/>
      <c r="JI71" s="62"/>
      <c r="JJ71" s="62"/>
      <c r="JK71" s="62"/>
      <c r="JL71" s="62"/>
      <c r="JM71" s="62"/>
      <c r="JN71" s="62"/>
      <c r="JO71" s="62"/>
      <c r="JP71" s="62"/>
      <c r="JQ71" s="62"/>
      <c r="JR71" s="62"/>
      <c r="JS71" s="62"/>
      <c r="JT71" s="62"/>
      <c r="JU71" s="62"/>
      <c r="JV71" s="62"/>
      <c r="JW71" s="62"/>
      <c r="JX71" s="62"/>
      <c r="JY71" s="62"/>
      <c r="JZ71" s="62"/>
      <c r="KA71" s="62"/>
      <c r="KB71" s="62"/>
      <c r="KC71" s="61"/>
      <c r="KD71" s="62"/>
      <c r="KE71" s="63"/>
      <c r="KF71" s="61"/>
      <c r="KG71" s="62"/>
      <c r="KH71" s="63"/>
      <c r="KI71" s="61"/>
      <c r="KJ71" s="62"/>
      <c r="KK71" s="63"/>
      <c r="KL71" s="61"/>
      <c r="KM71" s="62"/>
      <c r="KN71" s="63"/>
      <c r="KO71" s="61"/>
      <c r="KP71" s="62"/>
      <c r="KQ71" s="63"/>
      <c r="KR71" s="61"/>
      <c r="KS71" s="62"/>
      <c r="KT71" s="63"/>
      <c r="KU71" s="61"/>
      <c r="KV71" s="62"/>
      <c r="KW71" s="63"/>
      <c r="KX71" s="61"/>
      <c r="KY71" s="62"/>
      <c r="KZ71" s="63"/>
      <c r="LA71" s="61"/>
      <c r="LB71" s="62"/>
      <c r="LC71" s="63"/>
      <c r="LD71" s="61"/>
      <c r="LE71" s="62"/>
      <c r="LF71" s="63"/>
      <c r="LG71" s="61"/>
      <c r="LH71" s="62"/>
      <c r="LI71" s="63"/>
      <c r="LJ71" s="61"/>
      <c r="LK71" s="62"/>
      <c r="LL71" s="63"/>
      <c r="LM71" s="39"/>
      <c r="LN71" s="40"/>
      <c r="LO71" s="40"/>
      <c r="LP71" s="39"/>
      <c r="LQ71" s="40"/>
      <c r="LR71" s="41"/>
      <c r="LS71" s="39"/>
      <c r="LT71" s="40"/>
      <c r="LU71" s="41"/>
      <c r="LV71" s="40"/>
      <c r="LW71" s="40"/>
      <c r="LX71" s="41"/>
      <c r="LY71" s="40"/>
      <c r="LZ71" s="40"/>
      <c r="MA71" s="40"/>
      <c r="MB71" s="39"/>
      <c r="MC71" s="40"/>
      <c r="MD71" s="41"/>
      <c r="ME71" s="39"/>
      <c r="MF71" s="40"/>
      <c r="MG71" s="41"/>
      <c r="MH71" s="39"/>
      <c r="MI71" s="40"/>
      <c r="MJ71" s="41"/>
      <c r="MK71" s="40"/>
      <c r="ML71" s="40"/>
      <c r="MM71" s="40"/>
      <c r="MN71" s="39"/>
      <c r="MO71" s="40"/>
      <c r="MP71" s="41"/>
      <c r="MQ71" s="39"/>
      <c r="MR71" s="40"/>
      <c r="MS71" s="41"/>
      <c r="MT71" s="39"/>
      <c r="MU71" s="40"/>
      <c r="MV71" s="41"/>
      <c r="MW71" s="39"/>
      <c r="MX71" s="40"/>
      <c r="MY71" s="41"/>
      <c r="MZ71" s="39"/>
      <c r="NA71" s="40"/>
      <c r="NB71" s="41"/>
      <c r="NC71" s="40"/>
      <c r="ND71" s="40"/>
      <c r="NE71" s="42"/>
      <c r="NG71" s="275"/>
      <c r="NH71" s="1"/>
      <c r="NI71" s="1"/>
      <c r="NJ71" s="1"/>
      <c r="NK71" s="1"/>
    </row>
    <row r="72" spans="6:375" s="6" customFormat="1" ht="9.9499999999999993" customHeight="1">
      <c r="F72" s="196">
        <f t="shared" ref="F72" si="374">NG72</f>
        <v>1.9770000000000002E-5</v>
      </c>
      <c r="G72" s="197">
        <f>Q72-F72</f>
        <v>2.2999999999999949E-7</v>
      </c>
      <c r="H72" s="27">
        <v>1</v>
      </c>
      <c r="K72" s="6" t="s">
        <v>204</v>
      </c>
      <c r="L72" s="292"/>
      <c r="M72" s="355" t="s">
        <v>39</v>
      </c>
      <c r="N72" s="301">
        <v>1</v>
      </c>
      <c r="O72" s="310" t="s">
        <v>18</v>
      </c>
      <c r="P72" s="315">
        <v>5156</v>
      </c>
      <c r="Q72" s="236">
        <f>ROUND(P72/$P$256,5)</f>
        <v>2.0000000000000002E-5</v>
      </c>
      <c r="R72" s="89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6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8"/>
      <c r="CA72" s="66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67"/>
      <c r="DD72" s="67"/>
      <c r="DE72" s="66"/>
      <c r="DF72" s="67"/>
      <c r="DG72" s="67"/>
      <c r="DH72" s="67"/>
      <c r="DI72" s="67"/>
      <c r="DJ72" s="67"/>
      <c r="DK72" s="67"/>
      <c r="DL72" s="67"/>
      <c r="DM72" s="67"/>
      <c r="DN72" s="67"/>
      <c r="DO72" s="67"/>
      <c r="DP72" s="67"/>
      <c r="DQ72" s="67"/>
      <c r="DR72" s="67"/>
      <c r="DS72" s="67"/>
      <c r="DT72" s="67"/>
      <c r="DU72" s="67"/>
      <c r="DV72" s="67"/>
      <c r="DW72" s="67"/>
      <c r="DX72" s="67"/>
      <c r="DY72" s="67"/>
      <c r="DZ72" s="67"/>
      <c r="EA72" s="67"/>
      <c r="EB72" s="67"/>
      <c r="EC72" s="67"/>
      <c r="ED72" s="67"/>
      <c r="EE72" s="67"/>
      <c r="EF72" s="67"/>
      <c r="EG72" s="67"/>
      <c r="EH72" s="67"/>
      <c r="EI72" s="67"/>
      <c r="EJ72" s="67"/>
      <c r="EK72" s="67"/>
      <c r="EL72" s="67"/>
      <c r="EM72" s="67"/>
      <c r="EN72" s="67"/>
      <c r="EO72" s="67"/>
      <c r="EP72" s="67"/>
      <c r="EQ72" s="67"/>
      <c r="ER72" s="67"/>
      <c r="ES72" s="67"/>
      <c r="ET72" s="67"/>
      <c r="EU72" s="67"/>
      <c r="EV72" s="67"/>
      <c r="EW72" s="67"/>
      <c r="EX72" s="67"/>
      <c r="EY72" s="67"/>
      <c r="EZ72" s="67"/>
      <c r="FA72" s="67"/>
      <c r="FB72" s="67"/>
      <c r="FC72" s="67"/>
      <c r="FD72" s="67"/>
      <c r="FE72" s="67"/>
      <c r="FF72" s="67"/>
      <c r="FG72" s="67"/>
      <c r="FH72" s="67"/>
      <c r="FI72" s="67"/>
      <c r="FJ72" s="67"/>
      <c r="FK72" s="67"/>
      <c r="FL72" s="67"/>
      <c r="FM72" s="66"/>
      <c r="FN72" s="67"/>
      <c r="FO72" s="67"/>
      <c r="FP72" s="67"/>
      <c r="FQ72" s="67"/>
      <c r="FR72" s="67"/>
      <c r="FS72" s="67"/>
      <c r="FT72" s="67"/>
      <c r="FU72" s="67"/>
      <c r="FV72" s="67"/>
      <c r="FW72" s="67"/>
      <c r="FX72" s="67"/>
      <c r="FY72" s="67"/>
      <c r="FZ72" s="67"/>
      <c r="GA72" s="67"/>
      <c r="GB72" s="67"/>
      <c r="GC72" s="67"/>
      <c r="GD72" s="67"/>
      <c r="GE72" s="67"/>
      <c r="GF72" s="67"/>
      <c r="GG72" s="67"/>
      <c r="GH72" s="67"/>
      <c r="GI72" s="67"/>
      <c r="GJ72" s="67"/>
      <c r="GK72" s="67"/>
      <c r="GL72" s="67"/>
      <c r="GM72" s="67"/>
      <c r="GN72" s="67"/>
      <c r="GO72" s="67"/>
      <c r="GP72" s="67"/>
      <c r="GQ72" s="67"/>
      <c r="GR72" s="67"/>
      <c r="GS72" s="67"/>
      <c r="GT72" s="67"/>
      <c r="GU72" s="67"/>
      <c r="GV72" s="67"/>
      <c r="GW72" s="67"/>
      <c r="GX72" s="67"/>
      <c r="GY72" s="67"/>
      <c r="GZ72" s="67"/>
      <c r="HA72" s="67"/>
      <c r="HB72" s="67"/>
      <c r="HC72" s="67"/>
      <c r="HD72" s="67"/>
      <c r="HE72" s="67"/>
      <c r="HF72" s="67"/>
      <c r="HG72" s="67"/>
      <c r="HH72" s="67"/>
      <c r="HI72" s="67"/>
      <c r="HJ72" s="67"/>
      <c r="HK72" s="67"/>
      <c r="HL72" s="67"/>
      <c r="HM72" s="67"/>
      <c r="HN72" s="67"/>
      <c r="HO72" s="67"/>
      <c r="HP72" s="67"/>
      <c r="HQ72" s="67"/>
      <c r="HR72" s="67"/>
      <c r="HS72" s="67"/>
      <c r="HT72" s="67"/>
      <c r="HU72" s="66"/>
      <c r="HV72" s="67"/>
      <c r="HW72" s="67"/>
      <c r="HX72" s="67"/>
      <c r="HY72" s="67"/>
      <c r="HZ72" s="67"/>
      <c r="IA72" s="67"/>
      <c r="IB72" s="67"/>
      <c r="IC72" s="67"/>
      <c r="ID72" s="67"/>
      <c r="IE72" s="67"/>
      <c r="IF72" s="67"/>
      <c r="IG72" s="67"/>
      <c r="IH72" s="67"/>
      <c r="II72" s="67"/>
      <c r="IJ72" s="67"/>
      <c r="IK72" s="67"/>
      <c r="IL72" s="67"/>
      <c r="IM72" s="67"/>
      <c r="IN72" s="67"/>
      <c r="IO72" s="67"/>
      <c r="IP72" s="67"/>
      <c r="IQ72" s="67"/>
      <c r="IR72" s="67"/>
      <c r="IS72" s="67"/>
      <c r="IT72" s="67"/>
      <c r="IU72" s="67"/>
      <c r="IV72" s="67"/>
      <c r="IW72" s="67"/>
      <c r="IX72" s="67"/>
      <c r="IY72" s="66"/>
      <c r="IZ72" s="67"/>
      <c r="JA72" s="67"/>
      <c r="JB72" s="67"/>
      <c r="JC72" s="67"/>
      <c r="JD72" s="67"/>
      <c r="JE72" s="67"/>
      <c r="JF72" s="67"/>
      <c r="JG72" s="67"/>
      <c r="JH72" s="67"/>
      <c r="JI72" s="67"/>
      <c r="JJ72" s="67"/>
      <c r="JK72" s="67"/>
      <c r="JL72" s="67"/>
      <c r="JM72" s="67"/>
      <c r="JN72" s="67"/>
      <c r="JO72" s="67"/>
      <c r="JP72" s="67"/>
      <c r="JQ72" s="67"/>
      <c r="JR72" s="67"/>
      <c r="JS72" s="67"/>
      <c r="JT72" s="67"/>
      <c r="JU72" s="67"/>
      <c r="JV72" s="67"/>
      <c r="JW72" s="67"/>
      <c r="JX72" s="67"/>
      <c r="JY72" s="67"/>
      <c r="JZ72" s="67"/>
      <c r="KA72" s="67"/>
      <c r="KB72" s="67"/>
      <c r="KC72" s="214">
        <v>7.0000000000000005E-8</v>
      </c>
      <c r="KD72" s="214"/>
      <c r="KE72" s="214"/>
      <c r="KF72" s="214"/>
      <c r="KG72" s="214"/>
      <c r="KH72" s="214"/>
      <c r="KI72" s="66"/>
      <c r="KJ72" s="67"/>
      <c r="KK72" s="68"/>
      <c r="KL72" s="67"/>
      <c r="KM72" s="67"/>
      <c r="KN72" s="67"/>
      <c r="KO72" s="214">
        <v>6.9999999999999997E-7</v>
      </c>
      <c r="KP72" s="214"/>
      <c r="KQ72" s="214"/>
      <c r="KR72" s="67"/>
      <c r="KS72" s="67"/>
      <c r="KT72" s="67"/>
      <c r="KU72" s="66"/>
      <c r="KV72" s="67"/>
      <c r="KW72" s="68"/>
      <c r="KX72" s="67"/>
      <c r="KY72" s="67"/>
      <c r="KZ72" s="67"/>
      <c r="LA72" s="233">
        <v>1.9000000000000001E-5</v>
      </c>
      <c r="LB72" s="214"/>
      <c r="LC72" s="234"/>
      <c r="LD72" s="67"/>
      <c r="LE72" s="67"/>
      <c r="LF72" s="68"/>
      <c r="LG72" s="66"/>
      <c r="LH72" s="67"/>
      <c r="LI72" s="68"/>
      <c r="LJ72" s="260"/>
      <c r="LK72" s="260"/>
      <c r="LL72" s="260"/>
      <c r="LM72" s="66"/>
      <c r="LN72" s="67"/>
      <c r="LO72" s="67"/>
      <c r="LP72" s="66"/>
      <c r="LQ72" s="67"/>
      <c r="LR72" s="68"/>
      <c r="LS72" s="66"/>
      <c r="LT72" s="67"/>
      <c r="LU72" s="68"/>
      <c r="LV72" s="67"/>
      <c r="LW72" s="67"/>
      <c r="LX72" s="68"/>
      <c r="LY72" s="67"/>
      <c r="LZ72" s="67"/>
      <c r="MA72" s="67"/>
      <c r="MB72" s="66"/>
      <c r="MC72" s="67"/>
      <c r="MD72" s="68"/>
      <c r="ME72" s="66"/>
      <c r="MF72" s="67"/>
      <c r="MG72" s="68"/>
      <c r="MH72" s="66"/>
      <c r="MI72" s="67"/>
      <c r="MJ72" s="68"/>
      <c r="MK72" s="67"/>
      <c r="ML72" s="67"/>
      <c r="MM72" s="67"/>
      <c r="MN72" s="66"/>
      <c r="MO72" s="67"/>
      <c r="MP72" s="68"/>
      <c r="MQ72" s="66"/>
      <c r="MR72" s="67"/>
      <c r="MS72" s="68"/>
      <c r="MT72" s="66"/>
      <c r="MU72" s="67"/>
      <c r="MV72" s="68"/>
      <c r="MW72" s="66"/>
      <c r="MX72" s="67"/>
      <c r="MY72" s="68"/>
      <c r="MZ72" s="66"/>
      <c r="NA72" s="67"/>
      <c r="NB72" s="68"/>
      <c r="NC72" s="67"/>
      <c r="ND72" s="67"/>
      <c r="NE72" s="72"/>
      <c r="NG72" s="275">
        <f>SUM(R72:NE72)</f>
        <v>1.9770000000000002E-5</v>
      </c>
      <c r="NH72" s="1"/>
      <c r="NI72" s="1"/>
      <c r="NJ72" s="1"/>
      <c r="NK72" s="1"/>
    </row>
    <row r="73" spans="6:375" s="6" customFormat="1" ht="6.95" customHeight="1">
      <c r="F73" s="196"/>
      <c r="G73" s="197"/>
      <c r="H73" s="52">
        <v>2</v>
      </c>
      <c r="L73" s="292"/>
      <c r="M73" s="300"/>
      <c r="N73" s="301"/>
      <c r="O73" s="302"/>
      <c r="P73" s="315"/>
      <c r="Q73" s="237"/>
      <c r="R73" s="73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6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8"/>
      <c r="CA73" s="66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6"/>
      <c r="DF73" s="67"/>
      <c r="DG73" s="67"/>
      <c r="DH73" s="67"/>
      <c r="DI73" s="67"/>
      <c r="DJ73" s="67"/>
      <c r="DK73" s="67"/>
      <c r="DL73" s="67"/>
      <c r="DM73" s="67"/>
      <c r="DN73" s="67"/>
      <c r="DO73" s="67"/>
      <c r="DP73" s="67"/>
      <c r="DQ73" s="67"/>
      <c r="DR73" s="67"/>
      <c r="DS73" s="67"/>
      <c r="DT73" s="67"/>
      <c r="DU73" s="67"/>
      <c r="DV73" s="67"/>
      <c r="DW73" s="67"/>
      <c r="DX73" s="67"/>
      <c r="DY73" s="67"/>
      <c r="DZ73" s="67"/>
      <c r="EA73" s="67"/>
      <c r="EB73" s="67"/>
      <c r="EC73" s="67"/>
      <c r="ED73" s="67"/>
      <c r="EE73" s="67"/>
      <c r="EF73" s="67"/>
      <c r="EG73" s="67"/>
      <c r="EH73" s="67"/>
      <c r="EI73" s="67"/>
      <c r="EJ73" s="67"/>
      <c r="EK73" s="67"/>
      <c r="EL73" s="67"/>
      <c r="EM73" s="67"/>
      <c r="EN73" s="67"/>
      <c r="EO73" s="67"/>
      <c r="EP73" s="67"/>
      <c r="EQ73" s="67"/>
      <c r="ER73" s="67"/>
      <c r="ES73" s="67"/>
      <c r="ET73" s="67"/>
      <c r="EU73" s="67"/>
      <c r="EV73" s="67"/>
      <c r="EW73" s="67"/>
      <c r="EX73" s="67"/>
      <c r="EY73" s="67"/>
      <c r="EZ73" s="67"/>
      <c r="FA73" s="67"/>
      <c r="FB73" s="67"/>
      <c r="FC73" s="67"/>
      <c r="FD73" s="67"/>
      <c r="FE73" s="67"/>
      <c r="FF73" s="67"/>
      <c r="FG73" s="67"/>
      <c r="FH73" s="67"/>
      <c r="FI73" s="67"/>
      <c r="FJ73" s="67"/>
      <c r="FK73" s="67"/>
      <c r="FL73" s="67"/>
      <c r="FM73" s="66"/>
      <c r="FN73" s="67"/>
      <c r="FO73" s="67"/>
      <c r="FP73" s="67"/>
      <c r="FQ73" s="67"/>
      <c r="FR73" s="67"/>
      <c r="FS73" s="67"/>
      <c r="FT73" s="67"/>
      <c r="FU73" s="67"/>
      <c r="FV73" s="67"/>
      <c r="FW73" s="67"/>
      <c r="FX73" s="67"/>
      <c r="FY73" s="67"/>
      <c r="FZ73" s="67"/>
      <c r="GA73" s="67"/>
      <c r="GB73" s="67"/>
      <c r="GC73" s="67"/>
      <c r="GD73" s="67"/>
      <c r="GE73" s="67"/>
      <c r="GF73" s="67"/>
      <c r="GG73" s="67"/>
      <c r="GH73" s="67"/>
      <c r="GI73" s="67"/>
      <c r="GJ73" s="67"/>
      <c r="GK73" s="67"/>
      <c r="GL73" s="67"/>
      <c r="GM73" s="67"/>
      <c r="GN73" s="67"/>
      <c r="GO73" s="67"/>
      <c r="GP73" s="67"/>
      <c r="GQ73" s="67"/>
      <c r="GR73" s="67"/>
      <c r="GS73" s="67"/>
      <c r="GT73" s="67"/>
      <c r="GU73" s="67"/>
      <c r="GV73" s="67"/>
      <c r="GW73" s="67"/>
      <c r="GX73" s="67"/>
      <c r="GY73" s="67"/>
      <c r="GZ73" s="67"/>
      <c r="HA73" s="67"/>
      <c r="HB73" s="67"/>
      <c r="HC73" s="67"/>
      <c r="HD73" s="67"/>
      <c r="HE73" s="67"/>
      <c r="HF73" s="67"/>
      <c r="HG73" s="67"/>
      <c r="HH73" s="67"/>
      <c r="HI73" s="67"/>
      <c r="HJ73" s="67"/>
      <c r="HK73" s="67"/>
      <c r="HL73" s="67"/>
      <c r="HM73" s="67"/>
      <c r="HN73" s="67"/>
      <c r="HO73" s="67"/>
      <c r="HP73" s="67"/>
      <c r="HQ73" s="67"/>
      <c r="HR73" s="67"/>
      <c r="HS73" s="67"/>
      <c r="HT73" s="67"/>
      <c r="HU73" s="66"/>
      <c r="HV73" s="67"/>
      <c r="HW73" s="67"/>
      <c r="HX73" s="67"/>
      <c r="HY73" s="67"/>
      <c r="HZ73" s="67"/>
      <c r="IA73" s="67"/>
      <c r="IB73" s="67"/>
      <c r="IC73" s="67"/>
      <c r="ID73" s="67"/>
      <c r="IE73" s="67"/>
      <c r="IF73" s="67"/>
      <c r="IG73" s="67"/>
      <c r="IH73" s="67"/>
      <c r="II73" s="67"/>
      <c r="IJ73" s="67"/>
      <c r="IK73" s="67"/>
      <c r="IL73" s="67"/>
      <c r="IM73" s="67"/>
      <c r="IN73" s="67"/>
      <c r="IO73" s="67"/>
      <c r="IP73" s="67"/>
      <c r="IQ73" s="67"/>
      <c r="IR73" s="67"/>
      <c r="IS73" s="67"/>
      <c r="IT73" s="67"/>
      <c r="IU73" s="67"/>
      <c r="IV73" s="67"/>
      <c r="IW73" s="67"/>
      <c r="IX73" s="67"/>
      <c r="IY73" s="66"/>
      <c r="IZ73" s="67"/>
      <c r="JA73" s="67"/>
      <c r="JB73" s="67"/>
      <c r="JC73" s="67"/>
      <c r="JD73" s="67"/>
      <c r="JE73" s="67"/>
      <c r="JF73" s="67"/>
      <c r="JG73" s="67"/>
      <c r="JH73" s="67"/>
      <c r="JI73" s="67"/>
      <c r="JJ73" s="67"/>
      <c r="JK73" s="67"/>
      <c r="JL73" s="67"/>
      <c r="JM73" s="67"/>
      <c r="JN73" s="67"/>
      <c r="JO73" s="67"/>
      <c r="JP73" s="67"/>
      <c r="JQ73" s="67"/>
      <c r="JR73" s="67"/>
      <c r="JS73" s="67"/>
      <c r="JT73" s="67"/>
      <c r="JU73" s="67"/>
      <c r="JV73" s="67"/>
      <c r="JW73" s="67"/>
      <c r="JX73" s="67"/>
      <c r="JY73" s="67"/>
      <c r="JZ73" s="67"/>
      <c r="KA73" s="67"/>
      <c r="KB73" s="67"/>
      <c r="KC73" s="61"/>
      <c r="KD73" s="62"/>
      <c r="KE73" s="63"/>
      <c r="KF73" s="67"/>
      <c r="KG73" s="67"/>
      <c r="KH73" s="67"/>
      <c r="KI73" s="66"/>
      <c r="KJ73" s="67"/>
      <c r="KK73" s="68"/>
      <c r="KL73" s="67"/>
      <c r="KM73" s="67"/>
      <c r="KN73" s="67"/>
      <c r="KO73" s="61"/>
      <c r="KP73" s="62"/>
      <c r="KQ73" s="63"/>
      <c r="KR73" s="67"/>
      <c r="KS73" s="67"/>
      <c r="KT73" s="67"/>
      <c r="KU73" s="66"/>
      <c r="KV73" s="67"/>
      <c r="KW73" s="68"/>
      <c r="KX73" s="67"/>
      <c r="KY73" s="67"/>
      <c r="KZ73" s="67"/>
      <c r="LA73" s="61"/>
      <c r="LB73" s="62"/>
      <c r="LC73" s="63"/>
      <c r="LD73" s="67"/>
      <c r="LE73" s="67"/>
      <c r="LF73" s="68"/>
      <c r="LG73" s="66"/>
      <c r="LH73" s="67"/>
      <c r="LI73" s="68"/>
      <c r="LJ73" s="67"/>
      <c r="LK73" s="67"/>
      <c r="LL73" s="67"/>
      <c r="LM73" s="66"/>
      <c r="LN73" s="67"/>
      <c r="LO73" s="67"/>
      <c r="LP73" s="66"/>
      <c r="LQ73" s="67"/>
      <c r="LR73" s="68"/>
      <c r="LS73" s="66"/>
      <c r="LT73" s="67"/>
      <c r="LU73" s="68"/>
      <c r="LV73" s="67"/>
      <c r="LW73" s="67"/>
      <c r="LX73" s="68"/>
      <c r="LY73" s="67"/>
      <c r="LZ73" s="67"/>
      <c r="MA73" s="67"/>
      <c r="MB73" s="66"/>
      <c r="MC73" s="67"/>
      <c r="MD73" s="68"/>
      <c r="ME73" s="66"/>
      <c r="MF73" s="67"/>
      <c r="MG73" s="68"/>
      <c r="MH73" s="66"/>
      <c r="MI73" s="67"/>
      <c r="MJ73" s="68"/>
      <c r="MK73" s="67"/>
      <c r="ML73" s="67"/>
      <c r="MM73" s="67"/>
      <c r="MN73" s="66"/>
      <c r="MO73" s="67"/>
      <c r="MP73" s="68"/>
      <c r="MQ73" s="66"/>
      <c r="MR73" s="67"/>
      <c r="MS73" s="68"/>
      <c r="MT73" s="66"/>
      <c r="MU73" s="67"/>
      <c r="MV73" s="68"/>
      <c r="MW73" s="66"/>
      <c r="MX73" s="67"/>
      <c r="MY73" s="68"/>
      <c r="MZ73" s="66"/>
      <c r="NA73" s="67"/>
      <c r="NB73" s="68"/>
      <c r="NC73" s="67"/>
      <c r="ND73" s="67"/>
      <c r="NE73" s="72"/>
      <c r="NG73" s="275"/>
      <c r="NH73" s="1"/>
      <c r="NI73" s="1"/>
      <c r="NJ73" s="1"/>
      <c r="NK73" s="1"/>
    </row>
    <row r="74" spans="6:375" s="6" customFormat="1" ht="9.9499999999999993" customHeight="1">
      <c r="F74" s="196">
        <f t="shared" ref="F74" si="375">NG74</f>
        <v>4.15E-3</v>
      </c>
      <c r="G74" s="197">
        <f>Q74-F74</f>
        <v>0</v>
      </c>
      <c r="H74" s="27">
        <v>1</v>
      </c>
      <c r="I74" s="6" t="s">
        <v>200</v>
      </c>
      <c r="J74" s="19" t="s">
        <v>184</v>
      </c>
      <c r="K74" s="6" t="s">
        <v>205</v>
      </c>
      <c r="L74" s="339"/>
      <c r="M74" s="293" t="s">
        <v>19</v>
      </c>
      <c r="N74" s="313">
        <v>329</v>
      </c>
      <c r="O74" s="305" t="s">
        <v>16</v>
      </c>
      <c r="P74" s="307">
        <v>863422</v>
      </c>
      <c r="Q74" s="236">
        <f>ROUND(P74/$P$256,5)</f>
        <v>4.15E-3</v>
      </c>
      <c r="R74" s="76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3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5"/>
      <c r="CA74" s="53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4"/>
      <c r="DA74" s="54"/>
      <c r="DB74" s="54"/>
      <c r="DC74" s="54"/>
      <c r="DD74" s="54"/>
      <c r="DE74" s="53"/>
      <c r="DF74" s="54"/>
      <c r="DG74" s="54"/>
      <c r="DH74" s="54"/>
      <c r="DI74" s="54"/>
      <c r="DJ74" s="54"/>
      <c r="DK74" s="54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4"/>
      <c r="DW74" s="54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4"/>
      <c r="EI74" s="54"/>
      <c r="EJ74" s="54"/>
      <c r="EK74" s="54"/>
      <c r="EL74" s="54"/>
      <c r="EM74" s="54"/>
      <c r="EN74" s="54"/>
      <c r="EO74" s="54"/>
      <c r="EP74" s="54"/>
      <c r="EQ74" s="54"/>
      <c r="ER74" s="54"/>
      <c r="ES74" s="54"/>
      <c r="ET74" s="54"/>
      <c r="EU74" s="54"/>
      <c r="EV74" s="54"/>
      <c r="EW74" s="54"/>
      <c r="EX74" s="54"/>
      <c r="EY74" s="54"/>
      <c r="EZ74" s="54"/>
      <c r="FA74" s="54"/>
      <c r="FB74" s="54"/>
      <c r="FC74" s="54"/>
      <c r="FD74" s="54"/>
      <c r="FE74" s="54"/>
      <c r="FF74" s="54"/>
      <c r="FG74" s="54"/>
      <c r="FH74" s="54"/>
      <c r="FI74" s="54"/>
      <c r="FJ74" s="54"/>
      <c r="FK74" s="54"/>
      <c r="FL74" s="54"/>
      <c r="FM74" s="156"/>
      <c r="FN74" s="156"/>
      <c r="FO74" s="156"/>
      <c r="FP74" s="156"/>
      <c r="FQ74" s="156"/>
      <c r="FR74" s="156"/>
      <c r="FS74" s="156"/>
      <c r="FT74" s="156"/>
      <c r="FU74" s="156"/>
      <c r="FV74" s="156"/>
      <c r="FW74" s="156"/>
      <c r="FX74" s="156"/>
      <c r="FY74" s="156"/>
      <c r="FZ74" s="156"/>
      <c r="GA74" s="156"/>
      <c r="GB74" s="156"/>
      <c r="GC74" s="156"/>
      <c r="GD74" s="156"/>
      <c r="GE74" s="156"/>
      <c r="GF74" s="156"/>
      <c r="GG74" s="156"/>
      <c r="GH74" s="156"/>
      <c r="GI74" s="156"/>
      <c r="GJ74" s="156"/>
      <c r="GK74" s="156"/>
      <c r="GL74" s="156"/>
      <c r="GM74" s="156"/>
      <c r="GN74" s="156"/>
      <c r="GO74" s="156"/>
      <c r="GP74" s="156"/>
      <c r="GQ74" s="156"/>
      <c r="GR74" s="156"/>
      <c r="GS74" s="156"/>
      <c r="GT74" s="156"/>
      <c r="GU74" s="156"/>
      <c r="GV74" s="156"/>
      <c r="GW74" s="156"/>
      <c r="GX74" s="156"/>
      <c r="GY74" s="156"/>
      <c r="GZ74" s="156"/>
      <c r="HA74" s="156"/>
      <c r="HB74" s="156"/>
      <c r="HC74" s="156"/>
      <c r="HD74" s="156"/>
      <c r="HE74" s="156"/>
      <c r="HF74" s="156"/>
      <c r="HG74" s="156"/>
      <c r="HH74" s="156"/>
      <c r="HI74" s="156"/>
      <c r="HJ74" s="156"/>
      <c r="HK74" s="156"/>
      <c r="HL74" s="156"/>
      <c r="HM74" s="156"/>
      <c r="HN74" s="156"/>
      <c r="HO74" s="156"/>
      <c r="HP74" s="156"/>
      <c r="HQ74" s="156"/>
      <c r="HR74" s="156"/>
      <c r="HS74" s="156"/>
      <c r="HT74" s="156"/>
      <c r="HU74" s="156"/>
      <c r="HV74" s="156"/>
      <c r="HW74" s="156"/>
      <c r="HX74" s="156"/>
      <c r="HY74" s="156"/>
      <c r="HZ74" s="156"/>
      <c r="IA74" s="156"/>
      <c r="IB74" s="156"/>
      <c r="IC74" s="156"/>
      <c r="ID74" s="156"/>
      <c r="IE74" s="156"/>
      <c r="IF74" s="156"/>
      <c r="IG74" s="156"/>
      <c r="IH74" s="156"/>
      <c r="II74" s="156"/>
      <c r="IJ74" s="156"/>
      <c r="IK74" s="156"/>
      <c r="IL74" s="156"/>
      <c r="IM74" s="156"/>
      <c r="IN74" s="156"/>
      <c r="IO74" s="156"/>
      <c r="IP74" s="156"/>
      <c r="IQ74" s="156"/>
      <c r="IR74" s="156"/>
      <c r="IS74" s="156"/>
      <c r="IT74" s="156"/>
      <c r="IU74" s="156"/>
      <c r="IV74" s="156"/>
      <c r="IW74" s="156"/>
      <c r="IX74" s="156"/>
      <c r="IY74" s="156"/>
      <c r="IZ74" s="156"/>
      <c r="JA74" s="156"/>
      <c r="JB74" s="156"/>
      <c r="JC74" s="156"/>
      <c r="JD74" s="156"/>
      <c r="JE74" s="156"/>
      <c r="JF74" s="156"/>
      <c r="JG74" s="156"/>
      <c r="JH74" s="156"/>
      <c r="JI74" s="156"/>
      <c r="JJ74" s="156"/>
      <c r="JK74" s="156"/>
      <c r="JL74" s="156"/>
      <c r="JM74" s="156"/>
      <c r="JN74" s="156"/>
      <c r="JO74" s="156"/>
      <c r="JP74" s="156"/>
      <c r="JQ74" s="156"/>
      <c r="JR74" s="156"/>
      <c r="JS74" s="156"/>
      <c r="JT74" s="156"/>
      <c r="JU74" s="156"/>
      <c r="JV74" s="156"/>
      <c r="JW74" s="156"/>
      <c r="JX74" s="156"/>
      <c r="JY74" s="156"/>
      <c r="JZ74" s="156"/>
      <c r="KA74" s="156"/>
      <c r="KB74" s="156"/>
      <c r="KC74" s="212"/>
      <c r="KD74" s="212"/>
      <c r="KE74" s="212"/>
      <c r="KF74" s="212"/>
      <c r="KG74" s="212"/>
      <c r="KH74" s="212"/>
      <c r="KI74" s="212"/>
      <c r="KJ74" s="212"/>
      <c r="KK74" s="212"/>
      <c r="KL74" s="212"/>
      <c r="KM74" s="212"/>
      <c r="KN74" s="212"/>
      <c r="KO74" s="212"/>
      <c r="KP74" s="212"/>
      <c r="KQ74" s="212"/>
      <c r="KR74" s="212"/>
      <c r="KS74" s="212"/>
      <c r="KT74" s="212"/>
      <c r="KU74" s="212">
        <v>3.5E-4</v>
      </c>
      <c r="KV74" s="212"/>
      <c r="KW74" s="212"/>
      <c r="KX74" s="212">
        <v>4.4999999999999999E-4</v>
      </c>
      <c r="KY74" s="212"/>
      <c r="KZ74" s="218"/>
      <c r="LA74" s="211">
        <v>4.4999999999999999E-4</v>
      </c>
      <c r="LB74" s="212"/>
      <c r="LC74" s="213"/>
      <c r="LD74" s="220">
        <v>5.5000000000000003E-4</v>
      </c>
      <c r="LE74" s="212"/>
      <c r="LF74" s="212"/>
      <c r="LG74" s="212">
        <v>5.5000000000000003E-4</v>
      </c>
      <c r="LH74" s="212"/>
      <c r="LI74" s="212"/>
      <c r="LJ74" s="212">
        <v>5.5000000000000003E-4</v>
      </c>
      <c r="LK74" s="212"/>
      <c r="LL74" s="212"/>
      <c r="LM74" s="212">
        <v>4.4999999999999999E-4</v>
      </c>
      <c r="LN74" s="212"/>
      <c r="LO74" s="212"/>
      <c r="LP74" s="212">
        <v>4.4999999999999999E-4</v>
      </c>
      <c r="LQ74" s="212"/>
      <c r="LR74" s="212"/>
      <c r="LS74" s="212">
        <v>3.5E-4</v>
      </c>
      <c r="LT74" s="212"/>
      <c r="LU74" s="212"/>
      <c r="LV74" s="54"/>
      <c r="LW74" s="54"/>
      <c r="LX74" s="55"/>
      <c r="LY74" s="54"/>
      <c r="LZ74" s="54"/>
      <c r="MA74" s="54"/>
      <c r="MB74" s="53"/>
      <c r="MC74" s="54"/>
      <c r="MD74" s="55"/>
      <c r="ME74" s="53"/>
      <c r="MF74" s="54"/>
      <c r="MG74" s="55"/>
      <c r="MH74" s="53"/>
      <c r="MI74" s="54"/>
      <c r="MJ74" s="55"/>
      <c r="MK74" s="54"/>
      <c r="ML74" s="54"/>
      <c r="MM74" s="54"/>
      <c r="MN74" s="53"/>
      <c r="MO74" s="54"/>
      <c r="MP74" s="55"/>
      <c r="MQ74" s="53"/>
      <c r="MR74" s="54"/>
      <c r="MS74" s="55"/>
      <c r="MT74" s="53"/>
      <c r="MU74" s="54"/>
      <c r="MV74" s="55"/>
      <c r="MW74" s="53"/>
      <c r="MX74" s="54"/>
      <c r="MY74" s="55"/>
      <c r="MZ74" s="53"/>
      <c r="NA74" s="54"/>
      <c r="NB74" s="55"/>
      <c r="NC74" s="54"/>
      <c r="ND74" s="54"/>
      <c r="NE74" s="59"/>
      <c r="NG74" s="275">
        <f>SUM(R74:NE74)</f>
        <v>4.15E-3</v>
      </c>
      <c r="NH74" s="1"/>
      <c r="NI74" s="1"/>
      <c r="NJ74" s="1"/>
      <c r="NK74" s="1"/>
    </row>
    <row r="75" spans="6:375" s="6" customFormat="1" ht="6.95" customHeight="1">
      <c r="F75" s="196"/>
      <c r="G75" s="197"/>
      <c r="H75" s="52">
        <v>2</v>
      </c>
      <c r="L75" s="340"/>
      <c r="M75" s="294"/>
      <c r="N75" s="314"/>
      <c r="O75" s="306"/>
      <c r="P75" s="308"/>
      <c r="Q75" s="237"/>
      <c r="R75" s="6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39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1"/>
      <c r="CA75" s="39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39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 s="40"/>
      <c r="DT75" s="40"/>
      <c r="DU75" s="40"/>
      <c r="DV75" s="40"/>
      <c r="DW75" s="40"/>
      <c r="DX75" s="40"/>
      <c r="DY75" s="40"/>
      <c r="DZ75" s="40"/>
      <c r="EA75" s="40"/>
      <c r="EB75" s="40"/>
      <c r="EC75" s="40"/>
      <c r="ED75" s="40"/>
      <c r="EE75" s="40"/>
      <c r="EF75" s="40"/>
      <c r="EG75" s="40"/>
      <c r="EH75" s="40"/>
      <c r="EI75" s="40"/>
      <c r="EJ75" s="40"/>
      <c r="EK75" s="40"/>
      <c r="EL75" s="40"/>
      <c r="EM75" s="40"/>
      <c r="EN75" s="40"/>
      <c r="EO75" s="40"/>
      <c r="EP75" s="40"/>
      <c r="EQ75" s="40"/>
      <c r="ER75" s="40"/>
      <c r="ES75" s="40"/>
      <c r="ET75" s="40"/>
      <c r="EU75" s="40"/>
      <c r="EV75" s="40"/>
      <c r="EW75" s="40"/>
      <c r="EX75" s="40"/>
      <c r="EY75" s="40"/>
      <c r="EZ75" s="40"/>
      <c r="FA75" s="40"/>
      <c r="FB75" s="40"/>
      <c r="FC75" s="40"/>
      <c r="FD75" s="40"/>
      <c r="FE75" s="40"/>
      <c r="FF75" s="40"/>
      <c r="FG75" s="40"/>
      <c r="FH75" s="40"/>
      <c r="FI75" s="40"/>
      <c r="FJ75" s="40"/>
      <c r="FK75" s="40"/>
      <c r="FL75" s="40"/>
      <c r="FM75" s="39"/>
      <c r="FN75" s="40"/>
      <c r="FO75" s="40"/>
      <c r="FP75" s="40"/>
      <c r="FQ75" s="40"/>
      <c r="FR75" s="40"/>
      <c r="FS75" s="40"/>
      <c r="FT75" s="40"/>
      <c r="FU75" s="40"/>
      <c r="FV75" s="40"/>
      <c r="FW75" s="40"/>
      <c r="FX75" s="40"/>
      <c r="FY75" s="40"/>
      <c r="FZ75" s="40"/>
      <c r="GA75" s="40"/>
      <c r="GB75" s="40"/>
      <c r="GC75" s="40"/>
      <c r="GD75" s="40"/>
      <c r="GE75" s="40"/>
      <c r="GF75" s="40"/>
      <c r="GG75" s="40"/>
      <c r="GH75" s="40"/>
      <c r="GI75" s="40"/>
      <c r="GJ75" s="40"/>
      <c r="GK75" s="40"/>
      <c r="GL75" s="40"/>
      <c r="GM75" s="40"/>
      <c r="GN75" s="40"/>
      <c r="GO75" s="40"/>
      <c r="GP75" s="40"/>
      <c r="GQ75" s="39"/>
      <c r="GR75" s="40"/>
      <c r="GS75" s="40"/>
      <c r="GT75" s="40"/>
      <c r="GU75" s="40"/>
      <c r="GV75" s="40"/>
      <c r="GW75" s="40"/>
      <c r="GX75" s="40"/>
      <c r="GY75" s="40"/>
      <c r="GZ75" s="40"/>
      <c r="HA75" s="40"/>
      <c r="HB75" s="40"/>
      <c r="HC75" s="40"/>
      <c r="HD75" s="40"/>
      <c r="HE75" s="40"/>
      <c r="HF75" s="40"/>
      <c r="HG75" s="40"/>
      <c r="HH75" s="40"/>
      <c r="HI75" s="40"/>
      <c r="HJ75" s="40"/>
      <c r="HK75" s="40"/>
      <c r="HL75" s="40"/>
      <c r="HM75" s="40"/>
      <c r="HN75" s="40"/>
      <c r="HO75" s="40"/>
      <c r="HP75" s="40"/>
      <c r="HQ75" s="40"/>
      <c r="HR75" s="40"/>
      <c r="HS75" s="40"/>
      <c r="HT75" s="40"/>
      <c r="HU75" s="39"/>
      <c r="HV75" s="40"/>
      <c r="HW75" s="40"/>
      <c r="HX75" s="40"/>
      <c r="HY75" s="40"/>
      <c r="HZ75" s="40"/>
      <c r="IA75" s="40"/>
      <c r="IB75" s="40"/>
      <c r="IC75" s="40"/>
      <c r="ID75" s="40"/>
      <c r="IE75" s="40"/>
      <c r="IF75" s="40"/>
      <c r="IG75" s="40"/>
      <c r="IH75" s="40"/>
      <c r="II75" s="40"/>
      <c r="IJ75" s="40"/>
      <c r="IK75" s="40"/>
      <c r="IL75" s="40"/>
      <c r="IM75" s="40"/>
      <c r="IN75" s="40"/>
      <c r="IO75" s="40"/>
      <c r="IP75" s="40"/>
      <c r="IQ75" s="40"/>
      <c r="IR75" s="40"/>
      <c r="IS75" s="40"/>
      <c r="IT75" s="40"/>
      <c r="IU75" s="40"/>
      <c r="IV75" s="40"/>
      <c r="IW75" s="40"/>
      <c r="IX75" s="40"/>
      <c r="IY75" s="39"/>
      <c r="IZ75" s="40"/>
      <c r="JA75" s="40"/>
      <c r="JB75" s="40"/>
      <c r="JC75" s="40"/>
      <c r="JD75" s="40"/>
      <c r="JE75" s="40"/>
      <c r="JF75" s="40"/>
      <c r="JG75" s="40"/>
      <c r="JH75" s="40"/>
      <c r="JI75" s="40"/>
      <c r="JJ75" s="40"/>
      <c r="JK75" s="40"/>
      <c r="JL75" s="40"/>
      <c r="JM75" s="40"/>
      <c r="JN75" s="40"/>
      <c r="JO75" s="40"/>
      <c r="JP75" s="40"/>
      <c r="JQ75" s="40"/>
      <c r="JR75" s="40"/>
      <c r="JS75" s="40"/>
      <c r="JT75" s="40"/>
      <c r="JU75" s="40"/>
      <c r="JV75" s="40"/>
      <c r="JW75" s="40"/>
      <c r="JX75" s="40"/>
      <c r="JY75" s="40"/>
      <c r="JZ75" s="40"/>
      <c r="KA75" s="40"/>
      <c r="KB75" s="40"/>
      <c r="KC75" s="39"/>
      <c r="KD75" s="40"/>
      <c r="KE75" s="41"/>
      <c r="KF75" s="39"/>
      <c r="KG75" s="40"/>
      <c r="KH75" s="41"/>
      <c r="KI75" s="39"/>
      <c r="KJ75" s="40"/>
      <c r="KK75" s="41"/>
      <c r="KL75" s="40"/>
      <c r="KM75" s="40"/>
      <c r="KN75" s="40"/>
      <c r="KO75" s="39"/>
      <c r="KP75" s="40"/>
      <c r="KQ75" s="41"/>
      <c r="KR75" s="39"/>
      <c r="KS75" s="40"/>
      <c r="KT75" s="41"/>
      <c r="KU75" s="61"/>
      <c r="KV75" s="62"/>
      <c r="KW75" s="63"/>
      <c r="KX75" s="61"/>
      <c r="KY75" s="62"/>
      <c r="KZ75" s="63"/>
      <c r="LA75" s="61"/>
      <c r="LB75" s="62"/>
      <c r="LC75" s="63"/>
      <c r="LD75" s="61"/>
      <c r="LE75" s="62"/>
      <c r="LF75" s="63"/>
      <c r="LG75" s="61"/>
      <c r="LH75" s="62"/>
      <c r="LI75" s="63"/>
      <c r="LJ75" s="61"/>
      <c r="LK75" s="62"/>
      <c r="LL75" s="63"/>
      <c r="LM75" s="61"/>
      <c r="LN75" s="62"/>
      <c r="LO75" s="63"/>
      <c r="LP75" s="61"/>
      <c r="LQ75" s="62"/>
      <c r="LR75" s="63"/>
      <c r="LS75" s="61"/>
      <c r="LT75" s="62"/>
      <c r="LU75" s="63"/>
      <c r="LV75" s="40"/>
      <c r="LW75" s="40"/>
      <c r="LX75" s="41"/>
      <c r="LY75" s="40"/>
      <c r="LZ75" s="40"/>
      <c r="MA75" s="40"/>
      <c r="MB75" s="39"/>
      <c r="MC75" s="40"/>
      <c r="MD75" s="41"/>
      <c r="ME75" s="39"/>
      <c r="MF75" s="40"/>
      <c r="MG75" s="41"/>
      <c r="MH75" s="39"/>
      <c r="MI75" s="40"/>
      <c r="MJ75" s="41"/>
      <c r="MK75" s="40"/>
      <c r="ML75" s="40"/>
      <c r="MM75" s="40"/>
      <c r="MN75" s="39"/>
      <c r="MO75" s="40"/>
      <c r="MP75" s="41"/>
      <c r="MQ75" s="39"/>
      <c r="MR75" s="40"/>
      <c r="MS75" s="41"/>
      <c r="MT75" s="39"/>
      <c r="MU75" s="40"/>
      <c r="MV75" s="41"/>
      <c r="MW75" s="39"/>
      <c r="MX75" s="40"/>
      <c r="MY75" s="41"/>
      <c r="MZ75" s="39"/>
      <c r="NA75" s="40"/>
      <c r="NB75" s="41"/>
      <c r="NC75" s="40"/>
      <c r="ND75" s="40"/>
      <c r="NE75" s="42"/>
      <c r="NG75" s="275"/>
      <c r="NH75" s="1"/>
      <c r="NI75" s="1"/>
      <c r="NJ75" s="1"/>
      <c r="NK75" s="1"/>
    </row>
    <row r="76" spans="6:375" s="6" customFormat="1" ht="9.9499999999999993" customHeight="1">
      <c r="F76" s="196">
        <f t="shared" ref="F76" si="376">NG76</f>
        <v>1.16E-3</v>
      </c>
      <c r="G76" s="197">
        <f>Q76-F76</f>
        <v>0</v>
      </c>
      <c r="H76" s="27">
        <v>1</v>
      </c>
      <c r="I76" s="6" t="s">
        <v>206</v>
      </c>
      <c r="J76" s="19" t="s">
        <v>184</v>
      </c>
      <c r="K76" s="6" t="s">
        <v>207</v>
      </c>
      <c r="L76" s="292"/>
      <c r="M76" s="300" t="s">
        <v>20</v>
      </c>
      <c r="N76" s="301">
        <v>921</v>
      </c>
      <c r="O76" s="302" t="s">
        <v>295</v>
      </c>
      <c r="P76" s="315">
        <v>241542</v>
      </c>
      <c r="Q76" s="236">
        <f>ROUND(P76/$P$256,5)</f>
        <v>1.16E-3</v>
      </c>
      <c r="R76" s="73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6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67"/>
      <c r="BP76" s="67"/>
      <c r="BQ76" s="67"/>
      <c r="BR76" s="67"/>
      <c r="BS76" s="67"/>
      <c r="BT76" s="67"/>
      <c r="BU76" s="67"/>
      <c r="BV76" s="67"/>
      <c r="BW76" s="67"/>
      <c r="BX76" s="67"/>
      <c r="BY76" s="67"/>
      <c r="BZ76" s="68"/>
      <c r="CA76" s="66"/>
      <c r="CB76" s="67"/>
      <c r="CC76" s="67"/>
      <c r="CD76" s="67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67"/>
      <c r="CP76" s="67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67"/>
      <c r="DD76" s="67"/>
      <c r="DE76" s="66"/>
      <c r="DF76" s="67"/>
      <c r="DG76" s="67"/>
      <c r="DH76" s="67"/>
      <c r="DI76" s="67"/>
      <c r="DJ76" s="67"/>
      <c r="DK76" s="67"/>
      <c r="DL76" s="67"/>
      <c r="DM76" s="67"/>
      <c r="DN76" s="67"/>
      <c r="DO76" s="67"/>
      <c r="DP76" s="67"/>
      <c r="DQ76" s="67"/>
      <c r="DR76" s="67"/>
      <c r="DS76" s="67"/>
      <c r="DT76" s="67"/>
      <c r="DU76" s="67"/>
      <c r="DV76" s="67"/>
      <c r="DW76" s="67"/>
      <c r="DX76" s="67"/>
      <c r="DY76" s="67"/>
      <c r="DZ76" s="67"/>
      <c r="EA76" s="67"/>
      <c r="EB76" s="67"/>
      <c r="EC76" s="67"/>
      <c r="ED76" s="67"/>
      <c r="EE76" s="67"/>
      <c r="EF76" s="67"/>
      <c r="EG76" s="67"/>
      <c r="EH76" s="67"/>
      <c r="EI76" s="67"/>
      <c r="EJ76" s="67"/>
      <c r="EK76" s="67"/>
      <c r="EL76" s="67"/>
      <c r="EM76" s="67"/>
      <c r="EN76" s="67"/>
      <c r="EO76" s="67"/>
      <c r="EP76" s="67"/>
      <c r="EQ76" s="67"/>
      <c r="ER76" s="67"/>
      <c r="ES76" s="67"/>
      <c r="ET76" s="67"/>
      <c r="EU76" s="67"/>
      <c r="EV76" s="67"/>
      <c r="EW76" s="67"/>
      <c r="EX76" s="67"/>
      <c r="EY76" s="67"/>
      <c r="EZ76" s="67"/>
      <c r="FA76" s="67"/>
      <c r="FB76" s="67"/>
      <c r="FC76" s="67"/>
      <c r="FD76" s="67"/>
      <c r="FE76" s="67"/>
      <c r="FF76" s="67"/>
      <c r="FG76" s="67"/>
      <c r="FH76" s="67"/>
      <c r="FI76" s="67"/>
      <c r="FJ76" s="67"/>
      <c r="FK76" s="67"/>
      <c r="FL76" s="67"/>
      <c r="FM76" s="66"/>
      <c r="FN76" s="67"/>
      <c r="FO76" s="67"/>
      <c r="FP76" s="67"/>
      <c r="FQ76" s="67"/>
      <c r="FR76" s="67"/>
      <c r="FS76" s="67"/>
      <c r="FT76" s="67"/>
      <c r="FU76" s="67"/>
      <c r="FV76" s="67"/>
      <c r="FW76" s="67"/>
      <c r="FX76" s="67"/>
      <c r="FY76" s="67"/>
      <c r="FZ76" s="67"/>
      <c r="GA76" s="67"/>
      <c r="GB76" s="67"/>
      <c r="GC76" s="67"/>
      <c r="GD76" s="67"/>
      <c r="GE76" s="67"/>
      <c r="GF76" s="67"/>
      <c r="GG76" s="67"/>
      <c r="GH76" s="67"/>
      <c r="GI76" s="67"/>
      <c r="GJ76" s="67"/>
      <c r="GK76" s="67"/>
      <c r="GL76" s="67"/>
      <c r="GM76" s="67"/>
      <c r="GN76" s="67"/>
      <c r="GO76" s="67"/>
      <c r="GP76" s="67"/>
      <c r="GQ76" s="67"/>
      <c r="GR76" s="67"/>
      <c r="GS76" s="67"/>
      <c r="GT76" s="67"/>
      <c r="GU76" s="67"/>
      <c r="GV76" s="67"/>
      <c r="GW76" s="67"/>
      <c r="GX76" s="67"/>
      <c r="GY76" s="67"/>
      <c r="GZ76" s="67"/>
      <c r="HA76" s="67"/>
      <c r="HB76" s="67"/>
      <c r="HC76" s="67"/>
      <c r="HD76" s="67"/>
      <c r="HE76" s="67"/>
      <c r="HF76" s="67"/>
      <c r="HG76" s="67"/>
      <c r="HH76" s="67"/>
      <c r="HI76" s="67"/>
      <c r="HJ76" s="67"/>
      <c r="HK76" s="67"/>
      <c r="HL76" s="67"/>
      <c r="HM76" s="67"/>
      <c r="HN76" s="67"/>
      <c r="HO76" s="67"/>
      <c r="HP76" s="67"/>
      <c r="HQ76" s="67"/>
      <c r="HR76" s="67"/>
      <c r="HS76" s="67"/>
      <c r="HT76" s="67"/>
      <c r="HU76" s="66"/>
      <c r="HV76" s="67"/>
      <c r="HW76" s="67"/>
      <c r="HX76" s="67"/>
      <c r="HY76" s="67"/>
      <c r="HZ76" s="67"/>
      <c r="IA76" s="67"/>
      <c r="IB76" s="67"/>
      <c r="IC76" s="67"/>
      <c r="ID76" s="67"/>
      <c r="IE76" s="67"/>
      <c r="IF76" s="67"/>
      <c r="IG76" s="67"/>
      <c r="IH76" s="67"/>
      <c r="II76" s="67"/>
      <c r="IJ76" s="67"/>
      <c r="IK76" s="67"/>
      <c r="IL76" s="67"/>
      <c r="IM76" s="67"/>
      <c r="IN76" s="67"/>
      <c r="IO76" s="67"/>
      <c r="IP76" s="67"/>
      <c r="IQ76" s="67"/>
      <c r="IR76" s="67"/>
      <c r="IS76" s="67"/>
      <c r="IT76" s="67"/>
      <c r="IU76" s="67"/>
      <c r="IV76" s="67"/>
      <c r="IW76" s="67"/>
      <c r="IX76" s="67"/>
      <c r="IY76" s="66"/>
      <c r="IZ76" s="67"/>
      <c r="JA76" s="67"/>
      <c r="JB76" s="67"/>
      <c r="JC76" s="67"/>
      <c r="JD76" s="67"/>
      <c r="JE76" s="67"/>
      <c r="JF76" s="67"/>
      <c r="JG76" s="67"/>
      <c r="JH76" s="67"/>
      <c r="JI76" s="67"/>
      <c r="JJ76" s="67"/>
      <c r="JK76" s="67"/>
      <c r="JL76" s="67"/>
      <c r="JM76" s="67"/>
      <c r="JN76" s="67"/>
      <c r="JO76" s="67"/>
      <c r="JP76" s="67"/>
      <c r="JQ76" s="67"/>
      <c r="JR76" s="67"/>
      <c r="JS76" s="67"/>
      <c r="JT76" s="67"/>
      <c r="JU76" s="67"/>
      <c r="JV76" s="67"/>
      <c r="JW76" s="67"/>
      <c r="JX76" s="67"/>
      <c r="JY76" s="67"/>
      <c r="JZ76" s="67"/>
      <c r="KA76" s="67"/>
      <c r="KB76" s="67"/>
      <c r="KC76" s="66"/>
      <c r="KD76" s="67"/>
      <c r="KE76" s="68"/>
      <c r="KF76" s="67"/>
      <c r="KG76" s="67"/>
      <c r="KH76" s="67"/>
      <c r="KI76" s="66"/>
      <c r="KJ76" s="67"/>
      <c r="KK76" s="68"/>
      <c r="KL76" s="67"/>
      <c r="KM76" s="67"/>
      <c r="KN76" s="67"/>
      <c r="KO76" s="66"/>
      <c r="KP76" s="67"/>
      <c r="KQ76" s="68"/>
      <c r="KR76" s="67"/>
      <c r="KS76" s="67"/>
      <c r="KT76" s="67"/>
      <c r="KU76" s="66"/>
      <c r="KV76" s="67"/>
      <c r="KW76" s="68"/>
      <c r="KX76" s="67"/>
      <c r="KY76" s="67"/>
      <c r="KZ76" s="67"/>
      <c r="LA76" s="70"/>
      <c r="LB76" s="67"/>
      <c r="LC76" s="71"/>
      <c r="LD76" s="67"/>
      <c r="LE76" s="67"/>
      <c r="LF76" s="68"/>
      <c r="LG76" s="66"/>
      <c r="LH76" s="67"/>
      <c r="LI76" s="68"/>
      <c r="LJ76" s="66"/>
      <c r="LK76" s="67"/>
      <c r="LL76" s="68"/>
      <c r="LM76" s="212"/>
      <c r="LN76" s="212"/>
      <c r="LO76" s="212"/>
      <c r="LP76" s="212"/>
      <c r="LQ76" s="212"/>
      <c r="LR76" s="212"/>
      <c r="LS76" s="212">
        <v>2.2000000000000001E-4</v>
      </c>
      <c r="LT76" s="212"/>
      <c r="LU76" s="212"/>
      <c r="LV76" s="212">
        <v>2.2000000000000001E-4</v>
      </c>
      <c r="LW76" s="212"/>
      <c r="LX76" s="212"/>
      <c r="LY76" s="212">
        <v>2.3000000000000001E-4</v>
      </c>
      <c r="LZ76" s="212"/>
      <c r="MA76" s="212"/>
      <c r="MB76" s="212">
        <v>2.3000000000000001E-4</v>
      </c>
      <c r="MC76" s="212"/>
      <c r="MD76" s="212"/>
      <c r="ME76" s="212">
        <v>2.5999999999999998E-4</v>
      </c>
      <c r="MF76" s="212"/>
      <c r="MG76" s="212"/>
      <c r="MH76" s="66"/>
      <c r="MI76" s="67"/>
      <c r="MJ76" s="68"/>
      <c r="MK76" s="67"/>
      <c r="ML76" s="67"/>
      <c r="MM76" s="67"/>
      <c r="MN76" s="66"/>
      <c r="MO76" s="67"/>
      <c r="MP76" s="68"/>
      <c r="MQ76" s="66"/>
      <c r="MR76" s="67"/>
      <c r="MS76" s="68"/>
      <c r="MT76" s="66"/>
      <c r="MU76" s="67"/>
      <c r="MV76" s="68"/>
      <c r="MW76" s="66"/>
      <c r="MX76" s="67"/>
      <c r="MY76" s="68"/>
      <c r="MZ76" s="66"/>
      <c r="NA76" s="67"/>
      <c r="NB76" s="68"/>
      <c r="NC76" s="67"/>
      <c r="ND76" s="67"/>
      <c r="NE76" s="72"/>
      <c r="NG76" s="275">
        <f>SUM(R76:NE76)</f>
        <v>1.16E-3</v>
      </c>
      <c r="NH76" s="1"/>
      <c r="NI76" s="1"/>
      <c r="NJ76" s="1"/>
      <c r="NK76" s="1"/>
    </row>
    <row r="77" spans="6:375" s="6" customFormat="1" ht="6.95" customHeight="1">
      <c r="F77" s="196"/>
      <c r="G77" s="197"/>
      <c r="H77" s="52">
        <v>2</v>
      </c>
      <c r="L77" s="292"/>
      <c r="M77" s="300"/>
      <c r="N77" s="301"/>
      <c r="O77" s="302"/>
      <c r="P77" s="315"/>
      <c r="Q77" s="237"/>
      <c r="R77" s="73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6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8"/>
      <c r="CA77" s="66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6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6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7"/>
      <c r="FZ77" s="67"/>
      <c r="GA77" s="67"/>
      <c r="GB77" s="67"/>
      <c r="GC77" s="67"/>
      <c r="GD77" s="67"/>
      <c r="GE77" s="67"/>
      <c r="GF77" s="67"/>
      <c r="GG77" s="67"/>
      <c r="GH77" s="67"/>
      <c r="GI77" s="67"/>
      <c r="GJ77" s="67"/>
      <c r="GK77" s="67"/>
      <c r="GL77" s="67"/>
      <c r="GM77" s="67"/>
      <c r="GN77" s="67"/>
      <c r="GO77" s="67"/>
      <c r="GP77" s="67"/>
      <c r="GQ77" s="67"/>
      <c r="GR77" s="67"/>
      <c r="GS77" s="67"/>
      <c r="GT77" s="67"/>
      <c r="GU77" s="67"/>
      <c r="GV77" s="67"/>
      <c r="GW77" s="67"/>
      <c r="GX77" s="67"/>
      <c r="GY77" s="67"/>
      <c r="GZ77" s="67"/>
      <c r="HA77" s="67"/>
      <c r="HB77" s="67"/>
      <c r="HC77" s="67"/>
      <c r="HD77" s="67"/>
      <c r="HE77" s="67"/>
      <c r="HF77" s="67"/>
      <c r="HG77" s="67"/>
      <c r="HH77" s="67"/>
      <c r="HI77" s="67"/>
      <c r="HJ77" s="67"/>
      <c r="HK77" s="67"/>
      <c r="HL77" s="67"/>
      <c r="HM77" s="67"/>
      <c r="HN77" s="67"/>
      <c r="HO77" s="67"/>
      <c r="HP77" s="67"/>
      <c r="HQ77" s="67"/>
      <c r="HR77" s="67"/>
      <c r="HS77" s="67"/>
      <c r="HT77" s="67"/>
      <c r="HU77" s="66"/>
      <c r="HV77" s="67"/>
      <c r="HW77" s="67"/>
      <c r="HX77" s="67"/>
      <c r="HY77" s="67"/>
      <c r="HZ77" s="67"/>
      <c r="IA77" s="67"/>
      <c r="IB77" s="67"/>
      <c r="IC77" s="67"/>
      <c r="ID77" s="67"/>
      <c r="IE77" s="67"/>
      <c r="IF77" s="67"/>
      <c r="IG77" s="67"/>
      <c r="IH77" s="67"/>
      <c r="II77" s="67"/>
      <c r="IJ77" s="67"/>
      <c r="IK77" s="67"/>
      <c r="IL77" s="67"/>
      <c r="IM77" s="67"/>
      <c r="IN77" s="67"/>
      <c r="IO77" s="67"/>
      <c r="IP77" s="67"/>
      <c r="IQ77" s="67"/>
      <c r="IR77" s="67"/>
      <c r="IS77" s="67"/>
      <c r="IT77" s="67"/>
      <c r="IU77" s="67"/>
      <c r="IV77" s="67"/>
      <c r="IW77" s="67"/>
      <c r="IX77" s="67"/>
      <c r="IY77" s="66"/>
      <c r="IZ77" s="67"/>
      <c r="JA77" s="67"/>
      <c r="JB77" s="67"/>
      <c r="JC77" s="67"/>
      <c r="JD77" s="67"/>
      <c r="JE77" s="67"/>
      <c r="JF77" s="67"/>
      <c r="JG77" s="67"/>
      <c r="JH77" s="67"/>
      <c r="JI77" s="67"/>
      <c r="JJ77" s="67"/>
      <c r="JK77" s="67"/>
      <c r="JL77" s="67"/>
      <c r="JM77" s="67"/>
      <c r="JN77" s="67"/>
      <c r="JO77" s="67"/>
      <c r="JP77" s="67"/>
      <c r="JQ77" s="67"/>
      <c r="JR77" s="67"/>
      <c r="JS77" s="67"/>
      <c r="JT77" s="67"/>
      <c r="JU77" s="67"/>
      <c r="JV77" s="67"/>
      <c r="JW77" s="67"/>
      <c r="JX77" s="67"/>
      <c r="JY77" s="67"/>
      <c r="JZ77" s="67"/>
      <c r="KA77" s="67"/>
      <c r="KB77" s="67"/>
      <c r="KC77" s="66"/>
      <c r="KD77" s="67"/>
      <c r="KE77" s="68"/>
      <c r="KF77" s="67"/>
      <c r="KG77" s="67"/>
      <c r="KH77" s="67"/>
      <c r="KI77" s="66"/>
      <c r="KJ77" s="67"/>
      <c r="KK77" s="68"/>
      <c r="KL77" s="67"/>
      <c r="KM77" s="67"/>
      <c r="KN77" s="67"/>
      <c r="KO77" s="66"/>
      <c r="KP77" s="67"/>
      <c r="KQ77" s="68"/>
      <c r="KR77" s="67"/>
      <c r="KS77" s="67"/>
      <c r="KT77" s="67"/>
      <c r="KU77" s="66"/>
      <c r="KV77" s="67"/>
      <c r="KW77" s="68"/>
      <c r="KX77" s="67"/>
      <c r="KY77" s="67"/>
      <c r="KZ77" s="67"/>
      <c r="LA77" s="70"/>
      <c r="LB77" s="67"/>
      <c r="LC77" s="71"/>
      <c r="LD77" s="67"/>
      <c r="LE77" s="67"/>
      <c r="LF77" s="68"/>
      <c r="LG77" s="66"/>
      <c r="LH77" s="67"/>
      <c r="LI77" s="68"/>
      <c r="LJ77" s="66"/>
      <c r="LK77" s="67"/>
      <c r="LL77" s="68"/>
      <c r="LM77" s="66"/>
      <c r="LN77" s="67"/>
      <c r="LO77" s="67"/>
      <c r="LP77" s="66"/>
      <c r="LQ77" s="67"/>
      <c r="LR77" s="68"/>
      <c r="LS77" s="61"/>
      <c r="LT77" s="62"/>
      <c r="LU77" s="63"/>
      <c r="LV77" s="61"/>
      <c r="LW77" s="62"/>
      <c r="LX77" s="63"/>
      <c r="LY77" s="61"/>
      <c r="LZ77" s="62"/>
      <c r="MA77" s="63"/>
      <c r="MB77" s="61"/>
      <c r="MC77" s="62"/>
      <c r="MD77" s="63"/>
      <c r="ME77" s="61"/>
      <c r="MF77" s="62"/>
      <c r="MG77" s="63"/>
      <c r="MH77" s="66"/>
      <c r="MI77" s="67"/>
      <c r="MJ77" s="68"/>
      <c r="MK77" s="67"/>
      <c r="ML77" s="67"/>
      <c r="MM77" s="67"/>
      <c r="MN77" s="66"/>
      <c r="MO77" s="67"/>
      <c r="MP77" s="68"/>
      <c r="MQ77" s="66"/>
      <c r="MR77" s="67"/>
      <c r="MS77" s="68"/>
      <c r="MT77" s="66"/>
      <c r="MU77" s="67"/>
      <c r="MV77" s="68"/>
      <c r="MW77" s="66"/>
      <c r="MX77" s="67"/>
      <c r="MY77" s="68"/>
      <c r="MZ77" s="66"/>
      <c r="NA77" s="67"/>
      <c r="NB77" s="68"/>
      <c r="NC77" s="67"/>
      <c r="ND77" s="67"/>
      <c r="NE77" s="72"/>
      <c r="NG77" s="275"/>
      <c r="NH77" s="1"/>
      <c r="NI77" s="1"/>
      <c r="NJ77" s="1"/>
      <c r="NK77" s="1"/>
    </row>
    <row r="78" spans="6:375" s="6" customFormat="1" ht="9.9499999999999993" customHeight="1">
      <c r="F78" s="196">
        <f t="shared" ref="F78" si="377">NG78</f>
        <v>1.4000000000000001E-4</v>
      </c>
      <c r="G78" s="197">
        <f>Q78-F78</f>
        <v>0</v>
      </c>
      <c r="H78" s="27">
        <v>1</v>
      </c>
      <c r="I78" s="6" t="s">
        <v>208</v>
      </c>
      <c r="J78" s="19" t="s">
        <v>184</v>
      </c>
      <c r="K78" s="6" t="s">
        <v>209</v>
      </c>
      <c r="L78" s="339"/>
      <c r="M78" s="293" t="s">
        <v>21</v>
      </c>
      <c r="N78" s="313">
        <v>16</v>
      </c>
      <c r="O78" s="305" t="s">
        <v>295</v>
      </c>
      <c r="P78" s="307">
        <v>28604</v>
      </c>
      <c r="Q78" s="236">
        <f>ROUND(P78/$P$256,5)</f>
        <v>1.3999999999999999E-4</v>
      </c>
      <c r="R78" s="76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3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5"/>
      <c r="CA78" s="53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C78" s="54"/>
      <c r="DD78" s="54"/>
      <c r="DE78" s="53"/>
      <c r="DF78" s="54"/>
      <c r="DG78" s="54"/>
      <c r="DH78" s="54"/>
      <c r="DI78" s="54"/>
      <c r="DJ78" s="54"/>
      <c r="DK78" s="54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4"/>
      <c r="DW78" s="54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4"/>
      <c r="EI78" s="54"/>
      <c r="EJ78" s="54"/>
      <c r="EK78" s="54"/>
      <c r="EL78" s="54"/>
      <c r="EM78" s="54"/>
      <c r="EN78" s="54"/>
      <c r="EO78" s="54"/>
      <c r="EP78" s="54"/>
      <c r="EQ78" s="54"/>
      <c r="ER78" s="54"/>
      <c r="ES78" s="54"/>
      <c r="ET78" s="54"/>
      <c r="EU78" s="54"/>
      <c r="EV78" s="54"/>
      <c r="EW78" s="54"/>
      <c r="EX78" s="54"/>
      <c r="EY78" s="54"/>
      <c r="EZ78" s="54"/>
      <c r="FA78" s="54"/>
      <c r="FB78" s="54"/>
      <c r="FC78" s="54"/>
      <c r="FD78" s="54"/>
      <c r="FE78" s="54"/>
      <c r="FF78" s="54"/>
      <c r="FG78" s="54"/>
      <c r="FH78" s="54"/>
      <c r="FI78" s="54"/>
      <c r="FJ78" s="54"/>
      <c r="FK78" s="54"/>
      <c r="FL78" s="54"/>
      <c r="FM78" s="53"/>
      <c r="FN78" s="54"/>
      <c r="FO78" s="54"/>
      <c r="FP78" s="54"/>
      <c r="FQ78" s="54"/>
      <c r="FR78" s="54"/>
      <c r="FS78" s="54"/>
      <c r="FT78" s="54"/>
      <c r="FU78" s="54"/>
      <c r="FV78" s="54"/>
      <c r="FW78" s="54"/>
      <c r="FX78" s="54"/>
      <c r="FY78" s="54"/>
      <c r="FZ78" s="54"/>
      <c r="GA78" s="54"/>
      <c r="GB78" s="54"/>
      <c r="GC78" s="54"/>
      <c r="GD78" s="54"/>
      <c r="GE78" s="54"/>
      <c r="GF78" s="54"/>
      <c r="GG78" s="54"/>
      <c r="GH78" s="54"/>
      <c r="GI78" s="54"/>
      <c r="GJ78" s="54"/>
      <c r="GK78" s="54"/>
      <c r="GL78" s="54"/>
      <c r="GM78" s="54"/>
      <c r="GN78" s="54"/>
      <c r="GO78" s="54"/>
      <c r="GP78" s="54"/>
      <c r="GQ78" s="54"/>
      <c r="GR78" s="54"/>
      <c r="GS78" s="54"/>
      <c r="GT78" s="54"/>
      <c r="GU78" s="54"/>
      <c r="GV78" s="54"/>
      <c r="GW78" s="54"/>
      <c r="GX78" s="54"/>
      <c r="GY78" s="54"/>
      <c r="GZ78" s="54"/>
      <c r="HA78" s="54"/>
      <c r="HB78" s="54"/>
      <c r="HC78" s="54"/>
      <c r="HD78" s="54"/>
      <c r="HE78" s="54"/>
      <c r="HF78" s="54"/>
      <c r="HG78" s="54"/>
      <c r="HH78" s="54"/>
      <c r="HI78" s="54"/>
      <c r="HJ78" s="54"/>
      <c r="HK78" s="54"/>
      <c r="HL78" s="54"/>
      <c r="HM78" s="54"/>
      <c r="HN78" s="54"/>
      <c r="HO78" s="54"/>
      <c r="HP78" s="54"/>
      <c r="HQ78" s="54"/>
      <c r="HR78" s="54"/>
      <c r="HS78" s="54"/>
      <c r="HT78" s="54"/>
      <c r="HU78" s="53"/>
      <c r="HV78" s="54"/>
      <c r="HW78" s="54"/>
      <c r="HX78" s="54"/>
      <c r="HY78" s="54"/>
      <c r="HZ78" s="54"/>
      <c r="IA78" s="54"/>
      <c r="IB78" s="54"/>
      <c r="IC78" s="54"/>
      <c r="ID78" s="54"/>
      <c r="IE78" s="54"/>
      <c r="IF78" s="54"/>
      <c r="IG78" s="54"/>
      <c r="IH78" s="54"/>
      <c r="II78" s="54"/>
      <c r="IJ78" s="54"/>
      <c r="IK78" s="54"/>
      <c r="IL78" s="54"/>
      <c r="IM78" s="54"/>
      <c r="IN78" s="54"/>
      <c r="IO78" s="54"/>
      <c r="IP78" s="54"/>
      <c r="IQ78" s="54"/>
      <c r="IR78" s="54"/>
      <c r="IS78" s="54"/>
      <c r="IT78" s="54"/>
      <c r="IU78" s="54"/>
      <c r="IV78" s="54"/>
      <c r="IW78" s="54"/>
      <c r="IX78" s="54"/>
      <c r="IY78" s="53"/>
      <c r="IZ78" s="54"/>
      <c r="JA78" s="54"/>
      <c r="JB78" s="54"/>
      <c r="JC78" s="54"/>
      <c r="JD78" s="54"/>
      <c r="JE78" s="54"/>
      <c r="JF78" s="54"/>
      <c r="JG78" s="54"/>
      <c r="JH78" s="54"/>
      <c r="JI78" s="54"/>
      <c r="JJ78" s="54"/>
      <c r="JK78" s="54"/>
      <c r="JL78" s="54"/>
      <c r="JM78" s="54"/>
      <c r="JN78" s="54"/>
      <c r="JO78" s="54"/>
      <c r="JP78" s="54"/>
      <c r="JQ78" s="54"/>
      <c r="JR78" s="54"/>
      <c r="JS78" s="54"/>
      <c r="JT78" s="54"/>
      <c r="JU78" s="54"/>
      <c r="JV78" s="54"/>
      <c r="JW78" s="54"/>
      <c r="JX78" s="54"/>
      <c r="JY78" s="54"/>
      <c r="JZ78" s="54"/>
      <c r="KA78" s="54"/>
      <c r="KB78" s="54"/>
      <c r="KC78" s="212"/>
      <c r="KD78" s="212"/>
      <c r="KE78" s="212"/>
      <c r="KF78" s="54"/>
      <c r="KG78" s="54"/>
      <c r="KH78" s="54"/>
      <c r="KI78" s="53"/>
      <c r="KJ78" s="54"/>
      <c r="KK78" s="55"/>
      <c r="KL78" s="54"/>
      <c r="KM78" s="54"/>
      <c r="KN78" s="54"/>
      <c r="KO78" s="53"/>
      <c r="KP78" s="54"/>
      <c r="KQ78" s="55"/>
      <c r="KR78" s="54"/>
      <c r="KS78" s="54"/>
      <c r="KT78" s="54"/>
      <c r="KU78" s="53"/>
      <c r="KV78" s="54"/>
      <c r="KW78" s="55"/>
      <c r="KX78" s="54"/>
      <c r="KY78" s="54"/>
      <c r="KZ78" s="54"/>
      <c r="LA78" s="211">
        <v>2.0000000000000002E-5</v>
      </c>
      <c r="LB78" s="212"/>
      <c r="LC78" s="213"/>
      <c r="LD78" s="220">
        <v>3.0000000000000001E-5</v>
      </c>
      <c r="LE78" s="212"/>
      <c r="LF78" s="212"/>
      <c r="LG78" s="53"/>
      <c r="LH78" s="54"/>
      <c r="LI78" s="55"/>
      <c r="LJ78" s="212">
        <v>3.0000000000000001E-5</v>
      </c>
      <c r="LK78" s="212"/>
      <c r="LL78" s="212"/>
      <c r="LM78" s="212">
        <v>3.0000000000000001E-5</v>
      </c>
      <c r="LN78" s="212"/>
      <c r="LO78" s="212"/>
      <c r="LP78" s="212">
        <v>3.0000000000000001E-5</v>
      </c>
      <c r="LQ78" s="212"/>
      <c r="LR78" s="212"/>
      <c r="LS78" s="53"/>
      <c r="LT78" s="54"/>
      <c r="LU78" s="55"/>
      <c r="LV78" s="54"/>
      <c r="LW78" s="54"/>
      <c r="LX78" s="55"/>
      <c r="LY78" s="54"/>
      <c r="LZ78" s="54"/>
      <c r="MA78" s="54"/>
      <c r="MB78" s="53"/>
      <c r="MC78" s="54"/>
      <c r="MD78" s="55"/>
      <c r="ME78" s="53"/>
      <c r="MF78" s="54"/>
      <c r="MG78" s="55"/>
      <c r="MH78" s="53"/>
      <c r="MI78" s="54"/>
      <c r="MJ78" s="55"/>
      <c r="MK78" s="54"/>
      <c r="ML78" s="54"/>
      <c r="MM78" s="54"/>
      <c r="MN78" s="53"/>
      <c r="MO78" s="54"/>
      <c r="MP78" s="55"/>
      <c r="MQ78" s="53"/>
      <c r="MR78" s="54"/>
      <c r="MS78" s="55"/>
      <c r="MT78" s="53"/>
      <c r="MU78" s="54"/>
      <c r="MV78" s="55"/>
      <c r="MW78" s="53"/>
      <c r="MX78" s="54"/>
      <c r="MY78" s="55"/>
      <c r="MZ78" s="53"/>
      <c r="NA78" s="54"/>
      <c r="NB78" s="55"/>
      <c r="NC78" s="54"/>
      <c r="ND78" s="54"/>
      <c r="NE78" s="59"/>
      <c r="NG78" s="275">
        <f>SUM(R78:NE78)</f>
        <v>1.4000000000000001E-4</v>
      </c>
      <c r="NH78" s="1"/>
      <c r="NI78" s="1"/>
      <c r="NJ78" s="1"/>
      <c r="NK78" s="1"/>
    </row>
    <row r="79" spans="6:375" s="6" customFormat="1" ht="6.95" customHeight="1">
      <c r="F79" s="196"/>
      <c r="G79" s="197"/>
      <c r="H79" s="52">
        <v>2</v>
      </c>
      <c r="L79" s="340"/>
      <c r="M79" s="294"/>
      <c r="N79" s="314"/>
      <c r="O79" s="306"/>
      <c r="P79" s="308"/>
      <c r="Q79" s="237"/>
      <c r="R79" s="6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39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1"/>
      <c r="CA79" s="39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39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0"/>
      <c r="DY79" s="40"/>
      <c r="DZ79" s="40"/>
      <c r="EA79" s="40"/>
      <c r="EB79" s="40"/>
      <c r="EC79" s="40"/>
      <c r="ED79" s="40"/>
      <c r="EE79" s="40"/>
      <c r="EF79" s="40"/>
      <c r="EG79" s="40"/>
      <c r="EH79" s="40"/>
      <c r="EI79" s="40"/>
      <c r="EJ79" s="40"/>
      <c r="EK79" s="40"/>
      <c r="EL79" s="40"/>
      <c r="EM79" s="40"/>
      <c r="EN79" s="40"/>
      <c r="EO79" s="40"/>
      <c r="EP79" s="40"/>
      <c r="EQ79" s="40"/>
      <c r="ER79" s="40"/>
      <c r="ES79" s="40"/>
      <c r="ET79" s="40"/>
      <c r="EU79" s="40"/>
      <c r="EV79" s="40"/>
      <c r="EW79" s="40"/>
      <c r="EX79" s="40"/>
      <c r="EY79" s="40"/>
      <c r="EZ79" s="40"/>
      <c r="FA79" s="40"/>
      <c r="FB79" s="40"/>
      <c r="FC79" s="40"/>
      <c r="FD79" s="40"/>
      <c r="FE79" s="40"/>
      <c r="FF79" s="40"/>
      <c r="FG79" s="40"/>
      <c r="FH79" s="40"/>
      <c r="FI79" s="40"/>
      <c r="FJ79" s="40"/>
      <c r="FK79" s="40"/>
      <c r="FL79" s="40"/>
      <c r="FM79" s="39"/>
      <c r="FN79" s="40"/>
      <c r="FO79" s="40"/>
      <c r="FP79" s="40"/>
      <c r="FQ79" s="40"/>
      <c r="FR79" s="40"/>
      <c r="FS79" s="40"/>
      <c r="FT79" s="40"/>
      <c r="FU79" s="40"/>
      <c r="FV79" s="40"/>
      <c r="FW79" s="40"/>
      <c r="FX79" s="40"/>
      <c r="FY79" s="40"/>
      <c r="FZ79" s="40"/>
      <c r="GA79" s="40"/>
      <c r="GB79" s="40"/>
      <c r="GC79" s="40"/>
      <c r="GD79" s="40"/>
      <c r="GE79" s="40"/>
      <c r="GF79" s="40"/>
      <c r="GG79" s="40"/>
      <c r="GH79" s="40"/>
      <c r="GI79" s="40"/>
      <c r="GJ79" s="40"/>
      <c r="GK79" s="40"/>
      <c r="GL79" s="40"/>
      <c r="GM79" s="40"/>
      <c r="GN79" s="40"/>
      <c r="GO79" s="40"/>
      <c r="GP79" s="40"/>
      <c r="GQ79" s="40"/>
      <c r="GR79" s="40"/>
      <c r="GS79" s="40"/>
      <c r="GT79" s="40"/>
      <c r="GU79" s="40"/>
      <c r="GV79" s="40"/>
      <c r="GW79" s="40"/>
      <c r="GX79" s="40"/>
      <c r="GY79" s="40"/>
      <c r="GZ79" s="40"/>
      <c r="HA79" s="40"/>
      <c r="HB79" s="40"/>
      <c r="HC79" s="40"/>
      <c r="HD79" s="40"/>
      <c r="HE79" s="40"/>
      <c r="HF79" s="40"/>
      <c r="HG79" s="40"/>
      <c r="HH79" s="40"/>
      <c r="HI79" s="40"/>
      <c r="HJ79" s="40"/>
      <c r="HK79" s="40"/>
      <c r="HL79" s="40"/>
      <c r="HM79" s="40"/>
      <c r="HN79" s="40"/>
      <c r="HO79" s="40"/>
      <c r="HP79" s="40"/>
      <c r="HQ79" s="40"/>
      <c r="HR79" s="40"/>
      <c r="HS79" s="40"/>
      <c r="HT79" s="40"/>
      <c r="HU79" s="39"/>
      <c r="HV79" s="40"/>
      <c r="HW79" s="40"/>
      <c r="HX79" s="40"/>
      <c r="HY79" s="40"/>
      <c r="HZ79" s="40"/>
      <c r="IA79" s="40"/>
      <c r="IB79" s="40"/>
      <c r="IC79" s="40"/>
      <c r="ID79" s="40"/>
      <c r="IE79" s="40"/>
      <c r="IF79" s="40"/>
      <c r="IG79" s="40"/>
      <c r="IH79" s="40"/>
      <c r="II79" s="40"/>
      <c r="IJ79" s="40"/>
      <c r="IK79" s="40"/>
      <c r="IL79" s="40"/>
      <c r="IM79" s="40"/>
      <c r="IN79" s="40"/>
      <c r="IO79" s="40"/>
      <c r="IP79" s="40"/>
      <c r="IQ79" s="40"/>
      <c r="IR79" s="40"/>
      <c r="IS79" s="40"/>
      <c r="IT79" s="40"/>
      <c r="IU79" s="40"/>
      <c r="IV79" s="40"/>
      <c r="IW79" s="40"/>
      <c r="IX79" s="40"/>
      <c r="IY79" s="39"/>
      <c r="IZ79" s="40"/>
      <c r="JA79" s="40"/>
      <c r="JB79" s="40"/>
      <c r="JC79" s="40"/>
      <c r="JD79" s="40"/>
      <c r="JE79" s="40"/>
      <c r="JF79" s="40"/>
      <c r="JG79" s="40"/>
      <c r="JH79" s="40"/>
      <c r="JI79" s="40"/>
      <c r="JJ79" s="40"/>
      <c r="JK79" s="40"/>
      <c r="JL79" s="40"/>
      <c r="JM79" s="40"/>
      <c r="JN79" s="40"/>
      <c r="JO79" s="40"/>
      <c r="JP79" s="40"/>
      <c r="JQ79" s="40"/>
      <c r="JR79" s="40"/>
      <c r="JS79" s="40"/>
      <c r="JT79" s="40"/>
      <c r="JU79" s="40"/>
      <c r="JV79" s="40"/>
      <c r="JW79" s="40"/>
      <c r="JX79" s="40"/>
      <c r="JY79" s="40"/>
      <c r="JZ79" s="40"/>
      <c r="KA79" s="40"/>
      <c r="KB79" s="40"/>
      <c r="KC79" s="39"/>
      <c r="KD79" s="40"/>
      <c r="KE79" s="41"/>
      <c r="KF79" s="40"/>
      <c r="KG79" s="40"/>
      <c r="KH79" s="40"/>
      <c r="KI79" s="39"/>
      <c r="KJ79" s="40"/>
      <c r="KK79" s="41"/>
      <c r="KL79" s="40"/>
      <c r="KM79" s="40"/>
      <c r="KN79" s="40"/>
      <c r="KO79" s="39"/>
      <c r="KP79" s="40"/>
      <c r="KQ79" s="41"/>
      <c r="KR79" s="40"/>
      <c r="KS79" s="40"/>
      <c r="KT79" s="40"/>
      <c r="KU79" s="39"/>
      <c r="KV79" s="40"/>
      <c r="KW79" s="41"/>
      <c r="KX79" s="40"/>
      <c r="KY79" s="40"/>
      <c r="KZ79" s="40"/>
      <c r="LA79" s="61"/>
      <c r="LB79" s="62"/>
      <c r="LC79" s="63"/>
      <c r="LD79" s="61"/>
      <c r="LE79" s="62"/>
      <c r="LF79" s="63"/>
      <c r="LG79" s="39"/>
      <c r="LH79" s="40"/>
      <c r="LI79" s="41"/>
      <c r="LJ79" s="61"/>
      <c r="LK79" s="62"/>
      <c r="LL79" s="63"/>
      <c r="LM79" s="61"/>
      <c r="LN79" s="62"/>
      <c r="LO79" s="63"/>
      <c r="LP79" s="61"/>
      <c r="LQ79" s="62"/>
      <c r="LR79" s="63"/>
      <c r="LS79" s="39"/>
      <c r="LT79" s="40"/>
      <c r="LU79" s="41"/>
      <c r="LV79" s="40"/>
      <c r="LW79" s="40"/>
      <c r="LX79" s="41"/>
      <c r="LY79" s="40"/>
      <c r="LZ79" s="40"/>
      <c r="MA79" s="40"/>
      <c r="MB79" s="39"/>
      <c r="MC79" s="40"/>
      <c r="MD79" s="41"/>
      <c r="ME79" s="39"/>
      <c r="MF79" s="40"/>
      <c r="MG79" s="41"/>
      <c r="MH79" s="39"/>
      <c r="MI79" s="40"/>
      <c r="MJ79" s="41"/>
      <c r="MK79" s="40"/>
      <c r="ML79" s="40"/>
      <c r="MM79" s="40"/>
      <c r="MN79" s="39"/>
      <c r="MO79" s="40"/>
      <c r="MP79" s="41"/>
      <c r="MQ79" s="39"/>
      <c r="MR79" s="40"/>
      <c r="MS79" s="41"/>
      <c r="MT79" s="39"/>
      <c r="MU79" s="40"/>
      <c r="MV79" s="41"/>
      <c r="MW79" s="39"/>
      <c r="MX79" s="40"/>
      <c r="MY79" s="41"/>
      <c r="MZ79" s="39"/>
      <c r="NA79" s="40"/>
      <c r="NB79" s="41"/>
      <c r="NC79" s="40"/>
      <c r="ND79" s="40"/>
      <c r="NE79" s="42"/>
      <c r="NG79" s="275"/>
      <c r="NH79" s="1"/>
      <c r="NI79" s="1"/>
      <c r="NJ79" s="1"/>
      <c r="NK79" s="1"/>
    </row>
    <row r="80" spans="6:375" s="6" customFormat="1" ht="9.9499999999999993" customHeight="1">
      <c r="F80" s="196">
        <f t="shared" ref="F80" si="378">NG80</f>
        <v>2.0700000000000002E-3</v>
      </c>
      <c r="G80" s="197">
        <f>Q80-F80</f>
        <v>0</v>
      </c>
      <c r="H80" s="27">
        <v>1</v>
      </c>
      <c r="L80" s="292"/>
      <c r="M80" s="300" t="s">
        <v>274</v>
      </c>
      <c r="N80" s="301">
        <v>15498</v>
      </c>
      <c r="O80" s="303" t="s">
        <v>275</v>
      </c>
      <c r="P80" s="315">
        <v>431739</v>
      </c>
      <c r="Q80" s="236">
        <f>ROUND(P80/$P$256,5)</f>
        <v>2.0699999999999998E-3</v>
      </c>
      <c r="R80" s="73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6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8"/>
      <c r="CA80" s="66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C80" s="67"/>
      <c r="DD80" s="67"/>
      <c r="DE80" s="66"/>
      <c r="DF80" s="67"/>
      <c r="DG80" s="67"/>
      <c r="DH80" s="67"/>
      <c r="DI80" s="67"/>
      <c r="DJ80" s="67"/>
      <c r="DK80" s="67"/>
      <c r="DL80" s="67"/>
      <c r="DM80" s="67"/>
      <c r="DN80" s="67"/>
      <c r="DO80" s="67"/>
      <c r="DP80" s="67"/>
      <c r="DQ80" s="67"/>
      <c r="DR80" s="67"/>
      <c r="DS80" s="67"/>
      <c r="DT80" s="67"/>
      <c r="DU80" s="67"/>
      <c r="DV80" s="67"/>
      <c r="DW80" s="67"/>
      <c r="DX80" s="67"/>
      <c r="DY80" s="67"/>
      <c r="DZ80" s="67"/>
      <c r="EA80" s="67"/>
      <c r="EB80" s="67"/>
      <c r="EC80" s="67"/>
      <c r="ED80" s="67"/>
      <c r="EE80" s="67"/>
      <c r="EF80" s="67"/>
      <c r="EG80" s="67"/>
      <c r="EH80" s="67"/>
      <c r="EI80" s="67"/>
      <c r="EJ80" s="67"/>
      <c r="EK80" s="67"/>
      <c r="EL80" s="67"/>
      <c r="EM80" s="67"/>
      <c r="EN80" s="67"/>
      <c r="EO80" s="67"/>
      <c r="EP80" s="67"/>
      <c r="EQ80" s="67"/>
      <c r="ER80" s="67"/>
      <c r="ES80" s="67"/>
      <c r="ET80" s="67"/>
      <c r="EU80" s="67"/>
      <c r="EV80" s="67"/>
      <c r="EW80" s="67"/>
      <c r="EX80" s="67"/>
      <c r="EY80" s="67"/>
      <c r="EZ80" s="67"/>
      <c r="FA80" s="67"/>
      <c r="FB80" s="67"/>
      <c r="FC80" s="67"/>
      <c r="FD80" s="67"/>
      <c r="FE80" s="67"/>
      <c r="FF80" s="67"/>
      <c r="FG80" s="67"/>
      <c r="FH80" s="67"/>
      <c r="FI80" s="67"/>
      <c r="FJ80" s="67"/>
      <c r="FK80" s="67"/>
      <c r="FL80" s="67"/>
      <c r="FM80" s="157"/>
      <c r="FN80" s="157"/>
      <c r="FO80" s="157"/>
      <c r="FP80" s="157"/>
      <c r="FQ80" s="157"/>
      <c r="FR80" s="157"/>
      <c r="FS80" s="157"/>
      <c r="FT80" s="157"/>
      <c r="FU80" s="157"/>
      <c r="FV80" s="157"/>
      <c r="FW80" s="157"/>
      <c r="FX80" s="157"/>
      <c r="FY80" s="157"/>
      <c r="FZ80" s="157"/>
      <c r="GA80" s="157"/>
      <c r="GB80" s="157"/>
      <c r="GC80" s="157"/>
      <c r="GD80" s="157"/>
      <c r="GE80" s="157"/>
      <c r="GF80" s="157"/>
      <c r="GG80" s="157"/>
      <c r="GH80" s="157"/>
      <c r="GI80" s="157"/>
      <c r="GJ80" s="157"/>
      <c r="GK80" s="157"/>
      <c r="GL80" s="157"/>
      <c r="GM80" s="157"/>
      <c r="GN80" s="157"/>
      <c r="GO80" s="157"/>
      <c r="GP80" s="157"/>
      <c r="GQ80" s="157"/>
      <c r="GR80" s="157"/>
      <c r="GS80" s="157"/>
      <c r="GT80" s="157"/>
      <c r="GU80" s="157"/>
      <c r="GV80" s="157"/>
      <c r="GW80" s="157"/>
      <c r="GX80" s="157"/>
      <c r="GY80" s="157"/>
      <c r="GZ80" s="157"/>
      <c r="HA80" s="157"/>
      <c r="HB80" s="157"/>
      <c r="HC80" s="157"/>
      <c r="HD80" s="157"/>
      <c r="HE80" s="157"/>
      <c r="HF80" s="157"/>
      <c r="HG80" s="157"/>
      <c r="HH80" s="157"/>
      <c r="HI80" s="157"/>
      <c r="HJ80" s="157"/>
      <c r="HK80" s="157"/>
      <c r="HL80" s="157"/>
      <c r="HM80" s="157"/>
      <c r="HN80" s="157"/>
      <c r="HO80" s="157"/>
      <c r="HP80" s="157"/>
      <c r="HQ80" s="157"/>
      <c r="HR80" s="157"/>
      <c r="HS80" s="157"/>
      <c r="HT80" s="157"/>
      <c r="HU80" s="157"/>
      <c r="HV80" s="157"/>
      <c r="HW80" s="157"/>
      <c r="HX80" s="157"/>
      <c r="HY80" s="157"/>
      <c r="HZ80" s="157"/>
      <c r="IA80" s="157"/>
      <c r="IB80" s="157"/>
      <c r="IC80" s="157"/>
      <c r="ID80" s="157"/>
      <c r="IE80" s="157"/>
      <c r="IF80" s="157"/>
      <c r="IG80" s="157"/>
      <c r="IH80" s="157"/>
      <c r="II80" s="157"/>
      <c r="IJ80" s="157"/>
      <c r="IK80" s="157"/>
      <c r="IL80" s="157"/>
      <c r="IM80" s="157"/>
      <c r="IN80" s="157"/>
      <c r="IO80" s="157"/>
      <c r="IP80" s="157"/>
      <c r="IQ80" s="157"/>
      <c r="IR80" s="157"/>
      <c r="IS80" s="157"/>
      <c r="IT80" s="157"/>
      <c r="IU80" s="157"/>
      <c r="IV80" s="157"/>
      <c r="IW80" s="157"/>
      <c r="IX80" s="157"/>
      <c r="IY80" s="157"/>
      <c r="IZ80" s="157"/>
      <c r="JA80" s="157"/>
      <c r="JB80" s="157"/>
      <c r="JC80" s="157"/>
      <c r="JD80" s="157"/>
      <c r="JE80" s="157"/>
      <c r="JF80" s="157"/>
      <c r="JG80" s="157"/>
      <c r="JH80" s="157"/>
      <c r="JI80" s="157"/>
      <c r="JJ80" s="157"/>
      <c r="JK80" s="157"/>
      <c r="JL80" s="157"/>
      <c r="JM80" s="157"/>
      <c r="JN80" s="157"/>
      <c r="JO80" s="157"/>
      <c r="JP80" s="157"/>
      <c r="JQ80" s="157"/>
      <c r="JR80" s="157"/>
      <c r="JS80" s="157"/>
      <c r="JT80" s="157"/>
      <c r="JU80" s="157"/>
      <c r="JV80" s="157"/>
      <c r="JW80" s="157"/>
      <c r="JX80" s="157"/>
      <c r="JY80" s="157"/>
      <c r="JZ80" s="157"/>
      <c r="KA80" s="157"/>
      <c r="KB80" s="157"/>
      <c r="KC80" s="214"/>
      <c r="KD80" s="214"/>
      <c r="KE80" s="214"/>
      <c r="KF80" s="67"/>
      <c r="KG80" s="67"/>
      <c r="KH80" s="67"/>
      <c r="KI80" s="66"/>
      <c r="KJ80" s="67"/>
      <c r="KK80" s="68"/>
      <c r="KL80" s="67"/>
      <c r="KM80" s="67"/>
      <c r="KN80" s="67"/>
      <c r="KO80" s="66"/>
      <c r="KP80" s="67"/>
      <c r="KQ80" s="68"/>
      <c r="KR80" s="214"/>
      <c r="KS80" s="214"/>
      <c r="KT80" s="214"/>
      <c r="KU80" s="214"/>
      <c r="KV80" s="214"/>
      <c r="KW80" s="214"/>
      <c r="KX80" s="214"/>
      <c r="KY80" s="214"/>
      <c r="KZ80" s="216"/>
      <c r="LA80" s="233"/>
      <c r="LB80" s="214"/>
      <c r="LC80" s="234"/>
      <c r="LD80" s="215"/>
      <c r="LE80" s="214"/>
      <c r="LF80" s="214"/>
      <c r="LG80" s="214"/>
      <c r="LH80" s="214"/>
      <c r="LI80" s="214"/>
      <c r="LJ80" s="66"/>
      <c r="LK80" s="67"/>
      <c r="LL80" s="68"/>
      <c r="LM80" s="66"/>
      <c r="LN80" s="67"/>
      <c r="LO80" s="67"/>
      <c r="LP80" s="66"/>
      <c r="LQ80" s="67"/>
      <c r="LR80" s="68"/>
      <c r="LS80" s="66"/>
      <c r="LT80" s="67"/>
      <c r="LU80" s="68"/>
      <c r="LV80" s="67"/>
      <c r="LW80" s="67"/>
      <c r="LX80" s="68"/>
      <c r="LY80" s="67"/>
      <c r="LZ80" s="67"/>
      <c r="MA80" s="67"/>
      <c r="MB80" s="214">
        <v>5.0000000000000001E-4</v>
      </c>
      <c r="MC80" s="214"/>
      <c r="MD80" s="214"/>
      <c r="ME80" s="214">
        <v>5.5000000000000003E-4</v>
      </c>
      <c r="MF80" s="214"/>
      <c r="MG80" s="214"/>
      <c r="MH80" s="214">
        <v>5.5999999999999995E-4</v>
      </c>
      <c r="MI80" s="214"/>
      <c r="MJ80" s="214"/>
      <c r="MK80" s="214">
        <v>4.6000000000000001E-4</v>
      </c>
      <c r="ML80" s="214"/>
      <c r="MM80" s="214"/>
      <c r="MN80" s="66"/>
      <c r="MO80" s="67"/>
      <c r="MP80" s="68"/>
      <c r="MQ80" s="66"/>
      <c r="MR80" s="67"/>
      <c r="MS80" s="68"/>
      <c r="MT80" s="66"/>
      <c r="MU80" s="67"/>
      <c r="MV80" s="68"/>
      <c r="MW80" s="66"/>
      <c r="MX80" s="67"/>
      <c r="MY80" s="68"/>
      <c r="MZ80" s="66"/>
      <c r="NA80" s="67"/>
      <c r="NB80" s="68"/>
      <c r="NC80" s="67"/>
      <c r="ND80" s="67"/>
      <c r="NE80" s="72"/>
      <c r="NG80" s="275">
        <f>SUM(R80:NE80)</f>
        <v>2.0700000000000002E-3</v>
      </c>
      <c r="NH80" s="1"/>
      <c r="NI80" s="1"/>
      <c r="NJ80" s="1"/>
      <c r="NK80" s="1"/>
    </row>
    <row r="81" spans="4:375" s="6" customFormat="1" ht="6.95" customHeight="1">
      <c r="E81" s="79"/>
      <c r="F81" s="196"/>
      <c r="G81" s="197"/>
      <c r="H81" s="52">
        <v>2</v>
      </c>
      <c r="I81" s="80"/>
      <c r="J81" s="80"/>
      <c r="L81" s="292"/>
      <c r="M81" s="300"/>
      <c r="N81" s="301"/>
      <c r="O81" s="304"/>
      <c r="P81" s="315"/>
      <c r="Q81" s="237"/>
      <c r="R81" s="73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6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8"/>
      <c r="CA81" s="66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C81" s="67"/>
      <c r="DD81" s="67"/>
      <c r="DE81" s="66"/>
      <c r="DF81" s="67"/>
      <c r="DG81" s="67"/>
      <c r="DH81" s="67"/>
      <c r="DI81" s="67"/>
      <c r="DJ81" s="67"/>
      <c r="DK81" s="67"/>
      <c r="DL81" s="67"/>
      <c r="DM81" s="67"/>
      <c r="DN81" s="67"/>
      <c r="DO81" s="67"/>
      <c r="DP81" s="67"/>
      <c r="DQ81" s="67"/>
      <c r="DR81" s="67"/>
      <c r="DS81" s="67"/>
      <c r="DT81" s="67"/>
      <c r="DU81" s="67"/>
      <c r="DV81" s="67"/>
      <c r="DW81" s="67"/>
      <c r="DX81" s="67"/>
      <c r="DY81" s="67"/>
      <c r="DZ81" s="67"/>
      <c r="EA81" s="67"/>
      <c r="EB81" s="67"/>
      <c r="EC81" s="67"/>
      <c r="ED81" s="67"/>
      <c r="EE81" s="67"/>
      <c r="EF81" s="67"/>
      <c r="EG81" s="67"/>
      <c r="EH81" s="67"/>
      <c r="EI81" s="67"/>
      <c r="EJ81" s="67"/>
      <c r="EK81" s="67"/>
      <c r="EL81" s="67"/>
      <c r="EM81" s="67"/>
      <c r="EN81" s="67"/>
      <c r="EO81" s="67"/>
      <c r="EP81" s="67"/>
      <c r="EQ81" s="67"/>
      <c r="ER81" s="67"/>
      <c r="ES81" s="67"/>
      <c r="ET81" s="67"/>
      <c r="EU81" s="67"/>
      <c r="EV81" s="67"/>
      <c r="EW81" s="67"/>
      <c r="EX81" s="67"/>
      <c r="EY81" s="67"/>
      <c r="EZ81" s="67"/>
      <c r="FA81" s="67"/>
      <c r="FB81" s="67"/>
      <c r="FC81" s="67"/>
      <c r="FD81" s="67"/>
      <c r="FE81" s="67"/>
      <c r="FF81" s="67"/>
      <c r="FG81" s="67"/>
      <c r="FH81" s="67"/>
      <c r="FI81" s="67"/>
      <c r="FJ81" s="67"/>
      <c r="FK81" s="67"/>
      <c r="FL81" s="67"/>
      <c r="FM81" s="66"/>
      <c r="FN81" s="67"/>
      <c r="FO81" s="67"/>
      <c r="FP81" s="67"/>
      <c r="FQ81" s="67"/>
      <c r="FR81" s="67"/>
      <c r="FS81" s="67"/>
      <c r="FT81" s="67"/>
      <c r="FU81" s="67"/>
      <c r="FV81" s="67"/>
      <c r="FW81" s="67"/>
      <c r="FX81" s="67"/>
      <c r="FY81" s="67"/>
      <c r="FZ81" s="67"/>
      <c r="GA81" s="67"/>
      <c r="GB81" s="67"/>
      <c r="GC81" s="67"/>
      <c r="GD81" s="67"/>
      <c r="GE81" s="67"/>
      <c r="GF81" s="67"/>
      <c r="GG81" s="67"/>
      <c r="GH81" s="67"/>
      <c r="GI81" s="67"/>
      <c r="GJ81" s="67"/>
      <c r="GK81" s="67"/>
      <c r="GL81" s="67"/>
      <c r="GM81" s="67"/>
      <c r="GN81" s="67"/>
      <c r="GO81" s="67"/>
      <c r="GP81" s="67"/>
      <c r="GQ81" s="66"/>
      <c r="GR81" s="67"/>
      <c r="GS81" s="67"/>
      <c r="GT81" s="67"/>
      <c r="GU81" s="67"/>
      <c r="GV81" s="67"/>
      <c r="GW81" s="67"/>
      <c r="GX81" s="67"/>
      <c r="GY81" s="67"/>
      <c r="GZ81" s="67"/>
      <c r="HA81" s="67"/>
      <c r="HB81" s="67"/>
      <c r="HC81" s="67"/>
      <c r="HD81" s="67"/>
      <c r="HE81" s="67"/>
      <c r="HF81" s="67"/>
      <c r="HG81" s="67"/>
      <c r="HH81" s="67"/>
      <c r="HI81" s="67"/>
      <c r="HJ81" s="67"/>
      <c r="HK81" s="67"/>
      <c r="HL81" s="67"/>
      <c r="HM81" s="67"/>
      <c r="HN81" s="67"/>
      <c r="HO81" s="67"/>
      <c r="HP81" s="67"/>
      <c r="HQ81" s="67"/>
      <c r="HR81" s="67"/>
      <c r="HS81" s="67"/>
      <c r="HT81" s="67"/>
      <c r="HU81" s="66"/>
      <c r="HV81" s="67"/>
      <c r="HW81" s="67"/>
      <c r="HX81" s="67"/>
      <c r="HY81" s="67"/>
      <c r="HZ81" s="67"/>
      <c r="IA81" s="67"/>
      <c r="IB81" s="67"/>
      <c r="IC81" s="67"/>
      <c r="ID81" s="67"/>
      <c r="IE81" s="67"/>
      <c r="IF81" s="67"/>
      <c r="IG81" s="67"/>
      <c r="IH81" s="67"/>
      <c r="II81" s="67"/>
      <c r="IJ81" s="67"/>
      <c r="IK81" s="67"/>
      <c r="IL81" s="67"/>
      <c r="IM81" s="67"/>
      <c r="IN81" s="67"/>
      <c r="IO81" s="67"/>
      <c r="IP81" s="67"/>
      <c r="IQ81" s="67"/>
      <c r="IR81" s="67"/>
      <c r="IS81" s="67"/>
      <c r="IT81" s="67"/>
      <c r="IU81" s="67"/>
      <c r="IV81" s="67"/>
      <c r="IW81" s="67"/>
      <c r="IX81" s="67"/>
      <c r="IY81" s="66"/>
      <c r="IZ81" s="67"/>
      <c r="JA81" s="67"/>
      <c r="JB81" s="67"/>
      <c r="JC81" s="67"/>
      <c r="JD81" s="67"/>
      <c r="JE81" s="67"/>
      <c r="JF81" s="67"/>
      <c r="JG81" s="67"/>
      <c r="JH81" s="67"/>
      <c r="JI81" s="67"/>
      <c r="JJ81" s="67"/>
      <c r="JK81" s="67"/>
      <c r="JL81" s="67"/>
      <c r="JM81" s="67"/>
      <c r="JN81" s="67"/>
      <c r="JO81" s="67"/>
      <c r="JP81" s="67"/>
      <c r="JQ81" s="67"/>
      <c r="JR81" s="67"/>
      <c r="JS81" s="67"/>
      <c r="JT81" s="67"/>
      <c r="JU81" s="67"/>
      <c r="JV81" s="67"/>
      <c r="JW81" s="67"/>
      <c r="JX81" s="67"/>
      <c r="JY81" s="67"/>
      <c r="JZ81" s="67"/>
      <c r="KA81" s="67"/>
      <c r="KB81" s="67"/>
      <c r="KC81" s="66"/>
      <c r="KD81" s="67"/>
      <c r="KE81" s="68"/>
      <c r="KF81" s="67"/>
      <c r="KG81" s="67"/>
      <c r="KH81" s="67"/>
      <c r="KI81" s="66"/>
      <c r="KJ81" s="67"/>
      <c r="KK81" s="68"/>
      <c r="KL81" s="67"/>
      <c r="KM81" s="67"/>
      <c r="KN81" s="67"/>
      <c r="KO81" s="66"/>
      <c r="KP81" s="67"/>
      <c r="KQ81" s="68"/>
      <c r="KR81" s="66"/>
      <c r="KS81" s="67"/>
      <c r="KT81" s="68"/>
      <c r="KU81" s="66"/>
      <c r="KV81" s="67"/>
      <c r="KW81" s="68"/>
      <c r="KX81" s="66"/>
      <c r="KY81" s="67"/>
      <c r="KZ81" s="67"/>
      <c r="LA81" s="70"/>
      <c r="LB81" s="67"/>
      <c r="LC81" s="71"/>
      <c r="LD81" s="67"/>
      <c r="LE81" s="67"/>
      <c r="LF81" s="68"/>
      <c r="LG81" s="66"/>
      <c r="LH81" s="67"/>
      <c r="LI81" s="68"/>
      <c r="LJ81" s="66"/>
      <c r="LK81" s="67"/>
      <c r="LL81" s="68"/>
      <c r="LM81" s="66"/>
      <c r="LN81" s="67"/>
      <c r="LO81" s="67"/>
      <c r="LP81" s="66"/>
      <c r="LQ81" s="67"/>
      <c r="LR81" s="68"/>
      <c r="LS81" s="66"/>
      <c r="LT81" s="67"/>
      <c r="LU81" s="68"/>
      <c r="LV81" s="67"/>
      <c r="LW81" s="67"/>
      <c r="LX81" s="68"/>
      <c r="LY81" s="67"/>
      <c r="LZ81" s="67"/>
      <c r="MA81" s="67"/>
      <c r="MB81" s="61"/>
      <c r="MC81" s="62"/>
      <c r="MD81" s="63"/>
      <c r="ME81" s="61"/>
      <c r="MF81" s="62"/>
      <c r="MG81" s="63"/>
      <c r="MH81" s="61"/>
      <c r="MI81" s="62"/>
      <c r="MJ81" s="63"/>
      <c r="MK81" s="61"/>
      <c r="ML81" s="62"/>
      <c r="MM81" s="63"/>
      <c r="MN81" s="66"/>
      <c r="MO81" s="67"/>
      <c r="MP81" s="68"/>
      <c r="MQ81" s="66"/>
      <c r="MR81" s="67"/>
      <c r="MS81" s="68"/>
      <c r="MT81" s="66"/>
      <c r="MU81" s="67"/>
      <c r="MV81" s="68"/>
      <c r="MW81" s="66"/>
      <c r="MX81" s="67"/>
      <c r="MY81" s="68"/>
      <c r="MZ81" s="66"/>
      <c r="NA81" s="67"/>
      <c r="NB81" s="68"/>
      <c r="NC81" s="67"/>
      <c r="ND81" s="67"/>
      <c r="NE81" s="72"/>
      <c r="NG81" s="275"/>
      <c r="NH81" s="1"/>
      <c r="NI81" s="1"/>
      <c r="NJ81" s="1"/>
      <c r="NK81" s="1"/>
    </row>
    <row r="82" spans="4:375" s="6" customFormat="1" ht="9.9499999999999993" customHeight="1">
      <c r="E82" s="20" t="s">
        <v>211</v>
      </c>
      <c r="F82" s="196">
        <f t="shared" ref="F82" si="379">NG82</f>
        <v>1.8000000000000001E-4</v>
      </c>
      <c r="G82" s="197">
        <f>Q82-F82</f>
        <v>0</v>
      </c>
      <c r="H82" s="27">
        <v>1</v>
      </c>
      <c r="I82" s="80"/>
      <c r="J82" s="80"/>
      <c r="K82" s="19" t="s">
        <v>210</v>
      </c>
      <c r="L82" s="339"/>
      <c r="M82" s="293" t="s">
        <v>41</v>
      </c>
      <c r="N82" s="313">
        <v>1</v>
      </c>
      <c r="O82" s="312" t="s">
        <v>40</v>
      </c>
      <c r="P82" s="307">
        <v>37599</v>
      </c>
      <c r="Q82" s="236">
        <f>ROUND(P82/$P$256,5)</f>
        <v>1.8000000000000001E-4</v>
      </c>
      <c r="R82" s="76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3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5"/>
      <c r="CA82" s="53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C82" s="54"/>
      <c r="DD82" s="54"/>
      <c r="DE82" s="53"/>
      <c r="DF82" s="54"/>
      <c r="DG82" s="54"/>
      <c r="DH82" s="54"/>
      <c r="DI82" s="54"/>
      <c r="DJ82" s="54"/>
      <c r="DK82" s="54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4"/>
      <c r="DW82" s="54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4"/>
      <c r="EI82" s="54"/>
      <c r="EJ82" s="54"/>
      <c r="EK82" s="54"/>
      <c r="EL82" s="54"/>
      <c r="EM82" s="54"/>
      <c r="EN82" s="54"/>
      <c r="EO82" s="54"/>
      <c r="EP82" s="54"/>
      <c r="EQ82" s="54"/>
      <c r="ER82" s="54"/>
      <c r="ES82" s="54"/>
      <c r="ET82" s="54"/>
      <c r="EU82" s="54"/>
      <c r="EV82" s="54"/>
      <c r="EW82" s="54"/>
      <c r="EX82" s="54"/>
      <c r="EY82" s="54"/>
      <c r="EZ82" s="54"/>
      <c r="FA82" s="54"/>
      <c r="FB82" s="54"/>
      <c r="FC82" s="54"/>
      <c r="FD82" s="54"/>
      <c r="FE82" s="54"/>
      <c r="FF82" s="54"/>
      <c r="FG82" s="54"/>
      <c r="FH82" s="54"/>
      <c r="FI82" s="54"/>
      <c r="FJ82" s="54"/>
      <c r="FK82" s="54"/>
      <c r="FL82" s="54"/>
      <c r="FM82" s="53"/>
      <c r="FN82" s="54"/>
      <c r="FO82" s="54"/>
      <c r="FP82" s="54"/>
      <c r="FQ82" s="54"/>
      <c r="FR82" s="54"/>
      <c r="FS82" s="54"/>
      <c r="FT82" s="54"/>
      <c r="FU82" s="54"/>
      <c r="FV82" s="54"/>
      <c r="FW82" s="54"/>
      <c r="FX82" s="54"/>
      <c r="FY82" s="54"/>
      <c r="FZ82" s="54"/>
      <c r="GA82" s="54"/>
      <c r="GB82" s="54"/>
      <c r="GC82" s="54"/>
      <c r="GD82" s="54"/>
      <c r="GE82" s="54"/>
      <c r="GF82" s="54"/>
      <c r="GG82" s="54"/>
      <c r="GH82" s="54"/>
      <c r="GI82" s="54"/>
      <c r="GJ82" s="54"/>
      <c r="GK82" s="54"/>
      <c r="GL82" s="54"/>
      <c r="GM82" s="54"/>
      <c r="GN82" s="54"/>
      <c r="GO82" s="54"/>
      <c r="GP82" s="54"/>
      <c r="GQ82" s="54"/>
      <c r="GR82" s="54"/>
      <c r="GS82" s="54"/>
      <c r="GT82" s="54"/>
      <c r="GU82" s="54"/>
      <c r="GV82" s="54"/>
      <c r="GW82" s="54"/>
      <c r="GX82" s="54"/>
      <c r="GY82" s="54"/>
      <c r="GZ82" s="54"/>
      <c r="HA82" s="54"/>
      <c r="HB82" s="54"/>
      <c r="HC82" s="54"/>
      <c r="HD82" s="54"/>
      <c r="HE82" s="54"/>
      <c r="HF82" s="54"/>
      <c r="HG82" s="54"/>
      <c r="HH82" s="54"/>
      <c r="HI82" s="54"/>
      <c r="HJ82" s="54"/>
      <c r="HK82" s="54"/>
      <c r="HL82" s="54"/>
      <c r="HM82" s="54"/>
      <c r="HN82" s="54"/>
      <c r="HO82" s="54"/>
      <c r="HP82" s="54"/>
      <c r="HQ82" s="54"/>
      <c r="HR82" s="54"/>
      <c r="HS82" s="54"/>
      <c r="HT82" s="54"/>
      <c r="HU82" s="53"/>
      <c r="HV82" s="54"/>
      <c r="HW82" s="54"/>
      <c r="HX82" s="54"/>
      <c r="HY82" s="54"/>
      <c r="HZ82" s="54"/>
      <c r="IA82" s="54"/>
      <c r="IB82" s="54"/>
      <c r="IC82" s="54"/>
      <c r="ID82" s="54"/>
      <c r="IE82" s="54"/>
      <c r="IF82" s="54"/>
      <c r="IG82" s="54"/>
      <c r="IH82" s="54"/>
      <c r="II82" s="54"/>
      <c r="IJ82" s="54"/>
      <c r="IK82" s="54"/>
      <c r="IL82" s="54"/>
      <c r="IM82" s="54"/>
      <c r="IN82" s="54"/>
      <c r="IO82" s="54"/>
      <c r="IP82" s="54"/>
      <c r="IQ82" s="54"/>
      <c r="IR82" s="54"/>
      <c r="IS82" s="54"/>
      <c r="IT82" s="54"/>
      <c r="IU82" s="54"/>
      <c r="IV82" s="54"/>
      <c r="IW82" s="54"/>
      <c r="IX82" s="54"/>
      <c r="IY82" s="156"/>
      <c r="IZ82" s="156"/>
      <c r="JA82" s="156"/>
      <c r="JB82" s="156"/>
      <c r="JC82" s="156"/>
      <c r="JD82" s="156"/>
      <c r="JE82" s="156"/>
      <c r="JF82" s="156"/>
      <c r="JG82" s="156"/>
      <c r="JH82" s="156"/>
      <c r="JI82" s="156"/>
      <c r="JJ82" s="156"/>
      <c r="JK82" s="156"/>
      <c r="JL82" s="156"/>
      <c r="JM82" s="156"/>
      <c r="JN82" s="156"/>
      <c r="JO82" s="156"/>
      <c r="JP82" s="156"/>
      <c r="JQ82" s="156"/>
      <c r="JR82" s="156"/>
      <c r="JS82" s="156"/>
      <c r="JT82" s="156"/>
      <c r="JU82" s="156"/>
      <c r="JV82" s="156"/>
      <c r="JW82" s="156"/>
      <c r="JX82" s="156"/>
      <c r="JY82" s="156"/>
      <c r="JZ82" s="156"/>
      <c r="KA82" s="156"/>
      <c r="KB82" s="156"/>
      <c r="KC82" s="212">
        <v>2.0000000000000002E-5</v>
      </c>
      <c r="KD82" s="212"/>
      <c r="KE82" s="212"/>
      <c r="KF82" s="54"/>
      <c r="KG82" s="54"/>
      <c r="KH82" s="54"/>
      <c r="KI82" s="53"/>
      <c r="KJ82" s="54"/>
      <c r="KK82" s="55"/>
      <c r="KL82" s="212">
        <v>2.0000000000000002E-5</v>
      </c>
      <c r="KM82" s="212"/>
      <c r="KN82" s="212"/>
      <c r="KO82" s="212"/>
      <c r="KP82" s="212"/>
      <c r="KQ82" s="212"/>
      <c r="KR82" s="54"/>
      <c r="KS82" s="54"/>
      <c r="KT82" s="54"/>
      <c r="KU82" s="53"/>
      <c r="KV82" s="54"/>
      <c r="KW82" s="55"/>
      <c r="KX82" s="54"/>
      <c r="KY82" s="54"/>
      <c r="KZ82" s="54"/>
      <c r="LA82" s="211">
        <v>2.0000000000000002E-5</v>
      </c>
      <c r="LB82" s="212"/>
      <c r="LC82" s="213"/>
      <c r="LD82" s="220">
        <v>3.0000000000000001E-5</v>
      </c>
      <c r="LE82" s="212"/>
      <c r="LF82" s="212"/>
      <c r="LG82" s="212">
        <v>3.0000000000000001E-5</v>
      </c>
      <c r="LH82" s="212"/>
      <c r="LI82" s="212"/>
      <c r="LJ82" s="212">
        <v>3.0000000000000001E-5</v>
      </c>
      <c r="LK82" s="212"/>
      <c r="LL82" s="212"/>
      <c r="LM82" s="212">
        <v>3.0000000000000001E-5</v>
      </c>
      <c r="LN82" s="212"/>
      <c r="LO82" s="212"/>
      <c r="LP82" s="53"/>
      <c r="LQ82" s="54"/>
      <c r="LR82" s="55"/>
      <c r="LS82" s="53"/>
      <c r="LT82" s="54"/>
      <c r="LU82" s="55"/>
      <c r="LV82" s="54"/>
      <c r="LW82" s="54"/>
      <c r="LX82" s="55"/>
      <c r="LY82" s="54"/>
      <c r="LZ82" s="54"/>
      <c r="MA82" s="54"/>
      <c r="MB82" s="53"/>
      <c r="MC82" s="54"/>
      <c r="MD82" s="55"/>
      <c r="ME82" s="53"/>
      <c r="MF82" s="54"/>
      <c r="MG82" s="55"/>
      <c r="MH82" s="53"/>
      <c r="MI82" s="54"/>
      <c r="MJ82" s="55"/>
      <c r="MK82" s="54"/>
      <c r="ML82" s="54"/>
      <c r="MM82" s="54"/>
      <c r="MN82" s="53"/>
      <c r="MO82" s="54"/>
      <c r="MP82" s="55"/>
      <c r="MQ82" s="53"/>
      <c r="MR82" s="54"/>
      <c r="MS82" s="55"/>
      <c r="MT82" s="53"/>
      <c r="MU82" s="54"/>
      <c r="MV82" s="55"/>
      <c r="MW82" s="53"/>
      <c r="MX82" s="54"/>
      <c r="MY82" s="55"/>
      <c r="MZ82" s="53"/>
      <c r="NA82" s="54"/>
      <c r="NB82" s="55"/>
      <c r="NC82" s="54"/>
      <c r="ND82" s="54"/>
      <c r="NE82" s="59"/>
      <c r="NG82" s="275">
        <f>SUM(R82:NE82)</f>
        <v>1.8000000000000001E-4</v>
      </c>
      <c r="NH82" s="1"/>
      <c r="NI82" s="1"/>
      <c r="NJ82" s="1"/>
      <c r="NK82" s="1"/>
    </row>
    <row r="83" spans="4:375" s="6" customFormat="1" ht="6.95" customHeight="1">
      <c r="E83" s="80"/>
      <c r="F83" s="196"/>
      <c r="G83" s="197"/>
      <c r="H83" s="52">
        <v>2</v>
      </c>
      <c r="I83" s="80"/>
      <c r="J83" s="80"/>
      <c r="L83" s="340"/>
      <c r="M83" s="294"/>
      <c r="N83" s="314"/>
      <c r="O83" s="306"/>
      <c r="P83" s="308"/>
      <c r="Q83" s="237"/>
      <c r="R83" s="6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39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1"/>
      <c r="CA83" s="39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39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 s="40"/>
      <c r="DT83" s="40"/>
      <c r="DU83" s="40"/>
      <c r="DV83" s="40"/>
      <c r="DW83" s="40"/>
      <c r="DX83" s="40"/>
      <c r="DY83" s="40"/>
      <c r="DZ83" s="40"/>
      <c r="EA83" s="40"/>
      <c r="EB83" s="40"/>
      <c r="EC83" s="40"/>
      <c r="ED83" s="40"/>
      <c r="EE83" s="40"/>
      <c r="EF83" s="40"/>
      <c r="EG83" s="40"/>
      <c r="EH83" s="40"/>
      <c r="EI83" s="40"/>
      <c r="EJ83" s="40"/>
      <c r="EK83" s="40"/>
      <c r="EL83" s="40"/>
      <c r="EM83" s="40"/>
      <c r="EN83" s="40"/>
      <c r="EO83" s="40"/>
      <c r="EP83" s="40"/>
      <c r="EQ83" s="40"/>
      <c r="ER83" s="40"/>
      <c r="ES83" s="40"/>
      <c r="ET83" s="40"/>
      <c r="EU83" s="40"/>
      <c r="EV83" s="40"/>
      <c r="EW83" s="40"/>
      <c r="EX83" s="40"/>
      <c r="EY83" s="40"/>
      <c r="EZ83" s="40"/>
      <c r="FA83" s="40"/>
      <c r="FB83" s="40"/>
      <c r="FC83" s="40"/>
      <c r="FD83" s="40"/>
      <c r="FE83" s="40"/>
      <c r="FF83" s="40"/>
      <c r="FG83" s="40"/>
      <c r="FH83" s="40"/>
      <c r="FI83" s="40"/>
      <c r="FJ83" s="40"/>
      <c r="FK83" s="40"/>
      <c r="FL83" s="40"/>
      <c r="FM83" s="39"/>
      <c r="FN83" s="40"/>
      <c r="FO83" s="40"/>
      <c r="FP83" s="40"/>
      <c r="FQ83" s="40"/>
      <c r="FR83" s="40"/>
      <c r="FS83" s="40"/>
      <c r="FT83" s="40"/>
      <c r="FU83" s="40"/>
      <c r="FV83" s="40"/>
      <c r="FW83" s="40"/>
      <c r="FX83" s="40"/>
      <c r="FY83" s="40"/>
      <c r="FZ83" s="40"/>
      <c r="GA83" s="40"/>
      <c r="GB83" s="40"/>
      <c r="GC83" s="40"/>
      <c r="GD83" s="40"/>
      <c r="GE83" s="40"/>
      <c r="GF83" s="40"/>
      <c r="GG83" s="40"/>
      <c r="GH83" s="40"/>
      <c r="GI83" s="40"/>
      <c r="GJ83" s="40"/>
      <c r="GK83" s="40"/>
      <c r="GL83" s="40"/>
      <c r="GM83" s="40"/>
      <c r="GN83" s="40"/>
      <c r="GO83" s="40"/>
      <c r="GP83" s="40"/>
      <c r="GQ83" s="40"/>
      <c r="GR83" s="40"/>
      <c r="GS83" s="40"/>
      <c r="GT83" s="40"/>
      <c r="GU83" s="40"/>
      <c r="GV83" s="40"/>
      <c r="GW83" s="40"/>
      <c r="GX83" s="40"/>
      <c r="GY83" s="40"/>
      <c r="GZ83" s="40"/>
      <c r="HA83" s="40"/>
      <c r="HB83" s="40"/>
      <c r="HC83" s="40"/>
      <c r="HD83" s="40"/>
      <c r="HE83" s="40"/>
      <c r="HF83" s="40"/>
      <c r="HG83" s="40"/>
      <c r="HH83" s="40"/>
      <c r="HI83" s="40"/>
      <c r="HJ83" s="40"/>
      <c r="HK83" s="40"/>
      <c r="HL83" s="40"/>
      <c r="HM83" s="40"/>
      <c r="HN83" s="40"/>
      <c r="HO83" s="40"/>
      <c r="HP83" s="40"/>
      <c r="HQ83" s="40"/>
      <c r="HR83" s="40"/>
      <c r="HS83" s="40"/>
      <c r="HT83" s="40"/>
      <c r="HU83" s="39"/>
      <c r="HV83" s="40"/>
      <c r="HW83" s="40"/>
      <c r="HX83" s="40"/>
      <c r="HY83" s="40"/>
      <c r="HZ83" s="40"/>
      <c r="IA83" s="40"/>
      <c r="IB83" s="40"/>
      <c r="IC83" s="40"/>
      <c r="ID83" s="40"/>
      <c r="IE83" s="40"/>
      <c r="IF83" s="40"/>
      <c r="IG83" s="40"/>
      <c r="IH83" s="40"/>
      <c r="II83" s="40"/>
      <c r="IJ83" s="40"/>
      <c r="IK83" s="40"/>
      <c r="IL83" s="40"/>
      <c r="IM83" s="40"/>
      <c r="IN83" s="40"/>
      <c r="IO83" s="40"/>
      <c r="IP83" s="40"/>
      <c r="IQ83" s="40"/>
      <c r="IR83" s="40"/>
      <c r="IS83" s="40"/>
      <c r="IT83" s="40"/>
      <c r="IU83" s="40"/>
      <c r="IV83" s="40"/>
      <c r="IW83" s="40"/>
      <c r="IX83" s="40"/>
      <c r="IY83" s="39"/>
      <c r="IZ83" s="40"/>
      <c r="JA83" s="40"/>
      <c r="JB83" s="40"/>
      <c r="JC83" s="40"/>
      <c r="JD83" s="40"/>
      <c r="JE83" s="40"/>
      <c r="JF83" s="40"/>
      <c r="JG83" s="40"/>
      <c r="JH83" s="40"/>
      <c r="JI83" s="40"/>
      <c r="JJ83" s="40"/>
      <c r="JK83" s="40"/>
      <c r="JL83" s="40"/>
      <c r="JM83" s="40"/>
      <c r="JN83" s="40"/>
      <c r="JO83" s="40"/>
      <c r="JP83" s="40"/>
      <c r="JQ83" s="40"/>
      <c r="JR83" s="40"/>
      <c r="JS83" s="40"/>
      <c r="JT83" s="40"/>
      <c r="JU83" s="40"/>
      <c r="JV83" s="40"/>
      <c r="JW83" s="40"/>
      <c r="JX83" s="40"/>
      <c r="JY83" s="40"/>
      <c r="JZ83" s="40"/>
      <c r="KA83" s="40"/>
      <c r="KB83" s="40"/>
      <c r="KC83" s="61"/>
      <c r="KD83" s="62"/>
      <c r="KE83" s="63"/>
      <c r="KF83" s="40"/>
      <c r="KG83" s="40"/>
      <c r="KH83" s="40"/>
      <c r="KI83" s="39"/>
      <c r="KJ83" s="40"/>
      <c r="KK83" s="41"/>
      <c r="KL83" s="61"/>
      <c r="KM83" s="62"/>
      <c r="KN83" s="63"/>
      <c r="KO83" s="39"/>
      <c r="KP83" s="40"/>
      <c r="KQ83" s="41"/>
      <c r="KR83" s="40"/>
      <c r="KS83" s="40"/>
      <c r="KT83" s="40"/>
      <c r="KU83" s="39"/>
      <c r="KV83" s="40"/>
      <c r="KW83" s="41"/>
      <c r="KX83" s="40"/>
      <c r="KY83" s="40"/>
      <c r="KZ83" s="40"/>
      <c r="LA83" s="61"/>
      <c r="LB83" s="62"/>
      <c r="LC83" s="63"/>
      <c r="LD83" s="61"/>
      <c r="LE83" s="62"/>
      <c r="LF83" s="63"/>
      <c r="LG83" s="61"/>
      <c r="LH83" s="62"/>
      <c r="LI83" s="63"/>
      <c r="LJ83" s="61"/>
      <c r="LK83" s="62"/>
      <c r="LL83" s="63"/>
      <c r="LM83" s="61"/>
      <c r="LN83" s="62"/>
      <c r="LO83" s="63"/>
      <c r="LP83" s="39"/>
      <c r="LQ83" s="40"/>
      <c r="LR83" s="41"/>
      <c r="LS83" s="39"/>
      <c r="LT83" s="40"/>
      <c r="LU83" s="41"/>
      <c r="LV83" s="40"/>
      <c r="LW83" s="40"/>
      <c r="LX83" s="41"/>
      <c r="LY83" s="40"/>
      <c r="LZ83" s="40"/>
      <c r="MA83" s="40"/>
      <c r="MB83" s="39"/>
      <c r="MC83" s="40"/>
      <c r="MD83" s="41"/>
      <c r="ME83" s="39"/>
      <c r="MF83" s="40"/>
      <c r="MG83" s="41"/>
      <c r="MH83" s="39"/>
      <c r="MI83" s="40"/>
      <c r="MJ83" s="41"/>
      <c r="MK83" s="40"/>
      <c r="ML83" s="40"/>
      <c r="MM83" s="40"/>
      <c r="MN83" s="39"/>
      <c r="MO83" s="40"/>
      <c r="MP83" s="41"/>
      <c r="MQ83" s="39"/>
      <c r="MR83" s="40"/>
      <c r="MS83" s="41"/>
      <c r="MT83" s="39"/>
      <c r="MU83" s="40"/>
      <c r="MV83" s="41"/>
      <c r="MW83" s="39"/>
      <c r="MX83" s="40"/>
      <c r="MY83" s="41"/>
      <c r="MZ83" s="39"/>
      <c r="NA83" s="40"/>
      <c r="NB83" s="41"/>
      <c r="NC83" s="40"/>
      <c r="ND83" s="40"/>
      <c r="NE83" s="42"/>
      <c r="NG83" s="275"/>
      <c r="NH83" s="1"/>
      <c r="NI83" s="1"/>
      <c r="NJ83" s="1"/>
      <c r="NK83" s="1"/>
    </row>
    <row r="84" spans="4:375" s="6" customFormat="1" ht="9.9499999999999993" customHeight="1">
      <c r="E84" s="20" t="s">
        <v>213</v>
      </c>
      <c r="F84" s="196">
        <f t="shared" ref="F84" si="380">NG84</f>
        <v>5.0000000000000009E-5</v>
      </c>
      <c r="G84" s="197">
        <f>Q84-F84</f>
        <v>0</v>
      </c>
      <c r="H84" s="27">
        <v>1</v>
      </c>
      <c r="I84" s="80"/>
      <c r="J84" s="80"/>
      <c r="K84" s="19" t="s">
        <v>212</v>
      </c>
      <c r="L84" s="292"/>
      <c r="M84" s="300" t="s">
        <v>42</v>
      </c>
      <c r="N84" s="301">
        <v>1</v>
      </c>
      <c r="O84" s="310" t="s">
        <v>43</v>
      </c>
      <c r="P84" s="315">
        <v>9833</v>
      </c>
      <c r="Q84" s="236">
        <f>ROUND(P84/$P$256,5)</f>
        <v>5.0000000000000002E-5</v>
      </c>
      <c r="R84" s="89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6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7"/>
      <c r="BU84" s="67"/>
      <c r="BV84" s="67"/>
      <c r="BW84" s="67"/>
      <c r="BX84" s="67"/>
      <c r="BY84" s="67"/>
      <c r="BZ84" s="68"/>
      <c r="CA84" s="66"/>
      <c r="CB84" s="67"/>
      <c r="CC84" s="67"/>
      <c r="CD84" s="67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  <c r="DA84" s="67"/>
      <c r="DB84" s="67"/>
      <c r="DC84" s="67"/>
      <c r="DD84" s="67"/>
      <c r="DE84" s="66"/>
      <c r="DF84" s="67"/>
      <c r="DG84" s="67"/>
      <c r="DH84" s="67"/>
      <c r="DI84" s="67"/>
      <c r="DJ84" s="67"/>
      <c r="DK84" s="67"/>
      <c r="DL84" s="67"/>
      <c r="DM84" s="67"/>
      <c r="DN84" s="67"/>
      <c r="DO84" s="67"/>
      <c r="DP84" s="67"/>
      <c r="DQ84" s="67"/>
      <c r="DR84" s="67"/>
      <c r="DS84" s="67"/>
      <c r="DT84" s="67"/>
      <c r="DU84" s="67"/>
      <c r="DV84" s="67"/>
      <c r="DW84" s="67"/>
      <c r="DX84" s="67"/>
      <c r="DY84" s="67"/>
      <c r="DZ84" s="67"/>
      <c r="EA84" s="67"/>
      <c r="EB84" s="67"/>
      <c r="EC84" s="67"/>
      <c r="ED84" s="67"/>
      <c r="EE84" s="67"/>
      <c r="EF84" s="67"/>
      <c r="EG84" s="67"/>
      <c r="EH84" s="67"/>
      <c r="EI84" s="67"/>
      <c r="EJ84" s="67"/>
      <c r="EK84" s="67"/>
      <c r="EL84" s="67"/>
      <c r="EM84" s="67"/>
      <c r="EN84" s="67"/>
      <c r="EO84" s="67"/>
      <c r="EP84" s="67"/>
      <c r="EQ84" s="67"/>
      <c r="ER84" s="67"/>
      <c r="ES84" s="67"/>
      <c r="ET84" s="67"/>
      <c r="EU84" s="67"/>
      <c r="EV84" s="67"/>
      <c r="EW84" s="67"/>
      <c r="EX84" s="67"/>
      <c r="EY84" s="67"/>
      <c r="EZ84" s="67"/>
      <c r="FA84" s="67"/>
      <c r="FB84" s="67"/>
      <c r="FC84" s="67"/>
      <c r="FD84" s="67"/>
      <c r="FE84" s="67"/>
      <c r="FF84" s="67"/>
      <c r="FG84" s="67"/>
      <c r="FH84" s="67"/>
      <c r="FI84" s="67"/>
      <c r="FJ84" s="67"/>
      <c r="FK84" s="67"/>
      <c r="FL84" s="67"/>
      <c r="FM84" s="66"/>
      <c r="FN84" s="67"/>
      <c r="FO84" s="67"/>
      <c r="FP84" s="67"/>
      <c r="FQ84" s="67"/>
      <c r="FR84" s="67"/>
      <c r="FS84" s="67"/>
      <c r="FT84" s="67"/>
      <c r="FU84" s="67"/>
      <c r="FV84" s="67"/>
      <c r="FW84" s="67"/>
      <c r="FX84" s="67"/>
      <c r="FY84" s="67"/>
      <c r="FZ84" s="67"/>
      <c r="GA84" s="67"/>
      <c r="GB84" s="67"/>
      <c r="GC84" s="67"/>
      <c r="GD84" s="67"/>
      <c r="GE84" s="67"/>
      <c r="GF84" s="67"/>
      <c r="GG84" s="67"/>
      <c r="GH84" s="67"/>
      <c r="GI84" s="67"/>
      <c r="GJ84" s="67"/>
      <c r="GK84" s="67"/>
      <c r="GL84" s="67"/>
      <c r="GM84" s="67"/>
      <c r="GN84" s="67"/>
      <c r="GO84" s="67"/>
      <c r="GP84" s="67"/>
      <c r="GQ84" s="67"/>
      <c r="GR84" s="67"/>
      <c r="GS84" s="67"/>
      <c r="GT84" s="67"/>
      <c r="GU84" s="67"/>
      <c r="GV84" s="67"/>
      <c r="GW84" s="67"/>
      <c r="GX84" s="67"/>
      <c r="GY84" s="67"/>
      <c r="GZ84" s="67"/>
      <c r="HA84" s="67"/>
      <c r="HB84" s="67"/>
      <c r="HC84" s="67"/>
      <c r="HD84" s="67"/>
      <c r="HE84" s="67"/>
      <c r="HF84" s="67"/>
      <c r="HG84" s="67"/>
      <c r="HH84" s="67"/>
      <c r="HI84" s="67"/>
      <c r="HJ84" s="67"/>
      <c r="HK84" s="67"/>
      <c r="HL84" s="67"/>
      <c r="HM84" s="67"/>
      <c r="HN84" s="67"/>
      <c r="HO84" s="67"/>
      <c r="HP84" s="67"/>
      <c r="HQ84" s="67"/>
      <c r="HR84" s="67"/>
      <c r="HS84" s="67"/>
      <c r="HT84" s="67"/>
      <c r="HU84" s="157"/>
      <c r="HV84" s="157"/>
      <c r="HW84" s="157"/>
      <c r="HX84" s="157"/>
      <c r="HY84" s="157"/>
      <c r="HZ84" s="157"/>
      <c r="IA84" s="157"/>
      <c r="IB84" s="157"/>
      <c r="IC84" s="157"/>
      <c r="ID84" s="157"/>
      <c r="IE84" s="157"/>
      <c r="IF84" s="157"/>
      <c r="IG84" s="157"/>
      <c r="IH84" s="157"/>
      <c r="II84" s="157"/>
      <c r="IJ84" s="157"/>
      <c r="IK84" s="157"/>
      <c r="IL84" s="157"/>
      <c r="IM84" s="157"/>
      <c r="IN84" s="157"/>
      <c r="IO84" s="157"/>
      <c r="IP84" s="157"/>
      <c r="IQ84" s="157"/>
      <c r="IR84" s="157"/>
      <c r="IS84" s="157"/>
      <c r="IT84" s="157"/>
      <c r="IU84" s="157"/>
      <c r="IV84" s="157"/>
      <c r="IW84" s="157"/>
      <c r="IX84" s="157"/>
      <c r="IY84" s="66"/>
      <c r="IZ84" s="67"/>
      <c r="JA84" s="67"/>
      <c r="JB84" s="67"/>
      <c r="JC84" s="67"/>
      <c r="JD84" s="67"/>
      <c r="JE84" s="67"/>
      <c r="JF84" s="67"/>
      <c r="JG84" s="67"/>
      <c r="JH84" s="67"/>
      <c r="JI84" s="67"/>
      <c r="JJ84" s="67"/>
      <c r="JK84" s="67"/>
      <c r="JL84" s="67"/>
      <c r="JM84" s="67"/>
      <c r="JN84" s="67"/>
      <c r="JO84" s="67"/>
      <c r="JP84" s="67"/>
      <c r="JQ84" s="67"/>
      <c r="JR84" s="67"/>
      <c r="JS84" s="67"/>
      <c r="JT84" s="67"/>
      <c r="JU84" s="67"/>
      <c r="JV84" s="67"/>
      <c r="JW84" s="67"/>
      <c r="JX84" s="67"/>
      <c r="JY84" s="67"/>
      <c r="JZ84" s="67"/>
      <c r="KA84" s="67"/>
      <c r="KB84" s="67"/>
      <c r="KC84" s="214">
        <v>1.0000000000000001E-5</v>
      </c>
      <c r="KD84" s="214"/>
      <c r="KE84" s="214"/>
      <c r="KF84" s="67"/>
      <c r="KG84" s="67"/>
      <c r="KH84" s="67"/>
      <c r="KI84" s="66"/>
      <c r="KJ84" s="67"/>
      <c r="KK84" s="68"/>
      <c r="KL84" s="67"/>
      <c r="KM84" s="67"/>
      <c r="KN84" s="67"/>
      <c r="KO84" s="214">
        <v>2.0000000000000002E-5</v>
      </c>
      <c r="KP84" s="214"/>
      <c r="KQ84" s="214"/>
      <c r="KR84" s="67"/>
      <c r="KS84" s="67"/>
      <c r="KT84" s="67"/>
      <c r="KU84" s="66"/>
      <c r="KV84" s="67"/>
      <c r="KW84" s="68"/>
      <c r="KX84" s="67"/>
      <c r="KY84" s="67"/>
      <c r="KZ84" s="67"/>
      <c r="LA84" s="233">
        <v>2.0000000000000002E-5</v>
      </c>
      <c r="LB84" s="214"/>
      <c r="LC84" s="234"/>
      <c r="LD84" s="215"/>
      <c r="LE84" s="214"/>
      <c r="LF84" s="214"/>
      <c r="LG84" s="66"/>
      <c r="LH84" s="67"/>
      <c r="LI84" s="68"/>
      <c r="LJ84" s="66"/>
      <c r="LK84" s="67"/>
      <c r="LL84" s="68"/>
      <c r="LM84" s="66"/>
      <c r="LN84" s="67"/>
      <c r="LO84" s="67"/>
      <c r="LP84" s="66"/>
      <c r="LQ84" s="67"/>
      <c r="LR84" s="68"/>
      <c r="LS84" s="66"/>
      <c r="LT84" s="67"/>
      <c r="LU84" s="68"/>
      <c r="LV84" s="67"/>
      <c r="LW84" s="67"/>
      <c r="LX84" s="68"/>
      <c r="LY84" s="67"/>
      <c r="LZ84" s="67"/>
      <c r="MA84" s="67"/>
      <c r="MB84" s="66"/>
      <c r="MC84" s="67"/>
      <c r="MD84" s="68"/>
      <c r="ME84" s="66"/>
      <c r="MF84" s="67"/>
      <c r="MG84" s="68"/>
      <c r="MH84" s="66"/>
      <c r="MI84" s="67"/>
      <c r="MJ84" s="68"/>
      <c r="MK84" s="67"/>
      <c r="ML84" s="67"/>
      <c r="MM84" s="67"/>
      <c r="MN84" s="66"/>
      <c r="MO84" s="67"/>
      <c r="MP84" s="68"/>
      <c r="MQ84" s="66"/>
      <c r="MR84" s="67"/>
      <c r="MS84" s="68"/>
      <c r="MT84" s="66"/>
      <c r="MU84" s="67"/>
      <c r="MV84" s="68"/>
      <c r="MW84" s="66"/>
      <c r="MX84" s="67"/>
      <c r="MY84" s="68"/>
      <c r="MZ84" s="66"/>
      <c r="NA84" s="67"/>
      <c r="NB84" s="68"/>
      <c r="NC84" s="67"/>
      <c r="ND84" s="67"/>
      <c r="NE84" s="72"/>
      <c r="NG84" s="275">
        <f>SUM(R84:NE84)</f>
        <v>5.0000000000000009E-5</v>
      </c>
      <c r="NH84" s="1"/>
      <c r="NI84" s="1"/>
      <c r="NJ84" s="1"/>
      <c r="NK84" s="1"/>
    </row>
    <row r="85" spans="4:375" s="6" customFormat="1" ht="6.95" customHeight="1">
      <c r="F85" s="196"/>
      <c r="G85" s="197"/>
      <c r="H85" s="52">
        <v>2</v>
      </c>
      <c r="L85" s="292"/>
      <c r="M85" s="300"/>
      <c r="N85" s="301"/>
      <c r="O85" s="302"/>
      <c r="P85" s="315"/>
      <c r="Q85" s="237"/>
      <c r="R85" s="73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6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8"/>
      <c r="CA85" s="66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  <c r="DC85" s="67"/>
      <c r="DD85" s="67"/>
      <c r="DE85" s="66"/>
      <c r="DF85" s="67"/>
      <c r="DG85" s="67"/>
      <c r="DH85" s="67"/>
      <c r="DI85" s="67"/>
      <c r="DJ85" s="67"/>
      <c r="DK85" s="67"/>
      <c r="DL85" s="67"/>
      <c r="DM85" s="67"/>
      <c r="DN85" s="67"/>
      <c r="DO85" s="67"/>
      <c r="DP85" s="67"/>
      <c r="DQ85" s="67"/>
      <c r="DR85" s="67"/>
      <c r="DS85" s="67"/>
      <c r="DT85" s="67"/>
      <c r="DU85" s="67"/>
      <c r="DV85" s="67"/>
      <c r="DW85" s="67"/>
      <c r="DX85" s="67"/>
      <c r="DY85" s="67"/>
      <c r="DZ85" s="67"/>
      <c r="EA85" s="67"/>
      <c r="EB85" s="67"/>
      <c r="EC85" s="67"/>
      <c r="ED85" s="67"/>
      <c r="EE85" s="67"/>
      <c r="EF85" s="67"/>
      <c r="EG85" s="67"/>
      <c r="EH85" s="67"/>
      <c r="EI85" s="67"/>
      <c r="EJ85" s="67"/>
      <c r="EK85" s="67"/>
      <c r="EL85" s="67"/>
      <c r="EM85" s="67"/>
      <c r="EN85" s="67"/>
      <c r="EO85" s="67"/>
      <c r="EP85" s="67"/>
      <c r="EQ85" s="67"/>
      <c r="ER85" s="67"/>
      <c r="ES85" s="67"/>
      <c r="ET85" s="67"/>
      <c r="EU85" s="67"/>
      <c r="EV85" s="67"/>
      <c r="EW85" s="67"/>
      <c r="EX85" s="67"/>
      <c r="EY85" s="67"/>
      <c r="EZ85" s="67"/>
      <c r="FA85" s="67"/>
      <c r="FB85" s="67"/>
      <c r="FC85" s="67"/>
      <c r="FD85" s="67"/>
      <c r="FE85" s="67"/>
      <c r="FF85" s="67"/>
      <c r="FG85" s="67"/>
      <c r="FH85" s="67"/>
      <c r="FI85" s="67"/>
      <c r="FJ85" s="67"/>
      <c r="FK85" s="67"/>
      <c r="FL85" s="67"/>
      <c r="FM85" s="66"/>
      <c r="FN85" s="67"/>
      <c r="FO85" s="67"/>
      <c r="FP85" s="67"/>
      <c r="FQ85" s="67"/>
      <c r="FR85" s="67"/>
      <c r="FS85" s="67"/>
      <c r="FT85" s="67"/>
      <c r="FU85" s="67"/>
      <c r="FV85" s="67"/>
      <c r="FW85" s="67"/>
      <c r="FX85" s="67"/>
      <c r="FY85" s="67"/>
      <c r="FZ85" s="67"/>
      <c r="GA85" s="67"/>
      <c r="GB85" s="67"/>
      <c r="GC85" s="67"/>
      <c r="GD85" s="67"/>
      <c r="GE85" s="67"/>
      <c r="GF85" s="67"/>
      <c r="GG85" s="67"/>
      <c r="GH85" s="67"/>
      <c r="GI85" s="67"/>
      <c r="GJ85" s="67"/>
      <c r="GK85" s="67"/>
      <c r="GL85" s="67"/>
      <c r="GM85" s="67"/>
      <c r="GN85" s="67"/>
      <c r="GO85" s="67"/>
      <c r="GP85" s="67"/>
      <c r="GQ85" s="67"/>
      <c r="GR85" s="67"/>
      <c r="GS85" s="67"/>
      <c r="GT85" s="67"/>
      <c r="GU85" s="67"/>
      <c r="GV85" s="67"/>
      <c r="GW85" s="67"/>
      <c r="GX85" s="67"/>
      <c r="GY85" s="67"/>
      <c r="GZ85" s="67"/>
      <c r="HA85" s="67"/>
      <c r="HB85" s="67"/>
      <c r="HC85" s="67"/>
      <c r="HD85" s="67"/>
      <c r="HE85" s="67"/>
      <c r="HF85" s="67"/>
      <c r="HG85" s="67"/>
      <c r="HH85" s="67"/>
      <c r="HI85" s="67"/>
      <c r="HJ85" s="67"/>
      <c r="HK85" s="67"/>
      <c r="HL85" s="67"/>
      <c r="HM85" s="67"/>
      <c r="HN85" s="67"/>
      <c r="HO85" s="67"/>
      <c r="HP85" s="67"/>
      <c r="HQ85" s="67"/>
      <c r="HR85" s="67"/>
      <c r="HS85" s="67"/>
      <c r="HT85" s="67"/>
      <c r="HU85" s="66"/>
      <c r="HV85" s="67"/>
      <c r="HW85" s="67"/>
      <c r="HX85" s="67"/>
      <c r="HY85" s="67"/>
      <c r="HZ85" s="67"/>
      <c r="IA85" s="67"/>
      <c r="IB85" s="67"/>
      <c r="IC85" s="67"/>
      <c r="ID85" s="67"/>
      <c r="IE85" s="67"/>
      <c r="IF85" s="67"/>
      <c r="IG85" s="67"/>
      <c r="IH85" s="67"/>
      <c r="II85" s="67"/>
      <c r="IJ85" s="67"/>
      <c r="IK85" s="67"/>
      <c r="IL85" s="67"/>
      <c r="IM85" s="67"/>
      <c r="IN85" s="67"/>
      <c r="IO85" s="67"/>
      <c r="IP85" s="67"/>
      <c r="IQ85" s="67"/>
      <c r="IR85" s="67"/>
      <c r="IS85" s="67"/>
      <c r="IT85" s="67"/>
      <c r="IU85" s="67"/>
      <c r="IV85" s="67"/>
      <c r="IW85" s="67"/>
      <c r="IX85" s="67"/>
      <c r="IY85" s="66"/>
      <c r="IZ85" s="67"/>
      <c r="JA85" s="67"/>
      <c r="JB85" s="67"/>
      <c r="JC85" s="67"/>
      <c r="JD85" s="67"/>
      <c r="JE85" s="67"/>
      <c r="JF85" s="67"/>
      <c r="JG85" s="67"/>
      <c r="JH85" s="67"/>
      <c r="JI85" s="67"/>
      <c r="JJ85" s="67"/>
      <c r="JK85" s="67"/>
      <c r="JL85" s="67"/>
      <c r="JM85" s="67"/>
      <c r="JN85" s="67"/>
      <c r="JO85" s="67"/>
      <c r="JP85" s="67"/>
      <c r="JQ85" s="67"/>
      <c r="JR85" s="67"/>
      <c r="JS85" s="67"/>
      <c r="JT85" s="67"/>
      <c r="JU85" s="67"/>
      <c r="JV85" s="67"/>
      <c r="JW85" s="67"/>
      <c r="JX85" s="67"/>
      <c r="JY85" s="67"/>
      <c r="JZ85" s="67"/>
      <c r="KA85" s="67"/>
      <c r="KB85" s="67"/>
      <c r="KC85" s="61"/>
      <c r="KD85" s="62"/>
      <c r="KE85" s="63"/>
      <c r="KF85" s="67"/>
      <c r="KG85" s="67"/>
      <c r="KH85" s="67"/>
      <c r="KI85" s="66"/>
      <c r="KJ85" s="67"/>
      <c r="KK85" s="68"/>
      <c r="KL85" s="67"/>
      <c r="KM85" s="67"/>
      <c r="KN85" s="67"/>
      <c r="KO85" s="61"/>
      <c r="KP85" s="62"/>
      <c r="KQ85" s="63"/>
      <c r="KR85" s="67"/>
      <c r="KS85" s="67"/>
      <c r="KT85" s="67"/>
      <c r="KU85" s="66"/>
      <c r="KV85" s="67"/>
      <c r="KW85" s="68"/>
      <c r="KX85" s="67"/>
      <c r="KY85" s="67"/>
      <c r="KZ85" s="67"/>
      <c r="LA85" s="61"/>
      <c r="LB85" s="62"/>
      <c r="LC85" s="63"/>
      <c r="LD85" s="67"/>
      <c r="LE85" s="67"/>
      <c r="LF85" s="68"/>
      <c r="LG85" s="66"/>
      <c r="LH85" s="67"/>
      <c r="LI85" s="68"/>
      <c r="LJ85" s="66"/>
      <c r="LK85" s="67"/>
      <c r="LL85" s="68"/>
      <c r="LM85" s="66"/>
      <c r="LN85" s="67"/>
      <c r="LO85" s="67"/>
      <c r="LP85" s="66"/>
      <c r="LQ85" s="67"/>
      <c r="LR85" s="68"/>
      <c r="LS85" s="66"/>
      <c r="LT85" s="67"/>
      <c r="LU85" s="68"/>
      <c r="LV85" s="67"/>
      <c r="LW85" s="67"/>
      <c r="LX85" s="68"/>
      <c r="LY85" s="67"/>
      <c r="LZ85" s="67"/>
      <c r="MA85" s="67"/>
      <c r="MB85" s="66"/>
      <c r="MC85" s="67"/>
      <c r="MD85" s="68"/>
      <c r="ME85" s="66"/>
      <c r="MF85" s="67"/>
      <c r="MG85" s="68"/>
      <c r="MH85" s="66"/>
      <c r="MI85" s="67"/>
      <c r="MJ85" s="68"/>
      <c r="MK85" s="67"/>
      <c r="ML85" s="67"/>
      <c r="MM85" s="67"/>
      <c r="MN85" s="66"/>
      <c r="MO85" s="67"/>
      <c r="MP85" s="68"/>
      <c r="MQ85" s="66"/>
      <c r="MR85" s="67"/>
      <c r="MS85" s="68"/>
      <c r="MT85" s="66"/>
      <c r="MU85" s="67"/>
      <c r="MV85" s="68"/>
      <c r="MW85" s="66"/>
      <c r="MX85" s="67"/>
      <c r="MY85" s="68"/>
      <c r="MZ85" s="66"/>
      <c r="NA85" s="67"/>
      <c r="NB85" s="68"/>
      <c r="NC85" s="67"/>
      <c r="ND85" s="67"/>
      <c r="NE85" s="72"/>
      <c r="NG85" s="275"/>
      <c r="NH85" s="1"/>
      <c r="NI85" s="1"/>
      <c r="NJ85" s="1"/>
      <c r="NK85" s="1"/>
    </row>
    <row r="86" spans="4:375" s="6" customFormat="1" ht="9.9499999999999993" customHeight="1">
      <c r="D86" s="235" t="s">
        <v>214</v>
      </c>
      <c r="E86" s="235"/>
      <c r="F86" s="196">
        <f t="shared" ref="F86" si="381">NG86</f>
        <v>2.3000000000000004E-3</v>
      </c>
      <c r="G86" s="197">
        <f>Q86-F86</f>
        <v>0</v>
      </c>
      <c r="H86" s="27">
        <v>1</v>
      </c>
      <c r="I86" s="19" t="s">
        <v>215</v>
      </c>
      <c r="J86" s="19" t="s">
        <v>184</v>
      </c>
      <c r="K86" s="6" t="s">
        <v>216</v>
      </c>
      <c r="L86" s="339"/>
      <c r="M86" s="293" t="s">
        <v>257</v>
      </c>
      <c r="N86" s="313">
        <v>3318</v>
      </c>
      <c r="O86" s="305" t="s">
        <v>15</v>
      </c>
      <c r="P86" s="307">
        <v>479684</v>
      </c>
      <c r="Q86" s="236">
        <f>ROUND(P86/$P$256,5)</f>
        <v>2.3E-3</v>
      </c>
      <c r="R86" s="76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3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5"/>
      <c r="CA86" s="53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3"/>
      <c r="DF86" s="54"/>
      <c r="DG86" s="54"/>
      <c r="DH86" s="54"/>
      <c r="DI86" s="54"/>
      <c r="DJ86" s="54"/>
      <c r="DK86" s="54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4"/>
      <c r="DW86" s="54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4"/>
      <c r="EI86" s="53"/>
      <c r="EJ86" s="54"/>
      <c r="EK86" s="54"/>
      <c r="EL86" s="54"/>
      <c r="EM86" s="54"/>
      <c r="EN86" s="54"/>
      <c r="EO86" s="54"/>
      <c r="EP86" s="54"/>
      <c r="EQ86" s="54"/>
      <c r="ER86" s="54"/>
      <c r="ES86" s="54"/>
      <c r="ET86" s="54"/>
      <c r="EU86" s="54"/>
      <c r="EV86" s="54"/>
      <c r="EW86" s="54"/>
      <c r="EX86" s="54"/>
      <c r="EY86" s="54"/>
      <c r="EZ86" s="54"/>
      <c r="FA86" s="54"/>
      <c r="FB86" s="54"/>
      <c r="FC86" s="54"/>
      <c r="FD86" s="54"/>
      <c r="FE86" s="54"/>
      <c r="FF86" s="54"/>
      <c r="FG86" s="54"/>
      <c r="FH86" s="54"/>
      <c r="FI86" s="54"/>
      <c r="FJ86" s="54"/>
      <c r="FK86" s="54"/>
      <c r="FL86" s="54"/>
      <c r="FM86" s="156"/>
      <c r="FN86" s="156"/>
      <c r="FO86" s="156"/>
      <c r="FP86" s="156"/>
      <c r="FQ86" s="156"/>
      <c r="FR86" s="156"/>
      <c r="FS86" s="156"/>
      <c r="FT86" s="156"/>
      <c r="FU86" s="156"/>
      <c r="FV86" s="156"/>
      <c r="FW86" s="156"/>
      <c r="FX86" s="156"/>
      <c r="FY86" s="156"/>
      <c r="FZ86" s="156"/>
      <c r="GA86" s="156"/>
      <c r="GB86" s="156"/>
      <c r="GC86" s="156"/>
      <c r="GD86" s="156"/>
      <c r="GE86" s="156"/>
      <c r="GF86" s="156"/>
      <c r="GG86" s="156"/>
      <c r="GH86" s="156"/>
      <c r="GI86" s="156"/>
      <c r="GJ86" s="156"/>
      <c r="GK86" s="156"/>
      <c r="GL86" s="156"/>
      <c r="GM86" s="156"/>
      <c r="GN86" s="156"/>
      <c r="GO86" s="156"/>
      <c r="GP86" s="156"/>
      <c r="GQ86" s="54"/>
      <c r="GR86" s="54"/>
      <c r="GS86" s="54"/>
      <c r="GT86" s="54"/>
      <c r="GU86" s="54"/>
      <c r="GV86" s="54"/>
      <c r="GW86" s="54"/>
      <c r="GX86" s="54"/>
      <c r="GY86" s="54"/>
      <c r="GZ86" s="54"/>
      <c r="HA86" s="54"/>
      <c r="HB86" s="54"/>
      <c r="HC86" s="54"/>
      <c r="HD86" s="54"/>
      <c r="HE86" s="54"/>
      <c r="HF86" s="54"/>
      <c r="HG86" s="54"/>
      <c r="HH86" s="54"/>
      <c r="HI86" s="54"/>
      <c r="HJ86" s="54"/>
      <c r="HK86" s="54"/>
      <c r="HL86" s="54"/>
      <c r="HM86" s="54"/>
      <c r="HN86" s="54"/>
      <c r="HO86" s="54"/>
      <c r="HP86" s="54"/>
      <c r="HQ86" s="54"/>
      <c r="HR86" s="54"/>
      <c r="HS86" s="54"/>
      <c r="HT86" s="54"/>
      <c r="HU86" s="156"/>
      <c r="HV86" s="156"/>
      <c r="HW86" s="156"/>
      <c r="HX86" s="156"/>
      <c r="HY86" s="156"/>
      <c r="HZ86" s="156"/>
      <c r="IA86" s="156"/>
      <c r="IB86" s="156"/>
      <c r="IC86" s="156"/>
      <c r="ID86" s="156"/>
      <c r="IE86" s="156"/>
      <c r="IF86" s="156"/>
      <c r="IG86" s="156"/>
      <c r="IH86" s="156"/>
      <c r="II86" s="156"/>
      <c r="IJ86" s="156"/>
      <c r="IK86" s="156"/>
      <c r="IL86" s="156"/>
      <c r="IM86" s="156"/>
      <c r="IN86" s="156"/>
      <c r="IO86" s="156"/>
      <c r="IP86" s="156"/>
      <c r="IQ86" s="156"/>
      <c r="IR86" s="156"/>
      <c r="IS86" s="156"/>
      <c r="IT86" s="156"/>
      <c r="IU86" s="156"/>
      <c r="IV86" s="156"/>
      <c r="IW86" s="156"/>
      <c r="IX86" s="156"/>
      <c r="IY86" s="156">
        <f>0.004%/30</f>
        <v>1.3333333333333334E-6</v>
      </c>
      <c r="IZ86" s="156">
        <f>IY86</f>
        <v>1.3333333333333334E-6</v>
      </c>
      <c r="JA86" s="156">
        <f t="shared" ref="JA86:KB86" si="382">IZ86</f>
        <v>1.3333333333333334E-6</v>
      </c>
      <c r="JB86" s="156">
        <f t="shared" si="382"/>
        <v>1.3333333333333334E-6</v>
      </c>
      <c r="JC86" s="156">
        <f t="shared" si="382"/>
        <v>1.3333333333333334E-6</v>
      </c>
      <c r="JD86" s="156">
        <f t="shared" si="382"/>
        <v>1.3333333333333334E-6</v>
      </c>
      <c r="JE86" s="156">
        <f t="shared" si="382"/>
        <v>1.3333333333333334E-6</v>
      </c>
      <c r="JF86" s="156">
        <f t="shared" si="382"/>
        <v>1.3333333333333334E-6</v>
      </c>
      <c r="JG86" s="156">
        <f t="shared" si="382"/>
        <v>1.3333333333333334E-6</v>
      </c>
      <c r="JH86" s="156">
        <f t="shared" si="382"/>
        <v>1.3333333333333334E-6</v>
      </c>
      <c r="JI86" s="156">
        <f t="shared" si="382"/>
        <v>1.3333333333333334E-6</v>
      </c>
      <c r="JJ86" s="156">
        <f t="shared" si="382"/>
        <v>1.3333333333333334E-6</v>
      </c>
      <c r="JK86" s="156">
        <f t="shared" si="382"/>
        <v>1.3333333333333334E-6</v>
      </c>
      <c r="JL86" s="156">
        <f t="shared" si="382"/>
        <v>1.3333333333333334E-6</v>
      </c>
      <c r="JM86" s="156">
        <f t="shared" si="382"/>
        <v>1.3333333333333334E-6</v>
      </c>
      <c r="JN86" s="156">
        <f t="shared" si="382"/>
        <v>1.3333333333333334E-6</v>
      </c>
      <c r="JO86" s="156">
        <f t="shared" si="382"/>
        <v>1.3333333333333334E-6</v>
      </c>
      <c r="JP86" s="156">
        <f t="shared" si="382"/>
        <v>1.3333333333333334E-6</v>
      </c>
      <c r="JQ86" s="156">
        <f t="shared" si="382"/>
        <v>1.3333333333333334E-6</v>
      </c>
      <c r="JR86" s="156">
        <f t="shared" si="382"/>
        <v>1.3333333333333334E-6</v>
      </c>
      <c r="JS86" s="156">
        <f t="shared" si="382"/>
        <v>1.3333333333333334E-6</v>
      </c>
      <c r="JT86" s="156">
        <f t="shared" si="382"/>
        <v>1.3333333333333334E-6</v>
      </c>
      <c r="JU86" s="156">
        <f t="shared" si="382"/>
        <v>1.3333333333333334E-6</v>
      </c>
      <c r="JV86" s="156">
        <f t="shared" si="382"/>
        <v>1.3333333333333334E-6</v>
      </c>
      <c r="JW86" s="156">
        <f t="shared" si="382"/>
        <v>1.3333333333333334E-6</v>
      </c>
      <c r="JX86" s="156">
        <f t="shared" si="382"/>
        <v>1.3333333333333334E-6</v>
      </c>
      <c r="JY86" s="156">
        <f t="shared" si="382"/>
        <v>1.3333333333333334E-6</v>
      </c>
      <c r="JZ86" s="156">
        <f t="shared" si="382"/>
        <v>1.3333333333333334E-6</v>
      </c>
      <c r="KA86" s="156">
        <f t="shared" si="382"/>
        <v>1.3333333333333334E-6</v>
      </c>
      <c r="KB86" s="156">
        <f t="shared" si="382"/>
        <v>1.3333333333333334E-6</v>
      </c>
      <c r="KC86" s="212">
        <v>5.0000000000000002E-5</v>
      </c>
      <c r="KD86" s="212"/>
      <c r="KE86" s="212"/>
      <c r="KF86" s="212">
        <v>5.0000000000000002E-5</v>
      </c>
      <c r="KG86" s="212"/>
      <c r="KH86" s="212"/>
      <c r="KI86" s="212">
        <v>4.0000000000000003E-5</v>
      </c>
      <c r="KJ86" s="212"/>
      <c r="KK86" s="212"/>
      <c r="KL86" s="54"/>
      <c r="KM86" s="54"/>
      <c r="KN86" s="54"/>
      <c r="KO86" s="53"/>
      <c r="KP86" s="54"/>
      <c r="KQ86" s="55"/>
      <c r="KR86" s="212">
        <v>2.2000000000000001E-4</v>
      </c>
      <c r="KS86" s="212"/>
      <c r="KT86" s="212"/>
      <c r="KU86" s="212">
        <v>2.2000000000000001E-4</v>
      </c>
      <c r="KV86" s="212"/>
      <c r="KW86" s="212"/>
      <c r="KX86" s="212">
        <v>3.2000000000000003E-4</v>
      </c>
      <c r="KY86" s="212"/>
      <c r="KZ86" s="218"/>
      <c r="LA86" s="211">
        <v>3.2000000000000003E-4</v>
      </c>
      <c r="LB86" s="212"/>
      <c r="LC86" s="213"/>
      <c r="LD86" s="220">
        <v>3.2000000000000003E-4</v>
      </c>
      <c r="LE86" s="212"/>
      <c r="LF86" s="212"/>
      <c r="LG86" s="212">
        <v>2.7999999999999998E-4</v>
      </c>
      <c r="LH86" s="212"/>
      <c r="LI86" s="212"/>
      <c r="LJ86" s="212">
        <v>2.2000000000000001E-4</v>
      </c>
      <c r="LK86" s="212"/>
      <c r="LL86" s="212"/>
      <c r="LM86" s="212">
        <v>2.2000000000000001E-4</v>
      </c>
      <c r="LN86" s="212"/>
      <c r="LO86" s="212"/>
      <c r="LP86" s="53"/>
      <c r="LQ86" s="54"/>
      <c r="LR86" s="55"/>
      <c r="LS86" s="53"/>
      <c r="LT86" s="54"/>
      <c r="LU86" s="55"/>
      <c r="LV86" s="54"/>
      <c r="LW86" s="54"/>
      <c r="LX86" s="55"/>
      <c r="LY86" s="54"/>
      <c r="LZ86" s="54"/>
      <c r="MA86" s="54"/>
      <c r="MB86" s="53"/>
      <c r="MC86" s="54"/>
      <c r="MD86" s="55"/>
      <c r="ME86" s="53"/>
      <c r="MF86" s="54"/>
      <c r="MG86" s="55"/>
      <c r="MH86" s="53"/>
      <c r="MI86" s="54"/>
      <c r="MJ86" s="55"/>
      <c r="MK86" s="54"/>
      <c r="ML86" s="54"/>
      <c r="MM86" s="54"/>
      <c r="MN86" s="53"/>
      <c r="MO86" s="54"/>
      <c r="MP86" s="55"/>
      <c r="MQ86" s="53"/>
      <c r="MR86" s="54"/>
      <c r="MS86" s="55"/>
      <c r="MT86" s="53"/>
      <c r="MU86" s="54"/>
      <c r="MV86" s="55"/>
      <c r="MW86" s="53"/>
      <c r="MX86" s="54"/>
      <c r="MY86" s="55"/>
      <c r="MZ86" s="53"/>
      <c r="NA86" s="54"/>
      <c r="NB86" s="55"/>
      <c r="NC86" s="54"/>
      <c r="ND86" s="54"/>
      <c r="NE86" s="59"/>
      <c r="NG86" s="275">
        <f>SUM(R86:NE86)</f>
        <v>2.3000000000000004E-3</v>
      </c>
      <c r="NH86" s="1"/>
      <c r="NI86" s="1"/>
      <c r="NJ86" s="1"/>
      <c r="NK86" s="1"/>
    </row>
    <row r="87" spans="4:375" s="6" customFormat="1" ht="6.95" customHeight="1">
      <c r="F87" s="196"/>
      <c r="G87" s="197"/>
      <c r="H87" s="52">
        <v>2</v>
      </c>
      <c r="L87" s="340"/>
      <c r="M87" s="294"/>
      <c r="N87" s="314"/>
      <c r="O87" s="306"/>
      <c r="P87" s="308"/>
      <c r="Q87" s="237"/>
      <c r="R87" s="6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39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1"/>
      <c r="CA87" s="39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39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 s="40"/>
      <c r="DT87" s="40"/>
      <c r="DU87" s="40"/>
      <c r="DV87" s="40"/>
      <c r="DW87" s="40"/>
      <c r="DX87" s="40"/>
      <c r="DY87" s="40"/>
      <c r="DZ87" s="40"/>
      <c r="EA87" s="40"/>
      <c r="EB87" s="40"/>
      <c r="EC87" s="40"/>
      <c r="ED87" s="40"/>
      <c r="EE87" s="40"/>
      <c r="EF87" s="40"/>
      <c r="EG87" s="40"/>
      <c r="EH87" s="40"/>
      <c r="EI87" s="39"/>
      <c r="EJ87" s="40"/>
      <c r="EK87" s="40"/>
      <c r="EL87" s="40"/>
      <c r="EM87" s="40"/>
      <c r="EN87" s="40"/>
      <c r="EO87" s="40"/>
      <c r="EP87" s="40"/>
      <c r="EQ87" s="40"/>
      <c r="ER87" s="40"/>
      <c r="ES87" s="40"/>
      <c r="ET87" s="40"/>
      <c r="EU87" s="40"/>
      <c r="EV87" s="40"/>
      <c r="EW87" s="40"/>
      <c r="EX87" s="40"/>
      <c r="EY87" s="40"/>
      <c r="EZ87" s="40"/>
      <c r="FA87" s="40"/>
      <c r="FB87" s="40"/>
      <c r="FC87" s="40"/>
      <c r="FD87" s="40"/>
      <c r="FE87" s="40"/>
      <c r="FF87" s="40"/>
      <c r="FG87" s="40"/>
      <c r="FH87" s="40"/>
      <c r="FI87" s="40"/>
      <c r="FJ87" s="40"/>
      <c r="FK87" s="40"/>
      <c r="FL87" s="40"/>
      <c r="FM87" s="39"/>
      <c r="FN87" s="40"/>
      <c r="FO87" s="40"/>
      <c r="FP87" s="40"/>
      <c r="FQ87" s="40"/>
      <c r="FR87" s="40"/>
      <c r="FS87" s="40"/>
      <c r="FT87" s="40"/>
      <c r="FU87" s="40"/>
      <c r="FV87" s="40"/>
      <c r="FW87" s="40"/>
      <c r="FX87" s="40"/>
      <c r="FY87" s="40"/>
      <c r="FZ87" s="40"/>
      <c r="GA87" s="40"/>
      <c r="GB87" s="40"/>
      <c r="GC87" s="40"/>
      <c r="GD87" s="40"/>
      <c r="GE87" s="40"/>
      <c r="GF87" s="40"/>
      <c r="GG87" s="40"/>
      <c r="GH87" s="40"/>
      <c r="GI87" s="40"/>
      <c r="GJ87" s="40"/>
      <c r="GK87" s="40"/>
      <c r="GL87" s="40"/>
      <c r="GM87" s="40"/>
      <c r="GN87" s="40"/>
      <c r="GO87" s="40"/>
      <c r="GP87" s="40"/>
      <c r="GQ87" s="40"/>
      <c r="GR87" s="40"/>
      <c r="GS87" s="40"/>
      <c r="GT87" s="40"/>
      <c r="GU87" s="40"/>
      <c r="GV87" s="40"/>
      <c r="GW87" s="40"/>
      <c r="GX87" s="40"/>
      <c r="GY87" s="40"/>
      <c r="GZ87" s="40"/>
      <c r="HA87" s="40"/>
      <c r="HB87" s="40"/>
      <c r="HC87" s="40"/>
      <c r="HD87" s="40"/>
      <c r="HE87" s="40"/>
      <c r="HF87" s="40"/>
      <c r="HG87" s="40"/>
      <c r="HH87" s="40"/>
      <c r="HI87" s="40"/>
      <c r="HJ87" s="40"/>
      <c r="HK87" s="40"/>
      <c r="HL87" s="40"/>
      <c r="HM87" s="40"/>
      <c r="HN87" s="40"/>
      <c r="HO87" s="40"/>
      <c r="HP87" s="40"/>
      <c r="HQ87" s="40"/>
      <c r="HR87" s="40"/>
      <c r="HS87" s="40"/>
      <c r="HT87" s="40"/>
      <c r="HU87" s="39"/>
      <c r="HV87" s="40"/>
      <c r="HW87" s="40"/>
      <c r="HX87" s="40"/>
      <c r="HY87" s="40"/>
      <c r="HZ87" s="40"/>
      <c r="IA87" s="40"/>
      <c r="IB87" s="40"/>
      <c r="IC87" s="40"/>
      <c r="ID87" s="40"/>
      <c r="IE87" s="40"/>
      <c r="IF87" s="40"/>
      <c r="IG87" s="40"/>
      <c r="IH87" s="40"/>
      <c r="II87" s="40"/>
      <c r="IJ87" s="40"/>
      <c r="IK87" s="40"/>
      <c r="IL87" s="40"/>
      <c r="IM87" s="40"/>
      <c r="IN87" s="40"/>
      <c r="IO87" s="40"/>
      <c r="IP87" s="40"/>
      <c r="IQ87" s="40"/>
      <c r="IR87" s="40"/>
      <c r="IS87" s="40"/>
      <c r="IT87" s="40"/>
      <c r="IU87" s="40"/>
      <c r="IV87" s="40"/>
      <c r="IW87" s="40"/>
      <c r="IX87" s="40"/>
      <c r="IY87" s="61"/>
      <c r="IZ87" s="62"/>
      <c r="JA87" s="62"/>
      <c r="JB87" s="62"/>
      <c r="JC87" s="62"/>
      <c r="JD87" s="62"/>
      <c r="JE87" s="62"/>
      <c r="JF87" s="62"/>
      <c r="JG87" s="62"/>
      <c r="JH87" s="62"/>
      <c r="JI87" s="62"/>
      <c r="JJ87" s="62"/>
      <c r="JK87" s="62"/>
      <c r="JL87" s="62"/>
      <c r="JM87" s="62"/>
      <c r="JN87" s="62"/>
      <c r="JO87" s="62"/>
      <c r="JP87" s="62"/>
      <c r="JQ87" s="62"/>
      <c r="JR87" s="62"/>
      <c r="JS87" s="62"/>
      <c r="JT87" s="62"/>
      <c r="JU87" s="62"/>
      <c r="JV87" s="62"/>
      <c r="JW87" s="62"/>
      <c r="JX87" s="62"/>
      <c r="JY87" s="62"/>
      <c r="JZ87" s="62"/>
      <c r="KA87" s="62"/>
      <c r="KB87" s="62"/>
      <c r="KC87" s="61"/>
      <c r="KD87" s="62"/>
      <c r="KE87" s="63"/>
      <c r="KF87" s="61"/>
      <c r="KG87" s="62"/>
      <c r="KH87" s="63"/>
      <c r="KI87" s="61"/>
      <c r="KJ87" s="62"/>
      <c r="KK87" s="63"/>
      <c r="KL87" s="40"/>
      <c r="KM87" s="40"/>
      <c r="KN87" s="40"/>
      <c r="KO87" s="39"/>
      <c r="KP87" s="40"/>
      <c r="KQ87" s="41"/>
      <c r="KR87" s="61"/>
      <c r="KS87" s="62"/>
      <c r="KT87" s="63"/>
      <c r="KU87" s="61"/>
      <c r="KV87" s="62"/>
      <c r="KW87" s="63"/>
      <c r="KX87" s="61"/>
      <c r="KY87" s="62"/>
      <c r="KZ87" s="63"/>
      <c r="LA87" s="61"/>
      <c r="LB87" s="62"/>
      <c r="LC87" s="63"/>
      <c r="LD87" s="61"/>
      <c r="LE87" s="62"/>
      <c r="LF87" s="63"/>
      <c r="LG87" s="61"/>
      <c r="LH87" s="62"/>
      <c r="LI87" s="63"/>
      <c r="LJ87" s="61"/>
      <c r="LK87" s="62"/>
      <c r="LL87" s="63"/>
      <c r="LM87" s="61"/>
      <c r="LN87" s="62"/>
      <c r="LO87" s="63"/>
      <c r="LP87" s="39"/>
      <c r="LQ87" s="40"/>
      <c r="LR87" s="41"/>
      <c r="LS87" s="39"/>
      <c r="LT87" s="40"/>
      <c r="LU87" s="41"/>
      <c r="LV87" s="40"/>
      <c r="LW87" s="40"/>
      <c r="LX87" s="41"/>
      <c r="LY87" s="40"/>
      <c r="LZ87" s="40"/>
      <c r="MA87" s="40"/>
      <c r="MB87" s="39"/>
      <c r="MC87" s="40"/>
      <c r="MD87" s="41"/>
      <c r="ME87" s="39"/>
      <c r="MF87" s="40"/>
      <c r="MG87" s="41"/>
      <c r="MH87" s="39"/>
      <c r="MI87" s="40"/>
      <c r="MJ87" s="41"/>
      <c r="MK87" s="40"/>
      <c r="ML87" s="40"/>
      <c r="MM87" s="40"/>
      <c r="MN87" s="39"/>
      <c r="MO87" s="40"/>
      <c r="MP87" s="41"/>
      <c r="MQ87" s="39"/>
      <c r="MR87" s="40"/>
      <c r="MS87" s="41"/>
      <c r="MT87" s="39"/>
      <c r="MU87" s="40"/>
      <c r="MV87" s="41"/>
      <c r="MW87" s="39"/>
      <c r="MX87" s="40"/>
      <c r="MY87" s="41"/>
      <c r="MZ87" s="39"/>
      <c r="NA87" s="40"/>
      <c r="NB87" s="41"/>
      <c r="NC87" s="40"/>
      <c r="ND87" s="40"/>
      <c r="NE87" s="42"/>
      <c r="NG87" s="275"/>
      <c r="NH87" s="1"/>
      <c r="NI87" s="1"/>
      <c r="NJ87" s="1"/>
      <c r="NK87" s="1"/>
    </row>
    <row r="88" spans="4:375" s="6" customFormat="1" ht="9.9499999999999993" customHeight="1">
      <c r="F88" s="196">
        <f t="shared" ref="F88" si="383">NG88</f>
        <v>1.1000000000000002E-4</v>
      </c>
      <c r="G88" s="197">
        <f>Q88-F88</f>
        <v>0</v>
      </c>
      <c r="H88" s="27">
        <v>1</v>
      </c>
      <c r="L88" s="292"/>
      <c r="M88" s="300" t="s">
        <v>138</v>
      </c>
      <c r="N88" s="301">
        <v>9</v>
      </c>
      <c r="O88" s="302" t="s">
        <v>295</v>
      </c>
      <c r="P88" s="315">
        <v>22492</v>
      </c>
      <c r="Q88" s="236">
        <f>ROUND(P88/$P$256,5)</f>
        <v>1.1E-4</v>
      </c>
      <c r="R88" s="73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6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8"/>
      <c r="CA88" s="66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6"/>
      <c r="DF88" s="67"/>
      <c r="DG88" s="67"/>
      <c r="DH88" s="67"/>
      <c r="DI88" s="67"/>
      <c r="DJ88" s="67"/>
      <c r="DK88" s="67"/>
      <c r="DL88" s="67"/>
      <c r="DM88" s="67"/>
      <c r="DN88" s="67"/>
      <c r="DO88" s="67"/>
      <c r="DP88" s="67"/>
      <c r="DQ88" s="67"/>
      <c r="DR88" s="67"/>
      <c r="DS88" s="67"/>
      <c r="DT88" s="67"/>
      <c r="DU88" s="67"/>
      <c r="DV88" s="67"/>
      <c r="DW88" s="67"/>
      <c r="DX88" s="67"/>
      <c r="DY88" s="67"/>
      <c r="DZ88" s="67"/>
      <c r="EA88" s="67"/>
      <c r="EB88" s="67"/>
      <c r="EC88" s="67"/>
      <c r="ED88" s="67"/>
      <c r="EE88" s="67"/>
      <c r="EF88" s="67"/>
      <c r="EG88" s="67"/>
      <c r="EH88" s="67"/>
      <c r="EI88" s="67"/>
      <c r="EJ88" s="67"/>
      <c r="EK88" s="67"/>
      <c r="EL88" s="67"/>
      <c r="EM88" s="67"/>
      <c r="EN88" s="67"/>
      <c r="EO88" s="67"/>
      <c r="EP88" s="67"/>
      <c r="EQ88" s="67"/>
      <c r="ER88" s="67"/>
      <c r="ES88" s="67"/>
      <c r="ET88" s="67"/>
      <c r="EU88" s="67"/>
      <c r="EV88" s="67"/>
      <c r="EW88" s="67"/>
      <c r="EX88" s="67"/>
      <c r="EY88" s="67"/>
      <c r="EZ88" s="67"/>
      <c r="FA88" s="67"/>
      <c r="FB88" s="67"/>
      <c r="FC88" s="67"/>
      <c r="FD88" s="67"/>
      <c r="FE88" s="67"/>
      <c r="FF88" s="67"/>
      <c r="FG88" s="67"/>
      <c r="FH88" s="67"/>
      <c r="FI88" s="67"/>
      <c r="FJ88" s="67"/>
      <c r="FK88" s="67"/>
      <c r="FL88" s="67"/>
      <c r="FM88" s="66"/>
      <c r="FN88" s="67"/>
      <c r="FO88" s="67"/>
      <c r="FP88" s="67"/>
      <c r="FQ88" s="67"/>
      <c r="FR88" s="67"/>
      <c r="FS88" s="67"/>
      <c r="FT88" s="67"/>
      <c r="FU88" s="67"/>
      <c r="FV88" s="67"/>
      <c r="FW88" s="67"/>
      <c r="FX88" s="67"/>
      <c r="FY88" s="67"/>
      <c r="FZ88" s="67"/>
      <c r="GA88" s="67"/>
      <c r="GB88" s="67"/>
      <c r="GC88" s="67"/>
      <c r="GD88" s="67"/>
      <c r="GE88" s="67"/>
      <c r="GF88" s="67"/>
      <c r="GG88" s="67"/>
      <c r="GH88" s="67"/>
      <c r="GI88" s="67"/>
      <c r="GJ88" s="67"/>
      <c r="GK88" s="67"/>
      <c r="GL88" s="67"/>
      <c r="GM88" s="67"/>
      <c r="GN88" s="67"/>
      <c r="GO88" s="67"/>
      <c r="GP88" s="67"/>
      <c r="GQ88" s="67"/>
      <c r="GR88" s="67"/>
      <c r="GS88" s="67"/>
      <c r="GT88" s="67"/>
      <c r="GU88" s="67"/>
      <c r="GV88" s="67"/>
      <c r="GW88" s="67"/>
      <c r="GX88" s="67"/>
      <c r="GY88" s="67"/>
      <c r="GZ88" s="67"/>
      <c r="HA88" s="67"/>
      <c r="HB88" s="67"/>
      <c r="HC88" s="67"/>
      <c r="HD88" s="67"/>
      <c r="HE88" s="67"/>
      <c r="HF88" s="67"/>
      <c r="HG88" s="67"/>
      <c r="HH88" s="67"/>
      <c r="HI88" s="67"/>
      <c r="HJ88" s="67"/>
      <c r="HK88" s="67"/>
      <c r="HL88" s="67"/>
      <c r="HM88" s="67"/>
      <c r="HN88" s="67"/>
      <c r="HO88" s="67"/>
      <c r="HP88" s="67"/>
      <c r="HQ88" s="67"/>
      <c r="HR88" s="67"/>
      <c r="HS88" s="67"/>
      <c r="HT88" s="67"/>
      <c r="HU88" s="66"/>
      <c r="HV88" s="67"/>
      <c r="HW88" s="67"/>
      <c r="HX88" s="67"/>
      <c r="HY88" s="67"/>
      <c r="HZ88" s="67"/>
      <c r="IA88" s="67"/>
      <c r="IB88" s="67"/>
      <c r="IC88" s="67"/>
      <c r="ID88" s="67"/>
      <c r="IE88" s="67"/>
      <c r="IF88" s="67"/>
      <c r="IG88" s="67"/>
      <c r="IH88" s="67"/>
      <c r="II88" s="67"/>
      <c r="IJ88" s="67"/>
      <c r="IK88" s="67"/>
      <c r="IL88" s="67"/>
      <c r="IM88" s="67"/>
      <c r="IN88" s="67"/>
      <c r="IO88" s="67"/>
      <c r="IP88" s="67"/>
      <c r="IQ88" s="67"/>
      <c r="IR88" s="67"/>
      <c r="IS88" s="67"/>
      <c r="IT88" s="67"/>
      <c r="IU88" s="67"/>
      <c r="IV88" s="67"/>
      <c r="IW88" s="67"/>
      <c r="IX88" s="67"/>
      <c r="IY88" s="66"/>
      <c r="IZ88" s="67"/>
      <c r="JA88" s="67"/>
      <c r="JB88" s="67"/>
      <c r="JC88" s="67"/>
      <c r="JD88" s="67"/>
      <c r="JE88" s="67"/>
      <c r="JF88" s="67"/>
      <c r="JG88" s="67"/>
      <c r="JH88" s="67"/>
      <c r="JI88" s="67"/>
      <c r="JJ88" s="67"/>
      <c r="JK88" s="67"/>
      <c r="JL88" s="67"/>
      <c r="JM88" s="67"/>
      <c r="JN88" s="67"/>
      <c r="JO88" s="67"/>
      <c r="JP88" s="67"/>
      <c r="JQ88" s="67"/>
      <c r="JR88" s="67"/>
      <c r="JS88" s="67"/>
      <c r="JT88" s="67"/>
      <c r="JU88" s="67"/>
      <c r="JV88" s="67"/>
      <c r="JW88" s="67"/>
      <c r="JX88" s="67"/>
      <c r="JY88" s="67"/>
      <c r="JZ88" s="67"/>
      <c r="KA88" s="67"/>
      <c r="KB88" s="67"/>
      <c r="KC88" s="66"/>
      <c r="KD88" s="67"/>
      <c r="KE88" s="68"/>
      <c r="KF88" s="67"/>
      <c r="KG88" s="67"/>
      <c r="KH88" s="67"/>
      <c r="KI88" s="66"/>
      <c r="KJ88" s="67"/>
      <c r="KK88" s="68"/>
      <c r="KL88" s="67"/>
      <c r="KM88" s="67"/>
      <c r="KN88" s="67"/>
      <c r="KO88" s="66"/>
      <c r="KP88" s="67"/>
      <c r="KQ88" s="68"/>
      <c r="KR88" s="67"/>
      <c r="KS88" s="67"/>
      <c r="KT88" s="67"/>
      <c r="KU88" s="66"/>
      <c r="KV88" s="67"/>
      <c r="KW88" s="68"/>
      <c r="KX88" s="67"/>
      <c r="KY88" s="67"/>
      <c r="KZ88" s="67"/>
      <c r="LA88" s="70"/>
      <c r="LB88" s="67"/>
      <c r="LC88" s="71"/>
      <c r="LD88" s="215">
        <v>3.0000000000000001E-5</v>
      </c>
      <c r="LE88" s="214"/>
      <c r="LF88" s="214"/>
      <c r="LG88" s="66"/>
      <c r="LH88" s="67"/>
      <c r="LI88" s="68"/>
      <c r="LJ88" s="214">
        <v>4.0000000000000003E-5</v>
      </c>
      <c r="LK88" s="214"/>
      <c r="LL88" s="214"/>
      <c r="LM88" s="66"/>
      <c r="LN88" s="67"/>
      <c r="LO88" s="67"/>
      <c r="LP88" s="214">
        <v>4.0000000000000003E-5</v>
      </c>
      <c r="LQ88" s="214"/>
      <c r="LR88" s="214"/>
      <c r="LS88" s="66"/>
      <c r="LT88" s="67"/>
      <c r="LU88" s="68"/>
      <c r="LV88" s="67"/>
      <c r="LW88" s="67"/>
      <c r="LX88" s="68"/>
      <c r="LY88" s="67"/>
      <c r="LZ88" s="67"/>
      <c r="MA88" s="67"/>
      <c r="MB88" s="66"/>
      <c r="MC88" s="67"/>
      <c r="MD88" s="68"/>
      <c r="ME88" s="66"/>
      <c r="MF88" s="67"/>
      <c r="MG88" s="68"/>
      <c r="MH88" s="66"/>
      <c r="MI88" s="67"/>
      <c r="MJ88" s="68"/>
      <c r="MK88" s="67"/>
      <c r="ML88" s="67"/>
      <c r="MM88" s="67"/>
      <c r="MN88" s="66"/>
      <c r="MO88" s="67"/>
      <c r="MP88" s="68"/>
      <c r="MQ88" s="66"/>
      <c r="MR88" s="67"/>
      <c r="MS88" s="68"/>
      <c r="MT88" s="66"/>
      <c r="MU88" s="67"/>
      <c r="MV88" s="68"/>
      <c r="MW88" s="66"/>
      <c r="MX88" s="67"/>
      <c r="MY88" s="68"/>
      <c r="MZ88" s="66"/>
      <c r="NA88" s="67"/>
      <c r="NB88" s="68"/>
      <c r="NC88" s="67"/>
      <c r="ND88" s="67"/>
      <c r="NE88" s="72"/>
      <c r="NG88" s="275">
        <f>SUM(R88:NE88)</f>
        <v>1.1000000000000002E-4</v>
      </c>
      <c r="NH88" s="1"/>
      <c r="NI88" s="1"/>
      <c r="NJ88" s="1"/>
      <c r="NK88" s="1"/>
    </row>
    <row r="89" spans="4:375" s="6" customFormat="1" ht="6.95" customHeight="1">
      <c r="F89" s="196"/>
      <c r="G89" s="197"/>
      <c r="H89" s="52">
        <v>2</v>
      </c>
      <c r="L89" s="292"/>
      <c r="M89" s="300"/>
      <c r="N89" s="301"/>
      <c r="O89" s="302"/>
      <c r="P89" s="315"/>
      <c r="Q89" s="237"/>
      <c r="R89" s="73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6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8"/>
      <c r="CA89" s="66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6"/>
      <c r="DF89" s="67"/>
      <c r="DG89" s="67"/>
      <c r="DH89" s="67"/>
      <c r="DI89" s="67"/>
      <c r="DJ89" s="67"/>
      <c r="DK89" s="67"/>
      <c r="DL89" s="67"/>
      <c r="DM89" s="67"/>
      <c r="DN89" s="67"/>
      <c r="DO89" s="67"/>
      <c r="DP89" s="67"/>
      <c r="DQ89" s="67"/>
      <c r="DR89" s="67"/>
      <c r="DS89" s="67"/>
      <c r="DT89" s="67"/>
      <c r="DU89" s="67"/>
      <c r="DV89" s="67"/>
      <c r="DW89" s="67"/>
      <c r="DX89" s="67"/>
      <c r="DY89" s="67"/>
      <c r="DZ89" s="67"/>
      <c r="EA89" s="67"/>
      <c r="EB89" s="67"/>
      <c r="EC89" s="67"/>
      <c r="ED89" s="67"/>
      <c r="EE89" s="67"/>
      <c r="EF89" s="67"/>
      <c r="EG89" s="67"/>
      <c r="EH89" s="67"/>
      <c r="EI89" s="67"/>
      <c r="EJ89" s="67"/>
      <c r="EK89" s="67"/>
      <c r="EL89" s="67"/>
      <c r="EM89" s="67"/>
      <c r="EN89" s="67"/>
      <c r="EO89" s="67"/>
      <c r="EP89" s="67"/>
      <c r="EQ89" s="67"/>
      <c r="ER89" s="67"/>
      <c r="ES89" s="67"/>
      <c r="ET89" s="67"/>
      <c r="EU89" s="67"/>
      <c r="EV89" s="67"/>
      <c r="EW89" s="67"/>
      <c r="EX89" s="67"/>
      <c r="EY89" s="67"/>
      <c r="EZ89" s="67"/>
      <c r="FA89" s="67"/>
      <c r="FB89" s="67"/>
      <c r="FC89" s="67"/>
      <c r="FD89" s="67"/>
      <c r="FE89" s="67"/>
      <c r="FF89" s="67"/>
      <c r="FG89" s="67"/>
      <c r="FH89" s="67"/>
      <c r="FI89" s="67"/>
      <c r="FJ89" s="67"/>
      <c r="FK89" s="67"/>
      <c r="FL89" s="67"/>
      <c r="FM89" s="66"/>
      <c r="FN89" s="67"/>
      <c r="FO89" s="67"/>
      <c r="FP89" s="67"/>
      <c r="FQ89" s="67"/>
      <c r="FR89" s="67"/>
      <c r="FS89" s="67"/>
      <c r="FT89" s="67"/>
      <c r="FU89" s="67"/>
      <c r="FV89" s="67"/>
      <c r="FW89" s="67"/>
      <c r="FX89" s="67"/>
      <c r="FY89" s="67"/>
      <c r="FZ89" s="67"/>
      <c r="GA89" s="67"/>
      <c r="GB89" s="67"/>
      <c r="GC89" s="67"/>
      <c r="GD89" s="67"/>
      <c r="GE89" s="67"/>
      <c r="GF89" s="67"/>
      <c r="GG89" s="67"/>
      <c r="GH89" s="67"/>
      <c r="GI89" s="67"/>
      <c r="GJ89" s="67"/>
      <c r="GK89" s="67"/>
      <c r="GL89" s="67"/>
      <c r="GM89" s="67"/>
      <c r="GN89" s="67"/>
      <c r="GO89" s="67"/>
      <c r="GP89" s="67"/>
      <c r="GQ89" s="67"/>
      <c r="GR89" s="67"/>
      <c r="GS89" s="67"/>
      <c r="GT89" s="67"/>
      <c r="GU89" s="67"/>
      <c r="GV89" s="67"/>
      <c r="GW89" s="67"/>
      <c r="GX89" s="67"/>
      <c r="GY89" s="67"/>
      <c r="GZ89" s="67"/>
      <c r="HA89" s="67"/>
      <c r="HB89" s="67"/>
      <c r="HC89" s="67"/>
      <c r="HD89" s="67"/>
      <c r="HE89" s="67"/>
      <c r="HF89" s="67"/>
      <c r="HG89" s="67"/>
      <c r="HH89" s="67"/>
      <c r="HI89" s="67"/>
      <c r="HJ89" s="67"/>
      <c r="HK89" s="67"/>
      <c r="HL89" s="67"/>
      <c r="HM89" s="67"/>
      <c r="HN89" s="67"/>
      <c r="HO89" s="67"/>
      <c r="HP89" s="67"/>
      <c r="HQ89" s="67"/>
      <c r="HR89" s="67"/>
      <c r="HS89" s="67"/>
      <c r="HT89" s="67"/>
      <c r="HU89" s="66"/>
      <c r="HV89" s="67"/>
      <c r="HW89" s="67"/>
      <c r="HX89" s="67"/>
      <c r="HY89" s="67"/>
      <c r="HZ89" s="67"/>
      <c r="IA89" s="67"/>
      <c r="IB89" s="67"/>
      <c r="IC89" s="67"/>
      <c r="ID89" s="67"/>
      <c r="IE89" s="67"/>
      <c r="IF89" s="67"/>
      <c r="IG89" s="67"/>
      <c r="IH89" s="67"/>
      <c r="II89" s="67"/>
      <c r="IJ89" s="67"/>
      <c r="IK89" s="67"/>
      <c r="IL89" s="67"/>
      <c r="IM89" s="67"/>
      <c r="IN89" s="67"/>
      <c r="IO89" s="67"/>
      <c r="IP89" s="67"/>
      <c r="IQ89" s="67"/>
      <c r="IR89" s="67"/>
      <c r="IS89" s="67"/>
      <c r="IT89" s="67"/>
      <c r="IU89" s="67"/>
      <c r="IV89" s="67"/>
      <c r="IW89" s="67"/>
      <c r="IX89" s="67"/>
      <c r="IY89" s="66"/>
      <c r="IZ89" s="67"/>
      <c r="JA89" s="67"/>
      <c r="JB89" s="67"/>
      <c r="JC89" s="67"/>
      <c r="JD89" s="67"/>
      <c r="JE89" s="67"/>
      <c r="JF89" s="67"/>
      <c r="JG89" s="67"/>
      <c r="JH89" s="67"/>
      <c r="JI89" s="67"/>
      <c r="JJ89" s="67"/>
      <c r="JK89" s="67"/>
      <c r="JL89" s="67"/>
      <c r="JM89" s="67"/>
      <c r="JN89" s="67"/>
      <c r="JO89" s="67"/>
      <c r="JP89" s="67"/>
      <c r="JQ89" s="67"/>
      <c r="JR89" s="67"/>
      <c r="JS89" s="67"/>
      <c r="JT89" s="67"/>
      <c r="JU89" s="67"/>
      <c r="JV89" s="67"/>
      <c r="JW89" s="67"/>
      <c r="JX89" s="67"/>
      <c r="JY89" s="67"/>
      <c r="JZ89" s="67"/>
      <c r="KA89" s="67"/>
      <c r="KB89" s="67"/>
      <c r="KC89" s="66"/>
      <c r="KD89" s="67"/>
      <c r="KE89" s="68"/>
      <c r="KF89" s="67"/>
      <c r="KG89" s="67"/>
      <c r="KH89" s="67"/>
      <c r="KI89" s="66"/>
      <c r="KJ89" s="67"/>
      <c r="KK89" s="68"/>
      <c r="KL89" s="67"/>
      <c r="KM89" s="67"/>
      <c r="KN89" s="67"/>
      <c r="KO89" s="66"/>
      <c r="KP89" s="67"/>
      <c r="KQ89" s="68"/>
      <c r="KR89" s="67"/>
      <c r="KS89" s="67"/>
      <c r="KT89" s="67"/>
      <c r="KU89" s="66"/>
      <c r="KV89" s="67"/>
      <c r="KW89" s="68"/>
      <c r="KX89" s="67"/>
      <c r="KY89" s="67"/>
      <c r="KZ89" s="67"/>
      <c r="LA89" s="70"/>
      <c r="LB89" s="67"/>
      <c r="LC89" s="71"/>
      <c r="LD89" s="61"/>
      <c r="LE89" s="62"/>
      <c r="LF89" s="63"/>
      <c r="LG89" s="66"/>
      <c r="LH89" s="67"/>
      <c r="LI89" s="68"/>
      <c r="LJ89" s="61"/>
      <c r="LK89" s="62"/>
      <c r="LL89" s="63"/>
      <c r="LM89" s="66"/>
      <c r="LN89" s="67"/>
      <c r="LO89" s="67"/>
      <c r="LP89" s="61"/>
      <c r="LQ89" s="62"/>
      <c r="LR89" s="63"/>
      <c r="LS89" s="66"/>
      <c r="LT89" s="67"/>
      <c r="LU89" s="68"/>
      <c r="LV89" s="67"/>
      <c r="LW89" s="67"/>
      <c r="LX89" s="68"/>
      <c r="LY89" s="67"/>
      <c r="LZ89" s="67"/>
      <c r="MA89" s="67"/>
      <c r="MB89" s="66"/>
      <c r="MC89" s="67"/>
      <c r="MD89" s="68"/>
      <c r="ME89" s="66"/>
      <c r="MF89" s="67"/>
      <c r="MG89" s="68"/>
      <c r="MH89" s="66"/>
      <c r="MI89" s="67"/>
      <c r="MJ89" s="68"/>
      <c r="MK89" s="67"/>
      <c r="ML89" s="67"/>
      <c r="MM89" s="67"/>
      <c r="MN89" s="66"/>
      <c r="MO89" s="67"/>
      <c r="MP89" s="68"/>
      <c r="MQ89" s="66"/>
      <c r="MR89" s="67"/>
      <c r="MS89" s="68"/>
      <c r="MT89" s="66"/>
      <c r="MU89" s="67"/>
      <c r="MV89" s="68"/>
      <c r="MW89" s="66"/>
      <c r="MX89" s="67"/>
      <c r="MY89" s="68"/>
      <c r="MZ89" s="66"/>
      <c r="NA89" s="67"/>
      <c r="NB89" s="68"/>
      <c r="NC89" s="67"/>
      <c r="ND89" s="67"/>
      <c r="NE89" s="72"/>
      <c r="NG89" s="275"/>
      <c r="NH89" s="1"/>
      <c r="NI89" s="1"/>
      <c r="NJ89" s="1"/>
      <c r="NK89" s="1"/>
    </row>
    <row r="90" spans="4:375" s="6" customFormat="1" ht="9.9499999999999993" customHeight="1">
      <c r="F90" s="196">
        <f t="shared" ref="F90" si="384">NG90</f>
        <v>2.680000000000001E-3</v>
      </c>
      <c r="G90" s="197">
        <f>Q90-F90</f>
        <v>0</v>
      </c>
      <c r="H90" s="27">
        <v>1</v>
      </c>
      <c r="L90" s="339"/>
      <c r="M90" s="293" t="s">
        <v>46</v>
      </c>
      <c r="N90" s="356">
        <v>1</v>
      </c>
      <c r="O90" s="312" t="s">
        <v>44</v>
      </c>
      <c r="P90" s="307">
        <v>558048</v>
      </c>
      <c r="Q90" s="236">
        <f>ROUND(P90/$P$256,5)</f>
        <v>2.6800000000000001E-3</v>
      </c>
      <c r="R90" s="21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3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5"/>
      <c r="CA90" s="53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3"/>
      <c r="DF90" s="54"/>
      <c r="DG90" s="54"/>
      <c r="DH90" s="54"/>
      <c r="DI90" s="54"/>
      <c r="DJ90" s="54"/>
      <c r="DK90" s="54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4"/>
      <c r="DW90" s="54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4"/>
      <c r="EI90" s="156"/>
      <c r="EJ90" s="156"/>
      <c r="EK90" s="156"/>
      <c r="EL90" s="156"/>
      <c r="EM90" s="156"/>
      <c r="EN90" s="156"/>
      <c r="EO90" s="156"/>
      <c r="EP90" s="156"/>
      <c r="EQ90" s="156"/>
      <c r="ER90" s="156"/>
      <c r="ES90" s="156"/>
      <c r="ET90" s="156"/>
      <c r="EU90" s="156"/>
      <c r="EV90" s="156"/>
      <c r="EW90" s="156"/>
      <c r="EX90" s="156"/>
      <c r="EY90" s="156"/>
      <c r="EZ90" s="156"/>
      <c r="FA90" s="156"/>
      <c r="FB90" s="156"/>
      <c r="FC90" s="156"/>
      <c r="FD90" s="156"/>
      <c r="FE90" s="156"/>
      <c r="FF90" s="156"/>
      <c r="FG90" s="156"/>
      <c r="FH90" s="156"/>
      <c r="FI90" s="156"/>
      <c r="FJ90" s="156"/>
      <c r="FK90" s="156"/>
      <c r="FL90" s="156"/>
      <c r="FM90" s="156"/>
      <c r="FN90" s="156"/>
      <c r="FO90" s="156"/>
      <c r="FP90" s="156"/>
      <c r="FQ90" s="156"/>
      <c r="FR90" s="156"/>
      <c r="FS90" s="156"/>
      <c r="FT90" s="156"/>
      <c r="FU90" s="156"/>
      <c r="FV90" s="156"/>
      <c r="FW90" s="156"/>
      <c r="FX90" s="156"/>
      <c r="FY90" s="156"/>
      <c r="FZ90" s="156"/>
      <c r="GA90" s="156"/>
      <c r="GB90" s="156"/>
      <c r="GC90" s="156"/>
      <c r="GD90" s="156"/>
      <c r="GE90" s="156"/>
      <c r="GF90" s="156"/>
      <c r="GG90" s="156"/>
      <c r="GH90" s="156"/>
      <c r="GI90" s="156"/>
      <c r="GJ90" s="156"/>
      <c r="GK90" s="156"/>
      <c r="GL90" s="156"/>
      <c r="GM90" s="156"/>
      <c r="GN90" s="156"/>
      <c r="GO90" s="156"/>
      <c r="GP90" s="156"/>
      <c r="GQ90" s="156">
        <f>0.007%/30</f>
        <v>2.3333333333333336E-6</v>
      </c>
      <c r="GR90" s="156">
        <f>GQ90</f>
        <v>2.3333333333333336E-6</v>
      </c>
      <c r="GS90" s="156">
        <f t="shared" ref="GS90:HT90" si="385">GR90</f>
        <v>2.3333333333333336E-6</v>
      </c>
      <c r="GT90" s="156">
        <f t="shared" si="385"/>
        <v>2.3333333333333336E-6</v>
      </c>
      <c r="GU90" s="156">
        <f t="shared" si="385"/>
        <v>2.3333333333333336E-6</v>
      </c>
      <c r="GV90" s="156">
        <f t="shared" si="385"/>
        <v>2.3333333333333336E-6</v>
      </c>
      <c r="GW90" s="156">
        <f t="shared" si="385"/>
        <v>2.3333333333333336E-6</v>
      </c>
      <c r="GX90" s="156">
        <f t="shared" si="385"/>
        <v>2.3333333333333336E-6</v>
      </c>
      <c r="GY90" s="156">
        <f t="shared" si="385"/>
        <v>2.3333333333333336E-6</v>
      </c>
      <c r="GZ90" s="156">
        <f t="shared" si="385"/>
        <v>2.3333333333333336E-6</v>
      </c>
      <c r="HA90" s="156">
        <f t="shared" si="385"/>
        <v>2.3333333333333336E-6</v>
      </c>
      <c r="HB90" s="156">
        <f t="shared" si="385"/>
        <v>2.3333333333333336E-6</v>
      </c>
      <c r="HC90" s="156">
        <f t="shared" si="385"/>
        <v>2.3333333333333336E-6</v>
      </c>
      <c r="HD90" s="156">
        <f t="shared" si="385"/>
        <v>2.3333333333333336E-6</v>
      </c>
      <c r="HE90" s="156">
        <f t="shared" si="385"/>
        <v>2.3333333333333336E-6</v>
      </c>
      <c r="HF90" s="156">
        <f t="shared" si="385"/>
        <v>2.3333333333333336E-6</v>
      </c>
      <c r="HG90" s="156">
        <f t="shared" si="385"/>
        <v>2.3333333333333336E-6</v>
      </c>
      <c r="HH90" s="156">
        <f t="shared" si="385"/>
        <v>2.3333333333333336E-6</v>
      </c>
      <c r="HI90" s="156">
        <f t="shared" si="385"/>
        <v>2.3333333333333336E-6</v>
      </c>
      <c r="HJ90" s="156">
        <f t="shared" si="385"/>
        <v>2.3333333333333336E-6</v>
      </c>
      <c r="HK90" s="156">
        <f t="shared" si="385"/>
        <v>2.3333333333333336E-6</v>
      </c>
      <c r="HL90" s="156">
        <f t="shared" si="385"/>
        <v>2.3333333333333336E-6</v>
      </c>
      <c r="HM90" s="156">
        <f t="shared" si="385"/>
        <v>2.3333333333333336E-6</v>
      </c>
      <c r="HN90" s="156">
        <f t="shared" si="385"/>
        <v>2.3333333333333336E-6</v>
      </c>
      <c r="HO90" s="156">
        <f t="shared" si="385"/>
        <v>2.3333333333333336E-6</v>
      </c>
      <c r="HP90" s="156">
        <f t="shared" si="385"/>
        <v>2.3333333333333336E-6</v>
      </c>
      <c r="HQ90" s="156">
        <f t="shared" si="385"/>
        <v>2.3333333333333336E-6</v>
      </c>
      <c r="HR90" s="156">
        <f t="shared" si="385"/>
        <v>2.3333333333333336E-6</v>
      </c>
      <c r="HS90" s="156">
        <f t="shared" si="385"/>
        <v>2.3333333333333336E-6</v>
      </c>
      <c r="HT90" s="156">
        <f t="shared" si="385"/>
        <v>2.3333333333333336E-6</v>
      </c>
      <c r="HU90" s="156">
        <f>0.007%/30</f>
        <v>2.3333333333333336E-6</v>
      </c>
      <c r="HV90" s="156">
        <f>HU90</f>
        <v>2.3333333333333336E-6</v>
      </c>
      <c r="HW90" s="156">
        <f t="shared" ref="HW90:IX90" si="386">HV90</f>
        <v>2.3333333333333336E-6</v>
      </c>
      <c r="HX90" s="156">
        <f t="shared" si="386"/>
        <v>2.3333333333333336E-6</v>
      </c>
      <c r="HY90" s="156">
        <f t="shared" si="386"/>
        <v>2.3333333333333336E-6</v>
      </c>
      <c r="HZ90" s="156">
        <f t="shared" si="386"/>
        <v>2.3333333333333336E-6</v>
      </c>
      <c r="IA90" s="156">
        <f t="shared" si="386"/>
        <v>2.3333333333333336E-6</v>
      </c>
      <c r="IB90" s="156">
        <f t="shared" si="386"/>
        <v>2.3333333333333336E-6</v>
      </c>
      <c r="IC90" s="156">
        <f t="shared" si="386"/>
        <v>2.3333333333333336E-6</v>
      </c>
      <c r="ID90" s="156">
        <f t="shared" si="386"/>
        <v>2.3333333333333336E-6</v>
      </c>
      <c r="IE90" s="156">
        <f t="shared" si="386"/>
        <v>2.3333333333333336E-6</v>
      </c>
      <c r="IF90" s="156">
        <f t="shared" si="386"/>
        <v>2.3333333333333336E-6</v>
      </c>
      <c r="IG90" s="156">
        <f t="shared" si="386"/>
        <v>2.3333333333333336E-6</v>
      </c>
      <c r="IH90" s="156">
        <f t="shared" si="386"/>
        <v>2.3333333333333336E-6</v>
      </c>
      <c r="II90" s="156">
        <f t="shared" si="386"/>
        <v>2.3333333333333336E-6</v>
      </c>
      <c r="IJ90" s="156">
        <f t="shared" si="386"/>
        <v>2.3333333333333336E-6</v>
      </c>
      <c r="IK90" s="156">
        <f t="shared" si="386"/>
        <v>2.3333333333333336E-6</v>
      </c>
      <c r="IL90" s="156">
        <f t="shared" si="386"/>
        <v>2.3333333333333336E-6</v>
      </c>
      <c r="IM90" s="156">
        <f t="shared" si="386"/>
        <v>2.3333333333333336E-6</v>
      </c>
      <c r="IN90" s="156">
        <f t="shared" si="386"/>
        <v>2.3333333333333336E-6</v>
      </c>
      <c r="IO90" s="156">
        <f t="shared" si="386"/>
        <v>2.3333333333333336E-6</v>
      </c>
      <c r="IP90" s="156">
        <f t="shared" si="386"/>
        <v>2.3333333333333336E-6</v>
      </c>
      <c r="IQ90" s="156">
        <f t="shared" si="386"/>
        <v>2.3333333333333336E-6</v>
      </c>
      <c r="IR90" s="156">
        <f t="shared" si="386"/>
        <v>2.3333333333333336E-6</v>
      </c>
      <c r="IS90" s="156">
        <f t="shared" si="386"/>
        <v>2.3333333333333336E-6</v>
      </c>
      <c r="IT90" s="156">
        <f t="shared" si="386"/>
        <v>2.3333333333333336E-6</v>
      </c>
      <c r="IU90" s="156">
        <f t="shared" si="386"/>
        <v>2.3333333333333336E-6</v>
      </c>
      <c r="IV90" s="156">
        <f t="shared" si="386"/>
        <v>2.3333333333333336E-6</v>
      </c>
      <c r="IW90" s="156">
        <f t="shared" si="386"/>
        <v>2.3333333333333336E-6</v>
      </c>
      <c r="IX90" s="156">
        <f t="shared" si="386"/>
        <v>2.3333333333333336E-6</v>
      </c>
      <c r="IY90" s="156">
        <f>0.017%/30</f>
        <v>5.6666666666666669E-6</v>
      </c>
      <c r="IZ90" s="156">
        <f>IY90</f>
        <v>5.6666666666666669E-6</v>
      </c>
      <c r="JA90" s="156">
        <f t="shared" ref="JA90:KB90" si="387">IZ90</f>
        <v>5.6666666666666669E-6</v>
      </c>
      <c r="JB90" s="156">
        <f t="shared" si="387"/>
        <v>5.6666666666666669E-6</v>
      </c>
      <c r="JC90" s="156">
        <f t="shared" si="387"/>
        <v>5.6666666666666669E-6</v>
      </c>
      <c r="JD90" s="156">
        <f t="shared" si="387"/>
        <v>5.6666666666666669E-6</v>
      </c>
      <c r="JE90" s="156">
        <f t="shared" si="387"/>
        <v>5.6666666666666669E-6</v>
      </c>
      <c r="JF90" s="156">
        <f t="shared" si="387"/>
        <v>5.6666666666666669E-6</v>
      </c>
      <c r="JG90" s="156">
        <f t="shared" si="387"/>
        <v>5.6666666666666669E-6</v>
      </c>
      <c r="JH90" s="156">
        <f t="shared" si="387"/>
        <v>5.6666666666666669E-6</v>
      </c>
      <c r="JI90" s="156">
        <f t="shared" si="387"/>
        <v>5.6666666666666669E-6</v>
      </c>
      <c r="JJ90" s="156">
        <f t="shared" si="387"/>
        <v>5.6666666666666669E-6</v>
      </c>
      <c r="JK90" s="156">
        <f t="shared" si="387"/>
        <v>5.6666666666666669E-6</v>
      </c>
      <c r="JL90" s="156">
        <f t="shared" si="387"/>
        <v>5.6666666666666669E-6</v>
      </c>
      <c r="JM90" s="156">
        <f t="shared" si="387"/>
        <v>5.6666666666666669E-6</v>
      </c>
      <c r="JN90" s="156">
        <f t="shared" si="387"/>
        <v>5.6666666666666669E-6</v>
      </c>
      <c r="JO90" s="156">
        <f t="shared" si="387"/>
        <v>5.6666666666666669E-6</v>
      </c>
      <c r="JP90" s="156">
        <f t="shared" si="387"/>
        <v>5.6666666666666669E-6</v>
      </c>
      <c r="JQ90" s="156">
        <f t="shared" si="387"/>
        <v>5.6666666666666669E-6</v>
      </c>
      <c r="JR90" s="156">
        <f t="shared" si="387"/>
        <v>5.6666666666666669E-6</v>
      </c>
      <c r="JS90" s="156">
        <f t="shared" si="387"/>
        <v>5.6666666666666669E-6</v>
      </c>
      <c r="JT90" s="156">
        <f t="shared" si="387"/>
        <v>5.6666666666666669E-6</v>
      </c>
      <c r="JU90" s="156">
        <f t="shared" si="387"/>
        <v>5.6666666666666669E-6</v>
      </c>
      <c r="JV90" s="156">
        <f t="shared" si="387"/>
        <v>5.6666666666666669E-6</v>
      </c>
      <c r="JW90" s="156">
        <f t="shared" si="387"/>
        <v>5.6666666666666669E-6</v>
      </c>
      <c r="JX90" s="156">
        <f t="shared" si="387"/>
        <v>5.6666666666666669E-6</v>
      </c>
      <c r="JY90" s="156">
        <f t="shared" si="387"/>
        <v>5.6666666666666669E-6</v>
      </c>
      <c r="JZ90" s="156">
        <f t="shared" si="387"/>
        <v>5.6666666666666669E-6</v>
      </c>
      <c r="KA90" s="156">
        <f t="shared" si="387"/>
        <v>5.6666666666666669E-6</v>
      </c>
      <c r="KB90" s="156">
        <f t="shared" si="387"/>
        <v>5.6666666666666669E-6</v>
      </c>
      <c r="KC90" s="212">
        <v>1.7000000000000001E-4</v>
      </c>
      <c r="KD90" s="212"/>
      <c r="KE90" s="212"/>
      <c r="KF90" s="212">
        <v>1.7000000000000001E-4</v>
      </c>
      <c r="KG90" s="212"/>
      <c r="KH90" s="212"/>
      <c r="KI90" s="212">
        <v>1.7000000000000001E-4</v>
      </c>
      <c r="KJ90" s="212"/>
      <c r="KK90" s="212"/>
      <c r="KL90" s="212">
        <v>1.7000000000000001E-4</v>
      </c>
      <c r="KM90" s="212"/>
      <c r="KN90" s="212"/>
      <c r="KO90" s="212">
        <v>1.8000000000000001E-4</v>
      </c>
      <c r="KP90" s="212"/>
      <c r="KQ90" s="212"/>
      <c r="KR90" s="212">
        <v>1.8000000000000001E-4</v>
      </c>
      <c r="KS90" s="212"/>
      <c r="KT90" s="212"/>
      <c r="KU90" s="212">
        <v>2.0000000000000001E-4</v>
      </c>
      <c r="KV90" s="212"/>
      <c r="KW90" s="212"/>
      <c r="KX90" s="212">
        <v>2.0000000000000001E-4</v>
      </c>
      <c r="KY90" s="212"/>
      <c r="KZ90" s="218"/>
      <c r="LA90" s="211">
        <v>2.0000000000000001E-4</v>
      </c>
      <c r="LB90" s="212"/>
      <c r="LC90" s="213"/>
      <c r="LD90" s="220">
        <v>2.0000000000000001E-4</v>
      </c>
      <c r="LE90" s="212"/>
      <c r="LF90" s="212"/>
      <c r="LG90" s="218">
        <v>1.7000000000000001E-4</v>
      </c>
      <c r="LH90" s="219"/>
      <c r="LI90" s="220"/>
      <c r="LJ90" s="218">
        <v>1.7000000000000001E-4</v>
      </c>
      <c r="LK90" s="219"/>
      <c r="LL90" s="220"/>
      <c r="LM90" s="218">
        <v>6.9999999999999994E-5</v>
      </c>
      <c r="LN90" s="219"/>
      <c r="LO90" s="220"/>
      <c r="LP90" s="212">
        <v>6.0000000000000002E-5</v>
      </c>
      <c r="LQ90" s="212"/>
      <c r="LR90" s="212"/>
      <c r="LS90" s="212">
        <v>6.0000000000000002E-5</v>
      </c>
      <c r="LT90" s="212"/>
      <c r="LU90" s="212"/>
      <c r="LV90" s="54"/>
      <c r="LW90" s="54"/>
      <c r="LX90" s="55"/>
      <c r="LY90" s="54"/>
      <c r="LZ90" s="54"/>
      <c r="MA90" s="54"/>
      <c r="MB90" s="53"/>
      <c r="MC90" s="54"/>
      <c r="MD90" s="55"/>
      <c r="ME90" s="54"/>
      <c r="MF90" s="54"/>
      <c r="MG90" s="55"/>
      <c r="MH90" s="212"/>
      <c r="MI90" s="212"/>
      <c r="MJ90" s="212"/>
      <c r="MK90" s="54"/>
      <c r="ML90" s="54"/>
      <c r="MM90" s="54"/>
      <c r="MN90" s="53"/>
      <c r="MO90" s="54"/>
      <c r="MP90" s="55"/>
      <c r="MQ90" s="53"/>
      <c r="MR90" s="54"/>
      <c r="MS90" s="55"/>
      <c r="MT90" s="53"/>
      <c r="MU90" s="54"/>
      <c r="MV90" s="55"/>
      <c r="MW90" s="53"/>
      <c r="MX90" s="54"/>
      <c r="MY90" s="55"/>
      <c r="MZ90" s="53"/>
      <c r="NA90" s="54"/>
      <c r="NB90" s="55"/>
      <c r="NC90" s="54"/>
      <c r="ND90" s="54"/>
      <c r="NE90" s="59"/>
      <c r="NG90" s="275">
        <f>SUM(R90:NE90)</f>
        <v>2.680000000000001E-3</v>
      </c>
      <c r="NH90" s="1"/>
      <c r="NI90" s="1"/>
      <c r="NJ90" s="1"/>
      <c r="NK90" s="1"/>
    </row>
    <row r="91" spans="4:375" s="6" customFormat="1" ht="6.95" customHeight="1">
      <c r="F91" s="196"/>
      <c r="G91" s="197"/>
      <c r="H91" s="52">
        <v>2</v>
      </c>
      <c r="L91" s="340"/>
      <c r="M91" s="294"/>
      <c r="N91" s="357"/>
      <c r="O91" s="306"/>
      <c r="P91" s="308"/>
      <c r="Q91" s="237"/>
      <c r="R91" s="6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39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1"/>
      <c r="CA91" s="39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39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  <c r="ED91" s="40"/>
      <c r="EE91" s="40"/>
      <c r="EF91" s="40"/>
      <c r="EG91" s="40"/>
      <c r="EH91" s="40"/>
      <c r="EI91" s="39"/>
      <c r="EJ91" s="40"/>
      <c r="EK91" s="40"/>
      <c r="EL91" s="40"/>
      <c r="EM91" s="40"/>
      <c r="EN91" s="40"/>
      <c r="EO91" s="40"/>
      <c r="EP91" s="40"/>
      <c r="EQ91" s="40"/>
      <c r="ER91" s="40"/>
      <c r="ES91" s="40"/>
      <c r="ET91" s="40"/>
      <c r="EU91" s="40"/>
      <c r="EV91" s="40"/>
      <c r="EW91" s="40"/>
      <c r="EX91" s="40"/>
      <c r="EY91" s="40"/>
      <c r="EZ91" s="40"/>
      <c r="FA91" s="40"/>
      <c r="FB91" s="40"/>
      <c r="FC91" s="40"/>
      <c r="FD91" s="40"/>
      <c r="FE91" s="40"/>
      <c r="FF91" s="40"/>
      <c r="FG91" s="40"/>
      <c r="FH91" s="40"/>
      <c r="FI91" s="40"/>
      <c r="FJ91" s="40"/>
      <c r="FK91" s="40"/>
      <c r="FL91" s="40"/>
      <c r="FM91" s="39"/>
      <c r="FN91" s="40"/>
      <c r="FO91" s="40"/>
      <c r="FP91" s="40"/>
      <c r="FQ91" s="40"/>
      <c r="FR91" s="40"/>
      <c r="FS91" s="40"/>
      <c r="FT91" s="40"/>
      <c r="FU91" s="40"/>
      <c r="FV91" s="40"/>
      <c r="FW91" s="40"/>
      <c r="FX91" s="40"/>
      <c r="FY91" s="40"/>
      <c r="FZ91" s="40"/>
      <c r="GA91" s="40"/>
      <c r="GB91" s="40"/>
      <c r="GC91" s="40"/>
      <c r="GD91" s="40"/>
      <c r="GE91" s="40"/>
      <c r="GF91" s="40"/>
      <c r="GG91" s="40"/>
      <c r="GH91" s="40"/>
      <c r="GI91" s="40"/>
      <c r="GJ91" s="40"/>
      <c r="GK91" s="40"/>
      <c r="GL91" s="40"/>
      <c r="GM91" s="40"/>
      <c r="GN91" s="40"/>
      <c r="GO91" s="40"/>
      <c r="GP91" s="40"/>
      <c r="GQ91" s="61"/>
      <c r="GR91" s="62"/>
      <c r="GS91" s="62"/>
      <c r="GT91" s="62"/>
      <c r="GU91" s="62"/>
      <c r="GV91" s="62"/>
      <c r="GW91" s="62"/>
      <c r="GX91" s="62"/>
      <c r="GY91" s="62"/>
      <c r="GZ91" s="62"/>
      <c r="HA91" s="62"/>
      <c r="HB91" s="62"/>
      <c r="HC91" s="62"/>
      <c r="HD91" s="62"/>
      <c r="HE91" s="62"/>
      <c r="HF91" s="62"/>
      <c r="HG91" s="62"/>
      <c r="HH91" s="62"/>
      <c r="HI91" s="62"/>
      <c r="HJ91" s="62"/>
      <c r="HK91" s="62"/>
      <c r="HL91" s="62"/>
      <c r="HM91" s="62"/>
      <c r="HN91" s="62"/>
      <c r="HO91" s="62"/>
      <c r="HP91" s="62"/>
      <c r="HQ91" s="62"/>
      <c r="HR91" s="62"/>
      <c r="HS91" s="62"/>
      <c r="HT91" s="62"/>
      <c r="HU91" s="61"/>
      <c r="HV91" s="62"/>
      <c r="HW91" s="62"/>
      <c r="HX91" s="62"/>
      <c r="HY91" s="62"/>
      <c r="HZ91" s="62"/>
      <c r="IA91" s="62"/>
      <c r="IB91" s="62"/>
      <c r="IC91" s="62"/>
      <c r="ID91" s="62"/>
      <c r="IE91" s="62"/>
      <c r="IF91" s="62"/>
      <c r="IG91" s="62"/>
      <c r="IH91" s="62"/>
      <c r="II91" s="62"/>
      <c r="IJ91" s="62"/>
      <c r="IK91" s="62"/>
      <c r="IL91" s="62"/>
      <c r="IM91" s="62"/>
      <c r="IN91" s="62"/>
      <c r="IO91" s="62"/>
      <c r="IP91" s="62"/>
      <c r="IQ91" s="62"/>
      <c r="IR91" s="62"/>
      <c r="IS91" s="62"/>
      <c r="IT91" s="62"/>
      <c r="IU91" s="62"/>
      <c r="IV91" s="62"/>
      <c r="IW91" s="62"/>
      <c r="IX91" s="62"/>
      <c r="IY91" s="61"/>
      <c r="IZ91" s="62"/>
      <c r="JA91" s="62"/>
      <c r="JB91" s="62"/>
      <c r="JC91" s="62"/>
      <c r="JD91" s="62"/>
      <c r="JE91" s="62"/>
      <c r="JF91" s="62"/>
      <c r="JG91" s="62"/>
      <c r="JH91" s="62"/>
      <c r="JI91" s="62"/>
      <c r="JJ91" s="62"/>
      <c r="JK91" s="62"/>
      <c r="JL91" s="62"/>
      <c r="JM91" s="62"/>
      <c r="JN91" s="62"/>
      <c r="JO91" s="62"/>
      <c r="JP91" s="62"/>
      <c r="JQ91" s="62"/>
      <c r="JR91" s="62"/>
      <c r="JS91" s="62"/>
      <c r="JT91" s="62"/>
      <c r="JU91" s="62"/>
      <c r="JV91" s="62"/>
      <c r="JW91" s="62"/>
      <c r="JX91" s="62"/>
      <c r="JY91" s="62"/>
      <c r="JZ91" s="62"/>
      <c r="KA91" s="62"/>
      <c r="KB91" s="62"/>
      <c r="KC91" s="61"/>
      <c r="KD91" s="62"/>
      <c r="KE91" s="63"/>
      <c r="KF91" s="61"/>
      <c r="KG91" s="62"/>
      <c r="KH91" s="63"/>
      <c r="KI91" s="61"/>
      <c r="KJ91" s="62"/>
      <c r="KK91" s="63"/>
      <c r="KL91" s="61"/>
      <c r="KM91" s="62"/>
      <c r="KN91" s="63"/>
      <c r="KO91" s="61"/>
      <c r="KP91" s="62"/>
      <c r="KQ91" s="63"/>
      <c r="KR91" s="61"/>
      <c r="KS91" s="62"/>
      <c r="KT91" s="63"/>
      <c r="KU91" s="61"/>
      <c r="KV91" s="62"/>
      <c r="KW91" s="63"/>
      <c r="KX91" s="61"/>
      <c r="KY91" s="62"/>
      <c r="KZ91" s="63"/>
      <c r="LA91" s="61"/>
      <c r="LB91" s="62"/>
      <c r="LC91" s="63"/>
      <c r="LD91" s="61"/>
      <c r="LE91" s="62"/>
      <c r="LF91" s="63"/>
      <c r="LG91" s="61"/>
      <c r="LH91" s="62"/>
      <c r="LI91" s="63"/>
      <c r="LJ91" s="61"/>
      <c r="LK91" s="62"/>
      <c r="LL91" s="63"/>
      <c r="LM91" s="61"/>
      <c r="LN91" s="62"/>
      <c r="LO91" s="63"/>
      <c r="LP91" s="61"/>
      <c r="LQ91" s="62"/>
      <c r="LR91" s="63"/>
      <c r="LS91" s="61"/>
      <c r="LT91" s="62"/>
      <c r="LU91" s="63"/>
      <c r="LV91" s="40"/>
      <c r="LW91" s="40"/>
      <c r="LX91" s="41"/>
      <c r="LY91" s="40"/>
      <c r="LZ91" s="40"/>
      <c r="MA91" s="40"/>
      <c r="MB91" s="39"/>
      <c r="MC91" s="40"/>
      <c r="MD91" s="41"/>
      <c r="ME91" s="40"/>
      <c r="MF91" s="40"/>
      <c r="MG91" s="41"/>
      <c r="MH91" s="39"/>
      <c r="MI91" s="40"/>
      <c r="MJ91" s="41"/>
      <c r="MK91" s="40"/>
      <c r="ML91" s="40"/>
      <c r="MM91" s="40"/>
      <c r="MN91" s="39"/>
      <c r="MO91" s="40"/>
      <c r="MP91" s="41"/>
      <c r="MQ91" s="39"/>
      <c r="MR91" s="40"/>
      <c r="MS91" s="41"/>
      <c r="MT91" s="39"/>
      <c r="MU91" s="40"/>
      <c r="MV91" s="41"/>
      <c r="MW91" s="39"/>
      <c r="MX91" s="40"/>
      <c r="MY91" s="41"/>
      <c r="MZ91" s="39"/>
      <c r="NA91" s="40"/>
      <c r="NB91" s="41"/>
      <c r="NC91" s="40"/>
      <c r="ND91" s="40"/>
      <c r="NE91" s="42"/>
      <c r="NG91" s="275"/>
      <c r="NH91" s="1"/>
      <c r="NI91" s="1"/>
      <c r="NJ91" s="1"/>
      <c r="NK91" s="1"/>
    </row>
    <row r="92" spans="4:375" s="6" customFormat="1" ht="9.9499999999999993" customHeight="1">
      <c r="F92" s="196">
        <f t="shared" ref="F92" si="388">NG92</f>
        <v>7.5339999999999976E-2</v>
      </c>
      <c r="G92" s="197">
        <f>Q92-F92</f>
        <v>0</v>
      </c>
      <c r="H92" s="27">
        <v>1</v>
      </c>
      <c r="L92" s="292"/>
      <c r="M92" s="295" t="s">
        <v>47</v>
      </c>
      <c r="N92" s="315">
        <v>1</v>
      </c>
      <c r="O92" s="374" t="s">
        <v>45</v>
      </c>
      <c r="P92" s="315">
        <v>15685276</v>
      </c>
      <c r="Q92" s="236">
        <f>ROUND(P92/$P$256,5)</f>
        <v>7.5340000000000004E-2</v>
      </c>
      <c r="R92" s="73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6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8"/>
      <c r="CA92" s="66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6"/>
      <c r="DF92" s="67"/>
      <c r="DG92" s="67"/>
      <c r="DH92" s="67"/>
      <c r="DI92" s="67"/>
      <c r="DJ92" s="67"/>
      <c r="DK92" s="67"/>
      <c r="DL92" s="67"/>
      <c r="DM92" s="67"/>
      <c r="DN92" s="67"/>
      <c r="DO92" s="67"/>
      <c r="DP92" s="67"/>
      <c r="DQ92" s="67"/>
      <c r="DR92" s="67"/>
      <c r="DS92" s="67"/>
      <c r="DT92" s="67"/>
      <c r="DU92" s="67"/>
      <c r="DV92" s="67"/>
      <c r="DW92" s="67"/>
      <c r="DX92" s="67"/>
      <c r="DY92" s="67"/>
      <c r="DZ92" s="67"/>
      <c r="EA92" s="67"/>
      <c r="EB92" s="67"/>
      <c r="EC92" s="67"/>
      <c r="ED92" s="67"/>
      <c r="EE92" s="67"/>
      <c r="EF92" s="67"/>
      <c r="EG92" s="67"/>
      <c r="EH92" s="67"/>
      <c r="EI92" s="157"/>
      <c r="EJ92" s="157"/>
      <c r="EK92" s="157"/>
      <c r="EL92" s="157"/>
      <c r="EM92" s="157"/>
      <c r="EN92" s="157"/>
      <c r="EO92" s="157"/>
      <c r="EP92" s="157"/>
      <c r="EQ92" s="157"/>
      <c r="ER92" s="157"/>
      <c r="ES92" s="157"/>
      <c r="ET92" s="157"/>
      <c r="EU92" s="157"/>
      <c r="EV92" s="157"/>
      <c r="EW92" s="157"/>
      <c r="EX92" s="157"/>
      <c r="EY92" s="157"/>
      <c r="EZ92" s="157"/>
      <c r="FA92" s="157"/>
      <c r="FB92" s="157"/>
      <c r="FC92" s="157"/>
      <c r="FD92" s="157"/>
      <c r="FE92" s="157"/>
      <c r="FF92" s="157"/>
      <c r="FG92" s="157"/>
      <c r="FH92" s="157"/>
      <c r="FI92" s="157"/>
      <c r="FJ92" s="157"/>
      <c r="FK92" s="157"/>
      <c r="FL92" s="157"/>
      <c r="FM92" s="157"/>
      <c r="FN92" s="157"/>
      <c r="FO92" s="157"/>
      <c r="FP92" s="157"/>
      <c r="FQ92" s="157"/>
      <c r="FR92" s="157"/>
      <c r="FS92" s="157"/>
      <c r="FT92" s="157"/>
      <c r="FU92" s="157"/>
      <c r="FV92" s="157"/>
      <c r="FW92" s="157"/>
      <c r="FX92" s="157"/>
      <c r="FY92" s="157"/>
      <c r="FZ92" s="157"/>
      <c r="GA92" s="157"/>
      <c r="GB92" s="157"/>
      <c r="GC92" s="157"/>
      <c r="GD92" s="157"/>
      <c r="GE92" s="157"/>
      <c r="GF92" s="157"/>
      <c r="GG92" s="157"/>
      <c r="GH92" s="157"/>
      <c r="GI92" s="157"/>
      <c r="GJ92" s="157"/>
      <c r="GK92" s="157"/>
      <c r="GL92" s="157"/>
      <c r="GM92" s="157"/>
      <c r="GN92" s="157"/>
      <c r="GO92" s="157"/>
      <c r="GP92" s="157"/>
      <c r="GQ92" s="157">
        <f>0.045%/30</f>
        <v>1.5E-5</v>
      </c>
      <c r="GR92" s="156">
        <f>GQ92</f>
        <v>1.5E-5</v>
      </c>
      <c r="GS92" s="156">
        <f t="shared" ref="GS92:HT92" si="389">GR92</f>
        <v>1.5E-5</v>
      </c>
      <c r="GT92" s="156">
        <f t="shared" si="389"/>
        <v>1.5E-5</v>
      </c>
      <c r="GU92" s="156">
        <f t="shared" si="389"/>
        <v>1.5E-5</v>
      </c>
      <c r="GV92" s="156">
        <f t="shared" si="389"/>
        <v>1.5E-5</v>
      </c>
      <c r="GW92" s="156">
        <f t="shared" si="389"/>
        <v>1.5E-5</v>
      </c>
      <c r="GX92" s="156">
        <f t="shared" si="389"/>
        <v>1.5E-5</v>
      </c>
      <c r="GY92" s="156">
        <f t="shared" si="389"/>
        <v>1.5E-5</v>
      </c>
      <c r="GZ92" s="156">
        <f t="shared" si="389"/>
        <v>1.5E-5</v>
      </c>
      <c r="HA92" s="156">
        <f t="shared" si="389"/>
        <v>1.5E-5</v>
      </c>
      <c r="HB92" s="156">
        <f t="shared" si="389"/>
        <v>1.5E-5</v>
      </c>
      <c r="HC92" s="156">
        <f t="shared" si="389"/>
        <v>1.5E-5</v>
      </c>
      <c r="HD92" s="156">
        <f t="shared" si="389"/>
        <v>1.5E-5</v>
      </c>
      <c r="HE92" s="156">
        <f t="shared" si="389"/>
        <v>1.5E-5</v>
      </c>
      <c r="HF92" s="156">
        <f t="shared" si="389"/>
        <v>1.5E-5</v>
      </c>
      <c r="HG92" s="156">
        <f t="shared" si="389"/>
        <v>1.5E-5</v>
      </c>
      <c r="HH92" s="156">
        <f t="shared" si="389"/>
        <v>1.5E-5</v>
      </c>
      <c r="HI92" s="156">
        <f t="shared" si="389"/>
        <v>1.5E-5</v>
      </c>
      <c r="HJ92" s="156">
        <f t="shared" si="389"/>
        <v>1.5E-5</v>
      </c>
      <c r="HK92" s="156">
        <f t="shared" si="389"/>
        <v>1.5E-5</v>
      </c>
      <c r="HL92" s="156">
        <f t="shared" si="389"/>
        <v>1.5E-5</v>
      </c>
      <c r="HM92" s="156">
        <f t="shared" si="389"/>
        <v>1.5E-5</v>
      </c>
      <c r="HN92" s="156">
        <f t="shared" si="389"/>
        <v>1.5E-5</v>
      </c>
      <c r="HO92" s="156">
        <f t="shared" si="389"/>
        <v>1.5E-5</v>
      </c>
      <c r="HP92" s="156">
        <f t="shared" si="389"/>
        <v>1.5E-5</v>
      </c>
      <c r="HQ92" s="156">
        <f t="shared" si="389"/>
        <v>1.5E-5</v>
      </c>
      <c r="HR92" s="156">
        <f t="shared" si="389"/>
        <v>1.5E-5</v>
      </c>
      <c r="HS92" s="156">
        <f t="shared" si="389"/>
        <v>1.5E-5</v>
      </c>
      <c r="HT92" s="156">
        <f t="shared" si="389"/>
        <v>1.5E-5</v>
      </c>
      <c r="HU92" s="157">
        <f>0.195%/30</f>
        <v>6.5000000000000008E-5</v>
      </c>
      <c r="HV92" s="156">
        <f>HU92</f>
        <v>6.5000000000000008E-5</v>
      </c>
      <c r="HW92" s="156">
        <f t="shared" ref="HW92:IX92" si="390">HV92</f>
        <v>6.5000000000000008E-5</v>
      </c>
      <c r="HX92" s="156">
        <f t="shared" si="390"/>
        <v>6.5000000000000008E-5</v>
      </c>
      <c r="HY92" s="156">
        <f t="shared" si="390"/>
        <v>6.5000000000000008E-5</v>
      </c>
      <c r="HZ92" s="156">
        <f t="shared" si="390"/>
        <v>6.5000000000000008E-5</v>
      </c>
      <c r="IA92" s="156">
        <f t="shared" si="390"/>
        <v>6.5000000000000008E-5</v>
      </c>
      <c r="IB92" s="156">
        <f t="shared" si="390"/>
        <v>6.5000000000000008E-5</v>
      </c>
      <c r="IC92" s="156">
        <f t="shared" si="390"/>
        <v>6.5000000000000008E-5</v>
      </c>
      <c r="ID92" s="156">
        <f t="shared" si="390"/>
        <v>6.5000000000000008E-5</v>
      </c>
      <c r="IE92" s="156">
        <f t="shared" si="390"/>
        <v>6.5000000000000008E-5</v>
      </c>
      <c r="IF92" s="156">
        <f t="shared" si="390"/>
        <v>6.5000000000000008E-5</v>
      </c>
      <c r="IG92" s="156">
        <f t="shared" si="390"/>
        <v>6.5000000000000008E-5</v>
      </c>
      <c r="IH92" s="156">
        <f t="shared" si="390"/>
        <v>6.5000000000000008E-5</v>
      </c>
      <c r="II92" s="156">
        <f t="shared" si="390"/>
        <v>6.5000000000000008E-5</v>
      </c>
      <c r="IJ92" s="156">
        <f t="shared" si="390"/>
        <v>6.5000000000000008E-5</v>
      </c>
      <c r="IK92" s="156">
        <f t="shared" si="390"/>
        <v>6.5000000000000008E-5</v>
      </c>
      <c r="IL92" s="156">
        <f t="shared" si="390"/>
        <v>6.5000000000000008E-5</v>
      </c>
      <c r="IM92" s="156">
        <f t="shared" si="390"/>
        <v>6.5000000000000008E-5</v>
      </c>
      <c r="IN92" s="156">
        <f t="shared" si="390"/>
        <v>6.5000000000000008E-5</v>
      </c>
      <c r="IO92" s="156">
        <f t="shared" si="390"/>
        <v>6.5000000000000008E-5</v>
      </c>
      <c r="IP92" s="156">
        <f t="shared" si="390"/>
        <v>6.5000000000000008E-5</v>
      </c>
      <c r="IQ92" s="156">
        <f t="shared" si="390"/>
        <v>6.5000000000000008E-5</v>
      </c>
      <c r="IR92" s="156">
        <f t="shared" si="390"/>
        <v>6.5000000000000008E-5</v>
      </c>
      <c r="IS92" s="156">
        <f t="shared" si="390"/>
        <v>6.5000000000000008E-5</v>
      </c>
      <c r="IT92" s="156">
        <f t="shared" si="390"/>
        <v>6.5000000000000008E-5</v>
      </c>
      <c r="IU92" s="156">
        <f t="shared" si="390"/>
        <v>6.5000000000000008E-5</v>
      </c>
      <c r="IV92" s="156">
        <f t="shared" si="390"/>
        <v>6.5000000000000008E-5</v>
      </c>
      <c r="IW92" s="156">
        <f t="shared" si="390"/>
        <v>6.5000000000000008E-5</v>
      </c>
      <c r="IX92" s="156">
        <f t="shared" si="390"/>
        <v>6.5000000000000008E-5</v>
      </c>
      <c r="IY92" s="157">
        <f>0.285%/30</f>
        <v>9.4999999999999992E-5</v>
      </c>
      <c r="IZ92" s="156">
        <f>IY92</f>
        <v>9.4999999999999992E-5</v>
      </c>
      <c r="JA92" s="156">
        <f t="shared" ref="JA92:KB92" si="391">IZ92</f>
        <v>9.4999999999999992E-5</v>
      </c>
      <c r="JB92" s="156">
        <f t="shared" si="391"/>
        <v>9.4999999999999992E-5</v>
      </c>
      <c r="JC92" s="156">
        <f t="shared" si="391"/>
        <v>9.4999999999999992E-5</v>
      </c>
      <c r="JD92" s="156">
        <f t="shared" si="391"/>
        <v>9.4999999999999992E-5</v>
      </c>
      <c r="JE92" s="156">
        <f t="shared" si="391"/>
        <v>9.4999999999999992E-5</v>
      </c>
      <c r="JF92" s="156">
        <f t="shared" si="391"/>
        <v>9.4999999999999992E-5</v>
      </c>
      <c r="JG92" s="156">
        <f t="shared" si="391"/>
        <v>9.4999999999999992E-5</v>
      </c>
      <c r="JH92" s="156">
        <f t="shared" si="391"/>
        <v>9.4999999999999992E-5</v>
      </c>
      <c r="JI92" s="156">
        <f t="shared" si="391"/>
        <v>9.4999999999999992E-5</v>
      </c>
      <c r="JJ92" s="156">
        <f t="shared" si="391"/>
        <v>9.4999999999999992E-5</v>
      </c>
      <c r="JK92" s="156">
        <f t="shared" si="391"/>
        <v>9.4999999999999992E-5</v>
      </c>
      <c r="JL92" s="156">
        <f t="shared" si="391"/>
        <v>9.4999999999999992E-5</v>
      </c>
      <c r="JM92" s="156">
        <f t="shared" si="391"/>
        <v>9.4999999999999992E-5</v>
      </c>
      <c r="JN92" s="156">
        <f t="shared" si="391"/>
        <v>9.4999999999999992E-5</v>
      </c>
      <c r="JO92" s="156">
        <f t="shared" si="391"/>
        <v>9.4999999999999992E-5</v>
      </c>
      <c r="JP92" s="156">
        <f t="shared" si="391"/>
        <v>9.4999999999999992E-5</v>
      </c>
      <c r="JQ92" s="156">
        <f t="shared" si="391"/>
        <v>9.4999999999999992E-5</v>
      </c>
      <c r="JR92" s="156">
        <f t="shared" si="391"/>
        <v>9.4999999999999992E-5</v>
      </c>
      <c r="JS92" s="156">
        <f t="shared" si="391"/>
        <v>9.4999999999999992E-5</v>
      </c>
      <c r="JT92" s="156">
        <f t="shared" si="391"/>
        <v>9.4999999999999992E-5</v>
      </c>
      <c r="JU92" s="156">
        <f t="shared" si="391"/>
        <v>9.4999999999999992E-5</v>
      </c>
      <c r="JV92" s="156">
        <f t="shared" si="391"/>
        <v>9.4999999999999992E-5</v>
      </c>
      <c r="JW92" s="156">
        <f t="shared" si="391"/>
        <v>9.4999999999999992E-5</v>
      </c>
      <c r="JX92" s="156">
        <f t="shared" si="391"/>
        <v>9.4999999999999992E-5</v>
      </c>
      <c r="JY92" s="156">
        <f t="shared" si="391"/>
        <v>9.4999999999999992E-5</v>
      </c>
      <c r="JZ92" s="156">
        <f t="shared" si="391"/>
        <v>9.4999999999999992E-5</v>
      </c>
      <c r="KA92" s="156">
        <f t="shared" si="391"/>
        <v>9.4999999999999992E-5</v>
      </c>
      <c r="KB92" s="156">
        <f t="shared" si="391"/>
        <v>9.4999999999999992E-5</v>
      </c>
      <c r="KC92" s="214">
        <v>2.8500000000000001E-3</v>
      </c>
      <c r="KD92" s="214"/>
      <c r="KE92" s="214"/>
      <c r="KF92" s="214">
        <v>2.8500000000000001E-3</v>
      </c>
      <c r="KG92" s="214"/>
      <c r="KH92" s="214"/>
      <c r="KI92" s="214">
        <v>2.8500000000000001E-3</v>
      </c>
      <c r="KJ92" s="214"/>
      <c r="KK92" s="214"/>
      <c r="KL92" s="214">
        <v>4.3499999999999997E-3</v>
      </c>
      <c r="KM92" s="214"/>
      <c r="KN92" s="214"/>
      <c r="KO92" s="214">
        <v>4.3499999999999997E-3</v>
      </c>
      <c r="KP92" s="214"/>
      <c r="KQ92" s="214"/>
      <c r="KR92" s="214">
        <v>4.3499999999999997E-3</v>
      </c>
      <c r="KS92" s="214"/>
      <c r="KT92" s="214"/>
      <c r="KU92" s="214">
        <v>4.3499999999999997E-3</v>
      </c>
      <c r="KV92" s="214"/>
      <c r="KW92" s="214"/>
      <c r="KX92" s="214">
        <v>4.3499999999999997E-3</v>
      </c>
      <c r="KY92" s="214"/>
      <c r="KZ92" s="216"/>
      <c r="LA92" s="233">
        <v>4.3499999999999997E-3</v>
      </c>
      <c r="LB92" s="214"/>
      <c r="LC92" s="234"/>
      <c r="LD92" s="215">
        <v>4.3499999999999997E-3</v>
      </c>
      <c r="LE92" s="214"/>
      <c r="LF92" s="214"/>
      <c r="LG92" s="214">
        <v>4.3499999999999997E-3</v>
      </c>
      <c r="LH92" s="214"/>
      <c r="LI92" s="214"/>
      <c r="LJ92" s="214">
        <v>4.3499999999999997E-3</v>
      </c>
      <c r="LK92" s="214"/>
      <c r="LL92" s="214"/>
      <c r="LM92" s="214">
        <v>3.3800000000000002E-3</v>
      </c>
      <c r="LN92" s="214"/>
      <c r="LO92" s="214"/>
      <c r="LP92" s="214">
        <v>3.3500000000000001E-3</v>
      </c>
      <c r="LQ92" s="214"/>
      <c r="LR92" s="214"/>
      <c r="LS92" s="214">
        <v>2.8500000000000001E-3</v>
      </c>
      <c r="LT92" s="214"/>
      <c r="LU92" s="214"/>
      <c r="LV92" s="212">
        <v>2.8500000000000001E-3</v>
      </c>
      <c r="LW92" s="212"/>
      <c r="LX92" s="212"/>
      <c r="LY92" s="212">
        <v>3.3400000000000001E-3</v>
      </c>
      <c r="LZ92" s="212"/>
      <c r="MA92" s="212"/>
      <c r="MB92" s="212">
        <v>2.3400000000000001E-3</v>
      </c>
      <c r="MC92" s="212"/>
      <c r="MD92" s="212"/>
      <c r="ME92" s="212">
        <v>2.3400000000000001E-3</v>
      </c>
      <c r="MF92" s="212"/>
      <c r="MG92" s="212"/>
      <c r="MH92" s="212">
        <v>1.9400000000000001E-3</v>
      </c>
      <c r="MI92" s="212"/>
      <c r="MJ92" s="212"/>
      <c r="MK92" s="67"/>
      <c r="ML92" s="67"/>
      <c r="MM92" s="67"/>
      <c r="MN92" s="66"/>
      <c r="MO92" s="67"/>
      <c r="MP92" s="68"/>
      <c r="MQ92" s="66"/>
      <c r="MR92" s="67"/>
      <c r="MS92" s="68"/>
      <c r="MT92" s="66"/>
      <c r="MU92" s="67"/>
      <c r="MV92" s="68"/>
      <c r="MW92" s="66"/>
      <c r="MX92" s="67"/>
      <c r="MY92" s="68"/>
      <c r="MZ92" s="66"/>
      <c r="NA92" s="67"/>
      <c r="NB92" s="68"/>
      <c r="NC92" s="67"/>
      <c r="ND92" s="67"/>
      <c r="NE92" s="72"/>
      <c r="NG92" s="275">
        <f>SUM(R92:NE92)</f>
        <v>7.5339999999999976E-2</v>
      </c>
      <c r="NH92" s="1"/>
      <c r="NI92" s="1"/>
      <c r="NJ92" s="1"/>
      <c r="NK92" s="1"/>
    </row>
    <row r="93" spans="4:375" s="6" customFormat="1" ht="6.95" customHeight="1" thickBot="1">
      <c r="F93" s="196"/>
      <c r="G93" s="197"/>
      <c r="H93" s="52">
        <v>2</v>
      </c>
      <c r="L93" s="311"/>
      <c r="M93" s="372"/>
      <c r="N93" s="316"/>
      <c r="O93" s="375"/>
      <c r="P93" s="316"/>
      <c r="Q93" s="237"/>
      <c r="R93" s="82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4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5"/>
      <c r="CA93" s="84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4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  <c r="EA93" s="83"/>
      <c r="EB93" s="83"/>
      <c r="EC93" s="83"/>
      <c r="ED93" s="83"/>
      <c r="EE93" s="83"/>
      <c r="EF93" s="83"/>
      <c r="EG93" s="83"/>
      <c r="EH93" s="83"/>
      <c r="EI93" s="84"/>
      <c r="EJ93" s="83"/>
      <c r="EK93" s="83"/>
      <c r="EL93" s="83"/>
      <c r="EM93" s="83"/>
      <c r="EN93" s="83"/>
      <c r="EO93" s="83"/>
      <c r="EP93" s="83"/>
      <c r="EQ93" s="83"/>
      <c r="ER93" s="83"/>
      <c r="ES93" s="83"/>
      <c r="ET93" s="83"/>
      <c r="EU93" s="83"/>
      <c r="EV93" s="83"/>
      <c r="EW93" s="83"/>
      <c r="EX93" s="83"/>
      <c r="EY93" s="83"/>
      <c r="EZ93" s="83"/>
      <c r="FA93" s="83"/>
      <c r="FB93" s="83"/>
      <c r="FC93" s="83"/>
      <c r="FD93" s="83"/>
      <c r="FE93" s="83"/>
      <c r="FF93" s="83"/>
      <c r="FG93" s="83"/>
      <c r="FH93" s="83"/>
      <c r="FI93" s="83"/>
      <c r="FJ93" s="83"/>
      <c r="FK93" s="83"/>
      <c r="FL93" s="83"/>
      <c r="FM93" s="84"/>
      <c r="FN93" s="83"/>
      <c r="FO93" s="83"/>
      <c r="FP93" s="83"/>
      <c r="FQ93" s="83"/>
      <c r="FR93" s="83"/>
      <c r="FS93" s="83"/>
      <c r="FT93" s="83"/>
      <c r="FU93" s="83"/>
      <c r="FV93" s="83"/>
      <c r="FW93" s="83"/>
      <c r="FX93" s="83"/>
      <c r="FY93" s="83"/>
      <c r="FZ93" s="83"/>
      <c r="GA93" s="83"/>
      <c r="GB93" s="83"/>
      <c r="GC93" s="83"/>
      <c r="GD93" s="83"/>
      <c r="GE93" s="83"/>
      <c r="GF93" s="83"/>
      <c r="GG93" s="83"/>
      <c r="GH93" s="83"/>
      <c r="GI93" s="83"/>
      <c r="GJ93" s="83"/>
      <c r="GK93" s="83"/>
      <c r="GL93" s="83"/>
      <c r="GM93" s="83"/>
      <c r="GN93" s="83"/>
      <c r="GO93" s="83"/>
      <c r="GP93" s="83"/>
      <c r="GQ93" s="61"/>
      <c r="GR93" s="62"/>
      <c r="GS93" s="62"/>
      <c r="GT93" s="62"/>
      <c r="GU93" s="62"/>
      <c r="GV93" s="62"/>
      <c r="GW93" s="62"/>
      <c r="GX93" s="62"/>
      <c r="GY93" s="62"/>
      <c r="GZ93" s="62"/>
      <c r="HA93" s="62"/>
      <c r="HB93" s="62"/>
      <c r="HC93" s="62"/>
      <c r="HD93" s="62"/>
      <c r="HE93" s="62"/>
      <c r="HF93" s="62"/>
      <c r="HG93" s="62"/>
      <c r="HH93" s="62"/>
      <c r="HI93" s="62"/>
      <c r="HJ93" s="62"/>
      <c r="HK93" s="62"/>
      <c r="HL93" s="62"/>
      <c r="HM93" s="62"/>
      <c r="HN93" s="62"/>
      <c r="HO93" s="62"/>
      <c r="HP93" s="62"/>
      <c r="HQ93" s="62"/>
      <c r="HR93" s="62"/>
      <c r="HS93" s="62"/>
      <c r="HT93" s="62"/>
      <c r="HU93" s="61"/>
      <c r="HV93" s="62"/>
      <c r="HW93" s="62"/>
      <c r="HX93" s="62"/>
      <c r="HY93" s="62"/>
      <c r="HZ93" s="62"/>
      <c r="IA93" s="62"/>
      <c r="IB93" s="62"/>
      <c r="IC93" s="62"/>
      <c r="ID93" s="62"/>
      <c r="IE93" s="62"/>
      <c r="IF93" s="62"/>
      <c r="IG93" s="62"/>
      <c r="IH93" s="62"/>
      <c r="II93" s="62"/>
      <c r="IJ93" s="62"/>
      <c r="IK93" s="62"/>
      <c r="IL93" s="62"/>
      <c r="IM93" s="62"/>
      <c r="IN93" s="62"/>
      <c r="IO93" s="62"/>
      <c r="IP93" s="62"/>
      <c r="IQ93" s="62"/>
      <c r="IR93" s="62"/>
      <c r="IS93" s="62"/>
      <c r="IT93" s="62"/>
      <c r="IU93" s="62"/>
      <c r="IV93" s="62"/>
      <c r="IW93" s="62"/>
      <c r="IX93" s="62"/>
      <c r="IY93" s="61"/>
      <c r="IZ93" s="62"/>
      <c r="JA93" s="62"/>
      <c r="JB93" s="62"/>
      <c r="JC93" s="62"/>
      <c r="JD93" s="62"/>
      <c r="JE93" s="62"/>
      <c r="JF93" s="62"/>
      <c r="JG93" s="62"/>
      <c r="JH93" s="62"/>
      <c r="JI93" s="62"/>
      <c r="JJ93" s="62"/>
      <c r="JK93" s="62"/>
      <c r="JL93" s="62"/>
      <c r="JM93" s="62"/>
      <c r="JN93" s="62"/>
      <c r="JO93" s="62"/>
      <c r="JP93" s="62"/>
      <c r="JQ93" s="62"/>
      <c r="JR93" s="62"/>
      <c r="JS93" s="62"/>
      <c r="JT93" s="62"/>
      <c r="JU93" s="62"/>
      <c r="JV93" s="62"/>
      <c r="JW93" s="62"/>
      <c r="JX93" s="62"/>
      <c r="JY93" s="62"/>
      <c r="JZ93" s="62"/>
      <c r="KA93" s="62"/>
      <c r="KB93" s="62"/>
      <c r="KC93" s="61"/>
      <c r="KD93" s="62"/>
      <c r="KE93" s="63"/>
      <c r="KF93" s="61"/>
      <c r="KG93" s="62"/>
      <c r="KH93" s="63"/>
      <c r="KI93" s="61"/>
      <c r="KJ93" s="62"/>
      <c r="KK93" s="63"/>
      <c r="KL93" s="61"/>
      <c r="KM93" s="62"/>
      <c r="KN93" s="63"/>
      <c r="KO93" s="61"/>
      <c r="KP93" s="62"/>
      <c r="KQ93" s="63"/>
      <c r="KR93" s="61"/>
      <c r="KS93" s="62"/>
      <c r="KT93" s="63"/>
      <c r="KU93" s="61"/>
      <c r="KV93" s="62"/>
      <c r="KW93" s="63"/>
      <c r="KX93" s="61"/>
      <c r="KY93" s="62"/>
      <c r="KZ93" s="63"/>
      <c r="LA93" s="61"/>
      <c r="LB93" s="62"/>
      <c r="LC93" s="63"/>
      <c r="LD93" s="61"/>
      <c r="LE93" s="62"/>
      <c r="LF93" s="63"/>
      <c r="LG93" s="61"/>
      <c r="LH93" s="62"/>
      <c r="LI93" s="63"/>
      <c r="LJ93" s="61"/>
      <c r="LK93" s="62"/>
      <c r="LL93" s="63"/>
      <c r="LM93" s="61"/>
      <c r="LN93" s="62"/>
      <c r="LO93" s="63"/>
      <c r="LP93" s="61"/>
      <c r="LQ93" s="62"/>
      <c r="LR93" s="63"/>
      <c r="LS93" s="61"/>
      <c r="LT93" s="62"/>
      <c r="LU93" s="63"/>
      <c r="LV93" s="61"/>
      <c r="LW93" s="62"/>
      <c r="LX93" s="63"/>
      <c r="LY93" s="61"/>
      <c r="LZ93" s="62"/>
      <c r="MA93" s="63"/>
      <c r="MB93" s="61"/>
      <c r="MC93" s="62"/>
      <c r="MD93" s="63"/>
      <c r="ME93" s="61"/>
      <c r="MF93" s="62"/>
      <c r="MG93" s="63"/>
      <c r="MH93" s="61"/>
      <c r="MI93" s="62"/>
      <c r="MJ93" s="63"/>
      <c r="MK93" s="83"/>
      <c r="ML93" s="83"/>
      <c r="MM93" s="83"/>
      <c r="MN93" s="84"/>
      <c r="MO93" s="83"/>
      <c r="MP93" s="85"/>
      <c r="MQ93" s="84"/>
      <c r="MR93" s="83"/>
      <c r="MS93" s="85"/>
      <c r="MT93" s="84"/>
      <c r="MU93" s="83"/>
      <c r="MV93" s="85"/>
      <c r="MW93" s="84"/>
      <c r="MX93" s="83"/>
      <c r="MY93" s="85"/>
      <c r="MZ93" s="84"/>
      <c r="NA93" s="83"/>
      <c r="NB93" s="85"/>
      <c r="NC93" s="83"/>
      <c r="ND93" s="83"/>
      <c r="NE93" s="88"/>
      <c r="NG93" s="275"/>
      <c r="NH93" s="1"/>
      <c r="NI93" s="1"/>
      <c r="NJ93" s="1"/>
      <c r="NK93" s="1"/>
    </row>
    <row r="94" spans="4:375" s="6" customFormat="1" ht="9.9499999999999993" customHeight="1">
      <c r="F94" s="194">
        <f t="shared" ref="F94" si="392">NG94</f>
        <v>8.5499999999999986E-3</v>
      </c>
      <c r="G94" s="195">
        <f>Q94-F94</f>
        <v>0</v>
      </c>
      <c r="H94" s="27">
        <v>1</v>
      </c>
      <c r="L94" s="286" t="s">
        <v>8</v>
      </c>
      <c r="M94" s="287"/>
      <c r="N94" s="287"/>
      <c r="O94" s="288"/>
      <c r="P94" s="240">
        <f>SUM(P96:P107)</f>
        <v>1777279</v>
      </c>
      <c r="Q94" s="238">
        <f>ROUND(SUM(Q96:Q107),5)</f>
        <v>8.5500000000000003E-3</v>
      </c>
      <c r="R94" s="238">
        <f>ROUND(SUM(R96:R107),5)</f>
        <v>0</v>
      </c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8"/>
      <c r="AW94" s="176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8"/>
      <c r="CA94" s="176"/>
      <c r="CB94" s="137"/>
      <c r="CC94" s="137"/>
      <c r="CD94" s="137"/>
      <c r="CE94" s="137"/>
      <c r="CF94" s="137"/>
      <c r="CG94" s="137"/>
      <c r="CH94" s="137"/>
      <c r="CI94" s="137"/>
      <c r="CJ94" s="137"/>
      <c r="CK94" s="137"/>
      <c r="CL94" s="137"/>
      <c r="CM94" s="137"/>
      <c r="CN94" s="137"/>
      <c r="CO94" s="137"/>
      <c r="CP94" s="137"/>
      <c r="CQ94" s="137"/>
      <c r="CR94" s="137"/>
      <c r="CS94" s="137"/>
      <c r="CT94" s="137"/>
      <c r="CU94" s="137"/>
      <c r="CV94" s="137"/>
      <c r="CW94" s="137"/>
      <c r="CX94" s="137"/>
      <c r="CY94" s="137"/>
      <c r="CZ94" s="137"/>
      <c r="DA94" s="137"/>
      <c r="DB94" s="137"/>
      <c r="DC94" s="137"/>
      <c r="DD94" s="137"/>
      <c r="DE94" s="176"/>
      <c r="DF94" s="137"/>
      <c r="DG94" s="137"/>
      <c r="DH94" s="137"/>
      <c r="DI94" s="137"/>
      <c r="DJ94" s="137"/>
      <c r="DK94" s="137"/>
      <c r="DL94" s="137"/>
      <c r="DM94" s="137"/>
      <c r="DN94" s="137"/>
      <c r="DO94" s="137"/>
      <c r="DP94" s="137"/>
      <c r="DQ94" s="137"/>
      <c r="DR94" s="137"/>
      <c r="DS94" s="137"/>
      <c r="DT94" s="137"/>
      <c r="DU94" s="137"/>
      <c r="DV94" s="137"/>
      <c r="DW94" s="137"/>
      <c r="DX94" s="137"/>
      <c r="DY94" s="137"/>
      <c r="DZ94" s="137"/>
      <c r="EA94" s="137"/>
      <c r="EB94" s="137"/>
      <c r="EC94" s="137"/>
      <c r="ED94" s="137"/>
      <c r="EE94" s="137"/>
      <c r="EF94" s="137"/>
      <c r="EG94" s="137"/>
      <c r="EH94" s="137"/>
      <c r="EI94" s="176"/>
      <c r="EJ94" s="137"/>
      <c r="EK94" s="137"/>
      <c r="EL94" s="137"/>
      <c r="EM94" s="137"/>
      <c r="EN94" s="137"/>
      <c r="EO94" s="137"/>
      <c r="EP94" s="137"/>
      <c r="EQ94" s="137"/>
      <c r="ER94" s="137"/>
      <c r="ES94" s="137"/>
      <c r="ET94" s="137"/>
      <c r="EU94" s="137"/>
      <c r="EV94" s="137"/>
      <c r="EW94" s="137"/>
      <c r="EX94" s="137"/>
      <c r="EY94" s="137"/>
      <c r="EZ94" s="137"/>
      <c r="FA94" s="137"/>
      <c r="FB94" s="137"/>
      <c r="FC94" s="137"/>
      <c r="FD94" s="137"/>
      <c r="FE94" s="137"/>
      <c r="FF94" s="137"/>
      <c r="FG94" s="137"/>
      <c r="FH94" s="137"/>
      <c r="FI94" s="137"/>
      <c r="FJ94" s="137"/>
      <c r="FK94" s="137"/>
      <c r="FL94" s="137"/>
      <c r="FM94" s="176"/>
      <c r="FN94" s="137"/>
      <c r="FO94" s="137"/>
      <c r="FP94" s="137"/>
      <c r="FQ94" s="137"/>
      <c r="FR94" s="137"/>
      <c r="FS94" s="137"/>
      <c r="FT94" s="137"/>
      <c r="FU94" s="137"/>
      <c r="FV94" s="137"/>
      <c r="FW94" s="137"/>
      <c r="FX94" s="137"/>
      <c r="FY94" s="137"/>
      <c r="FZ94" s="137"/>
      <c r="GA94" s="137"/>
      <c r="GB94" s="137"/>
      <c r="GC94" s="137"/>
      <c r="GD94" s="137"/>
      <c r="GE94" s="137"/>
      <c r="GF94" s="137"/>
      <c r="GG94" s="137"/>
      <c r="GH94" s="137"/>
      <c r="GI94" s="137"/>
      <c r="GJ94" s="137"/>
      <c r="GK94" s="137"/>
      <c r="GL94" s="137"/>
      <c r="GM94" s="137"/>
      <c r="GN94" s="137"/>
      <c r="GO94" s="137"/>
      <c r="GP94" s="137"/>
      <c r="GQ94" s="176"/>
      <c r="GR94" s="137"/>
      <c r="GS94" s="137"/>
      <c r="GT94" s="137"/>
      <c r="GU94" s="137"/>
      <c r="GV94" s="137"/>
      <c r="GW94" s="137"/>
      <c r="GX94" s="137"/>
      <c r="GY94" s="137"/>
      <c r="GZ94" s="137"/>
      <c r="HA94" s="137"/>
      <c r="HB94" s="137"/>
      <c r="HC94" s="137"/>
      <c r="HD94" s="137"/>
      <c r="HE94" s="137"/>
      <c r="HF94" s="137"/>
      <c r="HG94" s="137"/>
      <c r="HH94" s="137"/>
      <c r="HI94" s="137"/>
      <c r="HJ94" s="137"/>
      <c r="HK94" s="137"/>
      <c r="HL94" s="137"/>
      <c r="HM94" s="137"/>
      <c r="HN94" s="137"/>
      <c r="HO94" s="137"/>
      <c r="HP94" s="137"/>
      <c r="HQ94" s="137"/>
      <c r="HR94" s="137"/>
      <c r="HS94" s="137"/>
      <c r="HT94" s="137"/>
      <c r="HU94" s="176"/>
      <c r="HV94" s="137"/>
      <c r="HW94" s="137"/>
      <c r="HX94" s="137"/>
      <c r="HY94" s="137"/>
      <c r="HZ94" s="137"/>
      <c r="IA94" s="137"/>
      <c r="IB94" s="137"/>
      <c r="IC94" s="137"/>
      <c r="ID94" s="137"/>
      <c r="IE94" s="137"/>
      <c r="IF94" s="137"/>
      <c r="IG94" s="137"/>
      <c r="IH94" s="137"/>
      <c r="II94" s="137"/>
      <c r="IJ94" s="137"/>
      <c r="IK94" s="137"/>
      <c r="IL94" s="137"/>
      <c r="IM94" s="137"/>
      <c r="IN94" s="137"/>
      <c r="IO94" s="137"/>
      <c r="IP94" s="137"/>
      <c r="IQ94" s="137"/>
      <c r="IR94" s="137"/>
      <c r="IS94" s="137"/>
      <c r="IT94" s="137"/>
      <c r="IU94" s="137"/>
      <c r="IV94" s="137"/>
      <c r="IW94" s="137"/>
      <c r="IX94" s="137"/>
      <c r="IY94" s="176"/>
      <c r="IZ94" s="137"/>
      <c r="JA94" s="137"/>
      <c r="JB94" s="137"/>
      <c r="JC94" s="137"/>
      <c r="JD94" s="137"/>
      <c r="JE94" s="137"/>
      <c r="JF94" s="137"/>
      <c r="JG94" s="137"/>
      <c r="JH94" s="137"/>
      <c r="JI94" s="137"/>
      <c r="JJ94" s="137"/>
      <c r="JK94" s="137"/>
      <c r="JL94" s="137"/>
      <c r="JM94" s="137"/>
      <c r="JN94" s="137"/>
      <c r="JO94" s="137"/>
      <c r="JP94" s="137"/>
      <c r="JQ94" s="137"/>
      <c r="JR94" s="137"/>
      <c r="JS94" s="137"/>
      <c r="JT94" s="137"/>
      <c r="JU94" s="137"/>
      <c r="JV94" s="137"/>
      <c r="JW94" s="137"/>
      <c r="JX94" s="137"/>
      <c r="JY94" s="137"/>
      <c r="JZ94" s="137"/>
      <c r="KA94" s="137"/>
      <c r="KB94" s="137"/>
      <c r="KC94" s="205">
        <f>ROUND(SUM(KC96:KE107),5)</f>
        <v>0</v>
      </c>
      <c r="KD94" s="206"/>
      <c r="KE94" s="207"/>
      <c r="KF94" s="205">
        <f>ROUND(SUM(KF96:KH107),5)</f>
        <v>0</v>
      </c>
      <c r="KG94" s="206"/>
      <c r="KH94" s="207"/>
      <c r="KI94" s="205">
        <f>ROUND(SUM(KI96:KK107),5)</f>
        <v>0</v>
      </c>
      <c r="KJ94" s="206"/>
      <c r="KK94" s="207"/>
      <c r="KL94" s="205">
        <f>ROUND(SUM(KL96:KN107),5)</f>
        <v>0</v>
      </c>
      <c r="KM94" s="206"/>
      <c r="KN94" s="207"/>
      <c r="KO94" s="205">
        <f>ROUND(SUM(KO96:KQ107),5)</f>
        <v>0</v>
      </c>
      <c r="KP94" s="206"/>
      <c r="KQ94" s="207"/>
      <c r="KR94" s="205">
        <f>ROUND(SUM(KR96:KT107),5)</f>
        <v>0</v>
      </c>
      <c r="KS94" s="206"/>
      <c r="KT94" s="207"/>
      <c r="KU94" s="205">
        <f>ROUND(SUM(KU96:KW107),5)</f>
        <v>0</v>
      </c>
      <c r="KV94" s="206"/>
      <c r="KW94" s="207"/>
      <c r="KX94" s="205">
        <f>ROUND(SUM(KX96:KZ107),5)</f>
        <v>0</v>
      </c>
      <c r="KY94" s="206"/>
      <c r="KZ94" s="206"/>
      <c r="LA94" s="229">
        <f>ROUND(SUM(LA96:LC107),5)</f>
        <v>0</v>
      </c>
      <c r="LB94" s="206"/>
      <c r="LC94" s="230"/>
      <c r="LD94" s="206">
        <f>ROUND(SUM(LD96:LF107),5)</f>
        <v>9.8999999999999999E-4</v>
      </c>
      <c r="LE94" s="206"/>
      <c r="LF94" s="207"/>
      <c r="LG94" s="205">
        <f>ROUND(SUM(LG96:LI107),5)</f>
        <v>1.5100000000000001E-3</v>
      </c>
      <c r="LH94" s="206"/>
      <c r="LI94" s="207"/>
      <c r="LJ94" s="205">
        <f>ROUND(SUM(LJ96:LL107),5)</f>
        <v>1.6299999999999999E-3</v>
      </c>
      <c r="LK94" s="206"/>
      <c r="LL94" s="207"/>
      <c r="LM94" s="205">
        <f>ROUND(SUM(LM96:LO107),5)</f>
        <v>1.6299999999999999E-3</v>
      </c>
      <c r="LN94" s="206"/>
      <c r="LO94" s="207"/>
      <c r="LP94" s="205">
        <f>ROUND(SUM(LP96:LR107),5)</f>
        <v>1.5100000000000001E-3</v>
      </c>
      <c r="LQ94" s="206"/>
      <c r="LR94" s="207"/>
      <c r="LS94" s="205">
        <f>ROUND(SUM(LS96:LU107),5)</f>
        <v>1.16E-3</v>
      </c>
      <c r="LT94" s="206"/>
      <c r="LU94" s="207"/>
      <c r="LV94" s="205">
        <f>ROUND(SUM(LV96:LX107),5)</f>
        <v>0</v>
      </c>
      <c r="LW94" s="206"/>
      <c r="LX94" s="207"/>
      <c r="LY94" s="205">
        <f>ROUND(SUM(LY96:MA107),5)</f>
        <v>0</v>
      </c>
      <c r="LZ94" s="206"/>
      <c r="MA94" s="207"/>
      <c r="MB94" s="205">
        <f>ROUND(SUM(MB96:MD107),5)</f>
        <v>0</v>
      </c>
      <c r="MC94" s="206"/>
      <c r="MD94" s="207"/>
      <c r="ME94" s="205">
        <f>ROUND(SUM(ME96:MG107),5)</f>
        <v>6.0000000000000002E-5</v>
      </c>
      <c r="MF94" s="206"/>
      <c r="MG94" s="207"/>
      <c r="MH94" s="205">
        <f>ROUND(SUM(MH96:MJ107),5)</f>
        <v>6.0000000000000002E-5</v>
      </c>
      <c r="MI94" s="206"/>
      <c r="MJ94" s="207"/>
      <c r="MK94" s="205">
        <f>ROUND(SUM(MK96:MM107),5)</f>
        <v>0</v>
      </c>
      <c r="ML94" s="206"/>
      <c r="MM94" s="207"/>
      <c r="MN94" s="205">
        <f>ROUND(SUM(MN96:MP107),5)</f>
        <v>0</v>
      </c>
      <c r="MO94" s="206"/>
      <c r="MP94" s="207"/>
      <c r="MQ94" s="205">
        <f>ROUND(SUM(MQ96:MS107),5)</f>
        <v>0</v>
      </c>
      <c r="MR94" s="206"/>
      <c r="MS94" s="207"/>
      <c r="MT94" s="205">
        <f>ROUND(SUM(MT96:MV107),5)</f>
        <v>0</v>
      </c>
      <c r="MU94" s="206"/>
      <c r="MV94" s="207"/>
      <c r="MW94" s="205">
        <f>ROUND(SUM(MW96:MY107),5)</f>
        <v>0</v>
      </c>
      <c r="MX94" s="206"/>
      <c r="MY94" s="207"/>
      <c r="MZ94" s="205">
        <f>ROUND(SUM(MZ96:NB107),5)</f>
        <v>0</v>
      </c>
      <c r="NA94" s="206"/>
      <c r="NB94" s="207"/>
      <c r="NC94" s="205">
        <f>ROUND(SUM(NC96:NE107),5)</f>
        <v>0</v>
      </c>
      <c r="ND94" s="206"/>
      <c r="NE94" s="223"/>
      <c r="NG94" s="198">
        <f>SUM(R94:NE94)</f>
        <v>8.5499999999999986E-3</v>
      </c>
      <c r="NH94" s="198">
        <f>SUM(NG96:NG107)</f>
        <v>8.550000000000002E-3</v>
      </c>
      <c r="NI94" s="1"/>
      <c r="NJ94" s="1"/>
      <c r="NK94" s="1"/>
    </row>
    <row r="95" spans="4:375" s="6" customFormat="1" ht="9.9499999999999993" customHeight="1">
      <c r="F95" s="194"/>
      <c r="G95" s="195"/>
      <c r="H95" s="52">
        <v>2</v>
      </c>
      <c r="L95" s="289"/>
      <c r="M95" s="290"/>
      <c r="N95" s="290"/>
      <c r="O95" s="291"/>
      <c r="P95" s="241"/>
      <c r="Q95" s="239"/>
      <c r="R95" s="2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  <c r="AK95" s="139"/>
      <c r="AL95" s="139"/>
      <c r="AM95" s="139"/>
      <c r="AN95" s="139"/>
      <c r="AO95" s="139"/>
      <c r="AP95" s="139"/>
      <c r="AQ95" s="139"/>
      <c r="AR95" s="139"/>
      <c r="AS95" s="139"/>
      <c r="AT95" s="139"/>
      <c r="AU95" s="139"/>
      <c r="AV95" s="140"/>
      <c r="AW95" s="177"/>
      <c r="AX95" s="139"/>
      <c r="AY95" s="139"/>
      <c r="AZ95" s="139"/>
      <c r="BA95" s="139"/>
      <c r="BB95" s="139"/>
      <c r="BC95" s="139"/>
      <c r="BD95" s="139"/>
      <c r="BE95" s="139"/>
      <c r="BF95" s="139"/>
      <c r="BG95" s="139"/>
      <c r="BH95" s="139"/>
      <c r="BI95" s="139"/>
      <c r="BJ95" s="139"/>
      <c r="BK95" s="139"/>
      <c r="BL95" s="139"/>
      <c r="BM95" s="139"/>
      <c r="BN95" s="139"/>
      <c r="BO95" s="139"/>
      <c r="BP95" s="139"/>
      <c r="BQ95" s="139"/>
      <c r="BR95" s="139"/>
      <c r="BS95" s="139"/>
      <c r="BT95" s="139"/>
      <c r="BU95" s="139"/>
      <c r="BV95" s="139"/>
      <c r="BW95" s="139"/>
      <c r="BX95" s="139"/>
      <c r="BY95" s="139"/>
      <c r="BZ95" s="140"/>
      <c r="CA95" s="177"/>
      <c r="CB95" s="139"/>
      <c r="CC95" s="139"/>
      <c r="CD95" s="139"/>
      <c r="CE95" s="139"/>
      <c r="CF95" s="139"/>
      <c r="CG95" s="139"/>
      <c r="CH95" s="139"/>
      <c r="CI95" s="139"/>
      <c r="CJ95" s="139"/>
      <c r="CK95" s="139"/>
      <c r="CL95" s="139"/>
      <c r="CM95" s="139"/>
      <c r="CN95" s="139"/>
      <c r="CO95" s="139"/>
      <c r="CP95" s="139"/>
      <c r="CQ95" s="139"/>
      <c r="CR95" s="139"/>
      <c r="CS95" s="139"/>
      <c r="CT95" s="139"/>
      <c r="CU95" s="139"/>
      <c r="CV95" s="139"/>
      <c r="CW95" s="139"/>
      <c r="CX95" s="139"/>
      <c r="CY95" s="139"/>
      <c r="CZ95" s="139"/>
      <c r="DA95" s="139"/>
      <c r="DB95" s="139"/>
      <c r="DC95" s="139"/>
      <c r="DD95" s="139"/>
      <c r="DE95" s="177"/>
      <c r="DF95" s="139"/>
      <c r="DG95" s="139"/>
      <c r="DH95" s="139"/>
      <c r="DI95" s="139"/>
      <c r="DJ95" s="139"/>
      <c r="DK95" s="139"/>
      <c r="DL95" s="139"/>
      <c r="DM95" s="139"/>
      <c r="DN95" s="139"/>
      <c r="DO95" s="139"/>
      <c r="DP95" s="139"/>
      <c r="DQ95" s="139"/>
      <c r="DR95" s="139"/>
      <c r="DS95" s="139"/>
      <c r="DT95" s="139"/>
      <c r="DU95" s="139"/>
      <c r="DV95" s="139"/>
      <c r="DW95" s="139"/>
      <c r="DX95" s="139"/>
      <c r="DY95" s="139"/>
      <c r="DZ95" s="139"/>
      <c r="EA95" s="139"/>
      <c r="EB95" s="139"/>
      <c r="EC95" s="139"/>
      <c r="ED95" s="139"/>
      <c r="EE95" s="139"/>
      <c r="EF95" s="139"/>
      <c r="EG95" s="139"/>
      <c r="EH95" s="139"/>
      <c r="EI95" s="177"/>
      <c r="EJ95" s="139"/>
      <c r="EK95" s="139"/>
      <c r="EL95" s="139"/>
      <c r="EM95" s="139"/>
      <c r="EN95" s="139"/>
      <c r="EO95" s="139"/>
      <c r="EP95" s="139"/>
      <c r="EQ95" s="139"/>
      <c r="ER95" s="139"/>
      <c r="ES95" s="139"/>
      <c r="ET95" s="139"/>
      <c r="EU95" s="139"/>
      <c r="EV95" s="139"/>
      <c r="EW95" s="139"/>
      <c r="EX95" s="139"/>
      <c r="EY95" s="139"/>
      <c r="EZ95" s="139"/>
      <c r="FA95" s="139"/>
      <c r="FB95" s="139"/>
      <c r="FC95" s="139"/>
      <c r="FD95" s="139"/>
      <c r="FE95" s="139"/>
      <c r="FF95" s="139"/>
      <c r="FG95" s="139"/>
      <c r="FH95" s="139"/>
      <c r="FI95" s="139"/>
      <c r="FJ95" s="139"/>
      <c r="FK95" s="139"/>
      <c r="FL95" s="139"/>
      <c r="FM95" s="177"/>
      <c r="FN95" s="139"/>
      <c r="FO95" s="139"/>
      <c r="FP95" s="139"/>
      <c r="FQ95" s="139"/>
      <c r="FR95" s="139"/>
      <c r="FS95" s="139"/>
      <c r="FT95" s="139"/>
      <c r="FU95" s="139"/>
      <c r="FV95" s="139"/>
      <c r="FW95" s="139"/>
      <c r="FX95" s="139"/>
      <c r="FY95" s="139"/>
      <c r="FZ95" s="139"/>
      <c r="GA95" s="139"/>
      <c r="GB95" s="139"/>
      <c r="GC95" s="139"/>
      <c r="GD95" s="139"/>
      <c r="GE95" s="139"/>
      <c r="GF95" s="139"/>
      <c r="GG95" s="139"/>
      <c r="GH95" s="139"/>
      <c r="GI95" s="139"/>
      <c r="GJ95" s="139"/>
      <c r="GK95" s="139"/>
      <c r="GL95" s="139"/>
      <c r="GM95" s="139"/>
      <c r="GN95" s="139"/>
      <c r="GO95" s="139"/>
      <c r="GP95" s="139"/>
      <c r="GQ95" s="177"/>
      <c r="GR95" s="139"/>
      <c r="GS95" s="139"/>
      <c r="GT95" s="139"/>
      <c r="GU95" s="139"/>
      <c r="GV95" s="139"/>
      <c r="GW95" s="139"/>
      <c r="GX95" s="139"/>
      <c r="GY95" s="139"/>
      <c r="GZ95" s="139"/>
      <c r="HA95" s="139"/>
      <c r="HB95" s="139"/>
      <c r="HC95" s="139"/>
      <c r="HD95" s="139"/>
      <c r="HE95" s="139"/>
      <c r="HF95" s="139"/>
      <c r="HG95" s="139"/>
      <c r="HH95" s="139"/>
      <c r="HI95" s="139"/>
      <c r="HJ95" s="139"/>
      <c r="HK95" s="139"/>
      <c r="HL95" s="139"/>
      <c r="HM95" s="139"/>
      <c r="HN95" s="139"/>
      <c r="HO95" s="139"/>
      <c r="HP95" s="139"/>
      <c r="HQ95" s="139"/>
      <c r="HR95" s="139"/>
      <c r="HS95" s="139"/>
      <c r="HT95" s="139"/>
      <c r="HU95" s="177"/>
      <c r="HV95" s="139"/>
      <c r="HW95" s="139"/>
      <c r="HX95" s="139"/>
      <c r="HY95" s="139"/>
      <c r="HZ95" s="139"/>
      <c r="IA95" s="139"/>
      <c r="IB95" s="139"/>
      <c r="IC95" s="139"/>
      <c r="ID95" s="139"/>
      <c r="IE95" s="139"/>
      <c r="IF95" s="139"/>
      <c r="IG95" s="139"/>
      <c r="IH95" s="139"/>
      <c r="II95" s="139"/>
      <c r="IJ95" s="139"/>
      <c r="IK95" s="139"/>
      <c r="IL95" s="139"/>
      <c r="IM95" s="139"/>
      <c r="IN95" s="139"/>
      <c r="IO95" s="139"/>
      <c r="IP95" s="139"/>
      <c r="IQ95" s="139"/>
      <c r="IR95" s="139"/>
      <c r="IS95" s="139"/>
      <c r="IT95" s="139"/>
      <c r="IU95" s="139"/>
      <c r="IV95" s="139"/>
      <c r="IW95" s="139"/>
      <c r="IX95" s="139"/>
      <c r="IY95" s="177"/>
      <c r="IZ95" s="139"/>
      <c r="JA95" s="139"/>
      <c r="JB95" s="139"/>
      <c r="JC95" s="139"/>
      <c r="JD95" s="139"/>
      <c r="JE95" s="139"/>
      <c r="JF95" s="139"/>
      <c r="JG95" s="139"/>
      <c r="JH95" s="139"/>
      <c r="JI95" s="139"/>
      <c r="JJ95" s="139"/>
      <c r="JK95" s="139"/>
      <c r="JL95" s="139"/>
      <c r="JM95" s="139"/>
      <c r="JN95" s="139"/>
      <c r="JO95" s="139"/>
      <c r="JP95" s="139"/>
      <c r="JQ95" s="139"/>
      <c r="JR95" s="139"/>
      <c r="JS95" s="139"/>
      <c r="JT95" s="139"/>
      <c r="JU95" s="139"/>
      <c r="JV95" s="139"/>
      <c r="JW95" s="139"/>
      <c r="JX95" s="139"/>
      <c r="JY95" s="139"/>
      <c r="JZ95" s="139"/>
      <c r="KA95" s="139"/>
      <c r="KB95" s="139"/>
      <c r="KC95" s="208"/>
      <c r="KD95" s="209"/>
      <c r="KE95" s="210"/>
      <c r="KF95" s="208"/>
      <c r="KG95" s="209"/>
      <c r="KH95" s="210"/>
      <c r="KI95" s="208"/>
      <c r="KJ95" s="209"/>
      <c r="KK95" s="210"/>
      <c r="KL95" s="208"/>
      <c r="KM95" s="209"/>
      <c r="KN95" s="210"/>
      <c r="KO95" s="208"/>
      <c r="KP95" s="209"/>
      <c r="KQ95" s="210"/>
      <c r="KR95" s="208"/>
      <c r="KS95" s="209"/>
      <c r="KT95" s="210"/>
      <c r="KU95" s="208"/>
      <c r="KV95" s="209"/>
      <c r="KW95" s="210"/>
      <c r="KX95" s="208"/>
      <c r="KY95" s="209"/>
      <c r="KZ95" s="209"/>
      <c r="LA95" s="231"/>
      <c r="LB95" s="209"/>
      <c r="LC95" s="232"/>
      <c r="LD95" s="209"/>
      <c r="LE95" s="209"/>
      <c r="LF95" s="210"/>
      <c r="LG95" s="208"/>
      <c r="LH95" s="209"/>
      <c r="LI95" s="210"/>
      <c r="LJ95" s="208"/>
      <c r="LK95" s="209"/>
      <c r="LL95" s="210"/>
      <c r="LM95" s="208"/>
      <c r="LN95" s="209"/>
      <c r="LO95" s="210"/>
      <c r="LP95" s="208"/>
      <c r="LQ95" s="209"/>
      <c r="LR95" s="210"/>
      <c r="LS95" s="208"/>
      <c r="LT95" s="209"/>
      <c r="LU95" s="210"/>
      <c r="LV95" s="208"/>
      <c r="LW95" s="209"/>
      <c r="LX95" s="210"/>
      <c r="LY95" s="208"/>
      <c r="LZ95" s="209"/>
      <c r="MA95" s="210"/>
      <c r="MB95" s="208"/>
      <c r="MC95" s="209"/>
      <c r="MD95" s="210"/>
      <c r="ME95" s="208"/>
      <c r="MF95" s="209"/>
      <c r="MG95" s="210"/>
      <c r="MH95" s="208"/>
      <c r="MI95" s="209"/>
      <c r="MJ95" s="210"/>
      <c r="MK95" s="208"/>
      <c r="ML95" s="209"/>
      <c r="MM95" s="210"/>
      <c r="MN95" s="208"/>
      <c r="MO95" s="209"/>
      <c r="MP95" s="210"/>
      <c r="MQ95" s="208"/>
      <c r="MR95" s="209"/>
      <c r="MS95" s="210"/>
      <c r="MT95" s="208"/>
      <c r="MU95" s="209"/>
      <c r="MV95" s="210"/>
      <c r="MW95" s="208"/>
      <c r="MX95" s="209"/>
      <c r="MY95" s="210"/>
      <c r="MZ95" s="208"/>
      <c r="NA95" s="209"/>
      <c r="NB95" s="210"/>
      <c r="NC95" s="208"/>
      <c r="ND95" s="209"/>
      <c r="NE95" s="224"/>
      <c r="NG95" s="198"/>
      <c r="NH95" s="198"/>
      <c r="NI95" s="1"/>
      <c r="NJ95" s="1"/>
      <c r="NK95" s="1"/>
    </row>
    <row r="96" spans="4:375" s="6" customFormat="1" ht="9.9499999999999993" customHeight="1">
      <c r="F96" s="196">
        <f t="shared" ref="F96" si="393">NG96</f>
        <v>2.0700000000000002E-3</v>
      </c>
      <c r="G96" s="197">
        <f>Q96-F96</f>
        <v>0</v>
      </c>
      <c r="H96" s="27">
        <v>1</v>
      </c>
      <c r="I96" s="19" t="s">
        <v>206</v>
      </c>
      <c r="J96" s="19" t="s">
        <v>184</v>
      </c>
      <c r="K96" s="19" t="s">
        <v>199</v>
      </c>
      <c r="L96" s="339"/>
      <c r="M96" s="299" t="s">
        <v>54</v>
      </c>
      <c r="N96" s="313">
        <v>57245</v>
      </c>
      <c r="O96" s="352" t="s">
        <v>34</v>
      </c>
      <c r="P96" s="307">
        <v>430129</v>
      </c>
      <c r="Q96" s="236">
        <f>ROUND(P96/$P$256,5)</f>
        <v>2.0699999999999998E-3</v>
      </c>
      <c r="R96" s="76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3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5"/>
      <c r="CA96" s="53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3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54"/>
      <c r="EM96" s="54"/>
      <c r="EN96" s="54"/>
      <c r="EO96" s="54"/>
      <c r="EP96" s="54"/>
      <c r="EQ96" s="54"/>
      <c r="ER96" s="54"/>
      <c r="ES96" s="54"/>
      <c r="ET96" s="54"/>
      <c r="EU96" s="54"/>
      <c r="EV96" s="54"/>
      <c r="EW96" s="54"/>
      <c r="EX96" s="54"/>
      <c r="EY96" s="54"/>
      <c r="EZ96" s="54"/>
      <c r="FA96" s="54"/>
      <c r="FB96" s="54"/>
      <c r="FC96" s="54"/>
      <c r="FD96" s="54"/>
      <c r="FE96" s="54"/>
      <c r="FF96" s="54"/>
      <c r="FG96" s="54"/>
      <c r="FH96" s="54"/>
      <c r="FI96" s="54"/>
      <c r="FJ96" s="54"/>
      <c r="FK96" s="54"/>
      <c r="FL96" s="54"/>
      <c r="FM96" s="53"/>
      <c r="FN96" s="54"/>
      <c r="FO96" s="54"/>
      <c r="FP96" s="54"/>
      <c r="FQ96" s="54"/>
      <c r="FR96" s="54"/>
      <c r="FS96" s="54"/>
      <c r="FT96" s="54"/>
      <c r="FU96" s="54"/>
      <c r="FV96" s="54"/>
      <c r="FW96" s="54"/>
      <c r="FX96" s="54"/>
      <c r="FY96" s="54"/>
      <c r="FZ96" s="54"/>
      <c r="GA96" s="54"/>
      <c r="GB96" s="54"/>
      <c r="GC96" s="54"/>
      <c r="GD96" s="54"/>
      <c r="GE96" s="54"/>
      <c r="GF96" s="54"/>
      <c r="GG96" s="54"/>
      <c r="GH96" s="54"/>
      <c r="GI96" s="54"/>
      <c r="GJ96" s="54"/>
      <c r="GK96" s="54"/>
      <c r="GL96" s="54"/>
      <c r="GM96" s="54"/>
      <c r="GN96" s="54"/>
      <c r="GO96" s="54"/>
      <c r="GP96" s="54"/>
      <c r="GQ96" s="54"/>
      <c r="GR96" s="54"/>
      <c r="GS96" s="54"/>
      <c r="GT96" s="54"/>
      <c r="GU96" s="54"/>
      <c r="GV96" s="54"/>
      <c r="GW96" s="54"/>
      <c r="GX96" s="54"/>
      <c r="GY96" s="54"/>
      <c r="GZ96" s="54"/>
      <c r="HA96" s="54"/>
      <c r="HB96" s="54"/>
      <c r="HC96" s="54"/>
      <c r="HD96" s="54"/>
      <c r="HE96" s="54"/>
      <c r="HF96" s="54"/>
      <c r="HG96" s="54"/>
      <c r="HH96" s="54"/>
      <c r="HI96" s="54"/>
      <c r="HJ96" s="54"/>
      <c r="HK96" s="54"/>
      <c r="HL96" s="54"/>
      <c r="HM96" s="54"/>
      <c r="HN96" s="54"/>
      <c r="HO96" s="54"/>
      <c r="HP96" s="54"/>
      <c r="HQ96" s="54"/>
      <c r="HR96" s="54"/>
      <c r="HS96" s="54"/>
      <c r="HT96" s="54"/>
      <c r="HU96" s="156"/>
      <c r="HV96" s="156"/>
      <c r="HW96" s="156"/>
      <c r="HX96" s="156"/>
      <c r="HY96" s="156"/>
      <c r="HZ96" s="156"/>
      <c r="IA96" s="156"/>
      <c r="IB96" s="156"/>
      <c r="IC96" s="156"/>
      <c r="ID96" s="156"/>
      <c r="IE96" s="156"/>
      <c r="IF96" s="156"/>
      <c r="IG96" s="156"/>
      <c r="IH96" s="156"/>
      <c r="II96" s="156"/>
      <c r="IJ96" s="156"/>
      <c r="IK96" s="156"/>
      <c r="IL96" s="156"/>
      <c r="IM96" s="156"/>
      <c r="IN96" s="156"/>
      <c r="IO96" s="156"/>
      <c r="IP96" s="156"/>
      <c r="IQ96" s="156"/>
      <c r="IR96" s="156"/>
      <c r="IS96" s="156"/>
      <c r="IT96" s="156"/>
      <c r="IU96" s="156"/>
      <c r="IV96" s="156"/>
      <c r="IW96" s="156"/>
      <c r="IX96" s="156"/>
      <c r="IY96" s="53"/>
      <c r="IZ96" s="54"/>
      <c r="JA96" s="54"/>
      <c r="JB96" s="54"/>
      <c r="JC96" s="54"/>
      <c r="JD96" s="54"/>
      <c r="JE96" s="54"/>
      <c r="JF96" s="54"/>
      <c r="JG96" s="54"/>
      <c r="JH96" s="54"/>
      <c r="JI96" s="54"/>
      <c r="JJ96" s="54"/>
      <c r="JK96" s="54"/>
      <c r="JL96" s="54"/>
      <c r="JM96" s="54"/>
      <c r="JN96" s="54"/>
      <c r="JO96" s="54"/>
      <c r="JP96" s="54"/>
      <c r="JQ96" s="54"/>
      <c r="JR96" s="54"/>
      <c r="JS96" s="54"/>
      <c r="JT96" s="54"/>
      <c r="JU96" s="54"/>
      <c r="JV96" s="54"/>
      <c r="JW96" s="54"/>
      <c r="JX96" s="54"/>
      <c r="JY96" s="54"/>
      <c r="JZ96" s="54"/>
      <c r="KA96" s="54"/>
      <c r="KB96" s="54"/>
      <c r="KC96" s="53"/>
      <c r="KD96" s="54"/>
      <c r="KE96" s="55"/>
      <c r="KF96" s="54"/>
      <c r="KG96" s="54"/>
      <c r="KH96" s="54"/>
      <c r="KI96" s="53"/>
      <c r="KJ96" s="54"/>
      <c r="KK96" s="55"/>
      <c r="KL96" s="212"/>
      <c r="KM96" s="212"/>
      <c r="KN96" s="212"/>
      <c r="KO96" s="212"/>
      <c r="KP96" s="212"/>
      <c r="KQ96" s="212"/>
      <c r="KR96" s="54"/>
      <c r="KS96" s="54"/>
      <c r="KT96" s="54"/>
      <c r="KU96" s="53"/>
      <c r="KV96" s="54"/>
      <c r="KW96" s="55"/>
      <c r="KX96" s="54"/>
      <c r="KY96" s="54"/>
      <c r="KZ96" s="54"/>
      <c r="LA96" s="211"/>
      <c r="LB96" s="212"/>
      <c r="LC96" s="213"/>
      <c r="LD96" s="219">
        <v>2.4000000000000001E-4</v>
      </c>
      <c r="LE96" s="219"/>
      <c r="LF96" s="220"/>
      <c r="LG96" s="218">
        <v>3.4000000000000002E-4</v>
      </c>
      <c r="LH96" s="219"/>
      <c r="LI96" s="220"/>
      <c r="LJ96" s="218">
        <v>4.2999999999999999E-4</v>
      </c>
      <c r="LK96" s="219"/>
      <c r="LL96" s="220"/>
      <c r="LM96" s="218">
        <v>4.2999999999999999E-4</v>
      </c>
      <c r="LN96" s="219"/>
      <c r="LO96" s="220"/>
      <c r="LP96" s="218">
        <v>3.4000000000000002E-4</v>
      </c>
      <c r="LQ96" s="219"/>
      <c r="LR96" s="220"/>
      <c r="LS96" s="218">
        <v>2.9E-4</v>
      </c>
      <c r="LT96" s="219"/>
      <c r="LU96" s="220"/>
      <c r="LV96" s="54"/>
      <c r="LW96" s="54"/>
      <c r="LX96" s="55"/>
      <c r="LY96" s="54"/>
      <c r="LZ96" s="54"/>
      <c r="MA96" s="54"/>
      <c r="MB96" s="53"/>
      <c r="MC96" s="54"/>
      <c r="MD96" s="55"/>
      <c r="ME96" s="54"/>
      <c r="MF96" s="54"/>
      <c r="MG96" s="54"/>
      <c r="MH96" s="53"/>
      <c r="MI96" s="54"/>
      <c r="MJ96" s="55"/>
      <c r="MK96" s="53"/>
      <c r="ML96" s="54"/>
      <c r="MM96" s="55"/>
      <c r="MN96" s="53"/>
      <c r="MO96" s="54"/>
      <c r="MP96" s="55"/>
      <c r="MQ96" s="53"/>
      <c r="MR96" s="54"/>
      <c r="MS96" s="55"/>
      <c r="MT96" s="53"/>
      <c r="MU96" s="54"/>
      <c r="MV96" s="55"/>
      <c r="MW96" s="53"/>
      <c r="MX96" s="54"/>
      <c r="MY96" s="55"/>
      <c r="MZ96" s="53"/>
      <c r="NA96" s="54"/>
      <c r="NB96" s="55"/>
      <c r="NC96" s="54"/>
      <c r="ND96" s="54"/>
      <c r="NE96" s="59"/>
      <c r="NG96" s="275">
        <f>SUM(R96:NE96)</f>
        <v>2.0700000000000002E-3</v>
      </c>
      <c r="NH96" s="1"/>
      <c r="NI96" s="1"/>
      <c r="NJ96" s="1"/>
      <c r="NK96" s="1"/>
    </row>
    <row r="97" spans="4:375" s="6" customFormat="1" ht="6.95" customHeight="1">
      <c r="F97" s="196"/>
      <c r="G97" s="197"/>
      <c r="H97" s="52">
        <v>2</v>
      </c>
      <c r="L97" s="340"/>
      <c r="M97" s="294"/>
      <c r="N97" s="314"/>
      <c r="O97" s="353"/>
      <c r="P97" s="308"/>
      <c r="Q97" s="237"/>
      <c r="R97" s="6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39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1"/>
      <c r="CA97" s="39"/>
      <c r="CB97" s="40"/>
      <c r="CC97" s="40"/>
      <c r="CD97" s="40"/>
      <c r="CE97" s="40"/>
      <c r="CF97" s="40"/>
      <c r="CG97" s="40"/>
      <c r="CH97" s="40"/>
      <c r="CI97" s="40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  <c r="DD97" s="40"/>
      <c r="DE97" s="39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 s="40"/>
      <c r="DT97" s="40"/>
      <c r="DU97" s="40"/>
      <c r="DV97" s="40"/>
      <c r="DW97" s="40"/>
      <c r="DX97" s="40"/>
      <c r="DY97" s="40"/>
      <c r="DZ97" s="40"/>
      <c r="EA97" s="40"/>
      <c r="EB97" s="40"/>
      <c r="EC97" s="40"/>
      <c r="ED97" s="40"/>
      <c r="EE97" s="40"/>
      <c r="EF97" s="40"/>
      <c r="EG97" s="40"/>
      <c r="EH97" s="40"/>
      <c r="EI97" s="40"/>
      <c r="EJ97" s="40"/>
      <c r="EK97" s="40"/>
      <c r="EL97" s="40"/>
      <c r="EM97" s="40"/>
      <c r="EN97" s="40"/>
      <c r="EO97" s="40"/>
      <c r="EP97" s="40"/>
      <c r="EQ97" s="40"/>
      <c r="ER97" s="40"/>
      <c r="ES97" s="40"/>
      <c r="ET97" s="40"/>
      <c r="EU97" s="40"/>
      <c r="EV97" s="40"/>
      <c r="EW97" s="40"/>
      <c r="EX97" s="40"/>
      <c r="EY97" s="40"/>
      <c r="EZ97" s="40"/>
      <c r="FA97" s="40"/>
      <c r="FB97" s="40"/>
      <c r="FC97" s="40"/>
      <c r="FD97" s="40"/>
      <c r="FE97" s="40"/>
      <c r="FF97" s="40"/>
      <c r="FG97" s="40"/>
      <c r="FH97" s="40"/>
      <c r="FI97" s="40"/>
      <c r="FJ97" s="40"/>
      <c r="FK97" s="40"/>
      <c r="FL97" s="40"/>
      <c r="FM97" s="39"/>
      <c r="FN97" s="40"/>
      <c r="FO97" s="40"/>
      <c r="FP97" s="40"/>
      <c r="FQ97" s="40"/>
      <c r="FR97" s="40"/>
      <c r="FS97" s="40"/>
      <c r="FT97" s="40"/>
      <c r="FU97" s="40"/>
      <c r="FV97" s="40"/>
      <c r="FW97" s="40"/>
      <c r="FX97" s="40"/>
      <c r="FY97" s="40"/>
      <c r="FZ97" s="40"/>
      <c r="GA97" s="40"/>
      <c r="GB97" s="40"/>
      <c r="GC97" s="40"/>
      <c r="GD97" s="40"/>
      <c r="GE97" s="40"/>
      <c r="GF97" s="40"/>
      <c r="GG97" s="40"/>
      <c r="GH97" s="40"/>
      <c r="GI97" s="40"/>
      <c r="GJ97" s="40"/>
      <c r="GK97" s="40"/>
      <c r="GL97" s="40"/>
      <c r="GM97" s="40"/>
      <c r="GN97" s="40"/>
      <c r="GO97" s="40"/>
      <c r="GP97" s="40"/>
      <c r="GQ97" s="40"/>
      <c r="GR97" s="40"/>
      <c r="GS97" s="40"/>
      <c r="GT97" s="40"/>
      <c r="GU97" s="40"/>
      <c r="GV97" s="40"/>
      <c r="GW97" s="40"/>
      <c r="GX97" s="40"/>
      <c r="GY97" s="40"/>
      <c r="GZ97" s="40"/>
      <c r="HA97" s="40"/>
      <c r="HB97" s="40"/>
      <c r="HC97" s="40"/>
      <c r="HD97" s="40"/>
      <c r="HE97" s="40"/>
      <c r="HF97" s="40"/>
      <c r="HG97" s="40"/>
      <c r="HH97" s="40"/>
      <c r="HI97" s="40"/>
      <c r="HJ97" s="40"/>
      <c r="HK97" s="40"/>
      <c r="HL97" s="40"/>
      <c r="HM97" s="40"/>
      <c r="HN97" s="40"/>
      <c r="HO97" s="40"/>
      <c r="HP97" s="40"/>
      <c r="HQ97" s="40"/>
      <c r="HR97" s="40"/>
      <c r="HS97" s="40"/>
      <c r="HT97" s="40"/>
      <c r="HU97" s="39"/>
      <c r="HV97" s="40"/>
      <c r="HW97" s="40"/>
      <c r="HX97" s="40"/>
      <c r="HY97" s="40"/>
      <c r="HZ97" s="40"/>
      <c r="IA97" s="40"/>
      <c r="IB97" s="40"/>
      <c r="IC97" s="40"/>
      <c r="ID97" s="40"/>
      <c r="IE97" s="40"/>
      <c r="IF97" s="40"/>
      <c r="IG97" s="40"/>
      <c r="IH97" s="40"/>
      <c r="II97" s="40"/>
      <c r="IJ97" s="40"/>
      <c r="IK97" s="40"/>
      <c r="IL97" s="40"/>
      <c r="IM97" s="40"/>
      <c r="IN97" s="40"/>
      <c r="IO97" s="40"/>
      <c r="IP97" s="40"/>
      <c r="IQ97" s="40"/>
      <c r="IR97" s="40"/>
      <c r="IS97" s="40"/>
      <c r="IT97" s="40"/>
      <c r="IU97" s="40"/>
      <c r="IV97" s="40"/>
      <c r="IW97" s="40"/>
      <c r="IX97" s="40"/>
      <c r="IY97" s="39"/>
      <c r="IZ97" s="40"/>
      <c r="JA97" s="40"/>
      <c r="JB97" s="40"/>
      <c r="JC97" s="40"/>
      <c r="JD97" s="40"/>
      <c r="JE97" s="40"/>
      <c r="JF97" s="40"/>
      <c r="JG97" s="40"/>
      <c r="JH97" s="40"/>
      <c r="JI97" s="40"/>
      <c r="JJ97" s="40"/>
      <c r="JK97" s="40"/>
      <c r="JL97" s="40"/>
      <c r="JM97" s="40"/>
      <c r="JN97" s="40"/>
      <c r="JO97" s="40"/>
      <c r="JP97" s="40"/>
      <c r="JQ97" s="40"/>
      <c r="JR97" s="40"/>
      <c r="JS97" s="40"/>
      <c r="JT97" s="40"/>
      <c r="JU97" s="40"/>
      <c r="JV97" s="40"/>
      <c r="JW97" s="40"/>
      <c r="JX97" s="40"/>
      <c r="JY97" s="40"/>
      <c r="JZ97" s="40"/>
      <c r="KA97" s="40"/>
      <c r="KB97" s="40"/>
      <c r="KC97" s="39"/>
      <c r="KD97" s="40"/>
      <c r="KE97" s="41"/>
      <c r="KF97" s="40"/>
      <c r="KG97" s="40"/>
      <c r="KH97" s="40"/>
      <c r="KI97" s="39"/>
      <c r="KJ97" s="40"/>
      <c r="KK97" s="41"/>
      <c r="KL97" s="39"/>
      <c r="KM97" s="40"/>
      <c r="KN97" s="41"/>
      <c r="KO97" s="39"/>
      <c r="KP97" s="40"/>
      <c r="KQ97" s="41"/>
      <c r="KR97" s="40"/>
      <c r="KS97" s="40"/>
      <c r="KT97" s="40"/>
      <c r="KU97" s="39"/>
      <c r="KV97" s="40"/>
      <c r="KW97" s="41"/>
      <c r="KX97" s="40"/>
      <c r="KY97" s="40"/>
      <c r="KZ97" s="40"/>
      <c r="LA97" s="64"/>
      <c r="LB97" s="40"/>
      <c r="LC97" s="65"/>
      <c r="LD97" s="61"/>
      <c r="LE97" s="62"/>
      <c r="LF97" s="63"/>
      <c r="LG97" s="61"/>
      <c r="LH97" s="62"/>
      <c r="LI97" s="63"/>
      <c r="LJ97" s="61"/>
      <c r="LK97" s="62"/>
      <c r="LL97" s="63"/>
      <c r="LM97" s="61"/>
      <c r="LN97" s="62"/>
      <c r="LO97" s="63"/>
      <c r="LP97" s="61"/>
      <c r="LQ97" s="62"/>
      <c r="LR97" s="63"/>
      <c r="LS97" s="61"/>
      <c r="LT97" s="62"/>
      <c r="LU97" s="63"/>
      <c r="LV97" s="40"/>
      <c r="LW97" s="40"/>
      <c r="LX97" s="41"/>
      <c r="LY97" s="40"/>
      <c r="LZ97" s="40"/>
      <c r="MA97" s="40"/>
      <c r="MB97" s="39"/>
      <c r="MC97" s="40"/>
      <c r="MD97" s="41"/>
      <c r="ME97" s="40"/>
      <c r="MF97" s="40"/>
      <c r="MG97" s="40"/>
      <c r="MH97" s="39"/>
      <c r="MI97" s="40"/>
      <c r="MJ97" s="41"/>
      <c r="MK97" s="39"/>
      <c r="ML97" s="40"/>
      <c r="MM97" s="41"/>
      <c r="MN97" s="39"/>
      <c r="MO97" s="40"/>
      <c r="MP97" s="41"/>
      <c r="MQ97" s="39"/>
      <c r="MR97" s="40"/>
      <c r="MS97" s="41"/>
      <c r="MT97" s="39"/>
      <c r="MU97" s="40"/>
      <c r="MV97" s="41"/>
      <c r="MW97" s="39"/>
      <c r="MX97" s="40"/>
      <c r="MY97" s="41"/>
      <c r="MZ97" s="39"/>
      <c r="NA97" s="40"/>
      <c r="NB97" s="41"/>
      <c r="NC97" s="40"/>
      <c r="ND97" s="40"/>
      <c r="NE97" s="42"/>
      <c r="NG97" s="275"/>
      <c r="NH97" s="1"/>
      <c r="NI97" s="1"/>
      <c r="NJ97" s="1"/>
      <c r="NK97" s="1"/>
    </row>
    <row r="98" spans="4:375" s="6" customFormat="1" ht="9.9499999999999993" customHeight="1">
      <c r="F98" s="196">
        <f t="shared" ref="F98" si="394">NG98</f>
        <v>3.8999999999999999E-4</v>
      </c>
      <c r="G98" s="197">
        <f>Q98-F98</f>
        <v>0</v>
      </c>
      <c r="H98" s="27">
        <v>1</v>
      </c>
      <c r="I98" s="19" t="s">
        <v>217</v>
      </c>
      <c r="J98" s="19" t="s">
        <v>184</v>
      </c>
      <c r="K98" s="19" t="s">
        <v>218</v>
      </c>
      <c r="L98" s="292"/>
      <c r="M98" s="300" t="s">
        <v>139</v>
      </c>
      <c r="N98" s="301">
        <v>9628</v>
      </c>
      <c r="O98" s="302" t="s">
        <v>15</v>
      </c>
      <c r="P98" s="315">
        <v>80233</v>
      </c>
      <c r="Q98" s="236">
        <f>ROUND(P98/$P$256,5)</f>
        <v>3.8999999999999999E-4</v>
      </c>
      <c r="R98" s="73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6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8"/>
      <c r="CA98" s="66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  <c r="DD98" s="67"/>
      <c r="DE98" s="66"/>
      <c r="DF98" s="67"/>
      <c r="DG98" s="67"/>
      <c r="DH98" s="67"/>
      <c r="DI98" s="67"/>
      <c r="DJ98" s="67"/>
      <c r="DK98" s="67"/>
      <c r="DL98" s="67"/>
      <c r="DM98" s="67"/>
      <c r="DN98" s="67"/>
      <c r="DO98" s="67"/>
      <c r="DP98" s="67"/>
      <c r="DQ98" s="67"/>
      <c r="DR98" s="67"/>
      <c r="DS98" s="67"/>
      <c r="DT98" s="67"/>
      <c r="DU98" s="67"/>
      <c r="DV98" s="67"/>
      <c r="DW98" s="67"/>
      <c r="DX98" s="67"/>
      <c r="DY98" s="67"/>
      <c r="DZ98" s="67"/>
      <c r="EA98" s="67"/>
      <c r="EB98" s="67"/>
      <c r="EC98" s="67"/>
      <c r="ED98" s="67"/>
      <c r="EE98" s="67"/>
      <c r="EF98" s="67"/>
      <c r="EG98" s="67"/>
      <c r="EH98" s="67"/>
      <c r="EI98" s="67"/>
      <c r="EJ98" s="67"/>
      <c r="EK98" s="67"/>
      <c r="EL98" s="67"/>
      <c r="EM98" s="67"/>
      <c r="EN98" s="67"/>
      <c r="EO98" s="67"/>
      <c r="EP98" s="67"/>
      <c r="EQ98" s="67"/>
      <c r="ER98" s="67"/>
      <c r="ES98" s="67"/>
      <c r="ET98" s="67"/>
      <c r="EU98" s="67"/>
      <c r="EV98" s="67"/>
      <c r="EW98" s="67"/>
      <c r="EX98" s="67"/>
      <c r="EY98" s="67"/>
      <c r="EZ98" s="67"/>
      <c r="FA98" s="67"/>
      <c r="FB98" s="67"/>
      <c r="FC98" s="67"/>
      <c r="FD98" s="67"/>
      <c r="FE98" s="67"/>
      <c r="FF98" s="67"/>
      <c r="FG98" s="67"/>
      <c r="FH98" s="67"/>
      <c r="FI98" s="67"/>
      <c r="FJ98" s="67"/>
      <c r="FK98" s="67"/>
      <c r="FL98" s="67"/>
      <c r="FM98" s="66"/>
      <c r="FN98" s="67"/>
      <c r="FO98" s="67"/>
      <c r="FP98" s="67"/>
      <c r="FQ98" s="67"/>
      <c r="FR98" s="67"/>
      <c r="FS98" s="67"/>
      <c r="FT98" s="67"/>
      <c r="FU98" s="67"/>
      <c r="FV98" s="67"/>
      <c r="FW98" s="67"/>
      <c r="FX98" s="67"/>
      <c r="FY98" s="67"/>
      <c r="FZ98" s="67"/>
      <c r="GA98" s="67"/>
      <c r="GB98" s="67"/>
      <c r="GC98" s="67"/>
      <c r="GD98" s="67"/>
      <c r="GE98" s="67"/>
      <c r="GF98" s="67"/>
      <c r="GG98" s="67"/>
      <c r="GH98" s="67"/>
      <c r="GI98" s="67"/>
      <c r="GJ98" s="67"/>
      <c r="GK98" s="67"/>
      <c r="GL98" s="67"/>
      <c r="GM98" s="67"/>
      <c r="GN98" s="67"/>
      <c r="GO98" s="67"/>
      <c r="GP98" s="67"/>
      <c r="GQ98" s="67"/>
      <c r="GR98" s="67"/>
      <c r="GS98" s="67"/>
      <c r="GT98" s="67"/>
      <c r="GU98" s="67"/>
      <c r="GV98" s="67"/>
      <c r="GW98" s="67"/>
      <c r="GX98" s="67"/>
      <c r="GY98" s="67"/>
      <c r="GZ98" s="67"/>
      <c r="HA98" s="67"/>
      <c r="HB98" s="67"/>
      <c r="HC98" s="67"/>
      <c r="HD98" s="67"/>
      <c r="HE98" s="67"/>
      <c r="HF98" s="67"/>
      <c r="HG98" s="67"/>
      <c r="HH98" s="67"/>
      <c r="HI98" s="67"/>
      <c r="HJ98" s="67"/>
      <c r="HK98" s="67"/>
      <c r="HL98" s="67"/>
      <c r="HM98" s="67"/>
      <c r="HN98" s="67"/>
      <c r="HO98" s="67"/>
      <c r="HP98" s="67"/>
      <c r="HQ98" s="67"/>
      <c r="HR98" s="67"/>
      <c r="HS98" s="67"/>
      <c r="HT98" s="67"/>
      <c r="HU98" s="66"/>
      <c r="HV98" s="67"/>
      <c r="HW98" s="67"/>
      <c r="HX98" s="67"/>
      <c r="HY98" s="67"/>
      <c r="HZ98" s="67"/>
      <c r="IA98" s="67"/>
      <c r="IB98" s="67"/>
      <c r="IC98" s="67"/>
      <c r="ID98" s="67"/>
      <c r="IE98" s="67"/>
      <c r="IF98" s="67"/>
      <c r="IG98" s="67"/>
      <c r="IH98" s="67"/>
      <c r="II98" s="67"/>
      <c r="IJ98" s="67"/>
      <c r="IK98" s="67"/>
      <c r="IL98" s="67"/>
      <c r="IM98" s="67"/>
      <c r="IN98" s="67"/>
      <c r="IO98" s="67"/>
      <c r="IP98" s="67"/>
      <c r="IQ98" s="67"/>
      <c r="IR98" s="67"/>
      <c r="IS98" s="67"/>
      <c r="IT98" s="67"/>
      <c r="IU98" s="67"/>
      <c r="IV98" s="67"/>
      <c r="IW98" s="67"/>
      <c r="IX98" s="67"/>
      <c r="IY98" s="66"/>
      <c r="IZ98" s="67"/>
      <c r="JA98" s="67"/>
      <c r="JB98" s="67"/>
      <c r="JC98" s="67"/>
      <c r="JD98" s="67"/>
      <c r="JE98" s="67"/>
      <c r="JF98" s="67"/>
      <c r="JG98" s="67"/>
      <c r="JH98" s="67"/>
      <c r="JI98" s="67"/>
      <c r="JJ98" s="67"/>
      <c r="JK98" s="67"/>
      <c r="JL98" s="67"/>
      <c r="JM98" s="67"/>
      <c r="JN98" s="67"/>
      <c r="JO98" s="67"/>
      <c r="JP98" s="67"/>
      <c r="JQ98" s="67"/>
      <c r="JR98" s="67"/>
      <c r="JS98" s="67"/>
      <c r="JT98" s="67"/>
      <c r="JU98" s="67"/>
      <c r="JV98" s="67"/>
      <c r="JW98" s="67"/>
      <c r="JX98" s="67"/>
      <c r="JY98" s="67"/>
      <c r="JZ98" s="67"/>
      <c r="KA98" s="67"/>
      <c r="KB98" s="67"/>
      <c r="KC98" s="66"/>
      <c r="KD98" s="67"/>
      <c r="KE98" s="68"/>
      <c r="KF98" s="67"/>
      <c r="KG98" s="67"/>
      <c r="KH98" s="67"/>
      <c r="KI98" s="66"/>
      <c r="KJ98" s="67"/>
      <c r="KK98" s="68"/>
      <c r="KL98" s="214"/>
      <c r="KM98" s="214"/>
      <c r="KN98" s="214"/>
      <c r="KO98" s="214"/>
      <c r="KP98" s="214"/>
      <c r="KQ98" s="214"/>
      <c r="KR98" s="67"/>
      <c r="KS98" s="67"/>
      <c r="KT98" s="67"/>
      <c r="KU98" s="66"/>
      <c r="KV98" s="67"/>
      <c r="KW98" s="68"/>
      <c r="KX98" s="67"/>
      <c r="KY98" s="67"/>
      <c r="KZ98" s="67"/>
      <c r="LA98" s="233"/>
      <c r="LB98" s="214"/>
      <c r="LC98" s="234"/>
      <c r="LD98" s="220">
        <v>3.0000000000000001E-5</v>
      </c>
      <c r="LE98" s="212"/>
      <c r="LF98" s="212"/>
      <c r="LG98" s="212">
        <v>6.9999999999999994E-5</v>
      </c>
      <c r="LH98" s="212"/>
      <c r="LI98" s="212"/>
      <c r="LJ98" s="212">
        <v>8.0000000000000007E-5</v>
      </c>
      <c r="LK98" s="212"/>
      <c r="LL98" s="212"/>
      <c r="LM98" s="212">
        <v>8.0000000000000007E-5</v>
      </c>
      <c r="LN98" s="212"/>
      <c r="LO98" s="212"/>
      <c r="LP98" s="212">
        <v>8.0000000000000007E-5</v>
      </c>
      <c r="LQ98" s="212"/>
      <c r="LR98" s="212"/>
      <c r="LS98" s="212">
        <v>5.0000000000000002E-5</v>
      </c>
      <c r="LT98" s="212"/>
      <c r="LU98" s="212"/>
      <c r="LV98" s="67"/>
      <c r="LW98" s="67"/>
      <c r="LX98" s="68"/>
      <c r="LY98" s="67"/>
      <c r="LZ98" s="67"/>
      <c r="MA98" s="67"/>
      <c r="MB98" s="66"/>
      <c r="MC98" s="67"/>
      <c r="MD98" s="68"/>
      <c r="ME98" s="67"/>
      <c r="MF98" s="67"/>
      <c r="MG98" s="67"/>
      <c r="MH98" s="66"/>
      <c r="MI98" s="67"/>
      <c r="MJ98" s="68"/>
      <c r="MK98" s="66"/>
      <c r="ML98" s="67"/>
      <c r="MM98" s="68"/>
      <c r="MN98" s="66"/>
      <c r="MO98" s="67"/>
      <c r="MP98" s="68"/>
      <c r="MQ98" s="66"/>
      <c r="MR98" s="67"/>
      <c r="MS98" s="68"/>
      <c r="MT98" s="66"/>
      <c r="MU98" s="67"/>
      <c r="MV98" s="68"/>
      <c r="MW98" s="66"/>
      <c r="MX98" s="67"/>
      <c r="MY98" s="68"/>
      <c r="MZ98" s="66"/>
      <c r="NA98" s="67"/>
      <c r="NB98" s="68"/>
      <c r="NC98" s="67"/>
      <c r="ND98" s="67"/>
      <c r="NE98" s="72"/>
      <c r="NG98" s="275">
        <f>SUM(R98:NE98)</f>
        <v>3.8999999999999999E-4</v>
      </c>
      <c r="NH98" s="1"/>
      <c r="NI98" s="1"/>
      <c r="NJ98" s="1"/>
      <c r="NK98" s="1"/>
    </row>
    <row r="99" spans="4:375" s="6" customFormat="1" ht="6.95" customHeight="1">
      <c r="F99" s="196"/>
      <c r="G99" s="197"/>
      <c r="H99" s="52">
        <v>2</v>
      </c>
      <c r="L99" s="292"/>
      <c r="M99" s="300"/>
      <c r="N99" s="301"/>
      <c r="O99" s="302"/>
      <c r="P99" s="315"/>
      <c r="Q99" s="237"/>
      <c r="R99" s="73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6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8"/>
      <c r="CA99" s="66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  <c r="DD99" s="67"/>
      <c r="DE99" s="66"/>
      <c r="DF99" s="67"/>
      <c r="DG99" s="67"/>
      <c r="DH99" s="67"/>
      <c r="DI99" s="67"/>
      <c r="DJ99" s="67"/>
      <c r="DK99" s="67"/>
      <c r="DL99" s="67"/>
      <c r="DM99" s="67"/>
      <c r="DN99" s="67"/>
      <c r="DO99" s="67"/>
      <c r="DP99" s="67"/>
      <c r="DQ99" s="67"/>
      <c r="DR99" s="67"/>
      <c r="DS99" s="67"/>
      <c r="DT99" s="67"/>
      <c r="DU99" s="67"/>
      <c r="DV99" s="67"/>
      <c r="DW99" s="67"/>
      <c r="DX99" s="67"/>
      <c r="DY99" s="67"/>
      <c r="DZ99" s="67"/>
      <c r="EA99" s="67"/>
      <c r="EB99" s="67"/>
      <c r="EC99" s="67"/>
      <c r="ED99" s="67"/>
      <c r="EE99" s="67"/>
      <c r="EF99" s="67"/>
      <c r="EG99" s="67"/>
      <c r="EH99" s="67"/>
      <c r="EI99" s="67"/>
      <c r="EJ99" s="67"/>
      <c r="EK99" s="67"/>
      <c r="EL99" s="67"/>
      <c r="EM99" s="67"/>
      <c r="EN99" s="67"/>
      <c r="EO99" s="67"/>
      <c r="EP99" s="67"/>
      <c r="EQ99" s="67"/>
      <c r="ER99" s="67"/>
      <c r="ES99" s="67"/>
      <c r="ET99" s="67"/>
      <c r="EU99" s="67"/>
      <c r="EV99" s="67"/>
      <c r="EW99" s="67"/>
      <c r="EX99" s="67"/>
      <c r="EY99" s="67"/>
      <c r="EZ99" s="67"/>
      <c r="FA99" s="67"/>
      <c r="FB99" s="67"/>
      <c r="FC99" s="67"/>
      <c r="FD99" s="67"/>
      <c r="FE99" s="67"/>
      <c r="FF99" s="67"/>
      <c r="FG99" s="67"/>
      <c r="FH99" s="67"/>
      <c r="FI99" s="67"/>
      <c r="FJ99" s="67"/>
      <c r="FK99" s="67"/>
      <c r="FL99" s="67"/>
      <c r="FM99" s="66"/>
      <c r="FN99" s="67"/>
      <c r="FO99" s="67"/>
      <c r="FP99" s="67"/>
      <c r="FQ99" s="67"/>
      <c r="FR99" s="67"/>
      <c r="FS99" s="67"/>
      <c r="FT99" s="67"/>
      <c r="FU99" s="67"/>
      <c r="FV99" s="67"/>
      <c r="FW99" s="67"/>
      <c r="FX99" s="67"/>
      <c r="FY99" s="67"/>
      <c r="FZ99" s="67"/>
      <c r="GA99" s="67"/>
      <c r="GB99" s="67"/>
      <c r="GC99" s="67"/>
      <c r="GD99" s="67"/>
      <c r="GE99" s="67"/>
      <c r="GF99" s="67"/>
      <c r="GG99" s="67"/>
      <c r="GH99" s="67"/>
      <c r="GI99" s="67"/>
      <c r="GJ99" s="67"/>
      <c r="GK99" s="67"/>
      <c r="GL99" s="67"/>
      <c r="GM99" s="67"/>
      <c r="GN99" s="67"/>
      <c r="GO99" s="67"/>
      <c r="GP99" s="67"/>
      <c r="GQ99" s="67"/>
      <c r="GR99" s="67"/>
      <c r="GS99" s="67"/>
      <c r="GT99" s="67"/>
      <c r="GU99" s="67"/>
      <c r="GV99" s="67"/>
      <c r="GW99" s="67"/>
      <c r="GX99" s="67"/>
      <c r="GY99" s="67"/>
      <c r="GZ99" s="67"/>
      <c r="HA99" s="67"/>
      <c r="HB99" s="67"/>
      <c r="HC99" s="67"/>
      <c r="HD99" s="67"/>
      <c r="HE99" s="67"/>
      <c r="HF99" s="67"/>
      <c r="HG99" s="67"/>
      <c r="HH99" s="67"/>
      <c r="HI99" s="67"/>
      <c r="HJ99" s="67"/>
      <c r="HK99" s="67"/>
      <c r="HL99" s="67"/>
      <c r="HM99" s="67"/>
      <c r="HN99" s="67"/>
      <c r="HO99" s="67"/>
      <c r="HP99" s="67"/>
      <c r="HQ99" s="67"/>
      <c r="HR99" s="67"/>
      <c r="HS99" s="67"/>
      <c r="HT99" s="67"/>
      <c r="HU99" s="66"/>
      <c r="HV99" s="67"/>
      <c r="HW99" s="67"/>
      <c r="HX99" s="67"/>
      <c r="HY99" s="67"/>
      <c r="HZ99" s="67"/>
      <c r="IA99" s="67"/>
      <c r="IB99" s="67"/>
      <c r="IC99" s="67"/>
      <c r="ID99" s="67"/>
      <c r="IE99" s="67"/>
      <c r="IF99" s="67"/>
      <c r="IG99" s="67"/>
      <c r="IH99" s="67"/>
      <c r="II99" s="67"/>
      <c r="IJ99" s="67"/>
      <c r="IK99" s="67"/>
      <c r="IL99" s="67"/>
      <c r="IM99" s="67"/>
      <c r="IN99" s="67"/>
      <c r="IO99" s="67"/>
      <c r="IP99" s="67"/>
      <c r="IQ99" s="67"/>
      <c r="IR99" s="67"/>
      <c r="IS99" s="67"/>
      <c r="IT99" s="67"/>
      <c r="IU99" s="67"/>
      <c r="IV99" s="67"/>
      <c r="IW99" s="67"/>
      <c r="IX99" s="67"/>
      <c r="IY99" s="66"/>
      <c r="IZ99" s="67"/>
      <c r="JA99" s="67"/>
      <c r="JB99" s="67"/>
      <c r="JC99" s="67"/>
      <c r="JD99" s="67"/>
      <c r="JE99" s="67"/>
      <c r="JF99" s="67"/>
      <c r="JG99" s="67"/>
      <c r="JH99" s="67"/>
      <c r="JI99" s="67"/>
      <c r="JJ99" s="67"/>
      <c r="JK99" s="67"/>
      <c r="JL99" s="67"/>
      <c r="JM99" s="67"/>
      <c r="JN99" s="67"/>
      <c r="JO99" s="67"/>
      <c r="JP99" s="67"/>
      <c r="JQ99" s="67"/>
      <c r="JR99" s="67"/>
      <c r="JS99" s="67"/>
      <c r="JT99" s="67"/>
      <c r="JU99" s="67"/>
      <c r="JV99" s="67"/>
      <c r="JW99" s="67"/>
      <c r="JX99" s="67"/>
      <c r="JY99" s="67"/>
      <c r="JZ99" s="67"/>
      <c r="KA99" s="67"/>
      <c r="KB99" s="67"/>
      <c r="KC99" s="66"/>
      <c r="KD99" s="67"/>
      <c r="KE99" s="68"/>
      <c r="KF99" s="67"/>
      <c r="KG99" s="67"/>
      <c r="KH99" s="67"/>
      <c r="KI99" s="66"/>
      <c r="KJ99" s="67"/>
      <c r="KK99" s="68"/>
      <c r="KL99" s="66"/>
      <c r="KM99" s="67"/>
      <c r="KN99" s="68"/>
      <c r="KO99" s="66"/>
      <c r="KP99" s="67"/>
      <c r="KQ99" s="68"/>
      <c r="KR99" s="67"/>
      <c r="KS99" s="67"/>
      <c r="KT99" s="67"/>
      <c r="KU99" s="66"/>
      <c r="KV99" s="67"/>
      <c r="KW99" s="68"/>
      <c r="KX99" s="67"/>
      <c r="KY99" s="67"/>
      <c r="KZ99" s="67"/>
      <c r="LA99" s="70"/>
      <c r="LB99" s="67"/>
      <c r="LC99" s="71"/>
      <c r="LD99" s="61"/>
      <c r="LE99" s="62"/>
      <c r="LF99" s="63"/>
      <c r="LG99" s="61"/>
      <c r="LH99" s="62"/>
      <c r="LI99" s="63"/>
      <c r="LJ99" s="61"/>
      <c r="LK99" s="62"/>
      <c r="LL99" s="63"/>
      <c r="LM99" s="61"/>
      <c r="LN99" s="62"/>
      <c r="LO99" s="63"/>
      <c r="LP99" s="61"/>
      <c r="LQ99" s="62"/>
      <c r="LR99" s="63"/>
      <c r="LS99" s="61"/>
      <c r="LT99" s="62"/>
      <c r="LU99" s="63"/>
      <c r="LV99" s="67"/>
      <c r="LW99" s="67"/>
      <c r="LX99" s="68"/>
      <c r="LY99" s="67"/>
      <c r="LZ99" s="67"/>
      <c r="MA99" s="67"/>
      <c r="MB99" s="66"/>
      <c r="MC99" s="67"/>
      <c r="MD99" s="68"/>
      <c r="ME99" s="67"/>
      <c r="MF99" s="67"/>
      <c r="MG99" s="67"/>
      <c r="MH99" s="66"/>
      <c r="MI99" s="67"/>
      <c r="MJ99" s="68"/>
      <c r="MK99" s="66"/>
      <c r="ML99" s="67"/>
      <c r="MM99" s="68"/>
      <c r="MN99" s="66"/>
      <c r="MO99" s="67"/>
      <c r="MP99" s="68"/>
      <c r="MQ99" s="66"/>
      <c r="MR99" s="67"/>
      <c r="MS99" s="68"/>
      <c r="MT99" s="66"/>
      <c r="MU99" s="67"/>
      <c r="MV99" s="68"/>
      <c r="MW99" s="66"/>
      <c r="MX99" s="67"/>
      <c r="MY99" s="68"/>
      <c r="MZ99" s="66"/>
      <c r="NA99" s="67"/>
      <c r="NB99" s="68"/>
      <c r="NC99" s="67"/>
      <c r="ND99" s="67"/>
      <c r="NE99" s="72"/>
      <c r="NG99" s="275"/>
      <c r="NH99" s="1"/>
      <c r="NI99" s="1"/>
      <c r="NJ99" s="1"/>
      <c r="NK99" s="1"/>
    </row>
    <row r="100" spans="4:375" s="6" customFormat="1" ht="9.9499999999999993" customHeight="1">
      <c r="F100" s="196">
        <f t="shared" ref="F100" si="395">NG100</f>
        <v>8.3000000000000001E-4</v>
      </c>
      <c r="G100" s="197">
        <f>Q100-F100</f>
        <v>0</v>
      </c>
      <c r="H100" s="27">
        <v>1</v>
      </c>
      <c r="I100" s="19" t="s">
        <v>217</v>
      </c>
      <c r="J100" s="19" t="s">
        <v>184</v>
      </c>
      <c r="K100" s="19" t="s">
        <v>219</v>
      </c>
      <c r="L100" s="339"/>
      <c r="M100" s="293" t="s">
        <v>48</v>
      </c>
      <c r="N100" s="313">
        <v>233</v>
      </c>
      <c r="O100" s="305" t="s">
        <v>295</v>
      </c>
      <c r="P100" s="307">
        <v>172464</v>
      </c>
      <c r="Q100" s="236">
        <f>ROUND(P100/$P$256,5)</f>
        <v>8.3000000000000001E-4</v>
      </c>
      <c r="R100" s="76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3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5"/>
      <c r="CA100" s="53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3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  <c r="EA100" s="54"/>
      <c r="EB100" s="54"/>
      <c r="EC100" s="54"/>
      <c r="ED100" s="54"/>
      <c r="EE100" s="54"/>
      <c r="EF100" s="54"/>
      <c r="EG100" s="54"/>
      <c r="EH100" s="54"/>
      <c r="EI100" s="54"/>
      <c r="EJ100" s="54"/>
      <c r="EK100" s="54"/>
      <c r="EL100" s="54"/>
      <c r="EM100" s="54"/>
      <c r="EN100" s="54"/>
      <c r="EO100" s="54"/>
      <c r="EP100" s="54"/>
      <c r="EQ100" s="54"/>
      <c r="ER100" s="54"/>
      <c r="ES100" s="54"/>
      <c r="ET100" s="54"/>
      <c r="EU100" s="54"/>
      <c r="EV100" s="54"/>
      <c r="EW100" s="54"/>
      <c r="EX100" s="54"/>
      <c r="EY100" s="54"/>
      <c r="EZ100" s="54"/>
      <c r="FA100" s="54"/>
      <c r="FB100" s="54"/>
      <c r="FC100" s="54"/>
      <c r="FD100" s="54"/>
      <c r="FE100" s="54"/>
      <c r="FF100" s="54"/>
      <c r="FG100" s="54"/>
      <c r="FH100" s="54"/>
      <c r="FI100" s="54"/>
      <c r="FJ100" s="54"/>
      <c r="FK100" s="54"/>
      <c r="FL100" s="54"/>
      <c r="FM100" s="53"/>
      <c r="FN100" s="54"/>
      <c r="FO100" s="54"/>
      <c r="FP100" s="54"/>
      <c r="FQ100" s="54"/>
      <c r="FR100" s="54"/>
      <c r="FS100" s="54"/>
      <c r="FT100" s="54"/>
      <c r="FU100" s="54"/>
      <c r="FV100" s="54"/>
      <c r="FW100" s="54"/>
      <c r="FX100" s="54"/>
      <c r="FY100" s="54"/>
      <c r="FZ100" s="54"/>
      <c r="GA100" s="54"/>
      <c r="GB100" s="54"/>
      <c r="GC100" s="54"/>
      <c r="GD100" s="54"/>
      <c r="GE100" s="54"/>
      <c r="GF100" s="54"/>
      <c r="GG100" s="54"/>
      <c r="GH100" s="54"/>
      <c r="GI100" s="54"/>
      <c r="GJ100" s="54"/>
      <c r="GK100" s="54"/>
      <c r="GL100" s="54"/>
      <c r="GM100" s="54"/>
      <c r="GN100" s="54"/>
      <c r="GO100" s="54"/>
      <c r="GP100" s="54"/>
      <c r="GQ100" s="54"/>
      <c r="GR100" s="54"/>
      <c r="GS100" s="54"/>
      <c r="GT100" s="54"/>
      <c r="GU100" s="54"/>
      <c r="GV100" s="54"/>
      <c r="GW100" s="54"/>
      <c r="GX100" s="54"/>
      <c r="GY100" s="54"/>
      <c r="GZ100" s="54"/>
      <c r="HA100" s="54"/>
      <c r="HB100" s="54"/>
      <c r="HC100" s="54"/>
      <c r="HD100" s="54"/>
      <c r="HE100" s="54"/>
      <c r="HF100" s="54"/>
      <c r="HG100" s="54"/>
      <c r="HH100" s="54"/>
      <c r="HI100" s="54"/>
      <c r="HJ100" s="54"/>
      <c r="HK100" s="54"/>
      <c r="HL100" s="54"/>
      <c r="HM100" s="54"/>
      <c r="HN100" s="54"/>
      <c r="HO100" s="54"/>
      <c r="HP100" s="54"/>
      <c r="HQ100" s="54"/>
      <c r="HR100" s="54"/>
      <c r="HS100" s="54"/>
      <c r="HT100" s="54"/>
      <c r="HU100" s="53"/>
      <c r="HV100" s="54"/>
      <c r="HW100" s="54"/>
      <c r="HX100" s="54"/>
      <c r="HY100" s="54"/>
      <c r="HZ100" s="54"/>
      <c r="IA100" s="54"/>
      <c r="IB100" s="54"/>
      <c r="IC100" s="54"/>
      <c r="ID100" s="54"/>
      <c r="IE100" s="54"/>
      <c r="IF100" s="54"/>
      <c r="IG100" s="54"/>
      <c r="IH100" s="54"/>
      <c r="II100" s="54"/>
      <c r="IJ100" s="54"/>
      <c r="IK100" s="54"/>
      <c r="IL100" s="54"/>
      <c r="IM100" s="54"/>
      <c r="IN100" s="54"/>
      <c r="IO100" s="54"/>
      <c r="IP100" s="54"/>
      <c r="IQ100" s="54"/>
      <c r="IR100" s="54"/>
      <c r="IS100" s="54"/>
      <c r="IT100" s="54"/>
      <c r="IU100" s="54"/>
      <c r="IV100" s="54"/>
      <c r="IW100" s="54"/>
      <c r="IX100" s="54"/>
      <c r="IY100" s="53"/>
      <c r="IZ100" s="54"/>
      <c r="JA100" s="54"/>
      <c r="JB100" s="54"/>
      <c r="JC100" s="54"/>
      <c r="JD100" s="54"/>
      <c r="JE100" s="54"/>
      <c r="JF100" s="54"/>
      <c r="JG100" s="54"/>
      <c r="JH100" s="54"/>
      <c r="JI100" s="54"/>
      <c r="JJ100" s="54"/>
      <c r="JK100" s="54"/>
      <c r="JL100" s="54"/>
      <c r="JM100" s="54"/>
      <c r="JN100" s="54"/>
      <c r="JO100" s="54"/>
      <c r="JP100" s="54"/>
      <c r="JQ100" s="54"/>
      <c r="JR100" s="54"/>
      <c r="JS100" s="54"/>
      <c r="JT100" s="54"/>
      <c r="JU100" s="54"/>
      <c r="JV100" s="54"/>
      <c r="JW100" s="54"/>
      <c r="JX100" s="54"/>
      <c r="JY100" s="54"/>
      <c r="JZ100" s="54"/>
      <c r="KA100" s="54"/>
      <c r="KB100" s="54"/>
      <c r="KC100" s="53"/>
      <c r="KD100" s="54"/>
      <c r="KE100" s="55"/>
      <c r="KF100" s="54"/>
      <c r="KG100" s="54"/>
      <c r="KH100" s="54"/>
      <c r="KI100" s="53"/>
      <c r="KJ100" s="54"/>
      <c r="KK100" s="55"/>
      <c r="KL100" s="212"/>
      <c r="KM100" s="212"/>
      <c r="KN100" s="212"/>
      <c r="KO100" s="212"/>
      <c r="KP100" s="212"/>
      <c r="KQ100" s="212"/>
      <c r="KR100" s="54"/>
      <c r="KS100" s="54"/>
      <c r="KT100" s="54"/>
      <c r="KU100" s="53"/>
      <c r="KV100" s="54"/>
      <c r="KW100" s="55"/>
      <c r="KX100" s="54"/>
      <c r="KY100" s="54"/>
      <c r="KZ100" s="54"/>
      <c r="LA100" s="211"/>
      <c r="LB100" s="212"/>
      <c r="LC100" s="213"/>
      <c r="LD100" s="220">
        <v>1E-4</v>
      </c>
      <c r="LE100" s="212"/>
      <c r="LF100" s="212"/>
      <c r="LG100" s="212">
        <v>1.4999999999999999E-4</v>
      </c>
      <c r="LH100" s="212"/>
      <c r="LI100" s="212"/>
      <c r="LJ100" s="212">
        <v>1.7000000000000001E-4</v>
      </c>
      <c r="LK100" s="212"/>
      <c r="LL100" s="212"/>
      <c r="LM100" s="212">
        <v>1.7000000000000001E-4</v>
      </c>
      <c r="LN100" s="212"/>
      <c r="LO100" s="212"/>
      <c r="LP100" s="212">
        <v>1.3999999999999999E-4</v>
      </c>
      <c r="LQ100" s="212"/>
      <c r="LR100" s="212"/>
      <c r="LS100" s="212">
        <v>1E-4</v>
      </c>
      <c r="LT100" s="212"/>
      <c r="LU100" s="212"/>
      <c r="LV100" s="54"/>
      <c r="LW100" s="54"/>
      <c r="LX100" s="55"/>
      <c r="LY100" s="54"/>
      <c r="LZ100" s="54"/>
      <c r="MA100" s="54"/>
      <c r="MB100" s="53"/>
      <c r="MC100" s="54"/>
      <c r="MD100" s="55"/>
      <c r="ME100" s="54"/>
      <c r="MF100" s="54"/>
      <c r="MG100" s="54"/>
      <c r="MH100" s="53"/>
      <c r="MI100" s="54"/>
      <c r="MJ100" s="55"/>
      <c r="MK100" s="53"/>
      <c r="ML100" s="54"/>
      <c r="MM100" s="55"/>
      <c r="MN100" s="53"/>
      <c r="MO100" s="54"/>
      <c r="MP100" s="55"/>
      <c r="MQ100" s="53"/>
      <c r="MR100" s="54"/>
      <c r="MS100" s="55"/>
      <c r="MT100" s="53"/>
      <c r="MU100" s="54"/>
      <c r="MV100" s="55"/>
      <c r="MW100" s="53"/>
      <c r="MX100" s="54"/>
      <c r="MY100" s="55"/>
      <c r="MZ100" s="53"/>
      <c r="NA100" s="54"/>
      <c r="NB100" s="55"/>
      <c r="NC100" s="54"/>
      <c r="ND100" s="54"/>
      <c r="NE100" s="59"/>
      <c r="NG100" s="275">
        <f>SUM(R100:NE100)</f>
        <v>8.3000000000000001E-4</v>
      </c>
      <c r="NH100" s="1"/>
      <c r="NI100" s="1"/>
      <c r="NJ100" s="1"/>
      <c r="NK100" s="1"/>
    </row>
    <row r="101" spans="4:375" s="6" customFormat="1" ht="6.95" customHeight="1">
      <c r="F101" s="196"/>
      <c r="G101" s="197"/>
      <c r="H101" s="52">
        <v>2</v>
      </c>
      <c r="L101" s="340"/>
      <c r="M101" s="294"/>
      <c r="N101" s="314"/>
      <c r="O101" s="306"/>
      <c r="P101" s="308"/>
      <c r="Q101" s="237"/>
      <c r="R101" s="6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39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1"/>
      <c r="CA101" s="39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39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 s="40"/>
      <c r="DT101" s="40"/>
      <c r="DU101" s="40"/>
      <c r="DV101" s="40"/>
      <c r="DW101" s="40"/>
      <c r="DX101" s="40"/>
      <c r="DY101" s="40"/>
      <c r="DZ101" s="40"/>
      <c r="EA101" s="40"/>
      <c r="EB101" s="40"/>
      <c r="EC101" s="40"/>
      <c r="ED101" s="40"/>
      <c r="EE101" s="40"/>
      <c r="EF101" s="40"/>
      <c r="EG101" s="40"/>
      <c r="EH101" s="40"/>
      <c r="EI101" s="40"/>
      <c r="EJ101" s="40"/>
      <c r="EK101" s="40"/>
      <c r="EL101" s="40"/>
      <c r="EM101" s="40"/>
      <c r="EN101" s="40"/>
      <c r="EO101" s="40"/>
      <c r="EP101" s="40"/>
      <c r="EQ101" s="40"/>
      <c r="ER101" s="40"/>
      <c r="ES101" s="40"/>
      <c r="ET101" s="40"/>
      <c r="EU101" s="40"/>
      <c r="EV101" s="40"/>
      <c r="EW101" s="40"/>
      <c r="EX101" s="40"/>
      <c r="EY101" s="40"/>
      <c r="EZ101" s="40"/>
      <c r="FA101" s="40"/>
      <c r="FB101" s="40"/>
      <c r="FC101" s="40"/>
      <c r="FD101" s="40"/>
      <c r="FE101" s="40"/>
      <c r="FF101" s="40"/>
      <c r="FG101" s="40"/>
      <c r="FH101" s="40"/>
      <c r="FI101" s="40"/>
      <c r="FJ101" s="40"/>
      <c r="FK101" s="40"/>
      <c r="FL101" s="40"/>
      <c r="FM101" s="39"/>
      <c r="FN101" s="40"/>
      <c r="FO101" s="40"/>
      <c r="FP101" s="40"/>
      <c r="FQ101" s="40"/>
      <c r="FR101" s="40"/>
      <c r="FS101" s="40"/>
      <c r="FT101" s="40"/>
      <c r="FU101" s="40"/>
      <c r="FV101" s="40"/>
      <c r="FW101" s="40"/>
      <c r="FX101" s="40"/>
      <c r="FY101" s="40"/>
      <c r="FZ101" s="40"/>
      <c r="GA101" s="40"/>
      <c r="GB101" s="40"/>
      <c r="GC101" s="40"/>
      <c r="GD101" s="40"/>
      <c r="GE101" s="40"/>
      <c r="GF101" s="40"/>
      <c r="GG101" s="40"/>
      <c r="GH101" s="40"/>
      <c r="GI101" s="40"/>
      <c r="GJ101" s="40"/>
      <c r="GK101" s="40"/>
      <c r="GL101" s="40"/>
      <c r="GM101" s="40"/>
      <c r="GN101" s="40"/>
      <c r="GO101" s="40"/>
      <c r="GP101" s="40"/>
      <c r="GQ101" s="40"/>
      <c r="GR101" s="40"/>
      <c r="GS101" s="40"/>
      <c r="GT101" s="40"/>
      <c r="GU101" s="40"/>
      <c r="GV101" s="40"/>
      <c r="GW101" s="40"/>
      <c r="GX101" s="40"/>
      <c r="GY101" s="40"/>
      <c r="GZ101" s="40"/>
      <c r="HA101" s="40"/>
      <c r="HB101" s="40"/>
      <c r="HC101" s="40"/>
      <c r="HD101" s="40"/>
      <c r="HE101" s="40"/>
      <c r="HF101" s="40"/>
      <c r="HG101" s="40"/>
      <c r="HH101" s="40"/>
      <c r="HI101" s="40"/>
      <c r="HJ101" s="40"/>
      <c r="HK101" s="40"/>
      <c r="HL101" s="40"/>
      <c r="HM101" s="40"/>
      <c r="HN101" s="40"/>
      <c r="HO101" s="40"/>
      <c r="HP101" s="40"/>
      <c r="HQ101" s="40"/>
      <c r="HR101" s="40"/>
      <c r="HS101" s="40"/>
      <c r="HT101" s="40"/>
      <c r="HU101" s="39"/>
      <c r="HV101" s="40"/>
      <c r="HW101" s="40"/>
      <c r="HX101" s="40"/>
      <c r="HY101" s="40"/>
      <c r="HZ101" s="40"/>
      <c r="IA101" s="40"/>
      <c r="IB101" s="40"/>
      <c r="IC101" s="40"/>
      <c r="ID101" s="40"/>
      <c r="IE101" s="40"/>
      <c r="IF101" s="40"/>
      <c r="IG101" s="40"/>
      <c r="IH101" s="40"/>
      <c r="II101" s="40"/>
      <c r="IJ101" s="40"/>
      <c r="IK101" s="40"/>
      <c r="IL101" s="40"/>
      <c r="IM101" s="40"/>
      <c r="IN101" s="40"/>
      <c r="IO101" s="40"/>
      <c r="IP101" s="40"/>
      <c r="IQ101" s="40"/>
      <c r="IR101" s="40"/>
      <c r="IS101" s="40"/>
      <c r="IT101" s="40"/>
      <c r="IU101" s="40"/>
      <c r="IV101" s="40"/>
      <c r="IW101" s="40"/>
      <c r="IX101" s="40"/>
      <c r="IY101" s="39"/>
      <c r="IZ101" s="40"/>
      <c r="JA101" s="40"/>
      <c r="JB101" s="40"/>
      <c r="JC101" s="40"/>
      <c r="JD101" s="40"/>
      <c r="JE101" s="40"/>
      <c r="JF101" s="40"/>
      <c r="JG101" s="40"/>
      <c r="JH101" s="40"/>
      <c r="JI101" s="40"/>
      <c r="JJ101" s="40"/>
      <c r="JK101" s="40"/>
      <c r="JL101" s="40"/>
      <c r="JM101" s="40"/>
      <c r="JN101" s="40"/>
      <c r="JO101" s="40"/>
      <c r="JP101" s="40"/>
      <c r="JQ101" s="40"/>
      <c r="JR101" s="40"/>
      <c r="JS101" s="40"/>
      <c r="JT101" s="40"/>
      <c r="JU101" s="40"/>
      <c r="JV101" s="40"/>
      <c r="JW101" s="40"/>
      <c r="JX101" s="40"/>
      <c r="JY101" s="40"/>
      <c r="JZ101" s="40"/>
      <c r="KA101" s="40"/>
      <c r="KB101" s="40"/>
      <c r="KC101" s="39"/>
      <c r="KD101" s="40"/>
      <c r="KE101" s="41"/>
      <c r="KF101" s="40"/>
      <c r="KG101" s="40"/>
      <c r="KH101" s="40"/>
      <c r="KI101" s="39"/>
      <c r="KJ101" s="40"/>
      <c r="KK101" s="41"/>
      <c r="KL101" s="39"/>
      <c r="KM101" s="40"/>
      <c r="KN101" s="41"/>
      <c r="KO101" s="39"/>
      <c r="KP101" s="40"/>
      <c r="KQ101" s="41"/>
      <c r="KR101" s="40"/>
      <c r="KS101" s="40"/>
      <c r="KT101" s="40"/>
      <c r="KU101" s="39"/>
      <c r="KV101" s="40"/>
      <c r="KW101" s="41"/>
      <c r="KX101" s="40"/>
      <c r="KY101" s="40"/>
      <c r="KZ101" s="40"/>
      <c r="LA101" s="64"/>
      <c r="LB101" s="40"/>
      <c r="LC101" s="65"/>
      <c r="LD101" s="61"/>
      <c r="LE101" s="62"/>
      <c r="LF101" s="63"/>
      <c r="LG101" s="61"/>
      <c r="LH101" s="62"/>
      <c r="LI101" s="63"/>
      <c r="LJ101" s="61"/>
      <c r="LK101" s="62"/>
      <c r="LL101" s="63"/>
      <c r="LM101" s="61"/>
      <c r="LN101" s="62"/>
      <c r="LO101" s="63"/>
      <c r="LP101" s="61"/>
      <c r="LQ101" s="62"/>
      <c r="LR101" s="63"/>
      <c r="LS101" s="61"/>
      <c r="LT101" s="62"/>
      <c r="LU101" s="63"/>
      <c r="LV101" s="40"/>
      <c r="LW101" s="40"/>
      <c r="LX101" s="41"/>
      <c r="LY101" s="40"/>
      <c r="LZ101" s="40"/>
      <c r="MA101" s="40"/>
      <c r="MB101" s="39"/>
      <c r="MC101" s="40"/>
      <c r="MD101" s="41"/>
      <c r="ME101" s="40"/>
      <c r="MF101" s="40"/>
      <c r="MG101" s="40"/>
      <c r="MH101" s="39"/>
      <c r="MI101" s="40"/>
      <c r="MJ101" s="41"/>
      <c r="MK101" s="39"/>
      <c r="ML101" s="40"/>
      <c r="MM101" s="41"/>
      <c r="MN101" s="39"/>
      <c r="MO101" s="40"/>
      <c r="MP101" s="41"/>
      <c r="MQ101" s="39"/>
      <c r="MR101" s="40"/>
      <c r="MS101" s="41"/>
      <c r="MT101" s="39"/>
      <c r="MU101" s="40"/>
      <c r="MV101" s="41"/>
      <c r="MW101" s="39"/>
      <c r="MX101" s="40"/>
      <c r="MY101" s="41"/>
      <c r="MZ101" s="39"/>
      <c r="NA101" s="40"/>
      <c r="NB101" s="41"/>
      <c r="NC101" s="40"/>
      <c r="ND101" s="40"/>
      <c r="NE101" s="42"/>
      <c r="NG101" s="275"/>
      <c r="NH101" s="1"/>
      <c r="NI101" s="1"/>
      <c r="NJ101" s="1"/>
      <c r="NK101" s="1"/>
    </row>
    <row r="102" spans="4:375" s="6" customFormat="1" ht="9.9499999999999993" customHeight="1">
      <c r="F102" s="196">
        <f t="shared" ref="F102" si="396">NG102</f>
        <v>4.0000000000000003E-5</v>
      </c>
      <c r="G102" s="197">
        <f>Q102-F102</f>
        <v>0</v>
      </c>
      <c r="H102" s="27">
        <v>1</v>
      </c>
      <c r="K102" s="6" t="s">
        <v>220</v>
      </c>
      <c r="L102" s="292"/>
      <c r="M102" s="300" t="s">
        <v>49</v>
      </c>
      <c r="N102" s="301">
        <v>41</v>
      </c>
      <c r="O102" s="310" t="s">
        <v>50</v>
      </c>
      <c r="P102" s="315">
        <v>7684</v>
      </c>
      <c r="Q102" s="236">
        <f>ROUND(P102/$P$256,5)</f>
        <v>4.0000000000000003E-5</v>
      </c>
      <c r="R102" s="89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6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8"/>
      <c r="CA102" s="66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7"/>
      <c r="DD102" s="67"/>
      <c r="DE102" s="66"/>
      <c r="DF102" s="67"/>
      <c r="DG102" s="67"/>
      <c r="DH102" s="67"/>
      <c r="DI102" s="67"/>
      <c r="DJ102" s="67"/>
      <c r="DK102" s="67"/>
      <c r="DL102" s="67"/>
      <c r="DM102" s="67"/>
      <c r="DN102" s="67"/>
      <c r="DO102" s="67"/>
      <c r="DP102" s="67"/>
      <c r="DQ102" s="67"/>
      <c r="DR102" s="67"/>
      <c r="DS102" s="67"/>
      <c r="DT102" s="67"/>
      <c r="DU102" s="67"/>
      <c r="DV102" s="67"/>
      <c r="DW102" s="67"/>
      <c r="DX102" s="67"/>
      <c r="DY102" s="67"/>
      <c r="DZ102" s="67"/>
      <c r="EA102" s="67"/>
      <c r="EB102" s="67"/>
      <c r="EC102" s="67"/>
      <c r="ED102" s="67"/>
      <c r="EE102" s="67"/>
      <c r="EF102" s="67"/>
      <c r="EG102" s="67"/>
      <c r="EH102" s="67"/>
      <c r="EI102" s="67"/>
      <c r="EJ102" s="67"/>
      <c r="EK102" s="67"/>
      <c r="EL102" s="67"/>
      <c r="EM102" s="67"/>
      <c r="EN102" s="67"/>
      <c r="EO102" s="67"/>
      <c r="EP102" s="67"/>
      <c r="EQ102" s="67"/>
      <c r="ER102" s="67"/>
      <c r="ES102" s="67"/>
      <c r="ET102" s="67"/>
      <c r="EU102" s="67"/>
      <c r="EV102" s="67"/>
      <c r="EW102" s="67"/>
      <c r="EX102" s="67"/>
      <c r="EY102" s="67"/>
      <c r="EZ102" s="67"/>
      <c r="FA102" s="67"/>
      <c r="FB102" s="67"/>
      <c r="FC102" s="67"/>
      <c r="FD102" s="67"/>
      <c r="FE102" s="67"/>
      <c r="FF102" s="67"/>
      <c r="FG102" s="67"/>
      <c r="FH102" s="67"/>
      <c r="FI102" s="67"/>
      <c r="FJ102" s="67"/>
      <c r="FK102" s="67"/>
      <c r="FL102" s="67"/>
      <c r="FM102" s="66"/>
      <c r="FN102" s="67"/>
      <c r="FO102" s="67"/>
      <c r="FP102" s="67"/>
      <c r="FQ102" s="67"/>
      <c r="FR102" s="67"/>
      <c r="FS102" s="67"/>
      <c r="FT102" s="67"/>
      <c r="FU102" s="67"/>
      <c r="FV102" s="67"/>
      <c r="FW102" s="67"/>
      <c r="FX102" s="67"/>
      <c r="FY102" s="67"/>
      <c r="FZ102" s="67"/>
      <c r="GA102" s="67"/>
      <c r="GB102" s="67"/>
      <c r="GC102" s="67"/>
      <c r="GD102" s="67"/>
      <c r="GE102" s="67"/>
      <c r="GF102" s="67"/>
      <c r="GG102" s="67"/>
      <c r="GH102" s="67"/>
      <c r="GI102" s="67"/>
      <c r="GJ102" s="67"/>
      <c r="GK102" s="67"/>
      <c r="GL102" s="67"/>
      <c r="GM102" s="67"/>
      <c r="GN102" s="67"/>
      <c r="GO102" s="67"/>
      <c r="GP102" s="67"/>
      <c r="GQ102" s="67"/>
      <c r="GR102" s="67"/>
      <c r="GS102" s="67"/>
      <c r="GT102" s="67"/>
      <c r="GU102" s="67"/>
      <c r="GV102" s="67"/>
      <c r="GW102" s="67"/>
      <c r="GX102" s="67"/>
      <c r="GY102" s="67"/>
      <c r="GZ102" s="67"/>
      <c r="HA102" s="67"/>
      <c r="HB102" s="67"/>
      <c r="HC102" s="67"/>
      <c r="HD102" s="67"/>
      <c r="HE102" s="67"/>
      <c r="HF102" s="67"/>
      <c r="HG102" s="67"/>
      <c r="HH102" s="67"/>
      <c r="HI102" s="67"/>
      <c r="HJ102" s="67"/>
      <c r="HK102" s="67"/>
      <c r="HL102" s="67"/>
      <c r="HM102" s="67"/>
      <c r="HN102" s="67"/>
      <c r="HO102" s="67"/>
      <c r="HP102" s="67"/>
      <c r="HQ102" s="67"/>
      <c r="HR102" s="67"/>
      <c r="HS102" s="67"/>
      <c r="HT102" s="67"/>
      <c r="HU102" s="66"/>
      <c r="HV102" s="67"/>
      <c r="HW102" s="67"/>
      <c r="HX102" s="67"/>
      <c r="HY102" s="67"/>
      <c r="HZ102" s="67"/>
      <c r="IA102" s="67"/>
      <c r="IB102" s="67"/>
      <c r="IC102" s="67"/>
      <c r="ID102" s="67"/>
      <c r="IE102" s="67"/>
      <c r="IF102" s="67"/>
      <c r="IG102" s="67"/>
      <c r="IH102" s="67"/>
      <c r="II102" s="67"/>
      <c r="IJ102" s="67"/>
      <c r="IK102" s="67"/>
      <c r="IL102" s="67"/>
      <c r="IM102" s="67"/>
      <c r="IN102" s="67"/>
      <c r="IO102" s="67"/>
      <c r="IP102" s="67"/>
      <c r="IQ102" s="67"/>
      <c r="IR102" s="67"/>
      <c r="IS102" s="67"/>
      <c r="IT102" s="67"/>
      <c r="IU102" s="67"/>
      <c r="IV102" s="67"/>
      <c r="IW102" s="67"/>
      <c r="IX102" s="67"/>
      <c r="IY102" s="66"/>
      <c r="IZ102" s="67"/>
      <c r="JA102" s="67"/>
      <c r="JB102" s="67"/>
      <c r="JC102" s="67"/>
      <c r="JD102" s="67"/>
      <c r="JE102" s="67"/>
      <c r="JF102" s="67"/>
      <c r="JG102" s="67"/>
      <c r="JH102" s="67"/>
      <c r="JI102" s="67"/>
      <c r="JJ102" s="67"/>
      <c r="JK102" s="67"/>
      <c r="JL102" s="67"/>
      <c r="JM102" s="67"/>
      <c r="JN102" s="67"/>
      <c r="JO102" s="67"/>
      <c r="JP102" s="67"/>
      <c r="JQ102" s="67"/>
      <c r="JR102" s="67"/>
      <c r="JS102" s="67"/>
      <c r="JT102" s="67"/>
      <c r="JU102" s="67"/>
      <c r="JV102" s="67"/>
      <c r="JW102" s="67"/>
      <c r="JX102" s="67"/>
      <c r="JY102" s="67"/>
      <c r="JZ102" s="67"/>
      <c r="KA102" s="67"/>
      <c r="KB102" s="67"/>
      <c r="KC102" s="66"/>
      <c r="KD102" s="67"/>
      <c r="KE102" s="68"/>
      <c r="KF102" s="67"/>
      <c r="KG102" s="67"/>
      <c r="KH102" s="67"/>
      <c r="KI102" s="66"/>
      <c r="KJ102" s="67"/>
      <c r="KK102" s="68"/>
      <c r="KL102" s="67"/>
      <c r="KM102" s="67"/>
      <c r="KN102" s="67"/>
      <c r="KO102" s="66"/>
      <c r="KP102" s="67"/>
      <c r="KQ102" s="68"/>
      <c r="KR102" s="67"/>
      <c r="KS102" s="67"/>
      <c r="KT102" s="67"/>
      <c r="KU102" s="66"/>
      <c r="KV102" s="67"/>
      <c r="KW102" s="68"/>
      <c r="KX102" s="67"/>
      <c r="KY102" s="67"/>
      <c r="KZ102" s="67"/>
      <c r="LA102" s="57"/>
      <c r="LB102" s="54"/>
      <c r="LC102" s="58"/>
      <c r="LD102" s="67"/>
      <c r="LE102" s="67"/>
      <c r="LF102" s="67"/>
      <c r="LG102" s="66"/>
      <c r="LH102" s="67"/>
      <c r="LI102" s="68"/>
      <c r="LJ102" s="66"/>
      <c r="LK102" s="67"/>
      <c r="LL102" s="68"/>
      <c r="LM102" s="66"/>
      <c r="LN102" s="67"/>
      <c r="LO102" s="68"/>
      <c r="LP102" s="218"/>
      <c r="LQ102" s="219"/>
      <c r="LR102" s="220"/>
      <c r="LS102" s="218">
        <v>4.0000000000000003E-5</v>
      </c>
      <c r="LT102" s="219"/>
      <c r="LU102" s="220"/>
      <c r="LV102" s="218"/>
      <c r="LW102" s="219"/>
      <c r="LX102" s="220"/>
      <c r="LY102" s="67"/>
      <c r="LZ102" s="67"/>
      <c r="MA102" s="67"/>
      <c r="MB102" s="66"/>
      <c r="MC102" s="67"/>
      <c r="MD102" s="68"/>
      <c r="ME102" s="67"/>
      <c r="MF102" s="67"/>
      <c r="MG102" s="67"/>
      <c r="MH102" s="66"/>
      <c r="MI102" s="67"/>
      <c r="MJ102" s="68"/>
      <c r="MK102" s="66"/>
      <c r="ML102" s="67"/>
      <c r="MM102" s="68"/>
      <c r="MN102" s="66"/>
      <c r="MO102" s="67"/>
      <c r="MP102" s="68"/>
      <c r="MQ102" s="66"/>
      <c r="MR102" s="67"/>
      <c r="MS102" s="68"/>
      <c r="MT102" s="66"/>
      <c r="MU102" s="67"/>
      <c r="MV102" s="68"/>
      <c r="MW102" s="66"/>
      <c r="MX102" s="67"/>
      <c r="MY102" s="68"/>
      <c r="MZ102" s="66"/>
      <c r="NA102" s="67"/>
      <c r="NB102" s="68"/>
      <c r="NC102" s="67"/>
      <c r="ND102" s="67"/>
      <c r="NE102" s="72"/>
      <c r="NG102" s="275">
        <f>SUM(R102:NE102)</f>
        <v>4.0000000000000003E-5</v>
      </c>
      <c r="NH102" s="1"/>
      <c r="NI102" s="1"/>
      <c r="NJ102" s="1"/>
      <c r="NK102" s="1"/>
    </row>
    <row r="103" spans="4:375" s="6" customFormat="1" ht="6.95" customHeight="1">
      <c r="E103" s="79"/>
      <c r="F103" s="196"/>
      <c r="G103" s="197"/>
      <c r="H103" s="52">
        <v>2</v>
      </c>
      <c r="I103" s="80"/>
      <c r="J103" s="80"/>
      <c r="L103" s="292"/>
      <c r="M103" s="300"/>
      <c r="N103" s="301"/>
      <c r="O103" s="302"/>
      <c r="P103" s="315"/>
      <c r="Q103" s="237"/>
      <c r="R103" s="73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6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8"/>
      <c r="CA103" s="66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  <c r="DD103" s="67"/>
      <c r="DE103" s="66"/>
      <c r="DF103" s="67"/>
      <c r="DG103" s="67"/>
      <c r="DH103" s="67"/>
      <c r="DI103" s="67"/>
      <c r="DJ103" s="67"/>
      <c r="DK103" s="67"/>
      <c r="DL103" s="67"/>
      <c r="DM103" s="67"/>
      <c r="DN103" s="67"/>
      <c r="DO103" s="67"/>
      <c r="DP103" s="67"/>
      <c r="DQ103" s="67"/>
      <c r="DR103" s="67"/>
      <c r="DS103" s="67"/>
      <c r="DT103" s="67"/>
      <c r="DU103" s="67"/>
      <c r="DV103" s="67"/>
      <c r="DW103" s="67"/>
      <c r="DX103" s="67"/>
      <c r="DY103" s="67"/>
      <c r="DZ103" s="67"/>
      <c r="EA103" s="67"/>
      <c r="EB103" s="67"/>
      <c r="EC103" s="67"/>
      <c r="ED103" s="67"/>
      <c r="EE103" s="67"/>
      <c r="EF103" s="67"/>
      <c r="EG103" s="67"/>
      <c r="EH103" s="67"/>
      <c r="EI103" s="67"/>
      <c r="EJ103" s="67"/>
      <c r="EK103" s="67"/>
      <c r="EL103" s="67"/>
      <c r="EM103" s="67"/>
      <c r="EN103" s="67"/>
      <c r="EO103" s="67"/>
      <c r="EP103" s="67"/>
      <c r="EQ103" s="67"/>
      <c r="ER103" s="67"/>
      <c r="ES103" s="67"/>
      <c r="ET103" s="67"/>
      <c r="EU103" s="67"/>
      <c r="EV103" s="67"/>
      <c r="EW103" s="67"/>
      <c r="EX103" s="67"/>
      <c r="EY103" s="67"/>
      <c r="EZ103" s="67"/>
      <c r="FA103" s="67"/>
      <c r="FB103" s="67"/>
      <c r="FC103" s="67"/>
      <c r="FD103" s="67"/>
      <c r="FE103" s="67"/>
      <c r="FF103" s="67"/>
      <c r="FG103" s="67"/>
      <c r="FH103" s="67"/>
      <c r="FI103" s="67"/>
      <c r="FJ103" s="67"/>
      <c r="FK103" s="67"/>
      <c r="FL103" s="67"/>
      <c r="FM103" s="66"/>
      <c r="FN103" s="67"/>
      <c r="FO103" s="67"/>
      <c r="FP103" s="67"/>
      <c r="FQ103" s="67"/>
      <c r="FR103" s="67"/>
      <c r="FS103" s="67"/>
      <c r="FT103" s="67"/>
      <c r="FU103" s="67"/>
      <c r="FV103" s="67"/>
      <c r="FW103" s="67"/>
      <c r="FX103" s="67"/>
      <c r="FY103" s="67"/>
      <c r="FZ103" s="67"/>
      <c r="GA103" s="67"/>
      <c r="GB103" s="67"/>
      <c r="GC103" s="67"/>
      <c r="GD103" s="67"/>
      <c r="GE103" s="67"/>
      <c r="GF103" s="67"/>
      <c r="GG103" s="67"/>
      <c r="GH103" s="67"/>
      <c r="GI103" s="67"/>
      <c r="GJ103" s="67"/>
      <c r="GK103" s="67"/>
      <c r="GL103" s="67"/>
      <c r="GM103" s="67"/>
      <c r="GN103" s="67"/>
      <c r="GO103" s="67"/>
      <c r="GP103" s="67"/>
      <c r="GQ103" s="67"/>
      <c r="GR103" s="67"/>
      <c r="GS103" s="67"/>
      <c r="GT103" s="67"/>
      <c r="GU103" s="67"/>
      <c r="GV103" s="67"/>
      <c r="GW103" s="67"/>
      <c r="GX103" s="67"/>
      <c r="GY103" s="67"/>
      <c r="GZ103" s="67"/>
      <c r="HA103" s="67"/>
      <c r="HB103" s="67"/>
      <c r="HC103" s="67"/>
      <c r="HD103" s="67"/>
      <c r="HE103" s="67"/>
      <c r="HF103" s="67"/>
      <c r="HG103" s="67"/>
      <c r="HH103" s="67"/>
      <c r="HI103" s="67"/>
      <c r="HJ103" s="67"/>
      <c r="HK103" s="67"/>
      <c r="HL103" s="67"/>
      <c r="HM103" s="67"/>
      <c r="HN103" s="67"/>
      <c r="HO103" s="67"/>
      <c r="HP103" s="67"/>
      <c r="HQ103" s="67"/>
      <c r="HR103" s="67"/>
      <c r="HS103" s="67"/>
      <c r="HT103" s="67"/>
      <c r="HU103" s="66"/>
      <c r="HV103" s="67"/>
      <c r="HW103" s="67"/>
      <c r="HX103" s="67"/>
      <c r="HY103" s="67"/>
      <c r="HZ103" s="67"/>
      <c r="IA103" s="67"/>
      <c r="IB103" s="67"/>
      <c r="IC103" s="67"/>
      <c r="ID103" s="67"/>
      <c r="IE103" s="67"/>
      <c r="IF103" s="67"/>
      <c r="IG103" s="67"/>
      <c r="IH103" s="67"/>
      <c r="II103" s="67"/>
      <c r="IJ103" s="67"/>
      <c r="IK103" s="67"/>
      <c r="IL103" s="67"/>
      <c r="IM103" s="67"/>
      <c r="IN103" s="67"/>
      <c r="IO103" s="67"/>
      <c r="IP103" s="67"/>
      <c r="IQ103" s="67"/>
      <c r="IR103" s="67"/>
      <c r="IS103" s="67"/>
      <c r="IT103" s="67"/>
      <c r="IU103" s="67"/>
      <c r="IV103" s="67"/>
      <c r="IW103" s="67"/>
      <c r="IX103" s="67"/>
      <c r="IY103" s="66"/>
      <c r="IZ103" s="67"/>
      <c r="JA103" s="67"/>
      <c r="JB103" s="67"/>
      <c r="JC103" s="67"/>
      <c r="JD103" s="67"/>
      <c r="JE103" s="67"/>
      <c r="JF103" s="67"/>
      <c r="JG103" s="67"/>
      <c r="JH103" s="67"/>
      <c r="JI103" s="67"/>
      <c r="JJ103" s="67"/>
      <c r="JK103" s="67"/>
      <c r="JL103" s="67"/>
      <c r="JM103" s="67"/>
      <c r="JN103" s="67"/>
      <c r="JO103" s="67"/>
      <c r="JP103" s="67"/>
      <c r="JQ103" s="67"/>
      <c r="JR103" s="67"/>
      <c r="JS103" s="67"/>
      <c r="JT103" s="67"/>
      <c r="JU103" s="67"/>
      <c r="JV103" s="67"/>
      <c r="JW103" s="67"/>
      <c r="JX103" s="67"/>
      <c r="JY103" s="67"/>
      <c r="JZ103" s="67"/>
      <c r="KA103" s="67"/>
      <c r="KB103" s="67"/>
      <c r="KC103" s="66"/>
      <c r="KD103" s="67"/>
      <c r="KE103" s="68"/>
      <c r="KF103" s="67"/>
      <c r="KG103" s="67"/>
      <c r="KH103" s="67"/>
      <c r="KI103" s="66"/>
      <c r="KJ103" s="67"/>
      <c r="KK103" s="68"/>
      <c r="KL103" s="67"/>
      <c r="KM103" s="67"/>
      <c r="KN103" s="67"/>
      <c r="KO103" s="66"/>
      <c r="KP103" s="67"/>
      <c r="KQ103" s="68"/>
      <c r="KR103" s="67"/>
      <c r="KS103" s="67"/>
      <c r="KT103" s="67"/>
      <c r="KU103" s="66"/>
      <c r="KV103" s="67"/>
      <c r="KW103" s="68"/>
      <c r="KX103" s="67"/>
      <c r="KY103" s="67"/>
      <c r="KZ103" s="67"/>
      <c r="LA103" s="64"/>
      <c r="LB103" s="40"/>
      <c r="LC103" s="65"/>
      <c r="LD103" s="67"/>
      <c r="LE103" s="67"/>
      <c r="LF103" s="67"/>
      <c r="LG103" s="66"/>
      <c r="LH103" s="67"/>
      <c r="LI103" s="68"/>
      <c r="LJ103" s="66"/>
      <c r="LK103" s="67"/>
      <c r="LL103" s="68"/>
      <c r="LM103" s="66"/>
      <c r="LN103" s="67"/>
      <c r="LO103" s="68"/>
      <c r="LP103" s="66"/>
      <c r="LQ103" s="67"/>
      <c r="LR103" s="68"/>
      <c r="LS103" s="61"/>
      <c r="LT103" s="62"/>
      <c r="LU103" s="63"/>
      <c r="LV103" s="67"/>
      <c r="LW103" s="67"/>
      <c r="LX103" s="68"/>
      <c r="LY103" s="67"/>
      <c r="LZ103" s="67"/>
      <c r="MA103" s="67"/>
      <c r="MB103" s="66"/>
      <c r="MC103" s="67"/>
      <c r="MD103" s="68"/>
      <c r="ME103" s="67"/>
      <c r="MF103" s="67"/>
      <c r="MG103" s="67"/>
      <c r="MH103" s="66"/>
      <c r="MI103" s="67"/>
      <c r="MJ103" s="68"/>
      <c r="MK103" s="66"/>
      <c r="ML103" s="67"/>
      <c r="MM103" s="68"/>
      <c r="MN103" s="66"/>
      <c r="MO103" s="67"/>
      <c r="MP103" s="68"/>
      <c r="MQ103" s="66"/>
      <c r="MR103" s="67"/>
      <c r="MS103" s="68"/>
      <c r="MT103" s="66"/>
      <c r="MU103" s="67"/>
      <c r="MV103" s="68"/>
      <c r="MW103" s="66"/>
      <c r="MX103" s="67"/>
      <c r="MY103" s="68"/>
      <c r="MZ103" s="66"/>
      <c r="NA103" s="67"/>
      <c r="NB103" s="68"/>
      <c r="NC103" s="67"/>
      <c r="ND103" s="67"/>
      <c r="NE103" s="72"/>
      <c r="NG103" s="275"/>
      <c r="NH103" s="1"/>
      <c r="NI103" s="1"/>
      <c r="NJ103" s="1"/>
      <c r="NK103" s="1"/>
    </row>
    <row r="104" spans="4:375" s="6" customFormat="1" ht="9.9499999999999993" customHeight="1">
      <c r="E104" s="80"/>
      <c r="F104" s="196">
        <f t="shared" ref="F104" si="397">NG104</f>
        <v>4.8999999999999998E-4</v>
      </c>
      <c r="G104" s="197">
        <f>Q104-F104</f>
        <v>0</v>
      </c>
      <c r="H104" s="27">
        <v>1</v>
      </c>
      <c r="I104" s="80"/>
      <c r="J104" s="80"/>
      <c r="L104" s="339"/>
      <c r="M104" s="293" t="s">
        <v>51</v>
      </c>
      <c r="N104" s="313">
        <v>9293</v>
      </c>
      <c r="O104" s="305" t="s">
        <v>15</v>
      </c>
      <c r="P104" s="307">
        <v>102032</v>
      </c>
      <c r="Q104" s="236">
        <f>ROUND(P104/$P$256,5)</f>
        <v>4.8999999999999998E-4</v>
      </c>
      <c r="R104" s="21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3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5"/>
      <c r="CA104" s="53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3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  <c r="DS104" s="54"/>
      <c r="DT104" s="54"/>
      <c r="DU104" s="54"/>
      <c r="DV104" s="54"/>
      <c r="DW104" s="54"/>
      <c r="DX104" s="54"/>
      <c r="DY104" s="54"/>
      <c r="DZ104" s="54"/>
      <c r="EA104" s="54"/>
      <c r="EB104" s="54"/>
      <c r="EC104" s="54"/>
      <c r="ED104" s="54"/>
      <c r="EE104" s="54"/>
      <c r="EF104" s="54"/>
      <c r="EG104" s="54"/>
      <c r="EH104" s="54"/>
      <c r="EI104" s="54"/>
      <c r="EJ104" s="54"/>
      <c r="EK104" s="54"/>
      <c r="EL104" s="54"/>
      <c r="EM104" s="54"/>
      <c r="EN104" s="54"/>
      <c r="EO104" s="54"/>
      <c r="EP104" s="54"/>
      <c r="EQ104" s="54"/>
      <c r="ER104" s="54"/>
      <c r="ES104" s="54"/>
      <c r="ET104" s="54"/>
      <c r="EU104" s="54"/>
      <c r="EV104" s="54"/>
      <c r="EW104" s="54"/>
      <c r="EX104" s="54"/>
      <c r="EY104" s="54"/>
      <c r="EZ104" s="54"/>
      <c r="FA104" s="54"/>
      <c r="FB104" s="54"/>
      <c r="FC104" s="54"/>
      <c r="FD104" s="54"/>
      <c r="FE104" s="54"/>
      <c r="FF104" s="54"/>
      <c r="FG104" s="54"/>
      <c r="FH104" s="54"/>
      <c r="FI104" s="54"/>
      <c r="FJ104" s="54"/>
      <c r="FK104" s="54"/>
      <c r="FL104" s="54"/>
      <c r="FM104" s="53"/>
      <c r="FN104" s="54"/>
      <c r="FO104" s="54"/>
      <c r="FP104" s="54"/>
      <c r="FQ104" s="54"/>
      <c r="FR104" s="54"/>
      <c r="FS104" s="54"/>
      <c r="FT104" s="54"/>
      <c r="FU104" s="54"/>
      <c r="FV104" s="54"/>
      <c r="FW104" s="54"/>
      <c r="FX104" s="54"/>
      <c r="FY104" s="54"/>
      <c r="FZ104" s="54"/>
      <c r="GA104" s="54"/>
      <c r="GB104" s="54"/>
      <c r="GC104" s="54"/>
      <c r="GD104" s="54"/>
      <c r="GE104" s="54"/>
      <c r="GF104" s="54"/>
      <c r="GG104" s="54"/>
      <c r="GH104" s="54"/>
      <c r="GI104" s="54"/>
      <c r="GJ104" s="54"/>
      <c r="GK104" s="54"/>
      <c r="GL104" s="54"/>
      <c r="GM104" s="54"/>
      <c r="GN104" s="54"/>
      <c r="GO104" s="54"/>
      <c r="GP104" s="54"/>
      <c r="GQ104" s="54"/>
      <c r="GR104" s="54"/>
      <c r="GS104" s="54"/>
      <c r="GT104" s="54"/>
      <c r="GU104" s="54"/>
      <c r="GV104" s="54"/>
      <c r="GW104" s="54"/>
      <c r="GX104" s="54"/>
      <c r="GY104" s="54"/>
      <c r="GZ104" s="54"/>
      <c r="HA104" s="54"/>
      <c r="HB104" s="54"/>
      <c r="HC104" s="54"/>
      <c r="HD104" s="54"/>
      <c r="HE104" s="54"/>
      <c r="HF104" s="54"/>
      <c r="HG104" s="54"/>
      <c r="HH104" s="54"/>
      <c r="HI104" s="54"/>
      <c r="HJ104" s="54"/>
      <c r="HK104" s="54"/>
      <c r="HL104" s="54"/>
      <c r="HM104" s="54"/>
      <c r="HN104" s="54"/>
      <c r="HO104" s="54"/>
      <c r="HP104" s="54"/>
      <c r="HQ104" s="54"/>
      <c r="HR104" s="54"/>
      <c r="HS104" s="54"/>
      <c r="HT104" s="54"/>
      <c r="HU104" s="53"/>
      <c r="HV104" s="54"/>
      <c r="HW104" s="54"/>
      <c r="HX104" s="54"/>
      <c r="HY104" s="54"/>
      <c r="HZ104" s="54"/>
      <c r="IA104" s="54"/>
      <c r="IB104" s="54"/>
      <c r="IC104" s="54"/>
      <c r="ID104" s="54"/>
      <c r="IE104" s="54"/>
      <c r="IF104" s="54"/>
      <c r="IG104" s="54"/>
      <c r="IH104" s="54"/>
      <c r="II104" s="54"/>
      <c r="IJ104" s="54"/>
      <c r="IK104" s="54"/>
      <c r="IL104" s="54"/>
      <c r="IM104" s="54"/>
      <c r="IN104" s="54"/>
      <c r="IO104" s="54"/>
      <c r="IP104" s="54"/>
      <c r="IQ104" s="54"/>
      <c r="IR104" s="54"/>
      <c r="IS104" s="54"/>
      <c r="IT104" s="54"/>
      <c r="IU104" s="54"/>
      <c r="IV104" s="54"/>
      <c r="IW104" s="54"/>
      <c r="IX104" s="54"/>
      <c r="IY104" s="53"/>
      <c r="IZ104" s="54"/>
      <c r="JA104" s="54"/>
      <c r="JB104" s="54"/>
      <c r="JC104" s="54"/>
      <c r="JD104" s="54"/>
      <c r="JE104" s="54"/>
      <c r="JF104" s="54"/>
      <c r="JG104" s="54"/>
      <c r="JH104" s="54"/>
      <c r="JI104" s="54"/>
      <c r="JJ104" s="54"/>
      <c r="JK104" s="54"/>
      <c r="JL104" s="54"/>
      <c r="JM104" s="54"/>
      <c r="JN104" s="54"/>
      <c r="JO104" s="54"/>
      <c r="JP104" s="54"/>
      <c r="JQ104" s="54"/>
      <c r="JR104" s="54"/>
      <c r="JS104" s="54"/>
      <c r="JT104" s="54"/>
      <c r="JU104" s="54"/>
      <c r="JV104" s="54"/>
      <c r="JW104" s="54"/>
      <c r="JX104" s="54"/>
      <c r="JY104" s="54"/>
      <c r="JZ104" s="54"/>
      <c r="KA104" s="54"/>
      <c r="KB104" s="54"/>
      <c r="KC104" s="53"/>
      <c r="KD104" s="54"/>
      <c r="KE104" s="55"/>
      <c r="KF104" s="54"/>
      <c r="KG104" s="54"/>
      <c r="KH104" s="54"/>
      <c r="KI104" s="53"/>
      <c r="KJ104" s="54"/>
      <c r="KK104" s="55"/>
      <c r="KL104" s="212"/>
      <c r="KM104" s="212"/>
      <c r="KN104" s="212"/>
      <c r="KO104" s="212"/>
      <c r="KP104" s="212"/>
      <c r="KQ104" s="212"/>
      <c r="KR104" s="54"/>
      <c r="KS104" s="54"/>
      <c r="KT104" s="54"/>
      <c r="KU104" s="53"/>
      <c r="KV104" s="54"/>
      <c r="KW104" s="55"/>
      <c r="KX104" s="54"/>
      <c r="KY104" s="54"/>
      <c r="KZ104" s="54"/>
      <c r="LA104" s="211"/>
      <c r="LB104" s="212"/>
      <c r="LC104" s="213"/>
      <c r="LD104" s="220">
        <v>4.0000000000000003E-5</v>
      </c>
      <c r="LE104" s="212"/>
      <c r="LF104" s="212"/>
      <c r="LG104" s="212">
        <v>6.0000000000000002E-5</v>
      </c>
      <c r="LH104" s="212"/>
      <c r="LI104" s="212"/>
      <c r="LJ104" s="212">
        <v>6.0000000000000002E-5</v>
      </c>
      <c r="LK104" s="212"/>
      <c r="LL104" s="212"/>
      <c r="LM104" s="212">
        <v>6.9999999999999994E-5</v>
      </c>
      <c r="LN104" s="212"/>
      <c r="LO104" s="212"/>
      <c r="LP104" s="212">
        <v>6.9999999999999994E-5</v>
      </c>
      <c r="LQ104" s="212"/>
      <c r="LR104" s="212"/>
      <c r="LS104" s="212">
        <v>6.9999999999999994E-5</v>
      </c>
      <c r="LT104" s="212"/>
      <c r="LU104" s="212"/>
      <c r="LV104" s="54"/>
      <c r="LW104" s="54"/>
      <c r="LX104" s="55"/>
      <c r="LY104" s="54"/>
      <c r="LZ104" s="54"/>
      <c r="MA104" s="54"/>
      <c r="MB104" s="53"/>
      <c r="MC104" s="54"/>
      <c r="MD104" s="55"/>
      <c r="ME104" s="212">
        <v>6.0000000000000002E-5</v>
      </c>
      <c r="MF104" s="212"/>
      <c r="MG104" s="212"/>
      <c r="MH104" s="212">
        <v>6.0000000000000002E-5</v>
      </c>
      <c r="MI104" s="212"/>
      <c r="MJ104" s="212"/>
      <c r="MK104" s="212"/>
      <c r="ML104" s="212"/>
      <c r="MM104" s="212"/>
      <c r="MN104" s="53"/>
      <c r="MO104" s="54"/>
      <c r="MP104" s="55"/>
      <c r="MQ104" s="53"/>
      <c r="MR104" s="54"/>
      <c r="MS104" s="55"/>
      <c r="MT104" s="53"/>
      <c r="MU104" s="54"/>
      <c r="MV104" s="55"/>
      <c r="MW104" s="53"/>
      <c r="MX104" s="54"/>
      <c r="MY104" s="55"/>
      <c r="MZ104" s="53"/>
      <c r="NA104" s="54"/>
      <c r="NB104" s="55"/>
      <c r="NC104" s="54"/>
      <c r="ND104" s="54"/>
      <c r="NE104" s="59"/>
      <c r="NG104" s="275">
        <f>SUM(R104:NE104)</f>
        <v>4.8999999999999998E-4</v>
      </c>
      <c r="NH104" s="1"/>
      <c r="NI104" s="1"/>
      <c r="NJ104" s="1"/>
      <c r="NK104" s="1"/>
    </row>
    <row r="105" spans="4:375" s="6" customFormat="1" ht="6.95" customHeight="1">
      <c r="E105" s="80"/>
      <c r="F105" s="196"/>
      <c r="G105" s="197"/>
      <c r="H105" s="52">
        <v>2</v>
      </c>
      <c r="I105" s="80"/>
      <c r="J105" s="80"/>
      <c r="L105" s="340"/>
      <c r="M105" s="294"/>
      <c r="N105" s="314"/>
      <c r="O105" s="306"/>
      <c r="P105" s="308"/>
      <c r="Q105" s="237"/>
      <c r="R105" s="9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39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1"/>
      <c r="CA105" s="39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40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39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 s="40"/>
      <c r="DT105" s="40"/>
      <c r="DU105" s="40"/>
      <c r="DV105" s="40"/>
      <c r="DW105" s="40"/>
      <c r="DX105" s="40"/>
      <c r="DY105" s="40"/>
      <c r="DZ105" s="40"/>
      <c r="EA105" s="40"/>
      <c r="EB105" s="40"/>
      <c r="EC105" s="40"/>
      <c r="ED105" s="40"/>
      <c r="EE105" s="40"/>
      <c r="EF105" s="40"/>
      <c r="EG105" s="40"/>
      <c r="EH105" s="40"/>
      <c r="EI105" s="40"/>
      <c r="EJ105" s="40"/>
      <c r="EK105" s="40"/>
      <c r="EL105" s="40"/>
      <c r="EM105" s="40"/>
      <c r="EN105" s="40"/>
      <c r="EO105" s="40"/>
      <c r="EP105" s="40"/>
      <c r="EQ105" s="40"/>
      <c r="ER105" s="40"/>
      <c r="ES105" s="40"/>
      <c r="ET105" s="40"/>
      <c r="EU105" s="40"/>
      <c r="EV105" s="40"/>
      <c r="EW105" s="40"/>
      <c r="EX105" s="40"/>
      <c r="EY105" s="40"/>
      <c r="EZ105" s="40"/>
      <c r="FA105" s="40"/>
      <c r="FB105" s="40"/>
      <c r="FC105" s="40"/>
      <c r="FD105" s="40"/>
      <c r="FE105" s="40"/>
      <c r="FF105" s="40"/>
      <c r="FG105" s="40"/>
      <c r="FH105" s="40"/>
      <c r="FI105" s="40"/>
      <c r="FJ105" s="40"/>
      <c r="FK105" s="40"/>
      <c r="FL105" s="40"/>
      <c r="FM105" s="39"/>
      <c r="FN105" s="40"/>
      <c r="FO105" s="40"/>
      <c r="FP105" s="40"/>
      <c r="FQ105" s="40"/>
      <c r="FR105" s="40"/>
      <c r="FS105" s="40"/>
      <c r="FT105" s="40"/>
      <c r="FU105" s="40"/>
      <c r="FV105" s="40"/>
      <c r="FW105" s="40"/>
      <c r="FX105" s="40"/>
      <c r="FY105" s="40"/>
      <c r="FZ105" s="40"/>
      <c r="GA105" s="40"/>
      <c r="GB105" s="40"/>
      <c r="GC105" s="40"/>
      <c r="GD105" s="40"/>
      <c r="GE105" s="40"/>
      <c r="GF105" s="40"/>
      <c r="GG105" s="40"/>
      <c r="GH105" s="40"/>
      <c r="GI105" s="40"/>
      <c r="GJ105" s="40"/>
      <c r="GK105" s="40"/>
      <c r="GL105" s="40"/>
      <c r="GM105" s="40"/>
      <c r="GN105" s="40"/>
      <c r="GO105" s="40"/>
      <c r="GP105" s="40"/>
      <c r="GQ105" s="40"/>
      <c r="GR105" s="40"/>
      <c r="GS105" s="40"/>
      <c r="GT105" s="40"/>
      <c r="GU105" s="40"/>
      <c r="GV105" s="40"/>
      <c r="GW105" s="40"/>
      <c r="GX105" s="40"/>
      <c r="GY105" s="40"/>
      <c r="GZ105" s="40"/>
      <c r="HA105" s="40"/>
      <c r="HB105" s="40"/>
      <c r="HC105" s="40"/>
      <c r="HD105" s="40"/>
      <c r="HE105" s="40"/>
      <c r="HF105" s="40"/>
      <c r="HG105" s="40"/>
      <c r="HH105" s="40"/>
      <c r="HI105" s="40"/>
      <c r="HJ105" s="40"/>
      <c r="HK105" s="40"/>
      <c r="HL105" s="40"/>
      <c r="HM105" s="40"/>
      <c r="HN105" s="40"/>
      <c r="HO105" s="40"/>
      <c r="HP105" s="40"/>
      <c r="HQ105" s="40"/>
      <c r="HR105" s="40"/>
      <c r="HS105" s="40"/>
      <c r="HT105" s="40"/>
      <c r="HU105" s="39"/>
      <c r="HV105" s="40"/>
      <c r="HW105" s="40"/>
      <c r="HX105" s="40"/>
      <c r="HY105" s="40"/>
      <c r="HZ105" s="40"/>
      <c r="IA105" s="40"/>
      <c r="IB105" s="40"/>
      <c r="IC105" s="40"/>
      <c r="ID105" s="40"/>
      <c r="IE105" s="40"/>
      <c r="IF105" s="40"/>
      <c r="IG105" s="40"/>
      <c r="IH105" s="40"/>
      <c r="II105" s="40"/>
      <c r="IJ105" s="40"/>
      <c r="IK105" s="40"/>
      <c r="IL105" s="40"/>
      <c r="IM105" s="40"/>
      <c r="IN105" s="40"/>
      <c r="IO105" s="40"/>
      <c r="IP105" s="40"/>
      <c r="IQ105" s="40"/>
      <c r="IR105" s="40"/>
      <c r="IS105" s="40"/>
      <c r="IT105" s="40"/>
      <c r="IU105" s="40"/>
      <c r="IV105" s="40"/>
      <c r="IW105" s="40"/>
      <c r="IX105" s="40"/>
      <c r="IY105" s="39"/>
      <c r="IZ105" s="40"/>
      <c r="JA105" s="40"/>
      <c r="JB105" s="40"/>
      <c r="JC105" s="40"/>
      <c r="JD105" s="40"/>
      <c r="JE105" s="40"/>
      <c r="JF105" s="40"/>
      <c r="JG105" s="40"/>
      <c r="JH105" s="40"/>
      <c r="JI105" s="40"/>
      <c r="JJ105" s="40"/>
      <c r="JK105" s="40"/>
      <c r="JL105" s="40"/>
      <c r="JM105" s="40"/>
      <c r="JN105" s="40"/>
      <c r="JO105" s="40"/>
      <c r="JP105" s="40"/>
      <c r="JQ105" s="40"/>
      <c r="JR105" s="40"/>
      <c r="JS105" s="40"/>
      <c r="JT105" s="40"/>
      <c r="JU105" s="40"/>
      <c r="JV105" s="40"/>
      <c r="JW105" s="40"/>
      <c r="JX105" s="40"/>
      <c r="JY105" s="40"/>
      <c r="JZ105" s="40"/>
      <c r="KA105" s="40"/>
      <c r="KB105" s="40"/>
      <c r="KC105" s="39"/>
      <c r="KD105" s="40"/>
      <c r="KE105" s="41"/>
      <c r="KF105" s="40"/>
      <c r="KG105" s="40"/>
      <c r="KH105" s="40"/>
      <c r="KI105" s="39"/>
      <c r="KJ105" s="40"/>
      <c r="KK105" s="41"/>
      <c r="KL105" s="39"/>
      <c r="KM105" s="40"/>
      <c r="KN105" s="41"/>
      <c r="KO105" s="39"/>
      <c r="KP105" s="40"/>
      <c r="KQ105" s="41"/>
      <c r="KR105" s="40"/>
      <c r="KS105" s="40"/>
      <c r="KT105" s="40"/>
      <c r="KU105" s="39"/>
      <c r="KV105" s="40"/>
      <c r="KW105" s="41"/>
      <c r="KX105" s="40"/>
      <c r="KY105" s="40"/>
      <c r="KZ105" s="40"/>
      <c r="LA105" s="64"/>
      <c r="LB105" s="40"/>
      <c r="LC105" s="65"/>
      <c r="LD105" s="61"/>
      <c r="LE105" s="62"/>
      <c r="LF105" s="63"/>
      <c r="LG105" s="61"/>
      <c r="LH105" s="62"/>
      <c r="LI105" s="63"/>
      <c r="LJ105" s="61"/>
      <c r="LK105" s="62"/>
      <c r="LL105" s="63"/>
      <c r="LM105" s="61"/>
      <c r="LN105" s="62"/>
      <c r="LO105" s="63"/>
      <c r="LP105" s="61"/>
      <c r="LQ105" s="62"/>
      <c r="LR105" s="63"/>
      <c r="LS105" s="61"/>
      <c r="LT105" s="62"/>
      <c r="LU105" s="63"/>
      <c r="LV105" s="40"/>
      <c r="LW105" s="40"/>
      <c r="LX105" s="41"/>
      <c r="LY105" s="40"/>
      <c r="LZ105" s="40"/>
      <c r="MA105" s="40"/>
      <c r="MB105" s="39"/>
      <c r="MC105" s="40"/>
      <c r="MD105" s="41"/>
      <c r="ME105" s="61"/>
      <c r="MF105" s="62"/>
      <c r="MG105" s="63"/>
      <c r="MH105" s="61"/>
      <c r="MI105" s="62"/>
      <c r="MJ105" s="63"/>
      <c r="MK105" s="39"/>
      <c r="ML105" s="40"/>
      <c r="MM105" s="41"/>
      <c r="MN105" s="39"/>
      <c r="MO105" s="40"/>
      <c r="MP105" s="41"/>
      <c r="MQ105" s="39"/>
      <c r="MR105" s="40"/>
      <c r="MS105" s="41"/>
      <c r="MT105" s="39"/>
      <c r="MU105" s="40"/>
      <c r="MV105" s="41"/>
      <c r="MW105" s="39"/>
      <c r="MX105" s="40"/>
      <c r="MY105" s="41"/>
      <c r="MZ105" s="39"/>
      <c r="NA105" s="40"/>
      <c r="NB105" s="41"/>
      <c r="NC105" s="40"/>
      <c r="ND105" s="40"/>
      <c r="NE105" s="42"/>
      <c r="NG105" s="275"/>
      <c r="NH105" s="1"/>
      <c r="NI105" s="1"/>
      <c r="NJ105" s="1"/>
      <c r="NK105" s="1"/>
    </row>
    <row r="106" spans="4:375" s="6" customFormat="1" ht="9.9499999999999993" customHeight="1">
      <c r="D106" s="10"/>
      <c r="E106" s="80"/>
      <c r="F106" s="196">
        <f t="shared" ref="F106" si="398">NG106</f>
        <v>4.7300000000000007E-3</v>
      </c>
      <c r="G106" s="197">
        <f>Q106-F106</f>
        <v>0</v>
      </c>
      <c r="H106" s="27">
        <v>1</v>
      </c>
      <c r="I106" s="80"/>
      <c r="J106" s="80"/>
      <c r="L106" s="292"/>
      <c r="M106" s="300" t="s">
        <v>140</v>
      </c>
      <c r="N106" s="301">
        <v>1</v>
      </c>
      <c r="O106" s="310" t="s">
        <v>43</v>
      </c>
      <c r="P106" s="315">
        <v>984737</v>
      </c>
      <c r="Q106" s="236">
        <f>ROUND(P106/$P$256,5)</f>
        <v>4.7299999999999998E-3</v>
      </c>
      <c r="R106" s="73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6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8"/>
      <c r="CA106" s="66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67"/>
      <c r="DD106" s="67"/>
      <c r="DE106" s="66"/>
      <c r="DF106" s="67"/>
      <c r="DG106" s="67"/>
      <c r="DH106" s="67"/>
      <c r="DI106" s="67"/>
      <c r="DJ106" s="67"/>
      <c r="DK106" s="67"/>
      <c r="DL106" s="67"/>
      <c r="DM106" s="67"/>
      <c r="DN106" s="67"/>
      <c r="DO106" s="67"/>
      <c r="DP106" s="67"/>
      <c r="DQ106" s="67"/>
      <c r="DR106" s="67"/>
      <c r="DS106" s="67"/>
      <c r="DT106" s="67"/>
      <c r="DU106" s="67"/>
      <c r="DV106" s="67"/>
      <c r="DW106" s="67"/>
      <c r="DX106" s="67"/>
      <c r="DY106" s="67"/>
      <c r="DZ106" s="67"/>
      <c r="EA106" s="67"/>
      <c r="EB106" s="67"/>
      <c r="EC106" s="67"/>
      <c r="ED106" s="67"/>
      <c r="EE106" s="67"/>
      <c r="EF106" s="67"/>
      <c r="EG106" s="67"/>
      <c r="EH106" s="67"/>
      <c r="EI106" s="67"/>
      <c r="EJ106" s="67"/>
      <c r="EK106" s="67"/>
      <c r="EL106" s="67"/>
      <c r="EM106" s="67"/>
      <c r="EN106" s="67"/>
      <c r="EO106" s="67"/>
      <c r="EP106" s="67"/>
      <c r="EQ106" s="67"/>
      <c r="ER106" s="67"/>
      <c r="ES106" s="67"/>
      <c r="ET106" s="67"/>
      <c r="EU106" s="67"/>
      <c r="EV106" s="67"/>
      <c r="EW106" s="67"/>
      <c r="EX106" s="67"/>
      <c r="EY106" s="67"/>
      <c r="EZ106" s="67"/>
      <c r="FA106" s="67"/>
      <c r="FB106" s="67"/>
      <c r="FC106" s="67"/>
      <c r="FD106" s="67"/>
      <c r="FE106" s="67"/>
      <c r="FF106" s="67"/>
      <c r="FG106" s="67"/>
      <c r="FH106" s="67"/>
      <c r="FI106" s="67"/>
      <c r="FJ106" s="67"/>
      <c r="FK106" s="67"/>
      <c r="FL106" s="67"/>
      <c r="FM106" s="66"/>
      <c r="FN106" s="67"/>
      <c r="FO106" s="67"/>
      <c r="FP106" s="67"/>
      <c r="FQ106" s="67"/>
      <c r="FR106" s="67"/>
      <c r="FS106" s="67"/>
      <c r="FT106" s="67"/>
      <c r="FU106" s="67"/>
      <c r="FV106" s="67"/>
      <c r="FW106" s="67"/>
      <c r="FX106" s="67"/>
      <c r="FY106" s="67"/>
      <c r="FZ106" s="67"/>
      <c r="GA106" s="67"/>
      <c r="GB106" s="67"/>
      <c r="GC106" s="67"/>
      <c r="GD106" s="67"/>
      <c r="GE106" s="67"/>
      <c r="GF106" s="67"/>
      <c r="GG106" s="67"/>
      <c r="GH106" s="67"/>
      <c r="GI106" s="67"/>
      <c r="GJ106" s="67"/>
      <c r="GK106" s="67"/>
      <c r="GL106" s="67"/>
      <c r="GM106" s="67"/>
      <c r="GN106" s="67"/>
      <c r="GO106" s="67"/>
      <c r="GP106" s="67"/>
      <c r="GQ106" s="67"/>
      <c r="GR106" s="67"/>
      <c r="GS106" s="67"/>
      <c r="GT106" s="67"/>
      <c r="GU106" s="67"/>
      <c r="GV106" s="67"/>
      <c r="GW106" s="67"/>
      <c r="GX106" s="67"/>
      <c r="GY106" s="67"/>
      <c r="GZ106" s="67"/>
      <c r="HA106" s="67"/>
      <c r="HB106" s="67"/>
      <c r="HC106" s="67"/>
      <c r="HD106" s="67"/>
      <c r="HE106" s="67"/>
      <c r="HF106" s="67"/>
      <c r="HG106" s="67"/>
      <c r="HH106" s="67"/>
      <c r="HI106" s="67"/>
      <c r="HJ106" s="67"/>
      <c r="HK106" s="67"/>
      <c r="HL106" s="67"/>
      <c r="HM106" s="67"/>
      <c r="HN106" s="67"/>
      <c r="HO106" s="67"/>
      <c r="HP106" s="67"/>
      <c r="HQ106" s="67"/>
      <c r="HR106" s="67"/>
      <c r="HS106" s="67"/>
      <c r="HT106" s="67"/>
      <c r="HU106" s="66"/>
      <c r="HV106" s="67"/>
      <c r="HW106" s="67"/>
      <c r="HX106" s="67"/>
      <c r="HY106" s="67"/>
      <c r="HZ106" s="67"/>
      <c r="IA106" s="67"/>
      <c r="IB106" s="67"/>
      <c r="IC106" s="67"/>
      <c r="ID106" s="67"/>
      <c r="IE106" s="67"/>
      <c r="IF106" s="67"/>
      <c r="IG106" s="67"/>
      <c r="IH106" s="67"/>
      <c r="II106" s="67"/>
      <c r="IJ106" s="67"/>
      <c r="IK106" s="67"/>
      <c r="IL106" s="67"/>
      <c r="IM106" s="67"/>
      <c r="IN106" s="67"/>
      <c r="IO106" s="67"/>
      <c r="IP106" s="67"/>
      <c r="IQ106" s="67"/>
      <c r="IR106" s="67"/>
      <c r="IS106" s="67"/>
      <c r="IT106" s="67"/>
      <c r="IU106" s="67"/>
      <c r="IV106" s="67"/>
      <c r="IW106" s="67"/>
      <c r="IX106" s="67"/>
      <c r="IY106" s="66"/>
      <c r="IZ106" s="67"/>
      <c r="JA106" s="67"/>
      <c r="JB106" s="67"/>
      <c r="JC106" s="67"/>
      <c r="JD106" s="67"/>
      <c r="JE106" s="67"/>
      <c r="JF106" s="67"/>
      <c r="JG106" s="67"/>
      <c r="JH106" s="67"/>
      <c r="JI106" s="67"/>
      <c r="JJ106" s="67"/>
      <c r="JK106" s="67"/>
      <c r="JL106" s="67"/>
      <c r="JM106" s="67"/>
      <c r="JN106" s="67"/>
      <c r="JO106" s="67"/>
      <c r="JP106" s="67"/>
      <c r="JQ106" s="67"/>
      <c r="JR106" s="67"/>
      <c r="JS106" s="67"/>
      <c r="JT106" s="67"/>
      <c r="JU106" s="67"/>
      <c r="JV106" s="67"/>
      <c r="JW106" s="67"/>
      <c r="JX106" s="67"/>
      <c r="JY106" s="67"/>
      <c r="JZ106" s="67"/>
      <c r="KA106" s="67"/>
      <c r="KB106" s="67"/>
      <c r="KC106" s="66"/>
      <c r="KD106" s="67"/>
      <c r="KE106" s="68"/>
      <c r="KF106" s="67"/>
      <c r="KG106" s="67"/>
      <c r="KH106" s="67"/>
      <c r="KI106" s="66"/>
      <c r="KJ106" s="67"/>
      <c r="KK106" s="68"/>
      <c r="KL106" s="214"/>
      <c r="KM106" s="214"/>
      <c r="KN106" s="214"/>
      <c r="KO106" s="214"/>
      <c r="KP106" s="214"/>
      <c r="KQ106" s="214"/>
      <c r="KR106" s="67"/>
      <c r="KS106" s="67"/>
      <c r="KT106" s="67"/>
      <c r="KU106" s="66"/>
      <c r="KV106" s="67"/>
      <c r="KW106" s="68"/>
      <c r="KX106" s="67"/>
      <c r="KY106" s="67"/>
      <c r="KZ106" s="67"/>
      <c r="LA106" s="233"/>
      <c r="LB106" s="214"/>
      <c r="LC106" s="234"/>
      <c r="LD106" s="220">
        <v>5.8E-4</v>
      </c>
      <c r="LE106" s="212"/>
      <c r="LF106" s="212"/>
      <c r="LG106" s="212">
        <v>8.8999999999999995E-4</v>
      </c>
      <c r="LH106" s="212"/>
      <c r="LI106" s="212"/>
      <c r="LJ106" s="212">
        <v>8.8999999999999995E-4</v>
      </c>
      <c r="LK106" s="212"/>
      <c r="LL106" s="212"/>
      <c r="LM106" s="212">
        <v>8.8000000000000003E-4</v>
      </c>
      <c r="LN106" s="212"/>
      <c r="LO106" s="212"/>
      <c r="LP106" s="212">
        <v>8.8000000000000003E-4</v>
      </c>
      <c r="LQ106" s="212"/>
      <c r="LR106" s="212"/>
      <c r="LS106" s="212">
        <v>6.0999999999999997E-4</v>
      </c>
      <c r="LT106" s="212"/>
      <c r="LU106" s="212"/>
      <c r="LV106" s="67"/>
      <c r="LW106" s="67"/>
      <c r="LX106" s="68"/>
      <c r="LY106" s="67"/>
      <c r="LZ106" s="67"/>
      <c r="MA106" s="67"/>
      <c r="MB106" s="66"/>
      <c r="MC106" s="67"/>
      <c r="MD106" s="68"/>
      <c r="ME106" s="67"/>
      <c r="MF106" s="67"/>
      <c r="MG106" s="67"/>
      <c r="MH106" s="66"/>
      <c r="MI106" s="67"/>
      <c r="MJ106" s="68"/>
      <c r="MK106" s="66"/>
      <c r="ML106" s="67"/>
      <c r="MM106" s="68"/>
      <c r="MN106" s="66"/>
      <c r="MO106" s="67"/>
      <c r="MP106" s="68"/>
      <c r="MQ106" s="66"/>
      <c r="MR106" s="67"/>
      <c r="MS106" s="68"/>
      <c r="MT106" s="66"/>
      <c r="MU106" s="67"/>
      <c r="MV106" s="68"/>
      <c r="MW106" s="66"/>
      <c r="MX106" s="67"/>
      <c r="MY106" s="68"/>
      <c r="MZ106" s="66"/>
      <c r="NA106" s="67"/>
      <c r="NB106" s="68"/>
      <c r="NC106" s="67"/>
      <c r="ND106" s="67"/>
      <c r="NE106" s="72"/>
      <c r="NG106" s="275">
        <f>SUM(R106:NE106)</f>
        <v>4.7300000000000007E-3</v>
      </c>
      <c r="NH106" s="1"/>
      <c r="NI106" s="1"/>
      <c r="NJ106" s="1"/>
      <c r="NK106" s="1"/>
    </row>
    <row r="107" spans="4:375" s="6" customFormat="1" ht="6.95" customHeight="1" thickBot="1">
      <c r="F107" s="196"/>
      <c r="G107" s="197"/>
      <c r="H107" s="52">
        <v>2</v>
      </c>
      <c r="L107" s="311"/>
      <c r="M107" s="362"/>
      <c r="N107" s="354"/>
      <c r="O107" s="351"/>
      <c r="P107" s="316"/>
      <c r="Q107" s="237"/>
      <c r="R107" s="82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4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5"/>
      <c r="CA107" s="84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4"/>
      <c r="DF107" s="83"/>
      <c r="DG107" s="83"/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3"/>
      <c r="DS107" s="83"/>
      <c r="DT107" s="83"/>
      <c r="DU107" s="83"/>
      <c r="DV107" s="83"/>
      <c r="DW107" s="83"/>
      <c r="DX107" s="83"/>
      <c r="DY107" s="83"/>
      <c r="DZ107" s="83"/>
      <c r="EA107" s="83"/>
      <c r="EB107" s="83"/>
      <c r="EC107" s="83"/>
      <c r="ED107" s="83"/>
      <c r="EE107" s="83"/>
      <c r="EF107" s="83"/>
      <c r="EG107" s="83"/>
      <c r="EH107" s="83"/>
      <c r="EI107" s="83"/>
      <c r="EJ107" s="83"/>
      <c r="EK107" s="83"/>
      <c r="EL107" s="83"/>
      <c r="EM107" s="83"/>
      <c r="EN107" s="83"/>
      <c r="EO107" s="83"/>
      <c r="EP107" s="83"/>
      <c r="EQ107" s="83"/>
      <c r="ER107" s="83"/>
      <c r="ES107" s="83"/>
      <c r="ET107" s="83"/>
      <c r="EU107" s="83"/>
      <c r="EV107" s="83"/>
      <c r="EW107" s="83"/>
      <c r="EX107" s="83"/>
      <c r="EY107" s="83"/>
      <c r="EZ107" s="83"/>
      <c r="FA107" s="83"/>
      <c r="FB107" s="83"/>
      <c r="FC107" s="83"/>
      <c r="FD107" s="83"/>
      <c r="FE107" s="83"/>
      <c r="FF107" s="83"/>
      <c r="FG107" s="83"/>
      <c r="FH107" s="83"/>
      <c r="FI107" s="83"/>
      <c r="FJ107" s="83"/>
      <c r="FK107" s="83"/>
      <c r="FL107" s="83"/>
      <c r="FM107" s="84"/>
      <c r="FN107" s="83"/>
      <c r="FO107" s="83"/>
      <c r="FP107" s="83"/>
      <c r="FQ107" s="83"/>
      <c r="FR107" s="83"/>
      <c r="FS107" s="83"/>
      <c r="FT107" s="83"/>
      <c r="FU107" s="83"/>
      <c r="FV107" s="83"/>
      <c r="FW107" s="83"/>
      <c r="FX107" s="83"/>
      <c r="FY107" s="83"/>
      <c r="FZ107" s="83"/>
      <c r="GA107" s="83"/>
      <c r="GB107" s="83"/>
      <c r="GC107" s="83"/>
      <c r="GD107" s="83"/>
      <c r="GE107" s="83"/>
      <c r="GF107" s="83"/>
      <c r="GG107" s="83"/>
      <c r="GH107" s="83"/>
      <c r="GI107" s="83"/>
      <c r="GJ107" s="83"/>
      <c r="GK107" s="83"/>
      <c r="GL107" s="83"/>
      <c r="GM107" s="83"/>
      <c r="GN107" s="83"/>
      <c r="GO107" s="83"/>
      <c r="GP107" s="83"/>
      <c r="GQ107" s="83"/>
      <c r="GR107" s="83"/>
      <c r="GS107" s="83"/>
      <c r="GT107" s="83"/>
      <c r="GU107" s="83"/>
      <c r="GV107" s="83"/>
      <c r="GW107" s="83"/>
      <c r="GX107" s="83"/>
      <c r="GY107" s="83"/>
      <c r="GZ107" s="83"/>
      <c r="HA107" s="83"/>
      <c r="HB107" s="83"/>
      <c r="HC107" s="83"/>
      <c r="HD107" s="83"/>
      <c r="HE107" s="83"/>
      <c r="HF107" s="83"/>
      <c r="HG107" s="83"/>
      <c r="HH107" s="83"/>
      <c r="HI107" s="83"/>
      <c r="HJ107" s="83"/>
      <c r="HK107" s="83"/>
      <c r="HL107" s="83"/>
      <c r="HM107" s="83"/>
      <c r="HN107" s="83"/>
      <c r="HO107" s="83"/>
      <c r="HP107" s="83"/>
      <c r="HQ107" s="83"/>
      <c r="HR107" s="83"/>
      <c r="HS107" s="83"/>
      <c r="HT107" s="83"/>
      <c r="HU107" s="84"/>
      <c r="HV107" s="83"/>
      <c r="HW107" s="83"/>
      <c r="HX107" s="83"/>
      <c r="HY107" s="83"/>
      <c r="HZ107" s="83"/>
      <c r="IA107" s="83"/>
      <c r="IB107" s="83"/>
      <c r="IC107" s="83"/>
      <c r="ID107" s="83"/>
      <c r="IE107" s="83"/>
      <c r="IF107" s="83"/>
      <c r="IG107" s="83"/>
      <c r="IH107" s="83"/>
      <c r="II107" s="83"/>
      <c r="IJ107" s="83"/>
      <c r="IK107" s="83"/>
      <c r="IL107" s="83"/>
      <c r="IM107" s="83"/>
      <c r="IN107" s="83"/>
      <c r="IO107" s="83"/>
      <c r="IP107" s="83"/>
      <c r="IQ107" s="83"/>
      <c r="IR107" s="83"/>
      <c r="IS107" s="83"/>
      <c r="IT107" s="83"/>
      <c r="IU107" s="83"/>
      <c r="IV107" s="83"/>
      <c r="IW107" s="83"/>
      <c r="IX107" s="83"/>
      <c r="IY107" s="84"/>
      <c r="IZ107" s="83"/>
      <c r="JA107" s="83"/>
      <c r="JB107" s="83"/>
      <c r="JC107" s="83"/>
      <c r="JD107" s="83"/>
      <c r="JE107" s="83"/>
      <c r="JF107" s="83"/>
      <c r="JG107" s="83"/>
      <c r="JH107" s="83"/>
      <c r="JI107" s="83"/>
      <c r="JJ107" s="83"/>
      <c r="JK107" s="83"/>
      <c r="JL107" s="83"/>
      <c r="JM107" s="83"/>
      <c r="JN107" s="83"/>
      <c r="JO107" s="83"/>
      <c r="JP107" s="83"/>
      <c r="JQ107" s="83"/>
      <c r="JR107" s="83"/>
      <c r="JS107" s="83"/>
      <c r="JT107" s="83"/>
      <c r="JU107" s="83"/>
      <c r="JV107" s="83"/>
      <c r="JW107" s="83"/>
      <c r="JX107" s="83"/>
      <c r="JY107" s="83"/>
      <c r="JZ107" s="83"/>
      <c r="KA107" s="83"/>
      <c r="KB107" s="83"/>
      <c r="KC107" s="84"/>
      <c r="KD107" s="83"/>
      <c r="KE107" s="85"/>
      <c r="KF107" s="83"/>
      <c r="KG107" s="83"/>
      <c r="KH107" s="83"/>
      <c r="KI107" s="84"/>
      <c r="KJ107" s="83"/>
      <c r="KK107" s="85"/>
      <c r="KL107" s="84"/>
      <c r="KM107" s="83"/>
      <c r="KN107" s="85"/>
      <c r="KO107" s="84"/>
      <c r="KP107" s="83"/>
      <c r="KQ107" s="85"/>
      <c r="KR107" s="83"/>
      <c r="KS107" s="83"/>
      <c r="KT107" s="83"/>
      <c r="KU107" s="84"/>
      <c r="KV107" s="83"/>
      <c r="KW107" s="85"/>
      <c r="KX107" s="83"/>
      <c r="KY107" s="83"/>
      <c r="KZ107" s="83"/>
      <c r="LA107" s="86"/>
      <c r="LB107" s="83"/>
      <c r="LC107" s="87"/>
      <c r="LD107" s="61"/>
      <c r="LE107" s="62"/>
      <c r="LF107" s="63"/>
      <c r="LG107" s="61"/>
      <c r="LH107" s="62"/>
      <c r="LI107" s="63"/>
      <c r="LJ107" s="61"/>
      <c r="LK107" s="62"/>
      <c r="LL107" s="63"/>
      <c r="LM107" s="61"/>
      <c r="LN107" s="62"/>
      <c r="LO107" s="63"/>
      <c r="LP107" s="61"/>
      <c r="LQ107" s="62"/>
      <c r="LR107" s="63"/>
      <c r="LS107" s="61"/>
      <c r="LT107" s="62"/>
      <c r="LU107" s="63"/>
      <c r="LV107" s="83"/>
      <c r="LW107" s="83"/>
      <c r="LX107" s="85"/>
      <c r="LY107" s="83"/>
      <c r="LZ107" s="83"/>
      <c r="MA107" s="83"/>
      <c r="MB107" s="84"/>
      <c r="MC107" s="83"/>
      <c r="MD107" s="85"/>
      <c r="ME107" s="83"/>
      <c r="MF107" s="83"/>
      <c r="MG107" s="83"/>
      <c r="MH107" s="84"/>
      <c r="MI107" s="83"/>
      <c r="MJ107" s="85"/>
      <c r="MK107" s="84"/>
      <c r="ML107" s="83"/>
      <c r="MM107" s="85"/>
      <c r="MN107" s="84"/>
      <c r="MO107" s="83"/>
      <c r="MP107" s="85"/>
      <c r="MQ107" s="84"/>
      <c r="MR107" s="83"/>
      <c r="MS107" s="85"/>
      <c r="MT107" s="84"/>
      <c r="MU107" s="83"/>
      <c r="MV107" s="85"/>
      <c r="MW107" s="84"/>
      <c r="MX107" s="83"/>
      <c r="MY107" s="85"/>
      <c r="MZ107" s="84"/>
      <c r="NA107" s="83"/>
      <c r="NB107" s="85"/>
      <c r="NC107" s="83"/>
      <c r="ND107" s="83"/>
      <c r="NE107" s="88"/>
      <c r="NG107" s="275"/>
      <c r="NH107" s="1"/>
      <c r="NI107" s="1"/>
      <c r="NJ107" s="1"/>
      <c r="NK107" s="1"/>
    </row>
    <row r="108" spans="4:375" s="6" customFormat="1" ht="9.9499999999999993" customHeight="1">
      <c r="F108" s="194">
        <f t="shared" ref="F108" si="399">NG108</f>
        <v>1.444E-2</v>
      </c>
      <c r="G108" s="195">
        <f>Q108-F108</f>
        <v>0</v>
      </c>
      <c r="H108" s="27">
        <v>1</v>
      </c>
      <c r="L108" s="286" t="s">
        <v>9</v>
      </c>
      <c r="M108" s="287"/>
      <c r="N108" s="287"/>
      <c r="O108" s="288"/>
      <c r="P108" s="240">
        <f>SUM(P110:P133)</f>
        <v>3005799</v>
      </c>
      <c r="Q108" s="238">
        <f>ROUND(SUM(Q110:Q133),5)</f>
        <v>1.444E-2</v>
      </c>
      <c r="R108" s="238">
        <f>ROUND(SUM(R110:R133),5)</f>
        <v>0</v>
      </c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8"/>
      <c r="AW108" s="176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  <c r="BV108" s="137"/>
      <c r="BW108" s="137"/>
      <c r="BX108" s="137"/>
      <c r="BY108" s="137"/>
      <c r="BZ108" s="138"/>
      <c r="CA108" s="176"/>
      <c r="CB108" s="137"/>
      <c r="CC108" s="137"/>
      <c r="CD108" s="137"/>
      <c r="CE108" s="137"/>
      <c r="CF108" s="137"/>
      <c r="CG108" s="137"/>
      <c r="CH108" s="137"/>
      <c r="CI108" s="137"/>
      <c r="CJ108" s="137"/>
      <c r="CK108" s="137"/>
      <c r="CL108" s="137"/>
      <c r="CM108" s="137"/>
      <c r="CN108" s="137"/>
      <c r="CO108" s="137"/>
      <c r="CP108" s="137"/>
      <c r="CQ108" s="137"/>
      <c r="CR108" s="137"/>
      <c r="CS108" s="137"/>
      <c r="CT108" s="137"/>
      <c r="CU108" s="137"/>
      <c r="CV108" s="137"/>
      <c r="CW108" s="137"/>
      <c r="CX108" s="137"/>
      <c r="CY108" s="137"/>
      <c r="CZ108" s="137"/>
      <c r="DA108" s="137"/>
      <c r="DB108" s="137"/>
      <c r="DC108" s="137"/>
      <c r="DD108" s="137"/>
      <c r="DE108" s="176"/>
      <c r="DF108" s="137"/>
      <c r="DG108" s="137"/>
      <c r="DH108" s="137"/>
      <c r="DI108" s="137"/>
      <c r="DJ108" s="137"/>
      <c r="DK108" s="137"/>
      <c r="DL108" s="137"/>
      <c r="DM108" s="137"/>
      <c r="DN108" s="137"/>
      <c r="DO108" s="137"/>
      <c r="DP108" s="137"/>
      <c r="DQ108" s="137"/>
      <c r="DR108" s="137"/>
      <c r="DS108" s="137"/>
      <c r="DT108" s="137"/>
      <c r="DU108" s="137"/>
      <c r="DV108" s="137"/>
      <c r="DW108" s="137"/>
      <c r="DX108" s="137"/>
      <c r="DY108" s="137"/>
      <c r="DZ108" s="137"/>
      <c r="EA108" s="137"/>
      <c r="EB108" s="137"/>
      <c r="EC108" s="137"/>
      <c r="ED108" s="137"/>
      <c r="EE108" s="137"/>
      <c r="EF108" s="137"/>
      <c r="EG108" s="137"/>
      <c r="EH108" s="137"/>
      <c r="EI108" s="176"/>
      <c r="EJ108" s="137"/>
      <c r="EK108" s="137"/>
      <c r="EL108" s="137"/>
      <c r="EM108" s="137"/>
      <c r="EN108" s="137"/>
      <c r="EO108" s="137"/>
      <c r="EP108" s="137"/>
      <c r="EQ108" s="137"/>
      <c r="ER108" s="137"/>
      <c r="ES108" s="137"/>
      <c r="ET108" s="137"/>
      <c r="EU108" s="137"/>
      <c r="EV108" s="137"/>
      <c r="EW108" s="137"/>
      <c r="EX108" s="137"/>
      <c r="EY108" s="137"/>
      <c r="EZ108" s="137"/>
      <c r="FA108" s="137"/>
      <c r="FB108" s="137"/>
      <c r="FC108" s="137"/>
      <c r="FD108" s="137"/>
      <c r="FE108" s="137"/>
      <c r="FF108" s="137"/>
      <c r="FG108" s="137"/>
      <c r="FH108" s="137"/>
      <c r="FI108" s="137"/>
      <c r="FJ108" s="137"/>
      <c r="FK108" s="137"/>
      <c r="FL108" s="137"/>
      <c r="FM108" s="176"/>
      <c r="FN108" s="137"/>
      <c r="FO108" s="137"/>
      <c r="FP108" s="137"/>
      <c r="FQ108" s="137"/>
      <c r="FR108" s="137"/>
      <c r="FS108" s="137"/>
      <c r="FT108" s="137"/>
      <c r="FU108" s="137"/>
      <c r="FV108" s="137"/>
      <c r="FW108" s="137"/>
      <c r="FX108" s="137"/>
      <c r="FY108" s="137"/>
      <c r="FZ108" s="137"/>
      <c r="GA108" s="137"/>
      <c r="GB108" s="137"/>
      <c r="GC108" s="137"/>
      <c r="GD108" s="137"/>
      <c r="GE108" s="137"/>
      <c r="GF108" s="137"/>
      <c r="GG108" s="137"/>
      <c r="GH108" s="137"/>
      <c r="GI108" s="137"/>
      <c r="GJ108" s="137"/>
      <c r="GK108" s="137"/>
      <c r="GL108" s="137"/>
      <c r="GM108" s="137"/>
      <c r="GN108" s="137"/>
      <c r="GO108" s="137"/>
      <c r="GP108" s="137"/>
      <c r="GQ108" s="176"/>
      <c r="GR108" s="137"/>
      <c r="GS108" s="137"/>
      <c r="GT108" s="137"/>
      <c r="GU108" s="137"/>
      <c r="GV108" s="137"/>
      <c r="GW108" s="137"/>
      <c r="GX108" s="137"/>
      <c r="GY108" s="137"/>
      <c r="GZ108" s="137"/>
      <c r="HA108" s="137"/>
      <c r="HB108" s="137"/>
      <c r="HC108" s="137"/>
      <c r="HD108" s="137"/>
      <c r="HE108" s="137"/>
      <c r="HF108" s="137"/>
      <c r="HG108" s="137"/>
      <c r="HH108" s="137"/>
      <c r="HI108" s="137"/>
      <c r="HJ108" s="137"/>
      <c r="HK108" s="137"/>
      <c r="HL108" s="137"/>
      <c r="HM108" s="137"/>
      <c r="HN108" s="137"/>
      <c r="HO108" s="137"/>
      <c r="HP108" s="137"/>
      <c r="HQ108" s="137"/>
      <c r="HR108" s="137"/>
      <c r="HS108" s="137"/>
      <c r="HT108" s="137"/>
      <c r="HU108" s="176"/>
      <c r="HV108" s="137"/>
      <c r="HW108" s="137"/>
      <c r="HX108" s="137"/>
      <c r="HY108" s="137"/>
      <c r="HZ108" s="137"/>
      <c r="IA108" s="137"/>
      <c r="IB108" s="137"/>
      <c r="IC108" s="137"/>
      <c r="ID108" s="137"/>
      <c r="IE108" s="137"/>
      <c r="IF108" s="137"/>
      <c r="IG108" s="137"/>
      <c r="IH108" s="137"/>
      <c r="II108" s="137"/>
      <c r="IJ108" s="137"/>
      <c r="IK108" s="137"/>
      <c r="IL108" s="137"/>
      <c r="IM108" s="137"/>
      <c r="IN108" s="137"/>
      <c r="IO108" s="137"/>
      <c r="IP108" s="137"/>
      <c r="IQ108" s="137"/>
      <c r="IR108" s="137"/>
      <c r="IS108" s="137"/>
      <c r="IT108" s="137"/>
      <c r="IU108" s="137"/>
      <c r="IV108" s="137"/>
      <c r="IW108" s="137"/>
      <c r="IX108" s="137"/>
      <c r="IY108" s="176"/>
      <c r="IZ108" s="137"/>
      <c r="JA108" s="137"/>
      <c r="JB108" s="137"/>
      <c r="JC108" s="137"/>
      <c r="JD108" s="137"/>
      <c r="JE108" s="137"/>
      <c r="JF108" s="137"/>
      <c r="JG108" s="137"/>
      <c r="JH108" s="137"/>
      <c r="JI108" s="137"/>
      <c r="JJ108" s="137"/>
      <c r="JK108" s="137"/>
      <c r="JL108" s="137"/>
      <c r="JM108" s="137"/>
      <c r="JN108" s="137"/>
      <c r="JO108" s="137"/>
      <c r="JP108" s="137"/>
      <c r="JQ108" s="137"/>
      <c r="JR108" s="137"/>
      <c r="JS108" s="137"/>
      <c r="JT108" s="137"/>
      <c r="JU108" s="137"/>
      <c r="JV108" s="137"/>
      <c r="JW108" s="137"/>
      <c r="JX108" s="137"/>
      <c r="JY108" s="137"/>
      <c r="JZ108" s="137"/>
      <c r="KA108" s="137"/>
      <c r="KB108" s="137"/>
      <c r="KC108" s="205">
        <f>ROUND(SUM(KC110:KE133),5)</f>
        <v>0</v>
      </c>
      <c r="KD108" s="206"/>
      <c r="KE108" s="207"/>
      <c r="KF108" s="205">
        <f>ROUND(SUM(KF110:KH133),5)</f>
        <v>0</v>
      </c>
      <c r="KG108" s="206"/>
      <c r="KH108" s="207"/>
      <c r="KI108" s="205">
        <f>ROUND(SUM(KI110:KK133),5)</f>
        <v>0</v>
      </c>
      <c r="KJ108" s="206"/>
      <c r="KK108" s="207"/>
      <c r="KL108" s="205">
        <f>ROUND(SUM(KL110:KN133),5)</f>
        <v>0</v>
      </c>
      <c r="KM108" s="206"/>
      <c r="KN108" s="207"/>
      <c r="KO108" s="205">
        <f>ROUND(SUM(KO110:KQ133),5)</f>
        <v>0</v>
      </c>
      <c r="KP108" s="206"/>
      <c r="KQ108" s="207"/>
      <c r="KR108" s="205">
        <f>ROUND(SUM(KR110:KT133),5)</f>
        <v>0</v>
      </c>
      <c r="KS108" s="206"/>
      <c r="KT108" s="207"/>
      <c r="KU108" s="205">
        <f>ROUND(SUM(KU110:KW133),5)</f>
        <v>0</v>
      </c>
      <c r="KV108" s="206"/>
      <c r="KW108" s="207"/>
      <c r="KX108" s="205">
        <f>ROUND(SUM(KX110:KZ133),5)</f>
        <v>0</v>
      </c>
      <c r="KY108" s="206"/>
      <c r="KZ108" s="206"/>
      <c r="LA108" s="229">
        <f>ROUND(SUM(LA110:LC133),5)</f>
        <v>0</v>
      </c>
      <c r="LB108" s="206"/>
      <c r="LC108" s="230"/>
      <c r="LD108" s="206">
        <f>ROUND(SUM(LD110:LF133),5)</f>
        <v>0</v>
      </c>
      <c r="LE108" s="206"/>
      <c r="LF108" s="207"/>
      <c r="LG108" s="205">
        <f>ROUND(SUM(LG110:LI133),5)</f>
        <v>7.2999999999999996E-4</v>
      </c>
      <c r="LH108" s="206"/>
      <c r="LI108" s="207"/>
      <c r="LJ108" s="205">
        <f>ROUND(SUM(LJ110:LL133),5)</f>
        <v>1.2800000000000001E-3</v>
      </c>
      <c r="LK108" s="206"/>
      <c r="LL108" s="207"/>
      <c r="LM108" s="205">
        <f>ROUND(SUM(LM110:LO133),5)</f>
        <v>2.5899999999999999E-3</v>
      </c>
      <c r="LN108" s="206"/>
      <c r="LO108" s="207"/>
      <c r="LP108" s="205">
        <f>ROUND(SUM(LP110:LR133),5)</f>
        <v>3.0100000000000001E-3</v>
      </c>
      <c r="LQ108" s="206"/>
      <c r="LR108" s="207"/>
      <c r="LS108" s="205">
        <f>ROUND(SUM(LS110:LU133),5)</f>
        <v>2.8400000000000001E-3</v>
      </c>
      <c r="LT108" s="206"/>
      <c r="LU108" s="207"/>
      <c r="LV108" s="205">
        <f>ROUND(SUM(LV110:LX133),5)</f>
        <v>2.81E-3</v>
      </c>
      <c r="LW108" s="206"/>
      <c r="LX108" s="207"/>
      <c r="LY108" s="205">
        <f>ROUND(SUM(LY110:MA133),5)</f>
        <v>9.3999999999999997E-4</v>
      </c>
      <c r="LZ108" s="206"/>
      <c r="MA108" s="207"/>
      <c r="MB108" s="205">
        <f>ROUND(SUM(MB110:MD133),5)</f>
        <v>0</v>
      </c>
      <c r="MC108" s="206"/>
      <c r="MD108" s="207"/>
      <c r="ME108" s="205">
        <f>ROUND(SUM(ME110:MG133),5)</f>
        <v>0</v>
      </c>
      <c r="MF108" s="206"/>
      <c r="MG108" s="207"/>
      <c r="MH108" s="205">
        <f>ROUND(SUM(MH110:MJ133),5)</f>
        <v>0</v>
      </c>
      <c r="MI108" s="206"/>
      <c r="MJ108" s="207"/>
      <c r="MK108" s="205">
        <f>ROUND(SUM(MK110:MM133),5)</f>
        <v>2.2000000000000001E-4</v>
      </c>
      <c r="ML108" s="206"/>
      <c r="MM108" s="207"/>
      <c r="MN108" s="205">
        <f>ROUND(SUM(MN110:MP133),5)</f>
        <v>0</v>
      </c>
      <c r="MO108" s="206"/>
      <c r="MP108" s="207"/>
      <c r="MQ108" s="205">
        <f>ROUND(SUM(MQ110:MS133),5)</f>
        <v>0</v>
      </c>
      <c r="MR108" s="206"/>
      <c r="MS108" s="207"/>
      <c r="MT108" s="205">
        <f>ROUND(SUM(MT110:MV133),5)</f>
        <v>0</v>
      </c>
      <c r="MU108" s="206"/>
      <c r="MV108" s="207"/>
      <c r="MW108" s="205">
        <f>ROUND(SUM(MW110:MY133),5)</f>
        <v>0</v>
      </c>
      <c r="MX108" s="206"/>
      <c r="MY108" s="207"/>
      <c r="MZ108" s="205">
        <f>ROUND(SUM(MZ110:NB133),5)</f>
        <v>0</v>
      </c>
      <c r="NA108" s="206"/>
      <c r="NB108" s="207"/>
      <c r="NC108" s="205">
        <f>ROUND(SUM(NC110:NE133),5)</f>
        <v>2.0000000000000002E-5</v>
      </c>
      <c r="ND108" s="206"/>
      <c r="NE108" s="223"/>
      <c r="NG108" s="198">
        <f>SUM(R108:NE108)</f>
        <v>1.444E-2</v>
      </c>
      <c r="NH108" s="198">
        <f>SUM(NG110:NG133)</f>
        <v>1.444E-2</v>
      </c>
      <c r="NI108" s="1"/>
      <c r="NJ108" s="1"/>
      <c r="NK108" s="1"/>
    </row>
    <row r="109" spans="4:375" s="6" customFormat="1" ht="9.9499999999999993" customHeight="1">
      <c r="F109" s="194"/>
      <c r="G109" s="195"/>
      <c r="H109" s="52">
        <v>2</v>
      </c>
      <c r="L109" s="389"/>
      <c r="M109" s="290"/>
      <c r="N109" s="290"/>
      <c r="O109" s="291"/>
      <c r="P109" s="241"/>
      <c r="Q109" s="239"/>
      <c r="R109" s="2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139"/>
      <c r="AD109" s="139"/>
      <c r="AE109" s="139"/>
      <c r="AF109" s="139"/>
      <c r="AG109" s="139"/>
      <c r="AH109" s="139"/>
      <c r="AI109" s="139"/>
      <c r="AJ109" s="139"/>
      <c r="AK109" s="139"/>
      <c r="AL109" s="139"/>
      <c r="AM109" s="139"/>
      <c r="AN109" s="139"/>
      <c r="AO109" s="139"/>
      <c r="AP109" s="139"/>
      <c r="AQ109" s="139"/>
      <c r="AR109" s="139"/>
      <c r="AS109" s="139"/>
      <c r="AT109" s="139"/>
      <c r="AU109" s="139"/>
      <c r="AV109" s="140"/>
      <c r="AW109" s="177"/>
      <c r="AX109" s="139"/>
      <c r="AY109" s="139"/>
      <c r="AZ109" s="139"/>
      <c r="BA109" s="139"/>
      <c r="BB109" s="139"/>
      <c r="BC109" s="139"/>
      <c r="BD109" s="139"/>
      <c r="BE109" s="139"/>
      <c r="BF109" s="139"/>
      <c r="BG109" s="139"/>
      <c r="BH109" s="139"/>
      <c r="BI109" s="139"/>
      <c r="BJ109" s="139"/>
      <c r="BK109" s="139"/>
      <c r="BL109" s="139"/>
      <c r="BM109" s="139"/>
      <c r="BN109" s="139"/>
      <c r="BO109" s="139"/>
      <c r="BP109" s="139"/>
      <c r="BQ109" s="139"/>
      <c r="BR109" s="139"/>
      <c r="BS109" s="139"/>
      <c r="BT109" s="139"/>
      <c r="BU109" s="139"/>
      <c r="BV109" s="139"/>
      <c r="BW109" s="139"/>
      <c r="BX109" s="139"/>
      <c r="BY109" s="139"/>
      <c r="BZ109" s="140"/>
      <c r="CA109" s="177"/>
      <c r="CB109" s="139"/>
      <c r="CC109" s="139"/>
      <c r="CD109" s="139"/>
      <c r="CE109" s="139"/>
      <c r="CF109" s="139"/>
      <c r="CG109" s="139"/>
      <c r="CH109" s="139"/>
      <c r="CI109" s="139"/>
      <c r="CJ109" s="139"/>
      <c r="CK109" s="139"/>
      <c r="CL109" s="139"/>
      <c r="CM109" s="139"/>
      <c r="CN109" s="139"/>
      <c r="CO109" s="139"/>
      <c r="CP109" s="139"/>
      <c r="CQ109" s="139"/>
      <c r="CR109" s="139"/>
      <c r="CS109" s="139"/>
      <c r="CT109" s="139"/>
      <c r="CU109" s="139"/>
      <c r="CV109" s="139"/>
      <c r="CW109" s="139"/>
      <c r="CX109" s="139"/>
      <c r="CY109" s="139"/>
      <c r="CZ109" s="139"/>
      <c r="DA109" s="139"/>
      <c r="DB109" s="139"/>
      <c r="DC109" s="139"/>
      <c r="DD109" s="139"/>
      <c r="DE109" s="177"/>
      <c r="DF109" s="139"/>
      <c r="DG109" s="139"/>
      <c r="DH109" s="139"/>
      <c r="DI109" s="139"/>
      <c r="DJ109" s="139"/>
      <c r="DK109" s="139"/>
      <c r="DL109" s="139"/>
      <c r="DM109" s="139"/>
      <c r="DN109" s="139"/>
      <c r="DO109" s="139"/>
      <c r="DP109" s="139"/>
      <c r="DQ109" s="139"/>
      <c r="DR109" s="139"/>
      <c r="DS109" s="139"/>
      <c r="DT109" s="139"/>
      <c r="DU109" s="139"/>
      <c r="DV109" s="139"/>
      <c r="DW109" s="139"/>
      <c r="DX109" s="139"/>
      <c r="DY109" s="139"/>
      <c r="DZ109" s="139"/>
      <c r="EA109" s="139"/>
      <c r="EB109" s="139"/>
      <c r="EC109" s="139"/>
      <c r="ED109" s="139"/>
      <c r="EE109" s="139"/>
      <c r="EF109" s="139"/>
      <c r="EG109" s="139"/>
      <c r="EH109" s="139"/>
      <c r="EI109" s="177"/>
      <c r="EJ109" s="139"/>
      <c r="EK109" s="139"/>
      <c r="EL109" s="139"/>
      <c r="EM109" s="139"/>
      <c r="EN109" s="139"/>
      <c r="EO109" s="139"/>
      <c r="EP109" s="139"/>
      <c r="EQ109" s="139"/>
      <c r="ER109" s="139"/>
      <c r="ES109" s="139"/>
      <c r="ET109" s="139"/>
      <c r="EU109" s="139"/>
      <c r="EV109" s="139"/>
      <c r="EW109" s="139"/>
      <c r="EX109" s="139"/>
      <c r="EY109" s="139"/>
      <c r="EZ109" s="139"/>
      <c r="FA109" s="139"/>
      <c r="FB109" s="139"/>
      <c r="FC109" s="139"/>
      <c r="FD109" s="139"/>
      <c r="FE109" s="139"/>
      <c r="FF109" s="139"/>
      <c r="FG109" s="139"/>
      <c r="FH109" s="139"/>
      <c r="FI109" s="139"/>
      <c r="FJ109" s="139"/>
      <c r="FK109" s="139"/>
      <c r="FL109" s="139"/>
      <c r="FM109" s="177"/>
      <c r="FN109" s="139"/>
      <c r="FO109" s="139"/>
      <c r="FP109" s="139"/>
      <c r="FQ109" s="139"/>
      <c r="FR109" s="139"/>
      <c r="FS109" s="139"/>
      <c r="FT109" s="139"/>
      <c r="FU109" s="139"/>
      <c r="FV109" s="139"/>
      <c r="FW109" s="139"/>
      <c r="FX109" s="139"/>
      <c r="FY109" s="139"/>
      <c r="FZ109" s="139"/>
      <c r="GA109" s="139"/>
      <c r="GB109" s="139"/>
      <c r="GC109" s="139"/>
      <c r="GD109" s="139"/>
      <c r="GE109" s="139"/>
      <c r="GF109" s="139"/>
      <c r="GG109" s="139"/>
      <c r="GH109" s="139"/>
      <c r="GI109" s="139"/>
      <c r="GJ109" s="139"/>
      <c r="GK109" s="139"/>
      <c r="GL109" s="139"/>
      <c r="GM109" s="139"/>
      <c r="GN109" s="139"/>
      <c r="GO109" s="139"/>
      <c r="GP109" s="139"/>
      <c r="GQ109" s="177"/>
      <c r="GR109" s="139"/>
      <c r="GS109" s="139"/>
      <c r="GT109" s="139"/>
      <c r="GU109" s="139"/>
      <c r="GV109" s="139"/>
      <c r="GW109" s="139"/>
      <c r="GX109" s="139"/>
      <c r="GY109" s="139"/>
      <c r="GZ109" s="139"/>
      <c r="HA109" s="139"/>
      <c r="HB109" s="139"/>
      <c r="HC109" s="139"/>
      <c r="HD109" s="139"/>
      <c r="HE109" s="139"/>
      <c r="HF109" s="139"/>
      <c r="HG109" s="139"/>
      <c r="HH109" s="139"/>
      <c r="HI109" s="139"/>
      <c r="HJ109" s="139"/>
      <c r="HK109" s="139"/>
      <c r="HL109" s="139"/>
      <c r="HM109" s="139"/>
      <c r="HN109" s="139"/>
      <c r="HO109" s="139"/>
      <c r="HP109" s="139"/>
      <c r="HQ109" s="139"/>
      <c r="HR109" s="139"/>
      <c r="HS109" s="139"/>
      <c r="HT109" s="139"/>
      <c r="HU109" s="177"/>
      <c r="HV109" s="139"/>
      <c r="HW109" s="139"/>
      <c r="HX109" s="139"/>
      <c r="HY109" s="139"/>
      <c r="HZ109" s="139"/>
      <c r="IA109" s="139"/>
      <c r="IB109" s="139"/>
      <c r="IC109" s="139"/>
      <c r="ID109" s="139"/>
      <c r="IE109" s="139"/>
      <c r="IF109" s="139"/>
      <c r="IG109" s="139"/>
      <c r="IH109" s="139"/>
      <c r="II109" s="139"/>
      <c r="IJ109" s="139"/>
      <c r="IK109" s="139"/>
      <c r="IL109" s="139"/>
      <c r="IM109" s="139"/>
      <c r="IN109" s="139"/>
      <c r="IO109" s="139"/>
      <c r="IP109" s="139"/>
      <c r="IQ109" s="139"/>
      <c r="IR109" s="139"/>
      <c r="IS109" s="139"/>
      <c r="IT109" s="139"/>
      <c r="IU109" s="139"/>
      <c r="IV109" s="139"/>
      <c r="IW109" s="139"/>
      <c r="IX109" s="139"/>
      <c r="IY109" s="177"/>
      <c r="IZ109" s="139"/>
      <c r="JA109" s="139"/>
      <c r="JB109" s="139"/>
      <c r="JC109" s="139"/>
      <c r="JD109" s="139"/>
      <c r="JE109" s="139"/>
      <c r="JF109" s="139"/>
      <c r="JG109" s="139"/>
      <c r="JH109" s="139"/>
      <c r="JI109" s="139"/>
      <c r="JJ109" s="139"/>
      <c r="JK109" s="139"/>
      <c r="JL109" s="139"/>
      <c r="JM109" s="139"/>
      <c r="JN109" s="139"/>
      <c r="JO109" s="139"/>
      <c r="JP109" s="139"/>
      <c r="JQ109" s="139"/>
      <c r="JR109" s="139"/>
      <c r="JS109" s="139"/>
      <c r="JT109" s="139"/>
      <c r="JU109" s="139"/>
      <c r="JV109" s="139"/>
      <c r="JW109" s="139"/>
      <c r="JX109" s="139"/>
      <c r="JY109" s="139"/>
      <c r="JZ109" s="139"/>
      <c r="KA109" s="139"/>
      <c r="KB109" s="139"/>
      <c r="KC109" s="208"/>
      <c r="KD109" s="209"/>
      <c r="KE109" s="210"/>
      <c r="KF109" s="208"/>
      <c r="KG109" s="209"/>
      <c r="KH109" s="210"/>
      <c r="KI109" s="208"/>
      <c r="KJ109" s="209"/>
      <c r="KK109" s="210"/>
      <c r="KL109" s="208"/>
      <c r="KM109" s="209"/>
      <c r="KN109" s="210"/>
      <c r="KO109" s="208"/>
      <c r="KP109" s="209"/>
      <c r="KQ109" s="210"/>
      <c r="KR109" s="208"/>
      <c r="KS109" s="209"/>
      <c r="KT109" s="210"/>
      <c r="KU109" s="208"/>
      <c r="KV109" s="209"/>
      <c r="KW109" s="210"/>
      <c r="KX109" s="208"/>
      <c r="KY109" s="209"/>
      <c r="KZ109" s="209"/>
      <c r="LA109" s="231"/>
      <c r="LB109" s="209"/>
      <c r="LC109" s="232"/>
      <c r="LD109" s="209"/>
      <c r="LE109" s="209"/>
      <c r="LF109" s="210"/>
      <c r="LG109" s="208"/>
      <c r="LH109" s="209"/>
      <c r="LI109" s="210"/>
      <c r="LJ109" s="208"/>
      <c r="LK109" s="209"/>
      <c r="LL109" s="210"/>
      <c r="LM109" s="208"/>
      <c r="LN109" s="209"/>
      <c r="LO109" s="210"/>
      <c r="LP109" s="208"/>
      <c r="LQ109" s="209"/>
      <c r="LR109" s="210"/>
      <c r="LS109" s="208"/>
      <c r="LT109" s="209"/>
      <c r="LU109" s="210"/>
      <c r="LV109" s="208"/>
      <c r="LW109" s="209"/>
      <c r="LX109" s="210"/>
      <c r="LY109" s="208"/>
      <c r="LZ109" s="209"/>
      <c r="MA109" s="210"/>
      <c r="MB109" s="208"/>
      <c r="MC109" s="209"/>
      <c r="MD109" s="210"/>
      <c r="ME109" s="208"/>
      <c r="MF109" s="209"/>
      <c r="MG109" s="210"/>
      <c r="MH109" s="208"/>
      <c r="MI109" s="209"/>
      <c r="MJ109" s="210"/>
      <c r="MK109" s="208"/>
      <c r="ML109" s="209"/>
      <c r="MM109" s="210"/>
      <c r="MN109" s="208"/>
      <c r="MO109" s="209"/>
      <c r="MP109" s="210"/>
      <c r="MQ109" s="208"/>
      <c r="MR109" s="209"/>
      <c r="MS109" s="210"/>
      <c r="MT109" s="208"/>
      <c r="MU109" s="209"/>
      <c r="MV109" s="210"/>
      <c r="MW109" s="208"/>
      <c r="MX109" s="209"/>
      <c r="MY109" s="210"/>
      <c r="MZ109" s="208"/>
      <c r="NA109" s="209"/>
      <c r="NB109" s="210"/>
      <c r="NC109" s="208"/>
      <c r="ND109" s="209"/>
      <c r="NE109" s="224"/>
      <c r="NG109" s="198"/>
      <c r="NH109" s="198"/>
      <c r="NI109" s="1"/>
      <c r="NJ109" s="1"/>
      <c r="NK109" s="1"/>
    </row>
    <row r="110" spans="4:375" s="6" customFormat="1" ht="9.9499999999999993" customHeight="1">
      <c r="E110" s="79"/>
      <c r="F110" s="196">
        <f t="shared" ref="F110" si="400">NG110</f>
        <v>6.0000000000000006E-4</v>
      </c>
      <c r="G110" s="197">
        <f>Q110-F110</f>
        <v>0</v>
      </c>
      <c r="H110" s="27">
        <v>1</v>
      </c>
      <c r="I110" s="19" t="s">
        <v>221</v>
      </c>
      <c r="J110" s="19" t="s">
        <v>184</v>
      </c>
      <c r="K110" s="19" t="s">
        <v>222</v>
      </c>
      <c r="L110" s="366" t="s">
        <v>141</v>
      </c>
      <c r="M110" s="358" t="s">
        <v>53</v>
      </c>
      <c r="N110" s="313">
        <v>41764</v>
      </c>
      <c r="O110" s="352" t="s">
        <v>34</v>
      </c>
      <c r="P110" s="307">
        <v>125951</v>
      </c>
      <c r="Q110" s="236">
        <f>ROUND(P110/$P$256,5)</f>
        <v>5.9999999999999995E-4</v>
      </c>
      <c r="R110" s="76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3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5"/>
      <c r="CA110" s="53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4"/>
      <c r="CY110" s="54"/>
      <c r="CZ110" s="54"/>
      <c r="DA110" s="54"/>
      <c r="DB110" s="54"/>
      <c r="DC110" s="54"/>
      <c r="DD110" s="54"/>
      <c r="DE110" s="53"/>
      <c r="DF110" s="54"/>
      <c r="DG110" s="54"/>
      <c r="DH110" s="54"/>
      <c r="DI110" s="54"/>
      <c r="DJ110" s="54"/>
      <c r="DK110" s="54"/>
      <c r="DL110" s="54"/>
      <c r="DM110" s="54"/>
      <c r="DN110" s="54"/>
      <c r="DO110" s="54"/>
      <c r="DP110" s="54"/>
      <c r="DQ110" s="54"/>
      <c r="DR110" s="54"/>
      <c r="DS110" s="54"/>
      <c r="DT110" s="54"/>
      <c r="DU110" s="54"/>
      <c r="DV110" s="54"/>
      <c r="DW110" s="54"/>
      <c r="DX110" s="54"/>
      <c r="DY110" s="54"/>
      <c r="DZ110" s="54"/>
      <c r="EA110" s="54"/>
      <c r="EB110" s="54"/>
      <c r="EC110" s="54"/>
      <c r="ED110" s="54"/>
      <c r="EE110" s="54"/>
      <c r="EF110" s="54"/>
      <c r="EG110" s="54"/>
      <c r="EH110" s="54"/>
      <c r="EI110" s="54"/>
      <c r="EJ110" s="54"/>
      <c r="EK110" s="54"/>
      <c r="EL110" s="54"/>
      <c r="EM110" s="54"/>
      <c r="EN110" s="54"/>
      <c r="EO110" s="54"/>
      <c r="EP110" s="54"/>
      <c r="EQ110" s="54"/>
      <c r="ER110" s="54"/>
      <c r="ES110" s="54"/>
      <c r="ET110" s="54"/>
      <c r="EU110" s="54"/>
      <c r="EV110" s="54"/>
      <c r="EW110" s="54"/>
      <c r="EX110" s="54"/>
      <c r="EY110" s="54"/>
      <c r="EZ110" s="54"/>
      <c r="FA110" s="54"/>
      <c r="FB110" s="54"/>
      <c r="FC110" s="54"/>
      <c r="FD110" s="54"/>
      <c r="FE110" s="54"/>
      <c r="FF110" s="54"/>
      <c r="FG110" s="54"/>
      <c r="FH110" s="54"/>
      <c r="FI110" s="54"/>
      <c r="FJ110" s="54"/>
      <c r="FK110" s="54"/>
      <c r="FL110" s="54"/>
      <c r="FM110" s="53"/>
      <c r="FN110" s="54"/>
      <c r="FO110" s="54"/>
      <c r="FP110" s="54"/>
      <c r="FQ110" s="54"/>
      <c r="FR110" s="54"/>
      <c r="FS110" s="54"/>
      <c r="FT110" s="54"/>
      <c r="FU110" s="54"/>
      <c r="FV110" s="54"/>
      <c r="FW110" s="54"/>
      <c r="FX110" s="54"/>
      <c r="FY110" s="54"/>
      <c r="FZ110" s="54"/>
      <c r="GA110" s="54"/>
      <c r="GB110" s="54"/>
      <c r="GC110" s="54"/>
      <c r="GD110" s="54"/>
      <c r="GE110" s="54"/>
      <c r="GF110" s="54"/>
      <c r="GG110" s="54"/>
      <c r="GH110" s="54"/>
      <c r="GI110" s="54"/>
      <c r="GJ110" s="54"/>
      <c r="GK110" s="54"/>
      <c r="GL110" s="54"/>
      <c r="GM110" s="54"/>
      <c r="GN110" s="54"/>
      <c r="GO110" s="54"/>
      <c r="GP110" s="54"/>
      <c r="GQ110" s="54"/>
      <c r="GR110" s="54"/>
      <c r="GS110" s="54"/>
      <c r="GT110" s="54"/>
      <c r="GU110" s="54"/>
      <c r="GV110" s="54"/>
      <c r="GW110" s="54"/>
      <c r="GX110" s="54"/>
      <c r="GY110" s="54"/>
      <c r="GZ110" s="54"/>
      <c r="HA110" s="54"/>
      <c r="HB110" s="54"/>
      <c r="HC110" s="54"/>
      <c r="HD110" s="54"/>
      <c r="HE110" s="54"/>
      <c r="HF110" s="54"/>
      <c r="HG110" s="54"/>
      <c r="HH110" s="54"/>
      <c r="HI110" s="54"/>
      <c r="HJ110" s="54"/>
      <c r="HK110" s="54"/>
      <c r="HL110" s="54"/>
      <c r="HM110" s="54"/>
      <c r="HN110" s="54"/>
      <c r="HO110" s="54"/>
      <c r="HP110" s="54"/>
      <c r="HQ110" s="54"/>
      <c r="HR110" s="54"/>
      <c r="HS110" s="54"/>
      <c r="HT110" s="54"/>
      <c r="HU110" s="53"/>
      <c r="HV110" s="54"/>
      <c r="HW110" s="54"/>
      <c r="HX110" s="54"/>
      <c r="HY110" s="54"/>
      <c r="HZ110" s="54"/>
      <c r="IA110" s="54"/>
      <c r="IB110" s="54"/>
      <c r="IC110" s="54"/>
      <c r="ID110" s="54"/>
      <c r="IE110" s="54"/>
      <c r="IF110" s="54"/>
      <c r="IG110" s="54"/>
      <c r="IH110" s="54"/>
      <c r="II110" s="54"/>
      <c r="IJ110" s="54"/>
      <c r="IK110" s="54"/>
      <c r="IL110" s="54"/>
      <c r="IM110" s="54"/>
      <c r="IN110" s="54"/>
      <c r="IO110" s="54"/>
      <c r="IP110" s="54"/>
      <c r="IQ110" s="54"/>
      <c r="IR110" s="54"/>
      <c r="IS110" s="54"/>
      <c r="IT110" s="54"/>
      <c r="IU110" s="54"/>
      <c r="IV110" s="54"/>
      <c r="IW110" s="54"/>
      <c r="IX110" s="54"/>
      <c r="IY110" s="53"/>
      <c r="IZ110" s="54"/>
      <c r="JA110" s="54"/>
      <c r="JB110" s="54"/>
      <c r="JC110" s="54"/>
      <c r="JD110" s="54"/>
      <c r="JE110" s="54"/>
      <c r="JF110" s="54"/>
      <c r="JG110" s="54"/>
      <c r="JH110" s="54"/>
      <c r="JI110" s="54"/>
      <c r="JJ110" s="54"/>
      <c r="JK110" s="54"/>
      <c r="JL110" s="54"/>
      <c r="JM110" s="54"/>
      <c r="JN110" s="54"/>
      <c r="JO110" s="54"/>
      <c r="JP110" s="54"/>
      <c r="JQ110" s="54"/>
      <c r="JR110" s="54"/>
      <c r="JS110" s="54"/>
      <c r="JT110" s="54"/>
      <c r="JU110" s="54"/>
      <c r="JV110" s="54"/>
      <c r="JW110" s="54"/>
      <c r="JX110" s="54"/>
      <c r="JY110" s="54"/>
      <c r="JZ110" s="54"/>
      <c r="KA110" s="54"/>
      <c r="KB110" s="54"/>
      <c r="KC110" s="53"/>
      <c r="KD110" s="54"/>
      <c r="KE110" s="55"/>
      <c r="KF110" s="54"/>
      <c r="KG110" s="54"/>
      <c r="KH110" s="54"/>
      <c r="KI110" s="53"/>
      <c r="KJ110" s="54"/>
      <c r="KK110" s="55"/>
      <c r="KL110" s="54"/>
      <c r="KM110" s="54"/>
      <c r="KN110" s="54"/>
      <c r="KO110" s="53"/>
      <c r="KP110" s="54"/>
      <c r="KQ110" s="55"/>
      <c r="KR110" s="54"/>
      <c r="KS110" s="54"/>
      <c r="KT110" s="54"/>
      <c r="KU110" s="53"/>
      <c r="KV110" s="54"/>
      <c r="KW110" s="55"/>
      <c r="KX110" s="54"/>
      <c r="KY110" s="54"/>
      <c r="KZ110" s="54"/>
      <c r="LA110" s="57"/>
      <c r="LB110" s="54"/>
      <c r="LC110" s="58"/>
      <c r="LD110" s="54"/>
      <c r="LE110" s="54"/>
      <c r="LF110" s="54"/>
      <c r="LG110" s="212">
        <v>6.0000000000000002E-5</v>
      </c>
      <c r="LH110" s="212"/>
      <c r="LI110" s="212"/>
      <c r="LJ110" s="219">
        <v>1.1E-4</v>
      </c>
      <c r="LK110" s="219"/>
      <c r="LL110" s="220"/>
      <c r="LM110" s="212">
        <v>1.1E-4</v>
      </c>
      <c r="LN110" s="212"/>
      <c r="LO110" s="212"/>
      <c r="LP110" s="212">
        <v>1.1E-4</v>
      </c>
      <c r="LQ110" s="212"/>
      <c r="LR110" s="212"/>
      <c r="LS110" s="212">
        <v>1.1E-4</v>
      </c>
      <c r="LT110" s="212"/>
      <c r="LU110" s="212"/>
      <c r="LV110" s="212">
        <v>1E-4</v>
      </c>
      <c r="LW110" s="212"/>
      <c r="LX110" s="212"/>
      <c r="LY110" s="53"/>
      <c r="LZ110" s="54"/>
      <c r="MA110" s="55"/>
      <c r="MB110" s="54"/>
      <c r="MC110" s="54"/>
      <c r="MD110" s="54"/>
      <c r="ME110" s="53"/>
      <c r="MF110" s="54"/>
      <c r="MG110" s="55"/>
      <c r="MH110" s="53"/>
      <c r="MI110" s="54"/>
      <c r="MJ110" s="55"/>
      <c r="MK110" s="54"/>
      <c r="ML110" s="54"/>
      <c r="MM110" s="54"/>
      <c r="MN110" s="53"/>
      <c r="MO110" s="54"/>
      <c r="MP110" s="55"/>
      <c r="MQ110" s="53"/>
      <c r="MR110" s="54"/>
      <c r="MS110" s="55"/>
      <c r="MT110" s="53"/>
      <c r="MU110" s="54"/>
      <c r="MV110" s="55"/>
      <c r="MW110" s="53"/>
      <c r="MX110" s="54"/>
      <c r="MY110" s="55"/>
      <c r="MZ110" s="53"/>
      <c r="NA110" s="54"/>
      <c r="NB110" s="55"/>
      <c r="NC110" s="54"/>
      <c r="ND110" s="54"/>
      <c r="NE110" s="59"/>
      <c r="NG110" s="275">
        <f>SUM(R110:NE110)</f>
        <v>6.0000000000000006E-4</v>
      </c>
      <c r="NH110" s="1"/>
      <c r="NI110" s="1"/>
      <c r="NJ110" s="1"/>
      <c r="NK110" s="1"/>
    </row>
    <row r="111" spans="4:375" s="6" customFormat="1" ht="6.95" customHeight="1">
      <c r="E111" s="80"/>
      <c r="F111" s="196"/>
      <c r="G111" s="197"/>
      <c r="H111" s="52">
        <v>2</v>
      </c>
      <c r="I111" s="80"/>
      <c r="J111" s="80"/>
      <c r="L111" s="367"/>
      <c r="M111" s="359"/>
      <c r="N111" s="314"/>
      <c r="O111" s="353"/>
      <c r="P111" s="308"/>
      <c r="Q111" s="237"/>
      <c r="R111" s="6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39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1"/>
      <c r="CA111" s="39"/>
      <c r="CB111" s="40"/>
      <c r="CC111" s="40"/>
      <c r="CD111" s="40"/>
      <c r="CE111" s="40"/>
      <c r="CF111" s="40"/>
      <c r="CG111" s="40"/>
      <c r="CH111" s="40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40"/>
      <c r="CX111" s="40"/>
      <c r="CY111" s="40"/>
      <c r="CZ111" s="40"/>
      <c r="DA111" s="40"/>
      <c r="DB111" s="40"/>
      <c r="DC111" s="40"/>
      <c r="DD111" s="40"/>
      <c r="DE111" s="39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 s="40"/>
      <c r="DT111" s="40"/>
      <c r="DU111" s="40"/>
      <c r="DV111" s="40"/>
      <c r="DW111" s="40"/>
      <c r="DX111" s="40"/>
      <c r="DY111" s="40"/>
      <c r="DZ111" s="40"/>
      <c r="EA111" s="40"/>
      <c r="EB111" s="40"/>
      <c r="EC111" s="40"/>
      <c r="ED111" s="40"/>
      <c r="EE111" s="40"/>
      <c r="EF111" s="40"/>
      <c r="EG111" s="40"/>
      <c r="EH111" s="40"/>
      <c r="EI111" s="40"/>
      <c r="EJ111" s="40"/>
      <c r="EK111" s="40"/>
      <c r="EL111" s="40"/>
      <c r="EM111" s="40"/>
      <c r="EN111" s="40"/>
      <c r="EO111" s="40"/>
      <c r="EP111" s="40"/>
      <c r="EQ111" s="40"/>
      <c r="ER111" s="40"/>
      <c r="ES111" s="40"/>
      <c r="ET111" s="40"/>
      <c r="EU111" s="40"/>
      <c r="EV111" s="40"/>
      <c r="EW111" s="40"/>
      <c r="EX111" s="40"/>
      <c r="EY111" s="40"/>
      <c r="EZ111" s="40"/>
      <c r="FA111" s="40"/>
      <c r="FB111" s="40"/>
      <c r="FC111" s="40"/>
      <c r="FD111" s="40"/>
      <c r="FE111" s="40"/>
      <c r="FF111" s="40"/>
      <c r="FG111" s="40"/>
      <c r="FH111" s="40"/>
      <c r="FI111" s="40"/>
      <c r="FJ111" s="40"/>
      <c r="FK111" s="40"/>
      <c r="FL111" s="40"/>
      <c r="FM111" s="39"/>
      <c r="FN111" s="40"/>
      <c r="FO111" s="40"/>
      <c r="FP111" s="40"/>
      <c r="FQ111" s="40"/>
      <c r="FR111" s="40"/>
      <c r="FS111" s="40"/>
      <c r="FT111" s="40"/>
      <c r="FU111" s="40"/>
      <c r="FV111" s="40"/>
      <c r="FW111" s="40"/>
      <c r="FX111" s="40"/>
      <c r="FY111" s="40"/>
      <c r="FZ111" s="40"/>
      <c r="GA111" s="40"/>
      <c r="GB111" s="40"/>
      <c r="GC111" s="40"/>
      <c r="GD111" s="40"/>
      <c r="GE111" s="40"/>
      <c r="GF111" s="40"/>
      <c r="GG111" s="40"/>
      <c r="GH111" s="40"/>
      <c r="GI111" s="40"/>
      <c r="GJ111" s="40"/>
      <c r="GK111" s="40"/>
      <c r="GL111" s="40"/>
      <c r="GM111" s="40"/>
      <c r="GN111" s="40"/>
      <c r="GO111" s="40"/>
      <c r="GP111" s="40"/>
      <c r="GQ111" s="40"/>
      <c r="GR111" s="40"/>
      <c r="GS111" s="40"/>
      <c r="GT111" s="40"/>
      <c r="GU111" s="40"/>
      <c r="GV111" s="40"/>
      <c r="GW111" s="40"/>
      <c r="GX111" s="40"/>
      <c r="GY111" s="40"/>
      <c r="GZ111" s="40"/>
      <c r="HA111" s="40"/>
      <c r="HB111" s="40"/>
      <c r="HC111" s="40"/>
      <c r="HD111" s="40"/>
      <c r="HE111" s="40"/>
      <c r="HF111" s="40"/>
      <c r="HG111" s="40"/>
      <c r="HH111" s="40"/>
      <c r="HI111" s="40"/>
      <c r="HJ111" s="40"/>
      <c r="HK111" s="40"/>
      <c r="HL111" s="40"/>
      <c r="HM111" s="40"/>
      <c r="HN111" s="40"/>
      <c r="HO111" s="40"/>
      <c r="HP111" s="40"/>
      <c r="HQ111" s="40"/>
      <c r="HR111" s="40"/>
      <c r="HS111" s="40"/>
      <c r="HT111" s="40"/>
      <c r="HU111" s="39"/>
      <c r="HV111" s="40"/>
      <c r="HW111" s="40"/>
      <c r="HX111" s="40"/>
      <c r="HY111" s="40"/>
      <c r="HZ111" s="40"/>
      <c r="IA111" s="40"/>
      <c r="IB111" s="40"/>
      <c r="IC111" s="40"/>
      <c r="ID111" s="40"/>
      <c r="IE111" s="40"/>
      <c r="IF111" s="40"/>
      <c r="IG111" s="40"/>
      <c r="IH111" s="40"/>
      <c r="II111" s="40"/>
      <c r="IJ111" s="40"/>
      <c r="IK111" s="40"/>
      <c r="IL111" s="40"/>
      <c r="IM111" s="40"/>
      <c r="IN111" s="40"/>
      <c r="IO111" s="40"/>
      <c r="IP111" s="40"/>
      <c r="IQ111" s="40"/>
      <c r="IR111" s="40"/>
      <c r="IS111" s="40"/>
      <c r="IT111" s="40"/>
      <c r="IU111" s="40"/>
      <c r="IV111" s="40"/>
      <c r="IW111" s="40"/>
      <c r="IX111" s="40"/>
      <c r="IY111" s="39"/>
      <c r="IZ111" s="40"/>
      <c r="JA111" s="40"/>
      <c r="JB111" s="40"/>
      <c r="JC111" s="40"/>
      <c r="JD111" s="40"/>
      <c r="JE111" s="40"/>
      <c r="JF111" s="40"/>
      <c r="JG111" s="40"/>
      <c r="JH111" s="40"/>
      <c r="JI111" s="40"/>
      <c r="JJ111" s="40"/>
      <c r="JK111" s="40"/>
      <c r="JL111" s="40"/>
      <c r="JM111" s="40"/>
      <c r="JN111" s="40"/>
      <c r="JO111" s="40"/>
      <c r="JP111" s="40"/>
      <c r="JQ111" s="40"/>
      <c r="JR111" s="40"/>
      <c r="JS111" s="40"/>
      <c r="JT111" s="40"/>
      <c r="JU111" s="40"/>
      <c r="JV111" s="40"/>
      <c r="JW111" s="40"/>
      <c r="JX111" s="40"/>
      <c r="JY111" s="40"/>
      <c r="JZ111" s="40"/>
      <c r="KA111" s="40"/>
      <c r="KB111" s="40"/>
      <c r="KC111" s="39"/>
      <c r="KD111" s="40"/>
      <c r="KE111" s="41"/>
      <c r="KF111" s="40"/>
      <c r="KG111" s="40"/>
      <c r="KH111" s="40"/>
      <c r="KI111" s="39"/>
      <c r="KJ111" s="40"/>
      <c r="KK111" s="41"/>
      <c r="KL111" s="40"/>
      <c r="KM111" s="40"/>
      <c r="KN111" s="40"/>
      <c r="KO111" s="39"/>
      <c r="KP111" s="40"/>
      <c r="KQ111" s="41"/>
      <c r="KR111" s="40"/>
      <c r="KS111" s="40"/>
      <c r="KT111" s="40"/>
      <c r="KU111" s="39"/>
      <c r="KV111" s="40"/>
      <c r="KW111" s="41"/>
      <c r="KX111" s="40"/>
      <c r="KY111" s="40"/>
      <c r="KZ111" s="40"/>
      <c r="LA111" s="64"/>
      <c r="LB111" s="40"/>
      <c r="LC111" s="65"/>
      <c r="LD111" s="40"/>
      <c r="LE111" s="40"/>
      <c r="LF111" s="40"/>
      <c r="LG111" s="61"/>
      <c r="LH111" s="62"/>
      <c r="LI111" s="63"/>
      <c r="LJ111" s="61"/>
      <c r="LK111" s="62"/>
      <c r="LL111" s="63"/>
      <c r="LM111" s="61"/>
      <c r="LN111" s="62"/>
      <c r="LO111" s="63"/>
      <c r="LP111" s="61"/>
      <c r="LQ111" s="62"/>
      <c r="LR111" s="63"/>
      <c r="LS111" s="61"/>
      <c r="LT111" s="62"/>
      <c r="LU111" s="63"/>
      <c r="LV111" s="61"/>
      <c r="LW111" s="62"/>
      <c r="LX111" s="63"/>
      <c r="LY111" s="39"/>
      <c r="LZ111" s="40"/>
      <c r="MA111" s="41"/>
      <c r="MB111" s="40"/>
      <c r="MC111" s="40"/>
      <c r="MD111" s="40"/>
      <c r="ME111" s="39"/>
      <c r="MF111" s="40"/>
      <c r="MG111" s="41"/>
      <c r="MH111" s="39"/>
      <c r="MI111" s="40"/>
      <c r="MJ111" s="41"/>
      <c r="MK111" s="40"/>
      <c r="ML111" s="40"/>
      <c r="MM111" s="40"/>
      <c r="MN111" s="39"/>
      <c r="MO111" s="40"/>
      <c r="MP111" s="41"/>
      <c r="MQ111" s="39"/>
      <c r="MR111" s="40"/>
      <c r="MS111" s="41"/>
      <c r="MT111" s="39"/>
      <c r="MU111" s="40"/>
      <c r="MV111" s="41"/>
      <c r="MW111" s="39"/>
      <c r="MX111" s="40"/>
      <c r="MY111" s="41"/>
      <c r="MZ111" s="39"/>
      <c r="NA111" s="40"/>
      <c r="NB111" s="41"/>
      <c r="NC111" s="40"/>
      <c r="ND111" s="40"/>
      <c r="NE111" s="42"/>
      <c r="NG111" s="275"/>
      <c r="NH111" s="1"/>
      <c r="NI111" s="1"/>
      <c r="NJ111" s="1"/>
      <c r="NK111" s="1"/>
    </row>
    <row r="112" spans="4:375" s="6" customFormat="1" ht="9.9499999999999993" customHeight="1">
      <c r="E112" s="80"/>
      <c r="F112" s="196">
        <f t="shared" ref="F112" si="401">NG112</f>
        <v>2.64E-3</v>
      </c>
      <c r="G112" s="197">
        <f>Q112-F112</f>
        <v>0</v>
      </c>
      <c r="H112" s="27">
        <v>1</v>
      </c>
      <c r="I112" s="19" t="s">
        <v>221</v>
      </c>
      <c r="J112" s="19" t="s">
        <v>184</v>
      </c>
      <c r="K112" s="19" t="s">
        <v>223</v>
      </c>
      <c r="L112" s="367"/>
      <c r="M112" s="355" t="s">
        <v>56</v>
      </c>
      <c r="N112" s="301">
        <v>1976</v>
      </c>
      <c r="O112" s="310" t="s">
        <v>55</v>
      </c>
      <c r="P112" s="315">
        <v>549048</v>
      </c>
      <c r="Q112" s="236">
        <f>ROUND(P112/$P$256,5)</f>
        <v>2.64E-3</v>
      </c>
      <c r="R112" s="73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6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8"/>
      <c r="CA112" s="66"/>
      <c r="CB112" s="67"/>
      <c r="CC112" s="67"/>
      <c r="CD112" s="67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  <c r="DC112" s="67"/>
      <c r="DD112" s="67"/>
      <c r="DE112" s="66"/>
      <c r="DF112" s="67"/>
      <c r="DG112" s="67"/>
      <c r="DH112" s="67"/>
      <c r="DI112" s="67"/>
      <c r="DJ112" s="67"/>
      <c r="DK112" s="67"/>
      <c r="DL112" s="67"/>
      <c r="DM112" s="67"/>
      <c r="DN112" s="67"/>
      <c r="DO112" s="67"/>
      <c r="DP112" s="67"/>
      <c r="DQ112" s="67"/>
      <c r="DR112" s="67"/>
      <c r="DS112" s="67"/>
      <c r="DT112" s="67"/>
      <c r="DU112" s="67"/>
      <c r="DV112" s="67"/>
      <c r="DW112" s="67"/>
      <c r="DX112" s="67"/>
      <c r="DY112" s="67"/>
      <c r="DZ112" s="67"/>
      <c r="EA112" s="67"/>
      <c r="EB112" s="67"/>
      <c r="EC112" s="67"/>
      <c r="ED112" s="67"/>
      <c r="EE112" s="67"/>
      <c r="EF112" s="67"/>
      <c r="EG112" s="67"/>
      <c r="EH112" s="67"/>
      <c r="EI112" s="67"/>
      <c r="EJ112" s="67"/>
      <c r="EK112" s="67"/>
      <c r="EL112" s="67"/>
      <c r="EM112" s="67"/>
      <c r="EN112" s="67"/>
      <c r="EO112" s="67"/>
      <c r="EP112" s="67"/>
      <c r="EQ112" s="67"/>
      <c r="ER112" s="67"/>
      <c r="ES112" s="67"/>
      <c r="ET112" s="67"/>
      <c r="EU112" s="67"/>
      <c r="EV112" s="67"/>
      <c r="EW112" s="67"/>
      <c r="EX112" s="67"/>
      <c r="EY112" s="67"/>
      <c r="EZ112" s="67"/>
      <c r="FA112" s="67"/>
      <c r="FB112" s="67"/>
      <c r="FC112" s="67"/>
      <c r="FD112" s="67"/>
      <c r="FE112" s="67"/>
      <c r="FF112" s="67"/>
      <c r="FG112" s="67"/>
      <c r="FH112" s="67"/>
      <c r="FI112" s="67"/>
      <c r="FJ112" s="67"/>
      <c r="FK112" s="67"/>
      <c r="FL112" s="67"/>
      <c r="FM112" s="66"/>
      <c r="FN112" s="67"/>
      <c r="FO112" s="67"/>
      <c r="FP112" s="67"/>
      <c r="FQ112" s="67"/>
      <c r="FR112" s="67"/>
      <c r="FS112" s="67"/>
      <c r="FT112" s="67"/>
      <c r="FU112" s="67"/>
      <c r="FV112" s="67"/>
      <c r="FW112" s="67"/>
      <c r="FX112" s="67"/>
      <c r="FY112" s="67"/>
      <c r="FZ112" s="67"/>
      <c r="GA112" s="67"/>
      <c r="GB112" s="67"/>
      <c r="GC112" s="67"/>
      <c r="GD112" s="67"/>
      <c r="GE112" s="67"/>
      <c r="GF112" s="67"/>
      <c r="GG112" s="67"/>
      <c r="GH112" s="67"/>
      <c r="GI112" s="67"/>
      <c r="GJ112" s="67"/>
      <c r="GK112" s="67"/>
      <c r="GL112" s="67"/>
      <c r="GM112" s="67"/>
      <c r="GN112" s="67"/>
      <c r="GO112" s="67"/>
      <c r="GP112" s="67"/>
      <c r="GQ112" s="67"/>
      <c r="GR112" s="67"/>
      <c r="GS112" s="67"/>
      <c r="GT112" s="67"/>
      <c r="GU112" s="67"/>
      <c r="GV112" s="67"/>
      <c r="GW112" s="67"/>
      <c r="GX112" s="67"/>
      <c r="GY112" s="67"/>
      <c r="GZ112" s="67"/>
      <c r="HA112" s="67"/>
      <c r="HB112" s="67"/>
      <c r="HC112" s="67"/>
      <c r="HD112" s="67"/>
      <c r="HE112" s="67"/>
      <c r="HF112" s="67"/>
      <c r="HG112" s="67"/>
      <c r="HH112" s="67"/>
      <c r="HI112" s="67"/>
      <c r="HJ112" s="67"/>
      <c r="HK112" s="67"/>
      <c r="HL112" s="67"/>
      <c r="HM112" s="67"/>
      <c r="HN112" s="67"/>
      <c r="HO112" s="67"/>
      <c r="HP112" s="67"/>
      <c r="HQ112" s="67"/>
      <c r="HR112" s="67"/>
      <c r="HS112" s="67"/>
      <c r="HT112" s="67"/>
      <c r="HU112" s="66"/>
      <c r="HV112" s="67"/>
      <c r="HW112" s="67"/>
      <c r="HX112" s="67"/>
      <c r="HY112" s="67"/>
      <c r="HZ112" s="67"/>
      <c r="IA112" s="67"/>
      <c r="IB112" s="67"/>
      <c r="IC112" s="67"/>
      <c r="ID112" s="67"/>
      <c r="IE112" s="67"/>
      <c r="IF112" s="67"/>
      <c r="IG112" s="67"/>
      <c r="IH112" s="67"/>
      <c r="II112" s="67"/>
      <c r="IJ112" s="67"/>
      <c r="IK112" s="67"/>
      <c r="IL112" s="67"/>
      <c r="IM112" s="67"/>
      <c r="IN112" s="67"/>
      <c r="IO112" s="67"/>
      <c r="IP112" s="67"/>
      <c r="IQ112" s="67"/>
      <c r="IR112" s="67"/>
      <c r="IS112" s="67"/>
      <c r="IT112" s="67"/>
      <c r="IU112" s="67"/>
      <c r="IV112" s="67"/>
      <c r="IW112" s="67"/>
      <c r="IX112" s="67"/>
      <c r="IY112" s="66"/>
      <c r="IZ112" s="67"/>
      <c r="JA112" s="67"/>
      <c r="JB112" s="67"/>
      <c r="JC112" s="67"/>
      <c r="JD112" s="67"/>
      <c r="JE112" s="67"/>
      <c r="JF112" s="67"/>
      <c r="JG112" s="67"/>
      <c r="JH112" s="67"/>
      <c r="JI112" s="67"/>
      <c r="JJ112" s="67"/>
      <c r="JK112" s="67"/>
      <c r="JL112" s="67"/>
      <c r="JM112" s="67"/>
      <c r="JN112" s="67"/>
      <c r="JO112" s="67"/>
      <c r="JP112" s="67"/>
      <c r="JQ112" s="67"/>
      <c r="JR112" s="67"/>
      <c r="JS112" s="67"/>
      <c r="JT112" s="67"/>
      <c r="JU112" s="67"/>
      <c r="JV112" s="67"/>
      <c r="JW112" s="67"/>
      <c r="JX112" s="67"/>
      <c r="JY112" s="67"/>
      <c r="JZ112" s="67"/>
      <c r="KA112" s="67"/>
      <c r="KB112" s="67"/>
      <c r="KC112" s="66"/>
      <c r="KD112" s="67"/>
      <c r="KE112" s="68"/>
      <c r="KF112" s="67"/>
      <c r="KG112" s="67"/>
      <c r="KH112" s="67"/>
      <c r="KI112" s="66"/>
      <c r="KJ112" s="67"/>
      <c r="KK112" s="68"/>
      <c r="KL112" s="67"/>
      <c r="KM112" s="67"/>
      <c r="KN112" s="67"/>
      <c r="KO112" s="66"/>
      <c r="KP112" s="67"/>
      <c r="KQ112" s="68"/>
      <c r="KR112" s="67"/>
      <c r="KS112" s="67"/>
      <c r="KT112" s="67"/>
      <c r="KU112" s="66"/>
      <c r="KV112" s="67"/>
      <c r="KW112" s="68"/>
      <c r="KX112" s="67"/>
      <c r="KY112" s="67"/>
      <c r="KZ112" s="67"/>
      <c r="LA112" s="70"/>
      <c r="LB112" s="67"/>
      <c r="LC112" s="71"/>
      <c r="LD112" s="67"/>
      <c r="LE112" s="67"/>
      <c r="LF112" s="67"/>
      <c r="LG112" s="214">
        <v>2.9999999999999997E-4</v>
      </c>
      <c r="LH112" s="214"/>
      <c r="LI112" s="214"/>
      <c r="LJ112" s="215">
        <v>4.4999999999999999E-4</v>
      </c>
      <c r="LK112" s="214"/>
      <c r="LL112" s="214"/>
      <c r="LM112" s="214">
        <v>5.5000000000000003E-4</v>
      </c>
      <c r="LN112" s="214"/>
      <c r="LO112" s="214"/>
      <c r="LP112" s="214">
        <v>5.5000000000000003E-4</v>
      </c>
      <c r="LQ112" s="214"/>
      <c r="LR112" s="214"/>
      <c r="LS112" s="214">
        <v>4.4999999999999999E-4</v>
      </c>
      <c r="LT112" s="214"/>
      <c r="LU112" s="214"/>
      <c r="LV112" s="214">
        <v>3.4000000000000002E-4</v>
      </c>
      <c r="LW112" s="214"/>
      <c r="LX112" s="214"/>
      <c r="LY112" s="66"/>
      <c r="LZ112" s="67"/>
      <c r="MA112" s="68"/>
      <c r="MB112" s="67"/>
      <c r="MC112" s="67"/>
      <c r="MD112" s="67"/>
      <c r="ME112" s="66"/>
      <c r="MF112" s="67"/>
      <c r="MG112" s="68"/>
      <c r="MH112" s="66"/>
      <c r="MI112" s="67"/>
      <c r="MJ112" s="68"/>
      <c r="MK112" s="67"/>
      <c r="ML112" s="67"/>
      <c r="MM112" s="67"/>
      <c r="MN112" s="66"/>
      <c r="MO112" s="67"/>
      <c r="MP112" s="68"/>
      <c r="MQ112" s="66"/>
      <c r="MR112" s="67"/>
      <c r="MS112" s="68"/>
      <c r="MT112" s="66"/>
      <c r="MU112" s="67"/>
      <c r="MV112" s="68"/>
      <c r="MW112" s="66"/>
      <c r="MX112" s="67"/>
      <c r="MY112" s="68"/>
      <c r="MZ112" s="66"/>
      <c r="NA112" s="67"/>
      <c r="NB112" s="68"/>
      <c r="NC112" s="67"/>
      <c r="ND112" s="67"/>
      <c r="NE112" s="72"/>
      <c r="NG112" s="275">
        <f>SUM(R112:NE112)</f>
        <v>2.64E-3</v>
      </c>
      <c r="NH112" s="1"/>
      <c r="NI112" s="1"/>
      <c r="NJ112" s="1"/>
      <c r="NK112" s="1"/>
    </row>
    <row r="113" spans="5:375" s="6" customFormat="1" ht="6.95" customHeight="1">
      <c r="E113" s="80"/>
      <c r="F113" s="196"/>
      <c r="G113" s="197"/>
      <c r="H113" s="52">
        <v>2</v>
      </c>
      <c r="I113" s="80"/>
      <c r="J113" s="80"/>
      <c r="L113" s="367"/>
      <c r="M113" s="300"/>
      <c r="N113" s="301"/>
      <c r="O113" s="302"/>
      <c r="P113" s="315"/>
      <c r="Q113" s="237"/>
      <c r="R113" s="73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6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R113" s="67"/>
      <c r="BS113" s="67"/>
      <c r="BT113" s="67"/>
      <c r="BU113" s="67"/>
      <c r="BV113" s="67"/>
      <c r="BW113" s="67"/>
      <c r="BX113" s="67"/>
      <c r="BY113" s="67"/>
      <c r="BZ113" s="68"/>
      <c r="CA113" s="66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  <c r="DC113" s="67"/>
      <c r="DD113" s="67"/>
      <c r="DE113" s="66"/>
      <c r="DF113" s="67"/>
      <c r="DG113" s="67"/>
      <c r="DH113" s="67"/>
      <c r="DI113" s="67"/>
      <c r="DJ113" s="67"/>
      <c r="DK113" s="67"/>
      <c r="DL113" s="67"/>
      <c r="DM113" s="67"/>
      <c r="DN113" s="67"/>
      <c r="DO113" s="67"/>
      <c r="DP113" s="67"/>
      <c r="DQ113" s="67"/>
      <c r="DR113" s="67"/>
      <c r="DS113" s="67"/>
      <c r="DT113" s="67"/>
      <c r="DU113" s="67"/>
      <c r="DV113" s="67"/>
      <c r="DW113" s="67"/>
      <c r="DX113" s="67"/>
      <c r="DY113" s="67"/>
      <c r="DZ113" s="67"/>
      <c r="EA113" s="67"/>
      <c r="EB113" s="67"/>
      <c r="EC113" s="67"/>
      <c r="ED113" s="67"/>
      <c r="EE113" s="67"/>
      <c r="EF113" s="67"/>
      <c r="EG113" s="67"/>
      <c r="EH113" s="67"/>
      <c r="EI113" s="67"/>
      <c r="EJ113" s="67"/>
      <c r="EK113" s="67"/>
      <c r="EL113" s="67"/>
      <c r="EM113" s="67"/>
      <c r="EN113" s="67"/>
      <c r="EO113" s="67"/>
      <c r="EP113" s="67"/>
      <c r="EQ113" s="67"/>
      <c r="ER113" s="67"/>
      <c r="ES113" s="67"/>
      <c r="ET113" s="67"/>
      <c r="EU113" s="67"/>
      <c r="EV113" s="67"/>
      <c r="EW113" s="67"/>
      <c r="EX113" s="67"/>
      <c r="EY113" s="67"/>
      <c r="EZ113" s="67"/>
      <c r="FA113" s="67"/>
      <c r="FB113" s="67"/>
      <c r="FC113" s="67"/>
      <c r="FD113" s="67"/>
      <c r="FE113" s="67"/>
      <c r="FF113" s="67"/>
      <c r="FG113" s="67"/>
      <c r="FH113" s="67"/>
      <c r="FI113" s="67"/>
      <c r="FJ113" s="67"/>
      <c r="FK113" s="67"/>
      <c r="FL113" s="67"/>
      <c r="FM113" s="66"/>
      <c r="FN113" s="67"/>
      <c r="FO113" s="67"/>
      <c r="FP113" s="67"/>
      <c r="FQ113" s="67"/>
      <c r="FR113" s="67"/>
      <c r="FS113" s="67"/>
      <c r="FT113" s="67"/>
      <c r="FU113" s="67"/>
      <c r="FV113" s="67"/>
      <c r="FW113" s="67"/>
      <c r="FX113" s="67"/>
      <c r="FY113" s="67"/>
      <c r="FZ113" s="67"/>
      <c r="GA113" s="67"/>
      <c r="GB113" s="67"/>
      <c r="GC113" s="67"/>
      <c r="GD113" s="67"/>
      <c r="GE113" s="67"/>
      <c r="GF113" s="67"/>
      <c r="GG113" s="67"/>
      <c r="GH113" s="67"/>
      <c r="GI113" s="67"/>
      <c r="GJ113" s="67"/>
      <c r="GK113" s="67"/>
      <c r="GL113" s="67"/>
      <c r="GM113" s="67"/>
      <c r="GN113" s="67"/>
      <c r="GO113" s="67"/>
      <c r="GP113" s="67"/>
      <c r="GQ113" s="67"/>
      <c r="GR113" s="67"/>
      <c r="GS113" s="67"/>
      <c r="GT113" s="67"/>
      <c r="GU113" s="67"/>
      <c r="GV113" s="67"/>
      <c r="GW113" s="67"/>
      <c r="GX113" s="67"/>
      <c r="GY113" s="67"/>
      <c r="GZ113" s="67"/>
      <c r="HA113" s="67"/>
      <c r="HB113" s="67"/>
      <c r="HC113" s="67"/>
      <c r="HD113" s="67"/>
      <c r="HE113" s="67"/>
      <c r="HF113" s="67"/>
      <c r="HG113" s="67"/>
      <c r="HH113" s="67"/>
      <c r="HI113" s="67"/>
      <c r="HJ113" s="67"/>
      <c r="HK113" s="67"/>
      <c r="HL113" s="67"/>
      <c r="HM113" s="67"/>
      <c r="HN113" s="67"/>
      <c r="HO113" s="67"/>
      <c r="HP113" s="67"/>
      <c r="HQ113" s="67"/>
      <c r="HR113" s="67"/>
      <c r="HS113" s="67"/>
      <c r="HT113" s="67"/>
      <c r="HU113" s="66"/>
      <c r="HV113" s="67"/>
      <c r="HW113" s="67"/>
      <c r="HX113" s="67"/>
      <c r="HY113" s="67"/>
      <c r="HZ113" s="67"/>
      <c r="IA113" s="67"/>
      <c r="IB113" s="67"/>
      <c r="IC113" s="67"/>
      <c r="ID113" s="67"/>
      <c r="IE113" s="67"/>
      <c r="IF113" s="67"/>
      <c r="IG113" s="67"/>
      <c r="IH113" s="67"/>
      <c r="II113" s="67"/>
      <c r="IJ113" s="67"/>
      <c r="IK113" s="67"/>
      <c r="IL113" s="67"/>
      <c r="IM113" s="67"/>
      <c r="IN113" s="67"/>
      <c r="IO113" s="67"/>
      <c r="IP113" s="67"/>
      <c r="IQ113" s="67"/>
      <c r="IR113" s="67"/>
      <c r="IS113" s="67"/>
      <c r="IT113" s="67"/>
      <c r="IU113" s="67"/>
      <c r="IV113" s="67"/>
      <c r="IW113" s="67"/>
      <c r="IX113" s="67"/>
      <c r="IY113" s="66"/>
      <c r="IZ113" s="67"/>
      <c r="JA113" s="67"/>
      <c r="JB113" s="67"/>
      <c r="JC113" s="67"/>
      <c r="JD113" s="67"/>
      <c r="JE113" s="67"/>
      <c r="JF113" s="67"/>
      <c r="JG113" s="67"/>
      <c r="JH113" s="67"/>
      <c r="JI113" s="67"/>
      <c r="JJ113" s="67"/>
      <c r="JK113" s="67"/>
      <c r="JL113" s="67"/>
      <c r="JM113" s="67"/>
      <c r="JN113" s="67"/>
      <c r="JO113" s="67"/>
      <c r="JP113" s="67"/>
      <c r="JQ113" s="67"/>
      <c r="JR113" s="67"/>
      <c r="JS113" s="67"/>
      <c r="JT113" s="67"/>
      <c r="JU113" s="67"/>
      <c r="JV113" s="67"/>
      <c r="JW113" s="67"/>
      <c r="JX113" s="67"/>
      <c r="JY113" s="67"/>
      <c r="JZ113" s="67"/>
      <c r="KA113" s="67"/>
      <c r="KB113" s="67"/>
      <c r="KC113" s="66"/>
      <c r="KD113" s="67"/>
      <c r="KE113" s="68"/>
      <c r="KF113" s="67"/>
      <c r="KG113" s="67"/>
      <c r="KH113" s="67"/>
      <c r="KI113" s="66"/>
      <c r="KJ113" s="67"/>
      <c r="KK113" s="68"/>
      <c r="KL113" s="67"/>
      <c r="KM113" s="67"/>
      <c r="KN113" s="67"/>
      <c r="KO113" s="66"/>
      <c r="KP113" s="67"/>
      <c r="KQ113" s="68"/>
      <c r="KR113" s="67"/>
      <c r="KS113" s="67"/>
      <c r="KT113" s="67"/>
      <c r="KU113" s="66"/>
      <c r="KV113" s="67"/>
      <c r="KW113" s="68"/>
      <c r="KX113" s="67"/>
      <c r="KY113" s="67"/>
      <c r="KZ113" s="67"/>
      <c r="LA113" s="70"/>
      <c r="LB113" s="67"/>
      <c r="LC113" s="71"/>
      <c r="LD113" s="67"/>
      <c r="LE113" s="67"/>
      <c r="LF113" s="67"/>
      <c r="LG113" s="61"/>
      <c r="LH113" s="62"/>
      <c r="LI113" s="63"/>
      <c r="LJ113" s="61"/>
      <c r="LK113" s="62"/>
      <c r="LL113" s="63"/>
      <c r="LM113" s="61"/>
      <c r="LN113" s="62"/>
      <c r="LO113" s="63"/>
      <c r="LP113" s="61"/>
      <c r="LQ113" s="62"/>
      <c r="LR113" s="63"/>
      <c r="LS113" s="61"/>
      <c r="LT113" s="62"/>
      <c r="LU113" s="63"/>
      <c r="LV113" s="61"/>
      <c r="LW113" s="62"/>
      <c r="LX113" s="63"/>
      <c r="LY113" s="66"/>
      <c r="LZ113" s="67"/>
      <c r="MA113" s="68"/>
      <c r="MB113" s="67"/>
      <c r="MC113" s="67"/>
      <c r="MD113" s="67"/>
      <c r="ME113" s="66"/>
      <c r="MF113" s="67"/>
      <c r="MG113" s="68"/>
      <c r="MH113" s="66"/>
      <c r="MI113" s="67"/>
      <c r="MJ113" s="68"/>
      <c r="MK113" s="67"/>
      <c r="ML113" s="67"/>
      <c r="MM113" s="67"/>
      <c r="MN113" s="66"/>
      <c r="MO113" s="67"/>
      <c r="MP113" s="68"/>
      <c r="MQ113" s="66"/>
      <c r="MR113" s="67"/>
      <c r="MS113" s="68"/>
      <c r="MT113" s="66"/>
      <c r="MU113" s="67"/>
      <c r="MV113" s="68"/>
      <c r="MW113" s="66"/>
      <c r="MX113" s="67"/>
      <c r="MY113" s="68"/>
      <c r="MZ113" s="66"/>
      <c r="NA113" s="67"/>
      <c r="NB113" s="68"/>
      <c r="NC113" s="67"/>
      <c r="ND113" s="67"/>
      <c r="NE113" s="72"/>
      <c r="NG113" s="275"/>
      <c r="NH113" s="1"/>
      <c r="NI113" s="1"/>
      <c r="NJ113" s="1"/>
      <c r="NK113" s="1"/>
    </row>
    <row r="114" spans="5:375" s="6" customFormat="1" ht="9.9499999999999993" customHeight="1">
      <c r="F114" s="196">
        <f t="shared" ref="F114" si="402">NG114</f>
        <v>1.47E-3</v>
      </c>
      <c r="G114" s="197">
        <f>Q114-F114</f>
        <v>0</v>
      </c>
      <c r="H114" s="27">
        <v>1</v>
      </c>
      <c r="I114" s="19" t="s">
        <v>221</v>
      </c>
      <c r="J114" s="19" t="s">
        <v>184</v>
      </c>
      <c r="K114" s="19" t="s">
        <v>229</v>
      </c>
      <c r="L114" s="367"/>
      <c r="M114" s="358" t="s">
        <v>58</v>
      </c>
      <c r="N114" s="313">
        <v>305</v>
      </c>
      <c r="O114" s="312" t="s">
        <v>57</v>
      </c>
      <c r="P114" s="307">
        <v>307005</v>
      </c>
      <c r="Q114" s="236">
        <f>ROUND(P114/$P$256,5)</f>
        <v>1.47E-3</v>
      </c>
      <c r="R114" s="21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3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5"/>
      <c r="CA114" s="53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4"/>
      <c r="CY114" s="54"/>
      <c r="CZ114" s="54"/>
      <c r="DA114" s="54"/>
      <c r="DB114" s="54"/>
      <c r="DC114" s="54"/>
      <c r="DD114" s="54"/>
      <c r="DE114" s="53"/>
      <c r="DF114" s="54"/>
      <c r="DG114" s="54"/>
      <c r="DH114" s="54"/>
      <c r="DI114" s="54"/>
      <c r="DJ114" s="54"/>
      <c r="DK114" s="54"/>
      <c r="DL114" s="54"/>
      <c r="DM114" s="54"/>
      <c r="DN114" s="54"/>
      <c r="DO114" s="54"/>
      <c r="DP114" s="54"/>
      <c r="DQ114" s="54"/>
      <c r="DR114" s="54"/>
      <c r="DS114" s="54"/>
      <c r="DT114" s="54"/>
      <c r="DU114" s="54"/>
      <c r="DV114" s="54"/>
      <c r="DW114" s="54"/>
      <c r="DX114" s="54"/>
      <c r="DY114" s="54"/>
      <c r="DZ114" s="54"/>
      <c r="EA114" s="54"/>
      <c r="EB114" s="54"/>
      <c r="EC114" s="54"/>
      <c r="ED114" s="54"/>
      <c r="EE114" s="54"/>
      <c r="EF114" s="54"/>
      <c r="EG114" s="54"/>
      <c r="EH114" s="54"/>
      <c r="EI114" s="54"/>
      <c r="EJ114" s="54"/>
      <c r="EK114" s="54"/>
      <c r="EL114" s="54"/>
      <c r="EM114" s="54"/>
      <c r="EN114" s="54"/>
      <c r="EO114" s="54"/>
      <c r="EP114" s="54"/>
      <c r="EQ114" s="54"/>
      <c r="ER114" s="54"/>
      <c r="ES114" s="54"/>
      <c r="ET114" s="54"/>
      <c r="EU114" s="54"/>
      <c r="EV114" s="54"/>
      <c r="EW114" s="54"/>
      <c r="EX114" s="54"/>
      <c r="EY114" s="54"/>
      <c r="EZ114" s="54"/>
      <c r="FA114" s="54"/>
      <c r="FB114" s="54"/>
      <c r="FC114" s="54"/>
      <c r="FD114" s="54"/>
      <c r="FE114" s="54"/>
      <c r="FF114" s="54"/>
      <c r="FG114" s="54"/>
      <c r="FH114" s="54"/>
      <c r="FI114" s="54"/>
      <c r="FJ114" s="54"/>
      <c r="FK114" s="54"/>
      <c r="FL114" s="54"/>
      <c r="FM114" s="53"/>
      <c r="FN114" s="54"/>
      <c r="FO114" s="54"/>
      <c r="FP114" s="54"/>
      <c r="FQ114" s="54"/>
      <c r="FR114" s="54"/>
      <c r="FS114" s="54"/>
      <c r="FT114" s="54"/>
      <c r="FU114" s="54"/>
      <c r="FV114" s="54"/>
      <c r="FW114" s="54"/>
      <c r="FX114" s="54"/>
      <c r="FY114" s="54"/>
      <c r="FZ114" s="54"/>
      <c r="GA114" s="54"/>
      <c r="GB114" s="54"/>
      <c r="GC114" s="54"/>
      <c r="GD114" s="54"/>
      <c r="GE114" s="54"/>
      <c r="GF114" s="54"/>
      <c r="GG114" s="54"/>
      <c r="GH114" s="54"/>
      <c r="GI114" s="54"/>
      <c r="GJ114" s="54"/>
      <c r="GK114" s="54"/>
      <c r="GL114" s="54"/>
      <c r="GM114" s="54"/>
      <c r="GN114" s="54"/>
      <c r="GO114" s="54"/>
      <c r="GP114" s="54"/>
      <c r="GQ114" s="54"/>
      <c r="GR114" s="54"/>
      <c r="GS114" s="54"/>
      <c r="GT114" s="54"/>
      <c r="GU114" s="54"/>
      <c r="GV114" s="54"/>
      <c r="GW114" s="54"/>
      <c r="GX114" s="54"/>
      <c r="GY114" s="54"/>
      <c r="GZ114" s="54"/>
      <c r="HA114" s="54"/>
      <c r="HB114" s="54"/>
      <c r="HC114" s="54"/>
      <c r="HD114" s="54"/>
      <c r="HE114" s="54"/>
      <c r="HF114" s="54"/>
      <c r="HG114" s="54"/>
      <c r="HH114" s="54"/>
      <c r="HI114" s="54"/>
      <c r="HJ114" s="54"/>
      <c r="HK114" s="54"/>
      <c r="HL114" s="54"/>
      <c r="HM114" s="54"/>
      <c r="HN114" s="54"/>
      <c r="HO114" s="54"/>
      <c r="HP114" s="54"/>
      <c r="HQ114" s="54"/>
      <c r="HR114" s="54"/>
      <c r="HS114" s="54"/>
      <c r="HT114" s="54"/>
      <c r="HU114" s="53"/>
      <c r="HV114" s="54"/>
      <c r="HW114" s="54"/>
      <c r="HX114" s="54"/>
      <c r="HY114" s="54"/>
      <c r="HZ114" s="54"/>
      <c r="IA114" s="54"/>
      <c r="IB114" s="54"/>
      <c r="IC114" s="54"/>
      <c r="ID114" s="54"/>
      <c r="IE114" s="54"/>
      <c r="IF114" s="54"/>
      <c r="IG114" s="54"/>
      <c r="IH114" s="54"/>
      <c r="II114" s="54"/>
      <c r="IJ114" s="54"/>
      <c r="IK114" s="54"/>
      <c r="IL114" s="54"/>
      <c r="IM114" s="54"/>
      <c r="IN114" s="54"/>
      <c r="IO114" s="54"/>
      <c r="IP114" s="54"/>
      <c r="IQ114" s="54"/>
      <c r="IR114" s="54"/>
      <c r="IS114" s="54"/>
      <c r="IT114" s="54"/>
      <c r="IU114" s="54"/>
      <c r="IV114" s="54"/>
      <c r="IW114" s="54"/>
      <c r="IX114" s="54"/>
      <c r="IY114" s="53"/>
      <c r="IZ114" s="54"/>
      <c r="JA114" s="54"/>
      <c r="JB114" s="54"/>
      <c r="JC114" s="54"/>
      <c r="JD114" s="54"/>
      <c r="JE114" s="54"/>
      <c r="JF114" s="54"/>
      <c r="JG114" s="54"/>
      <c r="JH114" s="54"/>
      <c r="JI114" s="54"/>
      <c r="JJ114" s="54"/>
      <c r="JK114" s="54"/>
      <c r="JL114" s="54"/>
      <c r="JM114" s="54"/>
      <c r="JN114" s="54"/>
      <c r="JO114" s="54"/>
      <c r="JP114" s="54"/>
      <c r="JQ114" s="54"/>
      <c r="JR114" s="54"/>
      <c r="JS114" s="54"/>
      <c r="JT114" s="54"/>
      <c r="JU114" s="54"/>
      <c r="JV114" s="54"/>
      <c r="JW114" s="54"/>
      <c r="JX114" s="54"/>
      <c r="JY114" s="54"/>
      <c r="JZ114" s="54"/>
      <c r="KA114" s="54"/>
      <c r="KB114" s="54"/>
      <c r="KC114" s="53"/>
      <c r="KD114" s="54"/>
      <c r="KE114" s="55"/>
      <c r="KF114" s="54"/>
      <c r="KG114" s="54"/>
      <c r="KH114" s="54"/>
      <c r="KI114" s="53"/>
      <c r="KJ114" s="54"/>
      <c r="KK114" s="55"/>
      <c r="KL114" s="54"/>
      <c r="KM114" s="54"/>
      <c r="KN114" s="54"/>
      <c r="KO114" s="53"/>
      <c r="KP114" s="54"/>
      <c r="KQ114" s="55"/>
      <c r="KR114" s="54"/>
      <c r="KS114" s="54"/>
      <c r="KT114" s="54"/>
      <c r="KU114" s="53"/>
      <c r="KV114" s="54"/>
      <c r="KW114" s="55"/>
      <c r="KX114" s="54"/>
      <c r="KY114" s="54"/>
      <c r="KZ114" s="54"/>
      <c r="LA114" s="57"/>
      <c r="LB114" s="54"/>
      <c r="LC114" s="58"/>
      <c r="LD114" s="54"/>
      <c r="LE114" s="54"/>
      <c r="LF114" s="54"/>
      <c r="LG114" s="212"/>
      <c r="LH114" s="212"/>
      <c r="LI114" s="212"/>
      <c r="LJ114" s="220"/>
      <c r="LK114" s="212"/>
      <c r="LL114" s="212"/>
      <c r="LM114" s="212">
        <v>2.3000000000000001E-4</v>
      </c>
      <c r="LN114" s="212"/>
      <c r="LO114" s="212"/>
      <c r="LP114" s="212">
        <v>2.3000000000000001E-4</v>
      </c>
      <c r="LQ114" s="212"/>
      <c r="LR114" s="212"/>
      <c r="LS114" s="212">
        <v>2.3000000000000001E-4</v>
      </c>
      <c r="LT114" s="212"/>
      <c r="LU114" s="212"/>
      <c r="LV114" s="212">
        <v>2.3000000000000001E-4</v>
      </c>
      <c r="LW114" s="212"/>
      <c r="LX114" s="212"/>
      <c r="LY114" s="212">
        <v>3.3E-4</v>
      </c>
      <c r="LZ114" s="212"/>
      <c r="MA114" s="212"/>
      <c r="MB114" s="54"/>
      <c r="MC114" s="54"/>
      <c r="MD114" s="54"/>
      <c r="ME114" s="53"/>
      <c r="MF114" s="54"/>
      <c r="MG114" s="55"/>
      <c r="MH114" s="53"/>
      <c r="MI114" s="54"/>
      <c r="MJ114" s="55"/>
      <c r="MK114" s="212">
        <v>2.2000000000000001E-4</v>
      </c>
      <c r="ML114" s="212"/>
      <c r="MM114" s="212"/>
      <c r="MN114" s="53"/>
      <c r="MO114" s="54"/>
      <c r="MP114" s="55"/>
      <c r="MQ114" s="53"/>
      <c r="MR114" s="54"/>
      <c r="MS114" s="55"/>
      <c r="MT114" s="53"/>
      <c r="MU114" s="54"/>
      <c r="MV114" s="55"/>
      <c r="MW114" s="53"/>
      <c r="MX114" s="54"/>
      <c r="MY114" s="55"/>
      <c r="MZ114" s="53"/>
      <c r="NA114" s="54"/>
      <c r="NB114" s="55"/>
      <c r="NC114" s="54"/>
      <c r="ND114" s="54"/>
      <c r="NE114" s="59"/>
      <c r="NG114" s="275">
        <f>SUM(R114:NE114)</f>
        <v>1.47E-3</v>
      </c>
      <c r="NH114" s="1"/>
      <c r="NI114" s="1"/>
      <c r="NJ114" s="1"/>
      <c r="NK114" s="1"/>
    </row>
    <row r="115" spans="5:375" s="6" customFormat="1" ht="6.95" customHeight="1">
      <c r="F115" s="196"/>
      <c r="G115" s="197"/>
      <c r="H115" s="52">
        <v>2</v>
      </c>
      <c r="L115" s="367"/>
      <c r="M115" s="359"/>
      <c r="N115" s="314"/>
      <c r="O115" s="306"/>
      <c r="P115" s="308"/>
      <c r="Q115" s="237"/>
      <c r="R115" s="6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39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1"/>
      <c r="CA115" s="39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40"/>
      <c r="DB115" s="40"/>
      <c r="DC115" s="40"/>
      <c r="DD115" s="40"/>
      <c r="DE115" s="39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 s="40"/>
      <c r="DT115" s="40"/>
      <c r="DU115" s="40"/>
      <c r="DV115" s="40"/>
      <c r="DW115" s="40"/>
      <c r="DX115" s="40"/>
      <c r="DY115" s="40"/>
      <c r="DZ115" s="40"/>
      <c r="EA115" s="40"/>
      <c r="EB115" s="40"/>
      <c r="EC115" s="40"/>
      <c r="ED115" s="40"/>
      <c r="EE115" s="40"/>
      <c r="EF115" s="40"/>
      <c r="EG115" s="40"/>
      <c r="EH115" s="40"/>
      <c r="EI115" s="40"/>
      <c r="EJ115" s="40"/>
      <c r="EK115" s="40"/>
      <c r="EL115" s="40"/>
      <c r="EM115" s="40"/>
      <c r="EN115" s="40"/>
      <c r="EO115" s="40"/>
      <c r="EP115" s="40"/>
      <c r="EQ115" s="40"/>
      <c r="ER115" s="40"/>
      <c r="ES115" s="40"/>
      <c r="ET115" s="40"/>
      <c r="EU115" s="40"/>
      <c r="EV115" s="40"/>
      <c r="EW115" s="40"/>
      <c r="EX115" s="40"/>
      <c r="EY115" s="40"/>
      <c r="EZ115" s="40"/>
      <c r="FA115" s="40"/>
      <c r="FB115" s="40"/>
      <c r="FC115" s="40"/>
      <c r="FD115" s="40"/>
      <c r="FE115" s="40"/>
      <c r="FF115" s="40"/>
      <c r="FG115" s="40"/>
      <c r="FH115" s="40"/>
      <c r="FI115" s="40"/>
      <c r="FJ115" s="40"/>
      <c r="FK115" s="40"/>
      <c r="FL115" s="40"/>
      <c r="FM115" s="39"/>
      <c r="FN115" s="40"/>
      <c r="FO115" s="40"/>
      <c r="FP115" s="40"/>
      <c r="FQ115" s="40"/>
      <c r="FR115" s="40"/>
      <c r="FS115" s="40"/>
      <c r="FT115" s="40"/>
      <c r="FU115" s="40"/>
      <c r="FV115" s="40"/>
      <c r="FW115" s="40"/>
      <c r="FX115" s="40"/>
      <c r="FY115" s="40"/>
      <c r="FZ115" s="40"/>
      <c r="GA115" s="40"/>
      <c r="GB115" s="40"/>
      <c r="GC115" s="40"/>
      <c r="GD115" s="40"/>
      <c r="GE115" s="40"/>
      <c r="GF115" s="40"/>
      <c r="GG115" s="40"/>
      <c r="GH115" s="40"/>
      <c r="GI115" s="40"/>
      <c r="GJ115" s="40"/>
      <c r="GK115" s="40"/>
      <c r="GL115" s="40"/>
      <c r="GM115" s="40"/>
      <c r="GN115" s="40"/>
      <c r="GO115" s="40"/>
      <c r="GP115" s="40"/>
      <c r="GQ115" s="40"/>
      <c r="GR115" s="40"/>
      <c r="GS115" s="40"/>
      <c r="GT115" s="40"/>
      <c r="GU115" s="40"/>
      <c r="GV115" s="40"/>
      <c r="GW115" s="40"/>
      <c r="GX115" s="40"/>
      <c r="GY115" s="40"/>
      <c r="GZ115" s="40"/>
      <c r="HA115" s="40"/>
      <c r="HB115" s="40"/>
      <c r="HC115" s="40"/>
      <c r="HD115" s="40"/>
      <c r="HE115" s="40"/>
      <c r="HF115" s="40"/>
      <c r="HG115" s="40"/>
      <c r="HH115" s="40"/>
      <c r="HI115" s="40"/>
      <c r="HJ115" s="40"/>
      <c r="HK115" s="40"/>
      <c r="HL115" s="40"/>
      <c r="HM115" s="40"/>
      <c r="HN115" s="40"/>
      <c r="HO115" s="40"/>
      <c r="HP115" s="40"/>
      <c r="HQ115" s="40"/>
      <c r="HR115" s="40"/>
      <c r="HS115" s="40"/>
      <c r="HT115" s="40"/>
      <c r="HU115" s="39"/>
      <c r="HV115" s="40"/>
      <c r="HW115" s="40"/>
      <c r="HX115" s="40"/>
      <c r="HY115" s="40"/>
      <c r="HZ115" s="40"/>
      <c r="IA115" s="40"/>
      <c r="IB115" s="40"/>
      <c r="IC115" s="40"/>
      <c r="ID115" s="40"/>
      <c r="IE115" s="40"/>
      <c r="IF115" s="40"/>
      <c r="IG115" s="40"/>
      <c r="IH115" s="40"/>
      <c r="II115" s="40"/>
      <c r="IJ115" s="40"/>
      <c r="IK115" s="40"/>
      <c r="IL115" s="40"/>
      <c r="IM115" s="40"/>
      <c r="IN115" s="40"/>
      <c r="IO115" s="40"/>
      <c r="IP115" s="40"/>
      <c r="IQ115" s="40"/>
      <c r="IR115" s="40"/>
      <c r="IS115" s="40"/>
      <c r="IT115" s="40"/>
      <c r="IU115" s="40"/>
      <c r="IV115" s="40"/>
      <c r="IW115" s="40"/>
      <c r="IX115" s="40"/>
      <c r="IY115" s="39"/>
      <c r="IZ115" s="40"/>
      <c r="JA115" s="40"/>
      <c r="JB115" s="40"/>
      <c r="JC115" s="40"/>
      <c r="JD115" s="40"/>
      <c r="JE115" s="40"/>
      <c r="JF115" s="40"/>
      <c r="JG115" s="40"/>
      <c r="JH115" s="40"/>
      <c r="JI115" s="40"/>
      <c r="JJ115" s="40"/>
      <c r="JK115" s="40"/>
      <c r="JL115" s="40"/>
      <c r="JM115" s="40"/>
      <c r="JN115" s="40"/>
      <c r="JO115" s="40"/>
      <c r="JP115" s="40"/>
      <c r="JQ115" s="40"/>
      <c r="JR115" s="40"/>
      <c r="JS115" s="40"/>
      <c r="JT115" s="40"/>
      <c r="JU115" s="40"/>
      <c r="JV115" s="40"/>
      <c r="JW115" s="40"/>
      <c r="JX115" s="40"/>
      <c r="JY115" s="40"/>
      <c r="JZ115" s="40"/>
      <c r="KA115" s="40"/>
      <c r="KB115" s="40"/>
      <c r="KC115" s="39"/>
      <c r="KD115" s="40"/>
      <c r="KE115" s="41"/>
      <c r="KF115" s="40"/>
      <c r="KG115" s="40"/>
      <c r="KH115" s="40"/>
      <c r="KI115" s="39"/>
      <c r="KJ115" s="40"/>
      <c r="KK115" s="41"/>
      <c r="KL115" s="40"/>
      <c r="KM115" s="40"/>
      <c r="KN115" s="40"/>
      <c r="KO115" s="39"/>
      <c r="KP115" s="40"/>
      <c r="KQ115" s="41"/>
      <c r="KR115" s="40"/>
      <c r="KS115" s="40"/>
      <c r="KT115" s="40"/>
      <c r="KU115" s="39"/>
      <c r="KV115" s="40"/>
      <c r="KW115" s="41"/>
      <c r="KX115" s="40"/>
      <c r="KY115" s="40"/>
      <c r="KZ115" s="40"/>
      <c r="LA115" s="64"/>
      <c r="LB115" s="40"/>
      <c r="LC115" s="65"/>
      <c r="LD115" s="40"/>
      <c r="LE115" s="40"/>
      <c r="LF115" s="40"/>
      <c r="LG115" s="39"/>
      <c r="LH115" s="40"/>
      <c r="LI115" s="41"/>
      <c r="LJ115" s="40"/>
      <c r="LK115" s="40"/>
      <c r="LL115" s="41"/>
      <c r="LM115" s="61"/>
      <c r="LN115" s="62"/>
      <c r="LO115" s="63"/>
      <c r="LP115" s="61"/>
      <c r="LQ115" s="62"/>
      <c r="LR115" s="63"/>
      <c r="LS115" s="61"/>
      <c r="LT115" s="62"/>
      <c r="LU115" s="63"/>
      <c r="LV115" s="61"/>
      <c r="LW115" s="62"/>
      <c r="LX115" s="63"/>
      <c r="LY115" s="61"/>
      <c r="LZ115" s="62"/>
      <c r="MA115" s="63"/>
      <c r="MB115" s="40"/>
      <c r="MC115" s="40"/>
      <c r="MD115" s="40"/>
      <c r="ME115" s="39"/>
      <c r="MF115" s="40"/>
      <c r="MG115" s="41"/>
      <c r="MH115" s="39"/>
      <c r="MI115" s="40"/>
      <c r="MJ115" s="41"/>
      <c r="MK115" s="61"/>
      <c r="ML115" s="62"/>
      <c r="MM115" s="63"/>
      <c r="MN115" s="39"/>
      <c r="MO115" s="40"/>
      <c r="MP115" s="41"/>
      <c r="MQ115" s="39"/>
      <c r="MR115" s="40"/>
      <c r="MS115" s="41"/>
      <c r="MT115" s="39"/>
      <c r="MU115" s="40"/>
      <c r="MV115" s="41"/>
      <c r="MW115" s="39"/>
      <c r="MX115" s="40"/>
      <c r="MY115" s="41"/>
      <c r="MZ115" s="39"/>
      <c r="NA115" s="40"/>
      <c r="NB115" s="41"/>
      <c r="NC115" s="40"/>
      <c r="ND115" s="40"/>
      <c r="NE115" s="42"/>
      <c r="NG115" s="275"/>
      <c r="NH115" s="1"/>
      <c r="NI115" s="1"/>
      <c r="NJ115" s="1"/>
      <c r="NK115" s="1"/>
    </row>
    <row r="116" spans="5:375" s="6" customFormat="1" ht="9.9499999999999993" customHeight="1">
      <c r="F116" s="196">
        <f t="shared" ref="F116" si="403">NG116</f>
        <v>1.8100000000000002E-3</v>
      </c>
      <c r="G116" s="197">
        <f>Q116-F116</f>
        <v>0</v>
      </c>
      <c r="H116" s="27">
        <v>1</v>
      </c>
      <c r="I116" s="19" t="s">
        <v>224</v>
      </c>
      <c r="J116" s="19" t="s">
        <v>184</v>
      </c>
      <c r="K116" s="19" t="s">
        <v>225</v>
      </c>
      <c r="L116" s="367"/>
      <c r="M116" s="300" t="s">
        <v>10</v>
      </c>
      <c r="N116" s="301">
        <v>61</v>
      </c>
      <c r="O116" s="302" t="s">
        <v>295</v>
      </c>
      <c r="P116" s="315">
        <v>377084</v>
      </c>
      <c r="Q116" s="236">
        <f>ROUND(P116/$P$256,5)</f>
        <v>1.81E-3</v>
      </c>
      <c r="R116" s="73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6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8"/>
      <c r="CA116" s="66"/>
      <c r="CB116" s="67"/>
      <c r="CC116" s="67"/>
      <c r="CD116" s="67"/>
      <c r="CE116" s="67"/>
      <c r="CF116" s="67"/>
      <c r="CG116" s="67"/>
      <c r="CH116" s="67"/>
      <c r="CI116" s="67"/>
      <c r="CJ116" s="67"/>
      <c r="CK116" s="67"/>
      <c r="CL116" s="67"/>
      <c r="CM116" s="67"/>
      <c r="CN116" s="67"/>
      <c r="CO116" s="67"/>
      <c r="CP116" s="67"/>
      <c r="CQ116" s="67"/>
      <c r="CR116" s="67"/>
      <c r="CS116" s="67"/>
      <c r="CT116" s="67"/>
      <c r="CU116" s="67"/>
      <c r="CV116" s="67"/>
      <c r="CW116" s="67"/>
      <c r="CX116" s="67"/>
      <c r="CY116" s="67"/>
      <c r="CZ116" s="67"/>
      <c r="DA116" s="67"/>
      <c r="DB116" s="67"/>
      <c r="DC116" s="67"/>
      <c r="DD116" s="67"/>
      <c r="DE116" s="66"/>
      <c r="DF116" s="67"/>
      <c r="DG116" s="67"/>
      <c r="DH116" s="67"/>
      <c r="DI116" s="67"/>
      <c r="DJ116" s="67"/>
      <c r="DK116" s="67"/>
      <c r="DL116" s="67"/>
      <c r="DM116" s="67"/>
      <c r="DN116" s="67"/>
      <c r="DO116" s="67"/>
      <c r="DP116" s="67"/>
      <c r="DQ116" s="67"/>
      <c r="DR116" s="67"/>
      <c r="DS116" s="67"/>
      <c r="DT116" s="67"/>
      <c r="DU116" s="67"/>
      <c r="DV116" s="67"/>
      <c r="DW116" s="67"/>
      <c r="DX116" s="67"/>
      <c r="DY116" s="67"/>
      <c r="DZ116" s="67"/>
      <c r="EA116" s="67"/>
      <c r="EB116" s="67"/>
      <c r="EC116" s="67"/>
      <c r="ED116" s="67"/>
      <c r="EE116" s="67"/>
      <c r="EF116" s="67"/>
      <c r="EG116" s="67"/>
      <c r="EH116" s="67"/>
      <c r="EI116" s="67"/>
      <c r="EJ116" s="67"/>
      <c r="EK116" s="67"/>
      <c r="EL116" s="67"/>
      <c r="EM116" s="67"/>
      <c r="EN116" s="67"/>
      <c r="EO116" s="67"/>
      <c r="EP116" s="67"/>
      <c r="EQ116" s="67"/>
      <c r="ER116" s="67"/>
      <c r="ES116" s="67"/>
      <c r="ET116" s="67"/>
      <c r="EU116" s="67"/>
      <c r="EV116" s="67"/>
      <c r="EW116" s="67"/>
      <c r="EX116" s="67"/>
      <c r="EY116" s="67"/>
      <c r="EZ116" s="67"/>
      <c r="FA116" s="67"/>
      <c r="FB116" s="67"/>
      <c r="FC116" s="67"/>
      <c r="FD116" s="67"/>
      <c r="FE116" s="67"/>
      <c r="FF116" s="67"/>
      <c r="FG116" s="67"/>
      <c r="FH116" s="67"/>
      <c r="FI116" s="67"/>
      <c r="FJ116" s="67"/>
      <c r="FK116" s="67"/>
      <c r="FL116" s="67"/>
      <c r="FM116" s="66"/>
      <c r="FN116" s="67"/>
      <c r="FO116" s="67"/>
      <c r="FP116" s="67"/>
      <c r="FQ116" s="67"/>
      <c r="FR116" s="67"/>
      <c r="FS116" s="67"/>
      <c r="FT116" s="67"/>
      <c r="FU116" s="67"/>
      <c r="FV116" s="67"/>
      <c r="FW116" s="67"/>
      <c r="FX116" s="67"/>
      <c r="FY116" s="67"/>
      <c r="FZ116" s="67"/>
      <c r="GA116" s="67"/>
      <c r="GB116" s="67"/>
      <c r="GC116" s="67"/>
      <c r="GD116" s="67"/>
      <c r="GE116" s="67"/>
      <c r="GF116" s="67"/>
      <c r="GG116" s="67"/>
      <c r="GH116" s="67"/>
      <c r="GI116" s="67"/>
      <c r="GJ116" s="67"/>
      <c r="GK116" s="67"/>
      <c r="GL116" s="67"/>
      <c r="GM116" s="67"/>
      <c r="GN116" s="67"/>
      <c r="GO116" s="67"/>
      <c r="GP116" s="67"/>
      <c r="GQ116" s="67"/>
      <c r="GR116" s="67"/>
      <c r="GS116" s="67"/>
      <c r="GT116" s="67"/>
      <c r="GU116" s="67"/>
      <c r="GV116" s="67"/>
      <c r="GW116" s="67"/>
      <c r="GX116" s="67"/>
      <c r="GY116" s="67"/>
      <c r="GZ116" s="67"/>
      <c r="HA116" s="67"/>
      <c r="HB116" s="67"/>
      <c r="HC116" s="67"/>
      <c r="HD116" s="67"/>
      <c r="HE116" s="67"/>
      <c r="HF116" s="67"/>
      <c r="HG116" s="67"/>
      <c r="HH116" s="67"/>
      <c r="HI116" s="67"/>
      <c r="HJ116" s="67"/>
      <c r="HK116" s="67"/>
      <c r="HL116" s="67"/>
      <c r="HM116" s="67"/>
      <c r="HN116" s="67"/>
      <c r="HO116" s="67"/>
      <c r="HP116" s="67"/>
      <c r="HQ116" s="67"/>
      <c r="HR116" s="67"/>
      <c r="HS116" s="67"/>
      <c r="HT116" s="67"/>
      <c r="HU116" s="66"/>
      <c r="HV116" s="67"/>
      <c r="HW116" s="67"/>
      <c r="HX116" s="67"/>
      <c r="HY116" s="67"/>
      <c r="HZ116" s="67"/>
      <c r="IA116" s="67"/>
      <c r="IB116" s="67"/>
      <c r="IC116" s="67"/>
      <c r="ID116" s="67"/>
      <c r="IE116" s="67"/>
      <c r="IF116" s="67"/>
      <c r="IG116" s="67"/>
      <c r="IH116" s="67"/>
      <c r="II116" s="67"/>
      <c r="IJ116" s="67"/>
      <c r="IK116" s="67"/>
      <c r="IL116" s="67"/>
      <c r="IM116" s="67"/>
      <c r="IN116" s="67"/>
      <c r="IO116" s="67"/>
      <c r="IP116" s="67"/>
      <c r="IQ116" s="67"/>
      <c r="IR116" s="67"/>
      <c r="IS116" s="67"/>
      <c r="IT116" s="67"/>
      <c r="IU116" s="67"/>
      <c r="IV116" s="67"/>
      <c r="IW116" s="67"/>
      <c r="IX116" s="67"/>
      <c r="IY116" s="66"/>
      <c r="IZ116" s="67"/>
      <c r="JA116" s="67"/>
      <c r="JB116" s="67"/>
      <c r="JC116" s="67"/>
      <c r="JD116" s="67"/>
      <c r="JE116" s="67"/>
      <c r="JF116" s="67"/>
      <c r="JG116" s="67"/>
      <c r="JH116" s="67"/>
      <c r="JI116" s="67"/>
      <c r="JJ116" s="67"/>
      <c r="JK116" s="67"/>
      <c r="JL116" s="67"/>
      <c r="JM116" s="67"/>
      <c r="JN116" s="67"/>
      <c r="JO116" s="67"/>
      <c r="JP116" s="67"/>
      <c r="JQ116" s="67"/>
      <c r="JR116" s="67"/>
      <c r="JS116" s="67"/>
      <c r="JT116" s="67"/>
      <c r="JU116" s="67"/>
      <c r="JV116" s="67"/>
      <c r="JW116" s="67"/>
      <c r="JX116" s="67"/>
      <c r="JY116" s="67"/>
      <c r="JZ116" s="67"/>
      <c r="KA116" s="67"/>
      <c r="KB116" s="67"/>
      <c r="KC116" s="66"/>
      <c r="KD116" s="67"/>
      <c r="KE116" s="68"/>
      <c r="KF116" s="67"/>
      <c r="KG116" s="67"/>
      <c r="KH116" s="67"/>
      <c r="KI116" s="66"/>
      <c r="KJ116" s="67"/>
      <c r="KK116" s="68"/>
      <c r="KL116" s="67"/>
      <c r="KM116" s="67"/>
      <c r="KN116" s="67"/>
      <c r="KO116" s="66"/>
      <c r="KP116" s="67"/>
      <c r="KQ116" s="68"/>
      <c r="KR116" s="67"/>
      <c r="KS116" s="67"/>
      <c r="KT116" s="67"/>
      <c r="KU116" s="66"/>
      <c r="KV116" s="67"/>
      <c r="KW116" s="68"/>
      <c r="KX116" s="67"/>
      <c r="KY116" s="67"/>
      <c r="KZ116" s="67"/>
      <c r="LA116" s="70"/>
      <c r="LB116" s="67"/>
      <c r="LC116" s="71"/>
      <c r="LD116" s="67"/>
      <c r="LE116" s="67"/>
      <c r="LF116" s="67"/>
      <c r="LG116" s="66"/>
      <c r="LH116" s="67"/>
      <c r="LI116" s="68"/>
      <c r="LJ116" s="214">
        <v>3.4000000000000002E-4</v>
      </c>
      <c r="LK116" s="214"/>
      <c r="LL116" s="214"/>
      <c r="LM116" s="214">
        <v>3.4000000000000002E-4</v>
      </c>
      <c r="LN116" s="214"/>
      <c r="LO116" s="214"/>
      <c r="LP116" s="214">
        <v>4.2999999999999999E-4</v>
      </c>
      <c r="LQ116" s="214"/>
      <c r="LR116" s="214"/>
      <c r="LS116" s="214">
        <v>3.6000000000000002E-4</v>
      </c>
      <c r="LT116" s="214"/>
      <c r="LU116" s="214"/>
      <c r="LV116" s="214">
        <v>3.4000000000000002E-4</v>
      </c>
      <c r="LW116" s="214"/>
      <c r="LX116" s="214"/>
      <c r="LY116" s="214"/>
      <c r="LZ116" s="214"/>
      <c r="MA116" s="214"/>
      <c r="MB116" s="67"/>
      <c r="MC116" s="67"/>
      <c r="MD116" s="67"/>
      <c r="ME116" s="66"/>
      <c r="MF116" s="67"/>
      <c r="MG116" s="68"/>
      <c r="MH116" s="66"/>
      <c r="MI116" s="67"/>
      <c r="MJ116" s="68"/>
      <c r="MK116" s="67"/>
      <c r="ML116" s="67"/>
      <c r="MM116" s="67"/>
      <c r="MN116" s="66"/>
      <c r="MO116" s="67"/>
      <c r="MP116" s="68"/>
      <c r="MQ116" s="66"/>
      <c r="MR116" s="67"/>
      <c r="MS116" s="68"/>
      <c r="MT116" s="66"/>
      <c r="MU116" s="67"/>
      <c r="MV116" s="68"/>
      <c r="MW116" s="66"/>
      <c r="MX116" s="67"/>
      <c r="MY116" s="68"/>
      <c r="MZ116" s="66"/>
      <c r="NA116" s="67"/>
      <c r="NB116" s="68"/>
      <c r="NC116" s="67"/>
      <c r="ND116" s="67"/>
      <c r="NE116" s="72"/>
      <c r="NG116" s="275">
        <f>SUM(R116:NE116)</f>
        <v>1.8100000000000002E-3</v>
      </c>
      <c r="NH116" s="1"/>
      <c r="NI116" s="1"/>
      <c r="NJ116" s="1"/>
      <c r="NK116" s="1"/>
    </row>
    <row r="117" spans="5:375" s="6" customFormat="1" ht="6.95" customHeight="1">
      <c r="F117" s="196"/>
      <c r="G117" s="197"/>
      <c r="H117" s="52">
        <v>2</v>
      </c>
      <c r="L117" s="367"/>
      <c r="M117" s="300"/>
      <c r="N117" s="301"/>
      <c r="O117" s="302"/>
      <c r="P117" s="315"/>
      <c r="Q117" s="237"/>
      <c r="R117" s="73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6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7"/>
      <c r="BZ117" s="68"/>
      <c r="CA117" s="66"/>
      <c r="CB117" s="67"/>
      <c r="CC117" s="67"/>
      <c r="CD117" s="67"/>
      <c r="CE117" s="67"/>
      <c r="CF117" s="67"/>
      <c r="CG117" s="67"/>
      <c r="CH117" s="67"/>
      <c r="CI117" s="67"/>
      <c r="CJ117" s="67"/>
      <c r="CK117" s="67"/>
      <c r="CL117" s="67"/>
      <c r="CM117" s="67"/>
      <c r="CN117" s="67"/>
      <c r="CO117" s="67"/>
      <c r="CP117" s="67"/>
      <c r="CQ117" s="67"/>
      <c r="CR117" s="67"/>
      <c r="CS117" s="67"/>
      <c r="CT117" s="67"/>
      <c r="CU117" s="67"/>
      <c r="CV117" s="67"/>
      <c r="CW117" s="67"/>
      <c r="CX117" s="67"/>
      <c r="CY117" s="67"/>
      <c r="CZ117" s="67"/>
      <c r="DA117" s="67"/>
      <c r="DB117" s="67"/>
      <c r="DC117" s="67"/>
      <c r="DD117" s="67"/>
      <c r="DE117" s="66"/>
      <c r="DF117" s="67"/>
      <c r="DG117" s="67"/>
      <c r="DH117" s="67"/>
      <c r="DI117" s="67"/>
      <c r="DJ117" s="67"/>
      <c r="DK117" s="67"/>
      <c r="DL117" s="67"/>
      <c r="DM117" s="67"/>
      <c r="DN117" s="67"/>
      <c r="DO117" s="67"/>
      <c r="DP117" s="67"/>
      <c r="DQ117" s="67"/>
      <c r="DR117" s="67"/>
      <c r="DS117" s="67"/>
      <c r="DT117" s="67"/>
      <c r="DU117" s="67"/>
      <c r="DV117" s="67"/>
      <c r="DW117" s="67"/>
      <c r="DX117" s="67"/>
      <c r="DY117" s="67"/>
      <c r="DZ117" s="67"/>
      <c r="EA117" s="67"/>
      <c r="EB117" s="67"/>
      <c r="EC117" s="67"/>
      <c r="ED117" s="67"/>
      <c r="EE117" s="67"/>
      <c r="EF117" s="67"/>
      <c r="EG117" s="67"/>
      <c r="EH117" s="67"/>
      <c r="EI117" s="67"/>
      <c r="EJ117" s="67"/>
      <c r="EK117" s="67"/>
      <c r="EL117" s="67"/>
      <c r="EM117" s="67"/>
      <c r="EN117" s="67"/>
      <c r="EO117" s="67"/>
      <c r="EP117" s="67"/>
      <c r="EQ117" s="67"/>
      <c r="ER117" s="67"/>
      <c r="ES117" s="67"/>
      <c r="ET117" s="67"/>
      <c r="EU117" s="67"/>
      <c r="EV117" s="67"/>
      <c r="EW117" s="67"/>
      <c r="EX117" s="67"/>
      <c r="EY117" s="67"/>
      <c r="EZ117" s="67"/>
      <c r="FA117" s="67"/>
      <c r="FB117" s="67"/>
      <c r="FC117" s="67"/>
      <c r="FD117" s="67"/>
      <c r="FE117" s="67"/>
      <c r="FF117" s="67"/>
      <c r="FG117" s="67"/>
      <c r="FH117" s="67"/>
      <c r="FI117" s="67"/>
      <c r="FJ117" s="67"/>
      <c r="FK117" s="67"/>
      <c r="FL117" s="67"/>
      <c r="FM117" s="66"/>
      <c r="FN117" s="67"/>
      <c r="FO117" s="67"/>
      <c r="FP117" s="67"/>
      <c r="FQ117" s="67"/>
      <c r="FR117" s="67"/>
      <c r="FS117" s="67"/>
      <c r="FT117" s="67"/>
      <c r="FU117" s="67"/>
      <c r="FV117" s="67"/>
      <c r="FW117" s="67"/>
      <c r="FX117" s="67"/>
      <c r="FY117" s="67"/>
      <c r="FZ117" s="67"/>
      <c r="GA117" s="67"/>
      <c r="GB117" s="67"/>
      <c r="GC117" s="67"/>
      <c r="GD117" s="67"/>
      <c r="GE117" s="67"/>
      <c r="GF117" s="67"/>
      <c r="GG117" s="67"/>
      <c r="GH117" s="67"/>
      <c r="GI117" s="67"/>
      <c r="GJ117" s="67"/>
      <c r="GK117" s="67"/>
      <c r="GL117" s="67"/>
      <c r="GM117" s="67"/>
      <c r="GN117" s="67"/>
      <c r="GO117" s="67"/>
      <c r="GP117" s="67"/>
      <c r="GQ117" s="67"/>
      <c r="GR117" s="67"/>
      <c r="GS117" s="67"/>
      <c r="GT117" s="67"/>
      <c r="GU117" s="67"/>
      <c r="GV117" s="67"/>
      <c r="GW117" s="67"/>
      <c r="GX117" s="67"/>
      <c r="GY117" s="67"/>
      <c r="GZ117" s="67"/>
      <c r="HA117" s="67"/>
      <c r="HB117" s="67"/>
      <c r="HC117" s="67"/>
      <c r="HD117" s="67"/>
      <c r="HE117" s="67"/>
      <c r="HF117" s="67"/>
      <c r="HG117" s="67"/>
      <c r="HH117" s="67"/>
      <c r="HI117" s="67"/>
      <c r="HJ117" s="67"/>
      <c r="HK117" s="67"/>
      <c r="HL117" s="67"/>
      <c r="HM117" s="67"/>
      <c r="HN117" s="67"/>
      <c r="HO117" s="67"/>
      <c r="HP117" s="67"/>
      <c r="HQ117" s="67"/>
      <c r="HR117" s="67"/>
      <c r="HS117" s="67"/>
      <c r="HT117" s="67"/>
      <c r="HU117" s="66"/>
      <c r="HV117" s="67"/>
      <c r="HW117" s="67"/>
      <c r="HX117" s="67"/>
      <c r="HY117" s="67"/>
      <c r="HZ117" s="67"/>
      <c r="IA117" s="67"/>
      <c r="IB117" s="67"/>
      <c r="IC117" s="67"/>
      <c r="ID117" s="67"/>
      <c r="IE117" s="67"/>
      <c r="IF117" s="67"/>
      <c r="IG117" s="67"/>
      <c r="IH117" s="67"/>
      <c r="II117" s="67"/>
      <c r="IJ117" s="67"/>
      <c r="IK117" s="67"/>
      <c r="IL117" s="67"/>
      <c r="IM117" s="67"/>
      <c r="IN117" s="67"/>
      <c r="IO117" s="67"/>
      <c r="IP117" s="67"/>
      <c r="IQ117" s="67"/>
      <c r="IR117" s="67"/>
      <c r="IS117" s="67"/>
      <c r="IT117" s="67"/>
      <c r="IU117" s="67"/>
      <c r="IV117" s="67"/>
      <c r="IW117" s="67"/>
      <c r="IX117" s="67"/>
      <c r="IY117" s="66"/>
      <c r="IZ117" s="67"/>
      <c r="JA117" s="67"/>
      <c r="JB117" s="67"/>
      <c r="JC117" s="67"/>
      <c r="JD117" s="67"/>
      <c r="JE117" s="67"/>
      <c r="JF117" s="67"/>
      <c r="JG117" s="67"/>
      <c r="JH117" s="67"/>
      <c r="JI117" s="67"/>
      <c r="JJ117" s="67"/>
      <c r="JK117" s="67"/>
      <c r="JL117" s="67"/>
      <c r="JM117" s="67"/>
      <c r="JN117" s="67"/>
      <c r="JO117" s="67"/>
      <c r="JP117" s="67"/>
      <c r="JQ117" s="67"/>
      <c r="JR117" s="67"/>
      <c r="JS117" s="67"/>
      <c r="JT117" s="67"/>
      <c r="JU117" s="67"/>
      <c r="JV117" s="67"/>
      <c r="JW117" s="67"/>
      <c r="JX117" s="67"/>
      <c r="JY117" s="67"/>
      <c r="JZ117" s="67"/>
      <c r="KA117" s="67"/>
      <c r="KB117" s="67"/>
      <c r="KC117" s="66"/>
      <c r="KD117" s="67"/>
      <c r="KE117" s="68"/>
      <c r="KF117" s="67"/>
      <c r="KG117" s="67"/>
      <c r="KH117" s="67"/>
      <c r="KI117" s="66"/>
      <c r="KJ117" s="67"/>
      <c r="KK117" s="68"/>
      <c r="KL117" s="67"/>
      <c r="KM117" s="67"/>
      <c r="KN117" s="67"/>
      <c r="KO117" s="66"/>
      <c r="KP117" s="67"/>
      <c r="KQ117" s="68"/>
      <c r="KR117" s="67"/>
      <c r="KS117" s="67"/>
      <c r="KT117" s="67"/>
      <c r="KU117" s="66"/>
      <c r="KV117" s="67"/>
      <c r="KW117" s="68"/>
      <c r="KX117" s="67"/>
      <c r="KY117" s="67"/>
      <c r="KZ117" s="67"/>
      <c r="LA117" s="70"/>
      <c r="LB117" s="67"/>
      <c r="LC117" s="71"/>
      <c r="LD117" s="67"/>
      <c r="LE117" s="67"/>
      <c r="LF117" s="67"/>
      <c r="LG117" s="66"/>
      <c r="LH117" s="67"/>
      <c r="LI117" s="68"/>
      <c r="LJ117" s="61"/>
      <c r="LK117" s="62"/>
      <c r="LL117" s="63"/>
      <c r="LM117" s="61"/>
      <c r="LN117" s="62"/>
      <c r="LO117" s="63"/>
      <c r="LP117" s="61"/>
      <c r="LQ117" s="62"/>
      <c r="LR117" s="63"/>
      <c r="LS117" s="61"/>
      <c r="LT117" s="62"/>
      <c r="LU117" s="63"/>
      <c r="LV117" s="61"/>
      <c r="LW117" s="62"/>
      <c r="LX117" s="63"/>
      <c r="LY117" s="66"/>
      <c r="LZ117" s="67"/>
      <c r="MA117" s="68"/>
      <c r="MB117" s="67"/>
      <c r="MC117" s="67"/>
      <c r="MD117" s="67"/>
      <c r="ME117" s="66"/>
      <c r="MF117" s="67"/>
      <c r="MG117" s="68"/>
      <c r="MH117" s="66"/>
      <c r="MI117" s="67"/>
      <c r="MJ117" s="68"/>
      <c r="MK117" s="67"/>
      <c r="ML117" s="67"/>
      <c r="MM117" s="67"/>
      <c r="MN117" s="66"/>
      <c r="MO117" s="67"/>
      <c r="MP117" s="68"/>
      <c r="MQ117" s="66"/>
      <c r="MR117" s="67"/>
      <c r="MS117" s="68"/>
      <c r="MT117" s="66"/>
      <c r="MU117" s="67"/>
      <c r="MV117" s="68"/>
      <c r="MW117" s="66"/>
      <c r="MX117" s="67"/>
      <c r="MY117" s="68"/>
      <c r="MZ117" s="66"/>
      <c r="NA117" s="67"/>
      <c r="NB117" s="68"/>
      <c r="NC117" s="67"/>
      <c r="ND117" s="67"/>
      <c r="NE117" s="72"/>
      <c r="NG117" s="275"/>
      <c r="NH117" s="1"/>
      <c r="NI117" s="1"/>
      <c r="NJ117" s="1"/>
      <c r="NK117" s="1"/>
    </row>
    <row r="118" spans="5:375" s="6" customFormat="1" ht="9.9499999999999993" customHeight="1">
      <c r="F118" s="196">
        <f t="shared" ref="F118" si="404">NG118</f>
        <v>1.9999999999999998E-5</v>
      </c>
      <c r="G118" s="197">
        <f>Q118-F118</f>
        <v>0</v>
      </c>
      <c r="H118" s="27">
        <v>1</v>
      </c>
      <c r="L118" s="367"/>
      <c r="M118" s="363" t="s">
        <v>66</v>
      </c>
      <c r="N118" s="313">
        <v>476</v>
      </c>
      <c r="O118" s="312" t="s">
        <v>59</v>
      </c>
      <c r="P118" s="307">
        <v>3268</v>
      </c>
      <c r="Q118" s="236">
        <f>ROUND(P118/$P$256,5)</f>
        <v>2.0000000000000002E-5</v>
      </c>
      <c r="R118" s="21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3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5"/>
      <c r="CA118" s="53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4"/>
      <c r="CY118" s="54"/>
      <c r="CZ118" s="54"/>
      <c r="DA118" s="54"/>
      <c r="DB118" s="54"/>
      <c r="DC118" s="54"/>
      <c r="DD118" s="54"/>
      <c r="DE118" s="53"/>
      <c r="DF118" s="54"/>
      <c r="DG118" s="54"/>
      <c r="DH118" s="54"/>
      <c r="DI118" s="54"/>
      <c r="DJ118" s="54"/>
      <c r="DK118" s="54"/>
      <c r="DL118" s="54"/>
      <c r="DM118" s="54"/>
      <c r="DN118" s="54"/>
      <c r="DO118" s="54"/>
      <c r="DP118" s="54"/>
      <c r="DQ118" s="54"/>
      <c r="DR118" s="54"/>
      <c r="DS118" s="54"/>
      <c r="DT118" s="54"/>
      <c r="DU118" s="54"/>
      <c r="DV118" s="54"/>
      <c r="DW118" s="54"/>
      <c r="DX118" s="54"/>
      <c r="DY118" s="54"/>
      <c r="DZ118" s="54"/>
      <c r="EA118" s="54"/>
      <c r="EB118" s="54"/>
      <c r="EC118" s="54"/>
      <c r="ED118" s="54"/>
      <c r="EE118" s="54"/>
      <c r="EF118" s="54"/>
      <c r="EG118" s="54"/>
      <c r="EH118" s="54"/>
      <c r="EI118" s="54"/>
      <c r="EJ118" s="54"/>
      <c r="EK118" s="54"/>
      <c r="EL118" s="54"/>
      <c r="EM118" s="54"/>
      <c r="EN118" s="54"/>
      <c r="EO118" s="54"/>
      <c r="EP118" s="54"/>
      <c r="EQ118" s="54"/>
      <c r="ER118" s="54"/>
      <c r="ES118" s="54"/>
      <c r="ET118" s="54"/>
      <c r="EU118" s="54"/>
      <c r="EV118" s="54"/>
      <c r="EW118" s="54"/>
      <c r="EX118" s="54"/>
      <c r="EY118" s="54"/>
      <c r="EZ118" s="54"/>
      <c r="FA118" s="54"/>
      <c r="FB118" s="54"/>
      <c r="FC118" s="54"/>
      <c r="FD118" s="54"/>
      <c r="FE118" s="54"/>
      <c r="FF118" s="54"/>
      <c r="FG118" s="54"/>
      <c r="FH118" s="54"/>
      <c r="FI118" s="54"/>
      <c r="FJ118" s="54"/>
      <c r="FK118" s="54"/>
      <c r="FL118" s="54"/>
      <c r="FM118" s="53"/>
      <c r="FN118" s="54"/>
      <c r="FO118" s="54"/>
      <c r="FP118" s="54"/>
      <c r="FQ118" s="54"/>
      <c r="FR118" s="54"/>
      <c r="FS118" s="54"/>
      <c r="FT118" s="54"/>
      <c r="FU118" s="54"/>
      <c r="FV118" s="54"/>
      <c r="FW118" s="54"/>
      <c r="FX118" s="54"/>
      <c r="FY118" s="54"/>
      <c r="FZ118" s="54"/>
      <c r="GA118" s="54"/>
      <c r="GB118" s="54"/>
      <c r="GC118" s="54"/>
      <c r="GD118" s="54"/>
      <c r="GE118" s="54"/>
      <c r="GF118" s="54"/>
      <c r="GG118" s="54"/>
      <c r="GH118" s="54"/>
      <c r="GI118" s="54"/>
      <c r="GJ118" s="54"/>
      <c r="GK118" s="54"/>
      <c r="GL118" s="54"/>
      <c r="GM118" s="54"/>
      <c r="GN118" s="54"/>
      <c r="GO118" s="54"/>
      <c r="GP118" s="54"/>
      <c r="GQ118" s="54"/>
      <c r="GR118" s="54"/>
      <c r="GS118" s="54"/>
      <c r="GT118" s="54"/>
      <c r="GU118" s="54"/>
      <c r="GV118" s="54"/>
      <c r="GW118" s="54"/>
      <c r="GX118" s="54"/>
      <c r="GY118" s="54"/>
      <c r="GZ118" s="54"/>
      <c r="HA118" s="54"/>
      <c r="HB118" s="54"/>
      <c r="HC118" s="54"/>
      <c r="HD118" s="54"/>
      <c r="HE118" s="54"/>
      <c r="HF118" s="54"/>
      <c r="HG118" s="54"/>
      <c r="HH118" s="54"/>
      <c r="HI118" s="54"/>
      <c r="HJ118" s="54"/>
      <c r="HK118" s="54"/>
      <c r="HL118" s="54"/>
      <c r="HM118" s="54"/>
      <c r="HN118" s="54"/>
      <c r="HO118" s="54"/>
      <c r="HP118" s="54"/>
      <c r="HQ118" s="54"/>
      <c r="HR118" s="54"/>
      <c r="HS118" s="54"/>
      <c r="HT118" s="54"/>
      <c r="HU118" s="53"/>
      <c r="HV118" s="54"/>
      <c r="HW118" s="54"/>
      <c r="HX118" s="54"/>
      <c r="HY118" s="54"/>
      <c r="HZ118" s="54"/>
      <c r="IA118" s="54"/>
      <c r="IB118" s="54"/>
      <c r="IC118" s="54"/>
      <c r="ID118" s="54"/>
      <c r="IE118" s="54"/>
      <c r="IF118" s="54"/>
      <c r="IG118" s="54"/>
      <c r="IH118" s="54"/>
      <c r="II118" s="54"/>
      <c r="IJ118" s="54"/>
      <c r="IK118" s="54"/>
      <c r="IL118" s="54"/>
      <c r="IM118" s="54"/>
      <c r="IN118" s="54"/>
      <c r="IO118" s="54"/>
      <c r="IP118" s="54"/>
      <c r="IQ118" s="54"/>
      <c r="IR118" s="54"/>
      <c r="IS118" s="54"/>
      <c r="IT118" s="54"/>
      <c r="IU118" s="54"/>
      <c r="IV118" s="54"/>
      <c r="IW118" s="54"/>
      <c r="IX118" s="54"/>
      <c r="IY118" s="53"/>
      <c r="IZ118" s="54"/>
      <c r="JA118" s="54"/>
      <c r="JB118" s="54"/>
      <c r="JC118" s="54"/>
      <c r="JD118" s="54"/>
      <c r="JE118" s="54"/>
      <c r="JF118" s="54"/>
      <c r="JG118" s="54"/>
      <c r="JH118" s="54"/>
      <c r="JI118" s="54"/>
      <c r="JJ118" s="54"/>
      <c r="JK118" s="54"/>
      <c r="JL118" s="54"/>
      <c r="JM118" s="54"/>
      <c r="JN118" s="54"/>
      <c r="JO118" s="54"/>
      <c r="JP118" s="54"/>
      <c r="JQ118" s="54"/>
      <c r="JR118" s="54"/>
      <c r="JS118" s="54"/>
      <c r="JT118" s="54"/>
      <c r="JU118" s="54"/>
      <c r="JV118" s="54"/>
      <c r="JW118" s="54"/>
      <c r="JX118" s="54"/>
      <c r="JY118" s="54"/>
      <c r="JZ118" s="54"/>
      <c r="KA118" s="54"/>
      <c r="KB118" s="54"/>
      <c r="KC118" s="53"/>
      <c r="KD118" s="54"/>
      <c r="KE118" s="55"/>
      <c r="KF118" s="54"/>
      <c r="KG118" s="54"/>
      <c r="KH118" s="54"/>
      <c r="KI118" s="53"/>
      <c r="KJ118" s="54"/>
      <c r="KK118" s="55"/>
      <c r="KL118" s="54"/>
      <c r="KM118" s="54"/>
      <c r="KN118" s="54"/>
      <c r="KO118" s="53"/>
      <c r="KP118" s="54"/>
      <c r="KQ118" s="55"/>
      <c r="KR118" s="54"/>
      <c r="KS118" s="54"/>
      <c r="KT118" s="54"/>
      <c r="KU118" s="53"/>
      <c r="KV118" s="54"/>
      <c r="KW118" s="55"/>
      <c r="KX118" s="54"/>
      <c r="KY118" s="54"/>
      <c r="KZ118" s="54"/>
      <c r="LA118" s="57"/>
      <c r="LB118" s="54"/>
      <c r="LC118" s="58"/>
      <c r="LD118" s="54"/>
      <c r="LE118" s="54"/>
      <c r="LF118" s="54"/>
      <c r="LG118" s="53"/>
      <c r="LH118" s="54"/>
      <c r="LI118" s="55"/>
      <c r="LJ118" s="54"/>
      <c r="LK118" s="54"/>
      <c r="LL118" s="55"/>
      <c r="LM118" s="53"/>
      <c r="LN118" s="54"/>
      <c r="LO118" s="55"/>
      <c r="LP118" s="53"/>
      <c r="LQ118" s="54"/>
      <c r="LR118" s="55"/>
      <c r="LS118" s="53"/>
      <c r="LT118" s="54"/>
      <c r="LU118" s="55"/>
      <c r="LV118" s="212">
        <v>7.9999999999999996E-6</v>
      </c>
      <c r="LW118" s="212"/>
      <c r="LX118" s="212"/>
      <c r="LY118" s="53"/>
      <c r="LZ118" s="54"/>
      <c r="MA118" s="55"/>
      <c r="MB118" s="54"/>
      <c r="MC118" s="54"/>
      <c r="MD118" s="54"/>
      <c r="ME118" s="53"/>
      <c r="MF118" s="54"/>
      <c r="MG118" s="55"/>
      <c r="MH118" s="53"/>
      <c r="MI118" s="54"/>
      <c r="MJ118" s="55"/>
      <c r="MK118" s="54"/>
      <c r="ML118" s="54"/>
      <c r="MM118" s="54"/>
      <c r="MN118" s="53"/>
      <c r="MO118" s="54"/>
      <c r="MP118" s="55"/>
      <c r="MQ118" s="53"/>
      <c r="MR118" s="54"/>
      <c r="MS118" s="55"/>
      <c r="MT118" s="53"/>
      <c r="MU118" s="54"/>
      <c r="MV118" s="55"/>
      <c r="MW118" s="53"/>
      <c r="MX118" s="54"/>
      <c r="MY118" s="55"/>
      <c r="MZ118" s="53"/>
      <c r="NA118" s="54"/>
      <c r="NB118" s="55"/>
      <c r="NC118" s="212">
        <v>1.2E-5</v>
      </c>
      <c r="ND118" s="212"/>
      <c r="NE118" s="276"/>
      <c r="NG118" s="275">
        <f>SUM(R118:NE118)</f>
        <v>1.9999999999999998E-5</v>
      </c>
      <c r="NH118" s="1"/>
      <c r="NI118" s="1"/>
      <c r="NJ118" s="1"/>
      <c r="NK118" s="1"/>
    </row>
    <row r="119" spans="5:375" s="6" customFormat="1" ht="6.95" customHeight="1">
      <c r="F119" s="196"/>
      <c r="G119" s="197"/>
      <c r="H119" s="52">
        <v>2</v>
      </c>
      <c r="L119" s="367"/>
      <c r="M119" s="359"/>
      <c r="N119" s="314"/>
      <c r="O119" s="306"/>
      <c r="P119" s="308"/>
      <c r="Q119" s="237"/>
      <c r="R119" s="6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39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1"/>
      <c r="CA119" s="39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39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  <c r="DS119" s="40"/>
      <c r="DT119" s="40"/>
      <c r="DU119" s="40"/>
      <c r="DV119" s="40"/>
      <c r="DW119" s="40"/>
      <c r="DX119" s="40"/>
      <c r="DY119" s="40"/>
      <c r="DZ119" s="40"/>
      <c r="EA119" s="40"/>
      <c r="EB119" s="40"/>
      <c r="EC119" s="40"/>
      <c r="ED119" s="40"/>
      <c r="EE119" s="40"/>
      <c r="EF119" s="40"/>
      <c r="EG119" s="40"/>
      <c r="EH119" s="40"/>
      <c r="EI119" s="40"/>
      <c r="EJ119" s="40"/>
      <c r="EK119" s="40"/>
      <c r="EL119" s="40"/>
      <c r="EM119" s="40"/>
      <c r="EN119" s="40"/>
      <c r="EO119" s="40"/>
      <c r="EP119" s="40"/>
      <c r="EQ119" s="40"/>
      <c r="ER119" s="40"/>
      <c r="ES119" s="40"/>
      <c r="ET119" s="40"/>
      <c r="EU119" s="40"/>
      <c r="EV119" s="40"/>
      <c r="EW119" s="40"/>
      <c r="EX119" s="40"/>
      <c r="EY119" s="40"/>
      <c r="EZ119" s="40"/>
      <c r="FA119" s="40"/>
      <c r="FB119" s="40"/>
      <c r="FC119" s="40"/>
      <c r="FD119" s="40"/>
      <c r="FE119" s="40"/>
      <c r="FF119" s="40"/>
      <c r="FG119" s="40"/>
      <c r="FH119" s="40"/>
      <c r="FI119" s="40"/>
      <c r="FJ119" s="40"/>
      <c r="FK119" s="40"/>
      <c r="FL119" s="40"/>
      <c r="FM119" s="39"/>
      <c r="FN119" s="40"/>
      <c r="FO119" s="40"/>
      <c r="FP119" s="40"/>
      <c r="FQ119" s="40"/>
      <c r="FR119" s="40"/>
      <c r="FS119" s="40"/>
      <c r="FT119" s="40"/>
      <c r="FU119" s="40"/>
      <c r="FV119" s="40"/>
      <c r="FW119" s="40"/>
      <c r="FX119" s="40"/>
      <c r="FY119" s="40"/>
      <c r="FZ119" s="40"/>
      <c r="GA119" s="40"/>
      <c r="GB119" s="40"/>
      <c r="GC119" s="40"/>
      <c r="GD119" s="40"/>
      <c r="GE119" s="40"/>
      <c r="GF119" s="40"/>
      <c r="GG119" s="40"/>
      <c r="GH119" s="40"/>
      <c r="GI119" s="40"/>
      <c r="GJ119" s="40"/>
      <c r="GK119" s="40"/>
      <c r="GL119" s="40"/>
      <c r="GM119" s="40"/>
      <c r="GN119" s="40"/>
      <c r="GO119" s="40"/>
      <c r="GP119" s="40"/>
      <c r="GQ119" s="40"/>
      <c r="GR119" s="40"/>
      <c r="GS119" s="40"/>
      <c r="GT119" s="40"/>
      <c r="GU119" s="40"/>
      <c r="GV119" s="40"/>
      <c r="GW119" s="40"/>
      <c r="GX119" s="40"/>
      <c r="GY119" s="40"/>
      <c r="GZ119" s="40"/>
      <c r="HA119" s="40"/>
      <c r="HB119" s="40"/>
      <c r="HC119" s="40"/>
      <c r="HD119" s="40"/>
      <c r="HE119" s="40"/>
      <c r="HF119" s="40"/>
      <c r="HG119" s="40"/>
      <c r="HH119" s="40"/>
      <c r="HI119" s="40"/>
      <c r="HJ119" s="40"/>
      <c r="HK119" s="40"/>
      <c r="HL119" s="40"/>
      <c r="HM119" s="40"/>
      <c r="HN119" s="40"/>
      <c r="HO119" s="40"/>
      <c r="HP119" s="40"/>
      <c r="HQ119" s="40"/>
      <c r="HR119" s="40"/>
      <c r="HS119" s="40"/>
      <c r="HT119" s="40"/>
      <c r="HU119" s="39"/>
      <c r="HV119" s="40"/>
      <c r="HW119" s="40"/>
      <c r="HX119" s="40"/>
      <c r="HY119" s="40"/>
      <c r="HZ119" s="40"/>
      <c r="IA119" s="40"/>
      <c r="IB119" s="40"/>
      <c r="IC119" s="40"/>
      <c r="ID119" s="40"/>
      <c r="IE119" s="40"/>
      <c r="IF119" s="40"/>
      <c r="IG119" s="40"/>
      <c r="IH119" s="40"/>
      <c r="II119" s="40"/>
      <c r="IJ119" s="40"/>
      <c r="IK119" s="40"/>
      <c r="IL119" s="40"/>
      <c r="IM119" s="40"/>
      <c r="IN119" s="40"/>
      <c r="IO119" s="40"/>
      <c r="IP119" s="40"/>
      <c r="IQ119" s="40"/>
      <c r="IR119" s="40"/>
      <c r="IS119" s="40"/>
      <c r="IT119" s="40"/>
      <c r="IU119" s="40"/>
      <c r="IV119" s="40"/>
      <c r="IW119" s="40"/>
      <c r="IX119" s="40"/>
      <c r="IY119" s="39"/>
      <c r="IZ119" s="40"/>
      <c r="JA119" s="40"/>
      <c r="JB119" s="40"/>
      <c r="JC119" s="40"/>
      <c r="JD119" s="40"/>
      <c r="JE119" s="40"/>
      <c r="JF119" s="40"/>
      <c r="JG119" s="40"/>
      <c r="JH119" s="40"/>
      <c r="JI119" s="40"/>
      <c r="JJ119" s="40"/>
      <c r="JK119" s="40"/>
      <c r="JL119" s="40"/>
      <c r="JM119" s="40"/>
      <c r="JN119" s="40"/>
      <c r="JO119" s="40"/>
      <c r="JP119" s="40"/>
      <c r="JQ119" s="40"/>
      <c r="JR119" s="40"/>
      <c r="JS119" s="40"/>
      <c r="JT119" s="40"/>
      <c r="JU119" s="40"/>
      <c r="JV119" s="40"/>
      <c r="JW119" s="40"/>
      <c r="JX119" s="40"/>
      <c r="JY119" s="40"/>
      <c r="JZ119" s="40"/>
      <c r="KA119" s="40"/>
      <c r="KB119" s="40"/>
      <c r="KC119" s="39"/>
      <c r="KD119" s="40"/>
      <c r="KE119" s="41"/>
      <c r="KF119" s="40"/>
      <c r="KG119" s="40"/>
      <c r="KH119" s="40"/>
      <c r="KI119" s="39"/>
      <c r="KJ119" s="40"/>
      <c r="KK119" s="41"/>
      <c r="KL119" s="40"/>
      <c r="KM119" s="40"/>
      <c r="KN119" s="40"/>
      <c r="KO119" s="39"/>
      <c r="KP119" s="40"/>
      <c r="KQ119" s="41"/>
      <c r="KR119" s="40"/>
      <c r="KS119" s="40"/>
      <c r="KT119" s="40"/>
      <c r="KU119" s="39"/>
      <c r="KV119" s="40"/>
      <c r="KW119" s="41"/>
      <c r="KX119" s="40"/>
      <c r="KY119" s="40"/>
      <c r="KZ119" s="40"/>
      <c r="LA119" s="64"/>
      <c r="LB119" s="40"/>
      <c r="LC119" s="65"/>
      <c r="LD119" s="40"/>
      <c r="LE119" s="40"/>
      <c r="LF119" s="40"/>
      <c r="LG119" s="39"/>
      <c r="LH119" s="40"/>
      <c r="LI119" s="41"/>
      <c r="LJ119" s="40"/>
      <c r="LK119" s="40"/>
      <c r="LL119" s="41"/>
      <c r="LM119" s="39"/>
      <c r="LN119" s="40"/>
      <c r="LO119" s="41"/>
      <c r="LP119" s="39"/>
      <c r="LQ119" s="40"/>
      <c r="LR119" s="41"/>
      <c r="LS119" s="39"/>
      <c r="LT119" s="40"/>
      <c r="LU119" s="41"/>
      <c r="LV119" s="61"/>
      <c r="LW119" s="62"/>
      <c r="LX119" s="63"/>
      <c r="LY119" s="39"/>
      <c r="LZ119" s="40"/>
      <c r="MA119" s="41"/>
      <c r="MB119" s="40"/>
      <c r="MC119" s="40"/>
      <c r="MD119" s="40"/>
      <c r="ME119" s="39"/>
      <c r="MF119" s="40"/>
      <c r="MG119" s="41"/>
      <c r="MH119" s="39"/>
      <c r="MI119" s="40"/>
      <c r="MJ119" s="41"/>
      <c r="MK119" s="40"/>
      <c r="ML119" s="40"/>
      <c r="MM119" s="40"/>
      <c r="MN119" s="39"/>
      <c r="MO119" s="40"/>
      <c r="MP119" s="41"/>
      <c r="MQ119" s="39"/>
      <c r="MR119" s="40"/>
      <c r="MS119" s="41"/>
      <c r="MT119" s="39"/>
      <c r="MU119" s="40"/>
      <c r="MV119" s="41"/>
      <c r="MW119" s="39"/>
      <c r="MX119" s="40"/>
      <c r="MY119" s="41"/>
      <c r="MZ119" s="39"/>
      <c r="NA119" s="40"/>
      <c r="NB119" s="41"/>
      <c r="NC119" s="61"/>
      <c r="ND119" s="62"/>
      <c r="NE119" s="91"/>
      <c r="NG119" s="275"/>
      <c r="NH119" s="1"/>
      <c r="NI119" s="1"/>
      <c r="NJ119" s="1"/>
      <c r="NK119" s="1"/>
    </row>
    <row r="120" spans="5:375" s="6" customFormat="1" ht="9.9499999999999993" customHeight="1">
      <c r="F120" s="196">
        <f t="shared" ref="F120" si="405">NG120</f>
        <v>4.7100000000000006E-3</v>
      </c>
      <c r="G120" s="197">
        <f>Q120-F120</f>
        <v>0</v>
      </c>
      <c r="H120" s="27">
        <v>1</v>
      </c>
      <c r="L120" s="367"/>
      <c r="M120" s="300" t="s">
        <v>140</v>
      </c>
      <c r="N120" s="301">
        <v>1</v>
      </c>
      <c r="O120" s="310" t="s">
        <v>60</v>
      </c>
      <c r="P120" s="315">
        <v>979677</v>
      </c>
      <c r="Q120" s="236">
        <f>ROUND(P120/$P$256,5)</f>
        <v>4.7099999999999998E-3</v>
      </c>
      <c r="R120" s="73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6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67"/>
      <c r="BP120" s="67"/>
      <c r="BQ120" s="67"/>
      <c r="BR120" s="67"/>
      <c r="BS120" s="67"/>
      <c r="BT120" s="67"/>
      <c r="BU120" s="67"/>
      <c r="BV120" s="67"/>
      <c r="BW120" s="67"/>
      <c r="BX120" s="67"/>
      <c r="BY120" s="67"/>
      <c r="BZ120" s="68"/>
      <c r="CA120" s="66"/>
      <c r="CB120" s="67"/>
      <c r="CC120" s="67"/>
      <c r="CD120" s="67"/>
      <c r="CE120" s="67"/>
      <c r="CF120" s="67"/>
      <c r="CG120" s="67"/>
      <c r="CH120" s="67"/>
      <c r="CI120" s="67"/>
      <c r="CJ120" s="67"/>
      <c r="CK120" s="67"/>
      <c r="CL120" s="67"/>
      <c r="CM120" s="67"/>
      <c r="CN120" s="67"/>
      <c r="CO120" s="67"/>
      <c r="CP120" s="67"/>
      <c r="CQ120" s="67"/>
      <c r="CR120" s="67"/>
      <c r="CS120" s="67"/>
      <c r="CT120" s="67"/>
      <c r="CU120" s="67"/>
      <c r="CV120" s="67"/>
      <c r="CW120" s="67"/>
      <c r="CX120" s="67"/>
      <c r="CY120" s="67"/>
      <c r="CZ120" s="67"/>
      <c r="DA120" s="67"/>
      <c r="DB120" s="67"/>
      <c r="DC120" s="67"/>
      <c r="DD120" s="67"/>
      <c r="DE120" s="66"/>
      <c r="DF120" s="67"/>
      <c r="DG120" s="67"/>
      <c r="DH120" s="67"/>
      <c r="DI120" s="67"/>
      <c r="DJ120" s="67"/>
      <c r="DK120" s="67"/>
      <c r="DL120" s="67"/>
      <c r="DM120" s="67"/>
      <c r="DN120" s="67"/>
      <c r="DO120" s="67"/>
      <c r="DP120" s="67"/>
      <c r="DQ120" s="67"/>
      <c r="DR120" s="67"/>
      <c r="DS120" s="67"/>
      <c r="DT120" s="67"/>
      <c r="DU120" s="67"/>
      <c r="DV120" s="67"/>
      <c r="DW120" s="67"/>
      <c r="DX120" s="67"/>
      <c r="DY120" s="67"/>
      <c r="DZ120" s="67"/>
      <c r="EA120" s="67"/>
      <c r="EB120" s="67"/>
      <c r="EC120" s="67"/>
      <c r="ED120" s="67"/>
      <c r="EE120" s="67"/>
      <c r="EF120" s="67"/>
      <c r="EG120" s="67"/>
      <c r="EH120" s="67"/>
      <c r="EI120" s="67"/>
      <c r="EJ120" s="67"/>
      <c r="EK120" s="67"/>
      <c r="EL120" s="67"/>
      <c r="EM120" s="67"/>
      <c r="EN120" s="67"/>
      <c r="EO120" s="67"/>
      <c r="EP120" s="67"/>
      <c r="EQ120" s="67"/>
      <c r="ER120" s="67"/>
      <c r="ES120" s="67"/>
      <c r="ET120" s="67"/>
      <c r="EU120" s="67"/>
      <c r="EV120" s="67"/>
      <c r="EW120" s="67"/>
      <c r="EX120" s="67"/>
      <c r="EY120" s="67"/>
      <c r="EZ120" s="67"/>
      <c r="FA120" s="67"/>
      <c r="FB120" s="67"/>
      <c r="FC120" s="67"/>
      <c r="FD120" s="67"/>
      <c r="FE120" s="67"/>
      <c r="FF120" s="67"/>
      <c r="FG120" s="67"/>
      <c r="FH120" s="67"/>
      <c r="FI120" s="67"/>
      <c r="FJ120" s="67"/>
      <c r="FK120" s="67"/>
      <c r="FL120" s="67"/>
      <c r="FM120" s="66"/>
      <c r="FN120" s="67"/>
      <c r="FO120" s="67"/>
      <c r="FP120" s="67"/>
      <c r="FQ120" s="67"/>
      <c r="FR120" s="67"/>
      <c r="FS120" s="67"/>
      <c r="FT120" s="67"/>
      <c r="FU120" s="67"/>
      <c r="FV120" s="67"/>
      <c r="FW120" s="67"/>
      <c r="FX120" s="67"/>
      <c r="FY120" s="67"/>
      <c r="FZ120" s="67"/>
      <c r="GA120" s="67"/>
      <c r="GB120" s="67"/>
      <c r="GC120" s="67"/>
      <c r="GD120" s="67"/>
      <c r="GE120" s="67"/>
      <c r="GF120" s="67"/>
      <c r="GG120" s="67"/>
      <c r="GH120" s="67"/>
      <c r="GI120" s="67"/>
      <c r="GJ120" s="67"/>
      <c r="GK120" s="67"/>
      <c r="GL120" s="67"/>
      <c r="GM120" s="67"/>
      <c r="GN120" s="67"/>
      <c r="GO120" s="67"/>
      <c r="GP120" s="67"/>
      <c r="GQ120" s="67"/>
      <c r="GR120" s="67"/>
      <c r="GS120" s="67"/>
      <c r="GT120" s="67"/>
      <c r="GU120" s="67"/>
      <c r="GV120" s="67"/>
      <c r="GW120" s="67"/>
      <c r="GX120" s="67"/>
      <c r="GY120" s="67"/>
      <c r="GZ120" s="67"/>
      <c r="HA120" s="67"/>
      <c r="HB120" s="67"/>
      <c r="HC120" s="67"/>
      <c r="HD120" s="67"/>
      <c r="HE120" s="67"/>
      <c r="HF120" s="67"/>
      <c r="HG120" s="67"/>
      <c r="HH120" s="67"/>
      <c r="HI120" s="67"/>
      <c r="HJ120" s="67"/>
      <c r="HK120" s="67"/>
      <c r="HL120" s="67"/>
      <c r="HM120" s="67"/>
      <c r="HN120" s="67"/>
      <c r="HO120" s="67"/>
      <c r="HP120" s="67"/>
      <c r="HQ120" s="67"/>
      <c r="HR120" s="67"/>
      <c r="HS120" s="67"/>
      <c r="HT120" s="67"/>
      <c r="HU120" s="66"/>
      <c r="HV120" s="67"/>
      <c r="HW120" s="67"/>
      <c r="HX120" s="67"/>
      <c r="HY120" s="67"/>
      <c r="HZ120" s="67"/>
      <c r="IA120" s="67"/>
      <c r="IB120" s="67"/>
      <c r="IC120" s="67"/>
      <c r="ID120" s="67"/>
      <c r="IE120" s="67"/>
      <c r="IF120" s="67"/>
      <c r="IG120" s="67"/>
      <c r="IH120" s="67"/>
      <c r="II120" s="67"/>
      <c r="IJ120" s="67"/>
      <c r="IK120" s="67"/>
      <c r="IL120" s="67"/>
      <c r="IM120" s="67"/>
      <c r="IN120" s="67"/>
      <c r="IO120" s="67"/>
      <c r="IP120" s="67"/>
      <c r="IQ120" s="67"/>
      <c r="IR120" s="67"/>
      <c r="IS120" s="67"/>
      <c r="IT120" s="67"/>
      <c r="IU120" s="67"/>
      <c r="IV120" s="67"/>
      <c r="IW120" s="67"/>
      <c r="IX120" s="67"/>
      <c r="IY120" s="66"/>
      <c r="IZ120" s="67"/>
      <c r="JA120" s="67"/>
      <c r="JB120" s="67"/>
      <c r="JC120" s="67"/>
      <c r="JD120" s="67"/>
      <c r="JE120" s="67"/>
      <c r="JF120" s="67"/>
      <c r="JG120" s="67"/>
      <c r="JH120" s="67"/>
      <c r="JI120" s="67"/>
      <c r="JJ120" s="67"/>
      <c r="JK120" s="67"/>
      <c r="JL120" s="67"/>
      <c r="JM120" s="67"/>
      <c r="JN120" s="67"/>
      <c r="JO120" s="67"/>
      <c r="JP120" s="67"/>
      <c r="JQ120" s="67"/>
      <c r="JR120" s="67"/>
      <c r="JS120" s="67"/>
      <c r="JT120" s="67"/>
      <c r="JU120" s="67"/>
      <c r="JV120" s="67"/>
      <c r="JW120" s="67"/>
      <c r="JX120" s="67"/>
      <c r="JY120" s="67"/>
      <c r="JZ120" s="67"/>
      <c r="KA120" s="67"/>
      <c r="KB120" s="67"/>
      <c r="KC120" s="66"/>
      <c r="KD120" s="67"/>
      <c r="KE120" s="68"/>
      <c r="KF120" s="67"/>
      <c r="KG120" s="67"/>
      <c r="KH120" s="67"/>
      <c r="KI120" s="66"/>
      <c r="KJ120" s="67"/>
      <c r="KK120" s="68"/>
      <c r="KL120" s="67"/>
      <c r="KM120" s="67"/>
      <c r="KN120" s="67"/>
      <c r="KO120" s="66"/>
      <c r="KP120" s="67"/>
      <c r="KQ120" s="68"/>
      <c r="KR120" s="67"/>
      <c r="KS120" s="67"/>
      <c r="KT120" s="67"/>
      <c r="KU120" s="66"/>
      <c r="KV120" s="67"/>
      <c r="KW120" s="68"/>
      <c r="KX120" s="67"/>
      <c r="KY120" s="67"/>
      <c r="KZ120" s="67"/>
      <c r="LA120" s="70"/>
      <c r="LB120" s="67"/>
      <c r="LC120" s="71"/>
      <c r="LD120" s="67"/>
      <c r="LE120" s="67"/>
      <c r="LF120" s="67"/>
      <c r="LG120" s="214">
        <v>3.6999999999999999E-4</v>
      </c>
      <c r="LH120" s="214"/>
      <c r="LI120" s="214"/>
      <c r="LJ120" s="214">
        <v>3.8000000000000002E-4</v>
      </c>
      <c r="LK120" s="214"/>
      <c r="LL120" s="214"/>
      <c r="LM120" s="214">
        <v>8.7000000000000001E-4</v>
      </c>
      <c r="LN120" s="214"/>
      <c r="LO120" s="214"/>
      <c r="LP120" s="214">
        <v>8.7000000000000001E-4</v>
      </c>
      <c r="LQ120" s="214"/>
      <c r="LR120" s="214"/>
      <c r="LS120" s="214">
        <v>8.7000000000000001E-4</v>
      </c>
      <c r="LT120" s="214"/>
      <c r="LU120" s="214"/>
      <c r="LV120" s="214">
        <v>1.08E-3</v>
      </c>
      <c r="LW120" s="214"/>
      <c r="LX120" s="214"/>
      <c r="LY120" s="214">
        <v>2.7E-4</v>
      </c>
      <c r="LZ120" s="214"/>
      <c r="MA120" s="214"/>
      <c r="MB120" s="67"/>
      <c r="MC120" s="67"/>
      <c r="MD120" s="67"/>
      <c r="ME120" s="66"/>
      <c r="MF120" s="67"/>
      <c r="MG120" s="68"/>
      <c r="MH120" s="66"/>
      <c r="MI120" s="67"/>
      <c r="MJ120" s="68"/>
      <c r="MK120" s="67"/>
      <c r="ML120" s="67"/>
      <c r="MM120" s="67"/>
      <c r="MN120" s="66"/>
      <c r="MO120" s="67"/>
      <c r="MP120" s="68"/>
      <c r="MQ120" s="66"/>
      <c r="MR120" s="67"/>
      <c r="MS120" s="68"/>
      <c r="MT120" s="66"/>
      <c r="MU120" s="67"/>
      <c r="MV120" s="68"/>
      <c r="MW120" s="66"/>
      <c r="MX120" s="67"/>
      <c r="MY120" s="68"/>
      <c r="MZ120" s="66"/>
      <c r="NA120" s="67"/>
      <c r="NB120" s="68"/>
      <c r="NC120" s="67"/>
      <c r="ND120" s="67"/>
      <c r="NE120" s="72"/>
      <c r="NG120" s="275">
        <f>SUM(R120:NE120)</f>
        <v>4.7100000000000006E-3</v>
      </c>
      <c r="NH120" s="1"/>
      <c r="NI120" s="1"/>
      <c r="NJ120" s="1"/>
      <c r="NK120" s="1"/>
    </row>
    <row r="121" spans="5:375" s="6" customFormat="1" ht="6.95" customHeight="1">
      <c r="F121" s="196"/>
      <c r="G121" s="197"/>
      <c r="H121" s="52">
        <v>2</v>
      </c>
      <c r="L121" s="368"/>
      <c r="M121" s="300"/>
      <c r="N121" s="301"/>
      <c r="O121" s="302"/>
      <c r="P121" s="315"/>
      <c r="Q121" s="237"/>
      <c r="R121" s="73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6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/>
      <c r="BR121" s="67"/>
      <c r="BS121" s="67"/>
      <c r="BT121" s="67"/>
      <c r="BU121" s="67"/>
      <c r="BV121" s="67"/>
      <c r="BW121" s="67"/>
      <c r="BX121" s="67"/>
      <c r="BY121" s="67"/>
      <c r="BZ121" s="68"/>
      <c r="CA121" s="66"/>
      <c r="CB121" s="67"/>
      <c r="CC121" s="67"/>
      <c r="CD121" s="67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  <c r="CR121" s="67"/>
      <c r="CS121" s="67"/>
      <c r="CT121" s="67"/>
      <c r="CU121" s="67"/>
      <c r="CV121" s="67"/>
      <c r="CW121" s="67"/>
      <c r="CX121" s="67"/>
      <c r="CY121" s="67"/>
      <c r="CZ121" s="67"/>
      <c r="DA121" s="67"/>
      <c r="DB121" s="67"/>
      <c r="DC121" s="67"/>
      <c r="DD121" s="67"/>
      <c r="DE121" s="66"/>
      <c r="DF121" s="67"/>
      <c r="DG121" s="67"/>
      <c r="DH121" s="67"/>
      <c r="DI121" s="67"/>
      <c r="DJ121" s="67"/>
      <c r="DK121" s="67"/>
      <c r="DL121" s="67"/>
      <c r="DM121" s="67"/>
      <c r="DN121" s="67"/>
      <c r="DO121" s="67"/>
      <c r="DP121" s="67"/>
      <c r="DQ121" s="67"/>
      <c r="DR121" s="67"/>
      <c r="DS121" s="67"/>
      <c r="DT121" s="67"/>
      <c r="DU121" s="67"/>
      <c r="DV121" s="67"/>
      <c r="DW121" s="67"/>
      <c r="DX121" s="67"/>
      <c r="DY121" s="67"/>
      <c r="DZ121" s="67"/>
      <c r="EA121" s="67"/>
      <c r="EB121" s="67"/>
      <c r="EC121" s="67"/>
      <c r="ED121" s="67"/>
      <c r="EE121" s="67"/>
      <c r="EF121" s="67"/>
      <c r="EG121" s="67"/>
      <c r="EH121" s="67"/>
      <c r="EI121" s="67"/>
      <c r="EJ121" s="67"/>
      <c r="EK121" s="67"/>
      <c r="EL121" s="67"/>
      <c r="EM121" s="67"/>
      <c r="EN121" s="67"/>
      <c r="EO121" s="67"/>
      <c r="EP121" s="67"/>
      <c r="EQ121" s="67"/>
      <c r="ER121" s="67"/>
      <c r="ES121" s="67"/>
      <c r="ET121" s="67"/>
      <c r="EU121" s="67"/>
      <c r="EV121" s="67"/>
      <c r="EW121" s="67"/>
      <c r="EX121" s="67"/>
      <c r="EY121" s="67"/>
      <c r="EZ121" s="67"/>
      <c r="FA121" s="67"/>
      <c r="FB121" s="67"/>
      <c r="FC121" s="67"/>
      <c r="FD121" s="67"/>
      <c r="FE121" s="67"/>
      <c r="FF121" s="67"/>
      <c r="FG121" s="67"/>
      <c r="FH121" s="67"/>
      <c r="FI121" s="67"/>
      <c r="FJ121" s="67"/>
      <c r="FK121" s="67"/>
      <c r="FL121" s="67"/>
      <c r="FM121" s="66"/>
      <c r="FN121" s="67"/>
      <c r="FO121" s="67"/>
      <c r="FP121" s="67"/>
      <c r="FQ121" s="67"/>
      <c r="FR121" s="67"/>
      <c r="FS121" s="67"/>
      <c r="FT121" s="67"/>
      <c r="FU121" s="67"/>
      <c r="FV121" s="67"/>
      <c r="FW121" s="67"/>
      <c r="FX121" s="67"/>
      <c r="FY121" s="67"/>
      <c r="FZ121" s="67"/>
      <c r="GA121" s="67"/>
      <c r="GB121" s="67"/>
      <c r="GC121" s="67"/>
      <c r="GD121" s="67"/>
      <c r="GE121" s="67"/>
      <c r="GF121" s="67"/>
      <c r="GG121" s="67"/>
      <c r="GH121" s="67"/>
      <c r="GI121" s="67"/>
      <c r="GJ121" s="67"/>
      <c r="GK121" s="67"/>
      <c r="GL121" s="67"/>
      <c r="GM121" s="67"/>
      <c r="GN121" s="67"/>
      <c r="GO121" s="67"/>
      <c r="GP121" s="67"/>
      <c r="GQ121" s="67"/>
      <c r="GR121" s="67"/>
      <c r="GS121" s="67"/>
      <c r="GT121" s="67"/>
      <c r="GU121" s="67"/>
      <c r="GV121" s="67"/>
      <c r="GW121" s="67"/>
      <c r="GX121" s="67"/>
      <c r="GY121" s="67"/>
      <c r="GZ121" s="67"/>
      <c r="HA121" s="67"/>
      <c r="HB121" s="67"/>
      <c r="HC121" s="67"/>
      <c r="HD121" s="67"/>
      <c r="HE121" s="67"/>
      <c r="HF121" s="67"/>
      <c r="HG121" s="67"/>
      <c r="HH121" s="67"/>
      <c r="HI121" s="67"/>
      <c r="HJ121" s="67"/>
      <c r="HK121" s="67"/>
      <c r="HL121" s="67"/>
      <c r="HM121" s="67"/>
      <c r="HN121" s="67"/>
      <c r="HO121" s="67"/>
      <c r="HP121" s="67"/>
      <c r="HQ121" s="67"/>
      <c r="HR121" s="67"/>
      <c r="HS121" s="67"/>
      <c r="HT121" s="67"/>
      <c r="HU121" s="66"/>
      <c r="HV121" s="67"/>
      <c r="HW121" s="67"/>
      <c r="HX121" s="67"/>
      <c r="HY121" s="67"/>
      <c r="HZ121" s="67"/>
      <c r="IA121" s="67"/>
      <c r="IB121" s="67"/>
      <c r="IC121" s="67"/>
      <c r="ID121" s="67"/>
      <c r="IE121" s="67"/>
      <c r="IF121" s="67"/>
      <c r="IG121" s="67"/>
      <c r="IH121" s="67"/>
      <c r="II121" s="67"/>
      <c r="IJ121" s="67"/>
      <c r="IK121" s="67"/>
      <c r="IL121" s="67"/>
      <c r="IM121" s="67"/>
      <c r="IN121" s="67"/>
      <c r="IO121" s="67"/>
      <c r="IP121" s="67"/>
      <c r="IQ121" s="67"/>
      <c r="IR121" s="67"/>
      <c r="IS121" s="67"/>
      <c r="IT121" s="67"/>
      <c r="IU121" s="67"/>
      <c r="IV121" s="67"/>
      <c r="IW121" s="67"/>
      <c r="IX121" s="67"/>
      <c r="IY121" s="66"/>
      <c r="IZ121" s="67"/>
      <c r="JA121" s="67"/>
      <c r="JB121" s="67"/>
      <c r="JC121" s="67"/>
      <c r="JD121" s="67"/>
      <c r="JE121" s="67"/>
      <c r="JF121" s="67"/>
      <c r="JG121" s="67"/>
      <c r="JH121" s="67"/>
      <c r="JI121" s="67"/>
      <c r="JJ121" s="67"/>
      <c r="JK121" s="67"/>
      <c r="JL121" s="67"/>
      <c r="JM121" s="67"/>
      <c r="JN121" s="67"/>
      <c r="JO121" s="67"/>
      <c r="JP121" s="67"/>
      <c r="JQ121" s="67"/>
      <c r="JR121" s="67"/>
      <c r="JS121" s="67"/>
      <c r="JT121" s="67"/>
      <c r="JU121" s="67"/>
      <c r="JV121" s="67"/>
      <c r="JW121" s="67"/>
      <c r="JX121" s="67"/>
      <c r="JY121" s="67"/>
      <c r="JZ121" s="67"/>
      <c r="KA121" s="67"/>
      <c r="KB121" s="67"/>
      <c r="KC121" s="66"/>
      <c r="KD121" s="67"/>
      <c r="KE121" s="68"/>
      <c r="KF121" s="67"/>
      <c r="KG121" s="67"/>
      <c r="KH121" s="67"/>
      <c r="KI121" s="66"/>
      <c r="KJ121" s="67"/>
      <c r="KK121" s="68"/>
      <c r="KL121" s="67"/>
      <c r="KM121" s="67"/>
      <c r="KN121" s="67"/>
      <c r="KO121" s="66"/>
      <c r="KP121" s="67"/>
      <c r="KQ121" s="68"/>
      <c r="KR121" s="67"/>
      <c r="KS121" s="67"/>
      <c r="KT121" s="67"/>
      <c r="KU121" s="66"/>
      <c r="KV121" s="67"/>
      <c r="KW121" s="68"/>
      <c r="KX121" s="67"/>
      <c r="KY121" s="67"/>
      <c r="KZ121" s="67"/>
      <c r="LA121" s="70"/>
      <c r="LB121" s="67"/>
      <c r="LC121" s="71"/>
      <c r="LD121" s="67"/>
      <c r="LE121" s="67"/>
      <c r="LF121" s="67"/>
      <c r="LG121" s="61"/>
      <c r="LH121" s="62"/>
      <c r="LI121" s="63"/>
      <c r="LJ121" s="61"/>
      <c r="LK121" s="62"/>
      <c r="LL121" s="63"/>
      <c r="LM121" s="61"/>
      <c r="LN121" s="62"/>
      <c r="LO121" s="63"/>
      <c r="LP121" s="61"/>
      <c r="LQ121" s="62"/>
      <c r="LR121" s="63"/>
      <c r="LS121" s="61"/>
      <c r="LT121" s="62"/>
      <c r="LU121" s="63"/>
      <c r="LV121" s="61"/>
      <c r="LW121" s="62"/>
      <c r="LX121" s="63"/>
      <c r="LY121" s="61"/>
      <c r="LZ121" s="62"/>
      <c r="MA121" s="63"/>
      <c r="MB121" s="67"/>
      <c r="MC121" s="67"/>
      <c r="MD121" s="67"/>
      <c r="ME121" s="66"/>
      <c r="MF121" s="67"/>
      <c r="MG121" s="68"/>
      <c r="MH121" s="66"/>
      <c r="MI121" s="67"/>
      <c r="MJ121" s="68"/>
      <c r="MK121" s="67"/>
      <c r="ML121" s="67"/>
      <c r="MM121" s="67"/>
      <c r="MN121" s="66"/>
      <c r="MO121" s="67"/>
      <c r="MP121" s="68"/>
      <c r="MQ121" s="66"/>
      <c r="MR121" s="67"/>
      <c r="MS121" s="68"/>
      <c r="MT121" s="66"/>
      <c r="MU121" s="67"/>
      <c r="MV121" s="68"/>
      <c r="MW121" s="66"/>
      <c r="MX121" s="67"/>
      <c r="MY121" s="68"/>
      <c r="MZ121" s="66"/>
      <c r="NA121" s="67"/>
      <c r="NB121" s="68"/>
      <c r="NC121" s="67"/>
      <c r="ND121" s="67"/>
      <c r="NE121" s="72"/>
      <c r="NG121" s="275"/>
      <c r="NH121" s="1"/>
      <c r="NI121" s="1"/>
      <c r="NJ121" s="1"/>
      <c r="NK121" s="1"/>
    </row>
    <row r="122" spans="5:375" s="6" customFormat="1" ht="9.9499999999999993" customHeight="1">
      <c r="F122" s="196">
        <f t="shared" ref="F122" si="406">NG122</f>
        <v>1.5000000000000001E-4</v>
      </c>
      <c r="G122" s="197">
        <f>Q122-F122</f>
        <v>0</v>
      </c>
      <c r="H122" s="27">
        <v>1</v>
      </c>
      <c r="I122" s="19" t="s">
        <v>224</v>
      </c>
      <c r="J122" s="19" t="s">
        <v>184</v>
      </c>
      <c r="K122" s="19" t="s">
        <v>226</v>
      </c>
      <c r="L122" s="366" t="s">
        <v>142</v>
      </c>
      <c r="M122" s="363" t="s">
        <v>61</v>
      </c>
      <c r="N122" s="313">
        <v>9433</v>
      </c>
      <c r="O122" s="352" t="s">
        <v>34</v>
      </c>
      <c r="P122" s="307">
        <v>30930</v>
      </c>
      <c r="Q122" s="236">
        <f>ROUND(P122/$P$256,5)</f>
        <v>1.4999999999999999E-4</v>
      </c>
      <c r="R122" s="76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3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5"/>
      <c r="CA122" s="53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4"/>
      <c r="CY122" s="54"/>
      <c r="CZ122" s="54"/>
      <c r="DA122" s="54"/>
      <c r="DB122" s="54"/>
      <c r="DC122" s="54"/>
      <c r="DD122" s="54"/>
      <c r="DE122" s="53"/>
      <c r="DF122" s="54"/>
      <c r="DG122" s="54"/>
      <c r="DH122" s="54"/>
      <c r="DI122" s="54"/>
      <c r="DJ122" s="54"/>
      <c r="DK122" s="54"/>
      <c r="DL122" s="54"/>
      <c r="DM122" s="54"/>
      <c r="DN122" s="54"/>
      <c r="DO122" s="54"/>
      <c r="DP122" s="54"/>
      <c r="DQ122" s="54"/>
      <c r="DR122" s="54"/>
      <c r="DS122" s="54"/>
      <c r="DT122" s="54"/>
      <c r="DU122" s="54"/>
      <c r="DV122" s="54"/>
      <c r="DW122" s="54"/>
      <c r="DX122" s="54"/>
      <c r="DY122" s="54"/>
      <c r="DZ122" s="54"/>
      <c r="EA122" s="54"/>
      <c r="EB122" s="54"/>
      <c r="EC122" s="54"/>
      <c r="ED122" s="54"/>
      <c r="EE122" s="54"/>
      <c r="EF122" s="54"/>
      <c r="EG122" s="54"/>
      <c r="EH122" s="54"/>
      <c r="EI122" s="54"/>
      <c r="EJ122" s="54"/>
      <c r="EK122" s="54"/>
      <c r="EL122" s="54"/>
      <c r="EM122" s="54"/>
      <c r="EN122" s="54"/>
      <c r="EO122" s="54"/>
      <c r="EP122" s="54"/>
      <c r="EQ122" s="54"/>
      <c r="ER122" s="54"/>
      <c r="ES122" s="54"/>
      <c r="ET122" s="54"/>
      <c r="EU122" s="54"/>
      <c r="EV122" s="54"/>
      <c r="EW122" s="54"/>
      <c r="EX122" s="54"/>
      <c r="EY122" s="54"/>
      <c r="EZ122" s="54"/>
      <c r="FA122" s="54"/>
      <c r="FB122" s="54"/>
      <c r="FC122" s="54"/>
      <c r="FD122" s="54"/>
      <c r="FE122" s="54"/>
      <c r="FF122" s="54"/>
      <c r="FG122" s="54"/>
      <c r="FH122" s="54"/>
      <c r="FI122" s="54"/>
      <c r="FJ122" s="54"/>
      <c r="FK122" s="54"/>
      <c r="FL122" s="54"/>
      <c r="FM122" s="53"/>
      <c r="FN122" s="54"/>
      <c r="FO122" s="54"/>
      <c r="FP122" s="54"/>
      <c r="FQ122" s="54"/>
      <c r="FR122" s="54"/>
      <c r="FS122" s="54"/>
      <c r="FT122" s="54"/>
      <c r="FU122" s="54"/>
      <c r="FV122" s="54"/>
      <c r="FW122" s="54"/>
      <c r="FX122" s="54"/>
      <c r="FY122" s="54"/>
      <c r="FZ122" s="54"/>
      <c r="GA122" s="54"/>
      <c r="GB122" s="54"/>
      <c r="GC122" s="54"/>
      <c r="GD122" s="54"/>
      <c r="GE122" s="54"/>
      <c r="GF122" s="54"/>
      <c r="GG122" s="54"/>
      <c r="GH122" s="54"/>
      <c r="GI122" s="54"/>
      <c r="GJ122" s="54"/>
      <c r="GK122" s="54"/>
      <c r="GL122" s="54"/>
      <c r="GM122" s="54"/>
      <c r="GN122" s="54"/>
      <c r="GO122" s="54"/>
      <c r="GP122" s="54"/>
      <c r="GQ122" s="54"/>
      <c r="GR122" s="54"/>
      <c r="GS122" s="54"/>
      <c r="GT122" s="54"/>
      <c r="GU122" s="54"/>
      <c r="GV122" s="54"/>
      <c r="GW122" s="54"/>
      <c r="GX122" s="54"/>
      <c r="GY122" s="54"/>
      <c r="GZ122" s="54"/>
      <c r="HA122" s="54"/>
      <c r="HB122" s="54"/>
      <c r="HC122" s="54"/>
      <c r="HD122" s="54"/>
      <c r="HE122" s="54"/>
      <c r="HF122" s="54"/>
      <c r="HG122" s="54"/>
      <c r="HH122" s="54"/>
      <c r="HI122" s="54"/>
      <c r="HJ122" s="54"/>
      <c r="HK122" s="54"/>
      <c r="HL122" s="54"/>
      <c r="HM122" s="54"/>
      <c r="HN122" s="54"/>
      <c r="HO122" s="54"/>
      <c r="HP122" s="54"/>
      <c r="HQ122" s="54"/>
      <c r="HR122" s="54"/>
      <c r="HS122" s="54"/>
      <c r="HT122" s="54"/>
      <c r="HU122" s="53"/>
      <c r="HV122" s="54"/>
      <c r="HW122" s="54"/>
      <c r="HX122" s="54"/>
      <c r="HY122" s="54"/>
      <c r="HZ122" s="54"/>
      <c r="IA122" s="54"/>
      <c r="IB122" s="54"/>
      <c r="IC122" s="54"/>
      <c r="ID122" s="54"/>
      <c r="IE122" s="54"/>
      <c r="IF122" s="54"/>
      <c r="IG122" s="54"/>
      <c r="IH122" s="54"/>
      <c r="II122" s="54"/>
      <c r="IJ122" s="54"/>
      <c r="IK122" s="54"/>
      <c r="IL122" s="54"/>
      <c r="IM122" s="54"/>
      <c r="IN122" s="54"/>
      <c r="IO122" s="54"/>
      <c r="IP122" s="54"/>
      <c r="IQ122" s="54"/>
      <c r="IR122" s="54"/>
      <c r="IS122" s="54"/>
      <c r="IT122" s="54"/>
      <c r="IU122" s="54"/>
      <c r="IV122" s="54"/>
      <c r="IW122" s="54"/>
      <c r="IX122" s="54"/>
      <c r="IY122" s="53"/>
      <c r="IZ122" s="54"/>
      <c r="JA122" s="54"/>
      <c r="JB122" s="54"/>
      <c r="JC122" s="54"/>
      <c r="JD122" s="54"/>
      <c r="JE122" s="54"/>
      <c r="JF122" s="54"/>
      <c r="JG122" s="54"/>
      <c r="JH122" s="54"/>
      <c r="JI122" s="54"/>
      <c r="JJ122" s="54"/>
      <c r="JK122" s="54"/>
      <c r="JL122" s="54"/>
      <c r="JM122" s="54"/>
      <c r="JN122" s="54"/>
      <c r="JO122" s="54"/>
      <c r="JP122" s="54"/>
      <c r="JQ122" s="54"/>
      <c r="JR122" s="54"/>
      <c r="JS122" s="54"/>
      <c r="JT122" s="54"/>
      <c r="JU122" s="54"/>
      <c r="JV122" s="54"/>
      <c r="JW122" s="54"/>
      <c r="JX122" s="54"/>
      <c r="JY122" s="54"/>
      <c r="JZ122" s="54"/>
      <c r="KA122" s="54"/>
      <c r="KB122" s="54"/>
      <c r="KC122" s="53"/>
      <c r="KD122" s="54"/>
      <c r="KE122" s="55"/>
      <c r="KF122" s="54"/>
      <c r="KG122" s="54"/>
      <c r="KH122" s="54"/>
      <c r="KI122" s="53"/>
      <c r="KJ122" s="54"/>
      <c r="KK122" s="55"/>
      <c r="KL122" s="54"/>
      <c r="KM122" s="54"/>
      <c r="KN122" s="54"/>
      <c r="KO122" s="53"/>
      <c r="KP122" s="54"/>
      <c r="KQ122" s="55"/>
      <c r="KR122" s="54"/>
      <c r="KS122" s="54"/>
      <c r="KT122" s="54"/>
      <c r="KU122" s="53"/>
      <c r="KV122" s="54"/>
      <c r="KW122" s="55"/>
      <c r="KX122" s="54"/>
      <c r="KY122" s="54"/>
      <c r="KZ122" s="54"/>
      <c r="LA122" s="57"/>
      <c r="LB122" s="54"/>
      <c r="LC122" s="58"/>
      <c r="LD122" s="54"/>
      <c r="LE122" s="54"/>
      <c r="LF122" s="54"/>
      <c r="LG122" s="53"/>
      <c r="LH122" s="54"/>
      <c r="LI122" s="55"/>
      <c r="LJ122" s="54"/>
      <c r="LK122" s="54"/>
      <c r="LL122" s="54"/>
      <c r="LM122" s="212">
        <v>3.0000000000000001E-5</v>
      </c>
      <c r="LN122" s="212"/>
      <c r="LO122" s="212"/>
      <c r="LP122" s="212">
        <v>3.0000000000000001E-5</v>
      </c>
      <c r="LQ122" s="212"/>
      <c r="LR122" s="212"/>
      <c r="LS122" s="212">
        <v>5.0000000000000002E-5</v>
      </c>
      <c r="LT122" s="212"/>
      <c r="LU122" s="212"/>
      <c r="LV122" s="212">
        <v>4.0000000000000003E-5</v>
      </c>
      <c r="LW122" s="212"/>
      <c r="LX122" s="212"/>
      <c r="LY122" s="53"/>
      <c r="LZ122" s="54"/>
      <c r="MA122" s="55"/>
      <c r="MB122" s="54"/>
      <c r="MC122" s="54"/>
      <c r="MD122" s="54"/>
      <c r="ME122" s="53"/>
      <c r="MF122" s="54"/>
      <c r="MG122" s="55"/>
      <c r="MH122" s="53"/>
      <c r="MI122" s="54"/>
      <c r="MJ122" s="55"/>
      <c r="MK122" s="54"/>
      <c r="ML122" s="54"/>
      <c r="MM122" s="54"/>
      <c r="MN122" s="53"/>
      <c r="MO122" s="54"/>
      <c r="MP122" s="55"/>
      <c r="MQ122" s="53"/>
      <c r="MR122" s="54"/>
      <c r="MS122" s="55"/>
      <c r="MT122" s="53"/>
      <c r="MU122" s="54"/>
      <c r="MV122" s="55"/>
      <c r="MW122" s="53"/>
      <c r="MX122" s="54"/>
      <c r="MY122" s="55"/>
      <c r="MZ122" s="53"/>
      <c r="NA122" s="54"/>
      <c r="NB122" s="55"/>
      <c r="NC122" s="54"/>
      <c r="ND122" s="54"/>
      <c r="NE122" s="59"/>
      <c r="NG122" s="275">
        <f>SUM(R122:NE122)</f>
        <v>1.5000000000000001E-4</v>
      </c>
      <c r="NH122" s="1"/>
      <c r="NI122" s="1"/>
      <c r="NJ122" s="1"/>
      <c r="NK122" s="1"/>
    </row>
    <row r="123" spans="5:375" s="6" customFormat="1" ht="6.95" customHeight="1">
      <c r="E123" s="418"/>
      <c r="F123" s="196"/>
      <c r="G123" s="197"/>
      <c r="H123" s="52">
        <v>2</v>
      </c>
      <c r="L123" s="367"/>
      <c r="M123" s="359"/>
      <c r="N123" s="314"/>
      <c r="O123" s="353"/>
      <c r="P123" s="308"/>
      <c r="Q123" s="237"/>
      <c r="R123" s="6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39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1"/>
      <c r="CA123" s="39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39"/>
      <c r="DF123" s="40"/>
      <c r="DG123" s="40"/>
      <c r="DH123" s="40"/>
      <c r="DI123" s="40"/>
      <c r="DJ123" s="40"/>
      <c r="DK123" s="40"/>
      <c r="DL123" s="40"/>
      <c r="DM123" s="40"/>
      <c r="DN123" s="40"/>
      <c r="DO123" s="40"/>
      <c r="DP123" s="40"/>
      <c r="DQ123" s="40"/>
      <c r="DR123" s="40"/>
      <c r="DS123" s="40"/>
      <c r="DT123" s="40"/>
      <c r="DU123" s="40"/>
      <c r="DV123" s="40"/>
      <c r="DW123" s="40"/>
      <c r="DX123" s="40"/>
      <c r="DY123" s="40"/>
      <c r="DZ123" s="40"/>
      <c r="EA123" s="40"/>
      <c r="EB123" s="40"/>
      <c r="EC123" s="40"/>
      <c r="ED123" s="40"/>
      <c r="EE123" s="40"/>
      <c r="EF123" s="40"/>
      <c r="EG123" s="40"/>
      <c r="EH123" s="40"/>
      <c r="EI123" s="40"/>
      <c r="EJ123" s="40"/>
      <c r="EK123" s="40"/>
      <c r="EL123" s="40"/>
      <c r="EM123" s="40"/>
      <c r="EN123" s="40"/>
      <c r="EO123" s="40"/>
      <c r="EP123" s="40"/>
      <c r="EQ123" s="40"/>
      <c r="ER123" s="40"/>
      <c r="ES123" s="40"/>
      <c r="ET123" s="40"/>
      <c r="EU123" s="40"/>
      <c r="EV123" s="40"/>
      <c r="EW123" s="40"/>
      <c r="EX123" s="40"/>
      <c r="EY123" s="40"/>
      <c r="EZ123" s="40"/>
      <c r="FA123" s="40"/>
      <c r="FB123" s="40"/>
      <c r="FC123" s="40"/>
      <c r="FD123" s="40"/>
      <c r="FE123" s="40"/>
      <c r="FF123" s="40"/>
      <c r="FG123" s="40"/>
      <c r="FH123" s="40"/>
      <c r="FI123" s="40"/>
      <c r="FJ123" s="40"/>
      <c r="FK123" s="40"/>
      <c r="FL123" s="40"/>
      <c r="FM123" s="39"/>
      <c r="FN123" s="40"/>
      <c r="FO123" s="40"/>
      <c r="FP123" s="40"/>
      <c r="FQ123" s="40"/>
      <c r="FR123" s="40"/>
      <c r="FS123" s="40"/>
      <c r="FT123" s="40"/>
      <c r="FU123" s="40"/>
      <c r="FV123" s="40"/>
      <c r="FW123" s="40"/>
      <c r="FX123" s="40"/>
      <c r="FY123" s="40"/>
      <c r="FZ123" s="40"/>
      <c r="GA123" s="40"/>
      <c r="GB123" s="40"/>
      <c r="GC123" s="40"/>
      <c r="GD123" s="40"/>
      <c r="GE123" s="40"/>
      <c r="GF123" s="40"/>
      <c r="GG123" s="40"/>
      <c r="GH123" s="40"/>
      <c r="GI123" s="40"/>
      <c r="GJ123" s="40"/>
      <c r="GK123" s="40"/>
      <c r="GL123" s="40"/>
      <c r="GM123" s="40"/>
      <c r="GN123" s="40"/>
      <c r="GO123" s="40"/>
      <c r="GP123" s="40"/>
      <c r="GQ123" s="40"/>
      <c r="GR123" s="40"/>
      <c r="GS123" s="40"/>
      <c r="GT123" s="40"/>
      <c r="GU123" s="40"/>
      <c r="GV123" s="40"/>
      <c r="GW123" s="40"/>
      <c r="GX123" s="40"/>
      <c r="GY123" s="40"/>
      <c r="GZ123" s="40"/>
      <c r="HA123" s="40"/>
      <c r="HB123" s="40"/>
      <c r="HC123" s="40"/>
      <c r="HD123" s="40"/>
      <c r="HE123" s="40"/>
      <c r="HF123" s="40"/>
      <c r="HG123" s="40"/>
      <c r="HH123" s="40"/>
      <c r="HI123" s="40"/>
      <c r="HJ123" s="40"/>
      <c r="HK123" s="40"/>
      <c r="HL123" s="40"/>
      <c r="HM123" s="40"/>
      <c r="HN123" s="40"/>
      <c r="HO123" s="40"/>
      <c r="HP123" s="40"/>
      <c r="HQ123" s="40"/>
      <c r="HR123" s="40"/>
      <c r="HS123" s="40"/>
      <c r="HT123" s="40"/>
      <c r="HU123" s="39"/>
      <c r="HV123" s="40"/>
      <c r="HW123" s="40"/>
      <c r="HX123" s="40"/>
      <c r="HY123" s="40"/>
      <c r="HZ123" s="40"/>
      <c r="IA123" s="40"/>
      <c r="IB123" s="40"/>
      <c r="IC123" s="40"/>
      <c r="ID123" s="40"/>
      <c r="IE123" s="40"/>
      <c r="IF123" s="40"/>
      <c r="IG123" s="40"/>
      <c r="IH123" s="40"/>
      <c r="II123" s="40"/>
      <c r="IJ123" s="40"/>
      <c r="IK123" s="40"/>
      <c r="IL123" s="40"/>
      <c r="IM123" s="40"/>
      <c r="IN123" s="40"/>
      <c r="IO123" s="40"/>
      <c r="IP123" s="40"/>
      <c r="IQ123" s="40"/>
      <c r="IR123" s="40"/>
      <c r="IS123" s="40"/>
      <c r="IT123" s="40"/>
      <c r="IU123" s="40"/>
      <c r="IV123" s="40"/>
      <c r="IW123" s="40"/>
      <c r="IX123" s="40"/>
      <c r="IY123" s="39"/>
      <c r="IZ123" s="40"/>
      <c r="JA123" s="40"/>
      <c r="JB123" s="40"/>
      <c r="JC123" s="40"/>
      <c r="JD123" s="40"/>
      <c r="JE123" s="40"/>
      <c r="JF123" s="40"/>
      <c r="JG123" s="40"/>
      <c r="JH123" s="40"/>
      <c r="JI123" s="40"/>
      <c r="JJ123" s="40"/>
      <c r="JK123" s="40"/>
      <c r="JL123" s="40"/>
      <c r="JM123" s="40"/>
      <c r="JN123" s="40"/>
      <c r="JO123" s="40"/>
      <c r="JP123" s="40"/>
      <c r="JQ123" s="40"/>
      <c r="JR123" s="40"/>
      <c r="JS123" s="40"/>
      <c r="JT123" s="40"/>
      <c r="JU123" s="40"/>
      <c r="JV123" s="40"/>
      <c r="JW123" s="40"/>
      <c r="JX123" s="40"/>
      <c r="JY123" s="40"/>
      <c r="JZ123" s="40"/>
      <c r="KA123" s="40"/>
      <c r="KB123" s="40"/>
      <c r="KC123" s="39"/>
      <c r="KD123" s="40"/>
      <c r="KE123" s="41"/>
      <c r="KF123" s="40"/>
      <c r="KG123" s="40"/>
      <c r="KH123" s="40"/>
      <c r="KI123" s="39"/>
      <c r="KJ123" s="40"/>
      <c r="KK123" s="41"/>
      <c r="KL123" s="40"/>
      <c r="KM123" s="40"/>
      <c r="KN123" s="40"/>
      <c r="KO123" s="39"/>
      <c r="KP123" s="40"/>
      <c r="KQ123" s="41"/>
      <c r="KR123" s="40"/>
      <c r="KS123" s="40"/>
      <c r="KT123" s="40"/>
      <c r="KU123" s="39"/>
      <c r="KV123" s="40"/>
      <c r="KW123" s="41"/>
      <c r="KX123" s="40"/>
      <c r="KY123" s="40"/>
      <c r="KZ123" s="40"/>
      <c r="LA123" s="64"/>
      <c r="LB123" s="40"/>
      <c r="LC123" s="65"/>
      <c r="LD123" s="40"/>
      <c r="LE123" s="40"/>
      <c r="LF123" s="40"/>
      <c r="LG123" s="39"/>
      <c r="LH123" s="40"/>
      <c r="LI123" s="41"/>
      <c r="LJ123" s="40"/>
      <c r="LK123" s="40"/>
      <c r="LL123" s="40"/>
      <c r="LM123" s="61"/>
      <c r="LN123" s="62"/>
      <c r="LO123" s="63"/>
      <c r="LP123" s="61"/>
      <c r="LQ123" s="62"/>
      <c r="LR123" s="63"/>
      <c r="LS123" s="61"/>
      <c r="LT123" s="62"/>
      <c r="LU123" s="63"/>
      <c r="LV123" s="61"/>
      <c r="LW123" s="62"/>
      <c r="LX123" s="63"/>
      <c r="LY123" s="39"/>
      <c r="LZ123" s="40"/>
      <c r="MA123" s="41"/>
      <c r="MB123" s="40"/>
      <c r="MC123" s="40"/>
      <c r="MD123" s="40"/>
      <c r="ME123" s="39"/>
      <c r="MF123" s="40"/>
      <c r="MG123" s="41"/>
      <c r="MH123" s="39"/>
      <c r="MI123" s="40"/>
      <c r="MJ123" s="41"/>
      <c r="MK123" s="40"/>
      <c r="ML123" s="40"/>
      <c r="MM123" s="40"/>
      <c r="MN123" s="39"/>
      <c r="MO123" s="40"/>
      <c r="MP123" s="41"/>
      <c r="MQ123" s="39"/>
      <c r="MR123" s="40"/>
      <c r="MS123" s="41"/>
      <c r="MT123" s="39"/>
      <c r="MU123" s="40"/>
      <c r="MV123" s="41"/>
      <c r="MW123" s="39"/>
      <c r="MX123" s="40"/>
      <c r="MY123" s="41"/>
      <c r="MZ123" s="39"/>
      <c r="NA123" s="40"/>
      <c r="NB123" s="41"/>
      <c r="NC123" s="40"/>
      <c r="ND123" s="40"/>
      <c r="NE123" s="42"/>
      <c r="NG123" s="275"/>
      <c r="NH123" s="1"/>
      <c r="NI123" s="1"/>
      <c r="NJ123" s="1"/>
      <c r="NK123" s="1"/>
    </row>
    <row r="124" spans="5:375" s="6" customFormat="1" ht="9.9499999999999993" customHeight="1">
      <c r="E124" s="418"/>
      <c r="F124" s="196">
        <f t="shared" ref="F124" si="407">NG124</f>
        <v>9.8999999999999999E-4</v>
      </c>
      <c r="G124" s="197">
        <f>Q124-F124</f>
        <v>0</v>
      </c>
      <c r="H124" s="27">
        <v>1</v>
      </c>
      <c r="I124" s="19" t="s">
        <v>224</v>
      </c>
      <c r="J124" s="19" t="s">
        <v>184</v>
      </c>
      <c r="K124" s="19" t="s">
        <v>227</v>
      </c>
      <c r="L124" s="367"/>
      <c r="M124" s="364" t="s">
        <v>143</v>
      </c>
      <c r="N124" s="301">
        <v>861</v>
      </c>
      <c r="O124" s="310" t="s">
        <v>62</v>
      </c>
      <c r="P124" s="315">
        <v>205750</v>
      </c>
      <c r="Q124" s="236">
        <f>ROUND(P124/$P$256,5)</f>
        <v>9.8999999999999999E-4</v>
      </c>
      <c r="R124" s="73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6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8"/>
      <c r="CA124" s="66"/>
      <c r="CB124" s="67"/>
      <c r="CC124" s="67"/>
      <c r="CD124" s="67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  <c r="CR124" s="67"/>
      <c r="CS124" s="67"/>
      <c r="CT124" s="67"/>
      <c r="CU124" s="67"/>
      <c r="CV124" s="67"/>
      <c r="CW124" s="67"/>
      <c r="CX124" s="67"/>
      <c r="CY124" s="67"/>
      <c r="CZ124" s="67"/>
      <c r="DA124" s="67"/>
      <c r="DB124" s="67"/>
      <c r="DC124" s="67"/>
      <c r="DD124" s="67"/>
      <c r="DE124" s="66"/>
      <c r="DF124" s="67"/>
      <c r="DG124" s="67"/>
      <c r="DH124" s="67"/>
      <c r="DI124" s="67"/>
      <c r="DJ124" s="67"/>
      <c r="DK124" s="67"/>
      <c r="DL124" s="67"/>
      <c r="DM124" s="67"/>
      <c r="DN124" s="67"/>
      <c r="DO124" s="67"/>
      <c r="DP124" s="67"/>
      <c r="DQ124" s="67"/>
      <c r="DR124" s="67"/>
      <c r="DS124" s="67"/>
      <c r="DT124" s="67"/>
      <c r="DU124" s="67"/>
      <c r="DV124" s="67"/>
      <c r="DW124" s="67"/>
      <c r="DX124" s="67"/>
      <c r="DY124" s="67"/>
      <c r="DZ124" s="67"/>
      <c r="EA124" s="67"/>
      <c r="EB124" s="67"/>
      <c r="EC124" s="67"/>
      <c r="ED124" s="67"/>
      <c r="EE124" s="67"/>
      <c r="EF124" s="67"/>
      <c r="EG124" s="67"/>
      <c r="EH124" s="67"/>
      <c r="EI124" s="67"/>
      <c r="EJ124" s="67"/>
      <c r="EK124" s="67"/>
      <c r="EL124" s="67"/>
      <c r="EM124" s="67"/>
      <c r="EN124" s="67"/>
      <c r="EO124" s="67"/>
      <c r="EP124" s="67"/>
      <c r="EQ124" s="67"/>
      <c r="ER124" s="67"/>
      <c r="ES124" s="67"/>
      <c r="ET124" s="67"/>
      <c r="EU124" s="67"/>
      <c r="EV124" s="67"/>
      <c r="EW124" s="67"/>
      <c r="EX124" s="67"/>
      <c r="EY124" s="67"/>
      <c r="EZ124" s="67"/>
      <c r="FA124" s="67"/>
      <c r="FB124" s="67"/>
      <c r="FC124" s="67"/>
      <c r="FD124" s="67"/>
      <c r="FE124" s="67"/>
      <c r="FF124" s="67"/>
      <c r="FG124" s="67"/>
      <c r="FH124" s="67"/>
      <c r="FI124" s="67"/>
      <c r="FJ124" s="67"/>
      <c r="FK124" s="67"/>
      <c r="FL124" s="67"/>
      <c r="FM124" s="66"/>
      <c r="FN124" s="67"/>
      <c r="FO124" s="67"/>
      <c r="FP124" s="67"/>
      <c r="FQ124" s="67"/>
      <c r="FR124" s="67"/>
      <c r="FS124" s="67"/>
      <c r="FT124" s="67"/>
      <c r="FU124" s="67"/>
      <c r="FV124" s="67"/>
      <c r="FW124" s="67"/>
      <c r="FX124" s="67"/>
      <c r="FY124" s="67"/>
      <c r="FZ124" s="67"/>
      <c r="GA124" s="67"/>
      <c r="GB124" s="67"/>
      <c r="GC124" s="67"/>
      <c r="GD124" s="67"/>
      <c r="GE124" s="67"/>
      <c r="GF124" s="67"/>
      <c r="GG124" s="67"/>
      <c r="GH124" s="67"/>
      <c r="GI124" s="67"/>
      <c r="GJ124" s="67"/>
      <c r="GK124" s="67"/>
      <c r="GL124" s="67"/>
      <c r="GM124" s="67"/>
      <c r="GN124" s="67"/>
      <c r="GO124" s="67"/>
      <c r="GP124" s="67"/>
      <c r="GQ124" s="67"/>
      <c r="GR124" s="67"/>
      <c r="GS124" s="67"/>
      <c r="GT124" s="67"/>
      <c r="GU124" s="67"/>
      <c r="GV124" s="67"/>
      <c r="GW124" s="67"/>
      <c r="GX124" s="67"/>
      <c r="GY124" s="67"/>
      <c r="GZ124" s="67"/>
      <c r="HA124" s="67"/>
      <c r="HB124" s="67"/>
      <c r="HC124" s="67"/>
      <c r="HD124" s="67"/>
      <c r="HE124" s="67"/>
      <c r="HF124" s="67"/>
      <c r="HG124" s="67"/>
      <c r="HH124" s="67"/>
      <c r="HI124" s="67"/>
      <c r="HJ124" s="67"/>
      <c r="HK124" s="67"/>
      <c r="HL124" s="67"/>
      <c r="HM124" s="67"/>
      <c r="HN124" s="67"/>
      <c r="HO124" s="67"/>
      <c r="HP124" s="67"/>
      <c r="HQ124" s="67"/>
      <c r="HR124" s="67"/>
      <c r="HS124" s="67"/>
      <c r="HT124" s="67"/>
      <c r="HU124" s="66"/>
      <c r="HV124" s="67"/>
      <c r="HW124" s="67"/>
      <c r="HX124" s="67"/>
      <c r="HY124" s="67"/>
      <c r="HZ124" s="67"/>
      <c r="IA124" s="67"/>
      <c r="IB124" s="67"/>
      <c r="IC124" s="67"/>
      <c r="ID124" s="67"/>
      <c r="IE124" s="67"/>
      <c r="IF124" s="67"/>
      <c r="IG124" s="67"/>
      <c r="IH124" s="67"/>
      <c r="II124" s="67"/>
      <c r="IJ124" s="67"/>
      <c r="IK124" s="67"/>
      <c r="IL124" s="67"/>
      <c r="IM124" s="67"/>
      <c r="IN124" s="67"/>
      <c r="IO124" s="67"/>
      <c r="IP124" s="67"/>
      <c r="IQ124" s="67"/>
      <c r="IR124" s="67"/>
      <c r="IS124" s="67"/>
      <c r="IT124" s="67"/>
      <c r="IU124" s="67"/>
      <c r="IV124" s="67"/>
      <c r="IW124" s="67"/>
      <c r="IX124" s="67"/>
      <c r="IY124" s="66"/>
      <c r="IZ124" s="67"/>
      <c r="JA124" s="67"/>
      <c r="JB124" s="67"/>
      <c r="JC124" s="67"/>
      <c r="JD124" s="67"/>
      <c r="JE124" s="67"/>
      <c r="JF124" s="67"/>
      <c r="JG124" s="67"/>
      <c r="JH124" s="67"/>
      <c r="JI124" s="67"/>
      <c r="JJ124" s="67"/>
      <c r="JK124" s="67"/>
      <c r="JL124" s="67"/>
      <c r="JM124" s="67"/>
      <c r="JN124" s="67"/>
      <c r="JO124" s="67"/>
      <c r="JP124" s="67"/>
      <c r="JQ124" s="67"/>
      <c r="JR124" s="67"/>
      <c r="JS124" s="67"/>
      <c r="JT124" s="67"/>
      <c r="JU124" s="67"/>
      <c r="JV124" s="67"/>
      <c r="JW124" s="67"/>
      <c r="JX124" s="67"/>
      <c r="JY124" s="67"/>
      <c r="JZ124" s="67"/>
      <c r="KA124" s="67"/>
      <c r="KB124" s="67"/>
      <c r="KC124" s="66"/>
      <c r="KD124" s="67"/>
      <c r="KE124" s="68"/>
      <c r="KF124" s="67"/>
      <c r="KG124" s="67"/>
      <c r="KH124" s="67"/>
      <c r="KI124" s="66"/>
      <c r="KJ124" s="67"/>
      <c r="KK124" s="68"/>
      <c r="KL124" s="67"/>
      <c r="KM124" s="67"/>
      <c r="KN124" s="67"/>
      <c r="KO124" s="66"/>
      <c r="KP124" s="67"/>
      <c r="KQ124" s="68"/>
      <c r="KR124" s="67"/>
      <c r="KS124" s="67"/>
      <c r="KT124" s="67"/>
      <c r="KU124" s="66"/>
      <c r="KV124" s="67"/>
      <c r="KW124" s="68"/>
      <c r="KX124" s="67"/>
      <c r="KY124" s="67"/>
      <c r="KZ124" s="67"/>
      <c r="LA124" s="70"/>
      <c r="LB124" s="67"/>
      <c r="LC124" s="71"/>
      <c r="LD124" s="67"/>
      <c r="LE124" s="67"/>
      <c r="LF124" s="67"/>
      <c r="LG124" s="66"/>
      <c r="LH124" s="67"/>
      <c r="LI124" s="68"/>
      <c r="LJ124" s="67"/>
      <c r="LK124" s="67"/>
      <c r="LL124" s="67"/>
      <c r="LM124" s="214">
        <v>2.3000000000000001E-4</v>
      </c>
      <c r="LN124" s="214"/>
      <c r="LO124" s="214"/>
      <c r="LP124" s="214">
        <v>3.2000000000000003E-4</v>
      </c>
      <c r="LQ124" s="214"/>
      <c r="LR124" s="214"/>
      <c r="LS124" s="214">
        <v>2.3000000000000001E-4</v>
      </c>
      <c r="LT124" s="214"/>
      <c r="LU124" s="214"/>
      <c r="LV124" s="214">
        <v>2.1000000000000001E-4</v>
      </c>
      <c r="LW124" s="214"/>
      <c r="LX124" s="214"/>
      <c r="LY124" s="66"/>
      <c r="LZ124" s="67"/>
      <c r="MA124" s="68"/>
      <c r="MB124" s="67"/>
      <c r="MC124" s="67"/>
      <c r="MD124" s="67"/>
      <c r="ME124" s="66"/>
      <c r="MF124" s="67"/>
      <c r="MG124" s="68"/>
      <c r="MH124" s="66"/>
      <c r="MI124" s="67"/>
      <c r="MJ124" s="68"/>
      <c r="MK124" s="67"/>
      <c r="ML124" s="67"/>
      <c r="MM124" s="67"/>
      <c r="MN124" s="66"/>
      <c r="MO124" s="67"/>
      <c r="MP124" s="68"/>
      <c r="MQ124" s="66"/>
      <c r="MR124" s="67"/>
      <c r="MS124" s="68"/>
      <c r="MT124" s="66"/>
      <c r="MU124" s="67"/>
      <c r="MV124" s="68"/>
      <c r="MW124" s="66"/>
      <c r="MX124" s="67"/>
      <c r="MY124" s="68"/>
      <c r="MZ124" s="66"/>
      <c r="NA124" s="67"/>
      <c r="NB124" s="68"/>
      <c r="NC124" s="67"/>
      <c r="ND124" s="67"/>
      <c r="NE124" s="72"/>
      <c r="NG124" s="275">
        <f>SUM(R124:NE124)</f>
        <v>9.8999999999999999E-4</v>
      </c>
      <c r="NH124" s="1"/>
      <c r="NI124" s="1"/>
      <c r="NJ124" s="1"/>
      <c r="NK124" s="1"/>
    </row>
    <row r="125" spans="5:375" s="6" customFormat="1" ht="6.95" customHeight="1">
      <c r="F125" s="196"/>
      <c r="G125" s="197"/>
      <c r="H125" s="52">
        <v>2</v>
      </c>
      <c r="L125" s="367"/>
      <c r="M125" s="365"/>
      <c r="N125" s="301"/>
      <c r="O125" s="302"/>
      <c r="P125" s="315"/>
      <c r="Q125" s="237"/>
      <c r="R125" s="73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6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8"/>
      <c r="CA125" s="66"/>
      <c r="CB125" s="67"/>
      <c r="CC125" s="67"/>
      <c r="CD125" s="67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  <c r="CR125" s="67"/>
      <c r="CS125" s="67"/>
      <c r="CT125" s="67"/>
      <c r="CU125" s="67"/>
      <c r="CV125" s="67"/>
      <c r="CW125" s="67"/>
      <c r="CX125" s="67"/>
      <c r="CY125" s="67"/>
      <c r="CZ125" s="67"/>
      <c r="DA125" s="67"/>
      <c r="DB125" s="67"/>
      <c r="DC125" s="67"/>
      <c r="DD125" s="67"/>
      <c r="DE125" s="66"/>
      <c r="DF125" s="67"/>
      <c r="DG125" s="67"/>
      <c r="DH125" s="67"/>
      <c r="DI125" s="67"/>
      <c r="DJ125" s="67"/>
      <c r="DK125" s="67"/>
      <c r="DL125" s="67"/>
      <c r="DM125" s="67"/>
      <c r="DN125" s="67"/>
      <c r="DO125" s="67"/>
      <c r="DP125" s="67"/>
      <c r="DQ125" s="67"/>
      <c r="DR125" s="67"/>
      <c r="DS125" s="67"/>
      <c r="DT125" s="67"/>
      <c r="DU125" s="67"/>
      <c r="DV125" s="67"/>
      <c r="DW125" s="67"/>
      <c r="DX125" s="67"/>
      <c r="DY125" s="67"/>
      <c r="DZ125" s="67"/>
      <c r="EA125" s="67"/>
      <c r="EB125" s="67"/>
      <c r="EC125" s="67"/>
      <c r="ED125" s="67"/>
      <c r="EE125" s="67"/>
      <c r="EF125" s="67"/>
      <c r="EG125" s="67"/>
      <c r="EH125" s="67"/>
      <c r="EI125" s="67"/>
      <c r="EJ125" s="67"/>
      <c r="EK125" s="67"/>
      <c r="EL125" s="67"/>
      <c r="EM125" s="67"/>
      <c r="EN125" s="67"/>
      <c r="EO125" s="67"/>
      <c r="EP125" s="67"/>
      <c r="EQ125" s="67"/>
      <c r="ER125" s="67"/>
      <c r="ES125" s="67"/>
      <c r="ET125" s="67"/>
      <c r="EU125" s="67"/>
      <c r="EV125" s="67"/>
      <c r="EW125" s="67"/>
      <c r="EX125" s="67"/>
      <c r="EY125" s="67"/>
      <c r="EZ125" s="67"/>
      <c r="FA125" s="67"/>
      <c r="FB125" s="67"/>
      <c r="FC125" s="67"/>
      <c r="FD125" s="67"/>
      <c r="FE125" s="67"/>
      <c r="FF125" s="67"/>
      <c r="FG125" s="67"/>
      <c r="FH125" s="67"/>
      <c r="FI125" s="67"/>
      <c r="FJ125" s="67"/>
      <c r="FK125" s="67"/>
      <c r="FL125" s="67"/>
      <c r="FM125" s="66"/>
      <c r="FN125" s="67"/>
      <c r="FO125" s="67"/>
      <c r="FP125" s="67"/>
      <c r="FQ125" s="67"/>
      <c r="FR125" s="67"/>
      <c r="FS125" s="67"/>
      <c r="FT125" s="67"/>
      <c r="FU125" s="67"/>
      <c r="FV125" s="67"/>
      <c r="FW125" s="67"/>
      <c r="FX125" s="67"/>
      <c r="FY125" s="67"/>
      <c r="FZ125" s="67"/>
      <c r="GA125" s="67"/>
      <c r="GB125" s="67"/>
      <c r="GC125" s="67"/>
      <c r="GD125" s="67"/>
      <c r="GE125" s="67"/>
      <c r="GF125" s="67"/>
      <c r="GG125" s="67"/>
      <c r="GH125" s="67"/>
      <c r="GI125" s="67"/>
      <c r="GJ125" s="67"/>
      <c r="GK125" s="67"/>
      <c r="GL125" s="67"/>
      <c r="GM125" s="67"/>
      <c r="GN125" s="67"/>
      <c r="GO125" s="67"/>
      <c r="GP125" s="67"/>
      <c r="GQ125" s="67"/>
      <c r="GR125" s="67"/>
      <c r="GS125" s="67"/>
      <c r="GT125" s="67"/>
      <c r="GU125" s="67"/>
      <c r="GV125" s="67"/>
      <c r="GW125" s="67"/>
      <c r="GX125" s="67"/>
      <c r="GY125" s="67"/>
      <c r="GZ125" s="67"/>
      <c r="HA125" s="67"/>
      <c r="HB125" s="67"/>
      <c r="HC125" s="67"/>
      <c r="HD125" s="67"/>
      <c r="HE125" s="67"/>
      <c r="HF125" s="67"/>
      <c r="HG125" s="67"/>
      <c r="HH125" s="67"/>
      <c r="HI125" s="67"/>
      <c r="HJ125" s="67"/>
      <c r="HK125" s="67"/>
      <c r="HL125" s="67"/>
      <c r="HM125" s="67"/>
      <c r="HN125" s="67"/>
      <c r="HO125" s="67"/>
      <c r="HP125" s="67"/>
      <c r="HQ125" s="67"/>
      <c r="HR125" s="67"/>
      <c r="HS125" s="67"/>
      <c r="HT125" s="67"/>
      <c r="HU125" s="66"/>
      <c r="HV125" s="67"/>
      <c r="HW125" s="67"/>
      <c r="HX125" s="67"/>
      <c r="HY125" s="67"/>
      <c r="HZ125" s="67"/>
      <c r="IA125" s="67"/>
      <c r="IB125" s="67"/>
      <c r="IC125" s="67"/>
      <c r="ID125" s="67"/>
      <c r="IE125" s="67"/>
      <c r="IF125" s="67"/>
      <c r="IG125" s="67"/>
      <c r="IH125" s="67"/>
      <c r="II125" s="67"/>
      <c r="IJ125" s="67"/>
      <c r="IK125" s="67"/>
      <c r="IL125" s="67"/>
      <c r="IM125" s="67"/>
      <c r="IN125" s="67"/>
      <c r="IO125" s="67"/>
      <c r="IP125" s="67"/>
      <c r="IQ125" s="67"/>
      <c r="IR125" s="67"/>
      <c r="IS125" s="67"/>
      <c r="IT125" s="67"/>
      <c r="IU125" s="67"/>
      <c r="IV125" s="67"/>
      <c r="IW125" s="67"/>
      <c r="IX125" s="67"/>
      <c r="IY125" s="66"/>
      <c r="IZ125" s="67"/>
      <c r="JA125" s="67"/>
      <c r="JB125" s="67"/>
      <c r="JC125" s="67"/>
      <c r="JD125" s="67"/>
      <c r="JE125" s="67"/>
      <c r="JF125" s="67"/>
      <c r="JG125" s="67"/>
      <c r="JH125" s="67"/>
      <c r="JI125" s="67"/>
      <c r="JJ125" s="67"/>
      <c r="JK125" s="67"/>
      <c r="JL125" s="67"/>
      <c r="JM125" s="67"/>
      <c r="JN125" s="67"/>
      <c r="JO125" s="67"/>
      <c r="JP125" s="67"/>
      <c r="JQ125" s="67"/>
      <c r="JR125" s="67"/>
      <c r="JS125" s="67"/>
      <c r="JT125" s="67"/>
      <c r="JU125" s="67"/>
      <c r="JV125" s="67"/>
      <c r="JW125" s="67"/>
      <c r="JX125" s="67"/>
      <c r="JY125" s="67"/>
      <c r="JZ125" s="67"/>
      <c r="KA125" s="67"/>
      <c r="KB125" s="67"/>
      <c r="KC125" s="66"/>
      <c r="KD125" s="67"/>
      <c r="KE125" s="68"/>
      <c r="KF125" s="67"/>
      <c r="KG125" s="67"/>
      <c r="KH125" s="67"/>
      <c r="KI125" s="66"/>
      <c r="KJ125" s="67"/>
      <c r="KK125" s="68"/>
      <c r="KL125" s="67"/>
      <c r="KM125" s="67"/>
      <c r="KN125" s="67"/>
      <c r="KO125" s="66"/>
      <c r="KP125" s="67"/>
      <c r="KQ125" s="68"/>
      <c r="KR125" s="67"/>
      <c r="KS125" s="67"/>
      <c r="KT125" s="67"/>
      <c r="KU125" s="66"/>
      <c r="KV125" s="67"/>
      <c r="KW125" s="68"/>
      <c r="KX125" s="67"/>
      <c r="KY125" s="67"/>
      <c r="KZ125" s="67"/>
      <c r="LA125" s="70"/>
      <c r="LB125" s="67"/>
      <c r="LC125" s="71"/>
      <c r="LD125" s="67"/>
      <c r="LE125" s="67"/>
      <c r="LF125" s="67"/>
      <c r="LG125" s="66"/>
      <c r="LH125" s="67"/>
      <c r="LI125" s="68"/>
      <c r="LJ125" s="67"/>
      <c r="LK125" s="67"/>
      <c r="LL125" s="67"/>
      <c r="LM125" s="61"/>
      <c r="LN125" s="62"/>
      <c r="LO125" s="63"/>
      <c r="LP125" s="61"/>
      <c r="LQ125" s="62"/>
      <c r="LR125" s="63"/>
      <c r="LS125" s="61"/>
      <c r="LT125" s="62"/>
      <c r="LU125" s="63"/>
      <c r="LV125" s="61"/>
      <c r="LW125" s="62"/>
      <c r="LX125" s="63"/>
      <c r="LY125" s="66"/>
      <c r="LZ125" s="67"/>
      <c r="MA125" s="68"/>
      <c r="MB125" s="67"/>
      <c r="MC125" s="67"/>
      <c r="MD125" s="67"/>
      <c r="ME125" s="66"/>
      <c r="MF125" s="67"/>
      <c r="MG125" s="68"/>
      <c r="MH125" s="66"/>
      <c r="MI125" s="67"/>
      <c r="MJ125" s="68"/>
      <c r="MK125" s="67"/>
      <c r="ML125" s="67"/>
      <c r="MM125" s="67"/>
      <c r="MN125" s="66"/>
      <c r="MO125" s="67"/>
      <c r="MP125" s="68"/>
      <c r="MQ125" s="66"/>
      <c r="MR125" s="67"/>
      <c r="MS125" s="68"/>
      <c r="MT125" s="66"/>
      <c r="MU125" s="67"/>
      <c r="MV125" s="68"/>
      <c r="MW125" s="66"/>
      <c r="MX125" s="67"/>
      <c r="MY125" s="68"/>
      <c r="MZ125" s="66"/>
      <c r="NA125" s="67"/>
      <c r="NB125" s="68"/>
      <c r="NC125" s="67"/>
      <c r="ND125" s="67"/>
      <c r="NE125" s="72"/>
      <c r="NG125" s="275"/>
      <c r="NH125" s="1"/>
      <c r="NI125" s="1"/>
      <c r="NJ125" s="1"/>
      <c r="NK125" s="1"/>
    </row>
    <row r="126" spans="5:375" s="6" customFormat="1" ht="9.9499999999999993" customHeight="1">
      <c r="F126" s="196">
        <f t="shared" ref="F126" si="408">NG126</f>
        <v>4.1000000000000005E-4</v>
      </c>
      <c r="G126" s="197">
        <f>Q126-F126</f>
        <v>0</v>
      </c>
      <c r="H126" s="27">
        <v>1</v>
      </c>
      <c r="I126" s="19" t="s">
        <v>224</v>
      </c>
      <c r="J126" s="19" t="s">
        <v>184</v>
      </c>
      <c r="K126" s="19" t="s">
        <v>228</v>
      </c>
      <c r="L126" s="367"/>
      <c r="M126" s="358" t="s">
        <v>63</v>
      </c>
      <c r="N126" s="313">
        <v>71</v>
      </c>
      <c r="O126" s="312" t="s">
        <v>57</v>
      </c>
      <c r="P126" s="307">
        <v>84868</v>
      </c>
      <c r="Q126" s="236">
        <f>ROUND(P126/$P$256,5)</f>
        <v>4.0999999999999999E-4</v>
      </c>
      <c r="R126" s="76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3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5"/>
      <c r="CA126" s="53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3"/>
      <c r="DF126" s="54"/>
      <c r="DG126" s="54"/>
      <c r="DH126" s="54"/>
      <c r="DI126" s="54"/>
      <c r="DJ126" s="54"/>
      <c r="DK126" s="54"/>
      <c r="DL126" s="54"/>
      <c r="DM126" s="54"/>
      <c r="DN126" s="54"/>
      <c r="DO126" s="54"/>
      <c r="DP126" s="54"/>
      <c r="DQ126" s="54"/>
      <c r="DR126" s="54"/>
      <c r="DS126" s="54"/>
      <c r="DT126" s="54"/>
      <c r="DU126" s="54"/>
      <c r="DV126" s="54"/>
      <c r="DW126" s="54"/>
      <c r="DX126" s="54"/>
      <c r="DY126" s="54"/>
      <c r="DZ126" s="54"/>
      <c r="EA126" s="54"/>
      <c r="EB126" s="54"/>
      <c r="EC126" s="54"/>
      <c r="ED126" s="54"/>
      <c r="EE126" s="54"/>
      <c r="EF126" s="54"/>
      <c r="EG126" s="54"/>
      <c r="EH126" s="54"/>
      <c r="EI126" s="54"/>
      <c r="EJ126" s="54"/>
      <c r="EK126" s="54"/>
      <c r="EL126" s="54"/>
      <c r="EM126" s="54"/>
      <c r="EN126" s="54"/>
      <c r="EO126" s="54"/>
      <c r="EP126" s="54"/>
      <c r="EQ126" s="54"/>
      <c r="ER126" s="54"/>
      <c r="ES126" s="54"/>
      <c r="ET126" s="54"/>
      <c r="EU126" s="54"/>
      <c r="EV126" s="54"/>
      <c r="EW126" s="54"/>
      <c r="EX126" s="54"/>
      <c r="EY126" s="54"/>
      <c r="EZ126" s="54"/>
      <c r="FA126" s="54"/>
      <c r="FB126" s="54"/>
      <c r="FC126" s="54"/>
      <c r="FD126" s="54"/>
      <c r="FE126" s="54"/>
      <c r="FF126" s="54"/>
      <c r="FG126" s="54"/>
      <c r="FH126" s="54"/>
      <c r="FI126" s="54"/>
      <c r="FJ126" s="54"/>
      <c r="FK126" s="54"/>
      <c r="FL126" s="54"/>
      <c r="FM126" s="53"/>
      <c r="FN126" s="54"/>
      <c r="FO126" s="54"/>
      <c r="FP126" s="54"/>
      <c r="FQ126" s="54"/>
      <c r="FR126" s="54"/>
      <c r="FS126" s="54"/>
      <c r="FT126" s="54"/>
      <c r="FU126" s="54"/>
      <c r="FV126" s="54"/>
      <c r="FW126" s="54"/>
      <c r="FX126" s="54"/>
      <c r="FY126" s="54"/>
      <c r="FZ126" s="54"/>
      <c r="GA126" s="54"/>
      <c r="GB126" s="54"/>
      <c r="GC126" s="54"/>
      <c r="GD126" s="54"/>
      <c r="GE126" s="54"/>
      <c r="GF126" s="54"/>
      <c r="GG126" s="54"/>
      <c r="GH126" s="54"/>
      <c r="GI126" s="54"/>
      <c r="GJ126" s="54"/>
      <c r="GK126" s="54"/>
      <c r="GL126" s="54"/>
      <c r="GM126" s="54"/>
      <c r="GN126" s="54"/>
      <c r="GO126" s="54"/>
      <c r="GP126" s="54"/>
      <c r="GQ126" s="54"/>
      <c r="GR126" s="54"/>
      <c r="GS126" s="54"/>
      <c r="GT126" s="54"/>
      <c r="GU126" s="54"/>
      <c r="GV126" s="54"/>
      <c r="GW126" s="54"/>
      <c r="GX126" s="54"/>
      <c r="GY126" s="54"/>
      <c r="GZ126" s="54"/>
      <c r="HA126" s="54"/>
      <c r="HB126" s="54"/>
      <c r="HC126" s="54"/>
      <c r="HD126" s="54"/>
      <c r="HE126" s="54"/>
      <c r="HF126" s="54"/>
      <c r="HG126" s="54"/>
      <c r="HH126" s="54"/>
      <c r="HI126" s="54"/>
      <c r="HJ126" s="54"/>
      <c r="HK126" s="54"/>
      <c r="HL126" s="54"/>
      <c r="HM126" s="54"/>
      <c r="HN126" s="54"/>
      <c r="HO126" s="54"/>
      <c r="HP126" s="54"/>
      <c r="HQ126" s="54"/>
      <c r="HR126" s="54"/>
      <c r="HS126" s="54"/>
      <c r="HT126" s="54"/>
      <c r="HU126" s="53"/>
      <c r="HV126" s="54"/>
      <c r="HW126" s="54"/>
      <c r="HX126" s="54"/>
      <c r="HY126" s="54"/>
      <c r="HZ126" s="54"/>
      <c r="IA126" s="54"/>
      <c r="IB126" s="54"/>
      <c r="IC126" s="54"/>
      <c r="ID126" s="54"/>
      <c r="IE126" s="54"/>
      <c r="IF126" s="54"/>
      <c r="IG126" s="54"/>
      <c r="IH126" s="54"/>
      <c r="II126" s="54"/>
      <c r="IJ126" s="54"/>
      <c r="IK126" s="54"/>
      <c r="IL126" s="54"/>
      <c r="IM126" s="54"/>
      <c r="IN126" s="54"/>
      <c r="IO126" s="54"/>
      <c r="IP126" s="54"/>
      <c r="IQ126" s="54"/>
      <c r="IR126" s="54"/>
      <c r="IS126" s="54"/>
      <c r="IT126" s="54"/>
      <c r="IU126" s="54"/>
      <c r="IV126" s="54"/>
      <c r="IW126" s="54"/>
      <c r="IX126" s="54"/>
      <c r="IY126" s="53"/>
      <c r="IZ126" s="54"/>
      <c r="JA126" s="54"/>
      <c r="JB126" s="54"/>
      <c r="JC126" s="54"/>
      <c r="JD126" s="54"/>
      <c r="JE126" s="54"/>
      <c r="JF126" s="54"/>
      <c r="JG126" s="54"/>
      <c r="JH126" s="54"/>
      <c r="JI126" s="54"/>
      <c r="JJ126" s="54"/>
      <c r="JK126" s="54"/>
      <c r="JL126" s="54"/>
      <c r="JM126" s="54"/>
      <c r="JN126" s="54"/>
      <c r="JO126" s="54"/>
      <c r="JP126" s="54"/>
      <c r="JQ126" s="54"/>
      <c r="JR126" s="54"/>
      <c r="JS126" s="54"/>
      <c r="JT126" s="54"/>
      <c r="JU126" s="54"/>
      <c r="JV126" s="54"/>
      <c r="JW126" s="54"/>
      <c r="JX126" s="54"/>
      <c r="JY126" s="54"/>
      <c r="JZ126" s="54"/>
      <c r="KA126" s="54"/>
      <c r="KB126" s="54"/>
      <c r="KC126" s="53"/>
      <c r="KD126" s="54"/>
      <c r="KE126" s="55"/>
      <c r="KF126" s="54"/>
      <c r="KG126" s="54"/>
      <c r="KH126" s="54"/>
      <c r="KI126" s="53"/>
      <c r="KJ126" s="54"/>
      <c r="KK126" s="55"/>
      <c r="KL126" s="54"/>
      <c r="KM126" s="54"/>
      <c r="KN126" s="54"/>
      <c r="KO126" s="53"/>
      <c r="KP126" s="54"/>
      <c r="KQ126" s="55"/>
      <c r="KR126" s="54"/>
      <c r="KS126" s="54"/>
      <c r="KT126" s="54"/>
      <c r="KU126" s="53"/>
      <c r="KV126" s="54"/>
      <c r="KW126" s="55"/>
      <c r="KX126" s="54"/>
      <c r="KY126" s="54"/>
      <c r="KZ126" s="54"/>
      <c r="LA126" s="57"/>
      <c r="LB126" s="54"/>
      <c r="LC126" s="58"/>
      <c r="LD126" s="54"/>
      <c r="LE126" s="54"/>
      <c r="LF126" s="54"/>
      <c r="LG126" s="53"/>
      <c r="LH126" s="54"/>
      <c r="LI126" s="55"/>
      <c r="LJ126" s="54"/>
      <c r="LK126" s="54"/>
      <c r="LL126" s="54"/>
      <c r="LM126" s="212"/>
      <c r="LN126" s="212"/>
      <c r="LO126" s="212"/>
      <c r="LP126" s="212">
        <v>8.0000000000000007E-5</v>
      </c>
      <c r="LQ126" s="212"/>
      <c r="LR126" s="212"/>
      <c r="LS126" s="212">
        <v>1.1E-4</v>
      </c>
      <c r="LT126" s="212"/>
      <c r="LU126" s="212"/>
      <c r="LV126" s="212">
        <v>1.1E-4</v>
      </c>
      <c r="LW126" s="212"/>
      <c r="LX126" s="212"/>
      <c r="LY126" s="212">
        <v>1.1E-4</v>
      </c>
      <c r="LZ126" s="212"/>
      <c r="MA126" s="212"/>
      <c r="MB126" s="54"/>
      <c r="MC126" s="54"/>
      <c r="MD126" s="54"/>
      <c r="ME126" s="53"/>
      <c r="MF126" s="54"/>
      <c r="MG126" s="55"/>
      <c r="MH126" s="53"/>
      <c r="MI126" s="54"/>
      <c r="MJ126" s="55"/>
      <c r="MK126" s="54"/>
      <c r="ML126" s="54"/>
      <c r="MM126" s="54"/>
      <c r="MN126" s="53"/>
      <c r="MO126" s="54"/>
      <c r="MP126" s="55"/>
      <c r="MQ126" s="53"/>
      <c r="MR126" s="54"/>
      <c r="MS126" s="55"/>
      <c r="MT126" s="53"/>
      <c r="MU126" s="54"/>
      <c r="MV126" s="55"/>
      <c r="MW126" s="53"/>
      <c r="MX126" s="54"/>
      <c r="MY126" s="55"/>
      <c r="MZ126" s="53"/>
      <c r="NA126" s="54"/>
      <c r="NB126" s="55"/>
      <c r="NC126" s="54"/>
      <c r="ND126" s="54"/>
      <c r="NE126" s="59"/>
      <c r="NG126" s="275">
        <f>SUM(R126:NE126)</f>
        <v>4.1000000000000005E-4</v>
      </c>
      <c r="NH126" s="1"/>
      <c r="NI126" s="1"/>
      <c r="NJ126" s="1"/>
      <c r="NK126" s="1"/>
    </row>
    <row r="127" spans="5:375" s="6" customFormat="1" ht="6.95" customHeight="1">
      <c r="F127" s="196"/>
      <c r="G127" s="197"/>
      <c r="H127" s="52">
        <v>2</v>
      </c>
      <c r="L127" s="367"/>
      <c r="M127" s="359"/>
      <c r="N127" s="314"/>
      <c r="O127" s="306"/>
      <c r="P127" s="308"/>
      <c r="Q127" s="237"/>
      <c r="R127" s="6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39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1"/>
      <c r="CA127" s="39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39"/>
      <c r="DF127" s="40"/>
      <c r="DG127" s="40"/>
      <c r="DH127" s="40"/>
      <c r="DI127" s="40"/>
      <c r="DJ127" s="40"/>
      <c r="DK127" s="40"/>
      <c r="DL127" s="40"/>
      <c r="DM127" s="40"/>
      <c r="DN127" s="40"/>
      <c r="DO127" s="40"/>
      <c r="DP127" s="40"/>
      <c r="DQ127" s="40"/>
      <c r="DR127" s="40"/>
      <c r="DS127" s="40"/>
      <c r="DT127" s="40"/>
      <c r="DU127" s="40"/>
      <c r="DV127" s="40"/>
      <c r="DW127" s="40"/>
      <c r="DX127" s="40"/>
      <c r="DY127" s="40"/>
      <c r="DZ127" s="40"/>
      <c r="EA127" s="40"/>
      <c r="EB127" s="40"/>
      <c r="EC127" s="40"/>
      <c r="ED127" s="40"/>
      <c r="EE127" s="40"/>
      <c r="EF127" s="40"/>
      <c r="EG127" s="40"/>
      <c r="EH127" s="40"/>
      <c r="EI127" s="40"/>
      <c r="EJ127" s="40"/>
      <c r="EK127" s="40"/>
      <c r="EL127" s="40"/>
      <c r="EM127" s="40"/>
      <c r="EN127" s="40"/>
      <c r="EO127" s="40"/>
      <c r="EP127" s="40"/>
      <c r="EQ127" s="40"/>
      <c r="ER127" s="40"/>
      <c r="ES127" s="40"/>
      <c r="ET127" s="40"/>
      <c r="EU127" s="40"/>
      <c r="EV127" s="40"/>
      <c r="EW127" s="40"/>
      <c r="EX127" s="40"/>
      <c r="EY127" s="40"/>
      <c r="EZ127" s="40"/>
      <c r="FA127" s="40"/>
      <c r="FB127" s="40"/>
      <c r="FC127" s="40"/>
      <c r="FD127" s="40"/>
      <c r="FE127" s="40"/>
      <c r="FF127" s="40"/>
      <c r="FG127" s="40"/>
      <c r="FH127" s="40"/>
      <c r="FI127" s="40"/>
      <c r="FJ127" s="40"/>
      <c r="FK127" s="40"/>
      <c r="FL127" s="40"/>
      <c r="FM127" s="39"/>
      <c r="FN127" s="40"/>
      <c r="FO127" s="40"/>
      <c r="FP127" s="40"/>
      <c r="FQ127" s="40"/>
      <c r="FR127" s="40"/>
      <c r="FS127" s="40"/>
      <c r="FT127" s="40"/>
      <c r="FU127" s="40"/>
      <c r="FV127" s="40"/>
      <c r="FW127" s="40"/>
      <c r="FX127" s="40"/>
      <c r="FY127" s="40"/>
      <c r="FZ127" s="40"/>
      <c r="GA127" s="40"/>
      <c r="GB127" s="40"/>
      <c r="GC127" s="40"/>
      <c r="GD127" s="40"/>
      <c r="GE127" s="40"/>
      <c r="GF127" s="40"/>
      <c r="GG127" s="40"/>
      <c r="GH127" s="40"/>
      <c r="GI127" s="40"/>
      <c r="GJ127" s="40"/>
      <c r="GK127" s="40"/>
      <c r="GL127" s="40"/>
      <c r="GM127" s="40"/>
      <c r="GN127" s="40"/>
      <c r="GO127" s="40"/>
      <c r="GP127" s="40"/>
      <c r="GQ127" s="40"/>
      <c r="GR127" s="40"/>
      <c r="GS127" s="40"/>
      <c r="GT127" s="40"/>
      <c r="GU127" s="40"/>
      <c r="GV127" s="40"/>
      <c r="GW127" s="40"/>
      <c r="GX127" s="40"/>
      <c r="GY127" s="40"/>
      <c r="GZ127" s="40"/>
      <c r="HA127" s="40"/>
      <c r="HB127" s="40"/>
      <c r="HC127" s="40"/>
      <c r="HD127" s="40"/>
      <c r="HE127" s="40"/>
      <c r="HF127" s="40"/>
      <c r="HG127" s="40"/>
      <c r="HH127" s="40"/>
      <c r="HI127" s="40"/>
      <c r="HJ127" s="40"/>
      <c r="HK127" s="40"/>
      <c r="HL127" s="40"/>
      <c r="HM127" s="40"/>
      <c r="HN127" s="40"/>
      <c r="HO127" s="40"/>
      <c r="HP127" s="40"/>
      <c r="HQ127" s="40"/>
      <c r="HR127" s="40"/>
      <c r="HS127" s="40"/>
      <c r="HT127" s="40"/>
      <c r="HU127" s="39"/>
      <c r="HV127" s="40"/>
      <c r="HW127" s="40"/>
      <c r="HX127" s="40"/>
      <c r="HY127" s="40"/>
      <c r="HZ127" s="40"/>
      <c r="IA127" s="40"/>
      <c r="IB127" s="40"/>
      <c r="IC127" s="40"/>
      <c r="ID127" s="40"/>
      <c r="IE127" s="40"/>
      <c r="IF127" s="40"/>
      <c r="IG127" s="40"/>
      <c r="IH127" s="40"/>
      <c r="II127" s="40"/>
      <c r="IJ127" s="40"/>
      <c r="IK127" s="40"/>
      <c r="IL127" s="40"/>
      <c r="IM127" s="40"/>
      <c r="IN127" s="40"/>
      <c r="IO127" s="40"/>
      <c r="IP127" s="40"/>
      <c r="IQ127" s="40"/>
      <c r="IR127" s="40"/>
      <c r="IS127" s="40"/>
      <c r="IT127" s="40"/>
      <c r="IU127" s="40"/>
      <c r="IV127" s="40"/>
      <c r="IW127" s="40"/>
      <c r="IX127" s="40"/>
      <c r="IY127" s="39"/>
      <c r="IZ127" s="40"/>
      <c r="JA127" s="40"/>
      <c r="JB127" s="40"/>
      <c r="JC127" s="40"/>
      <c r="JD127" s="40"/>
      <c r="JE127" s="40"/>
      <c r="JF127" s="40"/>
      <c r="JG127" s="40"/>
      <c r="JH127" s="40"/>
      <c r="JI127" s="40"/>
      <c r="JJ127" s="40"/>
      <c r="JK127" s="40"/>
      <c r="JL127" s="40"/>
      <c r="JM127" s="40"/>
      <c r="JN127" s="40"/>
      <c r="JO127" s="40"/>
      <c r="JP127" s="40"/>
      <c r="JQ127" s="40"/>
      <c r="JR127" s="40"/>
      <c r="JS127" s="40"/>
      <c r="JT127" s="40"/>
      <c r="JU127" s="40"/>
      <c r="JV127" s="40"/>
      <c r="JW127" s="40"/>
      <c r="JX127" s="40"/>
      <c r="JY127" s="40"/>
      <c r="JZ127" s="40"/>
      <c r="KA127" s="40"/>
      <c r="KB127" s="40"/>
      <c r="KC127" s="39"/>
      <c r="KD127" s="40"/>
      <c r="KE127" s="41"/>
      <c r="KF127" s="40"/>
      <c r="KG127" s="40"/>
      <c r="KH127" s="40"/>
      <c r="KI127" s="39"/>
      <c r="KJ127" s="40"/>
      <c r="KK127" s="41"/>
      <c r="KL127" s="40"/>
      <c r="KM127" s="40"/>
      <c r="KN127" s="40"/>
      <c r="KO127" s="39"/>
      <c r="KP127" s="40"/>
      <c r="KQ127" s="41"/>
      <c r="KR127" s="40"/>
      <c r="KS127" s="40"/>
      <c r="KT127" s="40"/>
      <c r="KU127" s="39"/>
      <c r="KV127" s="40"/>
      <c r="KW127" s="41"/>
      <c r="KX127" s="40"/>
      <c r="KY127" s="40"/>
      <c r="KZ127" s="40"/>
      <c r="LA127" s="64"/>
      <c r="LB127" s="40"/>
      <c r="LC127" s="65"/>
      <c r="LD127" s="40"/>
      <c r="LE127" s="40"/>
      <c r="LF127" s="40"/>
      <c r="LG127" s="39"/>
      <c r="LH127" s="40"/>
      <c r="LI127" s="41"/>
      <c r="LJ127" s="40"/>
      <c r="LK127" s="40"/>
      <c r="LL127" s="40"/>
      <c r="LM127" s="39"/>
      <c r="LN127" s="40"/>
      <c r="LO127" s="41"/>
      <c r="LP127" s="61"/>
      <c r="LQ127" s="62"/>
      <c r="LR127" s="63"/>
      <c r="LS127" s="61"/>
      <c r="LT127" s="62"/>
      <c r="LU127" s="63"/>
      <c r="LV127" s="61"/>
      <c r="LW127" s="62"/>
      <c r="LX127" s="63"/>
      <c r="LY127" s="61"/>
      <c r="LZ127" s="62"/>
      <c r="MA127" s="63"/>
      <c r="MB127" s="40"/>
      <c r="MC127" s="40"/>
      <c r="MD127" s="40"/>
      <c r="ME127" s="39"/>
      <c r="MF127" s="40"/>
      <c r="MG127" s="41"/>
      <c r="MH127" s="39"/>
      <c r="MI127" s="40"/>
      <c r="MJ127" s="41"/>
      <c r="MK127" s="40"/>
      <c r="ML127" s="40"/>
      <c r="MM127" s="40"/>
      <c r="MN127" s="39"/>
      <c r="MO127" s="40"/>
      <c r="MP127" s="41"/>
      <c r="MQ127" s="39"/>
      <c r="MR127" s="40"/>
      <c r="MS127" s="41"/>
      <c r="MT127" s="39"/>
      <c r="MU127" s="40"/>
      <c r="MV127" s="41"/>
      <c r="MW127" s="39"/>
      <c r="MX127" s="40"/>
      <c r="MY127" s="41"/>
      <c r="MZ127" s="39"/>
      <c r="NA127" s="40"/>
      <c r="NB127" s="41"/>
      <c r="NC127" s="40"/>
      <c r="ND127" s="40"/>
      <c r="NE127" s="42"/>
      <c r="NG127" s="275"/>
      <c r="NH127" s="1"/>
      <c r="NI127" s="1"/>
      <c r="NJ127" s="1"/>
      <c r="NK127" s="1"/>
    </row>
    <row r="128" spans="5:375" s="6" customFormat="1" ht="9.9499999999999993" customHeight="1">
      <c r="F128" s="196">
        <f t="shared" ref="F128" si="409">NG128</f>
        <v>2.2000000000000001E-4</v>
      </c>
      <c r="G128" s="197">
        <f>Q128-F128</f>
        <v>0</v>
      </c>
      <c r="H128" s="27">
        <v>1</v>
      </c>
      <c r="I128" s="19" t="s">
        <v>224</v>
      </c>
      <c r="J128" s="19" t="s">
        <v>184</v>
      </c>
      <c r="K128" s="19" t="s">
        <v>230</v>
      </c>
      <c r="L128" s="367"/>
      <c r="M128" s="300" t="s">
        <v>64</v>
      </c>
      <c r="N128" s="301">
        <v>15</v>
      </c>
      <c r="O128" s="310" t="s">
        <v>65</v>
      </c>
      <c r="P128" s="315">
        <v>46555</v>
      </c>
      <c r="Q128" s="236">
        <f>ROUND(P128/$P$256,5)</f>
        <v>2.2000000000000001E-4</v>
      </c>
      <c r="R128" s="73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6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8"/>
      <c r="CA128" s="66"/>
      <c r="CB128" s="67"/>
      <c r="CC128" s="67"/>
      <c r="CD128" s="67"/>
      <c r="CE128" s="67"/>
      <c r="CF128" s="67"/>
      <c r="CG128" s="67"/>
      <c r="CH128" s="67"/>
      <c r="CI128" s="67"/>
      <c r="CJ128" s="67"/>
      <c r="CK128" s="67"/>
      <c r="CL128" s="67"/>
      <c r="CM128" s="67"/>
      <c r="CN128" s="67"/>
      <c r="CO128" s="67"/>
      <c r="CP128" s="67"/>
      <c r="CQ128" s="67"/>
      <c r="CR128" s="67"/>
      <c r="CS128" s="67"/>
      <c r="CT128" s="67"/>
      <c r="CU128" s="67"/>
      <c r="CV128" s="67"/>
      <c r="CW128" s="67"/>
      <c r="CX128" s="67"/>
      <c r="CY128" s="67"/>
      <c r="CZ128" s="67"/>
      <c r="DA128" s="67"/>
      <c r="DB128" s="67"/>
      <c r="DC128" s="67"/>
      <c r="DD128" s="67"/>
      <c r="DE128" s="66"/>
      <c r="DF128" s="67"/>
      <c r="DG128" s="67"/>
      <c r="DH128" s="67"/>
      <c r="DI128" s="67"/>
      <c r="DJ128" s="67"/>
      <c r="DK128" s="67"/>
      <c r="DL128" s="67"/>
      <c r="DM128" s="67"/>
      <c r="DN128" s="67"/>
      <c r="DO128" s="67"/>
      <c r="DP128" s="67"/>
      <c r="DQ128" s="67"/>
      <c r="DR128" s="67"/>
      <c r="DS128" s="67"/>
      <c r="DT128" s="67"/>
      <c r="DU128" s="67"/>
      <c r="DV128" s="67"/>
      <c r="DW128" s="67"/>
      <c r="DX128" s="67"/>
      <c r="DY128" s="67"/>
      <c r="DZ128" s="67"/>
      <c r="EA128" s="67"/>
      <c r="EB128" s="67"/>
      <c r="EC128" s="67"/>
      <c r="ED128" s="67"/>
      <c r="EE128" s="67"/>
      <c r="EF128" s="67"/>
      <c r="EG128" s="67"/>
      <c r="EH128" s="67"/>
      <c r="EI128" s="67"/>
      <c r="EJ128" s="67"/>
      <c r="EK128" s="67"/>
      <c r="EL128" s="67"/>
      <c r="EM128" s="67"/>
      <c r="EN128" s="67"/>
      <c r="EO128" s="67"/>
      <c r="EP128" s="67"/>
      <c r="EQ128" s="67"/>
      <c r="ER128" s="67"/>
      <c r="ES128" s="67"/>
      <c r="ET128" s="67"/>
      <c r="EU128" s="67"/>
      <c r="EV128" s="67"/>
      <c r="EW128" s="67"/>
      <c r="EX128" s="67"/>
      <c r="EY128" s="67"/>
      <c r="EZ128" s="67"/>
      <c r="FA128" s="67"/>
      <c r="FB128" s="67"/>
      <c r="FC128" s="67"/>
      <c r="FD128" s="67"/>
      <c r="FE128" s="67"/>
      <c r="FF128" s="67"/>
      <c r="FG128" s="67"/>
      <c r="FH128" s="67"/>
      <c r="FI128" s="67"/>
      <c r="FJ128" s="67"/>
      <c r="FK128" s="67"/>
      <c r="FL128" s="67"/>
      <c r="FM128" s="66"/>
      <c r="FN128" s="67"/>
      <c r="FO128" s="67"/>
      <c r="FP128" s="67"/>
      <c r="FQ128" s="67"/>
      <c r="FR128" s="67"/>
      <c r="FS128" s="67"/>
      <c r="FT128" s="67"/>
      <c r="FU128" s="67"/>
      <c r="FV128" s="67"/>
      <c r="FW128" s="67"/>
      <c r="FX128" s="67"/>
      <c r="FY128" s="67"/>
      <c r="FZ128" s="67"/>
      <c r="GA128" s="67"/>
      <c r="GB128" s="67"/>
      <c r="GC128" s="67"/>
      <c r="GD128" s="67"/>
      <c r="GE128" s="67"/>
      <c r="GF128" s="67"/>
      <c r="GG128" s="67"/>
      <c r="GH128" s="67"/>
      <c r="GI128" s="67"/>
      <c r="GJ128" s="67"/>
      <c r="GK128" s="67"/>
      <c r="GL128" s="67"/>
      <c r="GM128" s="67"/>
      <c r="GN128" s="67"/>
      <c r="GO128" s="67"/>
      <c r="GP128" s="67"/>
      <c r="GQ128" s="67"/>
      <c r="GR128" s="67"/>
      <c r="GS128" s="67"/>
      <c r="GT128" s="67"/>
      <c r="GU128" s="67"/>
      <c r="GV128" s="67"/>
      <c r="GW128" s="67"/>
      <c r="GX128" s="67"/>
      <c r="GY128" s="67"/>
      <c r="GZ128" s="67"/>
      <c r="HA128" s="67"/>
      <c r="HB128" s="67"/>
      <c r="HC128" s="67"/>
      <c r="HD128" s="67"/>
      <c r="HE128" s="67"/>
      <c r="HF128" s="67"/>
      <c r="HG128" s="67"/>
      <c r="HH128" s="67"/>
      <c r="HI128" s="67"/>
      <c r="HJ128" s="67"/>
      <c r="HK128" s="67"/>
      <c r="HL128" s="67"/>
      <c r="HM128" s="67"/>
      <c r="HN128" s="67"/>
      <c r="HO128" s="67"/>
      <c r="HP128" s="67"/>
      <c r="HQ128" s="67"/>
      <c r="HR128" s="67"/>
      <c r="HS128" s="67"/>
      <c r="HT128" s="67"/>
      <c r="HU128" s="66"/>
      <c r="HV128" s="67"/>
      <c r="HW128" s="67"/>
      <c r="HX128" s="67"/>
      <c r="HY128" s="67"/>
      <c r="HZ128" s="67"/>
      <c r="IA128" s="67"/>
      <c r="IB128" s="67"/>
      <c r="IC128" s="67"/>
      <c r="ID128" s="67"/>
      <c r="IE128" s="67"/>
      <c r="IF128" s="67"/>
      <c r="IG128" s="67"/>
      <c r="IH128" s="67"/>
      <c r="II128" s="67"/>
      <c r="IJ128" s="67"/>
      <c r="IK128" s="67"/>
      <c r="IL128" s="67"/>
      <c r="IM128" s="67"/>
      <c r="IN128" s="67"/>
      <c r="IO128" s="67"/>
      <c r="IP128" s="67"/>
      <c r="IQ128" s="67"/>
      <c r="IR128" s="67"/>
      <c r="IS128" s="67"/>
      <c r="IT128" s="67"/>
      <c r="IU128" s="67"/>
      <c r="IV128" s="67"/>
      <c r="IW128" s="67"/>
      <c r="IX128" s="67"/>
      <c r="IY128" s="66"/>
      <c r="IZ128" s="67"/>
      <c r="JA128" s="67"/>
      <c r="JB128" s="67"/>
      <c r="JC128" s="67"/>
      <c r="JD128" s="67"/>
      <c r="JE128" s="67"/>
      <c r="JF128" s="67"/>
      <c r="JG128" s="67"/>
      <c r="JH128" s="67"/>
      <c r="JI128" s="67"/>
      <c r="JJ128" s="67"/>
      <c r="JK128" s="67"/>
      <c r="JL128" s="67"/>
      <c r="JM128" s="67"/>
      <c r="JN128" s="67"/>
      <c r="JO128" s="67"/>
      <c r="JP128" s="67"/>
      <c r="JQ128" s="67"/>
      <c r="JR128" s="67"/>
      <c r="JS128" s="67"/>
      <c r="JT128" s="67"/>
      <c r="JU128" s="67"/>
      <c r="JV128" s="67"/>
      <c r="JW128" s="67"/>
      <c r="JX128" s="67"/>
      <c r="JY128" s="67"/>
      <c r="JZ128" s="67"/>
      <c r="KA128" s="67"/>
      <c r="KB128" s="67"/>
      <c r="KC128" s="66"/>
      <c r="KD128" s="67"/>
      <c r="KE128" s="68"/>
      <c r="KF128" s="67"/>
      <c r="KG128" s="67"/>
      <c r="KH128" s="67"/>
      <c r="KI128" s="66"/>
      <c r="KJ128" s="67"/>
      <c r="KK128" s="68"/>
      <c r="KL128" s="67"/>
      <c r="KM128" s="67"/>
      <c r="KN128" s="67"/>
      <c r="KO128" s="66"/>
      <c r="KP128" s="67"/>
      <c r="KQ128" s="68"/>
      <c r="KR128" s="67"/>
      <c r="KS128" s="67"/>
      <c r="KT128" s="67"/>
      <c r="KU128" s="66"/>
      <c r="KV128" s="67"/>
      <c r="KW128" s="68"/>
      <c r="KX128" s="67"/>
      <c r="KY128" s="67"/>
      <c r="KZ128" s="67"/>
      <c r="LA128" s="70"/>
      <c r="LB128" s="67"/>
      <c r="LC128" s="71"/>
      <c r="LD128" s="67"/>
      <c r="LE128" s="67"/>
      <c r="LF128" s="67"/>
      <c r="LG128" s="66"/>
      <c r="LH128" s="67"/>
      <c r="LI128" s="68"/>
      <c r="LJ128" s="67"/>
      <c r="LK128" s="67"/>
      <c r="LL128" s="68"/>
      <c r="LM128" s="67"/>
      <c r="LN128" s="67"/>
      <c r="LO128" s="68"/>
      <c r="LP128" s="214">
        <v>6.0000000000000002E-5</v>
      </c>
      <c r="LQ128" s="214"/>
      <c r="LR128" s="214"/>
      <c r="LS128" s="214">
        <v>1E-4</v>
      </c>
      <c r="LT128" s="214"/>
      <c r="LU128" s="214"/>
      <c r="LV128" s="214">
        <v>6.0000000000000002E-5</v>
      </c>
      <c r="LW128" s="214"/>
      <c r="LX128" s="214"/>
      <c r="LY128" s="66"/>
      <c r="LZ128" s="67"/>
      <c r="MA128" s="68"/>
      <c r="MB128" s="67"/>
      <c r="MC128" s="67"/>
      <c r="MD128" s="67"/>
      <c r="ME128" s="66"/>
      <c r="MF128" s="67"/>
      <c r="MG128" s="68"/>
      <c r="MH128" s="66"/>
      <c r="MI128" s="67"/>
      <c r="MJ128" s="68"/>
      <c r="MK128" s="67"/>
      <c r="ML128" s="67"/>
      <c r="MM128" s="67"/>
      <c r="MN128" s="66"/>
      <c r="MO128" s="67"/>
      <c r="MP128" s="68"/>
      <c r="MQ128" s="66"/>
      <c r="MR128" s="67"/>
      <c r="MS128" s="68"/>
      <c r="MT128" s="66"/>
      <c r="MU128" s="67"/>
      <c r="MV128" s="68"/>
      <c r="MW128" s="66"/>
      <c r="MX128" s="67"/>
      <c r="MY128" s="68"/>
      <c r="MZ128" s="66"/>
      <c r="NA128" s="67"/>
      <c r="NB128" s="68"/>
      <c r="NC128" s="67"/>
      <c r="ND128" s="67"/>
      <c r="NE128" s="72"/>
      <c r="NG128" s="275">
        <f>SUM(R128:NE128)</f>
        <v>2.2000000000000001E-4</v>
      </c>
      <c r="NH128" s="1"/>
      <c r="NI128" s="1"/>
      <c r="NJ128" s="1"/>
      <c r="NK128" s="1"/>
    </row>
    <row r="129" spans="6:375" s="6" customFormat="1" ht="6.95" customHeight="1">
      <c r="F129" s="196"/>
      <c r="G129" s="197"/>
      <c r="H129" s="52">
        <v>2</v>
      </c>
      <c r="L129" s="367"/>
      <c r="M129" s="300"/>
      <c r="N129" s="301"/>
      <c r="O129" s="302"/>
      <c r="P129" s="315"/>
      <c r="Q129" s="237"/>
      <c r="R129" s="73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6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8"/>
      <c r="CA129" s="66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67"/>
      <c r="CU129" s="67"/>
      <c r="CV129" s="67"/>
      <c r="CW129" s="67"/>
      <c r="CX129" s="67"/>
      <c r="CY129" s="67"/>
      <c r="CZ129" s="67"/>
      <c r="DA129" s="67"/>
      <c r="DB129" s="67"/>
      <c r="DC129" s="67"/>
      <c r="DD129" s="67"/>
      <c r="DE129" s="66"/>
      <c r="DF129" s="67"/>
      <c r="DG129" s="67"/>
      <c r="DH129" s="67"/>
      <c r="DI129" s="67"/>
      <c r="DJ129" s="67"/>
      <c r="DK129" s="67"/>
      <c r="DL129" s="67"/>
      <c r="DM129" s="67"/>
      <c r="DN129" s="67"/>
      <c r="DO129" s="67"/>
      <c r="DP129" s="67"/>
      <c r="DQ129" s="67"/>
      <c r="DR129" s="67"/>
      <c r="DS129" s="67"/>
      <c r="DT129" s="67"/>
      <c r="DU129" s="67"/>
      <c r="DV129" s="67"/>
      <c r="DW129" s="67"/>
      <c r="DX129" s="67"/>
      <c r="DY129" s="67"/>
      <c r="DZ129" s="67"/>
      <c r="EA129" s="67"/>
      <c r="EB129" s="67"/>
      <c r="EC129" s="67"/>
      <c r="ED129" s="67"/>
      <c r="EE129" s="67"/>
      <c r="EF129" s="67"/>
      <c r="EG129" s="67"/>
      <c r="EH129" s="67"/>
      <c r="EI129" s="67"/>
      <c r="EJ129" s="67"/>
      <c r="EK129" s="67"/>
      <c r="EL129" s="67"/>
      <c r="EM129" s="67"/>
      <c r="EN129" s="67"/>
      <c r="EO129" s="67"/>
      <c r="EP129" s="67"/>
      <c r="EQ129" s="67"/>
      <c r="ER129" s="67"/>
      <c r="ES129" s="67"/>
      <c r="ET129" s="67"/>
      <c r="EU129" s="67"/>
      <c r="EV129" s="67"/>
      <c r="EW129" s="67"/>
      <c r="EX129" s="67"/>
      <c r="EY129" s="67"/>
      <c r="EZ129" s="67"/>
      <c r="FA129" s="67"/>
      <c r="FB129" s="67"/>
      <c r="FC129" s="67"/>
      <c r="FD129" s="67"/>
      <c r="FE129" s="67"/>
      <c r="FF129" s="67"/>
      <c r="FG129" s="67"/>
      <c r="FH129" s="67"/>
      <c r="FI129" s="67"/>
      <c r="FJ129" s="67"/>
      <c r="FK129" s="67"/>
      <c r="FL129" s="67"/>
      <c r="FM129" s="66"/>
      <c r="FN129" s="67"/>
      <c r="FO129" s="67"/>
      <c r="FP129" s="67"/>
      <c r="FQ129" s="67"/>
      <c r="FR129" s="67"/>
      <c r="FS129" s="67"/>
      <c r="FT129" s="67"/>
      <c r="FU129" s="67"/>
      <c r="FV129" s="67"/>
      <c r="FW129" s="67"/>
      <c r="FX129" s="67"/>
      <c r="FY129" s="67"/>
      <c r="FZ129" s="67"/>
      <c r="GA129" s="67"/>
      <c r="GB129" s="67"/>
      <c r="GC129" s="67"/>
      <c r="GD129" s="67"/>
      <c r="GE129" s="67"/>
      <c r="GF129" s="67"/>
      <c r="GG129" s="67"/>
      <c r="GH129" s="67"/>
      <c r="GI129" s="67"/>
      <c r="GJ129" s="67"/>
      <c r="GK129" s="67"/>
      <c r="GL129" s="67"/>
      <c r="GM129" s="67"/>
      <c r="GN129" s="67"/>
      <c r="GO129" s="67"/>
      <c r="GP129" s="67"/>
      <c r="GQ129" s="67"/>
      <c r="GR129" s="67"/>
      <c r="GS129" s="67"/>
      <c r="GT129" s="67"/>
      <c r="GU129" s="67"/>
      <c r="GV129" s="67"/>
      <c r="GW129" s="67"/>
      <c r="GX129" s="67"/>
      <c r="GY129" s="67"/>
      <c r="GZ129" s="67"/>
      <c r="HA129" s="67"/>
      <c r="HB129" s="67"/>
      <c r="HC129" s="67"/>
      <c r="HD129" s="67"/>
      <c r="HE129" s="67"/>
      <c r="HF129" s="67"/>
      <c r="HG129" s="67"/>
      <c r="HH129" s="67"/>
      <c r="HI129" s="67"/>
      <c r="HJ129" s="67"/>
      <c r="HK129" s="67"/>
      <c r="HL129" s="67"/>
      <c r="HM129" s="67"/>
      <c r="HN129" s="67"/>
      <c r="HO129" s="67"/>
      <c r="HP129" s="67"/>
      <c r="HQ129" s="67"/>
      <c r="HR129" s="67"/>
      <c r="HS129" s="67"/>
      <c r="HT129" s="67"/>
      <c r="HU129" s="66"/>
      <c r="HV129" s="67"/>
      <c r="HW129" s="67"/>
      <c r="HX129" s="67"/>
      <c r="HY129" s="67"/>
      <c r="HZ129" s="67"/>
      <c r="IA129" s="67"/>
      <c r="IB129" s="67"/>
      <c r="IC129" s="67"/>
      <c r="ID129" s="67"/>
      <c r="IE129" s="67"/>
      <c r="IF129" s="67"/>
      <c r="IG129" s="67"/>
      <c r="IH129" s="67"/>
      <c r="II129" s="67"/>
      <c r="IJ129" s="67"/>
      <c r="IK129" s="67"/>
      <c r="IL129" s="67"/>
      <c r="IM129" s="67"/>
      <c r="IN129" s="67"/>
      <c r="IO129" s="67"/>
      <c r="IP129" s="67"/>
      <c r="IQ129" s="67"/>
      <c r="IR129" s="67"/>
      <c r="IS129" s="67"/>
      <c r="IT129" s="67"/>
      <c r="IU129" s="67"/>
      <c r="IV129" s="67"/>
      <c r="IW129" s="67"/>
      <c r="IX129" s="67"/>
      <c r="IY129" s="66"/>
      <c r="IZ129" s="67"/>
      <c r="JA129" s="67"/>
      <c r="JB129" s="67"/>
      <c r="JC129" s="67"/>
      <c r="JD129" s="67"/>
      <c r="JE129" s="67"/>
      <c r="JF129" s="67"/>
      <c r="JG129" s="67"/>
      <c r="JH129" s="67"/>
      <c r="JI129" s="67"/>
      <c r="JJ129" s="67"/>
      <c r="JK129" s="67"/>
      <c r="JL129" s="67"/>
      <c r="JM129" s="67"/>
      <c r="JN129" s="67"/>
      <c r="JO129" s="67"/>
      <c r="JP129" s="67"/>
      <c r="JQ129" s="67"/>
      <c r="JR129" s="67"/>
      <c r="JS129" s="67"/>
      <c r="JT129" s="67"/>
      <c r="JU129" s="67"/>
      <c r="JV129" s="67"/>
      <c r="JW129" s="67"/>
      <c r="JX129" s="67"/>
      <c r="JY129" s="67"/>
      <c r="JZ129" s="67"/>
      <c r="KA129" s="67"/>
      <c r="KB129" s="67"/>
      <c r="KC129" s="66"/>
      <c r="KD129" s="67"/>
      <c r="KE129" s="68"/>
      <c r="KF129" s="67"/>
      <c r="KG129" s="67"/>
      <c r="KH129" s="67"/>
      <c r="KI129" s="66"/>
      <c r="KJ129" s="67"/>
      <c r="KK129" s="68"/>
      <c r="KL129" s="67"/>
      <c r="KM129" s="67"/>
      <c r="KN129" s="67"/>
      <c r="KO129" s="66"/>
      <c r="KP129" s="67"/>
      <c r="KQ129" s="68"/>
      <c r="KR129" s="67"/>
      <c r="KS129" s="67"/>
      <c r="KT129" s="67"/>
      <c r="KU129" s="66"/>
      <c r="KV129" s="67"/>
      <c r="KW129" s="68"/>
      <c r="KX129" s="67"/>
      <c r="KY129" s="67"/>
      <c r="KZ129" s="67"/>
      <c r="LA129" s="70"/>
      <c r="LB129" s="67"/>
      <c r="LC129" s="71"/>
      <c r="LD129" s="67"/>
      <c r="LE129" s="67"/>
      <c r="LF129" s="67"/>
      <c r="LG129" s="66"/>
      <c r="LH129" s="67"/>
      <c r="LI129" s="68"/>
      <c r="LJ129" s="67"/>
      <c r="LK129" s="67"/>
      <c r="LL129" s="68"/>
      <c r="LM129" s="67"/>
      <c r="LN129" s="67"/>
      <c r="LO129" s="68"/>
      <c r="LP129" s="61"/>
      <c r="LQ129" s="62"/>
      <c r="LR129" s="63"/>
      <c r="LS129" s="61"/>
      <c r="LT129" s="62"/>
      <c r="LU129" s="63"/>
      <c r="LV129" s="61"/>
      <c r="LW129" s="62"/>
      <c r="LX129" s="63"/>
      <c r="LY129" s="66"/>
      <c r="LZ129" s="67"/>
      <c r="MA129" s="68"/>
      <c r="MB129" s="67"/>
      <c r="MC129" s="67"/>
      <c r="MD129" s="67"/>
      <c r="ME129" s="66"/>
      <c r="MF129" s="67"/>
      <c r="MG129" s="68"/>
      <c r="MH129" s="66"/>
      <c r="MI129" s="67"/>
      <c r="MJ129" s="68"/>
      <c r="MK129" s="67"/>
      <c r="ML129" s="67"/>
      <c r="MM129" s="67"/>
      <c r="MN129" s="66"/>
      <c r="MO129" s="67"/>
      <c r="MP129" s="68"/>
      <c r="MQ129" s="66"/>
      <c r="MR129" s="67"/>
      <c r="MS129" s="68"/>
      <c r="MT129" s="66"/>
      <c r="MU129" s="67"/>
      <c r="MV129" s="68"/>
      <c r="MW129" s="66"/>
      <c r="MX129" s="67"/>
      <c r="MY129" s="68"/>
      <c r="MZ129" s="66"/>
      <c r="NA129" s="67"/>
      <c r="NB129" s="68"/>
      <c r="NC129" s="67"/>
      <c r="ND129" s="67"/>
      <c r="NE129" s="72"/>
      <c r="NG129" s="275"/>
      <c r="NH129" s="1"/>
      <c r="NI129" s="1"/>
      <c r="NJ129" s="1"/>
      <c r="NK129" s="1"/>
    </row>
    <row r="130" spans="6:375" s="6" customFormat="1" ht="9.9499999999999993" customHeight="1">
      <c r="F130" s="196">
        <f t="shared" ref="F130" si="410">NG130</f>
        <v>1.0000000000000001E-5</v>
      </c>
      <c r="G130" s="197">
        <f>Q130-F130</f>
        <v>0</v>
      </c>
      <c r="H130" s="27">
        <v>1</v>
      </c>
      <c r="L130" s="367"/>
      <c r="M130" s="360" t="s">
        <v>67</v>
      </c>
      <c r="N130" s="313">
        <v>218</v>
      </c>
      <c r="O130" s="312" t="s">
        <v>68</v>
      </c>
      <c r="P130" s="307">
        <v>2043</v>
      </c>
      <c r="Q130" s="236">
        <f>ROUND(P130/$P$256,5)</f>
        <v>1.0000000000000001E-5</v>
      </c>
      <c r="R130" s="21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3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5"/>
      <c r="CA130" s="53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3"/>
      <c r="DF130" s="54"/>
      <c r="DG130" s="54"/>
      <c r="DH130" s="54"/>
      <c r="DI130" s="54"/>
      <c r="DJ130" s="54"/>
      <c r="DK130" s="54"/>
      <c r="DL130" s="54"/>
      <c r="DM130" s="54"/>
      <c r="DN130" s="54"/>
      <c r="DO130" s="54"/>
      <c r="DP130" s="54"/>
      <c r="DQ130" s="54"/>
      <c r="DR130" s="54"/>
      <c r="DS130" s="54"/>
      <c r="DT130" s="54"/>
      <c r="DU130" s="54"/>
      <c r="DV130" s="54"/>
      <c r="DW130" s="54"/>
      <c r="DX130" s="54"/>
      <c r="DY130" s="54"/>
      <c r="DZ130" s="54"/>
      <c r="EA130" s="54"/>
      <c r="EB130" s="54"/>
      <c r="EC130" s="54"/>
      <c r="ED130" s="54"/>
      <c r="EE130" s="54"/>
      <c r="EF130" s="54"/>
      <c r="EG130" s="54"/>
      <c r="EH130" s="54"/>
      <c r="EI130" s="54"/>
      <c r="EJ130" s="54"/>
      <c r="EK130" s="54"/>
      <c r="EL130" s="54"/>
      <c r="EM130" s="54"/>
      <c r="EN130" s="54"/>
      <c r="EO130" s="54"/>
      <c r="EP130" s="54"/>
      <c r="EQ130" s="54"/>
      <c r="ER130" s="54"/>
      <c r="ES130" s="54"/>
      <c r="ET130" s="54"/>
      <c r="EU130" s="54"/>
      <c r="EV130" s="54"/>
      <c r="EW130" s="54"/>
      <c r="EX130" s="54"/>
      <c r="EY130" s="54"/>
      <c r="EZ130" s="54"/>
      <c r="FA130" s="54"/>
      <c r="FB130" s="54"/>
      <c r="FC130" s="54"/>
      <c r="FD130" s="54"/>
      <c r="FE130" s="54"/>
      <c r="FF130" s="54"/>
      <c r="FG130" s="54"/>
      <c r="FH130" s="54"/>
      <c r="FI130" s="54"/>
      <c r="FJ130" s="54"/>
      <c r="FK130" s="54"/>
      <c r="FL130" s="54"/>
      <c r="FM130" s="53"/>
      <c r="FN130" s="54"/>
      <c r="FO130" s="54"/>
      <c r="FP130" s="54"/>
      <c r="FQ130" s="54"/>
      <c r="FR130" s="54"/>
      <c r="FS130" s="54"/>
      <c r="FT130" s="54"/>
      <c r="FU130" s="54"/>
      <c r="FV130" s="54"/>
      <c r="FW130" s="54"/>
      <c r="FX130" s="54"/>
      <c r="FY130" s="54"/>
      <c r="FZ130" s="54"/>
      <c r="GA130" s="54"/>
      <c r="GB130" s="54"/>
      <c r="GC130" s="54"/>
      <c r="GD130" s="54"/>
      <c r="GE130" s="54"/>
      <c r="GF130" s="54"/>
      <c r="GG130" s="54"/>
      <c r="GH130" s="54"/>
      <c r="GI130" s="54"/>
      <c r="GJ130" s="54"/>
      <c r="GK130" s="54"/>
      <c r="GL130" s="54"/>
      <c r="GM130" s="54"/>
      <c r="GN130" s="54"/>
      <c r="GO130" s="54"/>
      <c r="GP130" s="54"/>
      <c r="GQ130" s="54"/>
      <c r="GR130" s="54"/>
      <c r="GS130" s="54"/>
      <c r="GT130" s="54"/>
      <c r="GU130" s="54"/>
      <c r="GV130" s="54"/>
      <c r="GW130" s="54"/>
      <c r="GX130" s="54"/>
      <c r="GY130" s="54"/>
      <c r="GZ130" s="54"/>
      <c r="HA130" s="54"/>
      <c r="HB130" s="54"/>
      <c r="HC130" s="54"/>
      <c r="HD130" s="54"/>
      <c r="HE130" s="54"/>
      <c r="HF130" s="54"/>
      <c r="HG130" s="54"/>
      <c r="HH130" s="54"/>
      <c r="HI130" s="54"/>
      <c r="HJ130" s="54"/>
      <c r="HK130" s="54"/>
      <c r="HL130" s="54"/>
      <c r="HM130" s="54"/>
      <c r="HN130" s="54"/>
      <c r="HO130" s="54"/>
      <c r="HP130" s="54"/>
      <c r="HQ130" s="54"/>
      <c r="HR130" s="54"/>
      <c r="HS130" s="54"/>
      <c r="HT130" s="54"/>
      <c r="HU130" s="53"/>
      <c r="HV130" s="54"/>
      <c r="HW130" s="54"/>
      <c r="HX130" s="54"/>
      <c r="HY130" s="54"/>
      <c r="HZ130" s="54"/>
      <c r="IA130" s="54"/>
      <c r="IB130" s="54"/>
      <c r="IC130" s="54"/>
      <c r="ID130" s="54"/>
      <c r="IE130" s="54"/>
      <c r="IF130" s="54"/>
      <c r="IG130" s="54"/>
      <c r="IH130" s="54"/>
      <c r="II130" s="54"/>
      <c r="IJ130" s="54"/>
      <c r="IK130" s="54"/>
      <c r="IL130" s="54"/>
      <c r="IM130" s="54"/>
      <c r="IN130" s="54"/>
      <c r="IO130" s="54"/>
      <c r="IP130" s="54"/>
      <c r="IQ130" s="54"/>
      <c r="IR130" s="54"/>
      <c r="IS130" s="54"/>
      <c r="IT130" s="54"/>
      <c r="IU130" s="54"/>
      <c r="IV130" s="54"/>
      <c r="IW130" s="54"/>
      <c r="IX130" s="54"/>
      <c r="IY130" s="53"/>
      <c r="IZ130" s="54"/>
      <c r="JA130" s="54"/>
      <c r="JB130" s="54"/>
      <c r="JC130" s="54"/>
      <c r="JD130" s="54"/>
      <c r="JE130" s="54"/>
      <c r="JF130" s="54"/>
      <c r="JG130" s="54"/>
      <c r="JH130" s="54"/>
      <c r="JI130" s="54"/>
      <c r="JJ130" s="54"/>
      <c r="JK130" s="54"/>
      <c r="JL130" s="54"/>
      <c r="JM130" s="54"/>
      <c r="JN130" s="54"/>
      <c r="JO130" s="54"/>
      <c r="JP130" s="54"/>
      <c r="JQ130" s="54"/>
      <c r="JR130" s="54"/>
      <c r="JS130" s="54"/>
      <c r="JT130" s="54"/>
      <c r="JU130" s="54"/>
      <c r="JV130" s="54"/>
      <c r="JW130" s="54"/>
      <c r="JX130" s="54"/>
      <c r="JY130" s="54"/>
      <c r="JZ130" s="54"/>
      <c r="KA130" s="54"/>
      <c r="KB130" s="54"/>
      <c r="KC130" s="53"/>
      <c r="KD130" s="54"/>
      <c r="KE130" s="55"/>
      <c r="KF130" s="54"/>
      <c r="KG130" s="54"/>
      <c r="KH130" s="54"/>
      <c r="KI130" s="53"/>
      <c r="KJ130" s="54"/>
      <c r="KK130" s="55"/>
      <c r="KL130" s="54"/>
      <c r="KM130" s="54"/>
      <c r="KN130" s="54"/>
      <c r="KO130" s="53"/>
      <c r="KP130" s="54"/>
      <c r="KQ130" s="55"/>
      <c r="KR130" s="54"/>
      <c r="KS130" s="54"/>
      <c r="KT130" s="54"/>
      <c r="KU130" s="53"/>
      <c r="KV130" s="54"/>
      <c r="KW130" s="55"/>
      <c r="KX130" s="54"/>
      <c r="KY130" s="54"/>
      <c r="KZ130" s="54"/>
      <c r="LA130" s="57"/>
      <c r="LB130" s="54"/>
      <c r="LC130" s="58"/>
      <c r="LD130" s="54"/>
      <c r="LE130" s="54"/>
      <c r="LF130" s="54"/>
      <c r="LG130" s="53"/>
      <c r="LH130" s="54"/>
      <c r="LI130" s="55"/>
      <c r="LJ130" s="54"/>
      <c r="LK130" s="54"/>
      <c r="LL130" s="55"/>
      <c r="LM130" s="53"/>
      <c r="LN130" s="54"/>
      <c r="LO130" s="55"/>
      <c r="LP130" s="53"/>
      <c r="LQ130" s="54"/>
      <c r="LR130" s="55"/>
      <c r="LS130" s="212"/>
      <c r="LT130" s="212"/>
      <c r="LU130" s="212"/>
      <c r="LV130" s="212">
        <v>5.0000000000000004E-6</v>
      </c>
      <c r="LW130" s="212"/>
      <c r="LX130" s="212"/>
      <c r="LY130" s="53"/>
      <c r="LZ130" s="54"/>
      <c r="MA130" s="55"/>
      <c r="MB130" s="54"/>
      <c r="MC130" s="54"/>
      <c r="MD130" s="54"/>
      <c r="ME130" s="53"/>
      <c r="MF130" s="54"/>
      <c r="MG130" s="55"/>
      <c r="MH130" s="53"/>
      <c r="MI130" s="54"/>
      <c r="MJ130" s="55"/>
      <c r="MK130" s="54"/>
      <c r="ML130" s="54"/>
      <c r="MM130" s="54"/>
      <c r="MN130" s="53"/>
      <c r="MO130" s="54"/>
      <c r="MP130" s="55"/>
      <c r="MQ130" s="53"/>
      <c r="MR130" s="54"/>
      <c r="MS130" s="55"/>
      <c r="MT130" s="53"/>
      <c r="MU130" s="54"/>
      <c r="MV130" s="55"/>
      <c r="MW130" s="53"/>
      <c r="MX130" s="54"/>
      <c r="MY130" s="55"/>
      <c r="MZ130" s="53"/>
      <c r="NA130" s="54"/>
      <c r="NB130" s="55"/>
      <c r="NC130" s="212">
        <v>5.0000000000000004E-6</v>
      </c>
      <c r="ND130" s="212"/>
      <c r="NE130" s="276"/>
      <c r="NG130" s="275">
        <f>SUM(R130:NE130)</f>
        <v>1.0000000000000001E-5</v>
      </c>
      <c r="NH130" s="1"/>
      <c r="NI130" s="1"/>
      <c r="NJ130" s="1"/>
      <c r="NK130" s="1"/>
    </row>
    <row r="131" spans="6:375" s="6" customFormat="1" ht="6.95" customHeight="1">
      <c r="F131" s="196"/>
      <c r="G131" s="197"/>
      <c r="H131" s="52">
        <v>2</v>
      </c>
      <c r="L131" s="367"/>
      <c r="M131" s="361"/>
      <c r="N131" s="314"/>
      <c r="O131" s="306"/>
      <c r="P131" s="308"/>
      <c r="Q131" s="237"/>
      <c r="R131" s="6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39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1"/>
      <c r="CA131" s="39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39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40"/>
      <c r="DR131" s="40"/>
      <c r="DS131" s="40"/>
      <c r="DT131" s="40"/>
      <c r="DU131" s="40"/>
      <c r="DV131" s="40"/>
      <c r="DW131" s="40"/>
      <c r="DX131" s="40"/>
      <c r="DY131" s="40"/>
      <c r="DZ131" s="40"/>
      <c r="EA131" s="40"/>
      <c r="EB131" s="40"/>
      <c r="EC131" s="40"/>
      <c r="ED131" s="40"/>
      <c r="EE131" s="40"/>
      <c r="EF131" s="40"/>
      <c r="EG131" s="40"/>
      <c r="EH131" s="40"/>
      <c r="EI131" s="40"/>
      <c r="EJ131" s="40"/>
      <c r="EK131" s="40"/>
      <c r="EL131" s="40"/>
      <c r="EM131" s="40"/>
      <c r="EN131" s="40"/>
      <c r="EO131" s="40"/>
      <c r="EP131" s="40"/>
      <c r="EQ131" s="40"/>
      <c r="ER131" s="40"/>
      <c r="ES131" s="40"/>
      <c r="ET131" s="40"/>
      <c r="EU131" s="40"/>
      <c r="EV131" s="40"/>
      <c r="EW131" s="40"/>
      <c r="EX131" s="40"/>
      <c r="EY131" s="40"/>
      <c r="EZ131" s="40"/>
      <c r="FA131" s="40"/>
      <c r="FB131" s="40"/>
      <c r="FC131" s="40"/>
      <c r="FD131" s="40"/>
      <c r="FE131" s="40"/>
      <c r="FF131" s="40"/>
      <c r="FG131" s="40"/>
      <c r="FH131" s="40"/>
      <c r="FI131" s="40"/>
      <c r="FJ131" s="40"/>
      <c r="FK131" s="40"/>
      <c r="FL131" s="40"/>
      <c r="FM131" s="39"/>
      <c r="FN131" s="40"/>
      <c r="FO131" s="40"/>
      <c r="FP131" s="40"/>
      <c r="FQ131" s="40"/>
      <c r="FR131" s="40"/>
      <c r="FS131" s="40"/>
      <c r="FT131" s="40"/>
      <c r="FU131" s="40"/>
      <c r="FV131" s="40"/>
      <c r="FW131" s="40"/>
      <c r="FX131" s="40"/>
      <c r="FY131" s="40"/>
      <c r="FZ131" s="40"/>
      <c r="GA131" s="40"/>
      <c r="GB131" s="40"/>
      <c r="GC131" s="40"/>
      <c r="GD131" s="40"/>
      <c r="GE131" s="40"/>
      <c r="GF131" s="40"/>
      <c r="GG131" s="40"/>
      <c r="GH131" s="40"/>
      <c r="GI131" s="40"/>
      <c r="GJ131" s="40"/>
      <c r="GK131" s="40"/>
      <c r="GL131" s="40"/>
      <c r="GM131" s="40"/>
      <c r="GN131" s="40"/>
      <c r="GO131" s="40"/>
      <c r="GP131" s="40"/>
      <c r="GQ131" s="40"/>
      <c r="GR131" s="40"/>
      <c r="GS131" s="40"/>
      <c r="GT131" s="40"/>
      <c r="GU131" s="40"/>
      <c r="GV131" s="40"/>
      <c r="GW131" s="40"/>
      <c r="GX131" s="40"/>
      <c r="GY131" s="40"/>
      <c r="GZ131" s="40"/>
      <c r="HA131" s="40"/>
      <c r="HB131" s="40"/>
      <c r="HC131" s="40"/>
      <c r="HD131" s="40"/>
      <c r="HE131" s="40"/>
      <c r="HF131" s="40"/>
      <c r="HG131" s="40"/>
      <c r="HH131" s="40"/>
      <c r="HI131" s="40"/>
      <c r="HJ131" s="40"/>
      <c r="HK131" s="40"/>
      <c r="HL131" s="40"/>
      <c r="HM131" s="40"/>
      <c r="HN131" s="40"/>
      <c r="HO131" s="40"/>
      <c r="HP131" s="40"/>
      <c r="HQ131" s="40"/>
      <c r="HR131" s="40"/>
      <c r="HS131" s="40"/>
      <c r="HT131" s="40"/>
      <c r="HU131" s="39"/>
      <c r="HV131" s="40"/>
      <c r="HW131" s="40"/>
      <c r="HX131" s="40"/>
      <c r="HY131" s="40"/>
      <c r="HZ131" s="40"/>
      <c r="IA131" s="40"/>
      <c r="IB131" s="40"/>
      <c r="IC131" s="40"/>
      <c r="ID131" s="40"/>
      <c r="IE131" s="40"/>
      <c r="IF131" s="40"/>
      <c r="IG131" s="40"/>
      <c r="IH131" s="40"/>
      <c r="II131" s="40"/>
      <c r="IJ131" s="40"/>
      <c r="IK131" s="40"/>
      <c r="IL131" s="40"/>
      <c r="IM131" s="40"/>
      <c r="IN131" s="40"/>
      <c r="IO131" s="40"/>
      <c r="IP131" s="40"/>
      <c r="IQ131" s="40"/>
      <c r="IR131" s="40"/>
      <c r="IS131" s="40"/>
      <c r="IT131" s="40"/>
      <c r="IU131" s="40"/>
      <c r="IV131" s="40"/>
      <c r="IW131" s="40"/>
      <c r="IX131" s="40"/>
      <c r="IY131" s="39"/>
      <c r="IZ131" s="40"/>
      <c r="JA131" s="40"/>
      <c r="JB131" s="40"/>
      <c r="JC131" s="40"/>
      <c r="JD131" s="40"/>
      <c r="JE131" s="40"/>
      <c r="JF131" s="40"/>
      <c r="JG131" s="40"/>
      <c r="JH131" s="40"/>
      <c r="JI131" s="40"/>
      <c r="JJ131" s="40"/>
      <c r="JK131" s="40"/>
      <c r="JL131" s="40"/>
      <c r="JM131" s="40"/>
      <c r="JN131" s="40"/>
      <c r="JO131" s="40"/>
      <c r="JP131" s="40"/>
      <c r="JQ131" s="40"/>
      <c r="JR131" s="40"/>
      <c r="JS131" s="40"/>
      <c r="JT131" s="40"/>
      <c r="JU131" s="40"/>
      <c r="JV131" s="40"/>
      <c r="JW131" s="40"/>
      <c r="JX131" s="40"/>
      <c r="JY131" s="40"/>
      <c r="JZ131" s="40"/>
      <c r="KA131" s="40"/>
      <c r="KB131" s="40"/>
      <c r="KC131" s="39"/>
      <c r="KD131" s="40"/>
      <c r="KE131" s="41"/>
      <c r="KF131" s="40"/>
      <c r="KG131" s="40"/>
      <c r="KH131" s="40"/>
      <c r="KI131" s="39"/>
      <c r="KJ131" s="40"/>
      <c r="KK131" s="41"/>
      <c r="KL131" s="40"/>
      <c r="KM131" s="40"/>
      <c r="KN131" s="40"/>
      <c r="KO131" s="39"/>
      <c r="KP131" s="40"/>
      <c r="KQ131" s="41"/>
      <c r="KR131" s="40"/>
      <c r="KS131" s="40"/>
      <c r="KT131" s="40"/>
      <c r="KU131" s="39"/>
      <c r="KV131" s="40"/>
      <c r="KW131" s="41"/>
      <c r="KX131" s="40"/>
      <c r="KY131" s="40"/>
      <c r="KZ131" s="40"/>
      <c r="LA131" s="64"/>
      <c r="LB131" s="40"/>
      <c r="LC131" s="65"/>
      <c r="LD131" s="40"/>
      <c r="LE131" s="40"/>
      <c r="LF131" s="40"/>
      <c r="LG131" s="39"/>
      <c r="LH131" s="40"/>
      <c r="LI131" s="41"/>
      <c r="LJ131" s="40"/>
      <c r="LK131" s="40"/>
      <c r="LL131" s="41"/>
      <c r="LM131" s="39"/>
      <c r="LN131" s="40"/>
      <c r="LO131" s="41"/>
      <c r="LP131" s="39"/>
      <c r="LQ131" s="40"/>
      <c r="LR131" s="41"/>
      <c r="LS131" s="39"/>
      <c r="LT131" s="40"/>
      <c r="LU131" s="41"/>
      <c r="LV131" s="61"/>
      <c r="LW131" s="62"/>
      <c r="LX131" s="63"/>
      <c r="LY131" s="39"/>
      <c r="LZ131" s="40"/>
      <c r="MA131" s="41"/>
      <c r="MB131" s="40"/>
      <c r="MC131" s="40"/>
      <c r="MD131" s="40"/>
      <c r="ME131" s="39"/>
      <c r="MF131" s="40"/>
      <c r="MG131" s="41"/>
      <c r="MH131" s="39"/>
      <c r="MI131" s="40"/>
      <c r="MJ131" s="41"/>
      <c r="MK131" s="40"/>
      <c r="ML131" s="40"/>
      <c r="MM131" s="40"/>
      <c r="MN131" s="39"/>
      <c r="MO131" s="40"/>
      <c r="MP131" s="41"/>
      <c r="MQ131" s="39"/>
      <c r="MR131" s="40"/>
      <c r="MS131" s="41"/>
      <c r="MT131" s="39"/>
      <c r="MU131" s="40"/>
      <c r="MV131" s="41"/>
      <c r="MW131" s="39"/>
      <c r="MX131" s="40"/>
      <c r="MY131" s="41"/>
      <c r="MZ131" s="39"/>
      <c r="NA131" s="40"/>
      <c r="NB131" s="41"/>
      <c r="NC131" s="61"/>
      <c r="ND131" s="62"/>
      <c r="NE131" s="91"/>
      <c r="NG131" s="275"/>
      <c r="NH131" s="1"/>
      <c r="NI131" s="1"/>
      <c r="NJ131" s="1"/>
      <c r="NK131" s="1"/>
    </row>
    <row r="132" spans="6:375" s="6" customFormat="1" ht="9.9499999999999993" customHeight="1">
      <c r="F132" s="196">
        <f t="shared" ref="F132" si="411">NG132</f>
        <v>1.41E-3</v>
      </c>
      <c r="G132" s="197">
        <f>Q132-F132</f>
        <v>0</v>
      </c>
      <c r="H132" s="27">
        <v>1</v>
      </c>
      <c r="L132" s="367"/>
      <c r="M132" s="300" t="s">
        <v>144</v>
      </c>
      <c r="N132" s="301">
        <v>1</v>
      </c>
      <c r="O132" s="310" t="s">
        <v>60</v>
      </c>
      <c r="P132" s="315">
        <v>293620</v>
      </c>
      <c r="Q132" s="236">
        <f>ROUND(P132/$P$256,5)</f>
        <v>1.41E-3</v>
      </c>
      <c r="R132" s="73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6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8"/>
      <c r="CA132" s="66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  <c r="CY132" s="67"/>
      <c r="CZ132" s="67"/>
      <c r="DA132" s="67"/>
      <c r="DB132" s="67"/>
      <c r="DC132" s="67"/>
      <c r="DD132" s="67"/>
      <c r="DE132" s="66"/>
      <c r="DF132" s="67"/>
      <c r="DG132" s="67"/>
      <c r="DH132" s="67"/>
      <c r="DI132" s="67"/>
      <c r="DJ132" s="67"/>
      <c r="DK132" s="67"/>
      <c r="DL132" s="67"/>
      <c r="DM132" s="67"/>
      <c r="DN132" s="67"/>
      <c r="DO132" s="67"/>
      <c r="DP132" s="67"/>
      <c r="DQ132" s="67"/>
      <c r="DR132" s="67"/>
      <c r="DS132" s="67"/>
      <c r="DT132" s="67"/>
      <c r="DU132" s="67"/>
      <c r="DV132" s="67"/>
      <c r="DW132" s="67"/>
      <c r="DX132" s="67"/>
      <c r="DY132" s="67"/>
      <c r="DZ132" s="67"/>
      <c r="EA132" s="67"/>
      <c r="EB132" s="67"/>
      <c r="EC132" s="67"/>
      <c r="ED132" s="67"/>
      <c r="EE132" s="67"/>
      <c r="EF132" s="67"/>
      <c r="EG132" s="67"/>
      <c r="EH132" s="67"/>
      <c r="EI132" s="67"/>
      <c r="EJ132" s="67"/>
      <c r="EK132" s="67"/>
      <c r="EL132" s="67"/>
      <c r="EM132" s="67"/>
      <c r="EN132" s="67"/>
      <c r="EO132" s="67"/>
      <c r="EP132" s="67"/>
      <c r="EQ132" s="67"/>
      <c r="ER132" s="67"/>
      <c r="ES132" s="67"/>
      <c r="ET132" s="67"/>
      <c r="EU132" s="67"/>
      <c r="EV132" s="67"/>
      <c r="EW132" s="67"/>
      <c r="EX132" s="67"/>
      <c r="EY132" s="67"/>
      <c r="EZ132" s="67"/>
      <c r="FA132" s="67"/>
      <c r="FB132" s="67"/>
      <c r="FC132" s="67"/>
      <c r="FD132" s="67"/>
      <c r="FE132" s="67"/>
      <c r="FF132" s="67"/>
      <c r="FG132" s="67"/>
      <c r="FH132" s="67"/>
      <c r="FI132" s="67"/>
      <c r="FJ132" s="67"/>
      <c r="FK132" s="67"/>
      <c r="FL132" s="67"/>
      <c r="FM132" s="66"/>
      <c r="FN132" s="67"/>
      <c r="FO132" s="67"/>
      <c r="FP132" s="67"/>
      <c r="FQ132" s="67"/>
      <c r="FR132" s="67"/>
      <c r="FS132" s="67"/>
      <c r="FT132" s="67"/>
      <c r="FU132" s="67"/>
      <c r="FV132" s="67"/>
      <c r="FW132" s="67"/>
      <c r="FX132" s="67"/>
      <c r="FY132" s="67"/>
      <c r="FZ132" s="67"/>
      <c r="GA132" s="67"/>
      <c r="GB132" s="67"/>
      <c r="GC132" s="67"/>
      <c r="GD132" s="67"/>
      <c r="GE132" s="67"/>
      <c r="GF132" s="67"/>
      <c r="GG132" s="67"/>
      <c r="GH132" s="67"/>
      <c r="GI132" s="67"/>
      <c r="GJ132" s="67"/>
      <c r="GK132" s="67"/>
      <c r="GL132" s="67"/>
      <c r="GM132" s="67"/>
      <c r="GN132" s="67"/>
      <c r="GO132" s="67"/>
      <c r="GP132" s="67"/>
      <c r="GQ132" s="67"/>
      <c r="GR132" s="67"/>
      <c r="GS132" s="67"/>
      <c r="GT132" s="67"/>
      <c r="GU132" s="67"/>
      <c r="GV132" s="67"/>
      <c r="GW132" s="67"/>
      <c r="GX132" s="67"/>
      <c r="GY132" s="67"/>
      <c r="GZ132" s="67"/>
      <c r="HA132" s="67"/>
      <c r="HB132" s="67"/>
      <c r="HC132" s="67"/>
      <c r="HD132" s="67"/>
      <c r="HE132" s="67"/>
      <c r="HF132" s="67"/>
      <c r="HG132" s="67"/>
      <c r="HH132" s="67"/>
      <c r="HI132" s="67"/>
      <c r="HJ132" s="67"/>
      <c r="HK132" s="67"/>
      <c r="HL132" s="67"/>
      <c r="HM132" s="67"/>
      <c r="HN132" s="67"/>
      <c r="HO132" s="67"/>
      <c r="HP132" s="67"/>
      <c r="HQ132" s="67"/>
      <c r="HR132" s="67"/>
      <c r="HS132" s="67"/>
      <c r="HT132" s="67"/>
      <c r="HU132" s="66"/>
      <c r="HV132" s="67"/>
      <c r="HW132" s="67"/>
      <c r="HX132" s="67"/>
      <c r="HY132" s="67"/>
      <c r="HZ132" s="67"/>
      <c r="IA132" s="67"/>
      <c r="IB132" s="67"/>
      <c r="IC132" s="67"/>
      <c r="ID132" s="67"/>
      <c r="IE132" s="67"/>
      <c r="IF132" s="67"/>
      <c r="IG132" s="67"/>
      <c r="IH132" s="67"/>
      <c r="II132" s="67"/>
      <c r="IJ132" s="67"/>
      <c r="IK132" s="67"/>
      <c r="IL132" s="67"/>
      <c r="IM132" s="67"/>
      <c r="IN132" s="67"/>
      <c r="IO132" s="67"/>
      <c r="IP132" s="67"/>
      <c r="IQ132" s="67"/>
      <c r="IR132" s="67"/>
      <c r="IS132" s="67"/>
      <c r="IT132" s="67"/>
      <c r="IU132" s="67"/>
      <c r="IV132" s="67"/>
      <c r="IW132" s="67"/>
      <c r="IX132" s="67"/>
      <c r="IY132" s="66"/>
      <c r="IZ132" s="67"/>
      <c r="JA132" s="67"/>
      <c r="JB132" s="67"/>
      <c r="JC132" s="67"/>
      <c r="JD132" s="67"/>
      <c r="JE132" s="67"/>
      <c r="JF132" s="67"/>
      <c r="JG132" s="67"/>
      <c r="JH132" s="67"/>
      <c r="JI132" s="67"/>
      <c r="JJ132" s="67"/>
      <c r="JK132" s="67"/>
      <c r="JL132" s="67"/>
      <c r="JM132" s="67"/>
      <c r="JN132" s="67"/>
      <c r="JO132" s="67"/>
      <c r="JP132" s="67"/>
      <c r="JQ132" s="67"/>
      <c r="JR132" s="67"/>
      <c r="JS132" s="67"/>
      <c r="JT132" s="67"/>
      <c r="JU132" s="67"/>
      <c r="JV132" s="67"/>
      <c r="JW132" s="67"/>
      <c r="JX132" s="67"/>
      <c r="JY132" s="67"/>
      <c r="JZ132" s="67"/>
      <c r="KA132" s="67"/>
      <c r="KB132" s="67"/>
      <c r="KC132" s="66"/>
      <c r="KD132" s="67"/>
      <c r="KE132" s="68"/>
      <c r="KF132" s="67"/>
      <c r="KG132" s="67"/>
      <c r="KH132" s="67"/>
      <c r="KI132" s="66"/>
      <c r="KJ132" s="67"/>
      <c r="KK132" s="68"/>
      <c r="KL132" s="67"/>
      <c r="KM132" s="67"/>
      <c r="KN132" s="67"/>
      <c r="KO132" s="66"/>
      <c r="KP132" s="67"/>
      <c r="KQ132" s="68"/>
      <c r="KR132" s="67"/>
      <c r="KS132" s="67"/>
      <c r="KT132" s="67"/>
      <c r="KU132" s="66"/>
      <c r="KV132" s="67"/>
      <c r="KW132" s="68"/>
      <c r="KX132" s="67"/>
      <c r="KY132" s="67"/>
      <c r="KZ132" s="67"/>
      <c r="LA132" s="70"/>
      <c r="LB132" s="67"/>
      <c r="LC132" s="71"/>
      <c r="LD132" s="67"/>
      <c r="LE132" s="67"/>
      <c r="LF132" s="67"/>
      <c r="LG132" s="214"/>
      <c r="LH132" s="214"/>
      <c r="LI132" s="214"/>
      <c r="LJ132" s="67"/>
      <c r="LK132" s="67"/>
      <c r="LL132" s="68"/>
      <c r="LM132" s="214">
        <v>2.3000000000000001E-4</v>
      </c>
      <c r="LN132" s="214"/>
      <c r="LO132" s="214"/>
      <c r="LP132" s="214">
        <v>3.3E-4</v>
      </c>
      <c r="LQ132" s="214"/>
      <c r="LR132" s="214"/>
      <c r="LS132" s="214">
        <v>3.3E-4</v>
      </c>
      <c r="LT132" s="214"/>
      <c r="LU132" s="214"/>
      <c r="LV132" s="214">
        <v>2.9E-4</v>
      </c>
      <c r="LW132" s="214"/>
      <c r="LX132" s="214"/>
      <c r="LY132" s="214">
        <v>2.3000000000000001E-4</v>
      </c>
      <c r="LZ132" s="214"/>
      <c r="MA132" s="214"/>
      <c r="MB132" s="67"/>
      <c r="MC132" s="67"/>
      <c r="MD132" s="67"/>
      <c r="ME132" s="66"/>
      <c r="MF132" s="67"/>
      <c r="MG132" s="68"/>
      <c r="MH132" s="66"/>
      <c r="MI132" s="67"/>
      <c r="MJ132" s="68"/>
      <c r="MK132" s="67"/>
      <c r="ML132" s="67"/>
      <c r="MM132" s="67"/>
      <c r="MN132" s="66"/>
      <c r="MO132" s="67"/>
      <c r="MP132" s="68"/>
      <c r="MQ132" s="66"/>
      <c r="MR132" s="67"/>
      <c r="MS132" s="68"/>
      <c r="MT132" s="66"/>
      <c r="MU132" s="67"/>
      <c r="MV132" s="68"/>
      <c r="MW132" s="66"/>
      <c r="MX132" s="67"/>
      <c r="MY132" s="68"/>
      <c r="MZ132" s="66"/>
      <c r="NA132" s="67"/>
      <c r="NB132" s="68"/>
      <c r="NC132" s="67"/>
      <c r="ND132" s="67"/>
      <c r="NE132" s="72"/>
      <c r="NG132" s="275">
        <f>SUM(R132:NE132)</f>
        <v>1.41E-3</v>
      </c>
      <c r="NH132" s="1"/>
      <c r="NI132" s="1"/>
      <c r="NJ132" s="1"/>
      <c r="NK132" s="1"/>
    </row>
    <row r="133" spans="6:375" s="6" customFormat="1" ht="6.95" customHeight="1" thickBot="1">
      <c r="F133" s="196"/>
      <c r="G133" s="197"/>
      <c r="H133" s="52">
        <v>2</v>
      </c>
      <c r="L133" s="367"/>
      <c r="M133" s="300"/>
      <c r="N133" s="301"/>
      <c r="O133" s="302"/>
      <c r="P133" s="315"/>
      <c r="Q133" s="237"/>
      <c r="R133" s="82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4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  <c r="BX133" s="83"/>
      <c r="BY133" s="83"/>
      <c r="BZ133" s="85"/>
      <c r="CA133" s="84"/>
      <c r="CB133" s="83"/>
      <c r="CC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3"/>
      <c r="CN133" s="83"/>
      <c r="CO133" s="83"/>
      <c r="CP133" s="83"/>
      <c r="CQ133" s="83"/>
      <c r="CR133" s="83"/>
      <c r="CS133" s="83"/>
      <c r="CT133" s="83"/>
      <c r="CU133" s="83"/>
      <c r="CV133" s="83"/>
      <c r="CW133" s="83"/>
      <c r="CX133" s="83"/>
      <c r="CY133" s="83"/>
      <c r="CZ133" s="83"/>
      <c r="DA133" s="83"/>
      <c r="DB133" s="83"/>
      <c r="DC133" s="83"/>
      <c r="DD133" s="83"/>
      <c r="DE133" s="84"/>
      <c r="DF133" s="83"/>
      <c r="DG133" s="83"/>
      <c r="DH133" s="83"/>
      <c r="DI133" s="83"/>
      <c r="DJ133" s="83"/>
      <c r="DK133" s="83"/>
      <c r="DL133" s="83"/>
      <c r="DM133" s="83"/>
      <c r="DN133" s="83"/>
      <c r="DO133" s="83"/>
      <c r="DP133" s="83"/>
      <c r="DQ133" s="83"/>
      <c r="DR133" s="83"/>
      <c r="DS133" s="83"/>
      <c r="DT133" s="83"/>
      <c r="DU133" s="83"/>
      <c r="DV133" s="83"/>
      <c r="DW133" s="83"/>
      <c r="DX133" s="83"/>
      <c r="DY133" s="83"/>
      <c r="DZ133" s="83"/>
      <c r="EA133" s="83"/>
      <c r="EB133" s="83"/>
      <c r="EC133" s="83"/>
      <c r="ED133" s="83"/>
      <c r="EE133" s="83"/>
      <c r="EF133" s="83"/>
      <c r="EG133" s="83"/>
      <c r="EH133" s="83"/>
      <c r="EI133" s="83"/>
      <c r="EJ133" s="83"/>
      <c r="EK133" s="83"/>
      <c r="EL133" s="83"/>
      <c r="EM133" s="83"/>
      <c r="EN133" s="83"/>
      <c r="EO133" s="83"/>
      <c r="EP133" s="83"/>
      <c r="EQ133" s="83"/>
      <c r="ER133" s="83"/>
      <c r="ES133" s="83"/>
      <c r="ET133" s="83"/>
      <c r="EU133" s="83"/>
      <c r="EV133" s="83"/>
      <c r="EW133" s="83"/>
      <c r="EX133" s="83"/>
      <c r="EY133" s="83"/>
      <c r="EZ133" s="83"/>
      <c r="FA133" s="83"/>
      <c r="FB133" s="83"/>
      <c r="FC133" s="83"/>
      <c r="FD133" s="83"/>
      <c r="FE133" s="83"/>
      <c r="FF133" s="83"/>
      <c r="FG133" s="83"/>
      <c r="FH133" s="83"/>
      <c r="FI133" s="83"/>
      <c r="FJ133" s="83"/>
      <c r="FK133" s="83"/>
      <c r="FL133" s="83"/>
      <c r="FM133" s="84"/>
      <c r="FN133" s="83"/>
      <c r="FO133" s="83"/>
      <c r="FP133" s="83"/>
      <c r="FQ133" s="83"/>
      <c r="FR133" s="83"/>
      <c r="FS133" s="83"/>
      <c r="FT133" s="83"/>
      <c r="FU133" s="83"/>
      <c r="FV133" s="83"/>
      <c r="FW133" s="83"/>
      <c r="FX133" s="83"/>
      <c r="FY133" s="83"/>
      <c r="FZ133" s="83"/>
      <c r="GA133" s="83"/>
      <c r="GB133" s="83"/>
      <c r="GC133" s="83"/>
      <c r="GD133" s="83"/>
      <c r="GE133" s="83"/>
      <c r="GF133" s="83"/>
      <c r="GG133" s="83"/>
      <c r="GH133" s="83"/>
      <c r="GI133" s="83"/>
      <c r="GJ133" s="83"/>
      <c r="GK133" s="83"/>
      <c r="GL133" s="83"/>
      <c r="GM133" s="83"/>
      <c r="GN133" s="83"/>
      <c r="GO133" s="83"/>
      <c r="GP133" s="83"/>
      <c r="GQ133" s="83"/>
      <c r="GR133" s="83"/>
      <c r="GS133" s="83"/>
      <c r="GT133" s="83"/>
      <c r="GU133" s="83"/>
      <c r="GV133" s="83"/>
      <c r="GW133" s="83"/>
      <c r="GX133" s="83"/>
      <c r="GY133" s="83"/>
      <c r="GZ133" s="83"/>
      <c r="HA133" s="83"/>
      <c r="HB133" s="83"/>
      <c r="HC133" s="83"/>
      <c r="HD133" s="83"/>
      <c r="HE133" s="83"/>
      <c r="HF133" s="83"/>
      <c r="HG133" s="83"/>
      <c r="HH133" s="83"/>
      <c r="HI133" s="83"/>
      <c r="HJ133" s="83"/>
      <c r="HK133" s="83"/>
      <c r="HL133" s="83"/>
      <c r="HM133" s="83"/>
      <c r="HN133" s="83"/>
      <c r="HO133" s="83"/>
      <c r="HP133" s="83"/>
      <c r="HQ133" s="83"/>
      <c r="HR133" s="83"/>
      <c r="HS133" s="83"/>
      <c r="HT133" s="83"/>
      <c r="HU133" s="84"/>
      <c r="HV133" s="83"/>
      <c r="HW133" s="83"/>
      <c r="HX133" s="83"/>
      <c r="HY133" s="83"/>
      <c r="HZ133" s="83"/>
      <c r="IA133" s="83"/>
      <c r="IB133" s="83"/>
      <c r="IC133" s="83"/>
      <c r="ID133" s="83"/>
      <c r="IE133" s="83"/>
      <c r="IF133" s="83"/>
      <c r="IG133" s="83"/>
      <c r="IH133" s="83"/>
      <c r="II133" s="83"/>
      <c r="IJ133" s="83"/>
      <c r="IK133" s="83"/>
      <c r="IL133" s="83"/>
      <c r="IM133" s="83"/>
      <c r="IN133" s="83"/>
      <c r="IO133" s="83"/>
      <c r="IP133" s="83"/>
      <c r="IQ133" s="83"/>
      <c r="IR133" s="83"/>
      <c r="IS133" s="83"/>
      <c r="IT133" s="83"/>
      <c r="IU133" s="83"/>
      <c r="IV133" s="83"/>
      <c r="IW133" s="83"/>
      <c r="IX133" s="83"/>
      <c r="IY133" s="84"/>
      <c r="IZ133" s="83"/>
      <c r="JA133" s="83"/>
      <c r="JB133" s="83"/>
      <c r="JC133" s="83"/>
      <c r="JD133" s="83"/>
      <c r="JE133" s="83"/>
      <c r="JF133" s="83"/>
      <c r="JG133" s="83"/>
      <c r="JH133" s="83"/>
      <c r="JI133" s="83"/>
      <c r="JJ133" s="83"/>
      <c r="JK133" s="83"/>
      <c r="JL133" s="83"/>
      <c r="JM133" s="83"/>
      <c r="JN133" s="83"/>
      <c r="JO133" s="83"/>
      <c r="JP133" s="83"/>
      <c r="JQ133" s="83"/>
      <c r="JR133" s="83"/>
      <c r="JS133" s="83"/>
      <c r="JT133" s="83"/>
      <c r="JU133" s="83"/>
      <c r="JV133" s="83"/>
      <c r="JW133" s="83"/>
      <c r="JX133" s="83"/>
      <c r="JY133" s="83"/>
      <c r="JZ133" s="83"/>
      <c r="KA133" s="83"/>
      <c r="KB133" s="83"/>
      <c r="KC133" s="84"/>
      <c r="KD133" s="83"/>
      <c r="KE133" s="85"/>
      <c r="KF133" s="83"/>
      <c r="KG133" s="83"/>
      <c r="KH133" s="83"/>
      <c r="KI133" s="84"/>
      <c r="KJ133" s="83"/>
      <c r="KK133" s="85"/>
      <c r="KL133" s="83"/>
      <c r="KM133" s="83"/>
      <c r="KN133" s="83"/>
      <c r="KO133" s="84"/>
      <c r="KP133" s="83"/>
      <c r="KQ133" s="85"/>
      <c r="KR133" s="83"/>
      <c r="KS133" s="83"/>
      <c r="KT133" s="83"/>
      <c r="KU133" s="84"/>
      <c r="KV133" s="83"/>
      <c r="KW133" s="85"/>
      <c r="KX133" s="83"/>
      <c r="KY133" s="83"/>
      <c r="KZ133" s="83"/>
      <c r="LA133" s="86"/>
      <c r="LB133" s="83"/>
      <c r="LC133" s="87"/>
      <c r="LD133" s="83"/>
      <c r="LE133" s="83"/>
      <c r="LF133" s="83"/>
      <c r="LG133" s="84"/>
      <c r="LH133" s="83"/>
      <c r="LI133" s="85"/>
      <c r="LJ133" s="83"/>
      <c r="LK133" s="83"/>
      <c r="LL133" s="85"/>
      <c r="LM133" s="61"/>
      <c r="LN133" s="62"/>
      <c r="LO133" s="63"/>
      <c r="LP133" s="61"/>
      <c r="LQ133" s="62"/>
      <c r="LR133" s="63"/>
      <c r="LS133" s="61"/>
      <c r="LT133" s="62"/>
      <c r="LU133" s="63"/>
      <c r="LV133" s="61"/>
      <c r="LW133" s="62"/>
      <c r="LX133" s="63"/>
      <c r="LY133" s="61"/>
      <c r="LZ133" s="62"/>
      <c r="MA133" s="63"/>
      <c r="MB133" s="83"/>
      <c r="MC133" s="83"/>
      <c r="MD133" s="83"/>
      <c r="ME133" s="84"/>
      <c r="MF133" s="83"/>
      <c r="MG133" s="85"/>
      <c r="MH133" s="84"/>
      <c r="MI133" s="83"/>
      <c r="MJ133" s="85"/>
      <c r="MK133" s="83"/>
      <c r="ML133" s="83"/>
      <c r="MM133" s="83"/>
      <c r="MN133" s="84"/>
      <c r="MO133" s="83"/>
      <c r="MP133" s="85"/>
      <c r="MQ133" s="84"/>
      <c r="MR133" s="83"/>
      <c r="MS133" s="85"/>
      <c r="MT133" s="84"/>
      <c r="MU133" s="83"/>
      <c r="MV133" s="85"/>
      <c r="MW133" s="84"/>
      <c r="MX133" s="83"/>
      <c r="MY133" s="85"/>
      <c r="MZ133" s="84"/>
      <c r="NA133" s="83"/>
      <c r="NB133" s="85"/>
      <c r="NC133" s="83"/>
      <c r="ND133" s="83"/>
      <c r="NE133" s="88"/>
      <c r="NG133" s="275"/>
      <c r="NH133" s="1"/>
      <c r="NI133" s="1"/>
      <c r="NJ133" s="1"/>
      <c r="NK133" s="1"/>
    </row>
    <row r="134" spans="6:375" s="6" customFormat="1" ht="9.9499999999999993" customHeight="1">
      <c r="F134" s="194">
        <f t="shared" ref="F134" si="412">NG134</f>
        <v>4.7470000000000005E-2</v>
      </c>
      <c r="G134" s="195">
        <f>Q134-F134</f>
        <v>0</v>
      </c>
      <c r="H134" s="27">
        <v>1</v>
      </c>
      <c r="L134" s="286" t="s">
        <v>145</v>
      </c>
      <c r="M134" s="287"/>
      <c r="N134" s="287"/>
      <c r="O134" s="288"/>
      <c r="P134" s="240">
        <f>SUM(P136:P159)</f>
        <v>9883678</v>
      </c>
      <c r="Q134" s="238">
        <f>ROUND(SUM(Q136:Q159),5)</f>
        <v>4.7469999999999998E-2</v>
      </c>
      <c r="R134" s="238">
        <f>ROUND(SUM(R136:R159),5)</f>
        <v>0</v>
      </c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8"/>
      <c r="AW134" s="176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8"/>
      <c r="CA134" s="176"/>
      <c r="CB134" s="137"/>
      <c r="CC134" s="137"/>
      <c r="CD134" s="137"/>
      <c r="CE134" s="137"/>
      <c r="CF134" s="137"/>
      <c r="CG134" s="137"/>
      <c r="CH134" s="137"/>
      <c r="CI134" s="137"/>
      <c r="CJ134" s="137"/>
      <c r="CK134" s="137"/>
      <c r="CL134" s="137"/>
      <c r="CM134" s="137"/>
      <c r="CN134" s="137"/>
      <c r="CO134" s="137"/>
      <c r="CP134" s="137"/>
      <c r="CQ134" s="137"/>
      <c r="CR134" s="137"/>
      <c r="CS134" s="137"/>
      <c r="CT134" s="137"/>
      <c r="CU134" s="137"/>
      <c r="CV134" s="137"/>
      <c r="CW134" s="137"/>
      <c r="CX134" s="137"/>
      <c r="CY134" s="137"/>
      <c r="CZ134" s="137"/>
      <c r="DA134" s="137"/>
      <c r="DB134" s="137"/>
      <c r="DC134" s="137"/>
      <c r="DD134" s="137"/>
      <c r="DE134" s="176"/>
      <c r="DF134" s="137"/>
      <c r="DG134" s="137"/>
      <c r="DH134" s="137"/>
      <c r="DI134" s="137"/>
      <c r="DJ134" s="137"/>
      <c r="DK134" s="137"/>
      <c r="DL134" s="137"/>
      <c r="DM134" s="137"/>
      <c r="DN134" s="137"/>
      <c r="DO134" s="137"/>
      <c r="DP134" s="137"/>
      <c r="DQ134" s="137"/>
      <c r="DR134" s="137"/>
      <c r="DS134" s="137"/>
      <c r="DT134" s="137"/>
      <c r="DU134" s="137"/>
      <c r="DV134" s="137"/>
      <c r="DW134" s="137"/>
      <c r="DX134" s="137"/>
      <c r="DY134" s="137"/>
      <c r="DZ134" s="137"/>
      <c r="EA134" s="137"/>
      <c r="EB134" s="137"/>
      <c r="EC134" s="137"/>
      <c r="ED134" s="137"/>
      <c r="EE134" s="137"/>
      <c r="EF134" s="137"/>
      <c r="EG134" s="137"/>
      <c r="EH134" s="137"/>
      <c r="EI134" s="176"/>
      <c r="EJ134" s="137"/>
      <c r="EK134" s="137"/>
      <c r="EL134" s="137"/>
      <c r="EM134" s="137"/>
      <c r="EN134" s="137"/>
      <c r="EO134" s="137"/>
      <c r="EP134" s="137"/>
      <c r="EQ134" s="137"/>
      <c r="ER134" s="137"/>
      <c r="ES134" s="137"/>
      <c r="ET134" s="137"/>
      <c r="EU134" s="137"/>
      <c r="EV134" s="137"/>
      <c r="EW134" s="137"/>
      <c r="EX134" s="137"/>
      <c r="EY134" s="137"/>
      <c r="EZ134" s="137"/>
      <c r="FA134" s="137"/>
      <c r="FB134" s="137"/>
      <c r="FC134" s="137"/>
      <c r="FD134" s="137"/>
      <c r="FE134" s="137"/>
      <c r="FF134" s="137"/>
      <c r="FG134" s="137"/>
      <c r="FH134" s="137"/>
      <c r="FI134" s="137"/>
      <c r="FJ134" s="137"/>
      <c r="FK134" s="137"/>
      <c r="FL134" s="137"/>
      <c r="FM134" s="176"/>
      <c r="FN134" s="137"/>
      <c r="FO134" s="137"/>
      <c r="FP134" s="137"/>
      <c r="FQ134" s="137"/>
      <c r="FR134" s="137"/>
      <c r="FS134" s="137"/>
      <c r="FT134" s="137"/>
      <c r="FU134" s="137"/>
      <c r="FV134" s="137"/>
      <c r="FW134" s="137"/>
      <c r="FX134" s="137"/>
      <c r="FY134" s="137"/>
      <c r="FZ134" s="137"/>
      <c r="GA134" s="137"/>
      <c r="GB134" s="137"/>
      <c r="GC134" s="137"/>
      <c r="GD134" s="137"/>
      <c r="GE134" s="137"/>
      <c r="GF134" s="137"/>
      <c r="GG134" s="137"/>
      <c r="GH134" s="137"/>
      <c r="GI134" s="137"/>
      <c r="GJ134" s="137"/>
      <c r="GK134" s="137"/>
      <c r="GL134" s="137"/>
      <c r="GM134" s="137"/>
      <c r="GN134" s="137"/>
      <c r="GO134" s="137"/>
      <c r="GP134" s="137"/>
      <c r="GQ134" s="176"/>
      <c r="GR134" s="137"/>
      <c r="GS134" s="137"/>
      <c r="GT134" s="137"/>
      <c r="GU134" s="137"/>
      <c r="GV134" s="137"/>
      <c r="GW134" s="137"/>
      <c r="GX134" s="137"/>
      <c r="GY134" s="137"/>
      <c r="GZ134" s="137"/>
      <c r="HA134" s="137"/>
      <c r="HB134" s="137"/>
      <c r="HC134" s="137"/>
      <c r="HD134" s="137"/>
      <c r="HE134" s="137"/>
      <c r="HF134" s="137"/>
      <c r="HG134" s="137"/>
      <c r="HH134" s="137"/>
      <c r="HI134" s="137"/>
      <c r="HJ134" s="137"/>
      <c r="HK134" s="137"/>
      <c r="HL134" s="137"/>
      <c r="HM134" s="137"/>
      <c r="HN134" s="137"/>
      <c r="HO134" s="137"/>
      <c r="HP134" s="137"/>
      <c r="HQ134" s="137"/>
      <c r="HR134" s="137"/>
      <c r="HS134" s="137"/>
      <c r="HT134" s="137"/>
      <c r="HU134" s="176"/>
      <c r="HV134" s="137"/>
      <c r="HW134" s="137"/>
      <c r="HX134" s="137"/>
      <c r="HY134" s="137"/>
      <c r="HZ134" s="137"/>
      <c r="IA134" s="137"/>
      <c r="IB134" s="137"/>
      <c r="IC134" s="137"/>
      <c r="ID134" s="137"/>
      <c r="IE134" s="137"/>
      <c r="IF134" s="137"/>
      <c r="IG134" s="137"/>
      <c r="IH134" s="137"/>
      <c r="II134" s="137"/>
      <c r="IJ134" s="137"/>
      <c r="IK134" s="137"/>
      <c r="IL134" s="137"/>
      <c r="IM134" s="137"/>
      <c r="IN134" s="137"/>
      <c r="IO134" s="137"/>
      <c r="IP134" s="137"/>
      <c r="IQ134" s="137"/>
      <c r="IR134" s="137"/>
      <c r="IS134" s="137"/>
      <c r="IT134" s="137"/>
      <c r="IU134" s="137"/>
      <c r="IV134" s="137"/>
      <c r="IW134" s="137"/>
      <c r="IX134" s="137"/>
      <c r="IY134" s="176"/>
      <c r="IZ134" s="137"/>
      <c r="JA134" s="137"/>
      <c r="JB134" s="137"/>
      <c r="JC134" s="137"/>
      <c r="JD134" s="137"/>
      <c r="JE134" s="137"/>
      <c r="JF134" s="137"/>
      <c r="JG134" s="137"/>
      <c r="JH134" s="137"/>
      <c r="JI134" s="137"/>
      <c r="JJ134" s="137"/>
      <c r="JK134" s="137"/>
      <c r="JL134" s="137"/>
      <c r="JM134" s="137"/>
      <c r="JN134" s="137"/>
      <c r="JO134" s="137"/>
      <c r="JP134" s="137"/>
      <c r="JQ134" s="137"/>
      <c r="JR134" s="137"/>
      <c r="JS134" s="137"/>
      <c r="JT134" s="137"/>
      <c r="JU134" s="137"/>
      <c r="JV134" s="137"/>
      <c r="JW134" s="137"/>
      <c r="JX134" s="137"/>
      <c r="JY134" s="137"/>
      <c r="JZ134" s="137"/>
      <c r="KA134" s="137"/>
      <c r="KB134" s="137"/>
      <c r="KC134" s="205">
        <f>ROUND(SUM(KC136:KE159),5)</f>
        <v>0</v>
      </c>
      <c r="KD134" s="206"/>
      <c r="KE134" s="207"/>
      <c r="KF134" s="205">
        <f>ROUND(SUM(KF136:KH159),5)</f>
        <v>0</v>
      </c>
      <c r="KG134" s="206"/>
      <c r="KH134" s="207"/>
      <c r="KI134" s="205">
        <f>ROUND(SUM(KI136:KK159),5)</f>
        <v>0</v>
      </c>
      <c r="KJ134" s="206"/>
      <c r="KK134" s="207"/>
      <c r="KL134" s="205">
        <f>ROUND(SUM(KL136:KN159),5)</f>
        <v>0</v>
      </c>
      <c r="KM134" s="206"/>
      <c r="KN134" s="207"/>
      <c r="KO134" s="205">
        <f>ROUND(SUM(KO136:KQ159),5)</f>
        <v>0</v>
      </c>
      <c r="KP134" s="206"/>
      <c r="KQ134" s="207"/>
      <c r="KR134" s="205">
        <f>ROUND(SUM(KR136:KT159),5)</f>
        <v>0</v>
      </c>
      <c r="KS134" s="206"/>
      <c r="KT134" s="207"/>
      <c r="KU134" s="205">
        <f>ROUND(SUM(KU136:KW159),5)</f>
        <v>0</v>
      </c>
      <c r="KV134" s="206"/>
      <c r="KW134" s="207"/>
      <c r="KX134" s="205">
        <f>ROUND(SUM(KX136:KZ159),5)</f>
        <v>0</v>
      </c>
      <c r="KY134" s="206"/>
      <c r="KZ134" s="206"/>
      <c r="LA134" s="229">
        <f>ROUND(SUM(LA136:LC159),5)</f>
        <v>0</v>
      </c>
      <c r="LB134" s="206"/>
      <c r="LC134" s="230"/>
      <c r="LD134" s="206">
        <f>ROUND(SUM(LD136:LF159),5)</f>
        <v>0</v>
      </c>
      <c r="LE134" s="206"/>
      <c r="LF134" s="207"/>
      <c r="LG134" s="205">
        <f>ROUND(SUM(LG136:LI159),5)</f>
        <v>0</v>
      </c>
      <c r="LH134" s="206"/>
      <c r="LI134" s="207"/>
      <c r="LJ134" s="205">
        <f>ROUND(SUM(LJ136:LL159),5)</f>
        <v>0</v>
      </c>
      <c r="LK134" s="206"/>
      <c r="LL134" s="207"/>
      <c r="LM134" s="205">
        <f>ROUND(SUM(LM136:LO159),5)</f>
        <v>0</v>
      </c>
      <c r="LN134" s="206"/>
      <c r="LO134" s="207"/>
      <c r="LP134" s="205">
        <f>ROUND(SUM(LP136:LR159),5)</f>
        <v>0</v>
      </c>
      <c r="LQ134" s="206"/>
      <c r="LR134" s="207"/>
      <c r="LS134" s="205">
        <f>ROUND(SUM(LS136:LU159),5)</f>
        <v>0</v>
      </c>
      <c r="LT134" s="206"/>
      <c r="LU134" s="207"/>
      <c r="LV134" s="205">
        <f>ROUND(SUM(LV136:LX159),5)</f>
        <v>0</v>
      </c>
      <c r="LW134" s="206"/>
      <c r="LX134" s="207"/>
      <c r="LY134" s="205">
        <f>ROUND(SUM(LY136:MA159),5)</f>
        <v>0</v>
      </c>
      <c r="LZ134" s="206"/>
      <c r="MA134" s="207"/>
      <c r="MB134" s="205">
        <f>ROUND(SUM(MB136:MD159),5)</f>
        <v>1.9499999999999999E-3</v>
      </c>
      <c r="MC134" s="206"/>
      <c r="MD134" s="207"/>
      <c r="ME134" s="205">
        <f>ROUND(SUM(ME136:MG159),5)</f>
        <v>4.7400000000000003E-3</v>
      </c>
      <c r="MF134" s="206"/>
      <c r="MG134" s="207"/>
      <c r="MH134" s="205">
        <f>ROUND(SUM(MH136:MJ159),5)</f>
        <v>5.5999999999999999E-3</v>
      </c>
      <c r="MI134" s="206"/>
      <c r="MJ134" s="207"/>
      <c r="MK134" s="205">
        <f>ROUND(SUM(MK136:MM159),5)</f>
        <v>5.8700000000000002E-3</v>
      </c>
      <c r="ML134" s="206"/>
      <c r="MM134" s="207"/>
      <c r="MN134" s="205">
        <f>ROUND(SUM(MN136:MP159),5)</f>
        <v>7.6299999999999996E-3</v>
      </c>
      <c r="MO134" s="206"/>
      <c r="MP134" s="207"/>
      <c r="MQ134" s="205">
        <f>ROUND(SUM(MQ136:MS159),5)</f>
        <v>6.4200000000000004E-3</v>
      </c>
      <c r="MR134" s="206"/>
      <c r="MS134" s="207"/>
      <c r="MT134" s="205">
        <f>ROUND(SUM(MT136:MV159),5)</f>
        <v>8.9099999999999995E-3</v>
      </c>
      <c r="MU134" s="206"/>
      <c r="MV134" s="207"/>
      <c r="MW134" s="205">
        <f>ROUND(SUM(MW136:MY159),5)</f>
        <v>5.7800000000000004E-3</v>
      </c>
      <c r="MX134" s="206"/>
      <c r="MY134" s="207"/>
      <c r="MZ134" s="205">
        <f>ROUND(SUM(MZ136:NB159),5)</f>
        <v>5.6999999999999998E-4</v>
      </c>
      <c r="NA134" s="206"/>
      <c r="NB134" s="207"/>
      <c r="NC134" s="205">
        <f>ROUND(SUM(NC136:NE159),5)</f>
        <v>0</v>
      </c>
      <c r="ND134" s="206"/>
      <c r="NE134" s="223"/>
      <c r="NG134" s="198">
        <f>SUM(R134:NE134)</f>
        <v>4.7470000000000005E-2</v>
      </c>
      <c r="NH134" s="198">
        <f>SUM(NG136:NG159)</f>
        <v>4.7469999999999998E-2</v>
      </c>
      <c r="NI134" s="1"/>
      <c r="NJ134" s="1"/>
      <c r="NK134" s="1"/>
    </row>
    <row r="135" spans="6:375" s="6" customFormat="1" ht="9.9499999999999993" customHeight="1">
      <c r="F135" s="194"/>
      <c r="G135" s="195"/>
      <c r="H135" s="52">
        <v>2</v>
      </c>
      <c r="L135" s="289"/>
      <c r="M135" s="290"/>
      <c r="N135" s="290"/>
      <c r="O135" s="291"/>
      <c r="P135" s="241"/>
      <c r="Q135" s="239"/>
      <c r="R135" s="239"/>
      <c r="S135" s="139"/>
      <c r="T135" s="139"/>
      <c r="U135" s="139"/>
      <c r="V135" s="139"/>
      <c r="W135" s="139"/>
      <c r="X135" s="139"/>
      <c r="Y135" s="139"/>
      <c r="Z135" s="139"/>
      <c r="AA135" s="139"/>
      <c r="AB135" s="139"/>
      <c r="AC135" s="139"/>
      <c r="AD135" s="139"/>
      <c r="AE135" s="139"/>
      <c r="AF135" s="139"/>
      <c r="AG135" s="139"/>
      <c r="AH135" s="139"/>
      <c r="AI135" s="139"/>
      <c r="AJ135" s="139"/>
      <c r="AK135" s="139"/>
      <c r="AL135" s="139"/>
      <c r="AM135" s="139"/>
      <c r="AN135" s="139"/>
      <c r="AO135" s="139"/>
      <c r="AP135" s="139"/>
      <c r="AQ135" s="139"/>
      <c r="AR135" s="139"/>
      <c r="AS135" s="139"/>
      <c r="AT135" s="139"/>
      <c r="AU135" s="139"/>
      <c r="AV135" s="140"/>
      <c r="AW135" s="177"/>
      <c r="AX135" s="139"/>
      <c r="AY135" s="139"/>
      <c r="AZ135" s="139"/>
      <c r="BA135" s="139"/>
      <c r="BB135" s="139"/>
      <c r="BC135" s="139"/>
      <c r="BD135" s="139"/>
      <c r="BE135" s="139"/>
      <c r="BF135" s="139"/>
      <c r="BG135" s="139"/>
      <c r="BH135" s="139"/>
      <c r="BI135" s="139"/>
      <c r="BJ135" s="139"/>
      <c r="BK135" s="139"/>
      <c r="BL135" s="139"/>
      <c r="BM135" s="139"/>
      <c r="BN135" s="139"/>
      <c r="BO135" s="139"/>
      <c r="BP135" s="139"/>
      <c r="BQ135" s="139"/>
      <c r="BR135" s="139"/>
      <c r="BS135" s="139"/>
      <c r="BT135" s="139"/>
      <c r="BU135" s="139"/>
      <c r="BV135" s="139"/>
      <c r="BW135" s="139"/>
      <c r="BX135" s="139"/>
      <c r="BY135" s="139"/>
      <c r="BZ135" s="140"/>
      <c r="CA135" s="177"/>
      <c r="CB135" s="139"/>
      <c r="CC135" s="139"/>
      <c r="CD135" s="139"/>
      <c r="CE135" s="139"/>
      <c r="CF135" s="139"/>
      <c r="CG135" s="139"/>
      <c r="CH135" s="139"/>
      <c r="CI135" s="139"/>
      <c r="CJ135" s="139"/>
      <c r="CK135" s="139"/>
      <c r="CL135" s="139"/>
      <c r="CM135" s="139"/>
      <c r="CN135" s="139"/>
      <c r="CO135" s="139"/>
      <c r="CP135" s="139"/>
      <c r="CQ135" s="139"/>
      <c r="CR135" s="139"/>
      <c r="CS135" s="139"/>
      <c r="CT135" s="139"/>
      <c r="CU135" s="139"/>
      <c r="CV135" s="139"/>
      <c r="CW135" s="139"/>
      <c r="CX135" s="139"/>
      <c r="CY135" s="139"/>
      <c r="CZ135" s="139"/>
      <c r="DA135" s="139"/>
      <c r="DB135" s="139"/>
      <c r="DC135" s="139"/>
      <c r="DD135" s="139"/>
      <c r="DE135" s="177"/>
      <c r="DF135" s="139"/>
      <c r="DG135" s="139"/>
      <c r="DH135" s="139"/>
      <c r="DI135" s="139"/>
      <c r="DJ135" s="139"/>
      <c r="DK135" s="139"/>
      <c r="DL135" s="139"/>
      <c r="DM135" s="139"/>
      <c r="DN135" s="139"/>
      <c r="DO135" s="139"/>
      <c r="DP135" s="139"/>
      <c r="DQ135" s="139"/>
      <c r="DR135" s="139"/>
      <c r="DS135" s="139"/>
      <c r="DT135" s="139"/>
      <c r="DU135" s="139"/>
      <c r="DV135" s="139"/>
      <c r="DW135" s="139"/>
      <c r="DX135" s="139"/>
      <c r="DY135" s="139"/>
      <c r="DZ135" s="139"/>
      <c r="EA135" s="139"/>
      <c r="EB135" s="139"/>
      <c r="EC135" s="139"/>
      <c r="ED135" s="139"/>
      <c r="EE135" s="139"/>
      <c r="EF135" s="139"/>
      <c r="EG135" s="139"/>
      <c r="EH135" s="139"/>
      <c r="EI135" s="177"/>
      <c r="EJ135" s="139"/>
      <c r="EK135" s="139"/>
      <c r="EL135" s="139"/>
      <c r="EM135" s="139"/>
      <c r="EN135" s="139"/>
      <c r="EO135" s="139"/>
      <c r="EP135" s="139"/>
      <c r="EQ135" s="139"/>
      <c r="ER135" s="139"/>
      <c r="ES135" s="139"/>
      <c r="ET135" s="139"/>
      <c r="EU135" s="139"/>
      <c r="EV135" s="139"/>
      <c r="EW135" s="139"/>
      <c r="EX135" s="139"/>
      <c r="EY135" s="139"/>
      <c r="EZ135" s="139"/>
      <c r="FA135" s="139"/>
      <c r="FB135" s="139"/>
      <c r="FC135" s="139"/>
      <c r="FD135" s="139"/>
      <c r="FE135" s="139"/>
      <c r="FF135" s="139"/>
      <c r="FG135" s="139"/>
      <c r="FH135" s="139"/>
      <c r="FI135" s="139"/>
      <c r="FJ135" s="139"/>
      <c r="FK135" s="139"/>
      <c r="FL135" s="139"/>
      <c r="FM135" s="177"/>
      <c r="FN135" s="139"/>
      <c r="FO135" s="139"/>
      <c r="FP135" s="139"/>
      <c r="FQ135" s="139"/>
      <c r="FR135" s="139"/>
      <c r="FS135" s="139"/>
      <c r="FT135" s="139"/>
      <c r="FU135" s="139"/>
      <c r="FV135" s="139"/>
      <c r="FW135" s="139"/>
      <c r="FX135" s="139"/>
      <c r="FY135" s="139"/>
      <c r="FZ135" s="139"/>
      <c r="GA135" s="139"/>
      <c r="GB135" s="139"/>
      <c r="GC135" s="139"/>
      <c r="GD135" s="139"/>
      <c r="GE135" s="139"/>
      <c r="GF135" s="139"/>
      <c r="GG135" s="139"/>
      <c r="GH135" s="139"/>
      <c r="GI135" s="139"/>
      <c r="GJ135" s="139"/>
      <c r="GK135" s="139"/>
      <c r="GL135" s="139"/>
      <c r="GM135" s="139"/>
      <c r="GN135" s="139"/>
      <c r="GO135" s="139"/>
      <c r="GP135" s="139"/>
      <c r="GQ135" s="177"/>
      <c r="GR135" s="139"/>
      <c r="GS135" s="139"/>
      <c r="GT135" s="139"/>
      <c r="GU135" s="139"/>
      <c r="GV135" s="139"/>
      <c r="GW135" s="139"/>
      <c r="GX135" s="139"/>
      <c r="GY135" s="139"/>
      <c r="GZ135" s="139"/>
      <c r="HA135" s="139"/>
      <c r="HB135" s="139"/>
      <c r="HC135" s="139"/>
      <c r="HD135" s="139"/>
      <c r="HE135" s="139"/>
      <c r="HF135" s="139"/>
      <c r="HG135" s="139"/>
      <c r="HH135" s="139"/>
      <c r="HI135" s="139"/>
      <c r="HJ135" s="139"/>
      <c r="HK135" s="139"/>
      <c r="HL135" s="139"/>
      <c r="HM135" s="139"/>
      <c r="HN135" s="139"/>
      <c r="HO135" s="139"/>
      <c r="HP135" s="139"/>
      <c r="HQ135" s="139"/>
      <c r="HR135" s="139"/>
      <c r="HS135" s="139"/>
      <c r="HT135" s="139"/>
      <c r="HU135" s="177"/>
      <c r="HV135" s="139"/>
      <c r="HW135" s="139"/>
      <c r="HX135" s="139"/>
      <c r="HY135" s="139"/>
      <c r="HZ135" s="139"/>
      <c r="IA135" s="139"/>
      <c r="IB135" s="139"/>
      <c r="IC135" s="139"/>
      <c r="ID135" s="139"/>
      <c r="IE135" s="139"/>
      <c r="IF135" s="139"/>
      <c r="IG135" s="139"/>
      <c r="IH135" s="139"/>
      <c r="II135" s="139"/>
      <c r="IJ135" s="139"/>
      <c r="IK135" s="139"/>
      <c r="IL135" s="139"/>
      <c r="IM135" s="139"/>
      <c r="IN135" s="139"/>
      <c r="IO135" s="139"/>
      <c r="IP135" s="139"/>
      <c r="IQ135" s="139"/>
      <c r="IR135" s="139"/>
      <c r="IS135" s="139"/>
      <c r="IT135" s="139"/>
      <c r="IU135" s="139"/>
      <c r="IV135" s="139"/>
      <c r="IW135" s="139"/>
      <c r="IX135" s="139"/>
      <c r="IY135" s="177"/>
      <c r="IZ135" s="139"/>
      <c r="JA135" s="139"/>
      <c r="JB135" s="139"/>
      <c r="JC135" s="139"/>
      <c r="JD135" s="139"/>
      <c r="JE135" s="139"/>
      <c r="JF135" s="139"/>
      <c r="JG135" s="139"/>
      <c r="JH135" s="139"/>
      <c r="JI135" s="139"/>
      <c r="JJ135" s="139"/>
      <c r="JK135" s="139"/>
      <c r="JL135" s="139"/>
      <c r="JM135" s="139"/>
      <c r="JN135" s="139"/>
      <c r="JO135" s="139"/>
      <c r="JP135" s="139"/>
      <c r="JQ135" s="139"/>
      <c r="JR135" s="139"/>
      <c r="JS135" s="139"/>
      <c r="JT135" s="139"/>
      <c r="JU135" s="139"/>
      <c r="JV135" s="139"/>
      <c r="JW135" s="139"/>
      <c r="JX135" s="139"/>
      <c r="JY135" s="139"/>
      <c r="JZ135" s="139"/>
      <c r="KA135" s="139"/>
      <c r="KB135" s="139"/>
      <c r="KC135" s="208"/>
      <c r="KD135" s="209"/>
      <c r="KE135" s="210"/>
      <c r="KF135" s="208"/>
      <c r="KG135" s="209"/>
      <c r="KH135" s="210"/>
      <c r="KI135" s="208"/>
      <c r="KJ135" s="209"/>
      <c r="KK135" s="210"/>
      <c r="KL135" s="208"/>
      <c r="KM135" s="209"/>
      <c r="KN135" s="210"/>
      <c r="KO135" s="208"/>
      <c r="KP135" s="209"/>
      <c r="KQ135" s="210"/>
      <c r="KR135" s="208"/>
      <c r="KS135" s="209"/>
      <c r="KT135" s="210"/>
      <c r="KU135" s="208"/>
      <c r="KV135" s="209"/>
      <c r="KW135" s="210"/>
      <c r="KX135" s="208"/>
      <c r="KY135" s="209"/>
      <c r="KZ135" s="209"/>
      <c r="LA135" s="231"/>
      <c r="LB135" s="209"/>
      <c r="LC135" s="232"/>
      <c r="LD135" s="209"/>
      <c r="LE135" s="209"/>
      <c r="LF135" s="210"/>
      <c r="LG135" s="208"/>
      <c r="LH135" s="209"/>
      <c r="LI135" s="210"/>
      <c r="LJ135" s="208"/>
      <c r="LK135" s="209"/>
      <c r="LL135" s="210"/>
      <c r="LM135" s="208"/>
      <c r="LN135" s="209"/>
      <c r="LO135" s="210"/>
      <c r="LP135" s="208"/>
      <c r="LQ135" s="209"/>
      <c r="LR135" s="210"/>
      <c r="LS135" s="208"/>
      <c r="LT135" s="209"/>
      <c r="LU135" s="210"/>
      <c r="LV135" s="208"/>
      <c r="LW135" s="209"/>
      <c r="LX135" s="210"/>
      <c r="LY135" s="208"/>
      <c r="LZ135" s="209"/>
      <c r="MA135" s="210"/>
      <c r="MB135" s="208"/>
      <c r="MC135" s="209"/>
      <c r="MD135" s="210"/>
      <c r="ME135" s="208"/>
      <c r="MF135" s="209"/>
      <c r="MG135" s="210"/>
      <c r="MH135" s="208"/>
      <c r="MI135" s="209"/>
      <c r="MJ135" s="210"/>
      <c r="MK135" s="208"/>
      <c r="ML135" s="209"/>
      <c r="MM135" s="210"/>
      <c r="MN135" s="208"/>
      <c r="MO135" s="209"/>
      <c r="MP135" s="210"/>
      <c r="MQ135" s="208"/>
      <c r="MR135" s="209"/>
      <c r="MS135" s="210"/>
      <c r="MT135" s="208"/>
      <c r="MU135" s="209"/>
      <c r="MV135" s="210"/>
      <c r="MW135" s="208"/>
      <c r="MX135" s="209"/>
      <c r="MY135" s="210"/>
      <c r="MZ135" s="208"/>
      <c r="NA135" s="209"/>
      <c r="NB135" s="210"/>
      <c r="NC135" s="208"/>
      <c r="ND135" s="209"/>
      <c r="NE135" s="224"/>
      <c r="NG135" s="198"/>
      <c r="NH135" s="198"/>
      <c r="NI135" s="1"/>
      <c r="NJ135" s="1"/>
      <c r="NK135" s="1"/>
    </row>
    <row r="136" spans="6:375" s="6" customFormat="1" ht="9.9499999999999993" customHeight="1">
      <c r="F136" s="196">
        <f t="shared" ref="F136" si="413">NG136</f>
        <v>9.0000000000000006E-5</v>
      </c>
      <c r="G136" s="197">
        <f>Q136-F136</f>
        <v>0</v>
      </c>
      <c r="H136" s="27">
        <v>1</v>
      </c>
      <c r="L136" s="339"/>
      <c r="M136" s="299" t="s">
        <v>53</v>
      </c>
      <c r="N136" s="313">
        <v>3905</v>
      </c>
      <c r="O136" s="352" t="s">
        <v>34</v>
      </c>
      <c r="P136" s="307">
        <v>19038</v>
      </c>
      <c r="Q136" s="236">
        <f>ROUND(P136/$P$256,5)</f>
        <v>9.0000000000000006E-5</v>
      </c>
      <c r="R136" s="21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3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5"/>
      <c r="CA136" s="53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54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3"/>
      <c r="DF136" s="54"/>
      <c r="DG136" s="54"/>
      <c r="DH136" s="54"/>
      <c r="DI136" s="54"/>
      <c r="DJ136" s="54"/>
      <c r="DK136" s="54"/>
      <c r="DL136" s="54"/>
      <c r="DM136" s="54"/>
      <c r="DN136" s="54"/>
      <c r="DO136" s="54"/>
      <c r="DP136" s="54"/>
      <c r="DQ136" s="54"/>
      <c r="DR136" s="54"/>
      <c r="DS136" s="54"/>
      <c r="DT136" s="54"/>
      <c r="DU136" s="54"/>
      <c r="DV136" s="54"/>
      <c r="DW136" s="54"/>
      <c r="DX136" s="54"/>
      <c r="DY136" s="54"/>
      <c r="DZ136" s="54"/>
      <c r="EA136" s="54"/>
      <c r="EB136" s="54"/>
      <c r="EC136" s="54"/>
      <c r="ED136" s="54"/>
      <c r="EE136" s="54"/>
      <c r="EF136" s="54"/>
      <c r="EG136" s="54"/>
      <c r="EH136" s="54"/>
      <c r="EI136" s="54"/>
      <c r="EJ136" s="54"/>
      <c r="EK136" s="54"/>
      <c r="EL136" s="54"/>
      <c r="EM136" s="54"/>
      <c r="EN136" s="54"/>
      <c r="EO136" s="54"/>
      <c r="EP136" s="54"/>
      <c r="EQ136" s="54"/>
      <c r="ER136" s="54"/>
      <c r="ES136" s="54"/>
      <c r="ET136" s="54"/>
      <c r="EU136" s="54"/>
      <c r="EV136" s="54"/>
      <c r="EW136" s="54"/>
      <c r="EX136" s="54"/>
      <c r="EY136" s="54"/>
      <c r="EZ136" s="54"/>
      <c r="FA136" s="54"/>
      <c r="FB136" s="54"/>
      <c r="FC136" s="54"/>
      <c r="FD136" s="54"/>
      <c r="FE136" s="54"/>
      <c r="FF136" s="54"/>
      <c r="FG136" s="54"/>
      <c r="FH136" s="54"/>
      <c r="FI136" s="54"/>
      <c r="FJ136" s="54"/>
      <c r="FK136" s="54"/>
      <c r="FL136" s="54"/>
      <c r="FM136" s="53"/>
      <c r="FN136" s="54"/>
      <c r="FO136" s="54"/>
      <c r="FP136" s="54"/>
      <c r="FQ136" s="54"/>
      <c r="FR136" s="54"/>
      <c r="FS136" s="54"/>
      <c r="FT136" s="54"/>
      <c r="FU136" s="54"/>
      <c r="FV136" s="54"/>
      <c r="FW136" s="54"/>
      <c r="FX136" s="54"/>
      <c r="FY136" s="54"/>
      <c r="FZ136" s="54"/>
      <c r="GA136" s="54"/>
      <c r="GB136" s="54"/>
      <c r="GC136" s="54"/>
      <c r="GD136" s="54"/>
      <c r="GE136" s="54"/>
      <c r="GF136" s="54"/>
      <c r="GG136" s="54"/>
      <c r="GH136" s="54"/>
      <c r="GI136" s="54"/>
      <c r="GJ136" s="54"/>
      <c r="GK136" s="54"/>
      <c r="GL136" s="54"/>
      <c r="GM136" s="54"/>
      <c r="GN136" s="54"/>
      <c r="GO136" s="54"/>
      <c r="GP136" s="54"/>
      <c r="GQ136" s="54"/>
      <c r="GR136" s="54"/>
      <c r="GS136" s="54"/>
      <c r="GT136" s="54"/>
      <c r="GU136" s="54"/>
      <c r="GV136" s="54"/>
      <c r="GW136" s="54"/>
      <c r="GX136" s="54"/>
      <c r="GY136" s="54"/>
      <c r="GZ136" s="54"/>
      <c r="HA136" s="54"/>
      <c r="HB136" s="54"/>
      <c r="HC136" s="54"/>
      <c r="HD136" s="54"/>
      <c r="HE136" s="54"/>
      <c r="HF136" s="54"/>
      <c r="HG136" s="54"/>
      <c r="HH136" s="54"/>
      <c r="HI136" s="54"/>
      <c r="HJ136" s="54"/>
      <c r="HK136" s="54"/>
      <c r="HL136" s="54"/>
      <c r="HM136" s="54"/>
      <c r="HN136" s="54"/>
      <c r="HO136" s="54"/>
      <c r="HP136" s="54"/>
      <c r="HQ136" s="54"/>
      <c r="HR136" s="54"/>
      <c r="HS136" s="54"/>
      <c r="HT136" s="54"/>
      <c r="HU136" s="53"/>
      <c r="HV136" s="54"/>
      <c r="HW136" s="54"/>
      <c r="HX136" s="54"/>
      <c r="HY136" s="54"/>
      <c r="HZ136" s="54"/>
      <c r="IA136" s="54"/>
      <c r="IB136" s="54"/>
      <c r="IC136" s="54"/>
      <c r="ID136" s="54"/>
      <c r="IE136" s="54"/>
      <c r="IF136" s="54"/>
      <c r="IG136" s="54"/>
      <c r="IH136" s="54"/>
      <c r="II136" s="54"/>
      <c r="IJ136" s="54"/>
      <c r="IK136" s="54"/>
      <c r="IL136" s="54"/>
      <c r="IM136" s="54"/>
      <c r="IN136" s="54"/>
      <c r="IO136" s="54"/>
      <c r="IP136" s="54"/>
      <c r="IQ136" s="54"/>
      <c r="IR136" s="54"/>
      <c r="IS136" s="54"/>
      <c r="IT136" s="54"/>
      <c r="IU136" s="54"/>
      <c r="IV136" s="54"/>
      <c r="IW136" s="54"/>
      <c r="IX136" s="54"/>
      <c r="IY136" s="53"/>
      <c r="IZ136" s="54"/>
      <c r="JA136" s="54"/>
      <c r="JB136" s="54"/>
      <c r="JC136" s="54"/>
      <c r="JD136" s="54"/>
      <c r="JE136" s="54"/>
      <c r="JF136" s="54"/>
      <c r="JG136" s="54"/>
      <c r="JH136" s="54"/>
      <c r="JI136" s="54"/>
      <c r="JJ136" s="54"/>
      <c r="JK136" s="54"/>
      <c r="JL136" s="54"/>
      <c r="JM136" s="54"/>
      <c r="JN136" s="54"/>
      <c r="JO136" s="54"/>
      <c r="JP136" s="54"/>
      <c r="JQ136" s="54"/>
      <c r="JR136" s="54"/>
      <c r="JS136" s="54"/>
      <c r="JT136" s="54"/>
      <c r="JU136" s="54"/>
      <c r="JV136" s="54"/>
      <c r="JW136" s="54"/>
      <c r="JX136" s="54"/>
      <c r="JY136" s="54"/>
      <c r="JZ136" s="54"/>
      <c r="KA136" s="54"/>
      <c r="KB136" s="54"/>
      <c r="KC136" s="53"/>
      <c r="KD136" s="54"/>
      <c r="KE136" s="55"/>
      <c r="KF136" s="54"/>
      <c r="KG136" s="54"/>
      <c r="KH136" s="54"/>
      <c r="KI136" s="53"/>
      <c r="KJ136" s="54"/>
      <c r="KK136" s="55"/>
      <c r="KL136" s="54"/>
      <c r="KM136" s="54"/>
      <c r="KN136" s="54"/>
      <c r="KO136" s="53"/>
      <c r="KP136" s="54"/>
      <c r="KQ136" s="55"/>
      <c r="KR136" s="54"/>
      <c r="KS136" s="54"/>
      <c r="KT136" s="54"/>
      <c r="KU136" s="53"/>
      <c r="KV136" s="54"/>
      <c r="KW136" s="55"/>
      <c r="KX136" s="54"/>
      <c r="KY136" s="54"/>
      <c r="KZ136" s="54"/>
      <c r="LA136" s="57"/>
      <c r="LB136" s="54"/>
      <c r="LC136" s="58"/>
      <c r="LD136" s="54"/>
      <c r="LE136" s="54"/>
      <c r="LF136" s="54"/>
      <c r="LG136" s="53"/>
      <c r="LH136" s="54"/>
      <c r="LI136" s="55"/>
      <c r="LJ136" s="53"/>
      <c r="LK136" s="54"/>
      <c r="LL136" s="55"/>
      <c r="LM136" s="53"/>
      <c r="LN136" s="54"/>
      <c r="LO136" s="55"/>
      <c r="LP136" s="53"/>
      <c r="LQ136" s="54"/>
      <c r="LR136" s="55"/>
      <c r="LS136" s="92"/>
      <c r="LT136" s="93"/>
      <c r="LU136" s="94"/>
      <c r="LV136" s="93"/>
      <c r="LW136" s="93"/>
      <c r="LX136" s="93"/>
      <c r="LY136" s="92"/>
      <c r="LZ136" s="93"/>
      <c r="MA136" s="94"/>
      <c r="MB136" s="92"/>
      <c r="MC136" s="93"/>
      <c r="MD136" s="94"/>
      <c r="ME136" s="93"/>
      <c r="MF136" s="93"/>
      <c r="MG136" s="93"/>
      <c r="MH136" s="92"/>
      <c r="MI136" s="93"/>
      <c r="MJ136" s="94"/>
      <c r="MK136" s="218">
        <v>5.0000000000000002E-5</v>
      </c>
      <c r="ML136" s="219"/>
      <c r="MM136" s="220"/>
      <c r="MN136" s="218">
        <v>4.0000000000000003E-5</v>
      </c>
      <c r="MO136" s="219"/>
      <c r="MP136" s="220"/>
      <c r="MQ136" s="92"/>
      <c r="MR136" s="93"/>
      <c r="MS136" s="94"/>
      <c r="MT136" s="93"/>
      <c r="MU136" s="93"/>
      <c r="MV136" s="93"/>
      <c r="MW136" s="92"/>
      <c r="MX136" s="93"/>
      <c r="MY136" s="94"/>
      <c r="MZ136" s="92"/>
      <c r="NA136" s="93"/>
      <c r="NB136" s="94"/>
      <c r="NC136" s="93"/>
      <c r="ND136" s="93"/>
      <c r="NE136" s="95"/>
      <c r="NG136" s="275">
        <f>SUM(R136:NE136)</f>
        <v>9.0000000000000006E-5</v>
      </c>
      <c r="NH136" s="1"/>
      <c r="NI136" s="1"/>
      <c r="NJ136" s="1"/>
      <c r="NK136" s="1"/>
    </row>
    <row r="137" spans="6:375" s="6" customFormat="1" ht="6.95" customHeight="1">
      <c r="F137" s="196"/>
      <c r="G137" s="197"/>
      <c r="H137" s="52">
        <v>2</v>
      </c>
      <c r="L137" s="340"/>
      <c r="M137" s="294"/>
      <c r="N137" s="314"/>
      <c r="O137" s="353"/>
      <c r="P137" s="308"/>
      <c r="Q137" s="237"/>
      <c r="R137" s="6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39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1"/>
      <c r="CA137" s="39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39"/>
      <c r="DF137" s="40"/>
      <c r="DG137" s="40"/>
      <c r="DH137" s="40"/>
      <c r="DI137" s="40"/>
      <c r="DJ137" s="40"/>
      <c r="DK137" s="40"/>
      <c r="DL137" s="40"/>
      <c r="DM137" s="40"/>
      <c r="DN137" s="40"/>
      <c r="DO137" s="40"/>
      <c r="DP137" s="40"/>
      <c r="DQ137" s="40"/>
      <c r="DR137" s="40"/>
      <c r="DS137" s="40"/>
      <c r="DT137" s="40"/>
      <c r="DU137" s="40"/>
      <c r="DV137" s="40"/>
      <c r="DW137" s="40"/>
      <c r="DX137" s="40"/>
      <c r="DY137" s="40"/>
      <c r="DZ137" s="40"/>
      <c r="EA137" s="40"/>
      <c r="EB137" s="40"/>
      <c r="EC137" s="40"/>
      <c r="ED137" s="40"/>
      <c r="EE137" s="40"/>
      <c r="EF137" s="40"/>
      <c r="EG137" s="40"/>
      <c r="EH137" s="40"/>
      <c r="EI137" s="40"/>
      <c r="EJ137" s="40"/>
      <c r="EK137" s="40"/>
      <c r="EL137" s="40"/>
      <c r="EM137" s="40"/>
      <c r="EN137" s="40"/>
      <c r="EO137" s="40"/>
      <c r="EP137" s="40"/>
      <c r="EQ137" s="40"/>
      <c r="ER137" s="40"/>
      <c r="ES137" s="40"/>
      <c r="ET137" s="40"/>
      <c r="EU137" s="40"/>
      <c r="EV137" s="40"/>
      <c r="EW137" s="40"/>
      <c r="EX137" s="40"/>
      <c r="EY137" s="40"/>
      <c r="EZ137" s="40"/>
      <c r="FA137" s="40"/>
      <c r="FB137" s="40"/>
      <c r="FC137" s="40"/>
      <c r="FD137" s="40"/>
      <c r="FE137" s="40"/>
      <c r="FF137" s="40"/>
      <c r="FG137" s="40"/>
      <c r="FH137" s="40"/>
      <c r="FI137" s="40"/>
      <c r="FJ137" s="40"/>
      <c r="FK137" s="40"/>
      <c r="FL137" s="40"/>
      <c r="FM137" s="39"/>
      <c r="FN137" s="40"/>
      <c r="FO137" s="40"/>
      <c r="FP137" s="40"/>
      <c r="FQ137" s="40"/>
      <c r="FR137" s="40"/>
      <c r="FS137" s="40"/>
      <c r="FT137" s="40"/>
      <c r="FU137" s="40"/>
      <c r="FV137" s="40"/>
      <c r="FW137" s="40"/>
      <c r="FX137" s="40"/>
      <c r="FY137" s="40"/>
      <c r="FZ137" s="40"/>
      <c r="GA137" s="40"/>
      <c r="GB137" s="40"/>
      <c r="GC137" s="40"/>
      <c r="GD137" s="40"/>
      <c r="GE137" s="40"/>
      <c r="GF137" s="40"/>
      <c r="GG137" s="40"/>
      <c r="GH137" s="40"/>
      <c r="GI137" s="40"/>
      <c r="GJ137" s="40"/>
      <c r="GK137" s="40"/>
      <c r="GL137" s="40"/>
      <c r="GM137" s="40"/>
      <c r="GN137" s="40"/>
      <c r="GO137" s="40"/>
      <c r="GP137" s="40"/>
      <c r="GQ137" s="40"/>
      <c r="GR137" s="40"/>
      <c r="GS137" s="40"/>
      <c r="GT137" s="40"/>
      <c r="GU137" s="40"/>
      <c r="GV137" s="40"/>
      <c r="GW137" s="40"/>
      <c r="GX137" s="40"/>
      <c r="GY137" s="40"/>
      <c r="GZ137" s="40"/>
      <c r="HA137" s="40"/>
      <c r="HB137" s="40"/>
      <c r="HC137" s="40"/>
      <c r="HD137" s="40"/>
      <c r="HE137" s="40"/>
      <c r="HF137" s="40"/>
      <c r="HG137" s="40"/>
      <c r="HH137" s="40"/>
      <c r="HI137" s="40"/>
      <c r="HJ137" s="40"/>
      <c r="HK137" s="40"/>
      <c r="HL137" s="40"/>
      <c r="HM137" s="40"/>
      <c r="HN137" s="40"/>
      <c r="HO137" s="40"/>
      <c r="HP137" s="40"/>
      <c r="HQ137" s="40"/>
      <c r="HR137" s="40"/>
      <c r="HS137" s="40"/>
      <c r="HT137" s="40"/>
      <c r="HU137" s="39"/>
      <c r="HV137" s="40"/>
      <c r="HW137" s="40"/>
      <c r="HX137" s="40"/>
      <c r="HY137" s="40"/>
      <c r="HZ137" s="40"/>
      <c r="IA137" s="40"/>
      <c r="IB137" s="40"/>
      <c r="IC137" s="40"/>
      <c r="ID137" s="40"/>
      <c r="IE137" s="40"/>
      <c r="IF137" s="40"/>
      <c r="IG137" s="40"/>
      <c r="IH137" s="40"/>
      <c r="II137" s="40"/>
      <c r="IJ137" s="40"/>
      <c r="IK137" s="40"/>
      <c r="IL137" s="40"/>
      <c r="IM137" s="40"/>
      <c r="IN137" s="40"/>
      <c r="IO137" s="40"/>
      <c r="IP137" s="40"/>
      <c r="IQ137" s="40"/>
      <c r="IR137" s="40"/>
      <c r="IS137" s="40"/>
      <c r="IT137" s="40"/>
      <c r="IU137" s="40"/>
      <c r="IV137" s="40"/>
      <c r="IW137" s="40"/>
      <c r="IX137" s="40"/>
      <c r="IY137" s="39"/>
      <c r="IZ137" s="40"/>
      <c r="JA137" s="40"/>
      <c r="JB137" s="40"/>
      <c r="JC137" s="40"/>
      <c r="JD137" s="40"/>
      <c r="JE137" s="40"/>
      <c r="JF137" s="40"/>
      <c r="JG137" s="40"/>
      <c r="JH137" s="40"/>
      <c r="JI137" s="40"/>
      <c r="JJ137" s="40"/>
      <c r="JK137" s="40"/>
      <c r="JL137" s="40"/>
      <c r="JM137" s="40"/>
      <c r="JN137" s="40"/>
      <c r="JO137" s="40"/>
      <c r="JP137" s="40"/>
      <c r="JQ137" s="40"/>
      <c r="JR137" s="40"/>
      <c r="JS137" s="40"/>
      <c r="JT137" s="40"/>
      <c r="JU137" s="40"/>
      <c r="JV137" s="40"/>
      <c r="JW137" s="40"/>
      <c r="JX137" s="40"/>
      <c r="JY137" s="40"/>
      <c r="JZ137" s="40"/>
      <c r="KA137" s="40"/>
      <c r="KB137" s="40"/>
      <c r="KC137" s="39"/>
      <c r="KD137" s="40"/>
      <c r="KE137" s="41"/>
      <c r="KF137" s="40"/>
      <c r="KG137" s="40"/>
      <c r="KH137" s="40"/>
      <c r="KI137" s="39"/>
      <c r="KJ137" s="40"/>
      <c r="KK137" s="41"/>
      <c r="KL137" s="40"/>
      <c r="KM137" s="40"/>
      <c r="KN137" s="40"/>
      <c r="KO137" s="39"/>
      <c r="KP137" s="40"/>
      <c r="KQ137" s="41"/>
      <c r="KR137" s="40"/>
      <c r="KS137" s="40"/>
      <c r="KT137" s="40"/>
      <c r="KU137" s="39"/>
      <c r="KV137" s="40"/>
      <c r="KW137" s="41"/>
      <c r="KX137" s="40"/>
      <c r="KY137" s="40"/>
      <c r="KZ137" s="40"/>
      <c r="LA137" s="64"/>
      <c r="LB137" s="40"/>
      <c r="LC137" s="65"/>
      <c r="LD137" s="40"/>
      <c r="LE137" s="40"/>
      <c r="LF137" s="40"/>
      <c r="LG137" s="39"/>
      <c r="LH137" s="40"/>
      <c r="LI137" s="41"/>
      <c r="LJ137" s="39"/>
      <c r="LK137" s="40"/>
      <c r="LL137" s="41"/>
      <c r="LM137" s="39"/>
      <c r="LN137" s="40"/>
      <c r="LO137" s="41"/>
      <c r="LP137" s="39"/>
      <c r="LQ137" s="40"/>
      <c r="LR137" s="41"/>
      <c r="LS137" s="96"/>
      <c r="LT137" s="97"/>
      <c r="LU137" s="98"/>
      <c r="LV137" s="97"/>
      <c r="LW137" s="97"/>
      <c r="LX137" s="97"/>
      <c r="LY137" s="96"/>
      <c r="LZ137" s="97"/>
      <c r="MA137" s="98"/>
      <c r="MB137" s="96"/>
      <c r="MC137" s="97"/>
      <c r="MD137" s="98"/>
      <c r="ME137" s="97"/>
      <c r="MF137" s="97"/>
      <c r="MG137" s="97"/>
      <c r="MH137" s="96"/>
      <c r="MI137" s="97"/>
      <c r="MJ137" s="98"/>
      <c r="MK137" s="61"/>
      <c r="ML137" s="62"/>
      <c r="MM137" s="63"/>
      <c r="MN137" s="61"/>
      <c r="MO137" s="62"/>
      <c r="MP137" s="63"/>
      <c r="MQ137" s="96"/>
      <c r="MR137" s="97"/>
      <c r="MS137" s="98"/>
      <c r="MT137" s="97"/>
      <c r="MU137" s="97"/>
      <c r="MV137" s="97"/>
      <c r="MW137" s="96"/>
      <c r="MX137" s="97"/>
      <c r="MY137" s="98"/>
      <c r="MZ137" s="96"/>
      <c r="NA137" s="97"/>
      <c r="NB137" s="98"/>
      <c r="NC137" s="97"/>
      <c r="ND137" s="97"/>
      <c r="NE137" s="99"/>
      <c r="NG137" s="275"/>
      <c r="NH137" s="1"/>
      <c r="NI137" s="1"/>
      <c r="NJ137" s="1"/>
      <c r="NK137" s="1"/>
    </row>
    <row r="138" spans="6:375" s="6" customFormat="1" ht="9.9499999999999993" customHeight="1">
      <c r="F138" s="196">
        <f t="shared" ref="F138" si="414">NG138</f>
        <v>5.1000000000000004E-4</v>
      </c>
      <c r="G138" s="197">
        <f>Q138-F138</f>
        <v>0</v>
      </c>
      <c r="H138" s="27">
        <v>1</v>
      </c>
      <c r="I138" s="19" t="s">
        <v>231</v>
      </c>
      <c r="J138" s="19" t="s">
        <v>184</v>
      </c>
      <c r="K138" s="6" t="s">
        <v>232</v>
      </c>
      <c r="L138" s="292"/>
      <c r="M138" s="300" t="s">
        <v>11</v>
      </c>
      <c r="N138" s="301">
        <v>24909</v>
      </c>
      <c r="O138" s="297" t="s">
        <v>34</v>
      </c>
      <c r="P138" s="315">
        <v>105215</v>
      </c>
      <c r="Q138" s="236">
        <f>ROUND(P138/$P$256,5)</f>
        <v>5.1000000000000004E-4</v>
      </c>
      <c r="R138" s="73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6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  <c r="BM138" s="67"/>
      <c r="BN138" s="67"/>
      <c r="BO138" s="67"/>
      <c r="BP138" s="67"/>
      <c r="BQ138" s="67"/>
      <c r="BR138" s="67"/>
      <c r="BS138" s="67"/>
      <c r="BT138" s="67"/>
      <c r="BU138" s="67"/>
      <c r="BV138" s="67"/>
      <c r="BW138" s="67"/>
      <c r="BX138" s="67"/>
      <c r="BY138" s="67"/>
      <c r="BZ138" s="68"/>
      <c r="CA138" s="66"/>
      <c r="CB138" s="67"/>
      <c r="CC138" s="67"/>
      <c r="CD138" s="67"/>
      <c r="CE138" s="67"/>
      <c r="CF138" s="67"/>
      <c r="CG138" s="67"/>
      <c r="CH138" s="67"/>
      <c r="CI138" s="67"/>
      <c r="CJ138" s="67"/>
      <c r="CK138" s="67"/>
      <c r="CL138" s="67"/>
      <c r="CM138" s="67"/>
      <c r="CN138" s="67"/>
      <c r="CO138" s="67"/>
      <c r="CP138" s="67"/>
      <c r="CQ138" s="67"/>
      <c r="CR138" s="67"/>
      <c r="CS138" s="67"/>
      <c r="CT138" s="67"/>
      <c r="CU138" s="67"/>
      <c r="CV138" s="67"/>
      <c r="CW138" s="67"/>
      <c r="CX138" s="67"/>
      <c r="CY138" s="67"/>
      <c r="CZ138" s="67"/>
      <c r="DA138" s="67"/>
      <c r="DB138" s="67"/>
      <c r="DC138" s="67"/>
      <c r="DD138" s="67"/>
      <c r="DE138" s="66"/>
      <c r="DF138" s="67"/>
      <c r="DG138" s="67"/>
      <c r="DH138" s="67"/>
      <c r="DI138" s="67"/>
      <c r="DJ138" s="67"/>
      <c r="DK138" s="67"/>
      <c r="DL138" s="67"/>
      <c r="DM138" s="67"/>
      <c r="DN138" s="67"/>
      <c r="DO138" s="67"/>
      <c r="DP138" s="67"/>
      <c r="DQ138" s="67"/>
      <c r="DR138" s="67"/>
      <c r="DS138" s="67"/>
      <c r="DT138" s="67"/>
      <c r="DU138" s="67"/>
      <c r="DV138" s="67"/>
      <c r="DW138" s="67"/>
      <c r="DX138" s="67"/>
      <c r="DY138" s="67"/>
      <c r="DZ138" s="67"/>
      <c r="EA138" s="67"/>
      <c r="EB138" s="67"/>
      <c r="EC138" s="67"/>
      <c r="ED138" s="67"/>
      <c r="EE138" s="67"/>
      <c r="EF138" s="67"/>
      <c r="EG138" s="67"/>
      <c r="EH138" s="67"/>
      <c r="EI138" s="67"/>
      <c r="EJ138" s="67"/>
      <c r="EK138" s="67"/>
      <c r="EL138" s="67"/>
      <c r="EM138" s="67"/>
      <c r="EN138" s="67"/>
      <c r="EO138" s="67"/>
      <c r="EP138" s="67"/>
      <c r="EQ138" s="67"/>
      <c r="ER138" s="67"/>
      <c r="ES138" s="67"/>
      <c r="ET138" s="67"/>
      <c r="EU138" s="67"/>
      <c r="EV138" s="67"/>
      <c r="EW138" s="67"/>
      <c r="EX138" s="67"/>
      <c r="EY138" s="67"/>
      <c r="EZ138" s="67"/>
      <c r="FA138" s="67"/>
      <c r="FB138" s="67"/>
      <c r="FC138" s="67"/>
      <c r="FD138" s="67"/>
      <c r="FE138" s="67"/>
      <c r="FF138" s="67"/>
      <c r="FG138" s="67"/>
      <c r="FH138" s="67"/>
      <c r="FI138" s="67"/>
      <c r="FJ138" s="67"/>
      <c r="FK138" s="67"/>
      <c r="FL138" s="67"/>
      <c r="FM138" s="66"/>
      <c r="FN138" s="67"/>
      <c r="FO138" s="67"/>
      <c r="FP138" s="67"/>
      <c r="FQ138" s="67"/>
      <c r="FR138" s="67"/>
      <c r="FS138" s="67"/>
      <c r="FT138" s="67"/>
      <c r="FU138" s="67"/>
      <c r="FV138" s="67"/>
      <c r="FW138" s="67"/>
      <c r="FX138" s="67"/>
      <c r="FY138" s="67"/>
      <c r="FZ138" s="67"/>
      <c r="GA138" s="67"/>
      <c r="GB138" s="67"/>
      <c r="GC138" s="67"/>
      <c r="GD138" s="67"/>
      <c r="GE138" s="67"/>
      <c r="GF138" s="67"/>
      <c r="GG138" s="67"/>
      <c r="GH138" s="67"/>
      <c r="GI138" s="67"/>
      <c r="GJ138" s="67"/>
      <c r="GK138" s="67"/>
      <c r="GL138" s="67"/>
      <c r="GM138" s="67"/>
      <c r="GN138" s="67"/>
      <c r="GO138" s="67"/>
      <c r="GP138" s="67"/>
      <c r="GQ138" s="67"/>
      <c r="GR138" s="67"/>
      <c r="GS138" s="67"/>
      <c r="GT138" s="67"/>
      <c r="GU138" s="67"/>
      <c r="GV138" s="67"/>
      <c r="GW138" s="67"/>
      <c r="GX138" s="67"/>
      <c r="GY138" s="67"/>
      <c r="GZ138" s="67"/>
      <c r="HA138" s="67"/>
      <c r="HB138" s="67"/>
      <c r="HC138" s="67"/>
      <c r="HD138" s="67"/>
      <c r="HE138" s="67"/>
      <c r="HF138" s="67"/>
      <c r="HG138" s="67"/>
      <c r="HH138" s="67"/>
      <c r="HI138" s="67"/>
      <c r="HJ138" s="67"/>
      <c r="HK138" s="67"/>
      <c r="HL138" s="67"/>
      <c r="HM138" s="67"/>
      <c r="HN138" s="67"/>
      <c r="HO138" s="67"/>
      <c r="HP138" s="67"/>
      <c r="HQ138" s="67"/>
      <c r="HR138" s="67"/>
      <c r="HS138" s="67"/>
      <c r="HT138" s="67"/>
      <c r="HU138" s="66"/>
      <c r="HV138" s="67"/>
      <c r="HW138" s="67"/>
      <c r="HX138" s="67"/>
      <c r="HY138" s="67"/>
      <c r="HZ138" s="67"/>
      <c r="IA138" s="67"/>
      <c r="IB138" s="67"/>
      <c r="IC138" s="67"/>
      <c r="ID138" s="67"/>
      <c r="IE138" s="67"/>
      <c r="IF138" s="67"/>
      <c r="IG138" s="67"/>
      <c r="IH138" s="67"/>
      <c r="II138" s="67"/>
      <c r="IJ138" s="67"/>
      <c r="IK138" s="67"/>
      <c r="IL138" s="67"/>
      <c r="IM138" s="67"/>
      <c r="IN138" s="67"/>
      <c r="IO138" s="67"/>
      <c r="IP138" s="67"/>
      <c r="IQ138" s="67"/>
      <c r="IR138" s="67"/>
      <c r="IS138" s="67"/>
      <c r="IT138" s="67"/>
      <c r="IU138" s="67"/>
      <c r="IV138" s="67"/>
      <c r="IW138" s="67"/>
      <c r="IX138" s="67"/>
      <c r="IY138" s="66"/>
      <c r="IZ138" s="67"/>
      <c r="JA138" s="67"/>
      <c r="JB138" s="67"/>
      <c r="JC138" s="67"/>
      <c r="JD138" s="67"/>
      <c r="JE138" s="67"/>
      <c r="JF138" s="67"/>
      <c r="JG138" s="67"/>
      <c r="JH138" s="67"/>
      <c r="JI138" s="67"/>
      <c r="JJ138" s="67"/>
      <c r="JK138" s="67"/>
      <c r="JL138" s="67"/>
      <c r="JM138" s="67"/>
      <c r="JN138" s="67"/>
      <c r="JO138" s="67"/>
      <c r="JP138" s="67"/>
      <c r="JQ138" s="67"/>
      <c r="JR138" s="67"/>
      <c r="JS138" s="67"/>
      <c r="JT138" s="67"/>
      <c r="JU138" s="67"/>
      <c r="JV138" s="67"/>
      <c r="JW138" s="67"/>
      <c r="JX138" s="67"/>
      <c r="JY138" s="67"/>
      <c r="JZ138" s="67"/>
      <c r="KA138" s="67"/>
      <c r="KB138" s="67"/>
      <c r="KC138" s="66"/>
      <c r="KD138" s="67"/>
      <c r="KE138" s="68"/>
      <c r="KF138" s="67"/>
      <c r="KG138" s="67"/>
      <c r="KH138" s="67"/>
      <c r="KI138" s="66"/>
      <c r="KJ138" s="67"/>
      <c r="KK138" s="68"/>
      <c r="KL138" s="67"/>
      <c r="KM138" s="67"/>
      <c r="KN138" s="67"/>
      <c r="KO138" s="66"/>
      <c r="KP138" s="67"/>
      <c r="KQ138" s="68"/>
      <c r="KR138" s="67"/>
      <c r="KS138" s="67"/>
      <c r="KT138" s="67"/>
      <c r="KU138" s="66"/>
      <c r="KV138" s="67"/>
      <c r="KW138" s="68"/>
      <c r="KX138" s="67"/>
      <c r="KY138" s="67"/>
      <c r="KZ138" s="67"/>
      <c r="LA138" s="70"/>
      <c r="LB138" s="67"/>
      <c r="LC138" s="71"/>
      <c r="LD138" s="67"/>
      <c r="LE138" s="67"/>
      <c r="LF138" s="67"/>
      <c r="LG138" s="66"/>
      <c r="LH138" s="67"/>
      <c r="LI138" s="68"/>
      <c r="LJ138" s="66"/>
      <c r="LK138" s="67"/>
      <c r="LL138" s="68"/>
      <c r="LM138" s="214"/>
      <c r="LN138" s="214"/>
      <c r="LO138" s="214"/>
      <c r="LP138" s="214"/>
      <c r="LQ138" s="214"/>
      <c r="LR138" s="214"/>
      <c r="LS138" s="214"/>
      <c r="LT138" s="214"/>
      <c r="LU138" s="214"/>
      <c r="LV138" s="214"/>
      <c r="LW138" s="214"/>
      <c r="LX138" s="214"/>
      <c r="LY138" s="214"/>
      <c r="LZ138" s="214"/>
      <c r="MA138" s="214"/>
      <c r="MB138" s="214">
        <v>6.9999999999999994E-5</v>
      </c>
      <c r="MC138" s="214"/>
      <c r="MD138" s="214"/>
      <c r="ME138" s="214">
        <v>1.1E-4</v>
      </c>
      <c r="MF138" s="214"/>
      <c r="MG138" s="214"/>
      <c r="MH138" s="214">
        <v>1.1E-4</v>
      </c>
      <c r="MI138" s="214"/>
      <c r="MJ138" s="214"/>
      <c r="MK138" s="214">
        <v>1.1E-4</v>
      </c>
      <c r="ML138" s="214"/>
      <c r="MM138" s="214"/>
      <c r="MN138" s="214">
        <v>1.1E-4</v>
      </c>
      <c r="MO138" s="214"/>
      <c r="MP138" s="214"/>
      <c r="MQ138" s="66"/>
      <c r="MR138" s="67"/>
      <c r="MS138" s="68"/>
      <c r="MT138" s="67"/>
      <c r="MU138" s="67"/>
      <c r="MV138" s="67"/>
      <c r="MW138" s="66"/>
      <c r="MX138" s="67"/>
      <c r="MY138" s="68"/>
      <c r="MZ138" s="66"/>
      <c r="NA138" s="67"/>
      <c r="NB138" s="68"/>
      <c r="NC138" s="67"/>
      <c r="ND138" s="67"/>
      <c r="NE138" s="72"/>
      <c r="NG138" s="275">
        <f>SUM(R138:NE138)</f>
        <v>5.1000000000000004E-4</v>
      </c>
      <c r="NH138" s="1"/>
      <c r="NI138" s="1"/>
      <c r="NJ138" s="1"/>
      <c r="NK138" s="1"/>
    </row>
    <row r="139" spans="6:375" s="6" customFormat="1" ht="6.95" customHeight="1">
      <c r="F139" s="196"/>
      <c r="G139" s="197"/>
      <c r="H139" s="52">
        <v>2</v>
      </c>
      <c r="L139" s="292"/>
      <c r="M139" s="300"/>
      <c r="N139" s="301"/>
      <c r="O139" s="298"/>
      <c r="P139" s="315"/>
      <c r="Q139" s="237"/>
      <c r="R139" s="73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  <c r="AV139" s="67"/>
      <c r="AW139" s="66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BS139" s="67"/>
      <c r="BT139" s="67"/>
      <c r="BU139" s="67"/>
      <c r="BV139" s="67"/>
      <c r="BW139" s="67"/>
      <c r="BX139" s="67"/>
      <c r="BY139" s="67"/>
      <c r="BZ139" s="68"/>
      <c r="CA139" s="66"/>
      <c r="CB139" s="67"/>
      <c r="CC139" s="67"/>
      <c r="CD139" s="67"/>
      <c r="CE139" s="67"/>
      <c r="CF139" s="67"/>
      <c r="CG139" s="67"/>
      <c r="CH139" s="67"/>
      <c r="CI139" s="67"/>
      <c r="CJ139" s="67"/>
      <c r="CK139" s="67"/>
      <c r="CL139" s="67"/>
      <c r="CM139" s="67"/>
      <c r="CN139" s="67"/>
      <c r="CO139" s="67"/>
      <c r="CP139" s="67"/>
      <c r="CQ139" s="67"/>
      <c r="CR139" s="67"/>
      <c r="CS139" s="67"/>
      <c r="CT139" s="67"/>
      <c r="CU139" s="67"/>
      <c r="CV139" s="67"/>
      <c r="CW139" s="67"/>
      <c r="CX139" s="67"/>
      <c r="CY139" s="67"/>
      <c r="CZ139" s="67"/>
      <c r="DA139" s="67"/>
      <c r="DB139" s="67"/>
      <c r="DC139" s="67"/>
      <c r="DD139" s="67"/>
      <c r="DE139" s="66"/>
      <c r="DF139" s="67"/>
      <c r="DG139" s="67"/>
      <c r="DH139" s="67"/>
      <c r="DI139" s="67"/>
      <c r="DJ139" s="67"/>
      <c r="DK139" s="67"/>
      <c r="DL139" s="67"/>
      <c r="DM139" s="67"/>
      <c r="DN139" s="67"/>
      <c r="DO139" s="67"/>
      <c r="DP139" s="67"/>
      <c r="DQ139" s="67"/>
      <c r="DR139" s="67"/>
      <c r="DS139" s="67"/>
      <c r="DT139" s="67"/>
      <c r="DU139" s="67"/>
      <c r="DV139" s="67"/>
      <c r="DW139" s="67"/>
      <c r="DX139" s="67"/>
      <c r="DY139" s="67"/>
      <c r="DZ139" s="67"/>
      <c r="EA139" s="67"/>
      <c r="EB139" s="67"/>
      <c r="EC139" s="67"/>
      <c r="ED139" s="67"/>
      <c r="EE139" s="67"/>
      <c r="EF139" s="67"/>
      <c r="EG139" s="67"/>
      <c r="EH139" s="67"/>
      <c r="EI139" s="67"/>
      <c r="EJ139" s="67"/>
      <c r="EK139" s="67"/>
      <c r="EL139" s="67"/>
      <c r="EM139" s="67"/>
      <c r="EN139" s="67"/>
      <c r="EO139" s="67"/>
      <c r="EP139" s="67"/>
      <c r="EQ139" s="67"/>
      <c r="ER139" s="67"/>
      <c r="ES139" s="67"/>
      <c r="ET139" s="67"/>
      <c r="EU139" s="67"/>
      <c r="EV139" s="67"/>
      <c r="EW139" s="67"/>
      <c r="EX139" s="67"/>
      <c r="EY139" s="67"/>
      <c r="EZ139" s="67"/>
      <c r="FA139" s="67"/>
      <c r="FB139" s="67"/>
      <c r="FC139" s="67"/>
      <c r="FD139" s="67"/>
      <c r="FE139" s="67"/>
      <c r="FF139" s="67"/>
      <c r="FG139" s="67"/>
      <c r="FH139" s="67"/>
      <c r="FI139" s="67"/>
      <c r="FJ139" s="67"/>
      <c r="FK139" s="67"/>
      <c r="FL139" s="67"/>
      <c r="FM139" s="66"/>
      <c r="FN139" s="67"/>
      <c r="FO139" s="67"/>
      <c r="FP139" s="67"/>
      <c r="FQ139" s="67"/>
      <c r="FR139" s="67"/>
      <c r="FS139" s="67"/>
      <c r="FT139" s="67"/>
      <c r="FU139" s="67"/>
      <c r="FV139" s="67"/>
      <c r="FW139" s="67"/>
      <c r="FX139" s="67"/>
      <c r="FY139" s="67"/>
      <c r="FZ139" s="67"/>
      <c r="GA139" s="67"/>
      <c r="GB139" s="67"/>
      <c r="GC139" s="67"/>
      <c r="GD139" s="67"/>
      <c r="GE139" s="67"/>
      <c r="GF139" s="67"/>
      <c r="GG139" s="67"/>
      <c r="GH139" s="67"/>
      <c r="GI139" s="67"/>
      <c r="GJ139" s="67"/>
      <c r="GK139" s="67"/>
      <c r="GL139" s="67"/>
      <c r="GM139" s="67"/>
      <c r="GN139" s="67"/>
      <c r="GO139" s="67"/>
      <c r="GP139" s="67"/>
      <c r="GQ139" s="67"/>
      <c r="GR139" s="67"/>
      <c r="GS139" s="67"/>
      <c r="GT139" s="67"/>
      <c r="GU139" s="67"/>
      <c r="GV139" s="67"/>
      <c r="GW139" s="67"/>
      <c r="GX139" s="67"/>
      <c r="GY139" s="67"/>
      <c r="GZ139" s="67"/>
      <c r="HA139" s="67"/>
      <c r="HB139" s="67"/>
      <c r="HC139" s="67"/>
      <c r="HD139" s="67"/>
      <c r="HE139" s="67"/>
      <c r="HF139" s="67"/>
      <c r="HG139" s="67"/>
      <c r="HH139" s="67"/>
      <c r="HI139" s="67"/>
      <c r="HJ139" s="67"/>
      <c r="HK139" s="67"/>
      <c r="HL139" s="67"/>
      <c r="HM139" s="67"/>
      <c r="HN139" s="67"/>
      <c r="HO139" s="67"/>
      <c r="HP139" s="67"/>
      <c r="HQ139" s="67"/>
      <c r="HR139" s="67"/>
      <c r="HS139" s="67"/>
      <c r="HT139" s="67"/>
      <c r="HU139" s="66"/>
      <c r="HV139" s="67"/>
      <c r="HW139" s="67"/>
      <c r="HX139" s="67"/>
      <c r="HY139" s="67"/>
      <c r="HZ139" s="67"/>
      <c r="IA139" s="67"/>
      <c r="IB139" s="67"/>
      <c r="IC139" s="67"/>
      <c r="ID139" s="67"/>
      <c r="IE139" s="67"/>
      <c r="IF139" s="67"/>
      <c r="IG139" s="67"/>
      <c r="IH139" s="67"/>
      <c r="II139" s="67"/>
      <c r="IJ139" s="67"/>
      <c r="IK139" s="67"/>
      <c r="IL139" s="67"/>
      <c r="IM139" s="67"/>
      <c r="IN139" s="67"/>
      <c r="IO139" s="67"/>
      <c r="IP139" s="67"/>
      <c r="IQ139" s="67"/>
      <c r="IR139" s="67"/>
      <c r="IS139" s="67"/>
      <c r="IT139" s="67"/>
      <c r="IU139" s="67"/>
      <c r="IV139" s="67"/>
      <c r="IW139" s="67"/>
      <c r="IX139" s="67"/>
      <c r="IY139" s="66"/>
      <c r="IZ139" s="67"/>
      <c r="JA139" s="67"/>
      <c r="JB139" s="67"/>
      <c r="JC139" s="67"/>
      <c r="JD139" s="67"/>
      <c r="JE139" s="67"/>
      <c r="JF139" s="67"/>
      <c r="JG139" s="67"/>
      <c r="JH139" s="67"/>
      <c r="JI139" s="67"/>
      <c r="JJ139" s="67"/>
      <c r="JK139" s="67"/>
      <c r="JL139" s="67"/>
      <c r="JM139" s="67"/>
      <c r="JN139" s="67"/>
      <c r="JO139" s="67"/>
      <c r="JP139" s="67"/>
      <c r="JQ139" s="67"/>
      <c r="JR139" s="67"/>
      <c r="JS139" s="67"/>
      <c r="JT139" s="67"/>
      <c r="JU139" s="67"/>
      <c r="JV139" s="67"/>
      <c r="JW139" s="67"/>
      <c r="JX139" s="67"/>
      <c r="JY139" s="67"/>
      <c r="JZ139" s="67"/>
      <c r="KA139" s="67"/>
      <c r="KB139" s="67"/>
      <c r="KC139" s="66"/>
      <c r="KD139" s="67"/>
      <c r="KE139" s="68"/>
      <c r="KF139" s="67"/>
      <c r="KG139" s="67"/>
      <c r="KH139" s="67"/>
      <c r="KI139" s="66"/>
      <c r="KJ139" s="67"/>
      <c r="KK139" s="68"/>
      <c r="KL139" s="67"/>
      <c r="KM139" s="67"/>
      <c r="KN139" s="67"/>
      <c r="KO139" s="66"/>
      <c r="KP139" s="67"/>
      <c r="KQ139" s="68"/>
      <c r="KR139" s="67"/>
      <c r="KS139" s="67"/>
      <c r="KT139" s="67"/>
      <c r="KU139" s="66"/>
      <c r="KV139" s="67"/>
      <c r="KW139" s="68"/>
      <c r="KX139" s="67"/>
      <c r="KY139" s="67"/>
      <c r="KZ139" s="67"/>
      <c r="LA139" s="70"/>
      <c r="LB139" s="67"/>
      <c r="LC139" s="71"/>
      <c r="LD139" s="67"/>
      <c r="LE139" s="67"/>
      <c r="LF139" s="67"/>
      <c r="LG139" s="66"/>
      <c r="LH139" s="67"/>
      <c r="LI139" s="68"/>
      <c r="LJ139" s="66"/>
      <c r="LK139" s="67"/>
      <c r="LL139" s="68"/>
      <c r="LM139" s="66"/>
      <c r="LN139" s="67"/>
      <c r="LO139" s="68"/>
      <c r="LP139" s="66"/>
      <c r="LQ139" s="67"/>
      <c r="LR139" s="68"/>
      <c r="LS139" s="66"/>
      <c r="LT139" s="67"/>
      <c r="LU139" s="68"/>
      <c r="LV139" s="67"/>
      <c r="LW139" s="67"/>
      <c r="LX139" s="67"/>
      <c r="LY139" s="66"/>
      <c r="LZ139" s="67"/>
      <c r="MA139" s="68"/>
      <c r="MB139" s="61"/>
      <c r="MC139" s="62"/>
      <c r="MD139" s="63"/>
      <c r="ME139" s="61"/>
      <c r="MF139" s="62"/>
      <c r="MG139" s="63"/>
      <c r="MH139" s="61"/>
      <c r="MI139" s="62"/>
      <c r="MJ139" s="63"/>
      <c r="MK139" s="61"/>
      <c r="ML139" s="62"/>
      <c r="MM139" s="63"/>
      <c r="MN139" s="61"/>
      <c r="MO139" s="62"/>
      <c r="MP139" s="63"/>
      <c r="MQ139" s="66"/>
      <c r="MR139" s="67"/>
      <c r="MS139" s="68"/>
      <c r="MT139" s="67"/>
      <c r="MU139" s="67"/>
      <c r="MV139" s="67"/>
      <c r="MW139" s="66"/>
      <c r="MX139" s="67"/>
      <c r="MY139" s="68"/>
      <c r="MZ139" s="66"/>
      <c r="NA139" s="67"/>
      <c r="NB139" s="68"/>
      <c r="NC139" s="67"/>
      <c r="ND139" s="67"/>
      <c r="NE139" s="72"/>
      <c r="NG139" s="275"/>
      <c r="NH139" s="1"/>
      <c r="NI139" s="1"/>
      <c r="NJ139" s="1"/>
      <c r="NK139" s="1"/>
    </row>
    <row r="140" spans="6:375" s="6" customFormat="1" ht="9.9499999999999993" customHeight="1">
      <c r="F140" s="196">
        <f t="shared" ref="F140" si="415">NG140</f>
        <v>1E-3</v>
      </c>
      <c r="G140" s="197">
        <f>Q140-F140</f>
        <v>0</v>
      </c>
      <c r="H140" s="27">
        <v>1</v>
      </c>
      <c r="I140" s="19" t="s">
        <v>234</v>
      </c>
      <c r="J140" s="19" t="s">
        <v>184</v>
      </c>
      <c r="K140" s="6" t="s">
        <v>233</v>
      </c>
      <c r="L140" s="339"/>
      <c r="M140" s="299" t="s">
        <v>133</v>
      </c>
      <c r="N140" s="313">
        <v>240214</v>
      </c>
      <c r="O140" s="352" t="s">
        <v>69</v>
      </c>
      <c r="P140" s="307">
        <v>209013</v>
      </c>
      <c r="Q140" s="236">
        <f>ROUND(P140/$P$256,5)</f>
        <v>1E-3</v>
      </c>
      <c r="R140" s="76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3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5"/>
      <c r="CA140" s="53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4"/>
      <c r="CP140" s="54"/>
      <c r="CQ140" s="54"/>
      <c r="CR140" s="54"/>
      <c r="CS140" s="54"/>
      <c r="CT140" s="54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3"/>
      <c r="DF140" s="54"/>
      <c r="DG140" s="54"/>
      <c r="DH140" s="54"/>
      <c r="DI140" s="54"/>
      <c r="DJ140" s="54"/>
      <c r="DK140" s="54"/>
      <c r="DL140" s="54"/>
      <c r="DM140" s="54"/>
      <c r="DN140" s="54"/>
      <c r="DO140" s="54"/>
      <c r="DP140" s="54"/>
      <c r="DQ140" s="54"/>
      <c r="DR140" s="54"/>
      <c r="DS140" s="54"/>
      <c r="DT140" s="54"/>
      <c r="DU140" s="54"/>
      <c r="DV140" s="54"/>
      <c r="DW140" s="54"/>
      <c r="DX140" s="54"/>
      <c r="DY140" s="54"/>
      <c r="DZ140" s="54"/>
      <c r="EA140" s="54"/>
      <c r="EB140" s="54"/>
      <c r="EC140" s="54"/>
      <c r="ED140" s="54"/>
      <c r="EE140" s="54"/>
      <c r="EF140" s="54"/>
      <c r="EG140" s="54"/>
      <c r="EH140" s="54"/>
      <c r="EI140" s="54"/>
      <c r="EJ140" s="54"/>
      <c r="EK140" s="54"/>
      <c r="EL140" s="54"/>
      <c r="EM140" s="54"/>
      <c r="EN140" s="54"/>
      <c r="EO140" s="54"/>
      <c r="EP140" s="54"/>
      <c r="EQ140" s="54"/>
      <c r="ER140" s="54"/>
      <c r="ES140" s="54"/>
      <c r="ET140" s="54"/>
      <c r="EU140" s="54"/>
      <c r="EV140" s="54"/>
      <c r="EW140" s="54"/>
      <c r="EX140" s="54"/>
      <c r="EY140" s="54"/>
      <c r="EZ140" s="54"/>
      <c r="FA140" s="54"/>
      <c r="FB140" s="54"/>
      <c r="FC140" s="54"/>
      <c r="FD140" s="54"/>
      <c r="FE140" s="54"/>
      <c r="FF140" s="54"/>
      <c r="FG140" s="54"/>
      <c r="FH140" s="54"/>
      <c r="FI140" s="54"/>
      <c r="FJ140" s="54"/>
      <c r="FK140" s="54"/>
      <c r="FL140" s="54"/>
      <c r="FM140" s="53"/>
      <c r="FN140" s="54"/>
      <c r="FO140" s="54"/>
      <c r="FP140" s="54"/>
      <c r="FQ140" s="54"/>
      <c r="FR140" s="54"/>
      <c r="FS140" s="54"/>
      <c r="FT140" s="54"/>
      <c r="FU140" s="54"/>
      <c r="FV140" s="54"/>
      <c r="FW140" s="54"/>
      <c r="FX140" s="54"/>
      <c r="FY140" s="54"/>
      <c r="FZ140" s="54"/>
      <c r="GA140" s="54"/>
      <c r="GB140" s="54"/>
      <c r="GC140" s="54"/>
      <c r="GD140" s="54"/>
      <c r="GE140" s="54"/>
      <c r="GF140" s="54"/>
      <c r="GG140" s="54"/>
      <c r="GH140" s="54"/>
      <c r="GI140" s="54"/>
      <c r="GJ140" s="54"/>
      <c r="GK140" s="54"/>
      <c r="GL140" s="54"/>
      <c r="GM140" s="54"/>
      <c r="GN140" s="54"/>
      <c r="GO140" s="54"/>
      <c r="GP140" s="54"/>
      <c r="GQ140" s="54"/>
      <c r="GR140" s="54"/>
      <c r="GS140" s="54"/>
      <c r="GT140" s="54"/>
      <c r="GU140" s="54"/>
      <c r="GV140" s="54"/>
      <c r="GW140" s="54"/>
      <c r="GX140" s="54"/>
      <c r="GY140" s="54"/>
      <c r="GZ140" s="54"/>
      <c r="HA140" s="54"/>
      <c r="HB140" s="54"/>
      <c r="HC140" s="54"/>
      <c r="HD140" s="54"/>
      <c r="HE140" s="54"/>
      <c r="HF140" s="54"/>
      <c r="HG140" s="54"/>
      <c r="HH140" s="54"/>
      <c r="HI140" s="54"/>
      <c r="HJ140" s="54"/>
      <c r="HK140" s="54"/>
      <c r="HL140" s="54"/>
      <c r="HM140" s="54"/>
      <c r="HN140" s="54"/>
      <c r="HO140" s="54"/>
      <c r="HP140" s="54"/>
      <c r="HQ140" s="54"/>
      <c r="HR140" s="54"/>
      <c r="HS140" s="54"/>
      <c r="HT140" s="54"/>
      <c r="HU140" s="53"/>
      <c r="HV140" s="54"/>
      <c r="HW140" s="54"/>
      <c r="HX140" s="54"/>
      <c r="HY140" s="54"/>
      <c r="HZ140" s="54"/>
      <c r="IA140" s="54"/>
      <c r="IB140" s="54"/>
      <c r="IC140" s="54"/>
      <c r="ID140" s="54"/>
      <c r="IE140" s="54"/>
      <c r="IF140" s="54"/>
      <c r="IG140" s="54"/>
      <c r="IH140" s="54"/>
      <c r="II140" s="54"/>
      <c r="IJ140" s="54"/>
      <c r="IK140" s="54"/>
      <c r="IL140" s="54"/>
      <c r="IM140" s="54"/>
      <c r="IN140" s="54"/>
      <c r="IO140" s="54"/>
      <c r="IP140" s="54"/>
      <c r="IQ140" s="54"/>
      <c r="IR140" s="54"/>
      <c r="IS140" s="54"/>
      <c r="IT140" s="54"/>
      <c r="IU140" s="54"/>
      <c r="IV140" s="54"/>
      <c r="IW140" s="54"/>
      <c r="IX140" s="54"/>
      <c r="IY140" s="53"/>
      <c r="IZ140" s="54"/>
      <c r="JA140" s="54"/>
      <c r="JB140" s="54"/>
      <c r="JC140" s="54"/>
      <c r="JD140" s="54"/>
      <c r="JE140" s="54"/>
      <c r="JF140" s="54"/>
      <c r="JG140" s="54"/>
      <c r="JH140" s="54"/>
      <c r="JI140" s="54"/>
      <c r="JJ140" s="54"/>
      <c r="JK140" s="54"/>
      <c r="JL140" s="54"/>
      <c r="JM140" s="54"/>
      <c r="JN140" s="54"/>
      <c r="JO140" s="54"/>
      <c r="JP140" s="54"/>
      <c r="JQ140" s="54"/>
      <c r="JR140" s="54"/>
      <c r="JS140" s="54"/>
      <c r="JT140" s="54"/>
      <c r="JU140" s="54"/>
      <c r="JV140" s="54"/>
      <c r="JW140" s="54"/>
      <c r="JX140" s="54"/>
      <c r="JY140" s="54"/>
      <c r="JZ140" s="54"/>
      <c r="KA140" s="54"/>
      <c r="KB140" s="54"/>
      <c r="KC140" s="53"/>
      <c r="KD140" s="54"/>
      <c r="KE140" s="55"/>
      <c r="KF140" s="54"/>
      <c r="KG140" s="54"/>
      <c r="KH140" s="54"/>
      <c r="KI140" s="53"/>
      <c r="KJ140" s="54"/>
      <c r="KK140" s="55"/>
      <c r="KL140" s="54"/>
      <c r="KM140" s="54"/>
      <c r="KN140" s="54"/>
      <c r="KO140" s="53"/>
      <c r="KP140" s="54"/>
      <c r="KQ140" s="55"/>
      <c r="KR140" s="54"/>
      <c r="KS140" s="54"/>
      <c r="KT140" s="54"/>
      <c r="KU140" s="53"/>
      <c r="KV140" s="54"/>
      <c r="KW140" s="55"/>
      <c r="KX140" s="54"/>
      <c r="KY140" s="54"/>
      <c r="KZ140" s="54"/>
      <c r="LA140" s="57"/>
      <c r="LB140" s="54"/>
      <c r="LC140" s="58"/>
      <c r="LD140" s="54"/>
      <c r="LE140" s="54"/>
      <c r="LF140" s="54"/>
      <c r="LG140" s="53"/>
      <c r="LH140" s="54"/>
      <c r="LI140" s="55"/>
      <c r="LJ140" s="53"/>
      <c r="LK140" s="54"/>
      <c r="LL140" s="55"/>
      <c r="LM140" s="53"/>
      <c r="LN140" s="54"/>
      <c r="LO140" s="55"/>
      <c r="LP140" s="53"/>
      <c r="LQ140" s="54"/>
      <c r="LR140" s="55"/>
      <c r="LS140" s="53"/>
      <c r="LT140" s="54"/>
      <c r="LU140" s="55"/>
      <c r="LV140" s="54"/>
      <c r="LW140" s="54"/>
      <c r="LX140" s="54"/>
      <c r="LY140" s="212"/>
      <c r="LZ140" s="212"/>
      <c r="MA140" s="212"/>
      <c r="MB140" s="53"/>
      <c r="MC140" s="54"/>
      <c r="MD140" s="55"/>
      <c r="ME140" s="54"/>
      <c r="MF140" s="54"/>
      <c r="MG140" s="54"/>
      <c r="MH140" s="212"/>
      <c r="MI140" s="212"/>
      <c r="MJ140" s="212"/>
      <c r="MK140" s="54"/>
      <c r="ML140" s="54"/>
      <c r="MM140" s="54"/>
      <c r="MN140" s="218">
        <v>2.9999999999999997E-4</v>
      </c>
      <c r="MO140" s="219"/>
      <c r="MP140" s="220"/>
      <c r="MQ140" s="218">
        <v>4.0000000000000002E-4</v>
      </c>
      <c r="MR140" s="219"/>
      <c r="MS140" s="220"/>
      <c r="MT140" s="218">
        <v>2.9999999999999997E-4</v>
      </c>
      <c r="MU140" s="219"/>
      <c r="MV140" s="220"/>
      <c r="MW140" s="53"/>
      <c r="MX140" s="54"/>
      <c r="MY140" s="55"/>
      <c r="MZ140" s="53"/>
      <c r="NA140" s="54"/>
      <c r="NB140" s="55"/>
      <c r="NC140" s="54"/>
      <c r="ND140" s="54"/>
      <c r="NE140" s="59"/>
      <c r="NG140" s="275">
        <f>SUM(R140:NE140)</f>
        <v>1E-3</v>
      </c>
      <c r="NH140" s="1"/>
      <c r="NI140" s="1"/>
      <c r="NJ140" s="1"/>
      <c r="NK140" s="1"/>
    </row>
    <row r="141" spans="6:375" s="6" customFormat="1" ht="6.95" customHeight="1">
      <c r="F141" s="196"/>
      <c r="G141" s="197"/>
      <c r="H141" s="52">
        <v>2</v>
      </c>
      <c r="L141" s="340"/>
      <c r="M141" s="294"/>
      <c r="N141" s="314"/>
      <c r="O141" s="353"/>
      <c r="P141" s="308"/>
      <c r="Q141" s="237"/>
      <c r="R141" s="6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39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1"/>
      <c r="CA141" s="39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39"/>
      <c r="DF141" s="40"/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 s="40"/>
      <c r="DT141" s="40"/>
      <c r="DU141" s="40"/>
      <c r="DV141" s="40"/>
      <c r="DW141" s="40"/>
      <c r="DX141" s="40"/>
      <c r="DY141" s="40"/>
      <c r="DZ141" s="40"/>
      <c r="EA141" s="40"/>
      <c r="EB141" s="40"/>
      <c r="EC141" s="40"/>
      <c r="ED141" s="40"/>
      <c r="EE141" s="40"/>
      <c r="EF141" s="40"/>
      <c r="EG141" s="40"/>
      <c r="EH141" s="40"/>
      <c r="EI141" s="40"/>
      <c r="EJ141" s="40"/>
      <c r="EK141" s="40"/>
      <c r="EL141" s="40"/>
      <c r="EM141" s="40"/>
      <c r="EN141" s="40"/>
      <c r="EO141" s="40"/>
      <c r="EP141" s="40"/>
      <c r="EQ141" s="40"/>
      <c r="ER141" s="40"/>
      <c r="ES141" s="40"/>
      <c r="ET141" s="40"/>
      <c r="EU141" s="40"/>
      <c r="EV141" s="40"/>
      <c r="EW141" s="40"/>
      <c r="EX141" s="40"/>
      <c r="EY141" s="40"/>
      <c r="EZ141" s="40"/>
      <c r="FA141" s="40"/>
      <c r="FB141" s="40"/>
      <c r="FC141" s="40"/>
      <c r="FD141" s="40"/>
      <c r="FE141" s="40"/>
      <c r="FF141" s="40"/>
      <c r="FG141" s="40"/>
      <c r="FH141" s="40"/>
      <c r="FI141" s="40"/>
      <c r="FJ141" s="40"/>
      <c r="FK141" s="40"/>
      <c r="FL141" s="40"/>
      <c r="FM141" s="39"/>
      <c r="FN141" s="40"/>
      <c r="FO141" s="40"/>
      <c r="FP141" s="40"/>
      <c r="FQ141" s="40"/>
      <c r="FR141" s="40"/>
      <c r="FS141" s="40"/>
      <c r="FT141" s="40"/>
      <c r="FU141" s="40"/>
      <c r="FV141" s="40"/>
      <c r="FW141" s="40"/>
      <c r="FX141" s="40"/>
      <c r="FY141" s="40"/>
      <c r="FZ141" s="40"/>
      <c r="GA141" s="40"/>
      <c r="GB141" s="40"/>
      <c r="GC141" s="40"/>
      <c r="GD141" s="40"/>
      <c r="GE141" s="40"/>
      <c r="GF141" s="40"/>
      <c r="GG141" s="40"/>
      <c r="GH141" s="40"/>
      <c r="GI141" s="40"/>
      <c r="GJ141" s="40"/>
      <c r="GK141" s="40"/>
      <c r="GL141" s="40"/>
      <c r="GM141" s="40"/>
      <c r="GN141" s="40"/>
      <c r="GO141" s="40"/>
      <c r="GP141" s="40"/>
      <c r="GQ141" s="40"/>
      <c r="GR141" s="40"/>
      <c r="GS141" s="40"/>
      <c r="GT141" s="40"/>
      <c r="GU141" s="40"/>
      <c r="GV141" s="40"/>
      <c r="GW141" s="40"/>
      <c r="GX141" s="40"/>
      <c r="GY141" s="40"/>
      <c r="GZ141" s="40"/>
      <c r="HA141" s="40"/>
      <c r="HB141" s="40"/>
      <c r="HC141" s="40"/>
      <c r="HD141" s="40"/>
      <c r="HE141" s="40"/>
      <c r="HF141" s="40"/>
      <c r="HG141" s="40"/>
      <c r="HH141" s="40"/>
      <c r="HI141" s="40"/>
      <c r="HJ141" s="40"/>
      <c r="HK141" s="40"/>
      <c r="HL141" s="40"/>
      <c r="HM141" s="40"/>
      <c r="HN141" s="40"/>
      <c r="HO141" s="40"/>
      <c r="HP141" s="40"/>
      <c r="HQ141" s="40"/>
      <c r="HR141" s="40"/>
      <c r="HS141" s="40"/>
      <c r="HT141" s="40"/>
      <c r="HU141" s="39"/>
      <c r="HV141" s="40"/>
      <c r="HW141" s="40"/>
      <c r="HX141" s="40"/>
      <c r="HY141" s="40"/>
      <c r="HZ141" s="40"/>
      <c r="IA141" s="40"/>
      <c r="IB141" s="40"/>
      <c r="IC141" s="40"/>
      <c r="ID141" s="40"/>
      <c r="IE141" s="40"/>
      <c r="IF141" s="40"/>
      <c r="IG141" s="40"/>
      <c r="IH141" s="40"/>
      <c r="II141" s="40"/>
      <c r="IJ141" s="40"/>
      <c r="IK141" s="40"/>
      <c r="IL141" s="40"/>
      <c r="IM141" s="40"/>
      <c r="IN141" s="40"/>
      <c r="IO141" s="40"/>
      <c r="IP141" s="40"/>
      <c r="IQ141" s="40"/>
      <c r="IR141" s="40"/>
      <c r="IS141" s="40"/>
      <c r="IT141" s="40"/>
      <c r="IU141" s="40"/>
      <c r="IV141" s="40"/>
      <c r="IW141" s="40"/>
      <c r="IX141" s="40"/>
      <c r="IY141" s="39"/>
      <c r="IZ141" s="40"/>
      <c r="JA141" s="40"/>
      <c r="JB141" s="40"/>
      <c r="JC141" s="40"/>
      <c r="JD141" s="40"/>
      <c r="JE141" s="40"/>
      <c r="JF141" s="40"/>
      <c r="JG141" s="40"/>
      <c r="JH141" s="40"/>
      <c r="JI141" s="40"/>
      <c r="JJ141" s="40"/>
      <c r="JK141" s="40"/>
      <c r="JL141" s="40"/>
      <c r="JM141" s="40"/>
      <c r="JN141" s="40"/>
      <c r="JO141" s="40"/>
      <c r="JP141" s="40"/>
      <c r="JQ141" s="40"/>
      <c r="JR141" s="40"/>
      <c r="JS141" s="40"/>
      <c r="JT141" s="40"/>
      <c r="JU141" s="40"/>
      <c r="JV141" s="40"/>
      <c r="JW141" s="40"/>
      <c r="JX141" s="40"/>
      <c r="JY141" s="40"/>
      <c r="JZ141" s="40"/>
      <c r="KA141" s="40"/>
      <c r="KB141" s="40"/>
      <c r="KC141" s="39"/>
      <c r="KD141" s="40"/>
      <c r="KE141" s="41"/>
      <c r="KF141" s="40"/>
      <c r="KG141" s="40"/>
      <c r="KH141" s="40"/>
      <c r="KI141" s="39"/>
      <c r="KJ141" s="40"/>
      <c r="KK141" s="41"/>
      <c r="KL141" s="40"/>
      <c r="KM141" s="40"/>
      <c r="KN141" s="40"/>
      <c r="KO141" s="39"/>
      <c r="KP141" s="40"/>
      <c r="KQ141" s="41"/>
      <c r="KR141" s="40"/>
      <c r="KS141" s="40"/>
      <c r="KT141" s="40"/>
      <c r="KU141" s="39"/>
      <c r="KV141" s="40"/>
      <c r="KW141" s="41"/>
      <c r="KX141" s="40"/>
      <c r="KY141" s="40"/>
      <c r="KZ141" s="40"/>
      <c r="LA141" s="64"/>
      <c r="LB141" s="40"/>
      <c r="LC141" s="65"/>
      <c r="LD141" s="40"/>
      <c r="LE141" s="40"/>
      <c r="LF141" s="40"/>
      <c r="LG141" s="39"/>
      <c r="LH141" s="40"/>
      <c r="LI141" s="41"/>
      <c r="LJ141" s="39"/>
      <c r="LK141" s="40"/>
      <c r="LL141" s="41"/>
      <c r="LM141" s="39"/>
      <c r="LN141" s="40"/>
      <c r="LO141" s="41"/>
      <c r="LP141" s="39"/>
      <c r="LQ141" s="40"/>
      <c r="LR141" s="41"/>
      <c r="LS141" s="39"/>
      <c r="LT141" s="40"/>
      <c r="LU141" s="41"/>
      <c r="LV141" s="40"/>
      <c r="LW141" s="40"/>
      <c r="LX141" s="40"/>
      <c r="LY141" s="39"/>
      <c r="LZ141" s="40"/>
      <c r="MA141" s="41"/>
      <c r="MB141" s="39"/>
      <c r="MC141" s="40"/>
      <c r="MD141" s="41"/>
      <c r="ME141" s="40"/>
      <c r="MF141" s="40"/>
      <c r="MG141" s="40"/>
      <c r="MH141" s="39"/>
      <c r="MI141" s="40"/>
      <c r="MJ141" s="41"/>
      <c r="MK141" s="40"/>
      <c r="ML141" s="40"/>
      <c r="MM141" s="40"/>
      <c r="MN141" s="61"/>
      <c r="MO141" s="62"/>
      <c r="MP141" s="63"/>
      <c r="MQ141" s="61"/>
      <c r="MR141" s="62"/>
      <c r="MS141" s="63"/>
      <c r="MT141" s="61"/>
      <c r="MU141" s="62"/>
      <c r="MV141" s="63"/>
      <c r="MW141" s="39"/>
      <c r="MX141" s="40"/>
      <c r="MY141" s="41"/>
      <c r="MZ141" s="39"/>
      <c r="NA141" s="40"/>
      <c r="NB141" s="41"/>
      <c r="NC141" s="40"/>
      <c r="ND141" s="40"/>
      <c r="NE141" s="42"/>
      <c r="NG141" s="275"/>
      <c r="NH141" s="1"/>
      <c r="NI141" s="1"/>
      <c r="NJ141" s="1"/>
      <c r="NK141" s="1"/>
    </row>
    <row r="142" spans="6:375" s="6" customFormat="1" ht="9.9499999999999993" customHeight="1">
      <c r="F142" s="196">
        <f t="shared" ref="F142" si="416">NG142</f>
        <v>2.9199999999999999E-3</v>
      </c>
      <c r="G142" s="197">
        <f>Q142-F142</f>
        <v>0</v>
      </c>
      <c r="H142" s="27">
        <v>1</v>
      </c>
      <c r="I142" s="19" t="s">
        <v>235</v>
      </c>
      <c r="J142" s="19" t="s">
        <v>184</v>
      </c>
      <c r="K142" s="19" t="s">
        <v>236</v>
      </c>
      <c r="L142" s="339"/>
      <c r="M142" s="293" t="s">
        <v>70</v>
      </c>
      <c r="N142" s="313">
        <v>55155</v>
      </c>
      <c r="O142" s="352" t="s">
        <v>69</v>
      </c>
      <c r="P142" s="307">
        <v>607792</v>
      </c>
      <c r="Q142" s="236">
        <f>ROUND(P142/$P$256,5)</f>
        <v>2.9199999999999999E-3</v>
      </c>
      <c r="R142" s="76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3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5"/>
      <c r="CA142" s="53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4"/>
      <c r="CX142" s="54"/>
      <c r="CY142" s="54"/>
      <c r="CZ142" s="54"/>
      <c r="DA142" s="54"/>
      <c r="DB142" s="54"/>
      <c r="DC142" s="54"/>
      <c r="DD142" s="54"/>
      <c r="DE142" s="53"/>
      <c r="DF142" s="54"/>
      <c r="DG142" s="54"/>
      <c r="DH142" s="54"/>
      <c r="DI142" s="54"/>
      <c r="DJ142" s="54"/>
      <c r="DK142" s="54"/>
      <c r="DL142" s="54"/>
      <c r="DM142" s="54"/>
      <c r="DN142" s="54"/>
      <c r="DO142" s="54"/>
      <c r="DP142" s="54"/>
      <c r="DQ142" s="54"/>
      <c r="DR142" s="54"/>
      <c r="DS142" s="54"/>
      <c r="DT142" s="54"/>
      <c r="DU142" s="54"/>
      <c r="DV142" s="54"/>
      <c r="DW142" s="54"/>
      <c r="DX142" s="54"/>
      <c r="DY142" s="54"/>
      <c r="DZ142" s="54"/>
      <c r="EA142" s="54"/>
      <c r="EB142" s="54"/>
      <c r="EC142" s="54"/>
      <c r="ED142" s="54"/>
      <c r="EE142" s="54"/>
      <c r="EF142" s="54"/>
      <c r="EG142" s="54"/>
      <c r="EH142" s="54"/>
      <c r="EI142" s="54"/>
      <c r="EJ142" s="54"/>
      <c r="EK142" s="54"/>
      <c r="EL142" s="54"/>
      <c r="EM142" s="54"/>
      <c r="EN142" s="54"/>
      <c r="EO142" s="54"/>
      <c r="EP142" s="54"/>
      <c r="EQ142" s="54"/>
      <c r="ER142" s="54"/>
      <c r="ES142" s="54"/>
      <c r="ET142" s="54"/>
      <c r="EU142" s="54"/>
      <c r="EV142" s="54"/>
      <c r="EW142" s="54"/>
      <c r="EX142" s="54"/>
      <c r="EY142" s="54"/>
      <c r="EZ142" s="54"/>
      <c r="FA142" s="54"/>
      <c r="FB142" s="54"/>
      <c r="FC142" s="54"/>
      <c r="FD142" s="54"/>
      <c r="FE142" s="54"/>
      <c r="FF142" s="54"/>
      <c r="FG142" s="54"/>
      <c r="FH142" s="54"/>
      <c r="FI142" s="54"/>
      <c r="FJ142" s="54"/>
      <c r="FK142" s="54"/>
      <c r="FL142" s="54"/>
      <c r="FM142" s="53"/>
      <c r="FN142" s="54"/>
      <c r="FO142" s="54"/>
      <c r="FP142" s="54"/>
      <c r="FQ142" s="54"/>
      <c r="FR142" s="54"/>
      <c r="FS142" s="54"/>
      <c r="FT142" s="54"/>
      <c r="FU142" s="54"/>
      <c r="FV142" s="54"/>
      <c r="FW142" s="54"/>
      <c r="FX142" s="54"/>
      <c r="FY142" s="54"/>
      <c r="FZ142" s="54"/>
      <c r="GA142" s="54"/>
      <c r="GB142" s="54"/>
      <c r="GC142" s="54"/>
      <c r="GD142" s="54"/>
      <c r="GE142" s="54"/>
      <c r="GF142" s="54"/>
      <c r="GG142" s="54"/>
      <c r="GH142" s="54"/>
      <c r="GI142" s="54"/>
      <c r="GJ142" s="54"/>
      <c r="GK142" s="54"/>
      <c r="GL142" s="54"/>
      <c r="GM142" s="54"/>
      <c r="GN142" s="54"/>
      <c r="GO142" s="54"/>
      <c r="GP142" s="54"/>
      <c r="GQ142" s="54"/>
      <c r="GR142" s="54"/>
      <c r="GS142" s="54"/>
      <c r="GT142" s="54"/>
      <c r="GU142" s="54"/>
      <c r="GV142" s="54"/>
      <c r="GW142" s="54"/>
      <c r="GX142" s="54"/>
      <c r="GY142" s="54"/>
      <c r="GZ142" s="54"/>
      <c r="HA142" s="54"/>
      <c r="HB142" s="54"/>
      <c r="HC142" s="54"/>
      <c r="HD142" s="54"/>
      <c r="HE142" s="54"/>
      <c r="HF142" s="54"/>
      <c r="HG142" s="54"/>
      <c r="HH142" s="54"/>
      <c r="HI142" s="54"/>
      <c r="HJ142" s="54"/>
      <c r="HK142" s="54"/>
      <c r="HL142" s="54"/>
      <c r="HM142" s="54"/>
      <c r="HN142" s="54"/>
      <c r="HO142" s="54"/>
      <c r="HP142" s="54"/>
      <c r="HQ142" s="54"/>
      <c r="HR142" s="54"/>
      <c r="HS142" s="54"/>
      <c r="HT142" s="54"/>
      <c r="HU142" s="53"/>
      <c r="HV142" s="54"/>
      <c r="HW142" s="54"/>
      <c r="HX142" s="54"/>
      <c r="HY142" s="54"/>
      <c r="HZ142" s="54"/>
      <c r="IA142" s="54"/>
      <c r="IB142" s="54"/>
      <c r="IC142" s="54"/>
      <c r="ID142" s="54"/>
      <c r="IE142" s="54"/>
      <c r="IF142" s="54"/>
      <c r="IG142" s="54"/>
      <c r="IH142" s="54"/>
      <c r="II142" s="54"/>
      <c r="IJ142" s="54"/>
      <c r="IK142" s="54"/>
      <c r="IL142" s="54"/>
      <c r="IM142" s="54"/>
      <c r="IN142" s="54"/>
      <c r="IO142" s="54"/>
      <c r="IP142" s="54"/>
      <c r="IQ142" s="54"/>
      <c r="IR142" s="54"/>
      <c r="IS142" s="54"/>
      <c r="IT142" s="54"/>
      <c r="IU142" s="54"/>
      <c r="IV142" s="54"/>
      <c r="IW142" s="54"/>
      <c r="IX142" s="54"/>
      <c r="IY142" s="53"/>
      <c r="IZ142" s="54"/>
      <c r="JA142" s="54"/>
      <c r="JB142" s="54"/>
      <c r="JC142" s="54"/>
      <c r="JD142" s="54"/>
      <c r="JE142" s="54"/>
      <c r="JF142" s="54"/>
      <c r="JG142" s="54"/>
      <c r="JH142" s="54"/>
      <c r="JI142" s="54"/>
      <c r="JJ142" s="54"/>
      <c r="JK142" s="54"/>
      <c r="JL142" s="54"/>
      <c r="JM142" s="54"/>
      <c r="JN142" s="54"/>
      <c r="JO142" s="54"/>
      <c r="JP142" s="54"/>
      <c r="JQ142" s="54"/>
      <c r="JR142" s="54"/>
      <c r="JS142" s="54"/>
      <c r="JT142" s="54"/>
      <c r="JU142" s="54"/>
      <c r="JV142" s="54"/>
      <c r="JW142" s="54"/>
      <c r="JX142" s="54"/>
      <c r="JY142" s="54"/>
      <c r="JZ142" s="54"/>
      <c r="KA142" s="54"/>
      <c r="KB142" s="54"/>
      <c r="KC142" s="53"/>
      <c r="KD142" s="54"/>
      <c r="KE142" s="55"/>
      <c r="KF142" s="54"/>
      <c r="KG142" s="54"/>
      <c r="KH142" s="54"/>
      <c r="KI142" s="53"/>
      <c r="KJ142" s="54"/>
      <c r="KK142" s="55"/>
      <c r="KL142" s="54"/>
      <c r="KM142" s="54"/>
      <c r="KN142" s="54"/>
      <c r="KO142" s="53"/>
      <c r="KP142" s="54"/>
      <c r="KQ142" s="55"/>
      <c r="KR142" s="54"/>
      <c r="KS142" s="54"/>
      <c r="KT142" s="54"/>
      <c r="KU142" s="53"/>
      <c r="KV142" s="54"/>
      <c r="KW142" s="55"/>
      <c r="KX142" s="54"/>
      <c r="KY142" s="54"/>
      <c r="KZ142" s="54"/>
      <c r="LA142" s="57"/>
      <c r="LB142" s="54"/>
      <c r="LC142" s="58"/>
      <c r="LD142" s="54"/>
      <c r="LE142" s="54"/>
      <c r="LF142" s="54"/>
      <c r="LG142" s="53"/>
      <c r="LH142" s="54"/>
      <c r="LI142" s="55"/>
      <c r="LJ142" s="53"/>
      <c r="LK142" s="54"/>
      <c r="LL142" s="55"/>
      <c r="LM142" s="53"/>
      <c r="LN142" s="54"/>
      <c r="LO142" s="55"/>
      <c r="LP142" s="53"/>
      <c r="LQ142" s="54"/>
      <c r="LR142" s="55"/>
      <c r="LS142" s="53"/>
      <c r="LT142" s="54"/>
      <c r="LU142" s="55"/>
      <c r="LV142" s="212"/>
      <c r="LW142" s="212"/>
      <c r="LX142" s="212"/>
      <c r="LY142" s="212"/>
      <c r="LZ142" s="212"/>
      <c r="MA142" s="212"/>
      <c r="MB142" s="53"/>
      <c r="MC142" s="54"/>
      <c r="MD142" s="55"/>
      <c r="ME142" s="212"/>
      <c r="MF142" s="212"/>
      <c r="MG142" s="212"/>
      <c r="MH142" s="212">
        <v>5.5999999999999995E-4</v>
      </c>
      <c r="MI142" s="212"/>
      <c r="MJ142" s="212"/>
      <c r="MK142" s="212">
        <v>5.5999999999999995E-4</v>
      </c>
      <c r="ML142" s="212"/>
      <c r="MM142" s="212"/>
      <c r="MN142" s="212">
        <v>6.6E-4</v>
      </c>
      <c r="MO142" s="212"/>
      <c r="MP142" s="212"/>
      <c r="MQ142" s="212">
        <v>5.6999999999999998E-4</v>
      </c>
      <c r="MR142" s="212"/>
      <c r="MS142" s="212"/>
      <c r="MT142" s="212">
        <v>5.6999999999999998E-4</v>
      </c>
      <c r="MU142" s="212"/>
      <c r="MV142" s="212"/>
      <c r="MW142" s="53"/>
      <c r="MX142" s="54"/>
      <c r="MY142" s="55"/>
      <c r="MZ142" s="53"/>
      <c r="NA142" s="54"/>
      <c r="NB142" s="55"/>
      <c r="NC142" s="54"/>
      <c r="ND142" s="54"/>
      <c r="NE142" s="59"/>
      <c r="NG142" s="275">
        <f>SUM(R142:NE142)</f>
        <v>2.9199999999999999E-3</v>
      </c>
      <c r="NH142" s="1"/>
      <c r="NI142" s="1"/>
      <c r="NJ142" s="1"/>
      <c r="NK142" s="1"/>
    </row>
    <row r="143" spans="6:375" s="6" customFormat="1" ht="6.95" customHeight="1">
      <c r="F143" s="196"/>
      <c r="G143" s="197"/>
      <c r="H143" s="52">
        <v>2</v>
      </c>
      <c r="L143" s="340"/>
      <c r="M143" s="294"/>
      <c r="N143" s="314"/>
      <c r="O143" s="353"/>
      <c r="P143" s="308"/>
      <c r="Q143" s="237"/>
      <c r="R143" s="6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39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1"/>
      <c r="CA143" s="39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39"/>
      <c r="DF143" s="40"/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 s="40"/>
      <c r="DT143" s="40"/>
      <c r="DU143" s="40"/>
      <c r="DV143" s="40"/>
      <c r="DW143" s="40"/>
      <c r="DX143" s="40"/>
      <c r="DY143" s="40"/>
      <c r="DZ143" s="40"/>
      <c r="EA143" s="40"/>
      <c r="EB143" s="40"/>
      <c r="EC143" s="40"/>
      <c r="ED143" s="40"/>
      <c r="EE143" s="40"/>
      <c r="EF143" s="40"/>
      <c r="EG143" s="40"/>
      <c r="EH143" s="40"/>
      <c r="EI143" s="40"/>
      <c r="EJ143" s="40"/>
      <c r="EK143" s="40"/>
      <c r="EL143" s="40"/>
      <c r="EM143" s="40"/>
      <c r="EN143" s="40"/>
      <c r="EO143" s="40"/>
      <c r="EP143" s="40"/>
      <c r="EQ143" s="40"/>
      <c r="ER143" s="40"/>
      <c r="ES143" s="40"/>
      <c r="ET143" s="40"/>
      <c r="EU143" s="40"/>
      <c r="EV143" s="40"/>
      <c r="EW143" s="40"/>
      <c r="EX143" s="40"/>
      <c r="EY143" s="40"/>
      <c r="EZ143" s="40"/>
      <c r="FA143" s="40"/>
      <c r="FB143" s="40"/>
      <c r="FC143" s="40"/>
      <c r="FD143" s="40"/>
      <c r="FE143" s="40"/>
      <c r="FF143" s="40"/>
      <c r="FG143" s="40"/>
      <c r="FH143" s="40"/>
      <c r="FI143" s="40"/>
      <c r="FJ143" s="40"/>
      <c r="FK143" s="40"/>
      <c r="FL143" s="40"/>
      <c r="FM143" s="39"/>
      <c r="FN143" s="40"/>
      <c r="FO143" s="40"/>
      <c r="FP143" s="40"/>
      <c r="FQ143" s="40"/>
      <c r="FR143" s="40"/>
      <c r="FS143" s="40"/>
      <c r="FT143" s="40"/>
      <c r="FU143" s="40"/>
      <c r="FV143" s="40"/>
      <c r="FW143" s="40"/>
      <c r="FX143" s="40"/>
      <c r="FY143" s="40"/>
      <c r="FZ143" s="40"/>
      <c r="GA143" s="40"/>
      <c r="GB143" s="40"/>
      <c r="GC143" s="40"/>
      <c r="GD143" s="40"/>
      <c r="GE143" s="40"/>
      <c r="GF143" s="40"/>
      <c r="GG143" s="40"/>
      <c r="GH143" s="40"/>
      <c r="GI143" s="40"/>
      <c r="GJ143" s="40"/>
      <c r="GK143" s="40"/>
      <c r="GL143" s="40"/>
      <c r="GM143" s="40"/>
      <c r="GN143" s="40"/>
      <c r="GO143" s="40"/>
      <c r="GP143" s="40"/>
      <c r="GQ143" s="40"/>
      <c r="GR143" s="40"/>
      <c r="GS143" s="40"/>
      <c r="GT143" s="40"/>
      <c r="GU143" s="40"/>
      <c r="GV143" s="40"/>
      <c r="GW143" s="40"/>
      <c r="GX143" s="40"/>
      <c r="GY143" s="40"/>
      <c r="GZ143" s="40"/>
      <c r="HA143" s="40"/>
      <c r="HB143" s="40"/>
      <c r="HC143" s="40"/>
      <c r="HD143" s="40"/>
      <c r="HE143" s="40"/>
      <c r="HF143" s="40"/>
      <c r="HG143" s="40"/>
      <c r="HH143" s="40"/>
      <c r="HI143" s="40"/>
      <c r="HJ143" s="40"/>
      <c r="HK143" s="40"/>
      <c r="HL143" s="40"/>
      <c r="HM143" s="40"/>
      <c r="HN143" s="40"/>
      <c r="HO143" s="40"/>
      <c r="HP143" s="40"/>
      <c r="HQ143" s="40"/>
      <c r="HR143" s="40"/>
      <c r="HS143" s="40"/>
      <c r="HT143" s="40"/>
      <c r="HU143" s="39"/>
      <c r="HV143" s="40"/>
      <c r="HW143" s="40"/>
      <c r="HX143" s="40"/>
      <c r="HY143" s="40"/>
      <c r="HZ143" s="40"/>
      <c r="IA143" s="40"/>
      <c r="IB143" s="40"/>
      <c r="IC143" s="40"/>
      <c r="ID143" s="40"/>
      <c r="IE143" s="40"/>
      <c r="IF143" s="40"/>
      <c r="IG143" s="40"/>
      <c r="IH143" s="40"/>
      <c r="II143" s="40"/>
      <c r="IJ143" s="40"/>
      <c r="IK143" s="40"/>
      <c r="IL143" s="40"/>
      <c r="IM143" s="40"/>
      <c r="IN143" s="40"/>
      <c r="IO143" s="40"/>
      <c r="IP143" s="40"/>
      <c r="IQ143" s="40"/>
      <c r="IR143" s="40"/>
      <c r="IS143" s="40"/>
      <c r="IT143" s="40"/>
      <c r="IU143" s="40"/>
      <c r="IV143" s="40"/>
      <c r="IW143" s="40"/>
      <c r="IX143" s="40"/>
      <c r="IY143" s="39"/>
      <c r="IZ143" s="40"/>
      <c r="JA143" s="40"/>
      <c r="JB143" s="40"/>
      <c r="JC143" s="40"/>
      <c r="JD143" s="40"/>
      <c r="JE143" s="40"/>
      <c r="JF143" s="40"/>
      <c r="JG143" s="40"/>
      <c r="JH143" s="40"/>
      <c r="JI143" s="40"/>
      <c r="JJ143" s="40"/>
      <c r="JK143" s="40"/>
      <c r="JL143" s="40"/>
      <c r="JM143" s="40"/>
      <c r="JN143" s="40"/>
      <c r="JO143" s="40"/>
      <c r="JP143" s="40"/>
      <c r="JQ143" s="40"/>
      <c r="JR143" s="40"/>
      <c r="JS143" s="40"/>
      <c r="JT143" s="40"/>
      <c r="JU143" s="40"/>
      <c r="JV143" s="40"/>
      <c r="JW143" s="40"/>
      <c r="JX143" s="40"/>
      <c r="JY143" s="40"/>
      <c r="JZ143" s="40"/>
      <c r="KA143" s="40"/>
      <c r="KB143" s="40"/>
      <c r="KC143" s="39"/>
      <c r="KD143" s="40"/>
      <c r="KE143" s="41"/>
      <c r="KF143" s="40"/>
      <c r="KG143" s="40"/>
      <c r="KH143" s="40"/>
      <c r="KI143" s="39"/>
      <c r="KJ143" s="40"/>
      <c r="KK143" s="41"/>
      <c r="KL143" s="40"/>
      <c r="KM143" s="40"/>
      <c r="KN143" s="40"/>
      <c r="KO143" s="39"/>
      <c r="KP143" s="40"/>
      <c r="KQ143" s="41"/>
      <c r="KR143" s="40"/>
      <c r="KS143" s="40"/>
      <c r="KT143" s="40"/>
      <c r="KU143" s="39"/>
      <c r="KV143" s="40"/>
      <c r="KW143" s="41"/>
      <c r="KX143" s="40"/>
      <c r="KY143" s="40"/>
      <c r="KZ143" s="40"/>
      <c r="LA143" s="64"/>
      <c r="LB143" s="40"/>
      <c r="LC143" s="65"/>
      <c r="LD143" s="40"/>
      <c r="LE143" s="40"/>
      <c r="LF143" s="40"/>
      <c r="LG143" s="39"/>
      <c r="LH143" s="40"/>
      <c r="LI143" s="41"/>
      <c r="LJ143" s="39"/>
      <c r="LK143" s="40"/>
      <c r="LL143" s="41"/>
      <c r="LM143" s="39"/>
      <c r="LN143" s="40"/>
      <c r="LO143" s="41"/>
      <c r="LP143" s="39"/>
      <c r="LQ143" s="40"/>
      <c r="LR143" s="41"/>
      <c r="LS143" s="39"/>
      <c r="LT143" s="40"/>
      <c r="LU143" s="41"/>
      <c r="LV143" s="39"/>
      <c r="LW143" s="40"/>
      <c r="LX143" s="41"/>
      <c r="LY143" s="39"/>
      <c r="LZ143" s="40"/>
      <c r="MA143" s="41"/>
      <c r="MB143" s="39"/>
      <c r="MC143" s="40"/>
      <c r="MD143" s="41"/>
      <c r="ME143" s="39"/>
      <c r="MF143" s="40"/>
      <c r="MG143" s="41"/>
      <c r="MH143" s="61"/>
      <c r="MI143" s="62"/>
      <c r="MJ143" s="63"/>
      <c r="MK143" s="61"/>
      <c r="ML143" s="62"/>
      <c r="MM143" s="63"/>
      <c r="MN143" s="61"/>
      <c r="MO143" s="62"/>
      <c r="MP143" s="63"/>
      <c r="MQ143" s="61"/>
      <c r="MR143" s="62"/>
      <c r="MS143" s="63"/>
      <c r="MT143" s="61"/>
      <c r="MU143" s="62"/>
      <c r="MV143" s="63"/>
      <c r="MW143" s="39"/>
      <c r="MX143" s="40"/>
      <c r="MY143" s="41"/>
      <c r="MZ143" s="39"/>
      <c r="NA143" s="40"/>
      <c r="NB143" s="41"/>
      <c r="NC143" s="40"/>
      <c r="ND143" s="40"/>
      <c r="NE143" s="42"/>
      <c r="NG143" s="275"/>
      <c r="NH143" s="1"/>
      <c r="NI143" s="1"/>
      <c r="NJ143" s="1"/>
      <c r="NK143" s="1"/>
    </row>
    <row r="144" spans="6:375" s="6" customFormat="1" ht="9.9499999999999993" customHeight="1">
      <c r="F144" s="196">
        <f t="shared" ref="F144" si="417">NG144</f>
        <v>5.96E-3</v>
      </c>
      <c r="G144" s="197">
        <f>Q144-F144</f>
        <v>0</v>
      </c>
      <c r="H144" s="27">
        <v>1</v>
      </c>
      <c r="I144" s="19" t="s">
        <v>206</v>
      </c>
      <c r="J144" s="19" t="s">
        <v>184</v>
      </c>
      <c r="K144" s="19" t="s">
        <v>237</v>
      </c>
      <c r="L144" s="339"/>
      <c r="M144" s="293" t="s">
        <v>71</v>
      </c>
      <c r="N144" s="313">
        <v>51189</v>
      </c>
      <c r="O144" s="305" t="s">
        <v>15</v>
      </c>
      <c r="P144" s="307">
        <v>1240413</v>
      </c>
      <c r="Q144" s="236">
        <f>ROUND(P144/$P$256,5)</f>
        <v>5.96E-3</v>
      </c>
      <c r="R144" s="76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3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5"/>
      <c r="CA144" s="53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4"/>
      <c r="CP144" s="54"/>
      <c r="CQ144" s="54"/>
      <c r="CR144" s="54"/>
      <c r="CS144" s="54"/>
      <c r="CT144" s="54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3"/>
      <c r="DF144" s="54"/>
      <c r="DG144" s="54"/>
      <c r="DH144" s="54"/>
      <c r="DI144" s="54"/>
      <c r="DJ144" s="54"/>
      <c r="DK144" s="54"/>
      <c r="DL144" s="54"/>
      <c r="DM144" s="54"/>
      <c r="DN144" s="54"/>
      <c r="DO144" s="54"/>
      <c r="DP144" s="54"/>
      <c r="DQ144" s="54"/>
      <c r="DR144" s="54"/>
      <c r="DS144" s="54"/>
      <c r="DT144" s="54"/>
      <c r="DU144" s="54"/>
      <c r="DV144" s="54"/>
      <c r="DW144" s="54"/>
      <c r="DX144" s="54"/>
      <c r="DY144" s="54"/>
      <c r="DZ144" s="54"/>
      <c r="EA144" s="54"/>
      <c r="EB144" s="54"/>
      <c r="EC144" s="54"/>
      <c r="ED144" s="54"/>
      <c r="EE144" s="54"/>
      <c r="EF144" s="54"/>
      <c r="EG144" s="54"/>
      <c r="EH144" s="54"/>
      <c r="EI144" s="54"/>
      <c r="EJ144" s="54"/>
      <c r="EK144" s="54"/>
      <c r="EL144" s="54"/>
      <c r="EM144" s="54"/>
      <c r="EN144" s="54"/>
      <c r="EO144" s="54"/>
      <c r="EP144" s="54"/>
      <c r="EQ144" s="54"/>
      <c r="ER144" s="54"/>
      <c r="ES144" s="54"/>
      <c r="ET144" s="54"/>
      <c r="EU144" s="54"/>
      <c r="EV144" s="54"/>
      <c r="EW144" s="54"/>
      <c r="EX144" s="54"/>
      <c r="EY144" s="54"/>
      <c r="EZ144" s="54"/>
      <c r="FA144" s="54"/>
      <c r="FB144" s="54"/>
      <c r="FC144" s="54"/>
      <c r="FD144" s="54"/>
      <c r="FE144" s="54"/>
      <c r="FF144" s="54"/>
      <c r="FG144" s="54"/>
      <c r="FH144" s="54"/>
      <c r="FI144" s="54"/>
      <c r="FJ144" s="54"/>
      <c r="FK144" s="54"/>
      <c r="FL144" s="54"/>
      <c r="FM144" s="53"/>
      <c r="FN144" s="54"/>
      <c r="FO144" s="54"/>
      <c r="FP144" s="54"/>
      <c r="FQ144" s="54"/>
      <c r="FR144" s="54"/>
      <c r="FS144" s="54"/>
      <c r="FT144" s="54"/>
      <c r="FU144" s="54"/>
      <c r="FV144" s="54"/>
      <c r="FW144" s="54"/>
      <c r="FX144" s="54"/>
      <c r="FY144" s="54"/>
      <c r="FZ144" s="54"/>
      <c r="GA144" s="54"/>
      <c r="GB144" s="54"/>
      <c r="GC144" s="54"/>
      <c r="GD144" s="54"/>
      <c r="GE144" s="54"/>
      <c r="GF144" s="54"/>
      <c r="GG144" s="54"/>
      <c r="GH144" s="54"/>
      <c r="GI144" s="54"/>
      <c r="GJ144" s="54"/>
      <c r="GK144" s="54"/>
      <c r="GL144" s="54"/>
      <c r="GM144" s="54"/>
      <c r="GN144" s="54"/>
      <c r="GO144" s="54"/>
      <c r="GP144" s="54"/>
      <c r="GQ144" s="54"/>
      <c r="GR144" s="54"/>
      <c r="GS144" s="54"/>
      <c r="GT144" s="54"/>
      <c r="GU144" s="54"/>
      <c r="GV144" s="54"/>
      <c r="GW144" s="54"/>
      <c r="GX144" s="54"/>
      <c r="GY144" s="54"/>
      <c r="GZ144" s="54"/>
      <c r="HA144" s="54"/>
      <c r="HB144" s="54"/>
      <c r="HC144" s="54"/>
      <c r="HD144" s="54"/>
      <c r="HE144" s="54"/>
      <c r="HF144" s="54"/>
      <c r="HG144" s="54"/>
      <c r="HH144" s="54"/>
      <c r="HI144" s="54"/>
      <c r="HJ144" s="54"/>
      <c r="HK144" s="54"/>
      <c r="HL144" s="54"/>
      <c r="HM144" s="54"/>
      <c r="HN144" s="54"/>
      <c r="HO144" s="54"/>
      <c r="HP144" s="54"/>
      <c r="HQ144" s="54"/>
      <c r="HR144" s="54"/>
      <c r="HS144" s="54"/>
      <c r="HT144" s="54"/>
      <c r="HU144" s="53"/>
      <c r="HV144" s="54"/>
      <c r="HW144" s="54"/>
      <c r="HX144" s="54"/>
      <c r="HY144" s="54"/>
      <c r="HZ144" s="54"/>
      <c r="IA144" s="54"/>
      <c r="IB144" s="54"/>
      <c r="IC144" s="54"/>
      <c r="ID144" s="54"/>
      <c r="IE144" s="54"/>
      <c r="IF144" s="54"/>
      <c r="IG144" s="54"/>
      <c r="IH144" s="54"/>
      <c r="II144" s="54"/>
      <c r="IJ144" s="54"/>
      <c r="IK144" s="54"/>
      <c r="IL144" s="54"/>
      <c r="IM144" s="54"/>
      <c r="IN144" s="54"/>
      <c r="IO144" s="54"/>
      <c r="IP144" s="54"/>
      <c r="IQ144" s="54"/>
      <c r="IR144" s="54"/>
      <c r="IS144" s="54"/>
      <c r="IT144" s="54"/>
      <c r="IU144" s="54"/>
      <c r="IV144" s="54"/>
      <c r="IW144" s="54"/>
      <c r="IX144" s="54"/>
      <c r="IY144" s="53"/>
      <c r="IZ144" s="54"/>
      <c r="JA144" s="54"/>
      <c r="JB144" s="54"/>
      <c r="JC144" s="54"/>
      <c r="JD144" s="54"/>
      <c r="JE144" s="54"/>
      <c r="JF144" s="54"/>
      <c r="JG144" s="54"/>
      <c r="JH144" s="54"/>
      <c r="JI144" s="54"/>
      <c r="JJ144" s="54"/>
      <c r="JK144" s="54"/>
      <c r="JL144" s="54"/>
      <c r="JM144" s="54"/>
      <c r="JN144" s="54"/>
      <c r="JO144" s="54"/>
      <c r="JP144" s="54"/>
      <c r="JQ144" s="54"/>
      <c r="JR144" s="54"/>
      <c r="JS144" s="54"/>
      <c r="JT144" s="54"/>
      <c r="JU144" s="54"/>
      <c r="JV144" s="54"/>
      <c r="JW144" s="54"/>
      <c r="JX144" s="54"/>
      <c r="JY144" s="54"/>
      <c r="JZ144" s="54"/>
      <c r="KA144" s="54"/>
      <c r="KB144" s="54"/>
      <c r="KC144" s="53"/>
      <c r="KD144" s="54"/>
      <c r="KE144" s="55"/>
      <c r="KF144" s="54"/>
      <c r="KG144" s="54"/>
      <c r="KH144" s="54"/>
      <c r="KI144" s="53"/>
      <c r="KJ144" s="54"/>
      <c r="KK144" s="55"/>
      <c r="KL144" s="54"/>
      <c r="KM144" s="54"/>
      <c r="KN144" s="54"/>
      <c r="KO144" s="53"/>
      <c r="KP144" s="54"/>
      <c r="KQ144" s="55"/>
      <c r="KR144" s="54"/>
      <c r="KS144" s="54"/>
      <c r="KT144" s="54"/>
      <c r="KU144" s="53"/>
      <c r="KV144" s="54"/>
      <c r="KW144" s="55"/>
      <c r="KX144" s="54"/>
      <c r="KY144" s="54"/>
      <c r="KZ144" s="54"/>
      <c r="LA144" s="57"/>
      <c r="LB144" s="54"/>
      <c r="LC144" s="58"/>
      <c r="LD144" s="54"/>
      <c r="LE144" s="54"/>
      <c r="LF144" s="54"/>
      <c r="LG144" s="53"/>
      <c r="LH144" s="54"/>
      <c r="LI144" s="55"/>
      <c r="LJ144" s="53"/>
      <c r="LK144" s="54"/>
      <c r="LL144" s="55"/>
      <c r="LM144" s="53"/>
      <c r="LN144" s="54"/>
      <c r="LO144" s="55"/>
      <c r="LP144" s="212"/>
      <c r="LQ144" s="212"/>
      <c r="LR144" s="212"/>
      <c r="LS144" s="212"/>
      <c r="LT144" s="212"/>
      <c r="LU144" s="212"/>
      <c r="LV144" s="212"/>
      <c r="LW144" s="212"/>
      <c r="LX144" s="212"/>
      <c r="LY144" s="212"/>
      <c r="LZ144" s="212"/>
      <c r="MA144" s="212"/>
      <c r="MB144" s="212">
        <v>6.2E-4</v>
      </c>
      <c r="MC144" s="212"/>
      <c r="MD144" s="212"/>
      <c r="ME144" s="212">
        <v>1.4300000000000001E-3</v>
      </c>
      <c r="MF144" s="212"/>
      <c r="MG144" s="212"/>
      <c r="MH144" s="212">
        <v>1.6299999999999999E-3</v>
      </c>
      <c r="MI144" s="212"/>
      <c r="MJ144" s="212"/>
      <c r="MK144" s="212">
        <v>1.6299999999999999E-3</v>
      </c>
      <c r="ML144" s="212"/>
      <c r="MM144" s="212"/>
      <c r="MN144" s="212">
        <v>6.4999999999999997E-4</v>
      </c>
      <c r="MO144" s="212"/>
      <c r="MP144" s="212"/>
      <c r="MQ144" s="212"/>
      <c r="MR144" s="212"/>
      <c r="MS144" s="212"/>
      <c r="MT144" s="54"/>
      <c r="MU144" s="54"/>
      <c r="MV144" s="54"/>
      <c r="MW144" s="53"/>
      <c r="MX144" s="54"/>
      <c r="MY144" s="55"/>
      <c r="MZ144" s="53"/>
      <c r="NA144" s="54"/>
      <c r="NB144" s="55"/>
      <c r="NC144" s="54"/>
      <c r="ND144" s="54"/>
      <c r="NE144" s="59"/>
      <c r="NG144" s="275">
        <f>SUM(R144:NE144)</f>
        <v>5.96E-3</v>
      </c>
      <c r="NH144" s="1"/>
      <c r="NI144" s="1"/>
      <c r="NJ144" s="1"/>
      <c r="NK144" s="1"/>
    </row>
    <row r="145" spans="5:375" s="6" customFormat="1" ht="6.95" customHeight="1">
      <c r="F145" s="196"/>
      <c r="G145" s="197"/>
      <c r="H145" s="52">
        <v>2</v>
      </c>
      <c r="L145" s="340"/>
      <c r="M145" s="294"/>
      <c r="N145" s="314"/>
      <c r="O145" s="306"/>
      <c r="P145" s="308"/>
      <c r="Q145" s="237"/>
      <c r="R145" s="6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39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1"/>
      <c r="CA145" s="39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  <c r="DD145" s="40"/>
      <c r="DE145" s="39"/>
      <c r="DF145" s="40"/>
      <c r="DG145" s="40"/>
      <c r="DH145" s="40"/>
      <c r="DI145" s="40"/>
      <c r="DJ145" s="40"/>
      <c r="DK145" s="40"/>
      <c r="DL145" s="40"/>
      <c r="DM145" s="40"/>
      <c r="DN145" s="40"/>
      <c r="DO145" s="40"/>
      <c r="DP145" s="40"/>
      <c r="DQ145" s="40"/>
      <c r="DR145" s="40"/>
      <c r="DS145" s="40"/>
      <c r="DT145" s="40"/>
      <c r="DU145" s="40"/>
      <c r="DV145" s="40"/>
      <c r="DW145" s="40"/>
      <c r="DX145" s="40"/>
      <c r="DY145" s="40"/>
      <c r="DZ145" s="40"/>
      <c r="EA145" s="40"/>
      <c r="EB145" s="40"/>
      <c r="EC145" s="40"/>
      <c r="ED145" s="40"/>
      <c r="EE145" s="40"/>
      <c r="EF145" s="40"/>
      <c r="EG145" s="40"/>
      <c r="EH145" s="40"/>
      <c r="EI145" s="40"/>
      <c r="EJ145" s="40"/>
      <c r="EK145" s="40"/>
      <c r="EL145" s="40"/>
      <c r="EM145" s="40"/>
      <c r="EN145" s="40"/>
      <c r="EO145" s="40"/>
      <c r="EP145" s="40"/>
      <c r="EQ145" s="40"/>
      <c r="ER145" s="40"/>
      <c r="ES145" s="40"/>
      <c r="ET145" s="40"/>
      <c r="EU145" s="40"/>
      <c r="EV145" s="40"/>
      <c r="EW145" s="40"/>
      <c r="EX145" s="40"/>
      <c r="EY145" s="40"/>
      <c r="EZ145" s="40"/>
      <c r="FA145" s="40"/>
      <c r="FB145" s="40"/>
      <c r="FC145" s="40"/>
      <c r="FD145" s="40"/>
      <c r="FE145" s="40"/>
      <c r="FF145" s="40"/>
      <c r="FG145" s="40"/>
      <c r="FH145" s="40"/>
      <c r="FI145" s="40"/>
      <c r="FJ145" s="40"/>
      <c r="FK145" s="40"/>
      <c r="FL145" s="40"/>
      <c r="FM145" s="39"/>
      <c r="FN145" s="40"/>
      <c r="FO145" s="40"/>
      <c r="FP145" s="40"/>
      <c r="FQ145" s="40"/>
      <c r="FR145" s="40"/>
      <c r="FS145" s="40"/>
      <c r="FT145" s="40"/>
      <c r="FU145" s="40"/>
      <c r="FV145" s="40"/>
      <c r="FW145" s="40"/>
      <c r="FX145" s="40"/>
      <c r="FY145" s="40"/>
      <c r="FZ145" s="40"/>
      <c r="GA145" s="40"/>
      <c r="GB145" s="40"/>
      <c r="GC145" s="40"/>
      <c r="GD145" s="40"/>
      <c r="GE145" s="40"/>
      <c r="GF145" s="40"/>
      <c r="GG145" s="40"/>
      <c r="GH145" s="40"/>
      <c r="GI145" s="40"/>
      <c r="GJ145" s="40"/>
      <c r="GK145" s="40"/>
      <c r="GL145" s="40"/>
      <c r="GM145" s="40"/>
      <c r="GN145" s="40"/>
      <c r="GO145" s="40"/>
      <c r="GP145" s="40"/>
      <c r="GQ145" s="40"/>
      <c r="GR145" s="40"/>
      <c r="GS145" s="40"/>
      <c r="GT145" s="40"/>
      <c r="GU145" s="40"/>
      <c r="GV145" s="40"/>
      <c r="GW145" s="40"/>
      <c r="GX145" s="40"/>
      <c r="GY145" s="40"/>
      <c r="GZ145" s="40"/>
      <c r="HA145" s="40"/>
      <c r="HB145" s="40"/>
      <c r="HC145" s="40"/>
      <c r="HD145" s="40"/>
      <c r="HE145" s="40"/>
      <c r="HF145" s="40"/>
      <c r="HG145" s="40"/>
      <c r="HH145" s="40"/>
      <c r="HI145" s="40"/>
      <c r="HJ145" s="40"/>
      <c r="HK145" s="40"/>
      <c r="HL145" s="40"/>
      <c r="HM145" s="40"/>
      <c r="HN145" s="40"/>
      <c r="HO145" s="40"/>
      <c r="HP145" s="40"/>
      <c r="HQ145" s="40"/>
      <c r="HR145" s="40"/>
      <c r="HS145" s="40"/>
      <c r="HT145" s="40"/>
      <c r="HU145" s="39"/>
      <c r="HV145" s="40"/>
      <c r="HW145" s="40"/>
      <c r="HX145" s="40"/>
      <c r="HY145" s="40"/>
      <c r="HZ145" s="40"/>
      <c r="IA145" s="40"/>
      <c r="IB145" s="40"/>
      <c r="IC145" s="40"/>
      <c r="ID145" s="40"/>
      <c r="IE145" s="40"/>
      <c r="IF145" s="40"/>
      <c r="IG145" s="40"/>
      <c r="IH145" s="40"/>
      <c r="II145" s="40"/>
      <c r="IJ145" s="40"/>
      <c r="IK145" s="40"/>
      <c r="IL145" s="40"/>
      <c r="IM145" s="40"/>
      <c r="IN145" s="40"/>
      <c r="IO145" s="40"/>
      <c r="IP145" s="40"/>
      <c r="IQ145" s="40"/>
      <c r="IR145" s="40"/>
      <c r="IS145" s="40"/>
      <c r="IT145" s="40"/>
      <c r="IU145" s="40"/>
      <c r="IV145" s="40"/>
      <c r="IW145" s="40"/>
      <c r="IX145" s="40"/>
      <c r="IY145" s="39"/>
      <c r="IZ145" s="40"/>
      <c r="JA145" s="40"/>
      <c r="JB145" s="40"/>
      <c r="JC145" s="40"/>
      <c r="JD145" s="40"/>
      <c r="JE145" s="40"/>
      <c r="JF145" s="40"/>
      <c r="JG145" s="40"/>
      <c r="JH145" s="40"/>
      <c r="JI145" s="40"/>
      <c r="JJ145" s="40"/>
      <c r="JK145" s="40"/>
      <c r="JL145" s="40"/>
      <c r="JM145" s="40"/>
      <c r="JN145" s="40"/>
      <c r="JO145" s="40"/>
      <c r="JP145" s="40"/>
      <c r="JQ145" s="40"/>
      <c r="JR145" s="40"/>
      <c r="JS145" s="40"/>
      <c r="JT145" s="40"/>
      <c r="JU145" s="40"/>
      <c r="JV145" s="40"/>
      <c r="JW145" s="40"/>
      <c r="JX145" s="40"/>
      <c r="JY145" s="40"/>
      <c r="JZ145" s="40"/>
      <c r="KA145" s="40"/>
      <c r="KB145" s="40"/>
      <c r="KC145" s="39"/>
      <c r="KD145" s="40"/>
      <c r="KE145" s="41"/>
      <c r="KF145" s="40"/>
      <c r="KG145" s="40"/>
      <c r="KH145" s="40"/>
      <c r="KI145" s="39"/>
      <c r="KJ145" s="40"/>
      <c r="KK145" s="41"/>
      <c r="KL145" s="40"/>
      <c r="KM145" s="40"/>
      <c r="KN145" s="40"/>
      <c r="KO145" s="39"/>
      <c r="KP145" s="40"/>
      <c r="KQ145" s="41"/>
      <c r="KR145" s="40"/>
      <c r="KS145" s="40"/>
      <c r="KT145" s="40"/>
      <c r="KU145" s="39"/>
      <c r="KV145" s="40"/>
      <c r="KW145" s="41"/>
      <c r="KX145" s="40"/>
      <c r="KY145" s="40"/>
      <c r="KZ145" s="40"/>
      <c r="LA145" s="64"/>
      <c r="LB145" s="40"/>
      <c r="LC145" s="65"/>
      <c r="LD145" s="40"/>
      <c r="LE145" s="40"/>
      <c r="LF145" s="40"/>
      <c r="LG145" s="39"/>
      <c r="LH145" s="40"/>
      <c r="LI145" s="41"/>
      <c r="LJ145" s="39"/>
      <c r="LK145" s="40"/>
      <c r="LL145" s="41"/>
      <c r="LM145" s="39"/>
      <c r="LN145" s="40"/>
      <c r="LO145" s="41"/>
      <c r="LP145" s="39"/>
      <c r="LQ145" s="40"/>
      <c r="LR145" s="41"/>
      <c r="LS145" s="39"/>
      <c r="LT145" s="40"/>
      <c r="LU145" s="41"/>
      <c r="LV145" s="39"/>
      <c r="LW145" s="40"/>
      <c r="LX145" s="41"/>
      <c r="LY145" s="39"/>
      <c r="LZ145" s="40"/>
      <c r="MA145" s="41"/>
      <c r="MB145" s="61"/>
      <c r="MC145" s="62"/>
      <c r="MD145" s="63"/>
      <c r="ME145" s="61"/>
      <c r="MF145" s="62"/>
      <c r="MG145" s="63"/>
      <c r="MH145" s="61"/>
      <c r="MI145" s="62"/>
      <c r="MJ145" s="63"/>
      <c r="MK145" s="61"/>
      <c r="ML145" s="62"/>
      <c r="MM145" s="63"/>
      <c r="MN145" s="61"/>
      <c r="MO145" s="62"/>
      <c r="MP145" s="63"/>
      <c r="MQ145" s="39"/>
      <c r="MR145" s="40"/>
      <c r="MS145" s="41"/>
      <c r="MT145" s="40"/>
      <c r="MU145" s="40"/>
      <c r="MV145" s="40"/>
      <c r="MW145" s="39"/>
      <c r="MX145" s="40"/>
      <c r="MY145" s="41"/>
      <c r="MZ145" s="39"/>
      <c r="NA145" s="40"/>
      <c r="NB145" s="41"/>
      <c r="NC145" s="40"/>
      <c r="ND145" s="40"/>
      <c r="NE145" s="42"/>
      <c r="NG145" s="275"/>
      <c r="NH145" s="1"/>
      <c r="NI145" s="1"/>
      <c r="NJ145" s="1"/>
      <c r="NK145" s="1"/>
    </row>
    <row r="146" spans="5:375" s="6" customFormat="1" ht="9.9499999999999993" customHeight="1">
      <c r="F146" s="196">
        <f t="shared" ref="F146" si="418">NG146</f>
        <v>1.5100000000000001E-3</v>
      </c>
      <c r="G146" s="197">
        <f>Q146-F146</f>
        <v>0</v>
      </c>
      <c r="H146" s="27">
        <v>1</v>
      </c>
      <c r="I146" s="19" t="s">
        <v>208</v>
      </c>
      <c r="J146" s="19" t="s">
        <v>184</v>
      </c>
      <c r="K146" s="19" t="s">
        <v>238</v>
      </c>
      <c r="L146" s="292"/>
      <c r="M146" s="300" t="s">
        <v>72</v>
      </c>
      <c r="N146" s="296">
        <v>7434</v>
      </c>
      <c r="O146" s="297" t="s">
        <v>69</v>
      </c>
      <c r="P146" s="315">
        <v>314434</v>
      </c>
      <c r="Q146" s="236">
        <f>ROUND(P146/$P$256,5)</f>
        <v>1.5100000000000001E-3</v>
      </c>
      <c r="R146" s="73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6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7"/>
      <c r="BU146" s="67"/>
      <c r="BV146" s="67"/>
      <c r="BW146" s="67"/>
      <c r="BX146" s="67"/>
      <c r="BY146" s="67"/>
      <c r="BZ146" s="68"/>
      <c r="CA146" s="66"/>
      <c r="CB146" s="67"/>
      <c r="CC146" s="67"/>
      <c r="CD146" s="67"/>
      <c r="CE146" s="67"/>
      <c r="CF146" s="67"/>
      <c r="CG146" s="67"/>
      <c r="CH146" s="67"/>
      <c r="CI146" s="67"/>
      <c r="CJ146" s="67"/>
      <c r="CK146" s="67"/>
      <c r="CL146" s="67"/>
      <c r="CM146" s="67"/>
      <c r="CN146" s="67"/>
      <c r="CO146" s="67"/>
      <c r="CP146" s="67"/>
      <c r="CQ146" s="67"/>
      <c r="CR146" s="67"/>
      <c r="CS146" s="67"/>
      <c r="CT146" s="67"/>
      <c r="CU146" s="67"/>
      <c r="CV146" s="67"/>
      <c r="CW146" s="67"/>
      <c r="CX146" s="67"/>
      <c r="CY146" s="67"/>
      <c r="CZ146" s="67"/>
      <c r="DA146" s="67"/>
      <c r="DB146" s="67"/>
      <c r="DC146" s="67"/>
      <c r="DD146" s="67"/>
      <c r="DE146" s="66"/>
      <c r="DF146" s="67"/>
      <c r="DG146" s="67"/>
      <c r="DH146" s="67"/>
      <c r="DI146" s="67"/>
      <c r="DJ146" s="67"/>
      <c r="DK146" s="67"/>
      <c r="DL146" s="67"/>
      <c r="DM146" s="67"/>
      <c r="DN146" s="67"/>
      <c r="DO146" s="67"/>
      <c r="DP146" s="67"/>
      <c r="DQ146" s="67"/>
      <c r="DR146" s="67"/>
      <c r="DS146" s="67"/>
      <c r="DT146" s="67"/>
      <c r="DU146" s="67"/>
      <c r="DV146" s="67"/>
      <c r="DW146" s="67"/>
      <c r="DX146" s="67"/>
      <c r="DY146" s="67"/>
      <c r="DZ146" s="67"/>
      <c r="EA146" s="67"/>
      <c r="EB146" s="67"/>
      <c r="EC146" s="67"/>
      <c r="ED146" s="67"/>
      <c r="EE146" s="67"/>
      <c r="EF146" s="67"/>
      <c r="EG146" s="67"/>
      <c r="EH146" s="67"/>
      <c r="EI146" s="67"/>
      <c r="EJ146" s="67"/>
      <c r="EK146" s="67"/>
      <c r="EL146" s="67"/>
      <c r="EM146" s="67"/>
      <c r="EN146" s="67"/>
      <c r="EO146" s="67"/>
      <c r="EP146" s="67"/>
      <c r="EQ146" s="67"/>
      <c r="ER146" s="67"/>
      <c r="ES146" s="67"/>
      <c r="ET146" s="67"/>
      <c r="EU146" s="67"/>
      <c r="EV146" s="67"/>
      <c r="EW146" s="67"/>
      <c r="EX146" s="67"/>
      <c r="EY146" s="67"/>
      <c r="EZ146" s="67"/>
      <c r="FA146" s="67"/>
      <c r="FB146" s="67"/>
      <c r="FC146" s="67"/>
      <c r="FD146" s="67"/>
      <c r="FE146" s="67"/>
      <c r="FF146" s="67"/>
      <c r="FG146" s="67"/>
      <c r="FH146" s="67"/>
      <c r="FI146" s="67"/>
      <c r="FJ146" s="67"/>
      <c r="FK146" s="67"/>
      <c r="FL146" s="67"/>
      <c r="FM146" s="66"/>
      <c r="FN146" s="67"/>
      <c r="FO146" s="67"/>
      <c r="FP146" s="67"/>
      <c r="FQ146" s="67"/>
      <c r="FR146" s="67"/>
      <c r="FS146" s="67"/>
      <c r="FT146" s="67"/>
      <c r="FU146" s="67"/>
      <c r="FV146" s="67"/>
      <c r="FW146" s="67"/>
      <c r="FX146" s="67"/>
      <c r="FY146" s="67"/>
      <c r="FZ146" s="67"/>
      <c r="GA146" s="67"/>
      <c r="GB146" s="67"/>
      <c r="GC146" s="67"/>
      <c r="GD146" s="67"/>
      <c r="GE146" s="67"/>
      <c r="GF146" s="67"/>
      <c r="GG146" s="67"/>
      <c r="GH146" s="67"/>
      <c r="GI146" s="67"/>
      <c r="GJ146" s="67"/>
      <c r="GK146" s="67"/>
      <c r="GL146" s="67"/>
      <c r="GM146" s="67"/>
      <c r="GN146" s="67"/>
      <c r="GO146" s="67"/>
      <c r="GP146" s="67"/>
      <c r="GQ146" s="67"/>
      <c r="GR146" s="67"/>
      <c r="GS146" s="67"/>
      <c r="GT146" s="67"/>
      <c r="GU146" s="67"/>
      <c r="GV146" s="67"/>
      <c r="GW146" s="67"/>
      <c r="GX146" s="67"/>
      <c r="GY146" s="67"/>
      <c r="GZ146" s="67"/>
      <c r="HA146" s="67"/>
      <c r="HB146" s="67"/>
      <c r="HC146" s="67"/>
      <c r="HD146" s="67"/>
      <c r="HE146" s="67"/>
      <c r="HF146" s="67"/>
      <c r="HG146" s="67"/>
      <c r="HH146" s="67"/>
      <c r="HI146" s="67"/>
      <c r="HJ146" s="67"/>
      <c r="HK146" s="67"/>
      <c r="HL146" s="67"/>
      <c r="HM146" s="67"/>
      <c r="HN146" s="67"/>
      <c r="HO146" s="67"/>
      <c r="HP146" s="67"/>
      <c r="HQ146" s="67"/>
      <c r="HR146" s="67"/>
      <c r="HS146" s="67"/>
      <c r="HT146" s="67"/>
      <c r="HU146" s="66"/>
      <c r="HV146" s="67"/>
      <c r="HW146" s="67"/>
      <c r="HX146" s="67"/>
      <c r="HY146" s="67"/>
      <c r="HZ146" s="67"/>
      <c r="IA146" s="67"/>
      <c r="IB146" s="67"/>
      <c r="IC146" s="67"/>
      <c r="ID146" s="67"/>
      <c r="IE146" s="67"/>
      <c r="IF146" s="67"/>
      <c r="IG146" s="67"/>
      <c r="IH146" s="67"/>
      <c r="II146" s="67"/>
      <c r="IJ146" s="67"/>
      <c r="IK146" s="67"/>
      <c r="IL146" s="67"/>
      <c r="IM146" s="67"/>
      <c r="IN146" s="67"/>
      <c r="IO146" s="67"/>
      <c r="IP146" s="67"/>
      <c r="IQ146" s="67"/>
      <c r="IR146" s="67"/>
      <c r="IS146" s="67"/>
      <c r="IT146" s="67"/>
      <c r="IU146" s="67"/>
      <c r="IV146" s="67"/>
      <c r="IW146" s="67"/>
      <c r="IX146" s="67"/>
      <c r="IY146" s="66"/>
      <c r="IZ146" s="67"/>
      <c r="JA146" s="67"/>
      <c r="JB146" s="67"/>
      <c r="JC146" s="67"/>
      <c r="JD146" s="67"/>
      <c r="JE146" s="67"/>
      <c r="JF146" s="67"/>
      <c r="JG146" s="67"/>
      <c r="JH146" s="67"/>
      <c r="JI146" s="67"/>
      <c r="JJ146" s="67"/>
      <c r="JK146" s="67"/>
      <c r="JL146" s="67"/>
      <c r="JM146" s="67"/>
      <c r="JN146" s="67"/>
      <c r="JO146" s="67"/>
      <c r="JP146" s="67"/>
      <c r="JQ146" s="67"/>
      <c r="JR146" s="67"/>
      <c r="JS146" s="67"/>
      <c r="JT146" s="67"/>
      <c r="JU146" s="67"/>
      <c r="JV146" s="67"/>
      <c r="JW146" s="67"/>
      <c r="JX146" s="67"/>
      <c r="JY146" s="67"/>
      <c r="JZ146" s="67"/>
      <c r="KA146" s="67"/>
      <c r="KB146" s="67"/>
      <c r="KC146" s="66"/>
      <c r="KD146" s="67"/>
      <c r="KE146" s="68"/>
      <c r="KF146" s="67"/>
      <c r="KG146" s="67"/>
      <c r="KH146" s="67"/>
      <c r="KI146" s="66"/>
      <c r="KJ146" s="67"/>
      <c r="KK146" s="68"/>
      <c r="KL146" s="67"/>
      <c r="KM146" s="67"/>
      <c r="KN146" s="67"/>
      <c r="KO146" s="66"/>
      <c r="KP146" s="67"/>
      <c r="KQ146" s="68"/>
      <c r="KR146" s="67"/>
      <c r="KS146" s="67"/>
      <c r="KT146" s="67"/>
      <c r="KU146" s="66"/>
      <c r="KV146" s="67"/>
      <c r="KW146" s="68"/>
      <c r="KX146" s="67"/>
      <c r="KY146" s="67"/>
      <c r="KZ146" s="67"/>
      <c r="LA146" s="70"/>
      <c r="LB146" s="67"/>
      <c r="LC146" s="71"/>
      <c r="LD146" s="67"/>
      <c r="LE146" s="67"/>
      <c r="LF146" s="67"/>
      <c r="LG146" s="66"/>
      <c r="LH146" s="67"/>
      <c r="LI146" s="68"/>
      <c r="LJ146" s="66"/>
      <c r="LK146" s="67"/>
      <c r="LL146" s="68"/>
      <c r="LM146" s="66"/>
      <c r="LN146" s="67"/>
      <c r="LO146" s="68"/>
      <c r="LP146" s="66"/>
      <c r="LQ146" s="67"/>
      <c r="LR146" s="68"/>
      <c r="LS146" s="66"/>
      <c r="LT146" s="67"/>
      <c r="LU146" s="68"/>
      <c r="LV146" s="67"/>
      <c r="LW146" s="67"/>
      <c r="LX146" s="67"/>
      <c r="LY146" s="66"/>
      <c r="LZ146" s="67"/>
      <c r="MA146" s="68"/>
      <c r="MB146" s="66"/>
      <c r="MC146" s="67"/>
      <c r="MD146" s="68"/>
      <c r="ME146" s="67"/>
      <c r="MF146" s="67"/>
      <c r="MG146" s="67"/>
      <c r="MH146" s="66"/>
      <c r="MI146" s="67"/>
      <c r="MJ146" s="68"/>
      <c r="MK146" s="67"/>
      <c r="ML146" s="67"/>
      <c r="MM146" s="67"/>
      <c r="MN146" s="66"/>
      <c r="MO146" s="67"/>
      <c r="MP146" s="68"/>
      <c r="MQ146" s="66"/>
      <c r="MR146" s="67"/>
      <c r="MS146" s="68"/>
      <c r="MT146" s="212">
        <v>7.7999999999999999E-4</v>
      </c>
      <c r="MU146" s="212"/>
      <c r="MV146" s="212"/>
      <c r="MW146" s="212">
        <v>7.2999999999999996E-4</v>
      </c>
      <c r="MX146" s="212"/>
      <c r="MY146" s="212"/>
      <c r="MZ146" s="214"/>
      <c r="NA146" s="214"/>
      <c r="NB146" s="214"/>
      <c r="NC146" s="67"/>
      <c r="ND146" s="67"/>
      <c r="NE146" s="72"/>
      <c r="NG146" s="275">
        <f>SUM(R146:NE146)</f>
        <v>1.5100000000000001E-3</v>
      </c>
      <c r="NH146" s="1"/>
      <c r="NI146" s="1"/>
      <c r="NJ146" s="1"/>
      <c r="NK146" s="1"/>
    </row>
    <row r="147" spans="5:375" s="6" customFormat="1" ht="6.95" customHeight="1">
      <c r="F147" s="196"/>
      <c r="G147" s="197"/>
      <c r="H147" s="52">
        <v>2</v>
      </c>
      <c r="L147" s="292"/>
      <c r="M147" s="300"/>
      <c r="N147" s="296"/>
      <c r="O147" s="298"/>
      <c r="P147" s="315"/>
      <c r="Q147" s="237"/>
      <c r="R147" s="73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  <c r="AV147" s="67"/>
      <c r="AW147" s="66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8"/>
      <c r="CA147" s="66"/>
      <c r="CB147" s="67"/>
      <c r="CC147" s="67"/>
      <c r="CD147" s="67"/>
      <c r="CE147" s="67"/>
      <c r="CF147" s="67"/>
      <c r="CG147" s="67"/>
      <c r="CH147" s="67"/>
      <c r="CI147" s="67"/>
      <c r="CJ147" s="67"/>
      <c r="CK147" s="67"/>
      <c r="CL147" s="67"/>
      <c r="CM147" s="67"/>
      <c r="CN147" s="67"/>
      <c r="CO147" s="67"/>
      <c r="CP147" s="67"/>
      <c r="CQ147" s="67"/>
      <c r="CR147" s="67"/>
      <c r="CS147" s="67"/>
      <c r="CT147" s="67"/>
      <c r="CU147" s="67"/>
      <c r="CV147" s="67"/>
      <c r="CW147" s="67"/>
      <c r="CX147" s="67"/>
      <c r="CY147" s="67"/>
      <c r="CZ147" s="67"/>
      <c r="DA147" s="67"/>
      <c r="DB147" s="67"/>
      <c r="DC147" s="67"/>
      <c r="DD147" s="67"/>
      <c r="DE147" s="66"/>
      <c r="DF147" s="67"/>
      <c r="DG147" s="67"/>
      <c r="DH147" s="67"/>
      <c r="DI147" s="67"/>
      <c r="DJ147" s="67"/>
      <c r="DK147" s="67"/>
      <c r="DL147" s="67"/>
      <c r="DM147" s="67"/>
      <c r="DN147" s="67"/>
      <c r="DO147" s="67"/>
      <c r="DP147" s="67"/>
      <c r="DQ147" s="67"/>
      <c r="DR147" s="67"/>
      <c r="DS147" s="67"/>
      <c r="DT147" s="67"/>
      <c r="DU147" s="67"/>
      <c r="DV147" s="67"/>
      <c r="DW147" s="67"/>
      <c r="DX147" s="67"/>
      <c r="DY147" s="67"/>
      <c r="DZ147" s="67"/>
      <c r="EA147" s="67"/>
      <c r="EB147" s="67"/>
      <c r="EC147" s="67"/>
      <c r="ED147" s="67"/>
      <c r="EE147" s="67"/>
      <c r="EF147" s="67"/>
      <c r="EG147" s="67"/>
      <c r="EH147" s="67"/>
      <c r="EI147" s="67"/>
      <c r="EJ147" s="67"/>
      <c r="EK147" s="67"/>
      <c r="EL147" s="67"/>
      <c r="EM147" s="67"/>
      <c r="EN147" s="67"/>
      <c r="EO147" s="67"/>
      <c r="EP147" s="67"/>
      <c r="EQ147" s="67"/>
      <c r="ER147" s="67"/>
      <c r="ES147" s="67"/>
      <c r="ET147" s="67"/>
      <c r="EU147" s="67"/>
      <c r="EV147" s="67"/>
      <c r="EW147" s="67"/>
      <c r="EX147" s="67"/>
      <c r="EY147" s="67"/>
      <c r="EZ147" s="67"/>
      <c r="FA147" s="67"/>
      <c r="FB147" s="67"/>
      <c r="FC147" s="67"/>
      <c r="FD147" s="67"/>
      <c r="FE147" s="67"/>
      <c r="FF147" s="67"/>
      <c r="FG147" s="67"/>
      <c r="FH147" s="67"/>
      <c r="FI147" s="67"/>
      <c r="FJ147" s="67"/>
      <c r="FK147" s="67"/>
      <c r="FL147" s="67"/>
      <c r="FM147" s="66"/>
      <c r="FN147" s="67"/>
      <c r="FO147" s="67"/>
      <c r="FP147" s="67"/>
      <c r="FQ147" s="67"/>
      <c r="FR147" s="67"/>
      <c r="FS147" s="67"/>
      <c r="FT147" s="67"/>
      <c r="FU147" s="67"/>
      <c r="FV147" s="67"/>
      <c r="FW147" s="67"/>
      <c r="FX147" s="67"/>
      <c r="FY147" s="67"/>
      <c r="FZ147" s="67"/>
      <c r="GA147" s="67"/>
      <c r="GB147" s="67"/>
      <c r="GC147" s="67"/>
      <c r="GD147" s="67"/>
      <c r="GE147" s="67"/>
      <c r="GF147" s="67"/>
      <c r="GG147" s="67"/>
      <c r="GH147" s="67"/>
      <c r="GI147" s="67"/>
      <c r="GJ147" s="67"/>
      <c r="GK147" s="67"/>
      <c r="GL147" s="67"/>
      <c r="GM147" s="67"/>
      <c r="GN147" s="67"/>
      <c r="GO147" s="67"/>
      <c r="GP147" s="67"/>
      <c r="GQ147" s="67"/>
      <c r="GR147" s="67"/>
      <c r="GS147" s="67"/>
      <c r="GT147" s="67"/>
      <c r="GU147" s="67"/>
      <c r="GV147" s="67"/>
      <c r="GW147" s="67"/>
      <c r="GX147" s="67"/>
      <c r="GY147" s="67"/>
      <c r="GZ147" s="67"/>
      <c r="HA147" s="67"/>
      <c r="HB147" s="67"/>
      <c r="HC147" s="67"/>
      <c r="HD147" s="67"/>
      <c r="HE147" s="67"/>
      <c r="HF147" s="67"/>
      <c r="HG147" s="67"/>
      <c r="HH147" s="67"/>
      <c r="HI147" s="67"/>
      <c r="HJ147" s="67"/>
      <c r="HK147" s="67"/>
      <c r="HL147" s="67"/>
      <c r="HM147" s="67"/>
      <c r="HN147" s="67"/>
      <c r="HO147" s="67"/>
      <c r="HP147" s="67"/>
      <c r="HQ147" s="67"/>
      <c r="HR147" s="67"/>
      <c r="HS147" s="67"/>
      <c r="HT147" s="67"/>
      <c r="HU147" s="66"/>
      <c r="HV147" s="67"/>
      <c r="HW147" s="67"/>
      <c r="HX147" s="67"/>
      <c r="HY147" s="67"/>
      <c r="HZ147" s="67"/>
      <c r="IA147" s="67"/>
      <c r="IB147" s="67"/>
      <c r="IC147" s="67"/>
      <c r="ID147" s="67"/>
      <c r="IE147" s="67"/>
      <c r="IF147" s="67"/>
      <c r="IG147" s="67"/>
      <c r="IH147" s="67"/>
      <c r="II147" s="67"/>
      <c r="IJ147" s="67"/>
      <c r="IK147" s="67"/>
      <c r="IL147" s="67"/>
      <c r="IM147" s="67"/>
      <c r="IN147" s="67"/>
      <c r="IO147" s="67"/>
      <c r="IP147" s="67"/>
      <c r="IQ147" s="67"/>
      <c r="IR147" s="67"/>
      <c r="IS147" s="67"/>
      <c r="IT147" s="67"/>
      <c r="IU147" s="67"/>
      <c r="IV147" s="67"/>
      <c r="IW147" s="67"/>
      <c r="IX147" s="67"/>
      <c r="IY147" s="66"/>
      <c r="IZ147" s="67"/>
      <c r="JA147" s="67"/>
      <c r="JB147" s="67"/>
      <c r="JC147" s="67"/>
      <c r="JD147" s="67"/>
      <c r="JE147" s="67"/>
      <c r="JF147" s="67"/>
      <c r="JG147" s="67"/>
      <c r="JH147" s="67"/>
      <c r="JI147" s="67"/>
      <c r="JJ147" s="67"/>
      <c r="JK147" s="67"/>
      <c r="JL147" s="67"/>
      <c r="JM147" s="67"/>
      <c r="JN147" s="67"/>
      <c r="JO147" s="67"/>
      <c r="JP147" s="67"/>
      <c r="JQ147" s="67"/>
      <c r="JR147" s="67"/>
      <c r="JS147" s="67"/>
      <c r="JT147" s="67"/>
      <c r="JU147" s="67"/>
      <c r="JV147" s="67"/>
      <c r="JW147" s="67"/>
      <c r="JX147" s="67"/>
      <c r="JY147" s="67"/>
      <c r="JZ147" s="67"/>
      <c r="KA147" s="67"/>
      <c r="KB147" s="67"/>
      <c r="KC147" s="66"/>
      <c r="KD147" s="67"/>
      <c r="KE147" s="68"/>
      <c r="KF147" s="67"/>
      <c r="KG147" s="67"/>
      <c r="KH147" s="67"/>
      <c r="KI147" s="66"/>
      <c r="KJ147" s="67"/>
      <c r="KK147" s="68"/>
      <c r="KL147" s="67"/>
      <c r="KM147" s="67"/>
      <c r="KN147" s="67"/>
      <c r="KO147" s="66"/>
      <c r="KP147" s="67"/>
      <c r="KQ147" s="68"/>
      <c r="KR147" s="67"/>
      <c r="KS147" s="67"/>
      <c r="KT147" s="67"/>
      <c r="KU147" s="66"/>
      <c r="KV147" s="67"/>
      <c r="KW147" s="68"/>
      <c r="KX147" s="67"/>
      <c r="KY147" s="67"/>
      <c r="KZ147" s="67"/>
      <c r="LA147" s="70"/>
      <c r="LB147" s="67"/>
      <c r="LC147" s="71"/>
      <c r="LD147" s="67"/>
      <c r="LE147" s="67"/>
      <c r="LF147" s="67"/>
      <c r="LG147" s="66"/>
      <c r="LH147" s="67"/>
      <c r="LI147" s="68"/>
      <c r="LJ147" s="66"/>
      <c r="LK147" s="67"/>
      <c r="LL147" s="68"/>
      <c r="LM147" s="66"/>
      <c r="LN147" s="67"/>
      <c r="LO147" s="68"/>
      <c r="LP147" s="66"/>
      <c r="LQ147" s="67"/>
      <c r="LR147" s="68"/>
      <c r="LS147" s="66"/>
      <c r="LT147" s="67"/>
      <c r="LU147" s="68"/>
      <c r="LV147" s="67"/>
      <c r="LW147" s="67"/>
      <c r="LX147" s="67"/>
      <c r="LY147" s="66"/>
      <c r="LZ147" s="67"/>
      <c r="MA147" s="68"/>
      <c r="MB147" s="66"/>
      <c r="MC147" s="67"/>
      <c r="MD147" s="68"/>
      <c r="ME147" s="67"/>
      <c r="MF147" s="67"/>
      <c r="MG147" s="67"/>
      <c r="MH147" s="66"/>
      <c r="MI147" s="67"/>
      <c r="MJ147" s="68"/>
      <c r="MK147" s="67"/>
      <c r="ML147" s="67"/>
      <c r="MM147" s="67"/>
      <c r="MN147" s="66"/>
      <c r="MO147" s="67"/>
      <c r="MP147" s="68"/>
      <c r="MQ147" s="66"/>
      <c r="MR147" s="67"/>
      <c r="MS147" s="68"/>
      <c r="MT147" s="61"/>
      <c r="MU147" s="62"/>
      <c r="MV147" s="63"/>
      <c r="MW147" s="61"/>
      <c r="MX147" s="62"/>
      <c r="MY147" s="63"/>
      <c r="MZ147" s="66"/>
      <c r="NA147" s="67"/>
      <c r="NB147" s="68"/>
      <c r="NC147" s="67"/>
      <c r="ND147" s="67"/>
      <c r="NE147" s="72"/>
      <c r="NG147" s="275"/>
      <c r="NH147" s="1"/>
      <c r="NI147" s="1"/>
      <c r="NJ147" s="1"/>
      <c r="NK147" s="1"/>
    </row>
    <row r="148" spans="5:375" s="6" customFormat="1" ht="9.9499999999999993" customHeight="1">
      <c r="E148" s="79"/>
      <c r="F148" s="196">
        <f t="shared" ref="F148" si="419">NG148</f>
        <v>1.1000000000000001E-3</v>
      </c>
      <c r="G148" s="197">
        <f>Q148-F148</f>
        <v>0</v>
      </c>
      <c r="H148" s="27">
        <v>1</v>
      </c>
      <c r="I148" s="80"/>
      <c r="J148" s="80"/>
      <c r="L148" s="339"/>
      <c r="M148" s="293" t="s">
        <v>12</v>
      </c>
      <c r="N148" s="313">
        <v>11462</v>
      </c>
      <c r="O148" s="352" t="s">
        <v>69</v>
      </c>
      <c r="P148" s="307">
        <v>228020</v>
      </c>
      <c r="Q148" s="236">
        <f>ROUND(P148/$P$256,5)</f>
        <v>1.1000000000000001E-3</v>
      </c>
      <c r="R148" s="76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3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5"/>
      <c r="CA148" s="53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3"/>
      <c r="DF148" s="54"/>
      <c r="DG148" s="54"/>
      <c r="DH148" s="54"/>
      <c r="DI148" s="54"/>
      <c r="DJ148" s="54"/>
      <c r="DK148" s="54"/>
      <c r="DL148" s="54"/>
      <c r="DM148" s="54"/>
      <c r="DN148" s="54"/>
      <c r="DO148" s="54"/>
      <c r="DP148" s="54"/>
      <c r="DQ148" s="54"/>
      <c r="DR148" s="54"/>
      <c r="DS148" s="54"/>
      <c r="DT148" s="54"/>
      <c r="DU148" s="54"/>
      <c r="DV148" s="54"/>
      <c r="DW148" s="54"/>
      <c r="DX148" s="54"/>
      <c r="DY148" s="54"/>
      <c r="DZ148" s="54"/>
      <c r="EA148" s="54"/>
      <c r="EB148" s="54"/>
      <c r="EC148" s="54"/>
      <c r="ED148" s="54"/>
      <c r="EE148" s="54"/>
      <c r="EF148" s="54"/>
      <c r="EG148" s="54"/>
      <c r="EH148" s="54"/>
      <c r="EI148" s="54"/>
      <c r="EJ148" s="54"/>
      <c r="EK148" s="54"/>
      <c r="EL148" s="54"/>
      <c r="EM148" s="54"/>
      <c r="EN148" s="54"/>
      <c r="EO148" s="54"/>
      <c r="EP148" s="54"/>
      <c r="EQ148" s="54"/>
      <c r="ER148" s="54"/>
      <c r="ES148" s="54"/>
      <c r="ET148" s="54"/>
      <c r="EU148" s="54"/>
      <c r="EV148" s="54"/>
      <c r="EW148" s="54"/>
      <c r="EX148" s="54"/>
      <c r="EY148" s="54"/>
      <c r="EZ148" s="54"/>
      <c r="FA148" s="54"/>
      <c r="FB148" s="54"/>
      <c r="FC148" s="54"/>
      <c r="FD148" s="54"/>
      <c r="FE148" s="54"/>
      <c r="FF148" s="54"/>
      <c r="FG148" s="54"/>
      <c r="FH148" s="54"/>
      <c r="FI148" s="54"/>
      <c r="FJ148" s="54"/>
      <c r="FK148" s="54"/>
      <c r="FL148" s="54"/>
      <c r="FM148" s="53"/>
      <c r="FN148" s="54"/>
      <c r="FO148" s="54"/>
      <c r="FP148" s="54"/>
      <c r="FQ148" s="54"/>
      <c r="FR148" s="54"/>
      <c r="FS148" s="54"/>
      <c r="FT148" s="54"/>
      <c r="FU148" s="54"/>
      <c r="FV148" s="54"/>
      <c r="FW148" s="54"/>
      <c r="FX148" s="54"/>
      <c r="FY148" s="54"/>
      <c r="FZ148" s="54"/>
      <c r="GA148" s="54"/>
      <c r="GB148" s="54"/>
      <c r="GC148" s="54"/>
      <c r="GD148" s="54"/>
      <c r="GE148" s="54"/>
      <c r="GF148" s="54"/>
      <c r="GG148" s="54"/>
      <c r="GH148" s="54"/>
      <c r="GI148" s="54"/>
      <c r="GJ148" s="54"/>
      <c r="GK148" s="54"/>
      <c r="GL148" s="54"/>
      <c r="GM148" s="54"/>
      <c r="GN148" s="54"/>
      <c r="GO148" s="54"/>
      <c r="GP148" s="54"/>
      <c r="GQ148" s="54"/>
      <c r="GR148" s="54"/>
      <c r="GS148" s="54"/>
      <c r="GT148" s="54"/>
      <c r="GU148" s="54"/>
      <c r="GV148" s="54"/>
      <c r="GW148" s="54"/>
      <c r="GX148" s="54"/>
      <c r="GY148" s="54"/>
      <c r="GZ148" s="54"/>
      <c r="HA148" s="54"/>
      <c r="HB148" s="54"/>
      <c r="HC148" s="54"/>
      <c r="HD148" s="54"/>
      <c r="HE148" s="54"/>
      <c r="HF148" s="54"/>
      <c r="HG148" s="54"/>
      <c r="HH148" s="54"/>
      <c r="HI148" s="54"/>
      <c r="HJ148" s="54"/>
      <c r="HK148" s="54"/>
      <c r="HL148" s="54"/>
      <c r="HM148" s="54"/>
      <c r="HN148" s="54"/>
      <c r="HO148" s="54"/>
      <c r="HP148" s="54"/>
      <c r="HQ148" s="54"/>
      <c r="HR148" s="54"/>
      <c r="HS148" s="54"/>
      <c r="HT148" s="54"/>
      <c r="HU148" s="53"/>
      <c r="HV148" s="54"/>
      <c r="HW148" s="54"/>
      <c r="HX148" s="54"/>
      <c r="HY148" s="54"/>
      <c r="HZ148" s="54"/>
      <c r="IA148" s="54"/>
      <c r="IB148" s="54"/>
      <c r="IC148" s="54"/>
      <c r="ID148" s="54"/>
      <c r="IE148" s="54"/>
      <c r="IF148" s="54"/>
      <c r="IG148" s="54"/>
      <c r="IH148" s="54"/>
      <c r="II148" s="54"/>
      <c r="IJ148" s="54"/>
      <c r="IK148" s="54"/>
      <c r="IL148" s="54"/>
      <c r="IM148" s="54"/>
      <c r="IN148" s="54"/>
      <c r="IO148" s="54"/>
      <c r="IP148" s="54"/>
      <c r="IQ148" s="54"/>
      <c r="IR148" s="54"/>
      <c r="IS148" s="54"/>
      <c r="IT148" s="54"/>
      <c r="IU148" s="54"/>
      <c r="IV148" s="54"/>
      <c r="IW148" s="54"/>
      <c r="IX148" s="54"/>
      <c r="IY148" s="53"/>
      <c r="IZ148" s="54"/>
      <c r="JA148" s="54"/>
      <c r="JB148" s="54"/>
      <c r="JC148" s="54"/>
      <c r="JD148" s="54"/>
      <c r="JE148" s="54"/>
      <c r="JF148" s="54"/>
      <c r="JG148" s="54"/>
      <c r="JH148" s="54"/>
      <c r="JI148" s="54"/>
      <c r="JJ148" s="54"/>
      <c r="JK148" s="54"/>
      <c r="JL148" s="54"/>
      <c r="JM148" s="54"/>
      <c r="JN148" s="54"/>
      <c r="JO148" s="54"/>
      <c r="JP148" s="54"/>
      <c r="JQ148" s="54"/>
      <c r="JR148" s="54"/>
      <c r="JS148" s="54"/>
      <c r="JT148" s="54"/>
      <c r="JU148" s="54"/>
      <c r="JV148" s="54"/>
      <c r="JW148" s="54"/>
      <c r="JX148" s="54"/>
      <c r="JY148" s="54"/>
      <c r="JZ148" s="54"/>
      <c r="KA148" s="54"/>
      <c r="KB148" s="54"/>
      <c r="KC148" s="53"/>
      <c r="KD148" s="54"/>
      <c r="KE148" s="55"/>
      <c r="KF148" s="54"/>
      <c r="KG148" s="54"/>
      <c r="KH148" s="54"/>
      <c r="KI148" s="53"/>
      <c r="KJ148" s="54"/>
      <c r="KK148" s="55"/>
      <c r="KL148" s="54"/>
      <c r="KM148" s="54"/>
      <c r="KN148" s="54"/>
      <c r="KO148" s="53"/>
      <c r="KP148" s="54"/>
      <c r="KQ148" s="55"/>
      <c r="KR148" s="54"/>
      <c r="KS148" s="54"/>
      <c r="KT148" s="54"/>
      <c r="KU148" s="53"/>
      <c r="KV148" s="54"/>
      <c r="KW148" s="55"/>
      <c r="KX148" s="54"/>
      <c r="KY148" s="54"/>
      <c r="KZ148" s="54"/>
      <c r="LA148" s="57"/>
      <c r="LB148" s="54"/>
      <c r="LC148" s="58"/>
      <c r="LD148" s="54"/>
      <c r="LE148" s="54"/>
      <c r="LF148" s="54"/>
      <c r="LG148" s="53"/>
      <c r="LH148" s="54"/>
      <c r="LI148" s="55"/>
      <c r="LJ148" s="53"/>
      <c r="LK148" s="54"/>
      <c r="LL148" s="55"/>
      <c r="LM148" s="53"/>
      <c r="LN148" s="54"/>
      <c r="LO148" s="55"/>
      <c r="LP148" s="53"/>
      <c r="LQ148" s="54"/>
      <c r="LR148" s="55"/>
      <c r="LS148" s="53"/>
      <c r="LT148" s="54"/>
      <c r="LU148" s="55"/>
      <c r="LV148" s="54"/>
      <c r="LW148" s="54"/>
      <c r="LX148" s="54"/>
      <c r="LY148" s="53"/>
      <c r="LZ148" s="54"/>
      <c r="MA148" s="55"/>
      <c r="MB148" s="53"/>
      <c r="MC148" s="54"/>
      <c r="MD148" s="55"/>
      <c r="ME148" s="54"/>
      <c r="MF148" s="54"/>
      <c r="MG148" s="54"/>
      <c r="MH148" s="53"/>
      <c r="MI148" s="54"/>
      <c r="MJ148" s="55"/>
      <c r="MK148" s="54"/>
      <c r="ML148" s="54"/>
      <c r="MM148" s="54"/>
      <c r="MN148" s="53"/>
      <c r="MO148" s="54"/>
      <c r="MP148" s="55"/>
      <c r="MQ148" s="53"/>
      <c r="MR148" s="54"/>
      <c r="MS148" s="55"/>
      <c r="MT148" s="54"/>
      <c r="MU148" s="54"/>
      <c r="MV148" s="54"/>
      <c r="MW148" s="212">
        <v>6.6E-4</v>
      </c>
      <c r="MX148" s="212"/>
      <c r="MY148" s="212"/>
      <c r="MZ148" s="212">
        <v>4.4000000000000002E-4</v>
      </c>
      <c r="NA148" s="212"/>
      <c r="NB148" s="212"/>
      <c r="NC148" s="54"/>
      <c r="ND148" s="54"/>
      <c r="NE148" s="59"/>
      <c r="NG148" s="275">
        <f>SUM(R148:NE148)</f>
        <v>1.1000000000000001E-3</v>
      </c>
      <c r="NH148" s="1"/>
      <c r="NI148" s="1"/>
      <c r="NJ148" s="1"/>
      <c r="NK148" s="1"/>
    </row>
    <row r="149" spans="5:375" s="6" customFormat="1" ht="6.95" customHeight="1">
      <c r="E149" s="80"/>
      <c r="F149" s="196"/>
      <c r="G149" s="197"/>
      <c r="H149" s="52">
        <v>2</v>
      </c>
      <c r="I149" s="80"/>
      <c r="J149" s="80"/>
      <c r="L149" s="340"/>
      <c r="M149" s="294"/>
      <c r="N149" s="314"/>
      <c r="O149" s="353"/>
      <c r="P149" s="308"/>
      <c r="Q149" s="237"/>
      <c r="R149" s="6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39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1"/>
      <c r="CA149" s="39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40"/>
      <c r="DB149" s="40"/>
      <c r="DC149" s="40"/>
      <c r="DD149" s="40"/>
      <c r="DE149" s="39"/>
      <c r="DF149" s="40"/>
      <c r="DG149" s="40"/>
      <c r="DH149" s="40"/>
      <c r="DI149" s="40"/>
      <c r="DJ149" s="40"/>
      <c r="DK149" s="40"/>
      <c r="DL149" s="40"/>
      <c r="DM149" s="40"/>
      <c r="DN149" s="40"/>
      <c r="DO149" s="40"/>
      <c r="DP149" s="40"/>
      <c r="DQ149" s="40"/>
      <c r="DR149" s="40"/>
      <c r="DS149" s="40"/>
      <c r="DT149" s="40"/>
      <c r="DU149" s="40"/>
      <c r="DV149" s="40"/>
      <c r="DW149" s="40"/>
      <c r="DX149" s="40"/>
      <c r="DY149" s="40"/>
      <c r="DZ149" s="40"/>
      <c r="EA149" s="40"/>
      <c r="EB149" s="40"/>
      <c r="EC149" s="40"/>
      <c r="ED149" s="40"/>
      <c r="EE149" s="40"/>
      <c r="EF149" s="40"/>
      <c r="EG149" s="40"/>
      <c r="EH149" s="40"/>
      <c r="EI149" s="40"/>
      <c r="EJ149" s="40"/>
      <c r="EK149" s="40"/>
      <c r="EL149" s="40"/>
      <c r="EM149" s="40"/>
      <c r="EN149" s="40"/>
      <c r="EO149" s="40"/>
      <c r="EP149" s="40"/>
      <c r="EQ149" s="40"/>
      <c r="ER149" s="40"/>
      <c r="ES149" s="40"/>
      <c r="ET149" s="40"/>
      <c r="EU149" s="40"/>
      <c r="EV149" s="40"/>
      <c r="EW149" s="40"/>
      <c r="EX149" s="40"/>
      <c r="EY149" s="40"/>
      <c r="EZ149" s="40"/>
      <c r="FA149" s="40"/>
      <c r="FB149" s="40"/>
      <c r="FC149" s="40"/>
      <c r="FD149" s="40"/>
      <c r="FE149" s="40"/>
      <c r="FF149" s="40"/>
      <c r="FG149" s="40"/>
      <c r="FH149" s="40"/>
      <c r="FI149" s="40"/>
      <c r="FJ149" s="40"/>
      <c r="FK149" s="40"/>
      <c r="FL149" s="40"/>
      <c r="FM149" s="39"/>
      <c r="FN149" s="40"/>
      <c r="FO149" s="40"/>
      <c r="FP149" s="40"/>
      <c r="FQ149" s="40"/>
      <c r="FR149" s="40"/>
      <c r="FS149" s="40"/>
      <c r="FT149" s="40"/>
      <c r="FU149" s="40"/>
      <c r="FV149" s="40"/>
      <c r="FW149" s="40"/>
      <c r="FX149" s="40"/>
      <c r="FY149" s="40"/>
      <c r="FZ149" s="40"/>
      <c r="GA149" s="40"/>
      <c r="GB149" s="40"/>
      <c r="GC149" s="40"/>
      <c r="GD149" s="40"/>
      <c r="GE149" s="40"/>
      <c r="GF149" s="40"/>
      <c r="GG149" s="40"/>
      <c r="GH149" s="40"/>
      <c r="GI149" s="40"/>
      <c r="GJ149" s="40"/>
      <c r="GK149" s="40"/>
      <c r="GL149" s="40"/>
      <c r="GM149" s="40"/>
      <c r="GN149" s="40"/>
      <c r="GO149" s="40"/>
      <c r="GP149" s="40"/>
      <c r="GQ149" s="40"/>
      <c r="GR149" s="40"/>
      <c r="GS149" s="40"/>
      <c r="GT149" s="40"/>
      <c r="GU149" s="40"/>
      <c r="GV149" s="40"/>
      <c r="GW149" s="40"/>
      <c r="GX149" s="40"/>
      <c r="GY149" s="40"/>
      <c r="GZ149" s="40"/>
      <c r="HA149" s="40"/>
      <c r="HB149" s="40"/>
      <c r="HC149" s="40"/>
      <c r="HD149" s="40"/>
      <c r="HE149" s="40"/>
      <c r="HF149" s="40"/>
      <c r="HG149" s="40"/>
      <c r="HH149" s="40"/>
      <c r="HI149" s="40"/>
      <c r="HJ149" s="40"/>
      <c r="HK149" s="40"/>
      <c r="HL149" s="40"/>
      <c r="HM149" s="40"/>
      <c r="HN149" s="40"/>
      <c r="HO149" s="40"/>
      <c r="HP149" s="40"/>
      <c r="HQ149" s="40"/>
      <c r="HR149" s="40"/>
      <c r="HS149" s="40"/>
      <c r="HT149" s="40"/>
      <c r="HU149" s="39"/>
      <c r="HV149" s="40"/>
      <c r="HW149" s="40"/>
      <c r="HX149" s="40"/>
      <c r="HY149" s="40"/>
      <c r="HZ149" s="40"/>
      <c r="IA149" s="40"/>
      <c r="IB149" s="40"/>
      <c r="IC149" s="40"/>
      <c r="ID149" s="40"/>
      <c r="IE149" s="40"/>
      <c r="IF149" s="40"/>
      <c r="IG149" s="40"/>
      <c r="IH149" s="40"/>
      <c r="II149" s="40"/>
      <c r="IJ149" s="40"/>
      <c r="IK149" s="40"/>
      <c r="IL149" s="40"/>
      <c r="IM149" s="40"/>
      <c r="IN149" s="40"/>
      <c r="IO149" s="40"/>
      <c r="IP149" s="40"/>
      <c r="IQ149" s="40"/>
      <c r="IR149" s="40"/>
      <c r="IS149" s="40"/>
      <c r="IT149" s="40"/>
      <c r="IU149" s="40"/>
      <c r="IV149" s="40"/>
      <c r="IW149" s="40"/>
      <c r="IX149" s="40"/>
      <c r="IY149" s="39"/>
      <c r="IZ149" s="40"/>
      <c r="JA149" s="40"/>
      <c r="JB149" s="40"/>
      <c r="JC149" s="40"/>
      <c r="JD149" s="40"/>
      <c r="JE149" s="40"/>
      <c r="JF149" s="40"/>
      <c r="JG149" s="40"/>
      <c r="JH149" s="40"/>
      <c r="JI149" s="40"/>
      <c r="JJ149" s="40"/>
      <c r="JK149" s="40"/>
      <c r="JL149" s="40"/>
      <c r="JM149" s="40"/>
      <c r="JN149" s="40"/>
      <c r="JO149" s="40"/>
      <c r="JP149" s="40"/>
      <c r="JQ149" s="40"/>
      <c r="JR149" s="40"/>
      <c r="JS149" s="40"/>
      <c r="JT149" s="40"/>
      <c r="JU149" s="40"/>
      <c r="JV149" s="40"/>
      <c r="JW149" s="40"/>
      <c r="JX149" s="40"/>
      <c r="JY149" s="40"/>
      <c r="JZ149" s="40"/>
      <c r="KA149" s="40"/>
      <c r="KB149" s="40"/>
      <c r="KC149" s="39"/>
      <c r="KD149" s="40"/>
      <c r="KE149" s="41"/>
      <c r="KF149" s="40"/>
      <c r="KG149" s="40"/>
      <c r="KH149" s="40"/>
      <c r="KI149" s="39"/>
      <c r="KJ149" s="40"/>
      <c r="KK149" s="41"/>
      <c r="KL149" s="40"/>
      <c r="KM149" s="40"/>
      <c r="KN149" s="40"/>
      <c r="KO149" s="39"/>
      <c r="KP149" s="40"/>
      <c r="KQ149" s="41"/>
      <c r="KR149" s="40"/>
      <c r="KS149" s="40"/>
      <c r="KT149" s="40"/>
      <c r="KU149" s="39"/>
      <c r="KV149" s="40"/>
      <c r="KW149" s="41"/>
      <c r="KX149" s="40"/>
      <c r="KY149" s="40"/>
      <c r="KZ149" s="40"/>
      <c r="LA149" s="64"/>
      <c r="LB149" s="40"/>
      <c r="LC149" s="65"/>
      <c r="LD149" s="40"/>
      <c r="LE149" s="40"/>
      <c r="LF149" s="40"/>
      <c r="LG149" s="39"/>
      <c r="LH149" s="40"/>
      <c r="LI149" s="41"/>
      <c r="LJ149" s="39"/>
      <c r="LK149" s="40"/>
      <c r="LL149" s="41"/>
      <c r="LM149" s="39"/>
      <c r="LN149" s="40"/>
      <c r="LO149" s="41"/>
      <c r="LP149" s="39"/>
      <c r="LQ149" s="40"/>
      <c r="LR149" s="41"/>
      <c r="LS149" s="39"/>
      <c r="LT149" s="40"/>
      <c r="LU149" s="41"/>
      <c r="LV149" s="40"/>
      <c r="LW149" s="40"/>
      <c r="LX149" s="40"/>
      <c r="LY149" s="39"/>
      <c r="LZ149" s="40"/>
      <c r="MA149" s="41"/>
      <c r="MB149" s="39"/>
      <c r="MC149" s="40"/>
      <c r="MD149" s="41"/>
      <c r="ME149" s="40"/>
      <c r="MF149" s="40"/>
      <c r="MG149" s="40"/>
      <c r="MH149" s="39"/>
      <c r="MI149" s="40"/>
      <c r="MJ149" s="41"/>
      <c r="MK149" s="40"/>
      <c r="ML149" s="40"/>
      <c r="MM149" s="40"/>
      <c r="MN149" s="39"/>
      <c r="MO149" s="40"/>
      <c r="MP149" s="41"/>
      <c r="MQ149" s="39"/>
      <c r="MR149" s="40"/>
      <c r="MS149" s="41"/>
      <c r="MT149" s="40"/>
      <c r="MU149" s="40"/>
      <c r="MV149" s="40"/>
      <c r="MW149" s="61"/>
      <c r="MX149" s="62"/>
      <c r="MY149" s="63"/>
      <c r="MZ149" s="61"/>
      <c r="NA149" s="62"/>
      <c r="NB149" s="63"/>
      <c r="NC149" s="40"/>
      <c r="ND149" s="40"/>
      <c r="NE149" s="42"/>
      <c r="NG149" s="275"/>
      <c r="NH149" s="1"/>
      <c r="NI149" s="1"/>
      <c r="NJ149" s="1"/>
      <c r="NK149" s="1"/>
    </row>
    <row r="150" spans="5:375" s="6" customFormat="1" ht="9.9499999999999993" customHeight="1">
      <c r="E150" s="80"/>
      <c r="F150" s="196">
        <f t="shared" ref="F150" si="420">NG150</f>
        <v>6.6E-4</v>
      </c>
      <c r="G150" s="197">
        <f>Q150-F150</f>
        <v>0</v>
      </c>
      <c r="H150" s="27">
        <v>1</v>
      </c>
      <c r="I150" s="80"/>
      <c r="J150" s="80"/>
      <c r="L150" s="292"/>
      <c r="M150" s="300" t="s">
        <v>73</v>
      </c>
      <c r="N150" s="301">
        <v>302</v>
      </c>
      <c r="O150" s="310" t="s">
        <v>57</v>
      </c>
      <c r="P150" s="315">
        <v>138162</v>
      </c>
      <c r="Q150" s="236">
        <f>ROUND(P150/$P$256,5)</f>
        <v>6.6E-4</v>
      </c>
      <c r="R150" s="73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6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  <c r="BM150" s="67"/>
      <c r="BN150" s="67"/>
      <c r="BO150" s="67"/>
      <c r="BP150" s="67"/>
      <c r="BQ150" s="67"/>
      <c r="BR150" s="67"/>
      <c r="BS150" s="67"/>
      <c r="BT150" s="67"/>
      <c r="BU150" s="67"/>
      <c r="BV150" s="67"/>
      <c r="BW150" s="67"/>
      <c r="BX150" s="67"/>
      <c r="BY150" s="67"/>
      <c r="BZ150" s="68"/>
      <c r="CA150" s="66"/>
      <c r="CB150" s="67"/>
      <c r="CC150" s="67"/>
      <c r="CD150" s="67"/>
      <c r="CE150" s="67"/>
      <c r="CF150" s="67"/>
      <c r="CG150" s="67"/>
      <c r="CH150" s="67"/>
      <c r="CI150" s="67"/>
      <c r="CJ150" s="67"/>
      <c r="CK150" s="67"/>
      <c r="CL150" s="67"/>
      <c r="CM150" s="67"/>
      <c r="CN150" s="67"/>
      <c r="CO150" s="67"/>
      <c r="CP150" s="67"/>
      <c r="CQ150" s="67"/>
      <c r="CR150" s="67"/>
      <c r="CS150" s="67"/>
      <c r="CT150" s="67"/>
      <c r="CU150" s="67"/>
      <c r="CV150" s="67"/>
      <c r="CW150" s="67"/>
      <c r="CX150" s="67"/>
      <c r="CY150" s="67"/>
      <c r="CZ150" s="67"/>
      <c r="DA150" s="67"/>
      <c r="DB150" s="67"/>
      <c r="DC150" s="67"/>
      <c r="DD150" s="67"/>
      <c r="DE150" s="66"/>
      <c r="DF150" s="67"/>
      <c r="DG150" s="67"/>
      <c r="DH150" s="67"/>
      <c r="DI150" s="67"/>
      <c r="DJ150" s="67"/>
      <c r="DK150" s="67"/>
      <c r="DL150" s="67"/>
      <c r="DM150" s="67"/>
      <c r="DN150" s="67"/>
      <c r="DO150" s="67"/>
      <c r="DP150" s="67"/>
      <c r="DQ150" s="67"/>
      <c r="DR150" s="67"/>
      <c r="DS150" s="67"/>
      <c r="DT150" s="67"/>
      <c r="DU150" s="67"/>
      <c r="DV150" s="67"/>
      <c r="DW150" s="67"/>
      <c r="DX150" s="67"/>
      <c r="DY150" s="67"/>
      <c r="DZ150" s="67"/>
      <c r="EA150" s="67"/>
      <c r="EB150" s="67"/>
      <c r="EC150" s="67"/>
      <c r="ED150" s="67"/>
      <c r="EE150" s="67"/>
      <c r="EF150" s="67"/>
      <c r="EG150" s="67"/>
      <c r="EH150" s="67"/>
      <c r="EI150" s="67"/>
      <c r="EJ150" s="67"/>
      <c r="EK150" s="67"/>
      <c r="EL150" s="67"/>
      <c r="EM150" s="67"/>
      <c r="EN150" s="67"/>
      <c r="EO150" s="67"/>
      <c r="EP150" s="67"/>
      <c r="EQ150" s="67"/>
      <c r="ER150" s="67"/>
      <c r="ES150" s="67"/>
      <c r="ET150" s="67"/>
      <c r="EU150" s="67"/>
      <c r="EV150" s="67"/>
      <c r="EW150" s="67"/>
      <c r="EX150" s="67"/>
      <c r="EY150" s="67"/>
      <c r="EZ150" s="67"/>
      <c r="FA150" s="67"/>
      <c r="FB150" s="67"/>
      <c r="FC150" s="67"/>
      <c r="FD150" s="67"/>
      <c r="FE150" s="67"/>
      <c r="FF150" s="67"/>
      <c r="FG150" s="67"/>
      <c r="FH150" s="67"/>
      <c r="FI150" s="67"/>
      <c r="FJ150" s="67"/>
      <c r="FK150" s="67"/>
      <c r="FL150" s="67"/>
      <c r="FM150" s="66"/>
      <c r="FN150" s="67"/>
      <c r="FO150" s="67"/>
      <c r="FP150" s="67"/>
      <c r="FQ150" s="67"/>
      <c r="FR150" s="67"/>
      <c r="FS150" s="67"/>
      <c r="FT150" s="67"/>
      <c r="FU150" s="67"/>
      <c r="FV150" s="67"/>
      <c r="FW150" s="67"/>
      <c r="FX150" s="67"/>
      <c r="FY150" s="67"/>
      <c r="FZ150" s="67"/>
      <c r="GA150" s="67"/>
      <c r="GB150" s="67"/>
      <c r="GC150" s="67"/>
      <c r="GD150" s="67"/>
      <c r="GE150" s="67"/>
      <c r="GF150" s="67"/>
      <c r="GG150" s="67"/>
      <c r="GH150" s="67"/>
      <c r="GI150" s="67"/>
      <c r="GJ150" s="67"/>
      <c r="GK150" s="67"/>
      <c r="GL150" s="67"/>
      <c r="GM150" s="67"/>
      <c r="GN150" s="67"/>
      <c r="GO150" s="67"/>
      <c r="GP150" s="67"/>
      <c r="GQ150" s="67"/>
      <c r="GR150" s="67"/>
      <c r="GS150" s="67"/>
      <c r="GT150" s="67"/>
      <c r="GU150" s="67"/>
      <c r="GV150" s="67"/>
      <c r="GW150" s="67"/>
      <c r="GX150" s="67"/>
      <c r="GY150" s="67"/>
      <c r="GZ150" s="67"/>
      <c r="HA150" s="67"/>
      <c r="HB150" s="67"/>
      <c r="HC150" s="67"/>
      <c r="HD150" s="67"/>
      <c r="HE150" s="67"/>
      <c r="HF150" s="67"/>
      <c r="HG150" s="67"/>
      <c r="HH150" s="67"/>
      <c r="HI150" s="67"/>
      <c r="HJ150" s="67"/>
      <c r="HK150" s="67"/>
      <c r="HL150" s="67"/>
      <c r="HM150" s="67"/>
      <c r="HN150" s="67"/>
      <c r="HO150" s="67"/>
      <c r="HP150" s="67"/>
      <c r="HQ150" s="67"/>
      <c r="HR150" s="67"/>
      <c r="HS150" s="67"/>
      <c r="HT150" s="67"/>
      <c r="HU150" s="66"/>
      <c r="HV150" s="67"/>
      <c r="HW150" s="67"/>
      <c r="HX150" s="67"/>
      <c r="HY150" s="67"/>
      <c r="HZ150" s="67"/>
      <c r="IA150" s="67"/>
      <c r="IB150" s="67"/>
      <c r="IC150" s="67"/>
      <c r="ID150" s="67"/>
      <c r="IE150" s="67"/>
      <c r="IF150" s="67"/>
      <c r="IG150" s="67"/>
      <c r="IH150" s="67"/>
      <c r="II150" s="67"/>
      <c r="IJ150" s="67"/>
      <c r="IK150" s="67"/>
      <c r="IL150" s="67"/>
      <c r="IM150" s="67"/>
      <c r="IN150" s="67"/>
      <c r="IO150" s="67"/>
      <c r="IP150" s="67"/>
      <c r="IQ150" s="67"/>
      <c r="IR150" s="67"/>
      <c r="IS150" s="67"/>
      <c r="IT150" s="67"/>
      <c r="IU150" s="67"/>
      <c r="IV150" s="67"/>
      <c r="IW150" s="67"/>
      <c r="IX150" s="67"/>
      <c r="IY150" s="66"/>
      <c r="IZ150" s="67"/>
      <c r="JA150" s="67"/>
      <c r="JB150" s="67"/>
      <c r="JC150" s="67"/>
      <c r="JD150" s="67"/>
      <c r="JE150" s="67"/>
      <c r="JF150" s="67"/>
      <c r="JG150" s="67"/>
      <c r="JH150" s="67"/>
      <c r="JI150" s="67"/>
      <c r="JJ150" s="67"/>
      <c r="JK150" s="67"/>
      <c r="JL150" s="67"/>
      <c r="JM150" s="67"/>
      <c r="JN150" s="67"/>
      <c r="JO150" s="67"/>
      <c r="JP150" s="67"/>
      <c r="JQ150" s="67"/>
      <c r="JR150" s="67"/>
      <c r="JS150" s="67"/>
      <c r="JT150" s="67"/>
      <c r="JU150" s="67"/>
      <c r="JV150" s="67"/>
      <c r="JW150" s="67"/>
      <c r="JX150" s="67"/>
      <c r="JY150" s="67"/>
      <c r="JZ150" s="67"/>
      <c r="KA150" s="67"/>
      <c r="KB150" s="67"/>
      <c r="KC150" s="66"/>
      <c r="KD150" s="67"/>
      <c r="KE150" s="68"/>
      <c r="KF150" s="67"/>
      <c r="KG150" s="67"/>
      <c r="KH150" s="67"/>
      <c r="KI150" s="66"/>
      <c r="KJ150" s="67"/>
      <c r="KK150" s="68"/>
      <c r="KL150" s="67"/>
      <c r="KM150" s="67"/>
      <c r="KN150" s="67"/>
      <c r="KO150" s="66"/>
      <c r="KP150" s="67"/>
      <c r="KQ150" s="68"/>
      <c r="KR150" s="67"/>
      <c r="KS150" s="67"/>
      <c r="KT150" s="67"/>
      <c r="KU150" s="66"/>
      <c r="KV150" s="67"/>
      <c r="KW150" s="68"/>
      <c r="KX150" s="67"/>
      <c r="KY150" s="67"/>
      <c r="KZ150" s="67"/>
      <c r="LA150" s="70"/>
      <c r="LB150" s="67"/>
      <c r="LC150" s="71"/>
      <c r="LD150" s="67"/>
      <c r="LE150" s="67"/>
      <c r="LF150" s="67"/>
      <c r="LG150" s="66"/>
      <c r="LH150" s="67"/>
      <c r="LI150" s="68"/>
      <c r="LJ150" s="66"/>
      <c r="LK150" s="67"/>
      <c r="LL150" s="68"/>
      <c r="LM150" s="66"/>
      <c r="LN150" s="67"/>
      <c r="LO150" s="68"/>
      <c r="LP150" s="66"/>
      <c r="LQ150" s="67"/>
      <c r="LR150" s="68"/>
      <c r="LS150" s="66"/>
      <c r="LT150" s="67"/>
      <c r="LU150" s="68"/>
      <c r="LV150" s="67"/>
      <c r="LW150" s="67"/>
      <c r="LX150" s="67"/>
      <c r="LY150" s="66"/>
      <c r="LZ150" s="67"/>
      <c r="MA150" s="68"/>
      <c r="MB150" s="66"/>
      <c r="MC150" s="67"/>
      <c r="MD150" s="68"/>
      <c r="ME150" s="67"/>
      <c r="MF150" s="67"/>
      <c r="MG150" s="67"/>
      <c r="MH150" s="66"/>
      <c r="MI150" s="67"/>
      <c r="MJ150" s="68"/>
      <c r="MK150" s="212"/>
      <c r="ML150" s="212"/>
      <c r="MM150" s="212"/>
      <c r="MN150" s="212">
        <v>3.1E-4</v>
      </c>
      <c r="MO150" s="212"/>
      <c r="MP150" s="212"/>
      <c r="MQ150" s="212">
        <v>2.2000000000000001E-4</v>
      </c>
      <c r="MR150" s="212"/>
      <c r="MS150" s="212"/>
      <c r="MT150" s="67"/>
      <c r="MU150" s="67"/>
      <c r="MV150" s="67"/>
      <c r="MW150" s="66"/>
      <c r="MX150" s="67"/>
      <c r="MY150" s="68"/>
      <c r="MZ150" s="212">
        <v>1.2999999999999999E-4</v>
      </c>
      <c r="NA150" s="212"/>
      <c r="NB150" s="212"/>
      <c r="NC150" s="214"/>
      <c r="ND150" s="214"/>
      <c r="NE150" s="258"/>
      <c r="NG150" s="275">
        <f>SUM(R150:NE150)</f>
        <v>6.6E-4</v>
      </c>
      <c r="NH150" s="1"/>
      <c r="NI150" s="1"/>
      <c r="NJ150" s="1"/>
      <c r="NK150" s="1"/>
    </row>
    <row r="151" spans="5:375" s="6" customFormat="1" ht="6.95" customHeight="1">
      <c r="E151" s="80"/>
      <c r="F151" s="196"/>
      <c r="G151" s="197"/>
      <c r="H151" s="52">
        <v>2</v>
      </c>
      <c r="I151" s="80"/>
      <c r="J151" s="80"/>
      <c r="L151" s="292"/>
      <c r="M151" s="300"/>
      <c r="N151" s="301"/>
      <c r="O151" s="302"/>
      <c r="P151" s="315"/>
      <c r="Q151" s="237"/>
      <c r="R151" s="73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  <c r="AV151" s="67"/>
      <c r="AW151" s="66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  <c r="BM151" s="67"/>
      <c r="BN151" s="67"/>
      <c r="BO151" s="67"/>
      <c r="BP151" s="67"/>
      <c r="BQ151" s="67"/>
      <c r="BR151" s="67"/>
      <c r="BS151" s="67"/>
      <c r="BT151" s="67"/>
      <c r="BU151" s="67"/>
      <c r="BV151" s="67"/>
      <c r="BW151" s="67"/>
      <c r="BX151" s="67"/>
      <c r="BY151" s="67"/>
      <c r="BZ151" s="68"/>
      <c r="CA151" s="66"/>
      <c r="CB151" s="67"/>
      <c r="CC151" s="67"/>
      <c r="CD151" s="67"/>
      <c r="CE151" s="67"/>
      <c r="CF151" s="67"/>
      <c r="CG151" s="67"/>
      <c r="CH151" s="67"/>
      <c r="CI151" s="67"/>
      <c r="CJ151" s="67"/>
      <c r="CK151" s="67"/>
      <c r="CL151" s="67"/>
      <c r="CM151" s="67"/>
      <c r="CN151" s="67"/>
      <c r="CO151" s="67"/>
      <c r="CP151" s="67"/>
      <c r="CQ151" s="67"/>
      <c r="CR151" s="67"/>
      <c r="CS151" s="67"/>
      <c r="CT151" s="67"/>
      <c r="CU151" s="67"/>
      <c r="CV151" s="67"/>
      <c r="CW151" s="67"/>
      <c r="CX151" s="67"/>
      <c r="CY151" s="67"/>
      <c r="CZ151" s="67"/>
      <c r="DA151" s="67"/>
      <c r="DB151" s="67"/>
      <c r="DC151" s="67"/>
      <c r="DD151" s="67"/>
      <c r="DE151" s="66"/>
      <c r="DF151" s="67"/>
      <c r="DG151" s="67"/>
      <c r="DH151" s="67"/>
      <c r="DI151" s="67"/>
      <c r="DJ151" s="67"/>
      <c r="DK151" s="67"/>
      <c r="DL151" s="67"/>
      <c r="DM151" s="67"/>
      <c r="DN151" s="67"/>
      <c r="DO151" s="67"/>
      <c r="DP151" s="67"/>
      <c r="DQ151" s="67"/>
      <c r="DR151" s="67"/>
      <c r="DS151" s="67"/>
      <c r="DT151" s="67"/>
      <c r="DU151" s="67"/>
      <c r="DV151" s="67"/>
      <c r="DW151" s="67"/>
      <c r="DX151" s="67"/>
      <c r="DY151" s="67"/>
      <c r="DZ151" s="67"/>
      <c r="EA151" s="67"/>
      <c r="EB151" s="67"/>
      <c r="EC151" s="67"/>
      <c r="ED151" s="67"/>
      <c r="EE151" s="67"/>
      <c r="EF151" s="67"/>
      <c r="EG151" s="67"/>
      <c r="EH151" s="67"/>
      <c r="EI151" s="67"/>
      <c r="EJ151" s="67"/>
      <c r="EK151" s="67"/>
      <c r="EL151" s="67"/>
      <c r="EM151" s="67"/>
      <c r="EN151" s="67"/>
      <c r="EO151" s="67"/>
      <c r="EP151" s="67"/>
      <c r="EQ151" s="67"/>
      <c r="ER151" s="67"/>
      <c r="ES151" s="67"/>
      <c r="ET151" s="67"/>
      <c r="EU151" s="67"/>
      <c r="EV151" s="67"/>
      <c r="EW151" s="67"/>
      <c r="EX151" s="67"/>
      <c r="EY151" s="67"/>
      <c r="EZ151" s="67"/>
      <c r="FA151" s="67"/>
      <c r="FB151" s="67"/>
      <c r="FC151" s="67"/>
      <c r="FD151" s="67"/>
      <c r="FE151" s="67"/>
      <c r="FF151" s="67"/>
      <c r="FG151" s="67"/>
      <c r="FH151" s="67"/>
      <c r="FI151" s="67"/>
      <c r="FJ151" s="67"/>
      <c r="FK151" s="67"/>
      <c r="FL151" s="67"/>
      <c r="FM151" s="66"/>
      <c r="FN151" s="67"/>
      <c r="FO151" s="67"/>
      <c r="FP151" s="67"/>
      <c r="FQ151" s="67"/>
      <c r="FR151" s="67"/>
      <c r="FS151" s="67"/>
      <c r="FT151" s="67"/>
      <c r="FU151" s="67"/>
      <c r="FV151" s="67"/>
      <c r="FW151" s="67"/>
      <c r="FX151" s="67"/>
      <c r="FY151" s="67"/>
      <c r="FZ151" s="67"/>
      <c r="GA151" s="67"/>
      <c r="GB151" s="67"/>
      <c r="GC151" s="67"/>
      <c r="GD151" s="67"/>
      <c r="GE151" s="67"/>
      <c r="GF151" s="67"/>
      <c r="GG151" s="67"/>
      <c r="GH151" s="67"/>
      <c r="GI151" s="67"/>
      <c r="GJ151" s="67"/>
      <c r="GK151" s="67"/>
      <c r="GL151" s="67"/>
      <c r="GM151" s="67"/>
      <c r="GN151" s="67"/>
      <c r="GO151" s="67"/>
      <c r="GP151" s="67"/>
      <c r="GQ151" s="67"/>
      <c r="GR151" s="67"/>
      <c r="GS151" s="67"/>
      <c r="GT151" s="67"/>
      <c r="GU151" s="67"/>
      <c r="GV151" s="67"/>
      <c r="GW151" s="67"/>
      <c r="GX151" s="67"/>
      <c r="GY151" s="67"/>
      <c r="GZ151" s="67"/>
      <c r="HA151" s="67"/>
      <c r="HB151" s="67"/>
      <c r="HC151" s="67"/>
      <c r="HD151" s="67"/>
      <c r="HE151" s="67"/>
      <c r="HF151" s="67"/>
      <c r="HG151" s="67"/>
      <c r="HH151" s="67"/>
      <c r="HI151" s="67"/>
      <c r="HJ151" s="67"/>
      <c r="HK151" s="67"/>
      <c r="HL151" s="67"/>
      <c r="HM151" s="67"/>
      <c r="HN151" s="67"/>
      <c r="HO151" s="67"/>
      <c r="HP151" s="67"/>
      <c r="HQ151" s="67"/>
      <c r="HR151" s="67"/>
      <c r="HS151" s="67"/>
      <c r="HT151" s="67"/>
      <c r="HU151" s="66"/>
      <c r="HV151" s="67"/>
      <c r="HW151" s="67"/>
      <c r="HX151" s="67"/>
      <c r="HY151" s="67"/>
      <c r="HZ151" s="67"/>
      <c r="IA151" s="67"/>
      <c r="IB151" s="67"/>
      <c r="IC151" s="67"/>
      <c r="ID151" s="67"/>
      <c r="IE151" s="67"/>
      <c r="IF151" s="67"/>
      <c r="IG151" s="67"/>
      <c r="IH151" s="67"/>
      <c r="II151" s="67"/>
      <c r="IJ151" s="67"/>
      <c r="IK151" s="67"/>
      <c r="IL151" s="67"/>
      <c r="IM151" s="67"/>
      <c r="IN151" s="67"/>
      <c r="IO151" s="67"/>
      <c r="IP151" s="67"/>
      <c r="IQ151" s="67"/>
      <c r="IR151" s="67"/>
      <c r="IS151" s="67"/>
      <c r="IT151" s="67"/>
      <c r="IU151" s="67"/>
      <c r="IV151" s="67"/>
      <c r="IW151" s="67"/>
      <c r="IX151" s="67"/>
      <c r="IY151" s="66"/>
      <c r="IZ151" s="67"/>
      <c r="JA151" s="67"/>
      <c r="JB151" s="67"/>
      <c r="JC151" s="67"/>
      <c r="JD151" s="67"/>
      <c r="JE151" s="67"/>
      <c r="JF151" s="67"/>
      <c r="JG151" s="67"/>
      <c r="JH151" s="67"/>
      <c r="JI151" s="67"/>
      <c r="JJ151" s="67"/>
      <c r="JK151" s="67"/>
      <c r="JL151" s="67"/>
      <c r="JM151" s="67"/>
      <c r="JN151" s="67"/>
      <c r="JO151" s="67"/>
      <c r="JP151" s="67"/>
      <c r="JQ151" s="67"/>
      <c r="JR151" s="67"/>
      <c r="JS151" s="67"/>
      <c r="JT151" s="67"/>
      <c r="JU151" s="67"/>
      <c r="JV151" s="67"/>
      <c r="JW151" s="67"/>
      <c r="JX151" s="67"/>
      <c r="JY151" s="67"/>
      <c r="JZ151" s="67"/>
      <c r="KA151" s="67"/>
      <c r="KB151" s="67"/>
      <c r="KC151" s="66"/>
      <c r="KD151" s="67"/>
      <c r="KE151" s="68"/>
      <c r="KF151" s="67"/>
      <c r="KG151" s="67"/>
      <c r="KH151" s="67"/>
      <c r="KI151" s="66"/>
      <c r="KJ151" s="67"/>
      <c r="KK151" s="68"/>
      <c r="KL151" s="67"/>
      <c r="KM151" s="67"/>
      <c r="KN151" s="67"/>
      <c r="KO151" s="66"/>
      <c r="KP151" s="67"/>
      <c r="KQ151" s="68"/>
      <c r="KR151" s="67"/>
      <c r="KS151" s="67"/>
      <c r="KT151" s="67"/>
      <c r="KU151" s="66"/>
      <c r="KV151" s="67"/>
      <c r="KW151" s="68"/>
      <c r="KX151" s="67"/>
      <c r="KY151" s="67"/>
      <c r="KZ151" s="67"/>
      <c r="LA151" s="70"/>
      <c r="LB151" s="67"/>
      <c r="LC151" s="71"/>
      <c r="LD151" s="67"/>
      <c r="LE151" s="67"/>
      <c r="LF151" s="67"/>
      <c r="LG151" s="66"/>
      <c r="LH151" s="67"/>
      <c r="LI151" s="68"/>
      <c r="LJ151" s="66"/>
      <c r="LK151" s="67"/>
      <c r="LL151" s="68"/>
      <c r="LM151" s="66"/>
      <c r="LN151" s="67"/>
      <c r="LO151" s="68"/>
      <c r="LP151" s="66"/>
      <c r="LQ151" s="67"/>
      <c r="LR151" s="68"/>
      <c r="LS151" s="66"/>
      <c r="LT151" s="67"/>
      <c r="LU151" s="68"/>
      <c r="LV151" s="67"/>
      <c r="LW151" s="67"/>
      <c r="LX151" s="67"/>
      <c r="LY151" s="66"/>
      <c r="LZ151" s="67"/>
      <c r="MA151" s="68"/>
      <c r="MB151" s="66"/>
      <c r="MC151" s="67"/>
      <c r="MD151" s="68"/>
      <c r="ME151" s="67"/>
      <c r="MF151" s="67"/>
      <c r="MG151" s="67"/>
      <c r="MH151" s="66"/>
      <c r="MI151" s="67"/>
      <c r="MJ151" s="68"/>
      <c r="MK151" s="66"/>
      <c r="ML151" s="67"/>
      <c r="MM151" s="68"/>
      <c r="MN151" s="61"/>
      <c r="MO151" s="62"/>
      <c r="MP151" s="63"/>
      <c r="MQ151" s="61"/>
      <c r="MR151" s="62"/>
      <c r="MS151" s="63"/>
      <c r="MT151" s="67"/>
      <c r="MU151" s="67"/>
      <c r="MV151" s="67"/>
      <c r="MW151" s="66"/>
      <c r="MX151" s="67"/>
      <c r="MY151" s="68"/>
      <c r="MZ151" s="61"/>
      <c r="NA151" s="62"/>
      <c r="NB151" s="63"/>
      <c r="NC151" s="66"/>
      <c r="ND151" s="67"/>
      <c r="NE151" s="72"/>
      <c r="NG151" s="275"/>
      <c r="NH151" s="1"/>
      <c r="NI151" s="1"/>
      <c r="NJ151" s="1"/>
      <c r="NK151" s="1"/>
    </row>
    <row r="152" spans="5:375" s="6" customFormat="1" ht="9.9499999999999993" customHeight="1">
      <c r="F152" s="196">
        <f t="shared" ref="F152" si="421">NG152</f>
        <v>3.63E-3</v>
      </c>
      <c r="G152" s="197">
        <f>Q152-F152</f>
        <v>0</v>
      </c>
      <c r="H152" s="27">
        <v>1</v>
      </c>
      <c r="I152" s="19" t="s">
        <v>208</v>
      </c>
      <c r="J152" s="19" t="s">
        <v>184</v>
      </c>
      <c r="K152" s="19" t="s">
        <v>239</v>
      </c>
      <c r="L152" s="339"/>
      <c r="M152" s="293" t="s">
        <v>74</v>
      </c>
      <c r="N152" s="313">
        <v>1559</v>
      </c>
      <c r="O152" s="312" t="s">
        <v>75</v>
      </c>
      <c r="P152" s="307">
        <v>756369</v>
      </c>
      <c r="Q152" s="236">
        <f>ROUND(P152/$P$256,5)</f>
        <v>3.63E-3</v>
      </c>
      <c r="R152" s="76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3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5"/>
      <c r="CA152" s="53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4"/>
      <c r="CP152" s="54"/>
      <c r="CQ152" s="54"/>
      <c r="CR152" s="54"/>
      <c r="CS152" s="54"/>
      <c r="CT152" s="54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3"/>
      <c r="DF152" s="54"/>
      <c r="DG152" s="54"/>
      <c r="DH152" s="54"/>
      <c r="DI152" s="54"/>
      <c r="DJ152" s="54"/>
      <c r="DK152" s="54"/>
      <c r="DL152" s="54"/>
      <c r="DM152" s="54"/>
      <c r="DN152" s="54"/>
      <c r="DO152" s="54"/>
      <c r="DP152" s="54"/>
      <c r="DQ152" s="54"/>
      <c r="DR152" s="54"/>
      <c r="DS152" s="54"/>
      <c r="DT152" s="54"/>
      <c r="DU152" s="54"/>
      <c r="DV152" s="54"/>
      <c r="DW152" s="54"/>
      <c r="DX152" s="54"/>
      <c r="DY152" s="54"/>
      <c r="DZ152" s="54"/>
      <c r="EA152" s="54"/>
      <c r="EB152" s="54"/>
      <c r="EC152" s="54"/>
      <c r="ED152" s="54"/>
      <c r="EE152" s="54"/>
      <c r="EF152" s="54"/>
      <c r="EG152" s="54"/>
      <c r="EH152" s="54"/>
      <c r="EI152" s="54"/>
      <c r="EJ152" s="54"/>
      <c r="EK152" s="54"/>
      <c r="EL152" s="54"/>
      <c r="EM152" s="54"/>
      <c r="EN152" s="54"/>
      <c r="EO152" s="54"/>
      <c r="EP152" s="54"/>
      <c r="EQ152" s="54"/>
      <c r="ER152" s="54"/>
      <c r="ES152" s="54"/>
      <c r="ET152" s="54"/>
      <c r="EU152" s="54"/>
      <c r="EV152" s="54"/>
      <c r="EW152" s="54"/>
      <c r="EX152" s="54"/>
      <c r="EY152" s="54"/>
      <c r="EZ152" s="54"/>
      <c r="FA152" s="54"/>
      <c r="FB152" s="54"/>
      <c r="FC152" s="54"/>
      <c r="FD152" s="54"/>
      <c r="FE152" s="54"/>
      <c r="FF152" s="54"/>
      <c r="FG152" s="54"/>
      <c r="FH152" s="54"/>
      <c r="FI152" s="54"/>
      <c r="FJ152" s="54"/>
      <c r="FK152" s="54"/>
      <c r="FL152" s="54"/>
      <c r="FM152" s="53" t="s">
        <v>279</v>
      </c>
      <c r="FN152" s="54"/>
      <c r="FO152" s="54"/>
      <c r="FP152" s="54"/>
      <c r="FQ152" s="54"/>
      <c r="FR152" s="54"/>
      <c r="FS152" s="54"/>
      <c r="FT152" s="54"/>
      <c r="FU152" s="54"/>
      <c r="FV152" s="54"/>
      <c r="FW152" s="54"/>
      <c r="FX152" s="54"/>
      <c r="FY152" s="54"/>
      <c r="FZ152" s="54"/>
      <c r="GA152" s="54"/>
      <c r="GB152" s="54"/>
      <c r="GC152" s="54"/>
      <c r="GD152" s="54"/>
      <c r="GE152" s="54"/>
      <c r="GF152" s="54"/>
      <c r="GG152" s="54"/>
      <c r="GH152" s="54"/>
      <c r="GI152" s="54"/>
      <c r="GJ152" s="54"/>
      <c r="GK152" s="54"/>
      <c r="GL152" s="54"/>
      <c r="GM152" s="54"/>
      <c r="GN152" s="54"/>
      <c r="GO152" s="54"/>
      <c r="GP152" s="54"/>
      <c r="GQ152" s="54"/>
      <c r="GR152" s="54"/>
      <c r="GS152" s="54"/>
      <c r="GT152" s="54"/>
      <c r="GU152" s="54"/>
      <c r="GV152" s="54"/>
      <c r="GW152" s="54"/>
      <c r="GX152" s="54"/>
      <c r="GY152" s="54"/>
      <c r="GZ152" s="54"/>
      <c r="HA152" s="54"/>
      <c r="HB152" s="54"/>
      <c r="HC152" s="54"/>
      <c r="HD152" s="54"/>
      <c r="HE152" s="54"/>
      <c r="HF152" s="54"/>
      <c r="HG152" s="54"/>
      <c r="HH152" s="54"/>
      <c r="HI152" s="54"/>
      <c r="HJ152" s="54"/>
      <c r="HK152" s="54"/>
      <c r="HL152" s="54"/>
      <c r="HM152" s="54"/>
      <c r="HN152" s="54"/>
      <c r="HO152" s="54"/>
      <c r="HP152" s="54"/>
      <c r="HQ152" s="54"/>
      <c r="HR152" s="54"/>
      <c r="HS152" s="54"/>
      <c r="HT152" s="54"/>
      <c r="HU152" s="53"/>
      <c r="HV152" s="54"/>
      <c r="HW152" s="54"/>
      <c r="HX152" s="54"/>
      <c r="HY152" s="54"/>
      <c r="HZ152" s="54"/>
      <c r="IA152" s="54"/>
      <c r="IB152" s="54"/>
      <c r="IC152" s="54"/>
      <c r="ID152" s="54"/>
      <c r="IE152" s="54"/>
      <c r="IF152" s="54"/>
      <c r="IG152" s="54"/>
      <c r="IH152" s="54"/>
      <c r="II152" s="54"/>
      <c r="IJ152" s="54"/>
      <c r="IK152" s="54"/>
      <c r="IL152" s="54"/>
      <c r="IM152" s="54"/>
      <c r="IN152" s="54"/>
      <c r="IO152" s="54"/>
      <c r="IP152" s="54"/>
      <c r="IQ152" s="54"/>
      <c r="IR152" s="54"/>
      <c r="IS152" s="54"/>
      <c r="IT152" s="54"/>
      <c r="IU152" s="54"/>
      <c r="IV152" s="54"/>
      <c r="IW152" s="54"/>
      <c r="IX152" s="54"/>
      <c r="IY152" s="53"/>
      <c r="IZ152" s="54"/>
      <c r="JA152" s="54"/>
      <c r="JB152" s="54"/>
      <c r="JC152" s="54"/>
      <c r="JD152" s="54"/>
      <c r="JE152" s="54"/>
      <c r="JF152" s="54"/>
      <c r="JG152" s="54"/>
      <c r="JH152" s="54"/>
      <c r="JI152" s="54"/>
      <c r="JJ152" s="54"/>
      <c r="JK152" s="54"/>
      <c r="JL152" s="54"/>
      <c r="JM152" s="54"/>
      <c r="JN152" s="54"/>
      <c r="JO152" s="54"/>
      <c r="JP152" s="54"/>
      <c r="JQ152" s="54"/>
      <c r="JR152" s="54"/>
      <c r="JS152" s="54"/>
      <c r="JT152" s="54"/>
      <c r="JU152" s="54"/>
      <c r="JV152" s="54"/>
      <c r="JW152" s="54"/>
      <c r="JX152" s="54"/>
      <c r="JY152" s="54"/>
      <c r="JZ152" s="54"/>
      <c r="KA152" s="54"/>
      <c r="KB152" s="54"/>
      <c r="KC152" s="53"/>
      <c r="KD152" s="54"/>
      <c r="KE152" s="55"/>
      <c r="KF152" s="54"/>
      <c r="KG152" s="54"/>
      <c r="KH152" s="54"/>
      <c r="KI152" s="53"/>
      <c r="KJ152" s="54"/>
      <c r="KK152" s="55"/>
      <c r="KL152" s="54"/>
      <c r="KM152" s="54"/>
      <c r="KN152" s="54"/>
      <c r="KO152" s="53"/>
      <c r="KP152" s="54"/>
      <c r="KQ152" s="55"/>
      <c r="KR152" s="54"/>
      <c r="KS152" s="54"/>
      <c r="KT152" s="54"/>
      <c r="KU152" s="53"/>
      <c r="KV152" s="54"/>
      <c r="KW152" s="55"/>
      <c r="KX152" s="54"/>
      <c r="KY152" s="54"/>
      <c r="KZ152" s="54"/>
      <c r="LA152" s="57"/>
      <c r="LB152" s="54"/>
      <c r="LC152" s="58"/>
      <c r="LD152" s="54"/>
      <c r="LE152" s="54"/>
      <c r="LF152" s="54"/>
      <c r="LG152" s="53"/>
      <c r="LH152" s="54"/>
      <c r="LI152" s="55"/>
      <c r="LJ152" s="53"/>
      <c r="LK152" s="54"/>
      <c r="LL152" s="55"/>
      <c r="LM152" s="53"/>
      <c r="LN152" s="54"/>
      <c r="LO152" s="55"/>
      <c r="LP152" s="53"/>
      <c r="LQ152" s="54"/>
      <c r="LR152" s="55"/>
      <c r="LS152" s="53"/>
      <c r="LT152" s="54"/>
      <c r="LU152" s="55"/>
      <c r="LV152" s="54"/>
      <c r="LW152" s="54"/>
      <c r="LX152" s="54"/>
      <c r="LY152" s="53"/>
      <c r="LZ152" s="54"/>
      <c r="MA152" s="55"/>
      <c r="MB152" s="53"/>
      <c r="MC152" s="54"/>
      <c r="MD152" s="55"/>
      <c r="ME152" s="54"/>
      <c r="MF152" s="54"/>
      <c r="MG152" s="54"/>
      <c r="MH152" s="53"/>
      <c r="MI152" s="54"/>
      <c r="MJ152" s="55"/>
      <c r="MK152" s="54"/>
      <c r="ML152" s="54"/>
      <c r="MM152" s="54"/>
      <c r="MN152" s="53"/>
      <c r="MO152" s="54"/>
      <c r="MP152" s="55"/>
      <c r="MQ152" s="53"/>
      <c r="MR152" s="54"/>
      <c r="MS152" s="55"/>
      <c r="MT152" s="212">
        <v>1.89E-3</v>
      </c>
      <c r="MU152" s="212"/>
      <c r="MV152" s="212"/>
      <c r="MW152" s="212">
        <v>1.74E-3</v>
      </c>
      <c r="MX152" s="212"/>
      <c r="MY152" s="212"/>
      <c r="MZ152" s="212"/>
      <c r="NA152" s="212"/>
      <c r="NB152" s="212"/>
      <c r="NC152" s="54"/>
      <c r="ND152" s="54"/>
      <c r="NE152" s="59"/>
      <c r="NG152" s="275">
        <f>SUM(R152:NE152)</f>
        <v>3.63E-3</v>
      </c>
      <c r="NH152" s="1"/>
      <c r="NI152" s="1"/>
      <c r="NJ152" s="1"/>
      <c r="NK152" s="1"/>
    </row>
    <row r="153" spans="5:375" s="6" customFormat="1" ht="6.95" customHeight="1">
      <c r="F153" s="196"/>
      <c r="G153" s="197"/>
      <c r="H153" s="52">
        <v>2</v>
      </c>
      <c r="L153" s="340"/>
      <c r="M153" s="294"/>
      <c r="N153" s="314"/>
      <c r="O153" s="306"/>
      <c r="P153" s="308"/>
      <c r="Q153" s="237"/>
      <c r="R153" s="6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39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1"/>
      <c r="CA153" s="39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  <c r="DC153" s="40"/>
      <c r="DD153" s="40"/>
      <c r="DE153" s="39"/>
      <c r="DF153" s="40"/>
      <c r="DG153" s="40"/>
      <c r="DH153" s="40"/>
      <c r="DI153" s="40"/>
      <c r="DJ153" s="40"/>
      <c r="DK153" s="40"/>
      <c r="DL153" s="40"/>
      <c r="DM153" s="40"/>
      <c r="DN153" s="40"/>
      <c r="DO153" s="40"/>
      <c r="DP153" s="40"/>
      <c r="DQ153" s="40"/>
      <c r="DR153" s="40"/>
      <c r="DS153" s="40"/>
      <c r="DT153" s="40"/>
      <c r="DU153" s="40"/>
      <c r="DV153" s="40"/>
      <c r="DW153" s="40"/>
      <c r="DX153" s="40"/>
      <c r="DY153" s="40"/>
      <c r="DZ153" s="40"/>
      <c r="EA153" s="40"/>
      <c r="EB153" s="40"/>
      <c r="EC153" s="40"/>
      <c r="ED153" s="40"/>
      <c r="EE153" s="40"/>
      <c r="EF153" s="40"/>
      <c r="EG153" s="40"/>
      <c r="EH153" s="40"/>
      <c r="EI153" s="40"/>
      <c r="EJ153" s="40"/>
      <c r="EK153" s="40"/>
      <c r="EL153" s="40"/>
      <c r="EM153" s="40"/>
      <c r="EN153" s="40"/>
      <c r="EO153" s="40"/>
      <c r="EP153" s="40"/>
      <c r="EQ153" s="40"/>
      <c r="ER153" s="40"/>
      <c r="ES153" s="40"/>
      <c r="ET153" s="40"/>
      <c r="EU153" s="40"/>
      <c r="EV153" s="40"/>
      <c r="EW153" s="40"/>
      <c r="EX153" s="40"/>
      <c r="EY153" s="40"/>
      <c r="EZ153" s="40"/>
      <c r="FA153" s="40"/>
      <c r="FB153" s="40"/>
      <c r="FC153" s="40"/>
      <c r="FD153" s="40"/>
      <c r="FE153" s="40"/>
      <c r="FF153" s="40"/>
      <c r="FG153" s="40"/>
      <c r="FH153" s="40"/>
      <c r="FI153" s="40"/>
      <c r="FJ153" s="40"/>
      <c r="FK153" s="40"/>
      <c r="FL153" s="40"/>
      <c r="FM153" s="39"/>
      <c r="FN153" s="40"/>
      <c r="FO153" s="40"/>
      <c r="FP153" s="40"/>
      <c r="FQ153" s="40"/>
      <c r="FR153" s="40"/>
      <c r="FS153" s="40"/>
      <c r="FT153" s="40"/>
      <c r="FU153" s="40"/>
      <c r="FV153" s="40"/>
      <c r="FW153" s="40"/>
      <c r="FX153" s="40"/>
      <c r="FY153" s="40"/>
      <c r="FZ153" s="40"/>
      <c r="GA153" s="40"/>
      <c r="GB153" s="40"/>
      <c r="GC153" s="40"/>
      <c r="GD153" s="40"/>
      <c r="GE153" s="40"/>
      <c r="GF153" s="40"/>
      <c r="GG153" s="40"/>
      <c r="GH153" s="40"/>
      <c r="GI153" s="40"/>
      <c r="GJ153" s="40"/>
      <c r="GK153" s="40"/>
      <c r="GL153" s="40"/>
      <c r="GM153" s="40"/>
      <c r="GN153" s="40"/>
      <c r="GO153" s="40"/>
      <c r="GP153" s="40"/>
      <c r="GQ153" s="40"/>
      <c r="GR153" s="40"/>
      <c r="GS153" s="40"/>
      <c r="GT153" s="40"/>
      <c r="GU153" s="40"/>
      <c r="GV153" s="40"/>
      <c r="GW153" s="40"/>
      <c r="GX153" s="40"/>
      <c r="GY153" s="40"/>
      <c r="GZ153" s="40"/>
      <c r="HA153" s="40"/>
      <c r="HB153" s="40"/>
      <c r="HC153" s="40"/>
      <c r="HD153" s="40"/>
      <c r="HE153" s="40"/>
      <c r="HF153" s="40"/>
      <c r="HG153" s="40"/>
      <c r="HH153" s="40"/>
      <c r="HI153" s="40"/>
      <c r="HJ153" s="40"/>
      <c r="HK153" s="40"/>
      <c r="HL153" s="40"/>
      <c r="HM153" s="40"/>
      <c r="HN153" s="40"/>
      <c r="HO153" s="40"/>
      <c r="HP153" s="40"/>
      <c r="HQ153" s="40"/>
      <c r="HR153" s="40"/>
      <c r="HS153" s="40"/>
      <c r="HT153" s="40"/>
      <c r="HU153" s="39"/>
      <c r="HV153" s="40"/>
      <c r="HW153" s="40"/>
      <c r="HX153" s="40"/>
      <c r="HY153" s="40"/>
      <c r="HZ153" s="40"/>
      <c r="IA153" s="40"/>
      <c r="IB153" s="40"/>
      <c r="IC153" s="40"/>
      <c r="ID153" s="40"/>
      <c r="IE153" s="40"/>
      <c r="IF153" s="40"/>
      <c r="IG153" s="40"/>
      <c r="IH153" s="40"/>
      <c r="II153" s="40"/>
      <c r="IJ153" s="40"/>
      <c r="IK153" s="40"/>
      <c r="IL153" s="40"/>
      <c r="IM153" s="40"/>
      <c r="IN153" s="40"/>
      <c r="IO153" s="40"/>
      <c r="IP153" s="40"/>
      <c r="IQ153" s="40"/>
      <c r="IR153" s="40"/>
      <c r="IS153" s="40"/>
      <c r="IT153" s="40"/>
      <c r="IU153" s="40"/>
      <c r="IV153" s="40"/>
      <c r="IW153" s="40"/>
      <c r="IX153" s="40"/>
      <c r="IY153" s="39"/>
      <c r="IZ153" s="40"/>
      <c r="JA153" s="40"/>
      <c r="JB153" s="40"/>
      <c r="JC153" s="40"/>
      <c r="JD153" s="40"/>
      <c r="JE153" s="40"/>
      <c r="JF153" s="40"/>
      <c r="JG153" s="40"/>
      <c r="JH153" s="40"/>
      <c r="JI153" s="40"/>
      <c r="JJ153" s="40"/>
      <c r="JK153" s="40"/>
      <c r="JL153" s="40"/>
      <c r="JM153" s="40"/>
      <c r="JN153" s="40"/>
      <c r="JO153" s="40"/>
      <c r="JP153" s="40"/>
      <c r="JQ153" s="40"/>
      <c r="JR153" s="40"/>
      <c r="JS153" s="40"/>
      <c r="JT153" s="40"/>
      <c r="JU153" s="40"/>
      <c r="JV153" s="40"/>
      <c r="JW153" s="40"/>
      <c r="JX153" s="40"/>
      <c r="JY153" s="40"/>
      <c r="JZ153" s="40"/>
      <c r="KA153" s="40"/>
      <c r="KB153" s="40"/>
      <c r="KC153" s="39"/>
      <c r="KD153" s="40"/>
      <c r="KE153" s="41"/>
      <c r="KF153" s="40"/>
      <c r="KG153" s="40"/>
      <c r="KH153" s="40"/>
      <c r="KI153" s="39"/>
      <c r="KJ153" s="40"/>
      <c r="KK153" s="41"/>
      <c r="KL153" s="40"/>
      <c r="KM153" s="40"/>
      <c r="KN153" s="40"/>
      <c r="KO153" s="39"/>
      <c r="KP153" s="40"/>
      <c r="KQ153" s="41"/>
      <c r="KR153" s="40"/>
      <c r="KS153" s="40"/>
      <c r="KT153" s="40"/>
      <c r="KU153" s="39"/>
      <c r="KV153" s="40"/>
      <c r="KW153" s="41"/>
      <c r="KX153" s="40"/>
      <c r="KY153" s="40"/>
      <c r="KZ153" s="40"/>
      <c r="LA153" s="64"/>
      <c r="LB153" s="40"/>
      <c r="LC153" s="65"/>
      <c r="LD153" s="40"/>
      <c r="LE153" s="40"/>
      <c r="LF153" s="40"/>
      <c r="LG153" s="39"/>
      <c r="LH153" s="40"/>
      <c r="LI153" s="41"/>
      <c r="LJ153" s="39"/>
      <c r="LK153" s="40"/>
      <c r="LL153" s="41"/>
      <c r="LM153" s="39"/>
      <c r="LN153" s="40"/>
      <c r="LO153" s="41"/>
      <c r="LP153" s="39"/>
      <c r="LQ153" s="40"/>
      <c r="LR153" s="41"/>
      <c r="LS153" s="39"/>
      <c r="LT153" s="40"/>
      <c r="LU153" s="41"/>
      <c r="LV153" s="40"/>
      <c r="LW153" s="40"/>
      <c r="LX153" s="40"/>
      <c r="LY153" s="39"/>
      <c r="LZ153" s="40"/>
      <c r="MA153" s="41"/>
      <c r="MB153" s="39"/>
      <c r="MC153" s="40"/>
      <c r="MD153" s="41"/>
      <c r="ME153" s="40"/>
      <c r="MF153" s="40"/>
      <c r="MG153" s="40"/>
      <c r="MH153" s="39"/>
      <c r="MI153" s="40"/>
      <c r="MJ153" s="41"/>
      <c r="MK153" s="40"/>
      <c r="ML153" s="40"/>
      <c r="MM153" s="40"/>
      <c r="MN153" s="39"/>
      <c r="MO153" s="40"/>
      <c r="MP153" s="41"/>
      <c r="MQ153" s="39"/>
      <c r="MR153" s="40"/>
      <c r="MS153" s="41"/>
      <c r="MT153" s="61"/>
      <c r="MU153" s="62"/>
      <c r="MV153" s="63"/>
      <c r="MW153" s="61"/>
      <c r="MX153" s="62"/>
      <c r="MY153" s="63"/>
      <c r="MZ153" s="39"/>
      <c r="NA153" s="40"/>
      <c r="NB153" s="41"/>
      <c r="NC153" s="40"/>
      <c r="ND153" s="40"/>
      <c r="NE153" s="42"/>
      <c r="NG153" s="275"/>
      <c r="NH153" s="1"/>
      <c r="NI153" s="1"/>
      <c r="NJ153" s="1"/>
      <c r="NK153" s="1"/>
    </row>
    <row r="154" spans="5:375" s="6" customFormat="1" ht="9.9499999999999993" customHeight="1">
      <c r="F154" s="196">
        <f t="shared" ref="F154" si="422">NG154</f>
        <v>7.3999999999999999E-4</v>
      </c>
      <c r="G154" s="197">
        <f>Q154-F154</f>
        <v>0</v>
      </c>
      <c r="H154" s="27">
        <v>1</v>
      </c>
      <c r="I154" s="19" t="s">
        <v>224</v>
      </c>
      <c r="J154" s="19" t="s">
        <v>184</v>
      </c>
      <c r="K154" s="19" t="s">
        <v>240</v>
      </c>
      <c r="L154" s="292"/>
      <c r="M154" s="300" t="s">
        <v>76</v>
      </c>
      <c r="N154" s="301">
        <v>814</v>
      </c>
      <c r="O154" s="310" t="s">
        <v>77</v>
      </c>
      <c r="P154" s="315">
        <v>154158</v>
      </c>
      <c r="Q154" s="236">
        <f>ROUND(P154/$P$256,5)</f>
        <v>7.3999999999999999E-4</v>
      </c>
      <c r="R154" s="73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6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7"/>
      <c r="BU154" s="67"/>
      <c r="BV154" s="67"/>
      <c r="BW154" s="67"/>
      <c r="BX154" s="67"/>
      <c r="BY154" s="67"/>
      <c r="BZ154" s="68"/>
      <c r="CA154" s="66"/>
      <c r="CB154" s="67"/>
      <c r="CC154" s="67"/>
      <c r="CD154" s="67"/>
      <c r="CE154" s="67"/>
      <c r="CF154" s="67"/>
      <c r="CG154" s="67"/>
      <c r="CH154" s="67"/>
      <c r="CI154" s="67"/>
      <c r="CJ154" s="67"/>
      <c r="CK154" s="67"/>
      <c r="CL154" s="67"/>
      <c r="CM154" s="67"/>
      <c r="CN154" s="67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7"/>
      <c r="CZ154" s="67"/>
      <c r="DA154" s="67"/>
      <c r="DB154" s="67"/>
      <c r="DC154" s="67"/>
      <c r="DD154" s="67"/>
      <c r="DE154" s="66"/>
      <c r="DF154" s="67"/>
      <c r="DG154" s="67"/>
      <c r="DH154" s="67"/>
      <c r="DI154" s="67"/>
      <c r="DJ154" s="67"/>
      <c r="DK154" s="67"/>
      <c r="DL154" s="67"/>
      <c r="DM154" s="67"/>
      <c r="DN154" s="67"/>
      <c r="DO154" s="67"/>
      <c r="DP154" s="67"/>
      <c r="DQ154" s="67"/>
      <c r="DR154" s="67"/>
      <c r="DS154" s="67"/>
      <c r="DT154" s="67"/>
      <c r="DU154" s="67"/>
      <c r="DV154" s="67"/>
      <c r="DW154" s="67"/>
      <c r="DX154" s="67"/>
      <c r="DY154" s="67"/>
      <c r="DZ154" s="67"/>
      <c r="EA154" s="67"/>
      <c r="EB154" s="67"/>
      <c r="EC154" s="67"/>
      <c r="ED154" s="67"/>
      <c r="EE154" s="67"/>
      <c r="EF154" s="67"/>
      <c r="EG154" s="67"/>
      <c r="EH154" s="67"/>
      <c r="EI154" s="67"/>
      <c r="EJ154" s="67"/>
      <c r="EK154" s="67"/>
      <c r="EL154" s="67"/>
      <c r="EM154" s="67"/>
      <c r="EN154" s="67"/>
      <c r="EO154" s="67"/>
      <c r="EP154" s="67"/>
      <c r="EQ154" s="67"/>
      <c r="ER154" s="67"/>
      <c r="ES154" s="67"/>
      <c r="ET154" s="67"/>
      <c r="EU154" s="67"/>
      <c r="EV154" s="67"/>
      <c r="EW154" s="67"/>
      <c r="EX154" s="67"/>
      <c r="EY154" s="67"/>
      <c r="EZ154" s="67"/>
      <c r="FA154" s="67"/>
      <c r="FB154" s="67"/>
      <c r="FC154" s="67"/>
      <c r="FD154" s="67"/>
      <c r="FE154" s="67"/>
      <c r="FF154" s="67"/>
      <c r="FG154" s="67"/>
      <c r="FH154" s="67"/>
      <c r="FI154" s="67"/>
      <c r="FJ154" s="67"/>
      <c r="FK154" s="67"/>
      <c r="FL154" s="67"/>
      <c r="FM154" s="66"/>
      <c r="FN154" s="67"/>
      <c r="FO154" s="67"/>
      <c r="FP154" s="67"/>
      <c r="FQ154" s="67"/>
      <c r="FR154" s="67"/>
      <c r="FS154" s="67"/>
      <c r="FT154" s="67"/>
      <c r="FU154" s="67"/>
      <c r="FV154" s="67"/>
      <c r="FW154" s="67"/>
      <c r="FX154" s="67"/>
      <c r="FY154" s="67"/>
      <c r="FZ154" s="67"/>
      <c r="GA154" s="67"/>
      <c r="GB154" s="67"/>
      <c r="GC154" s="67"/>
      <c r="GD154" s="67"/>
      <c r="GE154" s="67"/>
      <c r="GF154" s="67"/>
      <c r="GG154" s="67"/>
      <c r="GH154" s="67"/>
      <c r="GI154" s="67"/>
      <c r="GJ154" s="67"/>
      <c r="GK154" s="67"/>
      <c r="GL154" s="67"/>
      <c r="GM154" s="67"/>
      <c r="GN154" s="67"/>
      <c r="GO154" s="67"/>
      <c r="GP154" s="67"/>
      <c r="GQ154" s="67"/>
      <c r="GR154" s="67"/>
      <c r="GS154" s="67"/>
      <c r="GT154" s="67"/>
      <c r="GU154" s="67"/>
      <c r="GV154" s="67"/>
      <c r="GW154" s="67"/>
      <c r="GX154" s="67"/>
      <c r="GY154" s="67"/>
      <c r="GZ154" s="67"/>
      <c r="HA154" s="67"/>
      <c r="HB154" s="67"/>
      <c r="HC154" s="67"/>
      <c r="HD154" s="67"/>
      <c r="HE154" s="67"/>
      <c r="HF154" s="67"/>
      <c r="HG154" s="67"/>
      <c r="HH154" s="67"/>
      <c r="HI154" s="67"/>
      <c r="HJ154" s="67"/>
      <c r="HK154" s="67"/>
      <c r="HL154" s="67"/>
      <c r="HM154" s="67"/>
      <c r="HN154" s="67"/>
      <c r="HO154" s="67"/>
      <c r="HP154" s="67"/>
      <c r="HQ154" s="67"/>
      <c r="HR154" s="67"/>
      <c r="HS154" s="67"/>
      <c r="HT154" s="67"/>
      <c r="HU154" s="66"/>
      <c r="HV154" s="67"/>
      <c r="HW154" s="67"/>
      <c r="HX154" s="67"/>
      <c r="HY154" s="67"/>
      <c r="HZ154" s="67"/>
      <c r="IA154" s="67"/>
      <c r="IB154" s="67"/>
      <c r="IC154" s="67"/>
      <c r="ID154" s="67"/>
      <c r="IE154" s="67"/>
      <c r="IF154" s="67"/>
      <c r="IG154" s="67"/>
      <c r="IH154" s="67"/>
      <c r="II154" s="67"/>
      <c r="IJ154" s="67"/>
      <c r="IK154" s="67"/>
      <c r="IL154" s="67"/>
      <c r="IM154" s="67"/>
      <c r="IN154" s="67"/>
      <c r="IO154" s="67"/>
      <c r="IP154" s="67"/>
      <c r="IQ154" s="67"/>
      <c r="IR154" s="67"/>
      <c r="IS154" s="67"/>
      <c r="IT154" s="67"/>
      <c r="IU154" s="67"/>
      <c r="IV154" s="67"/>
      <c r="IW154" s="67"/>
      <c r="IX154" s="67"/>
      <c r="IY154" s="66"/>
      <c r="IZ154" s="67"/>
      <c r="JA154" s="67"/>
      <c r="JB154" s="67"/>
      <c r="JC154" s="67"/>
      <c r="JD154" s="67"/>
      <c r="JE154" s="67"/>
      <c r="JF154" s="67"/>
      <c r="JG154" s="67"/>
      <c r="JH154" s="67"/>
      <c r="JI154" s="67"/>
      <c r="JJ154" s="67"/>
      <c r="JK154" s="67"/>
      <c r="JL154" s="67"/>
      <c r="JM154" s="67"/>
      <c r="JN154" s="67"/>
      <c r="JO154" s="67"/>
      <c r="JP154" s="67"/>
      <c r="JQ154" s="67"/>
      <c r="JR154" s="67"/>
      <c r="JS154" s="67"/>
      <c r="JT154" s="67"/>
      <c r="JU154" s="67"/>
      <c r="JV154" s="67"/>
      <c r="JW154" s="67"/>
      <c r="JX154" s="67"/>
      <c r="JY154" s="67"/>
      <c r="JZ154" s="67"/>
      <c r="KA154" s="67"/>
      <c r="KB154" s="67"/>
      <c r="KC154" s="66"/>
      <c r="KD154" s="67"/>
      <c r="KE154" s="68"/>
      <c r="KF154" s="67"/>
      <c r="KG154" s="67"/>
      <c r="KH154" s="67"/>
      <c r="KI154" s="66"/>
      <c r="KJ154" s="67"/>
      <c r="KK154" s="68"/>
      <c r="KL154" s="67"/>
      <c r="KM154" s="67"/>
      <c r="KN154" s="67"/>
      <c r="KO154" s="66"/>
      <c r="KP154" s="67"/>
      <c r="KQ154" s="68"/>
      <c r="KR154" s="67"/>
      <c r="KS154" s="67"/>
      <c r="KT154" s="67"/>
      <c r="KU154" s="66"/>
      <c r="KV154" s="67"/>
      <c r="KW154" s="68"/>
      <c r="KX154" s="67"/>
      <c r="KY154" s="67"/>
      <c r="KZ154" s="67"/>
      <c r="LA154" s="70"/>
      <c r="LB154" s="67"/>
      <c r="LC154" s="71"/>
      <c r="LD154" s="67"/>
      <c r="LE154" s="67"/>
      <c r="LF154" s="67"/>
      <c r="LG154" s="66"/>
      <c r="LH154" s="67"/>
      <c r="LI154" s="68"/>
      <c r="LJ154" s="66"/>
      <c r="LK154" s="67"/>
      <c r="LL154" s="68"/>
      <c r="LM154" s="66"/>
      <c r="LN154" s="67"/>
      <c r="LO154" s="68"/>
      <c r="LP154" s="66"/>
      <c r="LQ154" s="67"/>
      <c r="LR154" s="68"/>
      <c r="LS154" s="66"/>
      <c r="LT154" s="67"/>
      <c r="LU154" s="68"/>
      <c r="LV154" s="67"/>
      <c r="LW154" s="67"/>
      <c r="LX154" s="67"/>
      <c r="LY154" s="66"/>
      <c r="LZ154" s="67"/>
      <c r="MA154" s="68"/>
      <c r="MB154" s="66"/>
      <c r="MC154" s="67"/>
      <c r="MD154" s="68"/>
      <c r="ME154" s="67"/>
      <c r="MF154" s="67"/>
      <c r="MG154" s="67"/>
      <c r="MH154" s="66"/>
      <c r="MI154" s="67"/>
      <c r="MJ154" s="68"/>
      <c r="MK154" s="212">
        <v>2.2000000000000001E-4</v>
      </c>
      <c r="ML154" s="212"/>
      <c r="MM154" s="212"/>
      <c r="MN154" s="212">
        <v>2.9999999999999997E-4</v>
      </c>
      <c r="MO154" s="212"/>
      <c r="MP154" s="212"/>
      <c r="MQ154" s="66"/>
      <c r="MR154" s="67"/>
      <c r="MS154" s="68"/>
      <c r="MT154" s="67"/>
      <c r="MU154" s="67"/>
      <c r="MV154" s="67"/>
      <c r="MW154" s="212">
        <v>2.2000000000000001E-4</v>
      </c>
      <c r="MX154" s="212"/>
      <c r="MY154" s="212"/>
      <c r="MZ154" s="214"/>
      <c r="NA154" s="214"/>
      <c r="NB154" s="214"/>
      <c r="NC154" s="67"/>
      <c r="ND154" s="67"/>
      <c r="NE154" s="72"/>
      <c r="NG154" s="275">
        <f>SUM(R154:NE154)</f>
        <v>7.3999999999999999E-4</v>
      </c>
      <c r="NH154" s="1"/>
      <c r="NI154" s="1"/>
      <c r="NJ154" s="1"/>
      <c r="NK154" s="1"/>
    </row>
    <row r="155" spans="5:375" s="6" customFormat="1" ht="6.95" customHeight="1">
      <c r="F155" s="196"/>
      <c r="G155" s="197"/>
      <c r="H155" s="52">
        <v>2</v>
      </c>
      <c r="L155" s="292"/>
      <c r="M155" s="300"/>
      <c r="N155" s="301"/>
      <c r="O155" s="302"/>
      <c r="P155" s="315"/>
      <c r="Q155" s="237"/>
      <c r="R155" s="73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6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8"/>
      <c r="CA155" s="66"/>
      <c r="CB155" s="67"/>
      <c r="CC155" s="67"/>
      <c r="CD155" s="67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  <c r="DC155" s="67"/>
      <c r="DD155" s="67"/>
      <c r="DE155" s="66"/>
      <c r="DF155" s="67"/>
      <c r="DG155" s="67"/>
      <c r="DH155" s="67"/>
      <c r="DI155" s="67"/>
      <c r="DJ155" s="67"/>
      <c r="DK155" s="67"/>
      <c r="DL155" s="67"/>
      <c r="DM155" s="67"/>
      <c r="DN155" s="67"/>
      <c r="DO155" s="67"/>
      <c r="DP155" s="67"/>
      <c r="DQ155" s="67"/>
      <c r="DR155" s="67"/>
      <c r="DS155" s="67"/>
      <c r="DT155" s="67"/>
      <c r="DU155" s="67"/>
      <c r="DV155" s="67"/>
      <c r="DW155" s="67"/>
      <c r="DX155" s="67"/>
      <c r="DY155" s="67"/>
      <c r="DZ155" s="67"/>
      <c r="EA155" s="67"/>
      <c r="EB155" s="67"/>
      <c r="EC155" s="67"/>
      <c r="ED155" s="67"/>
      <c r="EE155" s="67"/>
      <c r="EF155" s="67"/>
      <c r="EG155" s="67"/>
      <c r="EH155" s="67"/>
      <c r="EI155" s="67"/>
      <c r="EJ155" s="67"/>
      <c r="EK155" s="67"/>
      <c r="EL155" s="67"/>
      <c r="EM155" s="67"/>
      <c r="EN155" s="67"/>
      <c r="EO155" s="67"/>
      <c r="EP155" s="67"/>
      <c r="EQ155" s="67"/>
      <c r="ER155" s="67"/>
      <c r="ES155" s="67"/>
      <c r="ET155" s="67"/>
      <c r="EU155" s="67"/>
      <c r="EV155" s="67"/>
      <c r="EW155" s="67"/>
      <c r="EX155" s="67"/>
      <c r="EY155" s="67"/>
      <c r="EZ155" s="67"/>
      <c r="FA155" s="67"/>
      <c r="FB155" s="67"/>
      <c r="FC155" s="67"/>
      <c r="FD155" s="67"/>
      <c r="FE155" s="67"/>
      <c r="FF155" s="67"/>
      <c r="FG155" s="67"/>
      <c r="FH155" s="67"/>
      <c r="FI155" s="67"/>
      <c r="FJ155" s="67"/>
      <c r="FK155" s="67"/>
      <c r="FL155" s="67"/>
      <c r="FM155" s="66"/>
      <c r="FN155" s="67"/>
      <c r="FO155" s="67"/>
      <c r="FP155" s="67"/>
      <c r="FQ155" s="67"/>
      <c r="FR155" s="67"/>
      <c r="FS155" s="67"/>
      <c r="FT155" s="67"/>
      <c r="FU155" s="67"/>
      <c r="FV155" s="67"/>
      <c r="FW155" s="67"/>
      <c r="FX155" s="67"/>
      <c r="FY155" s="67"/>
      <c r="FZ155" s="67"/>
      <c r="GA155" s="67"/>
      <c r="GB155" s="67"/>
      <c r="GC155" s="67"/>
      <c r="GD155" s="67"/>
      <c r="GE155" s="67"/>
      <c r="GF155" s="67"/>
      <c r="GG155" s="67"/>
      <c r="GH155" s="67"/>
      <c r="GI155" s="67"/>
      <c r="GJ155" s="67"/>
      <c r="GK155" s="67"/>
      <c r="GL155" s="67"/>
      <c r="GM155" s="67"/>
      <c r="GN155" s="67"/>
      <c r="GO155" s="67"/>
      <c r="GP155" s="67"/>
      <c r="GQ155" s="67"/>
      <c r="GR155" s="67"/>
      <c r="GS155" s="67"/>
      <c r="GT155" s="67"/>
      <c r="GU155" s="67"/>
      <c r="GV155" s="67"/>
      <c r="GW155" s="67"/>
      <c r="GX155" s="67"/>
      <c r="GY155" s="67"/>
      <c r="GZ155" s="67"/>
      <c r="HA155" s="67"/>
      <c r="HB155" s="67"/>
      <c r="HC155" s="67"/>
      <c r="HD155" s="67"/>
      <c r="HE155" s="67"/>
      <c r="HF155" s="67"/>
      <c r="HG155" s="67"/>
      <c r="HH155" s="67"/>
      <c r="HI155" s="67"/>
      <c r="HJ155" s="67"/>
      <c r="HK155" s="67"/>
      <c r="HL155" s="67"/>
      <c r="HM155" s="67"/>
      <c r="HN155" s="67"/>
      <c r="HO155" s="67"/>
      <c r="HP155" s="67"/>
      <c r="HQ155" s="67"/>
      <c r="HR155" s="67"/>
      <c r="HS155" s="67"/>
      <c r="HT155" s="67"/>
      <c r="HU155" s="66"/>
      <c r="HV155" s="67"/>
      <c r="HW155" s="67"/>
      <c r="HX155" s="67"/>
      <c r="HY155" s="67"/>
      <c r="HZ155" s="67"/>
      <c r="IA155" s="67"/>
      <c r="IB155" s="67"/>
      <c r="IC155" s="67"/>
      <c r="ID155" s="67"/>
      <c r="IE155" s="67"/>
      <c r="IF155" s="67"/>
      <c r="IG155" s="67"/>
      <c r="IH155" s="67"/>
      <c r="II155" s="67"/>
      <c r="IJ155" s="67"/>
      <c r="IK155" s="67"/>
      <c r="IL155" s="67"/>
      <c r="IM155" s="67"/>
      <c r="IN155" s="67"/>
      <c r="IO155" s="67"/>
      <c r="IP155" s="67"/>
      <c r="IQ155" s="67"/>
      <c r="IR155" s="67"/>
      <c r="IS155" s="67"/>
      <c r="IT155" s="67"/>
      <c r="IU155" s="67"/>
      <c r="IV155" s="67"/>
      <c r="IW155" s="67"/>
      <c r="IX155" s="67"/>
      <c r="IY155" s="66"/>
      <c r="IZ155" s="67"/>
      <c r="JA155" s="67"/>
      <c r="JB155" s="67"/>
      <c r="JC155" s="67"/>
      <c r="JD155" s="67"/>
      <c r="JE155" s="67"/>
      <c r="JF155" s="67"/>
      <c r="JG155" s="67"/>
      <c r="JH155" s="67"/>
      <c r="JI155" s="67"/>
      <c r="JJ155" s="67"/>
      <c r="JK155" s="67"/>
      <c r="JL155" s="67"/>
      <c r="JM155" s="67"/>
      <c r="JN155" s="67"/>
      <c r="JO155" s="67"/>
      <c r="JP155" s="67"/>
      <c r="JQ155" s="67"/>
      <c r="JR155" s="67"/>
      <c r="JS155" s="67"/>
      <c r="JT155" s="67"/>
      <c r="JU155" s="67"/>
      <c r="JV155" s="67"/>
      <c r="JW155" s="67"/>
      <c r="JX155" s="67"/>
      <c r="JY155" s="67"/>
      <c r="JZ155" s="67"/>
      <c r="KA155" s="67"/>
      <c r="KB155" s="67"/>
      <c r="KC155" s="66"/>
      <c r="KD155" s="67"/>
      <c r="KE155" s="68"/>
      <c r="KF155" s="67"/>
      <c r="KG155" s="67"/>
      <c r="KH155" s="67"/>
      <c r="KI155" s="66"/>
      <c r="KJ155" s="67"/>
      <c r="KK155" s="68"/>
      <c r="KL155" s="67"/>
      <c r="KM155" s="67"/>
      <c r="KN155" s="67"/>
      <c r="KO155" s="66"/>
      <c r="KP155" s="67"/>
      <c r="KQ155" s="68"/>
      <c r="KR155" s="67"/>
      <c r="KS155" s="67"/>
      <c r="KT155" s="67"/>
      <c r="KU155" s="66"/>
      <c r="KV155" s="67"/>
      <c r="KW155" s="68"/>
      <c r="KX155" s="67"/>
      <c r="KY155" s="67"/>
      <c r="KZ155" s="67"/>
      <c r="LA155" s="70"/>
      <c r="LB155" s="67"/>
      <c r="LC155" s="71"/>
      <c r="LD155" s="67"/>
      <c r="LE155" s="67"/>
      <c r="LF155" s="67"/>
      <c r="LG155" s="66"/>
      <c r="LH155" s="67"/>
      <c r="LI155" s="68"/>
      <c r="LJ155" s="66"/>
      <c r="LK155" s="67"/>
      <c r="LL155" s="68"/>
      <c r="LM155" s="66"/>
      <c r="LN155" s="67"/>
      <c r="LO155" s="68"/>
      <c r="LP155" s="66"/>
      <c r="LQ155" s="67"/>
      <c r="LR155" s="68"/>
      <c r="LS155" s="66"/>
      <c r="LT155" s="67"/>
      <c r="LU155" s="68"/>
      <c r="LV155" s="67"/>
      <c r="LW155" s="67"/>
      <c r="LX155" s="67"/>
      <c r="LY155" s="66"/>
      <c r="LZ155" s="67"/>
      <c r="MA155" s="68"/>
      <c r="MB155" s="66"/>
      <c r="MC155" s="67"/>
      <c r="MD155" s="68"/>
      <c r="ME155" s="67"/>
      <c r="MF155" s="67"/>
      <c r="MG155" s="67"/>
      <c r="MH155" s="66"/>
      <c r="MI155" s="67"/>
      <c r="MJ155" s="68"/>
      <c r="MK155" s="61"/>
      <c r="ML155" s="62"/>
      <c r="MM155" s="63"/>
      <c r="MN155" s="61"/>
      <c r="MO155" s="62"/>
      <c r="MP155" s="63"/>
      <c r="MQ155" s="66"/>
      <c r="MR155" s="67"/>
      <c r="MS155" s="68"/>
      <c r="MT155" s="67"/>
      <c r="MU155" s="67"/>
      <c r="MV155" s="67"/>
      <c r="MW155" s="61"/>
      <c r="MX155" s="62"/>
      <c r="MY155" s="63"/>
      <c r="MZ155" s="66"/>
      <c r="NA155" s="67"/>
      <c r="NB155" s="68"/>
      <c r="NC155" s="67"/>
      <c r="ND155" s="67"/>
      <c r="NE155" s="72"/>
      <c r="NG155" s="275"/>
      <c r="NH155" s="1"/>
      <c r="NI155" s="1"/>
      <c r="NJ155" s="1"/>
      <c r="NK155" s="1"/>
    </row>
    <row r="156" spans="5:375" s="6" customFormat="1" ht="9.9499999999999993" customHeight="1">
      <c r="F156" s="196">
        <f t="shared" ref="F156" si="423">NG156</f>
        <v>1.64E-3</v>
      </c>
      <c r="G156" s="197">
        <f>Q156-F156</f>
        <v>0</v>
      </c>
      <c r="H156" s="27">
        <v>1</v>
      </c>
      <c r="L156" s="339"/>
      <c r="M156" s="299" t="s">
        <v>17</v>
      </c>
      <c r="N156" s="313">
        <v>43826</v>
      </c>
      <c r="O156" s="305" t="s">
        <v>15</v>
      </c>
      <c r="P156" s="307">
        <v>342106</v>
      </c>
      <c r="Q156" s="236">
        <f>ROUND(P156/$P$256,5)</f>
        <v>1.64E-3</v>
      </c>
      <c r="R156" s="76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3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5"/>
      <c r="CA156" s="53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4"/>
      <c r="CP156" s="54"/>
      <c r="CQ156" s="54"/>
      <c r="CR156" s="54"/>
      <c r="CS156" s="54"/>
      <c r="CT156" s="54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3"/>
      <c r="DF156" s="54"/>
      <c r="DG156" s="54"/>
      <c r="DH156" s="54"/>
      <c r="DI156" s="54"/>
      <c r="DJ156" s="54"/>
      <c r="DK156" s="54"/>
      <c r="DL156" s="54"/>
      <c r="DM156" s="54"/>
      <c r="DN156" s="54"/>
      <c r="DO156" s="54"/>
      <c r="DP156" s="54"/>
      <c r="DQ156" s="54"/>
      <c r="DR156" s="54"/>
      <c r="DS156" s="54"/>
      <c r="DT156" s="54"/>
      <c r="DU156" s="54"/>
      <c r="DV156" s="54"/>
      <c r="DW156" s="54"/>
      <c r="DX156" s="54"/>
      <c r="DY156" s="54"/>
      <c r="DZ156" s="54"/>
      <c r="EA156" s="54"/>
      <c r="EB156" s="54"/>
      <c r="EC156" s="54"/>
      <c r="ED156" s="54"/>
      <c r="EE156" s="54"/>
      <c r="EF156" s="54"/>
      <c r="EG156" s="54"/>
      <c r="EH156" s="54"/>
      <c r="EI156" s="54"/>
      <c r="EJ156" s="54"/>
      <c r="EK156" s="54"/>
      <c r="EL156" s="54"/>
      <c r="EM156" s="54"/>
      <c r="EN156" s="54"/>
      <c r="EO156" s="54"/>
      <c r="EP156" s="54"/>
      <c r="EQ156" s="54"/>
      <c r="ER156" s="54"/>
      <c r="ES156" s="54"/>
      <c r="ET156" s="54"/>
      <c r="EU156" s="54"/>
      <c r="EV156" s="54"/>
      <c r="EW156" s="54"/>
      <c r="EX156" s="54"/>
      <c r="EY156" s="54"/>
      <c r="EZ156" s="54"/>
      <c r="FA156" s="54"/>
      <c r="FB156" s="54"/>
      <c r="FC156" s="54"/>
      <c r="FD156" s="54"/>
      <c r="FE156" s="54"/>
      <c r="FF156" s="54"/>
      <c r="FG156" s="54"/>
      <c r="FH156" s="54"/>
      <c r="FI156" s="54"/>
      <c r="FJ156" s="54"/>
      <c r="FK156" s="54"/>
      <c r="FL156" s="54"/>
      <c r="FM156" s="53"/>
      <c r="FN156" s="54"/>
      <c r="FO156" s="54"/>
      <c r="FP156" s="54"/>
      <c r="FQ156" s="54"/>
      <c r="FR156" s="54"/>
      <c r="FS156" s="54"/>
      <c r="FT156" s="54"/>
      <c r="FU156" s="54"/>
      <c r="FV156" s="54"/>
      <c r="FW156" s="54"/>
      <c r="FX156" s="54"/>
      <c r="FY156" s="54"/>
      <c r="FZ156" s="54"/>
      <c r="GA156" s="54"/>
      <c r="GB156" s="54"/>
      <c r="GC156" s="54"/>
      <c r="GD156" s="54"/>
      <c r="GE156" s="54"/>
      <c r="GF156" s="54"/>
      <c r="GG156" s="54"/>
      <c r="GH156" s="54"/>
      <c r="GI156" s="54"/>
      <c r="GJ156" s="54"/>
      <c r="GK156" s="54"/>
      <c r="GL156" s="54"/>
      <c r="GM156" s="54"/>
      <c r="GN156" s="54"/>
      <c r="GO156" s="54"/>
      <c r="GP156" s="54"/>
      <c r="GQ156" s="54"/>
      <c r="GR156" s="54"/>
      <c r="GS156" s="54"/>
      <c r="GT156" s="54"/>
      <c r="GU156" s="54"/>
      <c r="GV156" s="54"/>
      <c r="GW156" s="54"/>
      <c r="GX156" s="54"/>
      <c r="GY156" s="54"/>
      <c r="GZ156" s="54"/>
      <c r="HA156" s="54"/>
      <c r="HB156" s="54"/>
      <c r="HC156" s="54"/>
      <c r="HD156" s="54"/>
      <c r="HE156" s="54"/>
      <c r="HF156" s="54"/>
      <c r="HG156" s="54"/>
      <c r="HH156" s="54"/>
      <c r="HI156" s="54"/>
      <c r="HJ156" s="54"/>
      <c r="HK156" s="54"/>
      <c r="HL156" s="54"/>
      <c r="HM156" s="54"/>
      <c r="HN156" s="54"/>
      <c r="HO156" s="54"/>
      <c r="HP156" s="54"/>
      <c r="HQ156" s="54"/>
      <c r="HR156" s="54"/>
      <c r="HS156" s="54"/>
      <c r="HT156" s="54"/>
      <c r="HU156" s="53"/>
      <c r="HV156" s="54"/>
      <c r="HW156" s="54"/>
      <c r="HX156" s="54"/>
      <c r="HY156" s="54"/>
      <c r="HZ156" s="54"/>
      <c r="IA156" s="54"/>
      <c r="IB156" s="54"/>
      <c r="IC156" s="54"/>
      <c r="ID156" s="54"/>
      <c r="IE156" s="54"/>
      <c r="IF156" s="54"/>
      <c r="IG156" s="54"/>
      <c r="IH156" s="54"/>
      <c r="II156" s="54"/>
      <c r="IJ156" s="54"/>
      <c r="IK156" s="54"/>
      <c r="IL156" s="54"/>
      <c r="IM156" s="54"/>
      <c r="IN156" s="54"/>
      <c r="IO156" s="54"/>
      <c r="IP156" s="54"/>
      <c r="IQ156" s="54"/>
      <c r="IR156" s="54"/>
      <c r="IS156" s="54"/>
      <c r="IT156" s="54"/>
      <c r="IU156" s="54"/>
      <c r="IV156" s="54"/>
      <c r="IW156" s="54"/>
      <c r="IX156" s="54"/>
      <c r="IY156" s="53"/>
      <c r="IZ156" s="54"/>
      <c r="JA156" s="54"/>
      <c r="JB156" s="54"/>
      <c r="JC156" s="54"/>
      <c r="JD156" s="54"/>
      <c r="JE156" s="54"/>
      <c r="JF156" s="54"/>
      <c r="JG156" s="54"/>
      <c r="JH156" s="54"/>
      <c r="JI156" s="54"/>
      <c r="JJ156" s="54"/>
      <c r="JK156" s="54"/>
      <c r="JL156" s="54"/>
      <c r="JM156" s="54"/>
      <c r="JN156" s="54"/>
      <c r="JO156" s="54"/>
      <c r="JP156" s="54"/>
      <c r="JQ156" s="54"/>
      <c r="JR156" s="54"/>
      <c r="JS156" s="54"/>
      <c r="JT156" s="54"/>
      <c r="JU156" s="54"/>
      <c r="JV156" s="54"/>
      <c r="JW156" s="54"/>
      <c r="JX156" s="54"/>
      <c r="JY156" s="54"/>
      <c r="JZ156" s="54"/>
      <c r="KA156" s="54"/>
      <c r="KB156" s="54"/>
      <c r="KC156" s="53"/>
      <c r="KD156" s="54"/>
      <c r="KE156" s="55"/>
      <c r="KF156" s="54"/>
      <c r="KG156" s="54"/>
      <c r="KH156" s="54"/>
      <c r="KI156" s="53"/>
      <c r="KJ156" s="54"/>
      <c r="KK156" s="55"/>
      <c r="KL156" s="54"/>
      <c r="KM156" s="54"/>
      <c r="KN156" s="54"/>
      <c r="KO156" s="53"/>
      <c r="KP156" s="54"/>
      <c r="KQ156" s="55"/>
      <c r="KR156" s="54"/>
      <c r="KS156" s="54"/>
      <c r="KT156" s="54"/>
      <c r="KU156" s="53"/>
      <c r="KV156" s="54"/>
      <c r="KW156" s="55"/>
      <c r="KX156" s="54"/>
      <c r="KY156" s="54"/>
      <c r="KZ156" s="54"/>
      <c r="LA156" s="57"/>
      <c r="LB156" s="54"/>
      <c r="LC156" s="58"/>
      <c r="LD156" s="54"/>
      <c r="LE156" s="54"/>
      <c r="LF156" s="54"/>
      <c r="LG156" s="53"/>
      <c r="LH156" s="54"/>
      <c r="LI156" s="55"/>
      <c r="LJ156" s="53"/>
      <c r="LK156" s="54"/>
      <c r="LL156" s="55"/>
      <c r="LM156" s="53"/>
      <c r="LN156" s="54"/>
      <c r="LO156" s="55"/>
      <c r="LP156" s="53"/>
      <c r="LQ156" s="54"/>
      <c r="LR156" s="55"/>
      <c r="LS156" s="53"/>
      <c r="LT156" s="54"/>
      <c r="LU156" s="55"/>
      <c r="LV156" s="212"/>
      <c r="LW156" s="212"/>
      <c r="LX156" s="212"/>
      <c r="LY156" s="212"/>
      <c r="LZ156" s="212"/>
      <c r="MA156" s="212"/>
      <c r="MB156" s="53"/>
      <c r="MC156" s="54"/>
      <c r="MD156" s="55"/>
      <c r="ME156" s="212">
        <v>2.3000000000000001E-4</v>
      </c>
      <c r="MF156" s="212"/>
      <c r="MG156" s="212"/>
      <c r="MH156" s="212">
        <v>3.3E-4</v>
      </c>
      <c r="MI156" s="212"/>
      <c r="MJ156" s="212"/>
      <c r="MK156" s="212">
        <v>3.3E-4</v>
      </c>
      <c r="ML156" s="212"/>
      <c r="MM156" s="212"/>
      <c r="MN156" s="212">
        <v>3.8999999999999999E-4</v>
      </c>
      <c r="MO156" s="212"/>
      <c r="MP156" s="212"/>
      <c r="MQ156" s="212">
        <v>3.6000000000000002E-4</v>
      </c>
      <c r="MR156" s="212"/>
      <c r="MS156" s="212"/>
      <c r="MT156" s="54"/>
      <c r="MU156" s="54"/>
      <c r="MV156" s="54"/>
      <c r="MW156" s="53"/>
      <c r="MX156" s="54"/>
      <c r="MY156" s="55"/>
      <c r="MZ156" s="53"/>
      <c r="NA156" s="54"/>
      <c r="NB156" s="55"/>
      <c r="NC156" s="54"/>
      <c r="ND156" s="54"/>
      <c r="NE156" s="59"/>
      <c r="NG156" s="275">
        <f>SUM(R156:NE156)</f>
        <v>1.64E-3</v>
      </c>
      <c r="NH156" s="1"/>
      <c r="NI156" s="1"/>
      <c r="NJ156" s="1"/>
      <c r="NK156" s="1"/>
    </row>
    <row r="157" spans="5:375" s="6" customFormat="1" ht="6.95" customHeight="1">
      <c r="F157" s="196"/>
      <c r="G157" s="197"/>
      <c r="H157" s="52">
        <v>2</v>
      </c>
      <c r="L157" s="340"/>
      <c r="M157" s="294"/>
      <c r="N157" s="314"/>
      <c r="O157" s="306"/>
      <c r="P157" s="308"/>
      <c r="Q157" s="237"/>
      <c r="R157" s="6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39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1"/>
      <c r="CA157" s="39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  <c r="DC157" s="40"/>
      <c r="DD157" s="40"/>
      <c r="DE157" s="39"/>
      <c r="DF157" s="40"/>
      <c r="DG157" s="40"/>
      <c r="DH157" s="40"/>
      <c r="DI157" s="40"/>
      <c r="DJ157" s="40"/>
      <c r="DK157" s="40"/>
      <c r="DL157" s="40"/>
      <c r="DM157" s="40"/>
      <c r="DN157" s="40"/>
      <c r="DO157" s="40"/>
      <c r="DP157" s="40"/>
      <c r="DQ157" s="40"/>
      <c r="DR157" s="40"/>
      <c r="DS157" s="40"/>
      <c r="DT157" s="40"/>
      <c r="DU157" s="40"/>
      <c r="DV157" s="40"/>
      <c r="DW157" s="40"/>
      <c r="DX157" s="40"/>
      <c r="DY157" s="40"/>
      <c r="DZ157" s="40"/>
      <c r="EA157" s="40"/>
      <c r="EB157" s="40"/>
      <c r="EC157" s="40"/>
      <c r="ED157" s="40"/>
      <c r="EE157" s="40"/>
      <c r="EF157" s="40"/>
      <c r="EG157" s="40"/>
      <c r="EH157" s="40"/>
      <c r="EI157" s="40"/>
      <c r="EJ157" s="40"/>
      <c r="EK157" s="40"/>
      <c r="EL157" s="40"/>
      <c r="EM157" s="40"/>
      <c r="EN157" s="40"/>
      <c r="EO157" s="40"/>
      <c r="EP157" s="40"/>
      <c r="EQ157" s="40"/>
      <c r="ER157" s="40"/>
      <c r="ES157" s="40"/>
      <c r="ET157" s="40"/>
      <c r="EU157" s="40"/>
      <c r="EV157" s="40"/>
      <c r="EW157" s="40"/>
      <c r="EX157" s="40"/>
      <c r="EY157" s="40"/>
      <c r="EZ157" s="40"/>
      <c r="FA157" s="40"/>
      <c r="FB157" s="40"/>
      <c r="FC157" s="40"/>
      <c r="FD157" s="40"/>
      <c r="FE157" s="40"/>
      <c r="FF157" s="40"/>
      <c r="FG157" s="40"/>
      <c r="FH157" s="40"/>
      <c r="FI157" s="40"/>
      <c r="FJ157" s="40"/>
      <c r="FK157" s="40"/>
      <c r="FL157" s="40"/>
      <c r="FM157" s="39"/>
      <c r="FN157" s="40"/>
      <c r="FO157" s="40"/>
      <c r="FP157" s="40"/>
      <c r="FQ157" s="40"/>
      <c r="FR157" s="40"/>
      <c r="FS157" s="40"/>
      <c r="FT157" s="40"/>
      <c r="FU157" s="40"/>
      <c r="FV157" s="40"/>
      <c r="FW157" s="40"/>
      <c r="FX157" s="40"/>
      <c r="FY157" s="40"/>
      <c r="FZ157" s="40"/>
      <c r="GA157" s="40"/>
      <c r="GB157" s="40"/>
      <c r="GC157" s="40"/>
      <c r="GD157" s="40"/>
      <c r="GE157" s="40"/>
      <c r="GF157" s="40"/>
      <c r="GG157" s="40"/>
      <c r="GH157" s="40"/>
      <c r="GI157" s="40"/>
      <c r="GJ157" s="40"/>
      <c r="GK157" s="40"/>
      <c r="GL157" s="40"/>
      <c r="GM157" s="40"/>
      <c r="GN157" s="40"/>
      <c r="GO157" s="40"/>
      <c r="GP157" s="40"/>
      <c r="GQ157" s="40"/>
      <c r="GR157" s="40"/>
      <c r="GS157" s="40"/>
      <c r="GT157" s="40"/>
      <c r="GU157" s="40"/>
      <c r="GV157" s="40"/>
      <c r="GW157" s="40"/>
      <c r="GX157" s="40"/>
      <c r="GY157" s="40"/>
      <c r="GZ157" s="40"/>
      <c r="HA157" s="40"/>
      <c r="HB157" s="40"/>
      <c r="HC157" s="40"/>
      <c r="HD157" s="40"/>
      <c r="HE157" s="40"/>
      <c r="HF157" s="40"/>
      <c r="HG157" s="40"/>
      <c r="HH157" s="40"/>
      <c r="HI157" s="40"/>
      <c r="HJ157" s="40"/>
      <c r="HK157" s="40"/>
      <c r="HL157" s="40"/>
      <c r="HM157" s="40"/>
      <c r="HN157" s="40"/>
      <c r="HO157" s="40"/>
      <c r="HP157" s="40"/>
      <c r="HQ157" s="40"/>
      <c r="HR157" s="40"/>
      <c r="HS157" s="40"/>
      <c r="HT157" s="40"/>
      <c r="HU157" s="39"/>
      <c r="HV157" s="40"/>
      <c r="HW157" s="40"/>
      <c r="HX157" s="40"/>
      <c r="HY157" s="40"/>
      <c r="HZ157" s="40"/>
      <c r="IA157" s="40"/>
      <c r="IB157" s="40"/>
      <c r="IC157" s="40"/>
      <c r="ID157" s="40"/>
      <c r="IE157" s="40"/>
      <c r="IF157" s="40"/>
      <c r="IG157" s="40"/>
      <c r="IH157" s="40"/>
      <c r="II157" s="40"/>
      <c r="IJ157" s="40"/>
      <c r="IK157" s="40"/>
      <c r="IL157" s="40"/>
      <c r="IM157" s="40"/>
      <c r="IN157" s="40"/>
      <c r="IO157" s="40"/>
      <c r="IP157" s="40"/>
      <c r="IQ157" s="40"/>
      <c r="IR157" s="40"/>
      <c r="IS157" s="40"/>
      <c r="IT157" s="40"/>
      <c r="IU157" s="40"/>
      <c r="IV157" s="40"/>
      <c r="IW157" s="40"/>
      <c r="IX157" s="40"/>
      <c r="IY157" s="39"/>
      <c r="IZ157" s="40"/>
      <c r="JA157" s="40"/>
      <c r="JB157" s="40"/>
      <c r="JC157" s="40"/>
      <c r="JD157" s="40"/>
      <c r="JE157" s="40"/>
      <c r="JF157" s="40"/>
      <c r="JG157" s="40"/>
      <c r="JH157" s="40"/>
      <c r="JI157" s="40"/>
      <c r="JJ157" s="40"/>
      <c r="JK157" s="40"/>
      <c r="JL157" s="40"/>
      <c r="JM157" s="40"/>
      <c r="JN157" s="40"/>
      <c r="JO157" s="40"/>
      <c r="JP157" s="40"/>
      <c r="JQ157" s="40"/>
      <c r="JR157" s="40"/>
      <c r="JS157" s="40"/>
      <c r="JT157" s="40"/>
      <c r="JU157" s="40"/>
      <c r="JV157" s="40"/>
      <c r="JW157" s="40"/>
      <c r="JX157" s="40"/>
      <c r="JY157" s="40"/>
      <c r="JZ157" s="40"/>
      <c r="KA157" s="40"/>
      <c r="KB157" s="40"/>
      <c r="KC157" s="39"/>
      <c r="KD157" s="40"/>
      <c r="KE157" s="41"/>
      <c r="KF157" s="40"/>
      <c r="KG157" s="40"/>
      <c r="KH157" s="40"/>
      <c r="KI157" s="39"/>
      <c r="KJ157" s="40"/>
      <c r="KK157" s="41"/>
      <c r="KL157" s="40"/>
      <c r="KM157" s="40"/>
      <c r="KN157" s="40"/>
      <c r="KO157" s="39"/>
      <c r="KP157" s="40"/>
      <c r="KQ157" s="41"/>
      <c r="KR157" s="40"/>
      <c r="KS157" s="40"/>
      <c r="KT157" s="40"/>
      <c r="KU157" s="39"/>
      <c r="KV157" s="40"/>
      <c r="KW157" s="41"/>
      <c r="KX157" s="40"/>
      <c r="KY157" s="40"/>
      <c r="KZ157" s="40"/>
      <c r="LA157" s="64"/>
      <c r="LB157" s="40"/>
      <c r="LC157" s="65"/>
      <c r="LD157" s="40"/>
      <c r="LE157" s="40"/>
      <c r="LF157" s="40"/>
      <c r="LG157" s="39"/>
      <c r="LH157" s="40"/>
      <c r="LI157" s="41"/>
      <c r="LJ157" s="39"/>
      <c r="LK157" s="40"/>
      <c r="LL157" s="41"/>
      <c r="LM157" s="39"/>
      <c r="LN157" s="40"/>
      <c r="LO157" s="41"/>
      <c r="LP157" s="39"/>
      <c r="LQ157" s="40"/>
      <c r="LR157" s="41"/>
      <c r="LS157" s="39"/>
      <c r="LT157" s="40"/>
      <c r="LU157" s="41"/>
      <c r="LV157" s="39"/>
      <c r="LW157" s="40"/>
      <c r="LX157" s="41"/>
      <c r="LY157" s="39"/>
      <c r="LZ157" s="40"/>
      <c r="MA157" s="41"/>
      <c r="MB157" s="39"/>
      <c r="MC157" s="40"/>
      <c r="MD157" s="41"/>
      <c r="ME157" s="61"/>
      <c r="MF157" s="62"/>
      <c r="MG157" s="63"/>
      <c r="MH157" s="61"/>
      <c r="MI157" s="62"/>
      <c r="MJ157" s="63"/>
      <c r="MK157" s="61"/>
      <c r="ML157" s="62"/>
      <c r="MM157" s="63"/>
      <c r="MN157" s="61"/>
      <c r="MO157" s="62"/>
      <c r="MP157" s="63"/>
      <c r="MQ157" s="61"/>
      <c r="MR157" s="62"/>
      <c r="MS157" s="63"/>
      <c r="MT157" s="40"/>
      <c r="MU157" s="40"/>
      <c r="MV157" s="40"/>
      <c r="MW157" s="39"/>
      <c r="MX157" s="40"/>
      <c r="MY157" s="41"/>
      <c r="MZ157" s="39"/>
      <c r="NA157" s="40"/>
      <c r="NB157" s="41"/>
      <c r="NC157" s="40"/>
      <c r="ND157" s="40"/>
      <c r="NE157" s="42"/>
      <c r="NG157" s="275"/>
      <c r="NH157" s="1"/>
      <c r="NI157" s="1"/>
      <c r="NJ157" s="1"/>
      <c r="NK157" s="1"/>
    </row>
    <row r="158" spans="5:375" s="6" customFormat="1" ht="9.9499999999999993" customHeight="1">
      <c r="F158" s="196">
        <f t="shared" ref="F158" si="424">NG158</f>
        <v>2.7709999999999999E-2</v>
      </c>
      <c r="G158" s="197">
        <f>Q158-F158</f>
        <v>0</v>
      </c>
      <c r="H158" s="27">
        <v>1</v>
      </c>
      <c r="L158" s="292"/>
      <c r="M158" s="300" t="s">
        <v>78</v>
      </c>
      <c r="N158" s="301">
        <v>1</v>
      </c>
      <c r="O158" s="310" t="s">
        <v>60</v>
      </c>
      <c r="P158" s="315">
        <v>5768958</v>
      </c>
      <c r="Q158" s="236">
        <f>ROUND(P158/$P$256,5)</f>
        <v>2.7709999999999999E-2</v>
      </c>
      <c r="R158" s="73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6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8"/>
      <c r="CA158" s="66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  <c r="DC158" s="67"/>
      <c r="DD158" s="67"/>
      <c r="DE158" s="66"/>
      <c r="DF158" s="67"/>
      <c r="DG158" s="67"/>
      <c r="DH158" s="67"/>
      <c r="DI158" s="67"/>
      <c r="DJ158" s="67"/>
      <c r="DK158" s="67"/>
      <c r="DL158" s="67"/>
      <c r="DM158" s="67"/>
      <c r="DN158" s="67"/>
      <c r="DO158" s="67"/>
      <c r="DP158" s="67"/>
      <c r="DQ158" s="67"/>
      <c r="DR158" s="67"/>
      <c r="DS158" s="67"/>
      <c r="DT158" s="67"/>
      <c r="DU158" s="67"/>
      <c r="DV158" s="67"/>
      <c r="DW158" s="67"/>
      <c r="DX158" s="67"/>
      <c r="DY158" s="67"/>
      <c r="DZ158" s="67"/>
      <c r="EA158" s="67"/>
      <c r="EB158" s="67"/>
      <c r="EC158" s="67"/>
      <c r="ED158" s="67"/>
      <c r="EE158" s="67"/>
      <c r="EF158" s="67"/>
      <c r="EG158" s="67"/>
      <c r="EH158" s="67"/>
      <c r="EI158" s="67"/>
      <c r="EJ158" s="67"/>
      <c r="EK158" s="67"/>
      <c r="EL158" s="67"/>
      <c r="EM158" s="67"/>
      <c r="EN158" s="67"/>
      <c r="EO158" s="67"/>
      <c r="EP158" s="67"/>
      <c r="EQ158" s="67"/>
      <c r="ER158" s="67"/>
      <c r="ES158" s="67"/>
      <c r="ET158" s="67"/>
      <c r="EU158" s="67"/>
      <c r="EV158" s="67"/>
      <c r="EW158" s="67"/>
      <c r="EX158" s="67"/>
      <c r="EY158" s="67"/>
      <c r="EZ158" s="67"/>
      <c r="FA158" s="67"/>
      <c r="FB158" s="67"/>
      <c r="FC158" s="67"/>
      <c r="FD158" s="67"/>
      <c r="FE158" s="67"/>
      <c r="FF158" s="67"/>
      <c r="FG158" s="67"/>
      <c r="FH158" s="67"/>
      <c r="FI158" s="67"/>
      <c r="FJ158" s="67"/>
      <c r="FK158" s="67"/>
      <c r="FL158" s="67"/>
      <c r="FM158" s="66"/>
      <c r="FN158" s="67"/>
      <c r="FO158" s="67"/>
      <c r="FP158" s="67"/>
      <c r="FQ158" s="67"/>
      <c r="FR158" s="67"/>
      <c r="FS158" s="67"/>
      <c r="FT158" s="67"/>
      <c r="FU158" s="67"/>
      <c r="FV158" s="67"/>
      <c r="FW158" s="67"/>
      <c r="FX158" s="67"/>
      <c r="FY158" s="67"/>
      <c r="FZ158" s="67"/>
      <c r="GA158" s="67"/>
      <c r="GB158" s="67"/>
      <c r="GC158" s="67"/>
      <c r="GD158" s="67"/>
      <c r="GE158" s="67"/>
      <c r="GF158" s="67"/>
      <c r="GG158" s="67"/>
      <c r="GH158" s="67"/>
      <c r="GI158" s="67"/>
      <c r="GJ158" s="67"/>
      <c r="GK158" s="67"/>
      <c r="GL158" s="67"/>
      <c r="GM158" s="67"/>
      <c r="GN158" s="67"/>
      <c r="GO158" s="67"/>
      <c r="GP158" s="67"/>
      <c r="GQ158" s="67"/>
      <c r="GR158" s="67"/>
      <c r="GS158" s="67"/>
      <c r="GT158" s="67"/>
      <c r="GU158" s="67"/>
      <c r="GV158" s="67"/>
      <c r="GW158" s="67"/>
      <c r="GX158" s="67"/>
      <c r="GY158" s="67"/>
      <c r="GZ158" s="67"/>
      <c r="HA158" s="67"/>
      <c r="HB158" s="67"/>
      <c r="HC158" s="67"/>
      <c r="HD158" s="67"/>
      <c r="HE158" s="67"/>
      <c r="HF158" s="67"/>
      <c r="HG158" s="67"/>
      <c r="HH158" s="67"/>
      <c r="HI158" s="67"/>
      <c r="HJ158" s="67"/>
      <c r="HK158" s="67"/>
      <c r="HL158" s="67"/>
      <c r="HM158" s="67"/>
      <c r="HN158" s="67"/>
      <c r="HO158" s="67"/>
      <c r="HP158" s="67"/>
      <c r="HQ158" s="67"/>
      <c r="HR158" s="67"/>
      <c r="HS158" s="67"/>
      <c r="HT158" s="67"/>
      <c r="HU158" s="66"/>
      <c r="HV158" s="67"/>
      <c r="HW158" s="67"/>
      <c r="HX158" s="67"/>
      <c r="HY158" s="67"/>
      <c r="HZ158" s="67"/>
      <c r="IA158" s="67"/>
      <c r="IB158" s="67"/>
      <c r="IC158" s="67"/>
      <c r="ID158" s="67"/>
      <c r="IE158" s="67"/>
      <c r="IF158" s="67"/>
      <c r="IG158" s="67"/>
      <c r="IH158" s="67"/>
      <c r="II158" s="67"/>
      <c r="IJ158" s="67"/>
      <c r="IK158" s="67"/>
      <c r="IL158" s="67"/>
      <c r="IM158" s="67"/>
      <c r="IN158" s="67"/>
      <c r="IO158" s="67"/>
      <c r="IP158" s="67"/>
      <c r="IQ158" s="67"/>
      <c r="IR158" s="67"/>
      <c r="IS158" s="67"/>
      <c r="IT158" s="67"/>
      <c r="IU158" s="67"/>
      <c r="IV158" s="67"/>
      <c r="IW158" s="67"/>
      <c r="IX158" s="67"/>
      <c r="IY158" s="66"/>
      <c r="IZ158" s="67"/>
      <c r="JA158" s="67"/>
      <c r="JB158" s="67"/>
      <c r="JC158" s="67"/>
      <c r="JD158" s="67"/>
      <c r="JE158" s="67"/>
      <c r="JF158" s="67"/>
      <c r="JG158" s="67"/>
      <c r="JH158" s="67"/>
      <c r="JI158" s="67"/>
      <c r="JJ158" s="67"/>
      <c r="JK158" s="67"/>
      <c r="JL158" s="67"/>
      <c r="JM158" s="67"/>
      <c r="JN158" s="67"/>
      <c r="JO158" s="67"/>
      <c r="JP158" s="67"/>
      <c r="JQ158" s="67"/>
      <c r="JR158" s="67"/>
      <c r="JS158" s="67"/>
      <c r="JT158" s="67"/>
      <c r="JU158" s="67"/>
      <c r="JV158" s="67"/>
      <c r="JW158" s="67"/>
      <c r="JX158" s="67"/>
      <c r="JY158" s="67"/>
      <c r="JZ158" s="67"/>
      <c r="KA158" s="67"/>
      <c r="KB158" s="67"/>
      <c r="KC158" s="66"/>
      <c r="KD158" s="67"/>
      <c r="KE158" s="68"/>
      <c r="KF158" s="67"/>
      <c r="KG158" s="67"/>
      <c r="KH158" s="67"/>
      <c r="KI158" s="66"/>
      <c r="KJ158" s="67"/>
      <c r="KK158" s="68"/>
      <c r="KL158" s="67"/>
      <c r="KM158" s="67"/>
      <c r="KN158" s="67"/>
      <c r="KO158" s="66"/>
      <c r="KP158" s="67"/>
      <c r="KQ158" s="68"/>
      <c r="KR158" s="67"/>
      <c r="KS158" s="67"/>
      <c r="KT158" s="67"/>
      <c r="KU158" s="66"/>
      <c r="KV158" s="67"/>
      <c r="KW158" s="68"/>
      <c r="KX158" s="67"/>
      <c r="KY158" s="67"/>
      <c r="KZ158" s="67"/>
      <c r="LA158" s="70"/>
      <c r="LB158" s="67"/>
      <c r="LC158" s="71"/>
      <c r="LD158" s="67"/>
      <c r="LE158" s="67"/>
      <c r="LF158" s="67"/>
      <c r="LG158" s="66"/>
      <c r="LH158" s="67"/>
      <c r="LI158" s="68"/>
      <c r="LJ158" s="66"/>
      <c r="LK158" s="67"/>
      <c r="LL158" s="68"/>
      <c r="LM158" s="214"/>
      <c r="LN158" s="214"/>
      <c r="LO158" s="214"/>
      <c r="LP158" s="216"/>
      <c r="LQ158" s="217"/>
      <c r="LR158" s="215"/>
      <c r="LS158" s="216"/>
      <c r="LT158" s="217"/>
      <c r="LU158" s="215"/>
      <c r="LV158" s="216"/>
      <c r="LW158" s="217"/>
      <c r="LX158" s="215"/>
      <c r="LY158" s="216"/>
      <c r="LZ158" s="217"/>
      <c r="MA158" s="215"/>
      <c r="MB158" s="216">
        <v>1.2600000000000001E-3</v>
      </c>
      <c r="MC158" s="217"/>
      <c r="MD158" s="215"/>
      <c r="ME158" s="216">
        <v>2.97E-3</v>
      </c>
      <c r="MF158" s="217"/>
      <c r="MG158" s="215"/>
      <c r="MH158" s="216">
        <v>2.97E-3</v>
      </c>
      <c r="MI158" s="217"/>
      <c r="MJ158" s="215"/>
      <c r="MK158" s="216">
        <v>2.97E-3</v>
      </c>
      <c r="ML158" s="217"/>
      <c r="MM158" s="215"/>
      <c r="MN158" s="216">
        <v>4.8700000000000002E-3</v>
      </c>
      <c r="MO158" s="217"/>
      <c r="MP158" s="215"/>
      <c r="MQ158" s="216">
        <v>4.8700000000000002E-3</v>
      </c>
      <c r="MR158" s="217"/>
      <c r="MS158" s="215"/>
      <c r="MT158" s="216">
        <v>5.3699999999999998E-3</v>
      </c>
      <c r="MU158" s="217"/>
      <c r="MV158" s="215"/>
      <c r="MW158" s="216">
        <v>2.4299999999999999E-3</v>
      </c>
      <c r="MX158" s="217"/>
      <c r="MY158" s="215"/>
      <c r="MZ158" s="214"/>
      <c r="NA158" s="214"/>
      <c r="NB158" s="214"/>
      <c r="NC158" s="67"/>
      <c r="ND158" s="67"/>
      <c r="NE158" s="72"/>
      <c r="NG158" s="275">
        <f>SUM(R158:NE158)</f>
        <v>2.7709999999999999E-2</v>
      </c>
      <c r="NH158" s="1"/>
      <c r="NI158" s="1"/>
      <c r="NJ158" s="1"/>
      <c r="NK158" s="1"/>
    </row>
    <row r="159" spans="5:375" s="6" customFormat="1" ht="6.95" customHeight="1" thickBot="1">
      <c r="F159" s="196"/>
      <c r="G159" s="197"/>
      <c r="H159" s="52">
        <v>2</v>
      </c>
      <c r="L159" s="292"/>
      <c r="M159" s="300"/>
      <c r="N159" s="301"/>
      <c r="O159" s="302"/>
      <c r="P159" s="315"/>
      <c r="Q159" s="237"/>
      <c r="R159" s="82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4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5"/>
      <c r="CA159" s="84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  <c r="CP159" s="83"/>
      <c r="CQ159" s="83"/>
      <c r="CR159" s="83"/>
      <c r="CS159" s="83"/>
      <c r="CT159" s="83"/>
      <c r="CU159" s="83"/>
      <c r="CV159" s="83"/>
      <c r="CW159" s="83"/>
      <c r="CX159" s="83"/>
      <c r="CY159" s="83"/>
      <c r="CZ159" s="83"/>
      <c r="DA159" s="83"/>
      <c r="DB159" s="83"/>
      <c r="DC159" s="83"/>
      <c r="DD159" s="83"/>
      <c r="DE159" s="84"/>
      <c r="DF159" s="83"/>
      <c r="DG159" s="83"/>
      <c r="DH159" s="83"/>
      <c r="DI159" s="83"/>
      <c r="DJ159" s="83"/>
      <c r="DK159" s="83"/>
      <c r="DL159" s="83"/>
      <c r="DM159" s="83"/>
      <c r="DN159" s="83"/>
      <c r="DO159" s="83"/>
      <c r="DP159" s="83"/>
      <c r="DQ159" s="83"/>
      <c r="DR159" s="83"/>
      <c r="DS159" s="83"/>
      <c r="DT159" s="83"/>
      <c r="DU159" s="83"/>
      <c r="DV159" s="83"/>
      <c r="DW159" s="83"/>
      <c r="DX159" s="83"/>
      <c r="DY159" s="83"/>
      <c r="DZ159" s="83"/>
      <c r="EA159" s="83"/>
      <c r="EB159" s="83"/>
      <c r="EC159" s="83"/>
      <c r="ED159" s="83"/>
      <c r="EE159" s="83"/>
      <c r="EF159" s="83"/>
      <c r="EG159" s="83"/>
      <c r="EH159" s="83"/>
      <c r="EI159" s="83"/>
      <c r="EJ159" s="83"/>
      <c r="EK159" s="83"/>
      <c r="EL159" s="83"/>
      <c r="EM159" s="83"/>
      <c r="EN159" s="83"/>
      <c r="EO159" s="83"/>
      <c r="EP159" s="83"/>
      <c r="EQ159" s="83"/>
      <c r="ER159" s="83"/>
      <c r="ES159" s="83"/>
      <c r="ET159" s="83"/>
      <c r="EU159" s="83"/>
      <c r="EV159" s="83"/>
      <c r="EW159" s="83"/>
      <c r="EX159" s="83"/>
      <c r="EY159" s="83"/>
      <c r="EZ159" s="83"/>
      <c r="FA159" s="83"/>
      <c r="FB159" s="83"/>
      <c r="FC159" s="83"/>
      <c r="FD159" s="83"/>
      <c r="FE159" s="83"/>
      <c r="FF159" s="83"/>
      <c r="FG159" s="83"/>
      <c r="FH159" s="83"/>
      <c r="FI159" s="83"/>
      <c r="FJ159" s="83"/>
      <c r="FK159" s="83"/>
      <c r="FL159" s="83"/>
      <c r="FM159" s="84"/>
      <c r="FN159" s="83"/>
      <c r="FO159" s="83"/>
      <c r="FP159" s="83"/>
      <c r="FQ159" s="83"/>
      <c r="FR159" s="83"/>
      <c r="FS159" s="83"/>
      <c r="FT159" s="83"/>
      <c r="FU159" s="83"/>
      <c r="FV159" s="83"/>
      <c r="FW159" s="83"/>
      <c r="FX159" s="83"/>
      <c r="FY159" s="83"/>
      <c r="FZ159" s="83"/>
      <c r="GA159" s="83"/>
      <c r="GB159" s="83"/>
      <c r="GC159" s="83"/>
      <c r="GD159" s="83"/>
      <c r="GE159" s="83"/>
      <c r="GF159" s="83"/>
      <c r="GG159" s="83"/>
      <c r="GH159" s="83"/>
      <c r="GI159" s="83"/>
      <c r="GJ159" s="83"/>
      <c r="GK159" s="83"/>
      <c r="GL159" s="83"/>
      <c r="GM159" s="83"/>
      <c r="GN159" s="83"/>
      <c r="GO159" s="83"/>
      <c r="GP159" s="83"/>
      <c r="GQ159" s="83"/>
      <c r="GR159" s="83"/>
      <c r="GS159" s="83"/>
      <c r="GT159" s="83"/>
      <c r="GU159" s="83"/>
      <c r="GV159" s="83"/>
      <c r="GW159" s="83"/>
      <c r="GX159" s="83"/>
      <c r="GY159" s="83"/>
      <c r="GZ159" s="83"/>
      <c r="HA159" s="83"/>
      <c r="HB159" s="83"/>
      <c r="HC159" s="83"/>
      <c r="HD159" s="83"/>
      <c r="HE159" s="83"/>
      <c r="HF159" s="83"/>
      <c r="HG159" s="83"/>
      <c r="HH159" s="83"/>
      <c r="HI159" s="83"/>
      <c r="HJ159" s="83"/>
      <c r="HK159" s="83"/>
      <c r="HL159" s="83"/>
      <c r="HM159" s="83"/>
      <c r="HN159" s="83"/>
      <c r="HO159" s="83"/>
      <c r="HP159" s="83"/>
      <c r="HQ159" s="83"/>
      <c r="HR159" s="83"/>
      <c r="HS159" s="83"/>
      <c r="HT159" s="83"/>
      <c r="HU159" s="84"/>
      <c r="HV159" s="83"/>
      <c r="HW159" s="83"/>
      <c r="HX159" s="83"/>
      <c r="HY159" s="83"/>
      <c r="HZ159" s="83"/>
      <c r="IA159" s="83"/>
      <c r="IB159" s="83"/>
      <c r="IC159" s="83"/>
      <c r="ID159" s="83"/>
      <c r="IE159" s="83"/>
      <c r="IF159" s="83"/>
      <c r="IG159" s="83"/>
      <c r="IH159" s="83"/>
      <c r="II159" s="83"/>
      <c r="IJ159" s="83"/>
      <c r="IK159" s="83"/>
      <c r="IL159" s="83"/>
      <c r="IM159" s="83"/>
      <c r="IN159" s="83"/>
      <c r="IO159" s="83"/>
      <c r="IP159" s="83"/>
      <c r="IQ159" s="83"/>
      <c r="IR159" s="83"/>
      <c r="IS159" s="83"/>
      <c r="IT159" s="83"/>
      <c r="IU159" s="83"/>
      <c r="IV159" s="83"/>
      <c r="IW159" s="83"/>
      <c r="IX159" s="83"/>
      <c r="IY159" s="84"/>
      <c r="IZ159" s="83"/>
      <c r="JA159" s="83"/>
      <c r="JB159" s="83"/>
      <c r="JC159" s="83"/>
      <c r="JD159" s="83"/>
      <c r="JE159" s="83"/>
      <c r="JF159" s="83"/>
      <c r="JG159" s="83"/>
      <c r="JH159" s="83"/>
      <c r="JI159" s="83"/>
      <c r="JJ159" s="83"/>
      <c r="JK159" s="83"/>
      <c r="JL159" s="83"/>
      <c r="JM159" s="83"/>
      <c r="JN159" s="83"/>
      <c r="JO159" s="83"/>
      <c r="JP159" s="83"/>
      <c r="JQ159" s="83"/>
      <c r="JR159" s="83"/>
      <c r="JS159" s="83"/>
      <c r="JT159" s="83"/>
      <c r="JU159" s="83"/>
      <c r="JV159" s="83"/>
      <c r="JW159" s="83"/>
      <c r="JX159" s="83"/>
      <c r="JY159" s="83"/>
      <c r="JZ159" s="83"/>
      <c r="KA159" s="83"/>
      <c r="KB159" s="83"/>
      <c r="KC159" s="84"/>
      <c r="KD159" s="83"/>
      <c r="KE159" s="85"/>
      <c r="KF159" s="83"/>
      <c r="KG159" s="83"/>
      <c r="KH159" s="83"/>
      <c r="KI159" s="84"/>
      <c r="KJ159" s="83"/>
      <c r="KK159" s="85"/>
      <c r="KL159" s="83"/>
      <c r="KM159" s="83"/>
      <c r="KN159" s="83"/>
      <c r="KO159" s="84"/>
      <c r="KP159" s="83"/>
      <c r="KQ159" s="85"/>
      <c r="KR159" s="83"/>
      <c r="KS159" s="83"/>
      <c r="KT159" s="83"/>
      <c r="KU159" s="84"/>
      <c r="KV159" s="83"/>
      <c r="KW159" s="85"/>
      <c r="KX159" s="83"/>
      <c r="KY159" s="83"/>
      <c r="KZ159" s="83"/>
      <c r="LA159" s="86"/>
      <c r="LB159" s="83"/>
      <c r="LC159" s="87"/>
      <c r="LD159" s="83"/>
      <c r="LE159" s="83"/>
      <c r="LF159" s="83"/>
      <c r="LG159" s="84"/>
      <c r="LH159" s="83"/>
      <c r="LI159" s="85"/>
      <c r="LJ159" s="84"/>
      <c r="LK159" s="83"/>
      <c r="LL159" s="85"/>
      <c r="LM159" s="84"/>
      <c r="LN159" s="83"/>
      <c r="LO159" s="85"/>
      <c r="LP159" s="84"/>
      <c r="LQ159" s="83"/>
      <c r="LR159" s="85"/>
      <c r="LS159" s="84"/>
      <c r="LT159" s="83"/>
      <c r="LU159" s="85"/>
      <c r="LV159" s="84"/>
      <c r="LW159" s="83"/>
      <c r="LX159" s="85"/>
      <c r="LY159" s="84"/>
      <c r="LZ159" s="83"/>
      <c r="MA159" s="85"/>
      <c r="MB159" s="61"/>
      <c r="MC159" s="62"/>
      <c r="MD159" s="63"/>
      <c r="ME159" s="61"/>
      <c r="MF159" s="62"/>
      <c r="MG159" s="63"/>
      <c r="MH159" s="61"/>
      <c r="MI159" s="62"/>
      <c r="MJ159" s="63"/>
      <c r="MK159" s="61"/>
      <c r="ML159" s="62"/>
      <c r="MM159" s="63"/>
      <c r="MN159" s="61"/>
      <c r="MO159" s="62"/>
      <c r="MP159" s="63"/>
      <c r="MQ159" s="61"/>
      <c r="MR159" s="62"/>
      <c r="MS159" s="63"/>
      <c r="MT159" s="61"/>
      <c r="MU159" s="62"/>
      <c r="MV159" s="63"/>
      <c r="MW159" s="61"/>
      <c r="MX159" s="62"/>
      <c r="MY159" s="63"/>
      <c r="MZ159" s="84"/>
      <c r="NA159" s="83"/>
      <c r="NB159" s="85"/>
      <c r="NC159" s="83"/>
      <c r="ND159" s="83"/>
      <c r="NE159" s="88"/>
      <c r="NG159" s="275"/>
      <c r="NH159" s="1"/>
      <c r="NI159" s="1"/>
      <c r="NJ159" s="1"/>
      <c r="NK159" s="1"/>
    </row>
    <row r="160" spans="5:375" s="6" customFormat="1" ht="9.9499999999999993" customHeight="1">
      <c r="F160" s="194">
        <f t="shared" ref="F160" si="425">NG160</f>
        <v>2.0791E-2</v>
      </c>
      <c r="G160" s="195">
        <f>Q160-F160</f>
        <v>4.2899999999999883E-4</v>
      </c>
      <c r="H160" s="27">
        <v>1</v>
      </c>
      <c r="L160" s="286" t="s">
        <v>27</v>
      </c>
      <c r="M160" s="287"/>
      <c r="N160" s="287"/>
      <c r="O160" s="288"/>
      <c r="P160" s="240">
        <f>SUM(P162:P177)</f>
        <v>4417192</v>
      </c>
      <c r="Q160" s="238">
        <f>ROUND(SUM(Q162:Q177),5)</f>
        <v>2.1219999999999999E-2</v>
      </c>
      <c r="R160" s="332">
        <f>ROUND(SUM(R162:R177),5)</f>
        <v>0</v>
      </c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8"/>
      <c r="AW160" s="176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  <c r="BO160" s="137"/>
      <c r="BP160" s="137"/>
      <c r="BQ160" s="137"/>
      <c r="BR160" s="137"/>
      <c r="BS160" s="137"/>
      <c r="BT160" s="137"/>
      <c r="BU160" s="137"/>
      <c r="BV160" s="137"/>
      <c r="BW160" s="137"/>
      <c r="BX160" s="137"/>
      <c r="BY160" s="137"/>
      <c r="BZ160" s="138"/>
      <c r="CA160" s="176"/>
      <c r="CB160" s="137"/>
      <c r="CC160" s="137"/>
      <c r="CD160" s="137"/>
      <c r="CE160" s="137"/>
      <c r="CF160" s="137"/>
      <c r="CG160" s="137"/>
      <c r="CH160" s="137"/>
      <c r="CI160" s="137"/>
      <c r="CJ160" s="137"/>
      <c r="CK160" s="137"/>
      <c r="CL160" s="137"/>
      <c r="CM160" s="137"/>
      <c r="CN160" s="137"/>
      <c r="CO160" s="137"/>
      <c r="CP160" s="137"/>
      <c r="CQ160" s="137"/>
      <c r="CR160" s="137"/>
      <c r="CS160" s="137"/>
      <c r="CT160" s="137"/>
      <c r="CU160" s="137"/>
      <c r="CV160" s="137"/>
      <c r="CW160" s="137"/>
      <c r="CX160" s="137"/>
      <c r="CY160" s="137"/>
      <c r="CZ160" s="137"/>
      <c r="DA160" s="137"/>
      <c r="DB160" s="137"/>
      <c r="DC160" s="137"/>
      <c r="DD160" s="137"/>
      <c r="DE160" s="176"/>
      <c r="DF160" s="137"/>
      <c r="DG160" s="137"/>
      <c r="DH160" s="137"/>
      <c r="DI160" s="137"/>
      <c r="DJ160" s="137"/>
      <c r="DK160" s="137"/>
      <c r="DL160" s="137"/>
      <c r="DM160" s="137"/>
      <c r="DN160" s="137"/>
      <c r="DO160" s="137"/>
      <c r="DP160" s="137"/>
      <c r="DQ160" s="137"/>
      <c r="DR160" s="137"/>
      <c r="DS160" s="137"/>
      <c r="DT160" s="137"/>
      <c r="DU160" s="137"/>
      <c r="DV160" s="137"/>
      <c r="DW160" s="137"/>
      <c r="DX160" s="137"/>
      <c r="DY160" s="137"/>
      <c r="DZ160" s="137"/>
      <c r="EA160" s="137"/>
      <c r="EB160" s="137"/>
      <c r="EC160" s="137"/>
      <c r="ED160" s="137"/>
      <c r="EE160" s="137"/>
      <c r="EF160" s="137"/>
      <c r="EG160" s="137"/>
      <c r="EH160" s="137"/>
      <c r="EI160" s="176"/>
      <c r="EJ160" s="137"/>
      <c r="EK160" s="137"/>
      <c r="EL160" s="137"/>
      <c r="EM160" s="137"/>
      <c r="EN160" s="137"/>
      <c r="EO160" s="137"/>
      <c r="EP160" s="137"/>
      <c r="EQ160" s="137"/>
      <c r="ER160" s="137"/>
      <c r="ES160" s="137"/>
      <c r="ET160" s="137"/>
      <c r="EU160" s="137"/>
      <c r="EV160" s="137"/>
      <c r="EW160" s="137"/>
      <c r="EX160" s="137"/>
      <c r="EY160" s="137"/>
      <c r="EZ160" s="137"/>
      <c r="FA160" s="137"/>
      <c r="FB160" s="137"/>
      <c r="FC160" s="137"/>
      <c r="FD160" s="137"/>
      <c r="FE160" s="137"/>
      <c r="FF160" s="137"/>
      <c r="FG160" s="137"/>
      <c r="FH160" s="137"/>
      <c r="FI160" s="137"/>
      <c r="FJ160" s="137"/>
      <c r="FK160" s="137"/>
      <c r="FL160" s="137"/>
      <c r="FM160" s="176"/>
      <c r="FN160" s="137"/>
      <c r="FO160" s="137"/>
      <c r="FP160" s="137"/>
      <c r="FQ160" s="137"/>
      <c r="FR160" s="137"/>
      <c r="FS160" s="137"/>
      <c r="FT160" s="137"/>
      <c r="FU160" s="137"/>
      <c r="FV160" s="137"/>
      <c r="FW160" s="137"/>
      <c r="FX160" s="137"/>
      <c r="FY160" s="137"/>
      <c r="FZ160" s="137"/>
      <c r="GA160" s="137"/>
      <c r="GB160" s="137"/>
      <c r="GC160" s="137"/>
      <c r="GD160" s="137"/>
      <c r="GE160" s="137"/>
      <c r="GF160" s="137"/>
      <c r="GG160" s="137"/>
      <c r="GH160" s="137"/>
      <c r="GI160" s="137"/>
      <c r="GJ160" s="137"/>
      <c r="GK160" s="137"/>
      <c r="GL160" s="137"/>
      <c r="GM160" s="137"/>
      <c r="GN160" s="137"/>
      <c r="GO160" s="137"/>
      <c r="GP160" s="137"/>
      <c r="GQ160" s="176"/>
      <c r="GR160" s="137"/>
      <c r="GS160" s="137"/>
      <c r="GT160" s="137"/>
      <c r="GU160" s="137"/>
      <c r="GV160" s="137"/>
      <c r="GW160" s="137"/>
      <c r="GX160" s="137"/>
      <c r="GY160" s="137"/>
      <c r="GZ160" s="137"/>
      <c r="HA160" s="137"/>
      <c r="HB160" s="137"/>
      <c r="HC160" s="137"/>
      <c r="HD160" s="137"/>
      <c r="HE160" s="137"/>
      <c r="HF160" s="137"/>
      <c r="HG160" s="137"/>
      <c r="HH160" s="137"/>
      <c r="HI160" s="137"/>
      <c r="HJ160" s="137"/>
      <c r="HK160" s="137"/>
      <c r="HL160" s="137"/>
      <c r="HM160" s="137"/>
      <c r="HN160" s="137"/>
      <c r="HO160" s="137"/>
      <c r="HP160" s="137"/>
      <c r="HQ160" s="137"/>
      <c r="HR160" s="137"/>
      <c r="HS160" s="137"/>
      <c r="HT160" s="137"/>
      <c r="HU160" s="176"/>
      <c r="HV160" s="137"/>
      <c r="HW160" s="137"/>
      <c r="HX160" s="137"/>
      <c r="HY160" s="137"/>
      <c r="HZ160" s="137"/>
      <c r="IA160" s="137"/>
      <c r="IB160" s="137"/>
      <c r="IC160" s="137"/>
      <c r="ID160" s="137"/>
      <c r="IE160" s="137"/>
      <c r="IF160" s="137"/>
      <c r="IG160" s="137"/>
      <c r="IH160" s="137"/>
      <c r="II160" s="137"/>
      <c r="IJ160" s="137"/>
      <c r="IK160" s="137"/>
      <c r="IL160" s="137"/>
      <c r="IM160" s="137"/>
      <c r="IN160" s="137"/>
      <c r="IO160" s="137"/>
      <c r="IP160" s="137"/>
      <c r="IQ160" s="137"/>
      <c r="IR160" s="137"/>
      <c r="IS160" s="137"/>
      <c r="IT160" s="137"/>
      <c r="IU160" s="137"/>
      <c r="IV160" s="137"/>
      <c r="IW160" s="137"/>
      <c r="IX160" s="137"/>
      <c r="IY160" s="176"/>
      <c r="IZ160" s="137"/>
      <c r="JA160" s="137"/>
      <c r="JB160" s="137"/>
      <c r="JC160" s="137"/>
      <c r="JD160" s="137"/>
      <c r="JE160" s="137"/>
      <c r="JF160" s="137"/>
      <c r="JG160" s="137"/>
      <c r="JH160" s="137"/>
      <c r="JI160" s="137"/>
      <c r="JJ160" s="137"/>
      <c r="JK160" s="137"/>
      <c r="JL160" s="137"/>
      <c r="JM160" s="137"/>
      <c r="JN160" s="137"/>
      <c r="JO160" s="137"/>
      <c r="JP160" s="137"/>
      <c r="JQ160" s="137"/>
      <c r="JR160" s="137"/>
      <c r="JS160" s="137"/>
      <c r="JT160" s="137"/>
      <c r="JU160" s="137"/>
      <c r="JV160" s="137"/>
      <c r="JW160" s="137"/>
      <c r="JX160" s="137"/>
      <c r="JY160" s="137"/>
      <c r="JZ160" s="137"/>
      <c r="KA160" s="137"/>
      <c r="KB160" s="137"/>
      <c r="KC160" s="205">
        <f>ROUND(SUM(KC162:KE177),5)</f>
        <v>4.0000000000000003E-5</v>
      </c>
      <c r="KD160" s="206"/>
      <c r="KE160" s="207"/>
      <c r="KF160" s="205">
        <f>ROUND(SUM(KF162:KH177),5)</f>
        <v>4.0000000000000003E-5</v>
      </c>
      <c r="KG160" s="206"/>
      <c r="KH160" s="207"/>
      <c r="KI160" s="205">
        <f>ROUND(SUM(KI162:KK177),5)</f>
        <v>4.0000000000000003E-5</v>
      </c>
      <c r="KJ160" s="206"/>
      <c r="KK160" s="207"/>
      <c r="KL160" s="205">
        <f>ROUND(SUM(KL162:KN177),5)</f>
        <v>4.0000000000000003E-5</v>
      </c>
      <c r="KM160" s="206"/>
      <c r="KN160" s="207"/>
      <c r="KO160" s="205">
        <f>ROUND(SUM(KO162:KQ177),5)</f>
        <v>4.0000000000000003E-5</v>
      </c>
      <c r="KP160" s="206"/>
      <c r="KQ160" s="207"/>
      <c r="KR160" s="205">
        <f>ROUND(SUM(KR162:KT177),5)</f>
        <v>4.0000000000000003E-5</v>
      </c>
      <c r="KS160" s="206"/>
      <c r="KT160" s="207"/>
      <c r="KU160" s="205">
        <f>ROUND(SUM(KU162:KW177),5)</f>
        <v>4.0000000000000003E-5</v>
      </c>
      <c r="KV160" s="206"/>
      <c r="KW160" s="207"/>
      <c r="KX160" s="205">
        <f>ROUND(SUM(KX162:KZ177),5)</f>
        <v>4.0000000000000003E-5</v>
      </c>
      <c r="KY160" s="206"/>
      <c r="KZ160" s="206"/>
      <c r="LA160" s="229">
        <f>ROUND(SUM(LA162:LC177),5)</f>
        <v>4.0000000000000003E-5</v>
      </c>
      <c r="LB160" s="206"/>
      <c r="LC160" s="230"/>
      <c r="LD160" s="206">
        <f>ROUND(SUM(LD162:LF177),5)</f>
        <v>4.0000000000000003E-5</v>
      </c>
      <c r="LE160" s="206"/>
      <c r="LF160" s="207"/>
      <c r="LG160" s="205">
        <f>ROUND(SUM(LG162:LI177),5)</f>
        <v>4.0000000000000003E-5</v>
      </c>
      <c r="LH160" s="206"/>
      <c r="LI160" s="207"/>
      <c r="LJ160" s="205">
        <f>ROUND(SUM(LJ162:LL177),5)</f>
        <v>4.0000000000000003E-5</v>
      </c>
      <c r="LK160" s="206"/>
      <c r="LL160" s="207"/>
      <c r="LM160" s="205">
        <f>ROUND(SUM(LM162:LO177),5)</f>
        <v>4.0000000000000003E-5</v>
      </c>
      <c r="LN160" s="206"/>
      <c r="LO160" s="207"/>
      <c r="LP160" s="205">
        <f>ROUND(SUM(LP162:LR177),5)</f>
        <v>4.0000000000000003E-5</v>
      </c>
      <c r="LQ160" s="206"/>
      <c r="LR160" s="207"/>
      <c r="LS160" s="205">
        <f>ROUND(SUM(LS162:LU177),5)</f>
        <v>4.0000000000000003E-5</v>
      </c>
      <c r="LT160" s="206"/>
      <c r="LU160" s="207"/>
      <c r="LV160" s="205">
        <f>ROUND(SUM(LV162:LX177),5)</f>
        <v>4.0000000000000003E-5</v>
      </c>
      <c r="LW160" s="206"/>
      <c r="LX160" s="207"/>
      <c r="LY160" s="205">
        <f>ROUND(SUM(LY162:MA177),5)</f>
        <v>4.0000000000000003E-5</v>
      </c>
      <c r="LZ160" s="206"/>
      <c r="MA160" s="207"/>
      <c r="MB160" s="205">
        <f>ROUND(SUM(MB162:MD177),5)</f>
        <v>4.0000000000000003E-5</v>
      </c>
      <c r="MC160" s="206"/>
      <c r="MD160" s="207"/>
      <c r="ME160" s="205">
        <f>ROUND(SUM(ME162:MG177),5)</f>
        <v>4.0000000000000003E-5</v>
      </c>
      <c r="MF160" s="206"/>
      <c r="MG160" s="207"/>
      <c r="MH160" s="205">
        <f>ROUND(SUM(MH162:MJ177),5)</f>
        <v>1.98E-3</v>
      </c>
      <c r="MI160" s="206"/>
      <c r="MJ160" s="207"/>
      <c r="MK160" s="205">
        <f>ROUND(SUM(MK162:MM177),5)</f>
        <v>3.29E-3</v>
      </c>
      <c r="ML160" s="206"/>
      <c r="MM160" s="207"/>
      <c r="MN160" s="205">
        <f>ROUND(SUM(MN162:MP177),5)</f>
        <v>3.4399999999999999E-3</v>
      </c>
      <c r="MO160" s="206"/>
      <c r="MP160" s="207"/>
      <c r="MQ160" s="205">
        <f>ROUND(SUM(MQ162:MS177),5)</f>
        <v>3.5799999999999998E-3</v>
      </c>
      <c r="MR160" s="206"/>
      <c r="MS160" s="207"/>
      <c r="MT160" s="205">
        <f>ROUND(SUM(MT162:MV177),5)</f>
        <v>3.48E-3</v>
      </c>
      <c r="MU160" s="206"/>
      <c r="MV160" s="207"/>
      <c r="MW160" s="205">
        <f>ROUND(SUM(MW162:MY177),5)</f>
        <v>2.8800000000000002E-3</v>
      </c>
      <c r="MX160" s="206"/>
      <c r="MY160" s="207"/>
      <c r="MZ160" s="205">
        <f>ROUND(SUM(MZ162:NB177),5)</f>
        <v>0</v>
      </c>
      <c r="NA160" s="206"/>
      <c r="NB160" s="207"/>
      <c r="NC160" s="205">
        <f>SUM(NC162:NE177)</f>
        <v>1.3809999999999998E-3</v>
      </c>
      <c r="ND160" s="206"/>
      <c r="NE160" s="223"/>
      <c r="NG160" s="198">
        <f>SUM(R160:NE160)</f>
        <v>2.0791E-2</v>
      </c>
      <c r="NH160" s="198">
        <f>SUM(NG162:NG177)</f>
        <v>2.1221000000000004E-2</v>
      </c>
      <c r="NI160" s="1"/>
      <c r="NJ160" s="1"/>
      <c r="NK160" s="1"/>
    </row>
    <row r="161" spans="4:375" s="6" customFormat="1" ht="9.9499999999999993" customHeight="1">
      <c r="F161" s="194"/>
      <c r="G161" s="195"/>
      <c r="H161" s="52">
        <v>2</v>
      </c>
      <c r="L161" s="289"/>
      <c r="M161" s="290"/>
      <c r="N161" s="290"/>
      <c r="O161" s="291"/>
      <c r="P161" s="241"/>
      <c r="Q161" s="239"/>
      <c r="R161" s="393"/>
      <c r="S161" s="139"/>
      <c r="T161" s="139"/>
      <c r="U161" s="139"/>
      <c r="V161" s="139"/>
      <c r="W161" s="139"/>
      <c r="X161" s="139"/>
      <c r="Y161" s="139"/>
      <c r="Z161" s="139"/>
      <c r="AA161" s="139"/>
      <c r="AB161" s="139"/>
      <c r="AC161" s="139"/>
      <c r="AD161" s="139"/>
      <c r="AE161" s="139"/>
      <c r="AF161" s="139"/>
      <c r="AG161" s="139"/>
      <c r="AH161" s="139"/>
      <c r="AI161" s="139"/>
      <c r="AJ161" s="139"/>
      <c r="AK161" s="139"/>
      <c r="AL161" s="139"/>
      <c r="AM161" s="139"/>
      <c r="AN161" s="139"/>
      <c r="AO161" s="139"/>
      <c r="AP161" s="139"/>
      <c r="AQ161" s="139"/>
      <c r="AR161" s="139"/>
      <c r="AS161" s="139"/>
      <c r="AT161" s="139"/>
      <c r="AU161" s="139"/>
      <c r="AV161" s="140"/>
      <c r="AW161" s="177"/>
      <c r="AX161" s="139"/>
      <c r="AY161" s="139"/>
      <c r="AZ161" s="139"/>
      <c r="BA161" s="139"/>
      <c r="BB161" s="139"/>
      <c r="BC161" s="139"/>
      <c r="BD161" s="139"/>
      <c r="BE161" s="139"/>
      <c r="BF161" s="139"/>
      <c r="BG161" s="139"/>
      <c r="BH161" s="139"/>
      <c r="BI161" s="139"/>
      <c r="BJ161" s="139"/>
      <c r="BK161" s="139"/>
      <c r="BL161" s="139"/>
      <c r="BM161" s="139"/>
      <c r="BN161" s="139"/>
      <c r="BO161" s="139"/>
      <c r="BP161" s="139"/>
      <c r="BQ161" s="139"/>
      <c r="BR161" s="139"/>
      <c r="BS161" s="139"/>
      <c r="BT161" s="139"/>
      <c r="BU161" s="139"/>
      <c r="BV161" s="139"/>
      <c r="BW161" s="139"/>
      <c r="BX161" s="139"/>
      <c r="BY161" s="139"/>
      <c r="BZ161" s="140"/>
      <c r="CA161" s="177"/>
      <c r="CB161" s="139"/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77"/>
      <c r="DF161" s="139"/>
      <c r="DG161" s="139"/>
      <c r="DH161" s="139"/>
      <c r="DI161" s="139"/>
      <c r="DJ161" s="139"/>
      <c r="DK161" s="139"/>
      <c r="DL161" s="139"/>
      <c r="DM161" s="139"/>
      <c r="DN161" s="139"/>
      <c r="DO161" s="139"/>
      <c r="DP161" s="139"/>
      <c r="DQ161" s="139"/>
      <c r="DR161" s="139"/>
      <c r="DS161" s="139"/>
      <c r="DT161" s="139"/>
      <c r="DU161" s="139"/>
      <c r="DV161" s="139"/>
      <c r="DW161" s="139"/>
      <c r="DX161" s="139"/>
      <c r="DY161" s="139"/>
      <c r="DZ161" s="139"/>
      <c r="EA161" s="139"/>
      <c r="EB161" s="139"/>
      <c r="EC161" s="139"/>
      <c r="ED161" s="139"/>
      <c r="EE161" s="139"/>
      <c r="EF161" s="139"/>
      <c r="EG161" s="139"/>
      <c r="EH161" s="139"/>
      <c r="EI161" s="177"/>
      <c r="EJ161" s="139"/>
      <c r="EK161" s="139"/>
      <c r="EL161" s="139"/>
      <c r="EM161" s="139"/>
      <c r="EN161" s="139"/>
      <c r="EO161" s="139"/>
      <c r="EP161" s="139"/>
      <c r="EQ161" s="139"/>
      <c r="ER161" s="139"/>
      <c r="ES161" s="139"/>
      <c r="ET161" s="139"/>
      <c r="EU161" s="139"/>
      <c r="EV161" s="139"/>
      <c r="EW161" s="139"/>
      <c r="EX161" s="139"/>
      <c r="EY161" s="139"/>
      <c r="EZ161" s="139"/>
      <c r="FA161" s="139"/>
      <c r="FB161" s="139"/>
      <c r="FC161" s="139"/>
      <c r="FD161" s="139"/>
      <c r="FE161" s="139"/>
      <c r="FF161" s="139"/>
      <c r="FG161" s="139"/>
      <c r="FH161" s="139"/>
      <c r="FI161" s="139"/>
      <c r="FJ161" s="139"/>
      <c r="FK161" s="139"/>
      <c r="FL161" s="139"/>
      <c r="FM161" s="177"/>
      <c r="FN161" s="139"/>
      <c r="FO161" s="139"/>
      <c r="FP161" s="139"/>
      <c r="FQ161" s="139"/>
      <c r="FR161" s="139"/>
      <c r="FS161" s="139"/>
      <c r="FT161" s="139"/>
      <c r="FU161" s="139"/>
      <c r="FV161" s="139"/>
      <c r="FW161" s="139"/>
      <c r="FX161" s="139"/>
      <c r="FY161" s="139"/>
      <c r="FZ161" s="139"/>
      <c r="GA161" s="139"/>
      <c r="GB161" s="139"/>
      <c r="GC161" s="139"/>
      <c r="GD161" s="139"/>
      <c r="GE161" s="139"/>
      <c r="GF161" s="139"/>
      <c r="GG161" s="139"/>
      <c r="GH161" s="139"/>
      <c r="GI161" s="139"/>
      <c r="GJ161" s="139"/>
      <c r="GK161" s="139"/>
      <c r="GL161" s="139"/>
      <c r="GM161" s="139"/>
      <c r="GN161" s="139"/>
      <c r="GO161" s="139"/>
      <c r="GP161" s="139"/>
      <c r="GQ161" s="177"/>
      <c r="GR161" s="139"/>
      <c r="GS161" s="139"/>
      <c r="GT161" s="139"/>
      <c r="GU161" s="139"/>
      <c r="GV161" s="139"/>
      <c r="GW161" s="139"/>
      <c r="GX161" s="139"/>
      <c r="GY161" s="139"/>
      <c r="GZ161" s="139"/>
      <c r="HA161" s="139"/>
      <c r="HB161" s="139"/>
      <c r="HC161" s="139"/>
      <c r="HD161" s="139"/>
      <c r="HE161" s="139"/>
      <c r="HF161" s="139"/>
      <c r="HG161" s="139"/>
      <c r="HH161" s="139"/>
      <c r="HI161" s="139"/>
      <c r="HJ161" s="139"/>
      <c r="HK161" s="139"/>
      <c r="HL161" s="139"/>
      <c r="HM161" s="139"/>
      <c r="HN161" s="139"/>
      <c r="HO161" s="139"/>
      <c r="HP161" s="139"/>
      <c r="HQ161" s="139"/>
      <c r="HR161" s="139"/>
      <c r="HS161" s="139"/>
      <c r="HT161" s="139"/>
      <c r="HU161" s="177"/>
      <c r="HV161" s="139"/>
      <c r="HW161" s="139"/>
      <c r="HX161" s="139"/>
      <c r="HY161" s="139"/>
      <c r="HZ161" s="139"/>
      <c r="IA161" s="139"/>
      <c r="IB161" s="139"/>
      <c r="IC161" s="139"/>
      <c r="ID161" s="139"/>
      <c r="IE161" s="139"/>
      <c r="IF161" s="139"/>
      <c r="IG161" s="139"/>
      <c r="IH161" s="139"/>
      <c r="II161" s="139"/>
      <c r="IJ161" s="139"/>
      <c r="IK161" s="139"/>
      <c r="IL161" s="139"/>
      <c r="IM161" s="139"/>
      <c r="IN161" s="139"/>
      <c r="IO161" s="139"/>
      <c r="IP161" s="139"/>
      <c r="IQ161" s="139"/>
      <c r="IR161" s="139"/>
      <c r="IS161" s="139"/>
      <c r="IT161" s="139"/>
      <c r="IU161" s="139"/>
      <c r="IV161" s="139"/>
      <c r="IW161" s="139"/>
      <c r="IX161" s="139"/>
      <c r="IY161" s="177"/>
      <c r="IZ161" s="139"/>
      <c r="JA161" s="139"/>
      <c r="JB161" s="139"/>
      <c r="JC161" s="139"/>
      <c r="JD161" s="139"/>
      <c r="JE161" s="139"/>
      <c r="JF161" s="139"/>
      <c r="JG161" s="139"/>
      <c r="JH161" s="139"/>
      <c r="JI161" s="139"/>
      <c r="JJ161" s="139"/>
      <c r="JK161" s="139"/>
      <c r="JL161" s="139"/>
      <c r="JM161" s="139"/>
      <c r="JN161" s="139"/>
      <c r="JO161" s="139"/>
      <c r="JP161" s="139"/>
      <c r="JQ161" s="139"/>
      <c r="JR161" s="139"/>
      <c r="JS161" s="139"/>
      <c r="JT161" s="139"/>
      <c r="JU161" s="139"/>
      <c r="JV161" s="139"/>
      <c r="JW161" s="139"/>
      <c r="JX161" s="139"/>
      <c r="JY161" s="139"/>
      <c r="JZ161" s="139"/>
      <c r="KA161" s="139"/>
      <c r="KB161" s="139"/>
      <c r="KC161" s="208"/>
      <c r="KD161" s="209"/>
      <c r="KE161" s="210"/>
      <c r="KF161" s="208"/>
      <c r="KG161" s="209"/>
      <c r="KH161" s="210"/>
      <c r="KI161" s="208"/>
      <c r="KJ161" s="209"/>
      <c r="KK161" s="210"/>
      <c r="KL161" s="208"/>
      <c r="KM161" s="209"/>
      <c r="KN161" s="210"/>
      <c r="KO161" s="208"/>
      <c r="KP161" s="209"/>
      <c r="KQ161" s="210"/>
      <c r="KR161" s="208"/>
      <c r="KS161" s="209"/>
      <c r="KT161" s="210"/>
      <c r="KU161" s="208"/>
      <c r="KV161" s="209"/>
      <c r="KW161" s="210"/>
      <c r="KX161" s="208"/>
      <c r="KY161" s="209"/>
      <c r="KZ161" s="209"/>
      <c r="LA161" s="231"/>
      <c r="LB161" s="209"/>
      <c r="LC161" s="232"/>
      <c r="LD161" s="209"/>
      <c r="LE161" s="209"/>
      <c r="LF161" s="210"/>
      <c r="LG161" s="208"/>
      <c r="LH161" s="209"/>
      <c r="LI161" s="210"/>
      <c r="LJ161" s="208"/>
      <c r="LK161" s="209"/>
      <c r="LL161" s="210"/>
      <c r="LM161" s="208"/>
      <c r="LN161" s="209"/>
      <c r="LO161" s="210"/>
      <c r="LP161" s="208"/>
      <c r="LQ161" s="209"/>
      <c r="LR161" s="210"/>
      <c r="LS161" s="208"/>
      <c r="LT161" s="209"/>
      <c r="LU161" s="210"/>
      <c r="LV161" s="208"/>
      <c r="LW161" s="209"/>
      <c r="LX161" s="210"/>
      <c r="LY161" s="208"/>
      <c r="LZ161" s="209"/>
      <c r="MA161" s="210"/>
      <c r="MB161" s="208"/>
      <c r="MC161" s="209"/>
      <c r="MD161" s="210"/>
      <c r="ME161" s="208"/>
      <c r="MF161" s="209"/>
      <c r="MG161" s="210"/>
      <c r="MH161" s="208"/>
      <c r="MI161" s="209"/>
      <c r="MJ161" s="210"/>
      <c r="MK161" s="208"/>
      <c r="ML161" s="209"/>
      <c r="MM161" s="210"/>
      <c r="MN161" s="208"/>
      <c r="MO161" s="209"/>
      <c r="MP161" s="210"/>
      <c r="MQ161" s="208"/>
      <c r="MR161" s="209"/>
      <c r="MS161" s="210"/>
      <c r="MT161" s="208"/>
      <c r="MU161" s="209"/>
      <c r="MV161" s="210"/>
      <c r="MW161" s="208"/>
      <c r="MX161" s="209"/>
      <c r="MY161" s="210"/>
      <c r="MZ161" s="208"/>
      <c r="NA161" s="209"/>
      <c r="NB161" s="210"/>
      <c r="NC161" s="208"/>
      <c r="ND161" s="209"/>
      <c r="NE161" s="224"/>
      <c r="NG161" s="198"/>
      <c r="NH161" s="198"/>
      <c r="NI161" s="1"/>
      <c r="NJ161" s="1"/>
      <c r="NK161" s="1"/>
    </row>
    <row r="162" spans="4:375" s="6" customFormat="1" ht="9.9499999999999993" customHeight="1">
      <c r="F162" s="196">
        <f t="shared" ref="F162" si="426">NG162</f>
        <v>4.4000000000000011E-3</v>
      </c>
      <c r="G162" s="197">
        <f>Q162-F162</f>
        <v>0</v>
      </c>
      <c r="H162" s="27">
        <v>1</v>
      </c>
      <c r="L162" s="339"/>
      <c r="M162" s="299" t="s">
        <v>146</v>
      </c>
      <c r="N162" s="313">
        <v>1</v>
      </c>
      <c r="O162" s="350" t="s">
        <v>1</v>
      </c>
      <c r="P162" s="307">
        <v>915406</v>
      </c>
      <c r="Q162" s="236">
        <f>ROUND(P162/$P$256,5)</f>
        <v>4.4000000000000003E-3</v>
      </c>
      <c r="R162" s="76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3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5"/>
      <c r="CA162" s="53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3"/>
      <c r="DF162" s="54"/>
      <c r="DG162" s="54"/>
      <c r="DH162" s="54"/>
      <c r="DI162" s="54"/>
      <c r="DJ162" s="54"/>
      <c r="DK162" s="54"/>
      <c r="DL162" s="54"/>
      <c r="DM162" s="54"/>
      <c r="DN162" s="54"/>
      <c r="DO162" s="54"/>
      <c r="DP162" s="54"/>
      <c r="DQ162" s="54"/>
      <c r="DR162" s="54"/>
      <c r="DS162" s="54"/>
      <c r="DT162" s="54"/>
      <c r="DU162" s="54"/>
      <c r="DV162" s="54"/>
      <c r="DW162" s="54"/>
      <c r="DX162" s="54"/>
      <c r="DY162" s="54"/>
      <c r="DZ162" s="54"/>
      <c r="EA162" s="54"/>
      <c r="EB162" s="54"/>
      <c r="EC162" s="54"/>
      <c r="ED162" s="54"/>
      <c r="EE162" s="54"/>
      <c r="EF162" s="54"/>
      <c r="EG162" s="54"/>
      <c r="EH162" s="54"/>
      <c r="EI162" s="54"/>
      <c r="EJ162" s="54"/>
      <c r="EK162" s="54"/>
      <c r="EL162" s="54"/>
      <c r="EM162" s="54"/>
      <c r="EN162" s="54"/>
      <c r="EO162" s="54"/>
      <c r="EP162" s="54"/>
      <c r="EQ162" s="54"/>
      <c r="ER162" s="54"/>
      <c r="ES162" s="54"/>
      <c r="ET162" s="54"/>
      <c r="EU162" s="54"/>
      <c r="EV162" s="54"/>
      <c r="EW162" s="54"/>
      <c r="EX162" s="54"/>
      <c r="EY162" s="54"/>
      <c r="EZ162" s="54"/>
      <c r="FA162" s="54"/>
      <c r="FB162" s="54"/>
      <c r="FC162" s="54"/>
      <c r="FD162" s="54"/>
      <c r="FE162" s="54"/>
      <c r="FF162" s="54"/>
      <c r="FG162" s="54"/>
      <c r="FH162" s="54"/>
      <c r="FI162" s="54"/>
      <c r="FJ162" s="54"/>
      <c r="FK162" s="54"/>
      <c r="FL162" s="54"/>
      <c r="FM162" s="53"/>
      <c r="FN162" s="54"/>
      <c r="FO162" s="54"/>
      <c r="FP162" s="54"/>
      <c r="FQ162" s="54"/>
      <c r="FR162" s="54"/>
      <c r="FS162" s="54"/>
      <c r="FT162" s="54"/>
      <c r="FU162" s="54"/>
      <c r="FV162" s="54"/>
      <c r="FW162" s="54"/>
      <c r="FX162" s="54"/>
      <c r="FY162" s="54"/>
      <c r="FZ162" s="54"/>
      <c r="GA162" s="54"/>
      <c r="GB162" s="54"/>
      <c r="GC162" s="54"/>
      <c r="GD162" s="54"/>
      <c r="GE162" s="54"/>
      <c r="GF162" s="54"/>
      <c r="GG162" s="54"/>
      <c r="GH162" s="54"/>
      <c r="GI162" s="54"/>
      <c r="GJ162" s="54"/>
      <c r="GK162" s="54"/>
      <c r="GL162" s="54"/>
      <c r="GM162" s="54"/>
      <c r="GN162" s="54"/>
      <c r="GO162" s="54"/>
      <c r="GP162" s="54"/>
      <c r="GQ162" s="54"/>
      <c r="GR162" s="54"/>
      <c r="GS162" s="54"/>
      <c r="GT162" s="54"/>
      <c r="GU162" s="54"/>
      <c r="GV162" s="54"/>
      <c r="GW162" s="54"/>
      <c r="GX162" s="54"/>
      <c r="GY162" s="54"/>
      <c r="GZ162" s="54"/>
      <c r="HA162" s="54"/>
      <c r="HB162" s="54"/>
      <c r="HC162" s="54"/>
      <c r="HD162" s="54"/>
      <c r="HE162" s="54"/>
      <c r="HF162" s="54"/>
      <c r="HG162" s="54"/>
      <c r="HH162" s="54"/>
      <c r="HI162" s="54"/>
      <c r="HJ162" s="54"/>
      <c r="HK162" s="54"/>
      <c r="HL162" s="54"/>
      <c r="HM162" s="54"/>
      <c r="HN162" s="54"/>
      <c r="HO162" s="54"/>
      <c r="HP162" s="54"/>
      <c r="HQ162" s="54"/>
      <c r="HR162" s="54"/>
      <c r="HS162" s="54"/>
      <c r="HT162" s="54"/>
      <c r="HU162" s="53"/>
      <c r="HV162" s="54"/>
      <c r="HW162" s="54"/>
      <c r="HX162" s="54"/>
      <c r="HY162" s="54"/>
      <c r="HZ162" s="54"/>
      <c r="IA162" s="54"/>
      <c r="IB162" s="54"/>
      <c r="IC162" s="54"/>
      <c r="ID162" s="54"/>
      <c r="IE162" s="54"/>
      <c r="IF162" s="54"/>
      <c r="IG162" s="54"/>
      <c r="IH162" s="54"/>
      <c r="II162" s="54"/>
      <c r="IJ162" s="54"/>
      <c r="IK162" s="54"/>
      <c r="IL162" s="54"/>
      <c r="IM162" s="54"/>
      <c r="IN162" s="54"/>
      <c r="IO162" s="54"/>
      <c r="IP162" s="54"/>
      <c r="IQ162" s="54"/>
      <c r="IR162" s="54"/>
      <c r="IS162" s="54"/>
      <c r="IT162" s="54"/>
      <c r="IU162" s="54"/>
      <c r="IV162" s="54"/>
      <c r="IW162" s="54"/>
      <c r="IX162" s="54"/>
      <c r="IY162" s="53"/>
      <c r="IZ162" s="54"/>
      <c r="JA162" s="54"/>
      <c r="JB162" s="54"/>
      <c r="JC162" s="54"/>
      <c r="JD162" s="54"/>
      <c r="JE162" s="54"/>
      <c r="JF162" s="54"/>
      <c r="JG162" s="54"/>
      <c r="JH162" s="54"/>
      <c r="JI162" s="54"/>
      <c r="JJ162" s="54"/>
      <c r="JK162" s="54"/>
      <c r="JL162" s="54"/>
      <c r="JM162" s="54"/>
      <c r="JN162" s="54"/>
      <c r="JO162" s="54"/>
      <c r="JP162" s="54"/>
      <c r="JQ162" s="54"/>
      <c r="JR162" s="54"/>
      <c r="JS162" s="54"/>
      <c r="JT162" s="54"/>
      <c r="JU162" s="54"/>
      <c r="JV162" s="54"/>
      <c r="JW162" s="54"/>
      <c r="JX162" s="54"/>
      <c r="JY162" s="54"/>
      <c r="JZ162" s="54"/>
      <c r="KA162" s="54"/>
      <c r="KB162" s="54"/>
      <c r="KC162" s="53"/>
      <c r="KD162" s="54"/>
      <c r="KE162" s="55"/>
      <c r="KF162" s="54"/>
      <c r="KG162" s="54"/>
      <c r="KH162" s="54"/>
      <c r="KI162" s="53"/>
      <c r="KJ162" s="54"/>
      <c r="KK162" s="55"/>
      <c r="KL162" s="54"/>
      <c r="KM162" s="54"/>
      <c r="KN162" s="54"/>
      <c r="KO162" s="53"/>
      <c r="KP162" s="54"/>
      <c r="KQ162" s="55"/>
      <c r="KR162" s="54"/>
      <c r="KS162" s="54"/>
      <c r="KT162" s="54"/>
      <c r="KU162" s="53"/>
      <c r="KV162" s="54"/>
      <c r="KW162" s="55"/>
      <c r="KX162" s="54"/>
      <c r="KY162" s="54"/>
      <c r="KZ162" s="54"/>
      <c r="LA162" s="57"/>
      <c r="LB162" s="54"/>
      <c r="LC162" s="58"/>
      <c r="LD162" s="54"/>
      <c r="LE162" s="54"/>
      <c r="LF162" s="54"/>
      <c r="LG162" s="53"/>
      <c r="LH162" s="54"/>
      <c r="LI162" s="55"/>
      <c r="LJ162" s="53"/>
      <c r="LK162" s="54"/>
      <c r="LL162" s="55"/>
      <c r="LM162" s="53"/>
      <c r="LN162" s="54"/>
      <c r="LO162" s="55"/>
      <c r="LP162" s="53"/>
      <c r="LQ162" s="54"/>
      <c r="LR162" s="55"/>
      <c r="LS162" s="53"/>
      <c r="LT162" s="54"/>
      <c r="LU162" s="55"/>
      <c r="LV162" s="54"/>
      <c r="LW162" s="54"/>
      <c r="LX162" s="54"/>
      <c r="LY162" s="53"/>
      <c r="LZ162" s="54"/>
      <c r="MA162" s="55"/>
      <c r="MB162" s="54"/>
      <c r="MC162" s="54"/>
      <c r="MD162" s="54"/>
      <c r="ME162" s="53"/>
      <c r="MF162" s="54"/>
      <c r="MG162" s="55"/>
      <c r="MH162" s="218"/>
      <c r="MI162" s="219"/>
      <c r="MJ162" s="220"/>
      <c r="MK162" s="218">
        <v>5.9000000000000003E-4</v>
      </c>
      <c r="ML162" s="219"/>
      <c r="MM162" s="220"/>
      <c r="MN162" s="218">
        <v>7.9000000000000001E-4</v>
      </c>
      <c r="MO162" s="219"/>
      <c r="MP162" s="220"/>
      <c r="MQ162" s="218">
        <v>1.1000000000000001E-3</v>
      </c>
      <c r="MR162" s="219"/>
      <c r="MS162" s="220"/>
      <c r="MT162" s="218">
        <v>1.1000000000000001E-3</v>
      </c>
      <c r="MU162" s="219"/>
      <c r="MV162" s="220"/>
      <c r="MW162" s="218">
        <v>8.1999999999999998E-4</v>
      </c>
      <c r="MX162" s="219"/>
      <c r="MY162" s="220"/>
      <c r="MZ162" s="212"/>
      <c r="NA162" s="212"/>
      <c r="NB162" s="212"/>
      <c r="NC162" s="212"/>
      <c r="ND162" s="212"/>
      <c r="NE162" s="276"/>
      <c r="NG162" s="275">
        <f>SUM(R162:NE162)</f>
        <v>4.4000000000000011E-3</v>
      </c>
      <c r="NH162" s="1"/>
      <c r="NI162" s="1"/>
      <c r="NJ162" s="1"/>
      <c r="NK162" s="1"/>
    </row>
    <row r="163" spans="4:375" s="6" customFormat="1" ht="6.95" customHeight="1">
      <c r="F163" s="196"/>
      <c r="G163" s="197"/>
      <c r="H163" s="52">
        <v>2</v>
      </c>
      <c r="L163" s="340"/>
      <c r="M163" s="294"/>
      <c r="N163" s="314"/>
      <c r="O163" s="306"/>
      <c r="P163" s="308"/>
      <c r="Q163" s="237"/>
      <c r="R163" s="6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39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1"/>
      <c r="CA163" s="39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  <c r="DC163" s="40"/>
      <c r="DD163" s="40"/>
      <c r="DE163" s="39"/>
      <c r="DF163" s="40"/>
      <c r="DG163" s="40"/>
      <c r="DH163" s="40"/>
      <c r="DI163" s="40"/>
      <c r="DJ163" s="40"/>
      <c r="DK163" s="40"/>
      <c r="DL163" s="40"/>
      <c r="DM163" s="40"/>
      <c r="DN163" s="40"/>
      <c r="DO163" s="40"/>
      <c r="DP163" s="40"/>
      <c r="DQ163" s="40"/>
      <c r="DR163" s="40"/>
      <c r="DS163" s="40"/>
      <c r="DT163" s="40"/>
      <c r="DU163" s="40"/>
      <c r="DV163" s="40"/>
      <c r="DW163" s="40"/>
      <c r="DX163" s="40"/>
      <c r="DY163" s="40"/>
      <c r="DZ163" s="40"/>
      <c r="EA163" s="40"/>
      <c r="EB163" s="40"/>
      <c r="EC163" s="40"/>
      <c r="ED163" s="40"/>
      <c r="EE163" s="40"/>
      <c r="EF163" s="40"/>
      <c r="EG163" s="40"/>
      <c r="EH163" s="40"/>
      <c r="EI163" s="40"/>
      <c r="EJ163" s="40"/>
      <c r="EK163" s="40"/>
      <c r="EL163" s="40"/>
      <c r="EM163" s="40"/>
      <c r="EN163" s="40"/>
      <c r="EO163" s="40"/>
      <c r="EP163" s="40"/>
      <c r="EQ163" s="40"/>
      <c r="ER163" s="40"/>
      <c r="ES163" s="40"/>
      <c r="ET163" s="40"/>
      <c r="EU163" s="40"/>
      <c r="EV163" s="40"/>
      <c r="EW163" s="40"/>
      <c r="EX163" s="40"/>
      <c r="EY163" s="40"/>
      <c r="EZ163" s="40"/>
      <c r="FA163" s="40"/>
      <c r="FB163" s="40"/>
      <c r="FC163" s="40"/>
      <c r="FD163" s="40"/>
      <c r="FE163" s="40"/>
      <c r="FF163" s="40"/>
      <c r="FG163" s="40"/>
      <c r="FH163" s="40"/>
      <c r="FI163" s="40"/>
      <c r="FJ163" s="40"/>
      <c r="FK163" s="40"/>
      <c r="FL163" s="40"/>
      <c r="FM163" s="39"/>
      <c r="FN163" s="40"/>
      <c r="FO163" s="40"/>
      <c r="FP163" s="40"/>
      <c r="FQ163" s="40"/>
      <c r="FR163" s="40"/>
      <c r="FS163" s="40"/>
      <c r="FT163" s="40"/>
      <c r="FU163" s="40"/>
      <c r="FV163" s="40"/>
      <c r="FW163" s="40"/>
      <c r="FX163" s="40"/>
      <c r="FY163" s="40"/>
      <c r="FZ163" s="40"/>
      <c r="GA163" s="40"/>
      <c r="GB163" s="40"/>
      <c r="GC163" s="40"/>
      <c r="GD163" s="40"/>
      <c r="GE163" s="40"/>
      <c r="GF163" s="40"/>
      <c r="GG163" s="40"/>
      <c r="GH163" s="40"/>
      <c r="GI163" s="40"/>
      <c r="GJ163" s="40"/>
      <c r="GK163" s="40"/>
      <c r="GL163" s="40"/>
      <c r="GM163" s="40"/>
      <c r="GN163" s="40"/>
      <c r="GO163" s="40"/>
      <c r="GP163" s="40"/>
      <c r="GQ163" s="40"/>
      <c r="GR163" s="40"/>
      <c r="GS163" s="40"/>
      <c r="GT163" s="40"/>
      <c r="GU163" s="40"/>
      <c r="GV163" s="40"/>
      <c r="GW163" s="40"/>
      <c r="GX163" s="40"/>
      <c r="GY163" s="40"/>
      <c r="GZ163" s="40"/>
      <c r="HA163" s="40"/>
      <c r="HB163" s="40"/>
      <c r="HC163" s="40"/>
      <c r="HD163" s="40"/>
      <c r="HE163" s="40"/>
      <c r="HF163" s="40"/>
      <c r="HG163" s="40"/>
      <c r="HH163" s="40"/>
      <c r="HI163" s="40"/>
      <c r="HJ163" s="40"/>
      <c r="HK163" s="40"/>
      <c r="HL163" s="40"/>
      <c r="HM163" s="40"/>
      <c r="HN163" s="40"/>
      <c r="HO163" s="40"/>
      <c r="HP163" s="40"/>
      <c r="HQ163" s="40"/>
      <c r="HR163" s="40"/>
      <c r="HS163" s="40"/>
      <c r="HT163" s="40"/>
      <c r="HU163" s="39"/>
      <c r="HV163" s="40"/>
      <c r="HW163" s="40"/>
      <c r="HX163" s="40"/>
      <c r="HY163" s="40"/>
      <c r="HZ163" s="40"/>
      <c r="IA163" s="40"/>
      <c r="IB163" s="40"/>
      <c r="IC163" s="40"/>
      <c r="ID163" s="40"/>
      <c r="IE163" s="40"/>
      <c r="IF163" s="40"/>
      <c r="IG163" s="40"/>
      <c r="IH163" s="40"/>
      <c r="II163" s="40"/>
      <c r="IJ163" s="40"/>
      <c r="IK163" s="40"/>
      <c r="IL163" s="40"/>
      <c r="IM163" s="40"/>
      <c r="IN163" s="40"/>
      <c r="IO163" s="40"/>
      <c r="IP163" s="40"/>
      <c r="IQ163" s="40"/>
      <c r="IR163" s="40"/>
      <c r="IS163" s="40"/>
      <c r="IT163" s="40"/>
      <c r="IU163" s="40"/>
      <c r="IV163" s="40"/>
      <c r="IW163" s="40"/>
      <c r="IX163" s="40"/>
      <c r="IY163" s="39"/>
      <c r="IZ163" s="40"/>
      <c r="JA163" s="40"/>
      <c r="JB163" s="40"/>
      <c r="JC163" s="40"/>
      <c r="JD163" s="40"/>
      <c r="JE163" s="40"/>
      <c r="JF163" s="40"/>
      <c r="JG163" s="40"/>
      <c r="JH163" s="40"/>
      <c r="JI163" s="40"/>
      <c r="JJ163" s="40"/>
      <c r="JK163" s="40"/>
      <c r="JL163" s="40"/>
      <c r="JM163" s="40"/>
      <c r="JN163" s="40"/>
      <c r="JO163" s="40"/>
      <c r="JP163" s="40"/>
      <c r="JQ163" s="40"/>
      <c r="JR163" s="40"/>
      <c r="JS163" s="40"/>
      <c r="JT163" s="40"/>
      <c r="JU163" s="40"/>
      <c r="JV163" s="40"/>
      <c r="JW163" s="40"/>
      <c r="JX163" s="40"/>
      <c r="JY163" s="40"/>
      <c r="JZ163" s="40"/>
      <c r="KA163" s="40"/>
      <c r="KB163" s="40"/>
      <c r="KC163" s="39"/>
      <c r="KD163" s="40"/>
      <c r="KE163" s="41"/>
      <c r="KF163" s="40"/>
      <c r="KG163" s="40"/>
      <c r="KH163" s="40"/>
      <c r="KI163" s="39"/>
      <c r="KJ163" s="40"/>
      <c r="KK163" s="41"/>
      <c r="KL163" s="40"/>
      <c r="KM163" s="40"/>
      <c r="KN163" s="40"/>
      <c r="KO163" s="39"/>
      <c r="KP163" s="40"/>
      <c r="KQ163" s="41"/>
      <c r="KR163" s="40"/>
      <c r="KS163" s="40"/>
      <c r="KT163" s="40"/>
      <c r="KU163" s="39"/>
      <c r="KV163" s="40"/>
      <c r="KW163" s="41"/>
      <c r="KX163" s="40"/>
      <c r="KY163" s="40"/>
      <c r="KZ163" s="40"/>
      <c r="LA163" s="64"/>
      <c r="LB163" s="40"/>
      <c r="LC163" s="65"/>
      <c r="LD163" s="40"/>
      <c r="LE163" s="40"/>
      <c r="LF163" s="40"/>
      <c r="LG163" s="39"/>
      <c r="LH163" s="40"/>
      <c r="LI163" s="41"/>
      <c r="LJ163" s="39"/>
      <c r="LK163" s="40"/>
      <c r="LL163" s="41"/>
      <c r="LM163" s="39"/>
      <c r="LN163" s="40"/>
      <c r="LO163" s="41"/>
      <c r="LP163" s="39"/>
      <c r="LQ163" s="40"/>
      <c r="LR163" s="41"/>
      <c r="LS163" s="39"/>
      <c r="LT163" s="40"/>
      <c r="LU163" s="41"/>
      <c r="LV163" s="40"/>
      <c r="LW163" s="40"/>
      <c r="LX163" s="40"/>
      <c r="LY163" s="39"/>
      <c r="LZ163" s="40"/>
      <c r="MA163" s="41"/>
      <c r="MB163" s="40"/>
      <c r="MC163" s="40"/>
      <c r="MD163" s="40"/>
      <c r="ME163" s="39"/>
      <c r="MF163" s="40"/>
      <c r="MG163" s="41"/>
      <c r="MH163" s="39"/>
      <c r="MI163" s="40"/>
      <c r="MJ163" s="41"/>
      <c r="MK163" s="61"/>
      <c r="ML163" s="62"/>
      <c r="MM163" s="63"/>
      <c r="MN163" s="61"/>
      <c r="MO163" s="62"/>
      <c r="MP163" s="63"/>
      <c r="MQ163" s="61"/>
      <c r="MR163" s="62"/>
      <c r="MS163" s="63"/>
      <c r="MT163" s="61"/>
      <c r="MU163" s="62"/>
      <c r="MV163" s="63"/>
      <c r="MW163" s="61"/>
      <c r="MX163" s="62"/>
      <c r="MY163" s="63"/>
      <c r="MZ163" s="39"/>
      <c r="NA163" s="40"/>
      <c r="NB163" s="41"/>
      <c r="NC163" s="39"/>
      <c r="ND163" s="40"/>
      <c r="NE163" s="42" t="s">
        <v>259</v>
      </c>
      <c r="NG163" s="275"/>
      <c r="NH163" s="1"/>
      <c r="NI163" s="1"/>
      <c r="NJ163" s="1"/>
      <c r="NK163" s="1"/>
    </row>
    <row r="164" spans="4:375" s="6" customFormat="1" ht="9.9499999999999993" customHeight="1">
      <c r="F164" s="196">
        <f t="shared" ref="F164" si="427">NG164</f>
        <v>1.2500000000000001E-2</v>
      </c>
      <c r="G164" s="197">
        <f>Q164-F164</f>
        <v>0</v>
      </c>
      <c r="H164" s="27">
        <v>1</v>
      </c>
      <c r="L164" s="292"/>
      <c r="M164" s="355" t="s">
        <v>147</v>
      </c>
      <c r="N164" s="301">
        <v>1</v>
      </c>
      <c r="O164" s="309" t="s">
        <v>1</v>
      </c>
      <c r="P164" s="315">
        <v>2601595</v>
      </c>
      <c r="Q164" s="236">
        <f>ROUND(P164/$P$256,5)</f>
        <v>1.2500000000000001E-2</v>
      </c>
      <c r="R164" s="73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6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8"/>
      <c r="CA164" s="66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67"/>
      <c r="CU164" s="67"/>
      <c r="CV164" s="67"/>
      <c r="CW164" s="67"/>
      <c r="CX164" s="67"/>
      <c r="CY164" s="67"/>
      <c r="CZ164" s="67"/>
      <c r="DA164" s="67"/>
      <c r="DB164" s="67"/>
      <c r="DC164" s="67"/>
      <c r="DD164" s="67"/>
      <c r="DE164" s="66"/>
      <c r="DF164" s="67"/>
      <c r="DG164" s="67"/>
      <c r="DH164" s="67"/>
      <c r="DI164" s="67"/>
      <c r="DJ164" s="67"/>
      <c r="DK164" s="67"/>
      <c r="DL164" s="67"/>
      <c r="DM164" s="67"/>
      <c r="DN164" s="67"/>
      <c r="DO164" s="67"/>
      <c r="DP164" s="67"/>
      <c r="DQ164" s="67"/>
      <c r="DR164" s="67"/>
      <c r="DS164" s="67"/>
      <c r="DT164" s="67"/>
      <c r="DU164" s="67"/>
      <c r="DV164" s="67"/>
      <c r="DW164" s="67"/>
      <c r="DX164" s="67"/>
      <c r="DY164" s="67"/>
      <c r="DZ164" s="67"/>
      <c r="EA164" s="67"/>
      <c r="EB164" s="67"/>
      <c r="EC164" s="67"/>
      <c r="ED164" s="67"/>
      <c r="EE164" s="67"/>
      <c r="EF164" s="67"/>
      <c r="EG164" s="67"/>
      <c r="EH164" s="67"/>
      <c r="EI164" s="67"/>
      <c r="EJ164" s="67"/>
      <c r="EK164" s="67"/>
      <c r="EL164" s="67"/>
      <c r="EM164" s="67"/>
      <c r="EN164" s="67"/>
      <c r="EO164" s="67"/>
      <c r="EP164" s="67"/>
      <c r="EQ164" s="67"/>
      <c r="ER164" s="67"/>
      <c r="ES164" s="67"/>
      <c r="ET164" s="67"/>
      <c r="EU164" s="67"/>
      <c r="EV164" s="67"/>
      <c r="EW164" s="67"/>
      <c r="EX164" s="67"/>
      <c r="EY164" s="67"/>
      <c r="EZ164" s="67"/>
      <c r="FA164" s="67"/>
      <c r="FB164" s="67"/>
      <c r="FC164" s="67"/>
      <c r="FD164" s="67"/>
      <c r="FE164" s="67"/>
      <c r="FF164" s="67"/>
      <c r="FG164" s="67"/>
      <c r="FH164" s="67"/>
      <c r="FI164" s="67"/>
      <c r="FJ164" s="67"/>
      <c r="FK164" s="67"/>
      <c r="FL164" s="67"/>
      <c r="FM164" s="66"/>
      <c r="FN164" s="67"/>
      <c r="FO164" s="67"/>
      <c r="FP164" s="67"/>
      <c r="FQ164" s="67"/>
      <c r="FR164" s="67"/>
      <c r="FS164" s="67"/>
      <c r="FT164" s="67"/>
      <c r="FU164" s="67"/>
      <c r="FV164" s="67"/>
      <c r="FW164" s="67"/>
      <c r="FX164" s="67"/>
      <c r="FY164" s="67"/>
      <c r="FZ164" s="67"/>
      <c r="GA164" s="67"/>
      <c r="GB164" s="67"/>
      <c r="GC164" s="67"/>
      <c r="GD164" s="67"/>
      <c r="GE164" s="67"/>
      <c r="GF164" s="67"/>
      <c r="GG164" s="67"/>
      <c r="GH164" s="67"/>
      <c r="GI164" s="67"/>
      <c r="GJ164" s="67"/>
      <c r="GK164" s="67"/>
      <c r="GL164" s="67"/>
      <c r="GM164" s="67"/>
      <c r="GN164" s="67"/>
      <c r="GO164" s="67"/>
      <c r="GP164" s="67"/>
      <c r="GQ164" s="67"/>
      <c r="GR164" s="67"/>
      <c r="GS164" s="67"/>
      <c r="GT164" s="67"/>
      <c r="GU164" s="67"/>
      <c r="GV164" s="67"/>
      <c r="GW164" s="67"/>
      <c r="GX164" s="67"/>
      <c r="GY164" s="67"/>
      <c r="GZ164" s="67"/>
      <c r="HA164" s="67"/>
      <c r="HB164" s="67"/>
      <c r="HC164" s="67"/>
      <c r="HD164" s="67"/>
      <c r="HE164" s="67"/>
      <c r="HF164" s="67"/>
      <c r="HG164" s="67"/>
      <c r="HH164" s="67"/>
      <c r="HI164" s="67"/>
      <c r="HJ164" s="67"/>
      <c r="HK164" s="67"/>
      <c r="HL164" s="67"/>
      <c r="HM164" s="67"/>
      <c r="HN164" s="67"/>
      <c r="HO164" s="67"/>
      <c r="HP164" s="67"/>
      <c r="HQ164" s="67"/>
      <c r="HR164" s="67"/>
      <c r="HS164" s="67"/>
      <c r="HT164" s="67"/>
      <c r="HU164" s="66"/>
      <c r="HV164" s="67"/>
      <c r="HW164" s="67"/>
      <c r="HX164" s="67"/>
      <c r="HY164" s="67"/>
      <c r="HZ164" s="67"/>
      <c r="IA164" s="67"/>
      <c r="IB164" s="67"/>
      <c r="IC164" s="67"/>
      <c r="ID164" s="67"/>
      <c r="IE164" s="67"/>
      <c r="IF164" s="67"/>
      <c r="IG164" s="67"/>
      <c r="IH164" s="67"/>
      <c r="II164" s="67"/>
      <c r="IJ164" s="67"/>
      <c r="IK164" s="67"/>
      <c r="IL164" s="67"/>
      <c r="IM164" s="67"/>
      <c r="IN164" s="67"/>
      <c r="IO164" s="67"/>
      <c r="IP164" s="67"/>
      <c r="IQ164" s="67"/>
      <c r="IR164" s="67"/>
      <c r="IS164" s="67"/>
      <c r="IT164" s="67"/>
      <c r="IU164" s="67"/>
      <c r="IV164" s="67"/>
      <c r="IW164" s="67"/>
      <c r="IX164" s="67"/>
      <c r="IY164" s="66"/>
      <c r="IZ164" s="67"/>
      <c r="JA164" s="67"/>
      <c r="JB164" s="67"/>
      <c r="JC164" s="67"/>
      <c r="JD164" s="67"/>
      <c r="JE164" s="67"/>
      <c r="JF164" s="67"/>
      <c r="JG164" s="67"/>
      <c r="JH164" s="67"/>
      <c r="JI164" s="67"/>
      <c r="JJ164" s="67"/>
      <c r="JK164" s="67"/>
      <c r="JL164" s="67"/>
      <c r="JM164" s="67"/>
      <c r="JN164" s="67"/>
      <c r="JO164" s="67"/>
      <c r="JP164" s="67"/>
      <c r="JQ164" s="67"/>
      <c r="JR164" s="67"/>
      <c r="JS164" s="67"/>
      <c r="JT164" s="67"/>
      <c r="JU164" s="67"/>
      <c r="JV164" s="67"/>
      <c r="JW164" s="67"/>
      <c r="JX164" s="67"/>
      <c r="JY164" s="67"/>
      <c r="JZ164" s="67"/>
      <c r="KA164" s="67"/>
      <c r="KB164" s="67"/>
      <c r="KC164" s="66"/>
      <c r="KD164" s="67"/>
      <c r="KE164" s="68"/>
      <c r="KF164" s="67"/>
      <c r="KG164" s="67"/>
      <c r="KH164" s="67"/>
      <c r="KI164" s="66"/>
      <c r="KJ164" s="67"/>
      <c r="KK164" s="68"/>
      <c r="KL164" s="67"/>
      <c r="KM164" s="67"/>
      <c r="KN164" s="67"/>
      <c r="KO164" s="66"/>
      <c r="KP164" s="67"/>
      <c r="KQ164" s="68"/>
      <c r="KR164" s="67"/>
      <c r="KS164" s="67"/>
      <c r="KT164" s="67"/>
      <c r="KU164" s="66"/>
      <c r="KV164" s="67"/>
      <c r="KW164" s="68"/>
      <c r="KX164" s="67"/>
      <c r="KY164" s="67"/>
      <c r="KZ164" s="67"/>
      <c r="LA164" s="70"/>
      <c r="LB164" s="67"/>
      <c r="LC164" s="71"/>
      <c r="LD164" s="67"/>
      <c r="LE164" s="67"/>
      <c r="LF164" s="67"/>
      <c r="LG164" s="66"/>
      <c r="LH164" s="67"/>
      <c r="LI164" s="68"/>
      <c r="LJ164" s="66"/>
      <c r="LK164" s="67"/>
      <c r="LL164" s="68"/>
      <c r="LM164" s="66"/>
      <c r="LN164" s="67"/>
      <c r="LO164" s="68"/>
      <c r="LP164" s="66"/>
      <c r="LQ164" s="67"/>
      <c r="LR164" s="68"/>
      <c r="LS164" s="66"/>
      <c r="LT164" s="67"/>
      <c r="LU164" s="68"/>
      <c r="LV164" s="214"/>
      <c r="LW164" s="214"/>
      <c r="LX164" s="214"/>
      <c r="LY164" s="214"/>
      <c r="LZ164" s="214"/>
      <c r="MA164" s="214"/>
      <c r="MB164" s="214"/>
      <c r="MC164" s="214"/>
      <c r="MD164" s="214"/>
      <c r="ME164" s="214"/>
      <c r="MF164" s="214"/>
      <c r="MG164" s="214"/>
      <c r="MH164" s="214">
        <v>1.72E-3</v>
      </c>
      <c r="MI164" s="214"/>
      <c r="MJ164" s="214"/>
      <c r="MK164" s="214">
        <v>2.2200000000000002E-3</v>
      </c>
      <c r="ML164" s="214"/>
      <c r="MM164" s="214"/>
      <c r="MN164" s="214">
        <v>2.2200000000000002E-3</v>
      </c>
      <c r="MO164" s="214"/>
      <c r="MP164" s="214"/>
      <c r="MQ164" s="214">
        <v>2.2200000000000002E-3</v>
      </c>
      <c r="MR164" s="214"/>
      <c r="MS164" s="214"/>
      <c r="MT164" s="214">
        <v>2.2200000000000002E-3</v>
      </c>
      <c r="MU164" s="214"/>
      <c r="MV164" s="214"/>
      <c r="MW164" s="214">
        <v>1.9E-3</v>
      </c>
      <c r="MX164" s="214"/>
      <c r="MY164" s="214"/>
      <c r="MZ164" s="66"/>
      <c r="NA164" s="67"/>
      <c r="NB164" s="68"/>
      <c r="NC164" s="67"/>
      <c r="ND164" s="67"/>
      <c r="NE164" s="72"/>
      <c r="NG164" s="275">
        <f>SUM(R164:NE164)</f>
        <v>1.2500000000000001E-2</v>
      </c>
      <c r="NH164" s="1"/>
      <c r="NI164" s="1"/>
      <c r="NJ164" s="1"/>
      <c r="NK164" s="1"/>
    </row>
    <row r="165" spans="4:375" s="6" customFormat="1" ht="6.95" customHeight="1">
      <c r="D165" s="6">
        <v>0</v>
      </c>
      <c r="F165" s="196"/>
      <c r="G165" s="197"/>
      <c r="H165" s="52">
        <v>2</v>
      </c>
      <c r="L165" s="292"/>
      <c r="M165" s="300"/>
      <c r="N165" s="301"/>
      <c r="O165" s="302"/>
      <c r="P165" s="315"/>
      <c r="Q165" s="237"/>
      <c r="R165" s="73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6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8"/>
      <c r="CA165" s="66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  <c r="DC165" s="67"/>
      <c r="DD165" s="67"/>
      <c r="DE165" s="66"/>
      <c r="DF165" s="67"/>
      <c r="DG165" s="67"/>
      <c r="DH165" s="67"/>
      <c r="DI165" s="67"/>
      <c r="DJ165" s="67"/>
      <c r="DK165" s="67"/>
      <c r="DL165" s="67"/>
      <c r="DM165" s="67"/>
      <c r="DN165" s="67"/>
      <c r="DO165" s="67"/>
      <c r="DP165" s="67"/>
      <c r="DQ165" s="67"/>
      <c r="DR165" s="67"/>
      <c r="DS165" s="67"/>
      <c r="DT165" s="67"/>
      <c r="DU165" s="67"/>
      <c r="DV165" s="67"/>
      <c r="DW165" s="67"/>
      <c r="DX165" s="67"/>
      <c r="DY165" s="67"/>
      <c r="DZ165" s="67"/>
      <c r="EA165" s="67"/>
      <c r="EB165" s="67"/>
      <c r="EC165" s="67"/>
      <c r="ED165" s="67"/>
      <c r="EE165" s="67"/>
      <c r="EF165" s="67"/>
      <c r="EG165" s="67"/>
      <c r="EH165" s="67"/>
      <c r="EI165" s="67"/>
      <c r="EJ165" s="67"/>
      <c r="EK165" s="67"/>
      <c r="EL165" s="67"/>
      <c r="EM165" s="67"/>
      <c r="EN165" s="67"/>
      <c r="EO165" s="67"/>
      <c r="EP165" s="67"/>
      <c r="EQ165" s="67"/>
      <c r="ER165" s="67"/>
      <c r="ES165" s="67"/>
      <c r="ET165" s="67"/>
      <c r="EU165" s="67"/>
      <c r="EV165" s="67"/>
      <c r="EW165" s="67"/>
      <c r="EX165" s="67"/>
      <c r="EY165" s="67"/>
      <c r="EZ165" s="67"/>
      <c r="FA165" s="67"/>
      <c r="FB165" s="67"/>
      <c r="FC165" s="67"/>
      <c r="FD165" s="67"/>
      <c r="FE165" s="67"/>
      <c r="FF165" s="67"/>
      <c r="FG165" s="67"/>
      <c r="FH165" s="67"/>
      <c r="FI165" s="67"/>
      <c r="FJ165" s="67"/>
      <c r="FK165" s="67"/>
      <c r="FL165" s="67"/>
      <c r="FM165" s="66"/>
      <c r="FN165" s="67"/>
      <c r="FO165" s="67"/>
      <c r="FP165" s="67"/>
      <c r="FQ165" s="67"/>
      <c r="FR165" s="67"/>
      <c r="FS165" s="67"/>
      <c r="FT165" s="67"/>
      <c r="FU165" s="67"/>
      <c r="FV165" s="67"/>
      <c r="FW165" s="67"/>
      <c r="FX165" s="67"/>
      <c r="FY165" s="67"/>
      <c r="FZ165" s="67"/>
      <c r="GA165" s="67"/>
      <c r="GB165" s="67"/>
      <c r="GC165" s="67"/>
      <c r="GD165" s="67"/>
      <c r="GE165" s="67"/>
      <c r="GF165" s="67"/>
      <c r="GG165" s="67"/>
      <c r="GH165" s="67"/>
      <c r="GI165" s="67"/>
      <c r="GJ165" s="67"/>
      <c r="GK165" s="67"/>
      <c r="GL165" s="67"/>
      <c r="GM165" s="67"/>
      <c r="GN165" s="67"/>
      <c r="GO165" s="67"/>
      <c r="GP165" s="67"/>
      <c r="GQ165" s="67"/>
      <c r="GR165" s="67"/>
      <c r="GS165" s="67"/>
      <c r="GT165" s="67"/>
      <c r="GU165" s="67"/>
      <c r="GV165" s="67"/>
      <c r="GW165" s="67"/>
      <c r="GX165" s="67"/>
      <c r="GY165" s="67"/>
      <c r="GZ165" s="67"/>
      <c r="HA165" s="67"/>
      <c r="HB165" s="67"/>
      <c r="HC165" s="67"/>
      <c r="HD165" s="67"/>
      <c r="HE165" s="67"/>
      <c r="HF165" s="67"/>
      <c r="HG165" s="67"/>
      <c r="HH165" s="67"/>
      <c r="HI165" s="67"/>
      <c r="HJ165" s="67"/>
      <c r="HK165" s="67"/>
      <c r="HL165" s="67"/>
      <c r="HM165" s="67"/>
      <c r="HN165" s="67"/>
      <c r="HO165" s="67"/>
      <c r="HP165" s="67"/>
      <c r="HQ165" s="67"/>
      <c r="HR165" s="67"/>
      <c r="HS165" s="67"/>
      <c r="HT165" s="67"/>
      <c r="HU165" s="66"/>
      <c r="HV165" s="67"/>
      <c r="HW165" s="67"/>
      <c r="HX165" s="67"/>
      <c r="HY165" s="67"/>
      <c r="HZ165" s="67"/>
      <c r="IA165" s="67"/>
      <c r="IB165" s="67"/>
      <c r="IC165" s="67"/>
      <c r="ID165" s="67"/>
      <c r="IE165" s="67"/>
      <c r="IF165" s="67"/>
      <c r="IG165" s="67"/>
      <c r="IH165" s="67"/>
      <c r="II165" s="67"/>
      <c r="IJ165" s="67"/>
      <c r="IK165" s="67"/>
      <c r="IL165" s="67"/>
      <c r="IM165" s="67"/>
      <c r="IN165" s="67"/>
      <c r="IO165" s="67"/>
      <c r="IP165" s="67"/>
      <c r="IQ165" s="67"/>
      <c r="IR165" s="67"/>
      <c r="IS165" s="67"/>
      <c r="IT165" s="67"/>
      <c r="IU165" s="67"/>
      <c r="IV165" s="67"/>
      <c r="IW165" s="67"/>
      <c r="IX165" s="67"/>
      <c r="IY165" s="66"/>
      <c r="IZ165" s="67"/>
      <c r="JA165" s="67"/>
      <c r="JB165" s="67"/>
      <c r="JC165" s="67"/>
      <c r="JD165" s="67"/>
      <c r="JE165" s="67"/>
      <c r="JF165" s="67"/>
      <c r="JG165" s="67"/>
      <c r="JH165" s="67"/>
      <c r="JI165" s="67"/>
      <c r="JJ165" s="67"/>
      <c r="JK165" s="67"/>
      <c r="JL165" s="67"/>
      <c r="JM165" s="67"/>
      <c r="JN165" s="67"/>
      <c r="JO165" s="67"/>
      <c r="JP165" s="67"/>
      <c r="JQ165" s="67"/>
      <c r="JR165" s="67"/>
      <c r="JS165" s="67"/>
      <c r="JT165" s="67"/>
      <c r="JU165" s="67"/>
      <c r="JV165" s="67"/>
      <c r="JW165" s="67"/>
      <c r="JX165" s="67"/>
      <c r="JY165" s="67"/>
      <c r="JZ165" s="67"/>
      <c r="KA165" s="67"/>
      <c r="KB165" s="67"/>
      <c r="KC165" s="66"/>
      <c r="KD165" s="67"/>
      <c r="KE165" s="68"/>
      <c r="KF165" s="67"/>
      <c r="KG165" s="67"/>
      <c r="KH165" s="67"/>
      <c r="KI165" s="66"/>
      <c r="KJ165" s="67"/>
      <c r="KK165" s="68"/>
      <c r="KL165" s="67"/>
      <c r="KM165" s="67"/>
      <c r="KN165" s="67"/>
      <c r="KO165" s="66"/>
      <c r="KP165" s="67"/>
      <c r="KQ165" s="68"/>
      <c r="KR165" s="67"/>
      <c r="KS165" s="67"/>
      <c r="KT165" s="67"/>
      <c r="KU165" s="66"/>
      <c r="KV165" s="67"/>
      <c r="KW165" s="68"/>
      <c r="KX165" s="67"/>
      <c r="KY165" s="67"/>
      <c r="KZ165" s="67"/>
      <c r="LA165" s="70"/>
      <c r="LB165" s="67"/>
      <c r="LC165" s="71"/>
      <c r="LD165" s="67"/>
      <c r="LE165" s="67"/>
      <c r="LF165" s="67"/>
      <c r="LG165" s="66"/>
      <c r="LH165" s="67"/>
      <c r="LI165" s="68"/>
      <c r="LJ165" s="66"/>
      <c r="LK165" s="67"/>
      <c r="LL165" s="68"/>
      <c r="LM165" s="66"/>
      <c r="LN165" s="67"/>
      <c r="LO165" s="68"/>
      <c r="LP165" s="66"/>
      <c r="LQ165" s="67"/>
      <c r="LR165" s="68"/>
      <c r="LS165" s="66"/>
      <c r="LT165" s="67"/>
      <c r="LU165" s="68"/>
      <c r="LV165" s="66"/>
      <c r="LW165" s="67"/>
      <c r="LX165" s="68"/>
      <c r="LY165" s="66"/>
      <c r="LZ165" s="67"/>
      <c r="MA165" s="68"/>
      <c r="MB165" s="66"/>
      <c r="MC165" s="67"/>
      <c r="MD165" s="68"/>
      <c r="ME165" s="39"/>
      <c r="MF165" s="40"/>
      <c r="MG165" s="41"/>
      <c r="MH165" s="61"/>
      <c r="MI165" s="62"/>
      <c r="MJ165" s="63"/>
      <c r="MK165" s="61"/>
      <c r="ML165" s="62"/>
      <c r="MM165" s="63"/>
      <c r="MN165" s="61"/>
      <c r="MO165" s="62"/>
      <c r="MP165" s="63"/>
      <c r="MQ165" s="61"/>
      <c r="MR165" s="62"/>
      <c r="MS165" s="63"/>
      <c r="MT165" s="61"/>
      <c r="MU165" s="62"/>
      <c r="MV165" s="63"/>
      <c r="MW165" s="61"/>
      <c r="MX165" s="62"/>
      <c r="MY165" s="63"/>
      <c r="MZ165" s="66"/>
      <c r="NA165" s="67"/>
      <c r="NB165" s="68"/>
      <c r="NC165" s="67"/>
      <c r="ND165" s="67"/>
      <c r="NE165" s="72"/>
      <c r="NG165" s="275"/>
      <c r="NH165" s="1"/>
      <c r="NI165" s="1"/>
      <c r="NJ165" s="1"/>
      <c r="NK165" s="1"/>
    </row>
    <row r="166" spans="4:375" s="6" customFormat="1" ht="9.9499999999999993" customHeight="1">
      <c r="F166" s="196">
        <f t="shared" ref="F166" si="428">NG166</f>
        <v>5.0000000000000001E-4</v>
      </c>
      <c r="G166" s="197">
        <f>Q166-F166</f>
        <v>0</v>
      </c>
      <c r="H166" s="27">
        <v>1</v>
      </c>
      <c r="I166" s="19"/>
      <c r="J166" s="19"/>
      <c r="K166" s="19"/>
      <c r="L166" s="339"/>
      <c r="M166" s="299" t="s">
        <v>148</v>
      </c>
      <c r="N166" s="313">
        <v>412</v>
      </c>
      <c r="O166" s="350" t="s">
        <v>149</v>
      </c>
      <c r="P166" s="307">
        <v>103683</v>
      </c>
      <c r="Q166" s="236">
        <f>ROUND(P166/$P$256,5)</f>
        <v>5.0000000000000001E-4</v>
      </c>
      <c r="R166" s="76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3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5"/>
      <c r="CA166" s="53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3"/>
      <c r="DF166" s="54"/>
      <c r="DG166" s="54"/>
      <c r="DH166" s="54"/>
      <c r="DI166" s="54"/>
      <c r="DJ166" s="54"/>
      <c r="DK166" s="54"/>
      <c r="DL166" s="54"/>
      <c r="DM166" s="54"/>
      <c r="DN166" s="54"/>
      <c r="DO166" s="54"/>
      <c r="DP166" s="54"/>
      <c r="DQ166" s="54"/>
      <c r="DR166" s="54"/>
      <c r="DS166" s="54"/>
      <c r="DT166" s="54"/>
      <c r="DU166" s="54"/>
      <c r="DV166" s="54"/>
      <c r="DW166" s="54"/>
      <c r="DX166" s="54"/>
      <c r="DY166" s="54"/>
      <c r="DZ166" s="54"/>
      <c r="EA166" s="54"/>
      <c r="EB166" s="54"/>
      <c r="EC166" s="54"/>
      <c r="ED166" s="54"/>
      <c r="EE166" s="54"/>
      <c r="EF166" s="54"/>
      <c r="EG166" s="54"/>
      <c r="EH166" s="54"/>
      <c r="EI166" s="54"/>
      <c r="EJ166" s="54"/>
      <c r="EK166" s="54"/>
      <c r="EL166" s="54"/>
      <c r="EM166" s="54"/>
      <c r="EN166" s="54"/>
      <c r="EO166" s="54"/>
      <c r="EP166" s="54"/>
      <c r="EQ166" s="54"/>
      <c r="ER166" s="54"/>
      <c r="ES166" s="54"/>
      <c r="ET166" s="54"/>
      <c r="EU166" s="54"/>
      <c r="EV166" s="54"/>
      <c r="EW166" s="54"/>
      <c r="EX166" s="54"/>
      <c r="EY166" s="54"/>
      <c r="EZ166" s="54"/>
      <c r="FA166" s="54"/>
      <c r="FB166" s="54"/>
      <c r="FC166" s="54"/>
      <c r="FD166" s="54"/>
      <c r="FE166" s="54"/>
      <c r="FF166" s="54"/>
      <c r="FG166" s="54"/>
      <c r="FH166" s="54"/>
      <c r="FI166" s="54"/>
      <c r="FJ166" s="54"/>
      <c r="FK166" s="54"/>
      <c r="FL166" s="54"/>
      <c r="FM166" s="53"/>
      <c r="FN166" s="54"/>
      <c r="FO166" s="54"/>
      <c r="FP166" s="54"/>
      <c r="FQ166" s="54"/>
      <c r="FR166" s="54"/>
      <c r="FS166" s="54"/>
      <c r="FT166" s="54"/>
      <c r="FU166" s="54"/>
      <c r="FV166" s="54"/>
      <c r="FW166" s="54"/>
      <c r="FX166" s="54"/>
      <c r="FY166" s="54"/>
      <c r="FZ166" s="54"/>
      <c r="GA166" s="54"/>
      <c r="GB166" s="54"/>
      <c r="GC166" s="54"/>
      <c r="GD166" s="54"/>
      <c r="GE166" s="54"/>
      <c r="GF166" s="54"/>
      <c r="GG166" s="54"/>
      <c r="GH166" s="54"/>
      <c r="GI166" s="54"/>
      <c r="GJ166" s="54"/>
      <c r="GK166" s="54"/>
      <c r="GL166" s="54"/>
      <c r="GM166" s="54"/>
      <c r="GN166" s="54"/>
      <c r="GO166" s="54"/>
      <c r="GP166" s="54"/>
      <c r="GQ166" s="54"/>
      <c r="GR166" s="54"/>
      <c r="GS166" s="54"/>
      <c r="GT166" s="54"/>
      <c r="GU166" s="54"/>
      <c r="GV166" s="54"/>
      <c r="GW166" s="54"/>
      <c r="GX166" s="54"/>
      <c r="GY166" s="54"/>
      <c r="GZ166" s="54"/>
      <c r="HA166" s="54"/>
      <c r="HB166" s="54"/>
      <c r="HC166" s="54"/>
      <c r="HD166" s="54"/>
      <c r="HE166" s="54"/>
      <c r="HF166" s="54"/>
      <c r="HG166" s="54"/>
      <c r="HH166" s="54"/>
      <c r="HI166" s="54"/>
      <c r="HJ166" s="54"/>
      <c r="HK166" s="54"/>
      <c r="HL166" s="54"/>
      <c r="HM166" s="54"/>
      <c r="HN166" s="54"/>
      <c r="HO166" s="54"/>
      <c r="HP166" s="54"/>
      <c r="HQ166" s="54"/>
      <c r="HR166" s="54"/>
      <c r="HS166" s="54"/>
      <c r="HT166" s="54"/>
      <c r="HU166" s="53"/>
      <c r="HV166" s="54"/>
      <c r="HW166" s="54"/>
      <c r="HX166" s="54"/>
      <c r="HY166" s="54"/>
      <c r="HZ166" s="54"/>
      <c r="IA166" s="54"/>
      <c r="IB166" s="54"/>
      <c r="IC166" s="54"/>
      <c r="ID166" s="54"/>
      <c r="IE166" s="54"/>
      <c r="IF166" s="54"/>
      <c r="IG166" s="54"/>
      <c r="IH166" s="54"/>
      <c r="II166" s="54"/>
      <c r="IJ166" s="54"/>
      <c r="IK166" s="54"/>
      <c r="IL166" s="54"/>
      <c r="IM166" s="54"/>
      <c r="IN166" s="54"/>
      <c r="IO166" s="54"/>
      <c r="IP166" s="54"/>
      <c r="IQ166" s="54"/>
      <c r="IR166" s="54"/>
      <c r="IS166" s="54"/>
      <c r="IT166" s="54"/>
      <c r="IU166" s="54"/>
      <c r="IV166" s="54"/>
      <c r="IW166" s="54"/>
      <c r="IX166" s="54"/>
      <c r="IY166" s="53"/>
      <c r="IZ166" s="54"/>
      <c r="JA166" s="54"/>
      <c r="JB166" s="54"/>
      <c r="JC166" s="54"/>
      <c r="JD166" s="54"/>
      <c r="JE166" s="54"/>
      <c r="JF166" s="54"/>
      <c r="JG166" s="54"/>
      <c r="JH166" s="54"/>
      <c r="JI166" s="54"/>
      <c r="JJ166" s="54"/>
      <c r="JK166" s="54"/>
      <c r="JL166" s="54"/>
      <c r="JM166" s="54"/>
      <c r="JN166" s="54"/>
      <c r="JO166" s="54"/>
      <c r="JP166" s="54"/>
      <c r="JQ166" s="54"/>
      <c r="JR166" s="54"/>
      <c r="JS166" s="54"/>
      <c r="JT166" s="54"/>
      <c r="JU166" s="54"/>
      <c r="JV166" s="54"/>
      <c r="JW166" s="54"/>
      <c r="JX166" s="54"/>
      <c r="JY166" s="54"/>
      <c r="JZ166" s="54"/>
      <c r="KA166" s="54"/>
      <c r="KB166" s="54"/>
      <c r="KC166" s="53"/>
      <c r="KD166" s="54"/>
      <c r="KE166" s="55"/>
      <c r="KF166" s="54"/>
      <c r="KG166" s="54"/>
      <c r="KH166" s="54"/>
      <c r="KI166" s="53"/>
      <c r="KJ166" s="54"/>
      <c r="KK166" s="55"/>
      <c r="KL166" s="54"/>
      <c r="KM166" s="54"/>
      <c r="KN166" s="54"/>
      <c r="KO166" s="53"/>
      <c r="KP166" s="54"/>
      <c r="KQ166" s="55"/>
      <c r="KR166" s="54"/>
      <c r="KS166" s="54"/>
      <c r="KT166" s="54"/>
      <c r="KU166" s="53"/>
      <c r="KV166" s="54"/>
      <c r="KW166" s="55"/>
      <c r="KX166" s="54"/>
      <c r="KY166" s="54"/>
      <c r="KZ166" s="54"/>
      <c r="LA166" s="57"/>
      <c r="LB166" s="54"/>
      <c r="LC166" s="58"/>
      <c r="LD166" s="54"/>
      <c r="LE166" s="54"/>
      <c r="LF166" s="54"/>
      <c r="LG166" s="53"/>
      <c r="LH166" s="54"/>
      <c r="LI166" s="55"/>
      <c r="LJ166" s="53"/>
      <c r="LK166" s="54"/>
      <c r="LL166" s="55"/>
      <c r="LM166" s="53"/>
      <c r="LN166" s="54"/>
      <c r="LO166" s="55"/>
      <c r="LP166" s="53"/>
      <c r="LQ166" s="54"/>
      <c r="LR166" s="55"/>
      <c r="LS166" s="53"/>
      <c r="LT166" s="54"/>
      <c r="LU166" s="55"/>
      <c r="LV166" s="212"/>
      <c r="LW166" s="212"/>
      <c r="LX166" s="212"/>
      <c r="LY166" s="212"/>
      <c r="LZ166" s="212"/>
      <c r="MA166" s="212"/>
      <c r="MB166" s="212"/>
      <c r="MC166" s="212"/>
      <c r="MD166" s="212"/>
      <c r="ME166" s="214"/>
      <c r="MF166" s="214"/>
      <c r="MG166" s="214"/>
      <c r="MH166" s="214">
        <v>1.1E-4</v>
      </c>
      <c r="MI166" s="214"/>
      <c r="MJ166" s="214"/>
      <c r="MK166" s="214">
        <v>2.2000000000000001E-4</v>
      </c>
      <c r="ML166" s="214"/>
      <c r="MM166" s="214"/>
      <c r="MN166" s="214">
        <v>1.7000000000000001E-4</v>
      </c>
      <c r="MO166" s="214"/>
      <c r="MP166" s="214"/>
      <c r="MQ166" s="54"/>
      <c r="MR166" s="54"/>
      <c r="MS166" s="54"/>
      <c r="MT166" s="53"/>
      <c r="MU166" s="54"/>
      <c r="MV166" s="55"/>
      <c r="MW166" s="53"/>
      <c r="MX166" s="54"/>
      <c r="MY166" s="55"/>
      <c r="MZ166" s="53"/>
      <c r="NA166" s="54"/>
      <c r="NB166" s="55"/>
      <c r="NC166" s="54"/>
      <c r="ND166" s="54"/>
      <c r="NE166" s="59"/>
      <c r="NG166" s="275">
        <f>SUM(R166:NE166)</f>
        <v>5.0000000000000001E-4</v>
      </c>
      <c r="NH166" s="1"/>
      <c r="NI166" s="1"/>
      <c r="NJ166" s="1"/>
      <c r="NK166" s="1"/>
    </row>
    <row r="167" spans="4:375" s="6" customFormat="1" ht="6.95" customHeight="1">
      <c r="F167" s="196"/>
      <c r="G167" s="197"/>
      <c r="H167" s="52">
        <v>2</v>
      </c>
      <c r="L167" s="340"/>
      <c r="M167" s="294"/>
      <c r="N167" s="314"/>
      <c r="O167" s="306"/>
      <c r="P167" s="308"/>
      <c r="Q167" s="237"/>
      <c r="R167" s="6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39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1"/>
      <c r="CA167" s="39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0"/>
      <c r="CP167" s="40"/>
      <c r="CQ167" s="40"/>
      <c r="CR167" s="40"/>
      <c r="CS167" s="40"/>
      <c r="CT167" s="40"/>
      <c r="CU167" s="40"/>
      <c r="CV167" s="40"/>
      <c r="CW167" s="40"/>
      <c r="CX167" s="40"/>
      <c r="CY167" s="40"/>
      <c r="CZ167" s="40"/>
      <c r="DA167" s="40"/>
      <c r="DB167" s="40"/>
      <c r="DC167" s="40"/>
      <c r="DD167" s="40"/>
      <c r="DE167" s="39"/>
      <c r="DF167" s="40"/>
      <c r="DG167" s="40"/>
      <c r="DH167" s="40"/>
      <c r="DI167" s="40"/>
      <c r="DJ167" s="40"/>
      <c r="DK167" s="40"/>
      <c r="DL167" s="40"/>
      <c r="DM167" s="40"/>
      <c r="DN167" s="40"/>
      <c r="DO167" s="40"/>
      <c r="DP167" s="40"/>
      <c r="DQ167" s="40"/>
      <c r="DR167" s="40"/>
      <c r="DS167" s="40"/>
      <c r="DT167" s="40"/>
      <c r="DU167" s="40"/>
      <c r="DV167" s="40"/>
      <c r="DW167" s="40"/>
      <c r="DX167" s="40"/>
      <c r="DY167" s="40"/>
      <c r="DZ167" s="40"/>
      <c r="EA167" s="40"/>
      <c r="EB167" s="40"/>
      <c r="EC167" s="40"/>
      <c r="ED167" s="40"/>
      <c r="EE167" s="40"/>
      <c r="EF167" s="40"/>
      <c r="EG167" s="40"/>
      <c r="EH167" s="40"/>
      <c r="EI167" s="40"/>
      <c r="EJ167" s="40"/>
      <c r="EK167" s="40"/>
      <c r="EL167" s="40"/>
      <c r="EM167" s="40"/>
      <c r="EN167" s="40"/>
      <c r="EO167" s="40"/>
      <c r="EP167" s="40"/>
      <c r="EQ167" s="40"/>
      <c r="ER167" s="40"/>
      <c r="ES167" s="40"/>
      <c r="ET167" s="40"/>
      <c r="EU167" s="40"/>
      <c r="EV167" s="40"/>
      <c r="EW167" s="40"/>
      <c r="EX167" s="40"/>
      <c r="EY167" s="40"/>
      <c r="EZ167" s="40"/>
      <c r="FA167" s="40"/>
      <c r="FB167" s="40"/>
      <c r="FC167" s="40"/>
      <c r="FD167" s="40"/>
      <c r="FE167" s="40"/>
      <c r="FF167" s="40"/>
      <c r="FG167" s="40"/>
      <c r="FH167" s="40"/>
      <c r="FI167" s="40"/>
      <c r="FJ167" s="40"/>
      <c r="FK167" s="40"/>
      <c r="FL167" s="40"/>
      <c r="FM167" s="39"/>
      <c r="FN167" s="40"/>
      <c r="FO167" s="40"/>
      <c r="FP167" s="40"/>
      <c r="FQ167" s="40"/>
      <c r="FR167" s="40"/>
      <c r="FS167" s="40"/>
      <c r="FT167" s="40"/>
      <c r="FU167" s="40"/>
      <c r="FV167" s="40"/>
      <c r="FW167" s="40"/>
      <c r="FX167" s="40"/>
      <c r="FY167" s="40"/>
      <c r="FZ167" s="40"/>
      <c r="GA167" s="40"/>
      <c r="GB167" s="40"/>
      <c r="GC167" s="40"/>
      <c r="GD167" s="40"/>
      <c r="GE167" s="40"/>
      <c r="GF167" s="40"/>
      <c r="GG167" s="40"/>
      <c r="GH167" s="40"/>
      <c r="GI167" s="40"/>
      <c r="GJ167" s="40"/>
      <c r="GK167" s="40"/>
      <c r="GL167" s="40"/>
      <c r="GM167" s="40"/>
      <c r="GN167" s="40"/>
      <c r="GO167" s="40"/>
      <c r="GP167" s="40"/>
      <c r="GQ167" s="40"/>
      <c r="GR167" s="40"/>
      <c r="GS167" s="40"/>
      <c r="GT167" s="40"/>
      <c r="GU167" s="40"/>
      <c r="GV167" s="40"/>
      <c r="GW167" s="40"/>
      <c r="GX167" s="40"/>
      <c r="GY167" s="40"/>
      <c r="GZ167" s="40"/>
      <c r="HA167" s="40"/>
      <c r="HB167" s="40"/>
      <c r="HC167" s="40"/>
      <c r="HD167" s="40"/>
      <c r="HE167" s="40"/>
      <c r="HF167" s="40"/>
      <c r="HG167" s="40"/>
      <c r="HH167" s="40"/>
      <c r="HI167" s="40"/>
      <c r="HJ167" s="40"/>
      <c r="HK167" s="40"/>
      <c r="HL167" s="40"/>
      <c r="HM167" s="40"/>
      <c r="HN167" s="40"/>
      <c r="HO167" s="40"/>
      <c r="HP167" s="40"/>
      <c r="HQ167" s="40"/>
      <c r="HR167" s="40"/>
      <c r="HS167" s="40"/>
      <c r="HT167" s="40"/>
      <c r="HU167" s="39"/>
      <c r="HV167" s="40"/>
      <c r="HW167" s="40"/>
      <c r="HX167" s="40"/>
      <c r="HY167" s="40"/>
      <c r="HZ167" s="40"/>
      <c r="IA167" s="40"/>
      <c r="IB167" s="40"/>
      <c r="IC167" s="40"/>
      <c r="ID167" s="40"/>
      <c r="IE167" s="40"/>
      <c r="IF167" s="40"/>
      <c r="IG167" s="40"/>
      <c r="IH167" s="40"/>
      <c r="II167" s="40"/>
      <c r="IJ167" s="40"/>
      <c r="IK167" s="40"/>
      <c r="IL167" s="40"/>
      <c r="IM167" s="40"/>
      <c r="IN167" s="40"/>
      <c r="IO167" s="40"/>
      <c r="IP167" s="40"/>
      <c r="IQ167" s="40"/>
      <c r="IR167" s="40"/>
      <c r="IS167" s="40"/>
      <c r="IT167" s="40"/>
      <c r="IU167" s="40"/>
      <c r="IV167" s="40"/>
      <c r="IW167" s="40"/>
      <c r="IX167" s="40"/>
      <c r="IY167" s="39"/>
      <c r="IZ167" s="40"/>
      <c r="JA167" s="40"/>
      <c r="JB167" s="40"/>
      <c r="JC167" s="40"/>
      <c r="JD167" s="40"/>
      <c r="JE167" s="40"/>
      <c r="JF167" s="40"/>
      <c r="JG167" s="40"/>
      <c r="JH167" s="40"/>
      <c r="JI167" s="40"/>
      <c r="JJ167" s="40"/>
      <c r="JK167" s="40"/>
      <c r="JL167" s="40"/>
      <c r="JM167" s="40"/>
      <c r="JN167" s="40"/>
      <c r="JO167" s="40"/>
      <c r="JP167" s="40"/>
      <c r="JQ167" s="40"/>
      <c r="JR167" s="40"/>
      <c r="JS167" s="40"/>
      <c r="JT167" s="40"/>
      <c r="JU167" s="40"/>
      <c r="JV167" s="40"/>
      <c r="JW167" s="40"/>
      <c r="JX167" s="40"/>
      <c r="JY167" s="40"/>
      <c r="JZ167" s="40"/>
      <c r="KA167" s="40"/>
      <c r="KB167" s="40"/>
      <c r="KC167" s="39"/>
      <c r="KD167" s="40"/>
      <c r="KE167" s="41"/>
      <c r="KF167" s="40"/>
      <c r="KG167" s="40"/>
      <c r="KH167" s="40"/>
      <c r="KI167" s="39"/>
      <c r="KJ167" s="40"/>
      <c r="KK167" s="41"/>
      <c r="KL167" s="40"/>
      <c r="KM167" s="40"/>
      <c r="KN167" s="40"/>
      <c r="KO167" s="39"/>
      <c r="KP167" s="40"/>
      <c r="KQ167" s="41"/>
      <c r="KR167" s="40"/>
      <c r="KS167" s="40"/>
      <c r="KT167" s="40"/>
      <c r="KU167" s="39"/>
      <c r="KV167" s="40"/>
      <c r="KW167" s="41"/>
      <c r="KX167" s="40"/>
      <c r="KY167" s="40"/>
      <c r="KZ167" s="40"/>
      <c r="LA167" s="64"/>
      <c r="LB167" s="40"/>
      <c r="LC167" s="65"/>
      <c r="LD167" s="40"/>
      <c r="LE167" s="40"/>
      <c r="LF167" s="40"/>
      <c r="LG167" s="39"/>
      <c r="LH167" s="40"/>
      <c r="LI167" s="41"/>
      <c r="LJ167" s="39"/>
      <c r="LK167" s="40"/>
      <c r="LL167" s="41"/>
      <c r="LM167" s="39"/>
      <c r="LN167" s="40"/>
      <c r="LO167" s="41"/>
      <c r="LP167" s="39"/>
      <c r="LQ167" s="40"/>
      <c r="LR167" s="41"/>
      <c r="LS167" s="39"/>
      <c r="LT167" s="40"/>
      <c r="LU167" s="41"/>
      <c r="LV167" s="39"/>
      <c r="LW167" s="40"/>
      <c r="LX167" s="41"/>
      <c r="LY167" s="39"/>
      <c r="LZ167" s="40"/>
      <c r="MA167" s="41"/>
      <c r="MB167" s="39"/>
      <c r="MC167" s="40"/>
      <c r="MD167" s="41"/>
      <c r="ME167" s="39"/>
      <c r="MF167" s="40"/>
      <c r="MG167" s="41"/>
      <c r="MH167" s="61"/>
      <c r="MI167" s="62"/>
      <c r="MJ167" s="63"/>
      <c r="MK167" s="61"/>
      <c r="ML167" s="62"/>
      <c r="MM167" s="63"/>
      <c r="MN167" s="61"/>
      <c r="MO167" s="62"/>
      <c r="MP167" s="63"/>
      <c r="MQ167" s="40"/>
      <c r="MR167" s="40"/>
      <c r="MS167" s="40"/>
      <c r="MT167" s="39"/>
      <c r="MU167" s="40"/>
      <c r="MV167" s="41"/>
      <c r="MW167" s="39"/>
      <c r="MX167" s="40"/>
      <c r="MY167" s="41"/>
      <c r="MZ167" s="39"/>
      <c r="NA167" s="40"/>
      <c r="NB167" s="41"/>
      <c r="NC167" s="40"/>
      <c r="ND167" s="40"/>
      <c r="NE167" s="42"/>
      <c r="NG167" s="275"/>
      <c r="NH167" s="1"/>
      <c r="NI167" s="1"/>
      <c r="NJ167" s="1"/>
      <c r="NK167" s="1"/>
    </row>
    <row r="168" spans="4:375" s="6" customFormat="1" ht="9.9499999999999993" hidden="1" customHeight="1" outlineLevel="1">
      <c r="E168" s="79"/>
      <c r="F168" s="196">
        <f t="shared" ref="F168" si="429">NG168</f>
        <v>0</v>
      </c>
      <c r="G168" s="197">
        <f>Q168-F168</f>
        <v>0</v>
      </c>
      <c r="H168" s="27">
        <v>1</v>
      </c>
      <c r="I168" s="19" t="s">
        <v>217</v>
      </c>
      <c r="J168" s="19" t="s">
        <v>184</v>
      </c>
      <c r="K168" s="19" t="s">
        <v>241</v>
      </c>
      <c r="L168" s="292"/>
      <c r="M168" s="355" t="s">
        <v>258</v>
      </c>
      <c r="N168" s="301">
        <v>0</v>
      </c>
      <c r="O168" s="309" t="s">
        <v>150</v>
      </c>
      <c r="P168" s="315">
        <v>0</v>
      </c>
      <c r="Q168" s="236">
        <f>ROUND(P168/$P$256,5)</f>
        <v>0</v>
      </c>
      <c r="R168" s="21"/>
      <c r="S168" s="154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157"/>
      <c r="AK168" s="157"/>
      <c r="AL168" s="157"/>
      <c r="AM168" s="157"/>
      <c r="AN168" s="157"/>
      <c r="AO168" s="157"/>
      <c r="AP168" s="157"/>
      <c r="AQ168" s="157"/>
      <c r="AR168" s="157"/>
      <c r="AS168" s="157"/>
      <c r="AT168" s="157"/>
      <c r="AU168" s="157"/>
      <c r="AV168" s="157"/>
      <c r="AW168" s="154"/>
      <c r="AX168" s="157"/>
      <c r="AY168" s="157"/>
      <c r="AZ168" s="157"/>
      <c r="BA168" s="157"/>
      <c r="BB168" s="157"/>
      <c r="BC168" s="157"/>
      <c r="BD168" s="157"/>
      <c r="BE168" s="157"/>
      <c r="BF168" s="157"/>
      <c r="BG168" s="157"/>
      <c r="BH168" s="157"/>
      <c r="BI168" s="157"/>
      <c r="BJ168" s="157"/>
      <c r="BK168" s="157"/>
      <c r="BL168" s="157"/>
      <c r="BM168" s="157"/>
      <c r="BN168" s="157"/>
      <c r="BO168" s="157"/>
      <c r="BP168" s="157"/>
      <c r="BQ168" s="157"/>
      <c r="BR168" s="157"/>
      <c r="BS168" s="157"/>
      <c r="BT168" s="157"/>
      <c r="BU168" s="157"/>
      <c r="BV168" s="157"/>
      <c r="BW168" s="157"/>
      <c r="BX168" s="157"/>
      <c r="BY168" s="157"/>
      <c r="BZ168" s="157"/>
      <c r="CA168" s="154"/>
      <c r="CB168" s="157"/>
      <c r="CC168" s="157"/>
      <c r="CD168" s="157"/>
      <c r="CE168" s="157"/>
      <c r="CF168" s="157"/>
      <c r="CG168" s="157"/>
      <c r="CH168" s="157"/>
      <c r="CI168" s="157"/>
      <c r="CJ168" s="157"/>
      <c r="CK168" s="157"/>
      <c r="CL168" s="157"/>
      <c r="CM168" s="157"/>
      <c r="CN168" s="157"/>
      <c r="CO168" s="157"/>
      <c r="CP168" s="157"/>
      <c r="CQ168" s="157"/>
      <c r="CR168" s="157"/>
      <c r="CS168" s="157"/>
      <c r="CT168" s="157"/>
      <c r="CU168" s="157"/>
      <c r="CV168" s="157"/>
      <c r="CW168" s="157"/>
      <c r="CX168" s="157"/>
      <c r="CY168" s="157"/>
      <c r="CZ168" s="157"/>
      <c r="DA168" s="157"/>
      <c r="DB168" s="157"/>
      <c r="DC168" s="157"/>
      <c r="DD168" s="157"/>
      <c r="DE168" s="154"/>
      <c r="DF168" s="157"/>
      <c r="DG168" s="157"/>
      <c r="DH168" s="157"/>
      <c r="DI168" s="157"/>
      <c r="DJ168" s="157"/>
      <c r="DK168" s="157"/>
      <c r="DL168" s="157"/>
      <c r="DM168" s="157"/>
      <c r="DN168" s="157"/>
      <c r="DO168" s="157"/>
      <c r="DP168" s="157"/>
      <c r="DQ168" s="157"/>
      <c r="DR168" s="157"/>
      <c r="DS168" s="157"/>
      <c r="DT168" s="157"/>
      <c r="DU168" s="157"/>
      <c r="DV168" s="157"/>
      <c r="DW168" s="157"/>
      <c r="DX168" s="157"/>
      <c r="DY168" s="157"/>
      <c r="DZ168" s="157"/>
      <c r="EA168" s="157"/>
      <c r="EB168" s="157"/>
      <c r="EC168" s="157"/>
      <c r="ED168" s="157"/>
      <c r="EE168" s="157"/>
      <c r="EF168" s="157"/>
      <c r="EG168" s="157"/>
      <c r="EH168" s="157"/>
      <c r="EI168" s="154"/>
      <c r="EJ168" s="157"/>
      <c r="EK168" s="157"/>
      <c r="EL168" s="157"/>
      <c r="EM168" s="157"/>
      <c r="EN168" s="157"/>
      <c r="EO168" s="157"/>
      <c r="EP168" s="157"/>
      <c r="EQ168" s="157"/>
      <c r="ER168" s="157"/>
      <c r="ES168" s="157"/>
      <c r="ET168" s="157"/>
      <c r="EU168" s="157"/>
      <c r="EV168" s="157"/>
      <c r="EW168" s="157"/>
      <c r="EX168" s="157"/>
      <c r="EY168" s="157"/>
      <c r="EZ168" s="157"/>
      <c r="FA168" s="157"/>
      <c r="FB168" s="157"/>
      <c r="FC168" s="157"/>
      <c r="FD168" s="157"/>
      <c r="FE168" s="157"/>
      <c r="FF168" s="157"/>
      <c r="FG168" s="157"/>
      <c r="FH168" s="157"/>
      <c r="FI168" s="157"/>
      <c r="FJ168" s="157"/>
      <c r="FK168" s="157"/>
      <c r="FL168" s="157"/>
      <c r="FM168" s="154"/>
      <c r="FN168" s="157"/>
      <c r="FO168" s="157"/>
      <c r="FP168" s="157"/>
      <c r="FQ168" s="157"/>
      <c r="FR168" s="157"/>
      <c r="FS168" s="157"/>
      <c r="FT168" s="157"/>
      <c r="FU168" s="157"/>
      <c r="FV168" s="157"/>
      <c r="FW168" s="157"/>
      <c r="FX168" s="157"/>
      <c r="FY168" s="157"/>
      <c r="FZ168" s="157"/>
      <c r="GA168" s="157"/>
      <c r="GB168" s="157"/>
      <c r="GC168" s="157"/>
      <c r="GD168" s="157"/>
      <c r="GE168" s="157"/>
      <c r="GF168" s="157"/>
      <c r="GG168" s="157"/>
      <c r="GH168" s="157"/>
      <c r="GI168" s="157"/>
      <c r="GJ168" s="157"/>
      <c r="GK168" s="157"/>
      <c r="GL168" s="157"/>
      <c r="GM168" s="157"/>
      <c r="GN168" s="157"/>
      <c r="GO168" s="157"/>
      <c r="GP168" s="157"/>
      <c r="GQ168" s="154"/>
      <c r="GR168" s="157"/>
      <c r="GS168" s="157"/>
      <c r="GT168" s="157"/>
      <c r="GU168" s="157"/>
      <c r="GV168" s="157"/>
      <c r="GW168" s="157"/>
      <c r="GX168" s="157"/>
      <c r="GY168" s="157"/>
      <c r="GZ168" s="157"/>
      <c r="HA168" s="157"/>
      <c r="HB168" s="157"/>
      <c r="HC168" s="157"/>
      <c r="HD168" s="157"/>
      <c r="HE168" s="157"/>
      <c r="HF168" s="157"/>
      <c r="HG168" s="157"/>
      <c r="HH168" s="157"/>
      <c r="HI168" s="157"/>
      <c r="HJ168" s="157"/>
      <c r="HK168" s="157"/>
      <c r="HL168" s="157"/>
      <c r="HM168" s="157"/>
      <c r="HN168" s="157"/>
      <c r="HO168" s="157"/>
      <c r="HP168" s="157"/>
      <c r="HQ168" s="157"/>
      <c r="HR168" s="157"/>
      <c r="HS168" s="157"/>
      <c r="HT168" s="157"/>
      <c r="HU168" s="66"/>
      <c r="HV168" s="67"/>
      <c r="HW168" s="67"/>
      <c r="HX168" s="67"/>
      <c r="HY168" s="67"/>
      <c r="HZ168" s="67"/>
      <c r="IA168" s="67"/>
      <c r="IB168" s="67"/>
      <c r="IC168" s="67"/>
      <c r="ID168" s="67"/>
      <c r="IE168" s="67"/>
      <c r="IF168" s="67"/>
      <c r="IG168" s="67"/>
      <c r="IH168" s="67"/>
      <c r="II168" s="67"/>
      <c r="IJ168" s="67"/>
      <c r="IK168" s="67"/>
      <c r="IL168" s="67"/>
      <c r="IM168" s="67"/>
      <c r="IN168" s="67"/>
      <c r="IO168" s="67"/>
      <c r="IP168" s="67"/>
      <c r="IQ168" s="67"/>
      <c r="IR168" s="67"/>
      <c r="IS168" s="67"/>
      <c r="IT168" s="67"/>
      <c r="IU168" s="67"/>
      <c r="IV168" s="67"/>
      <c r="IW168" s="67"/>
      <c r="IX168" s="67"/>
      <c r="IY168" s="66"/>
      <c r="IZ168" s="67"/>
      <c r="JA168" s="67"/>
      <c r="JB168" s="67"/>
      <c r="JC168" s="67"/>
      <c r="JD168" s="67"/>
      <c r="JE168" s="67"/>
      <c r="JF168" s="67"/>
      <c r="JG168" s="67"/>
      <c r="JH168" s="67"/>
      <c r="JI168" s="67"/>
      <c r="JJ168" s="67"/>
      <c r="JK168" s="67"/>
      <c r="JL168" s="67"/>
      <c r="JM168" s="67"/>
      <c r="JN168" s="67"/>
      <c r="JO168" s="67"/>
      <c r="JP168" s="67"/>
      <c r="JQ168" s="67"/>
      <c r="JR168" s="67"/>
      <c r="JS168" s="67"/>
      <c r="JT168" s="67"/>
      <c r="JU168" s="67"/>
      <c r="JV168" s="67"/>
      <c r="JW168" s="67"/>
      <c r="JX168" s="67"/>
      <c r="JY168" s="67"/>
      <c r="JZ168" s="67"/>
      <c r="KA168" s="67"/>
      <c r="KB168" s="67"/>
      <c r="KC168" s="66"/>
      <c r="KD168" s="67"/>
      <c r="KE168" s="68"/>
      <c r="KF168" s="67"/>
      <c r="KG168" s="67"/>
      <c r="KH168" s="67"/>
      <c r="KI168" s="66"/>
      <c r="KJ168" s="67"/>
      <c r="KK168" s="68"/>
      <c r="KL168" s="67"/>
      <c r="KM168" s="67"/>
      <c r="KN168" s="67"/>
      <c r="KO168" s="66"/>
      <c r="KP168" s="67"/>
      <c r="KQ168" s="68"/>
      <c r="KR168" s="67"/>
      <c r="KS168" s="67"/>
      <c r="KT168" s="67"/>
      <c r="KU168" s="66"/>
      <c r="KV168" s="67"/>
      <c r="KW168" s="68"/>
      <c r="KX168" s="67"/>
      <c r="KY168" s="67"/>
      <c r="KZ168" s="67"/>
      <c r="LA168" s="70"/>
      <c r="LB168" s="67"/>
      <c r="LC168" s="71"/>
      <c r="LD168" s="67"/>
      <c r="LE168" s="67"/>
      <c r="LF168" s="67"/>
      <c r="LG168" s="66"/>
      <c r="LH168" s="67"/>
      <c r="LI168" s="68"/>
      <c r="LJ168" s="66"/>
      <c r="LK168" s="67"/>
      <c r="LL168" s="68"/>
      <c r="LM168" s="66"/>
      <c r="LN168" s="67"/>
      <c r="LO168" s="68"/>
      <c r="LP168" s="66"/>
      <c r="LQ168" s="67"/>
      <c r="LR168" s="68"/>
      <c r="LS168" s="66"/>
      <c r="LT168" s="67"/>
      <c r="LU168" s="68"/>
      <c r="LV168" s="67"/>
      <c r="LW168" s="67"/>
      <c r="LX168" s="67"/>
      <c r="LY168" s="66"/>
      <c r="LZ168" s="67"/>
      <c r="MA168" s="68"/>
      <c r="MB168" s="67"/>
      <c r="MC168" s="67"/>
      <c r="MD168" s="67"/>
      <c r="ME168" s="66"/>
      <c r="MF168" s="67"/>
      <c r="MG168" s="68"/>
      <c r="MH168" s="67"/>
      <c r="MI168" s="67"/>
      <c r="MJ168" s="67"/>
      <c r="MK168" s="66"/>
      <c r="ML168" s="67"/>
      <c r="MM168" s="68"/>
      <c r="MN168" s="66"/>
      <c r="MO168" s="67"/>
      <c r="MP168" s="68"/>
      <c r="MQ168" s="67"/>
      <c r="MR168" s="67"/>
      <c r="MS168" s="67"/>
      <c r="MT168" s="66"/>
      <c r="MU168" s="67"/>
      <c r="MV168" s="68"/>
      <c r="MW168" s="66"/>
      <c r="MX168" s="67"/>
      <c r="MY168" s="68"/>
      <c r="MZ168" s="66"/>
      <c r="NA168" s="67"/>
      <c r="NB168" s="68"/>
      <c r="NC168" s="67"/>
      <c r="ND168" s="67"/>
      <c r="NE168" s="72"/>
      <c r="NG168" s="275">
        <f>SUM(R168:NE168)</f>
        <v>0</v>
      </c>
      <c r="NH168" s="1"/>
      <c r="NI168" s="1"/>
      <c r="NJ168" s="1"/>
      <c r="NK168" s="1"/>
    </row>
    <row r="169" spans="4:375" s="6" customFormat="1" ht="9.9499999999999993" hidden="1" customHeight="1" outlineLevel="1">
      <c r="E169" s="80"/>
      <c r="F169" s="196"/>
      <c r="G169" s="197"/>
      <c r="H169" s="52">
        <v>2</v>
      </c>
      <c r="I169" s="80"/>
      <c r="J169" s="80"/>
      <c r="L169" s="292"/>
      <c r="M169" s="300"/>
      <c r="N169" s="301"/>
      <c r="O169" s="302"/>
      <c r="P169" s="315"/>
      <c r="Q169" s="237"/>
      <c r="R169" s="90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8"/>
      <c r="AW169" s="66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8"/>
      <c r="CA169" s="66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67"/>
      <c r="CU169" s="67"/>
      <c r="CV169" s="67"/>
      <c r="CW169" s="67"/>
      <c r="CX169" s="67"/>
      <c r="CY169" s="67"/>
      <c r="CZ169" s="67"/>
      <c r="DA169" s="67"/>
      <c r="DB169" s="67"/>
      <c r="DC169" s="67"/>
      <c r="DD169" s="67"/>
      <c r="DE169" s="66"/>
      <c r="DF169" s="67"/>
      <c r="DG169" s="67"/>
      <c r="DH169" s="67"/>
      <c r="DI169" s="67"/>
      <c r="DJ169" s="67"/>
      <c r="DK169" s="67"/>
      <c r="DL169" s="67"/>
      <c r="DM169" s="67"/>
      <c r="DN169" s="67"/>
      <c r="DO169" s="67"/>
      <c r="DP169" s="67"/>
      <c r="DQ169" s="67"/>
      <c r="DR169" s="67"/>
      <c r="DS169" s="67"/>
      <c r="DT169" s="67"/>
      <c r="DU169" s="67"/>
      <c r="DV169" s="67"/>
      <c r="DW169" s="67"/>
      <c r="DX169" s="67"/>
      <c r="DY169" s="67"/>
      <c r="DZ169" s="67"/>
      <c r="EA169" s="67"/>
      <c r="EB169" s="67"/>
      <c r="EC169" s="67"/>
      <c r="ED169" s="67"/>
      <c r="EE169" s="67"/>
      <c r="EF169" s="67"/>
      <c r="EG169" s="67"/>
      <c r="EH169" s="67"/>
      <c r="EI169" s="66"/>
      <c r="EJ169" s="67"/>
      <c r="EK169" s="67"/>
      <c r="EL169" s="67"/>
      <c r="EM169" s="67"/>
      <c r="EN169" s="67"/>
      <c r="EO169" s="67"/>
      <c r="EP169" s="67"/>
      <c r="EQ169" s="67"/>
      <c r="ER169" s="67"/>
      <c r="ES169" s="67"/>
      <c r="ET169" s="67"/>
      <c r="EU169" s="67"/>
      <c r="EV169" s="67"/>
      <c r="EW169" s="67"/>
      <c r="EX169" s="67"/>
      <c r="EY169" s="67"/>
      <c r="EZ169" s="67"/>
      <c r="FA169" s="67"/>
      <c r="FB169" s="67"/>
      <c r="FC169" s="67"/>
      <c r="FD169" s="67"/>
      <c r="FE169" s="67"/>
      <c r="FF169" s="67"/>
      <c r="FG169" s="67"/>
      <c r="FH169" s="67"/>
      <c r="FI169" s="67"/>
      <c r="FJ169" s="67"/>
      <c r="FK169" s="67"/>
      <c r="FL169" s="67"/>
      <c r="FM169" s="66"/>
      <c r="FN169" s="67"/>
      <c r="FO169" s="67"/>
      <c r="FP169" s="67"/>
      <c r="FQ169" s="67"/>
      <c r="FR169" s="67"/>
      <c r="FS169" s="67"/>
      <c r="FT169" s="67"/>
      <c r="FU169" s="67"/>
      <c r="FV169" s="67"/>
      <c r="FW169" s="67"/>
      <c r="FX169" s="67"/>
      <c r="FY169" s="67"/>
      <c r="FZ169" s="67"/>
      <c r="GA169" s="67"/>
      <c r="GB169" s="67"/>
      <c r="GC169" s="67"/>
      <c r="GD169" s="67"/>
      <c r="GE169" s="67"/>
      <c r="GF169" s="67"/>
      <c r="GG169" s="67"/>
      <c r="GH169" s="67"/>
      <c r="GI169" s="67"/>
      <c r="GJ169" s="67"/>
      <c r="GK169" s="67"/>
      <c r="GL169" s="67"/>
      <c r="GM169" s="67"/>
      <c r="GN169" s="67"/>
      <c r="GO169" s="67"/>
      <c r="GP169" s="67"/>
      <c r="GQ169" s="67"/>
      <c r="GR169" s="67"/>
      <c r="GS169" s="67"/>
      <c r="GT169" s="67"/>
      <c r="GU169" s="67"/>
      <c r="GV169" s="67"/>
      <c r="GW169" s="67"/>
      <c r="GX169" s="67"/>
      <c r="GY169" s="67"/>
      <c r="GZ169" s="67"/>
      <c r="HA169" s="67"/>
      <c r="HB169" s="67"/>
      <c r="HC169" s="67"/>
      <c r="HD169" s="67"/>
      <c r="HE169" s="67"/>
      <c r="HF169" s="67"/>
      <c r="HG169" s="67"/>
      <c r="HH169" s="67"/>
      <c r="HI169" s="67"/>
      <c r="HJ169" s="67"/>
      <c r="HK169" s="67"/>
      <c r="HL169" s="67"/>
      <c r="HM169" s="67"/>
      <c r="HN169" s="67"/>
      <c r="HO169" s="67"/>
      <c r="HP169" s="67"/>
      <c r="HQ169" s="67"/>
      <c r="HR169" s="67"/>
      <c r="HS169" s="67"/>
      <c r="HT169" s="67"/>
      <c r="HU169" s="66"/>
      <c r="HV169" s="67"/>
      <c r="HW169" s="67"/>
      <c r="HX169" s="67"/>
      <c r="HY169" s="67"/>
      <c r="HZ169" s="67"/>
      <c r="IA169" s="67"/>
      <c r="IB169" s="67"/>
      <c r="IC169" s="67"/>
      <c r="ID169" s="67"/>
      <c r="IE169" s="67"/>
      <c r="IF169" s="67"/>
      <c r="IG169" s="67"/>
      <c r="IH169" s="67"/>
      <c r="II169" s="67"/>
      <c r="IJ169" s="67"/>
      <c r="IK169" s="67"/>
      <c r="IL169" s="67"/>
      <c r="IM169" s="67"/>
      <c r="IN169" s="67"/>
      <c r="IO169" s="67"/>
      <c r="IP169" s="67"/>
      <c r="IQ169" s="67"/>
      <c r="IR169" s="67"/>
      <c r="IS169" s="67"/>
      <c r="IT169" s="67"/>
      <c r="IU169" s="67"/>
      <c r="IV169" s="67"/>
      <c r="IW169" s="67"/>
      <c r="IX169" s="67"/>
      <c r="IY169" s="66"/>
      <c r="IZ169" s="67"/>
      <c r="JA169" s="67"/>
      <c r="JB169" s="67"/>
      <c r="JC169" s="67"/>
      <c r="JD169" s="67"/>
      <c r="JE169" s="67"/>
      <c r="JF169" s="67"/>
      <c r="JG169" s="67"/>
      <c r="JH169" s="67"/>
      <c r="JI169" s="67"/>
      <c r="JJ169" s="67"/>
      <c r="JK169" s="67"/>
      <c r="JL169" s="67"/>
      <c r="JM169" s="67"/>
      <c r="JN169" s="67"/>
      <c r="JO169" s="67"/>
      <c r="JP169" s="67"/>
      <c r="JQ169" s="67"/>
      <c r="JR169" s="67"/>
      <c r="JS169" s="67"/>
      <c r="JT169" s="67"/>
      <c r="JU169" s="67"/>
      <c r="JV169" s="67"/>
      <c r="JW169" s="67"/>
      <c r="JX169" s="67"/>
      <c r="JY169" s="67"/>
      <c r="JZ169" s="67"/>
      <c r="KA169" s="67"/>
      <c r="KB169" s="67"/>
      <c r="KC169" s="66"/>
      <c r="KD169" s="67"/>
      <c r="KE169" s="68"/>
      <c r="KF169" s="67"/>
      <c r="KG169" s="67"/>
      <c r="KH169" s="67"/>
      <c r="KI169" s="66"/>
      <c r="KJ169" s="67"/>
      <c r="KK169" s="68"/>
      <c r="KL169" s="67"/>
      <c r="KM169" s="67"/>
      <c r="KN169" s="67"/>
      <c r="KO169" s="66"/>
      <c r="KP169" s="67"/>
      <c r="KQ169" s="68"/>
      <c r="KR169" s="67"/>
      <c r="KS169" s="67"/>
      <c r="KT169" s="67"/>
      <c r="KU169" s="66"/>
      <c r="KV169" s="67"/>
      <c r="KW169" s="68"/>
      <c r="KX169" s="67"/>
      <c r="KY169" s="67"/>
      <c r="KZ169" s="67"/>
      <c r="LA169" s="70"/>
      <c r="LB169" s="67"/>
      <c r="LC169" s="71"/>
      <c r="LD169" s="67"/>
      <c r="LE169" s="67"/>
      <c r="LF169" s="67"/>
      <c r="LG169" s="66"/>
      <c r="LH169" s="67"/>
      <c r="LI169" s="68"/>
      <c r="LJ169" s="66"/>
      <c r="LK169" s="67"/>
      <c r="LL169" s="68"/>
      <c r="LM169" s="66"/>
      <c r="LN169" s="67"/>
      <c r="LO169" s="68"/>
      <c r="LP169" s="66"/>
      <c r="LQ169" s="67"/>
      <c r="LR169" s="68"/>
      <c r="LS169" s="66"/>
      <c r="LT169" s="67"/>
      <c r="LU169" s="68"/>
      <c r="LV169" s="67"/>
      <c r="LW169" s="67"/>
      <c r="LX169" s="67"/>
      <c r="LY169" s="66"/>
      <c r="LZ169" s="67"/>
      <c r="MA169" s="68"/>
      <c r="MB169" s="67"/>
      <c r="MC169" s="67"/>
      <c r="MD169" s="67"/>
      <c r="ME169" s="66"/>
      <c r="MF169" s="67"/>
      <c r="MG169" s="68"/>
      <c r="MH169" s="67"/>
      <c r="MI169" s="67"/>
      <c r="MJ169" s="67"/>
      <c r="MK169" s="66"/>
      <c r="ML169" s="67"/>
      <c r="MM169" s="68"/>
      <c r="MN169" s="66"/>
      <c r="MO169" s="67"/>
      <c r="MP169" s="68"/>
      <c r="MQ169" s="67"/>
      <c r="MR169" s="67"/>
      <c r="MS169" s="67"/>
      <c r="MT169" s="66"/>
      <c r="MU169" s="67"/>
      <c r="MV169" s="68"/>
      <c r="MW169" s="66"/>
      <c r="MX169" s="67"/>
      <c r="MY169" s="68"/>
      <c r="MZ169" s="66"/>
      <c r="NA169" s="67"/>
      <c r="NB169" s="68"/>
      <c r="NC169" s="67"/>
      <c r="ND169" s="67"/>
      <c r="NE169" s="72"/>
      <c r="NG169" s="275"/>
      <c r="NH169" s="1"/>
      <c r="NI169" s="1"/>
      <c r="NJ169" s="1"/>
      <c r="NK169" s="1"/>
    </row>
    <row r="170" spans="4:375" s="6" customFormat="1" ht="9.9499999999999993" customHeight="1" collapsed="1">
      <c r="E170" s="80"/>
      <c r="F170" s="196">
        <f t="shared" ref="F170" si="430">NG170</f>
        <v>1.3799999999999999E-3</v>
      </c>
      <c r="G170" s="197">
        <f>Q170-F170</f>
        <v>0</v>
      </c>
      <c r="H170" s="27">
        <v>1</v>
      </c>
      <c r="I170" s="80"/>
      <c r="J170" s="80"/>
      <c r="L170" s="339"/>
      <c r="M170" s="299" t="s">
        <v>80</v>
      </c>
      <c r="N170" s="356">
        <v>1</v>
      </c>
      <c r="O170" s="350" t="s">
        <v>1</v>
      </c>
      <c r="P170" s="307">
        <v>287393</v>
      </c>
      <c r="Q170" s="236">
        <f>ROUND(P170/$P$256,5)</f>
        <v>1.3799999999999999E-3</v>
      </c>
      <c r="R170" s="76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3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5"/>
      <c r="CA170" s="53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3"/>
      <c r="DF170" s="54"/>
      <c r="DG170" s="54"/>
      <c r="DH170" s="54"/>
      <c r="DI170" s="54"/>
      <c r="DJ170" s="54"/>
      <c r="DK170" s="54"/>
      <c r="DL170" s="54"/>
      <c r="DM170" s="54"/>
      <c r="DN170" s="54"/>
      <c r="DO170" s="54"/>
      <c r="DP170" s="54"/>
      <c r="DQ170" s="54"/>
      <c r="DR170" s="54"/>
      <c r="DS170" s="54"/>
      <c r="DT170" s="54"/>
      <c r="DU170" s="54"/>
      <c r="DV170" s="54"/>
      <c r="DW170" s="54"/>
      <c r="DX170" s="54"/>
      <c r="DY170" s="54"/>
      <c r="DZ170" s="54"/>
      <c r="EA170" s="54"/>
      <c r="EB170" s="54"/>
      <c r="EC170" s="54"/>
      <c r="ED170" s="54"/>
      <c r="EE170" s="54"/>
      <c r="EF170" s="54"/>
      <c r="EG170" s="54"/>
      <c r="EH170" s="54"/>
      <c r="EI170" s="54"/>
      <c r="EJ170" s="54"/>
      <c r="EK170" s="54"/>
      <c r="EL170" s="54"/>
      <c r="EM170" s="54"/>
      <c r="EN170" s="54"/>
      <c r="EO170" s="54"/>
      <c r="EP170" s="54"/>
      <c r="EQ170" s="54"/>
      <c r="ER170" s="54"/>
      <c r="ES170" s="54"/>
      <c r="ET170" s="54"/>
      <c r="EU170" s="54"/>
      <c r="EV170" s="54"/>
      <c r="EW170" s="54"/>
      <c r="EX170" s="54"/>
      <c r="EY170" s="54"/>
      <c r="EZ170" s="54"/>
      <c r="FA170" s="54"/>
      <c r="FB170" s="54"/>
      <c r="FC170" s="54"/>
      <c r="FD170" s="54"/>
      <c r="FE170" s="54"/>
      <c r="FF170" s="54"/>
      <c r="FG170" s="54"/>
      <c r="FH170" s="54"/>
      <c r="FI170" s="54"/>
      <c r="FJ170" s="54"/>
      <c r="FK170" s="54"/>
      <c r="FL170" s="54"/>
      <c r="FM170" s="53"/>
      <c r="FN170" s="54"/>
      <c r="FO170" s="54"/>
      <c r="FP170" s="54"/>
      <c r="FQ170" s="54"/>
      <c r="FR170" s="54"/>
      <c r="FS170" s="54"/>
      <c r="FT170" s="54"/>
      <c r="FU170" s="54"/>
      <c r="FV170" s="54"/>
      <c r="FW170" s="54"/>
      <c r="FX170" s="54"/>
      <c r="FY170" s="54"/>
      <c r="FZ170" s="54"/>
      <c r="GA170" s="54"/>
      <c r="GB170" s="54"/>
      <c r="GC170" s="54"/>
      <c r="GD170" s="54"/>
      <c r="GE170" s="54"/>
      <c r="GF170" s="54"/>
      <c r="GG170" s="54"/>
      <c r="GH170" s="54"/>
      <c r="GI170" s="54"/>
      <c r="GJ170" s="54"/>
      <c r="GK170" s="54"/>
      <c r="GL170" s="54"/>
      <c r="GM170" s="54"/>
      <c r="GN170" s="54"/>
      <c r="GO170" s="54"/>
      <c r="GP170" s="54"/>
      <c r="GQ170" s="54"/>
      <c r="GR170" s="54"/>
      <c r="GS170" s="54"/>
      <c r="GT170" s="54"/>
      <c r="GU170" s="54"/>
      <c r="GV170" s="54"/>
      <c r="GW170" s="54"/>
      <c r="GX170" s="54"/>
      <c r="GY170" s="54"/>
      <c r="GZ170" s="54"/>
      <c r="HA170" s="54"/>
      <c r="HB170" s="54"/>
      <c r="HC170" s="54"/>
      <c r="HD170" s="54"/>
      <c r="HE170" s="54"/>
      <c r="HF170" s="54"/>
      <c r="HG170" s="54"/>
      <c r="HH170" s="54"/>
      <c r="HI170" s="54"/>
      <c r="HJ170" s="54"/>
      <c r="HK170" s="54"/>
      <c r="HL170" s="54"/>
      <c r="HM170" s="54"/>
      <c r="HN170" s="54"/>
      <c r="HO170" s="54"/>
      <c r="HP170" s="54"/>
      <c r="HQ170" s="54"/>
      <c r="HR170" s="54"/>
      <c r="HS170" s="54"/>
      <c r="HT170" s="54"/>
      <c r="HU170" s="53"/>
      <c r="HV170" s="54"/>
      <c r="HW170" s="54"/>
      <c r="HX170" s="54"/>
      <c r="HY170" s="54"/>
      <c r="HZ170" s="54"/>
      <c r="IA170" s="54"/>
      <c r="IB170" s="54"/>
      <c r="IC170" s="54"/>
      <c r="ID170" s="54"/>
      <c r="IE170" s="54"/>
      <c r="IF170" s="54"/>
      <c r="IG170" s="54"/>
      <c r="IH170" s="54"/>
      <c r="II170" s="54"/>
      <c r="IJ170" s="54"/>
      <c r="IK170" s="54"/>
      <c r="IL170" s="54"/>
      <c r="IM170" s="54"/>
      <c r="IN170" s="54"/>
      <c r="IO170" s="54"/>
      <c r="IP170" s="54"/>
      <c r="IQ170" s="54"/>
      <c r="IR170" s="54"/>
      <c r="IS170" s="54"/>
      <c r="IT170" s="54"/>
      <c r="IU170" s="54"/>
      <c r="IV170" s="54"/>
      <c r="IW170" s="54"/>
      <c r="IX170" s="54"/>
      <c r="IY170" s="53"/>
      <c r="IZ170" s="54"/>
      <c r="JA170" s="54"/>
      <c r="JB170" s="54"/>
      <c r="JC170" s="54"/>
      <c r="JD170" s="54"/>
      <c r="JE170" s="54"/>
      <c r="JF170" s="54"/>
      <c r="JG170" s="54"/>
      <c r="JH170" s="54"/>
      <c r="JI170" s="54"/>
      <c r="JJ170" s="54"/>
      <c r="JK170" s="54"/>
      <c r="JL170" s="54"/>
      <c r="JM170" s="54"/>
      <c r="JN170" s="54"/>
      <c r="JO170" s="54"/>
      <c r="JP170" s="54"/>
      <c r="JQ170" s="54"/>
      <c r="JR170" s="54"/>
      <c r="JS170" s="54"/>
      <c r="JT170" s="54"/>
      <c r="JU170" s="54"/>
      <c r="JV170" s="54"/>
      <c r="JW170" s="54"/>
      <c r="JX170" s="54"/>
      <c r="JY170" s="54"/>
      <c r="JZ170" s="54"/>
      <c r="KA170" s="54"/>
      <c r="KB170" s="54"/>
      <c r="KC170" s="53"/>
      <c r="KD170" s="54"/>
      <c r="KE170" s="55"/>
      <c r="KF170" s="54"/>
      <c r="KG170" s="54"/>
      <c r="KH170" s="54"/>
      <c r="KI170" s="53"/>
      <c r="KJ170" s="54"/>
      <c r="KK170" s="55"/>
      <c r="KL170" s="54"/>
      <c r="KM170" s="54"/>
      <c r="KN170" s="54"/>
      <c r="KO170" s="53"/>
      <c r="KP170" s="54"/>
      <c r="KQ170" s="55"/>
      <c r="KR170" s="54"/>
      <c r="KS170" s="54"/>
      <c r="KT170" s="54"/>
      <c r="KU170" s="53"/>
      <c r="KV170" s="54"/>
      <c r="KW170" s="55"/>
      <c r="KX170" s="54"/>
      <c r="KY170" s="54"/>
      <c r="KZ170" s="54"/>
      <c r="LA170" s="57"/>
      <c r="LB170" s="54"/>
      <c r="LC170" s="58"/>
      <c r="LD170" s="54"/>
      <c r="LE170" s="54"/>
      <c r="LF170" s="54"/>
      <c r="LG170" s="53"/>
      <c r="LH170" s="54"/>
      <c r="LI170" s="55"/>
      <c r="LJ170" s="53"/>
      <c r="LK170" s="54"/>
      <c r="LL170" s="55"/>
      <c r="LM170" s="53"/>
      <c r="LN170" s="54"/>
      <c r="LO170" s="55"/>
      <c r="LP170" s="53"/>
      <c r="LQ170" s="54"/>
      <c r="LR170" s="55"/>
      <c r="LS170" s="53"/>
      <c r="LT170" s="54"/>
      <c r="LU170" s="55"/>
      <c r="LV170" s="54"/>
      <c r="LW170" s="54"/>
      <c r="LX170" s="54"/>
      <c r="LY170" s="53"/>
      <c r="LZ170" s="54"/>
      <c r="MA170" s="55"/>
      <c r="MB170" s="54"/>
      <c r="MC170" s="54"/>
      <c r="MD170" s="54"/>
      <c r="ME170" s="53"/>
      <c r="MF170" s="54"/>
      <c r="MG170" s="55"/>
      <c r="MH170" s="54"/>
      <c r="MI170" s="54"/>
      <c r="MJ170" s="54"/>
      <c r="MK170" s="53"/>
      <c r="ML170" s="54"/>
      <c r="MM170" s="55"/>
      <c r="MN170" s="53"/>
      <c r="MO170" s="54"/>
      <c r="MP170" s="55"/>
      <c r="MQ170" s="54"/>
      <c r="MR170" s="54"/>
      <c r="MS170" s="54"/>
      <c r="MT170" s="53"/>
      <c r="MU170" s="54"/>
      <c r="MV170" s="55"/>
      <c r="MW170" s="53"/>
      <c r="MX170" s="54"/>
      <c r="MY170" s="55"/>
      <c r="MZ170" s="53"/>
      <c r="NA170" s="54"/>
      <c r="NB170" s="55"/>
      <c r="NC170" s="212">
        <v>1.3799999999999999E-3</v>
      </c>
      <c r="ND170" s="212"/>
      <c r="NE170" s="276"/>
      <c r="NG170" s="275">
        <f>SUM(R170:NE170)</f>
        <v>1.3799999999999999E-3</v>
      </c>
      <c r="NH170" s="1"/>
      <c r="NI170" s="1"/>
      <c r="NJ170" s="1"/>
      <c r="NK170" s="1"/>
    </row>
    <row r="171" spans="4:375" s="6" customFormat="1" ht="6.95" customHeight="1">
      <c r="E171" s="80"/>
      <c r="F171" s="196"/>
      <c r="G171" s="197"/>
      <c r="H171" s="52">
        <v>2</v>
      </c>
      <c r="I171" s="80"/>
      <c r="J171" s="80"/>
      <c r="L171" s="340"/>
      <c r="M171" s="294"/>
      <c r="N171" s="357"/>
      <c r="O171" s="306"/>
      <c r="P171" s="308"/>
      <c r="Q171" s="237"/>
      <c r="R171" s="6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39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1"/>
      <c r="CA171" s="39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  <c r="DC171" s="40"/>
      <c r="DD171" s="40"/>
      <c r="DE171" s="39"/>
      <c r="DF171" s="40"/>
      <c r="DG171" s="40"/>
      <c r="DH171" s="40"/>
      <c r="DI171" s="40"/>
      <c r="DJ171" s="40"/>
      <c r="DK171" s="40"/>
      <c r="DL171" s="40"/>
      <c r="DM171" s="40"/>
      <c r="DN171" s="40"/>
      <c r="DO171" s="40"/>
      <c r="DP171" s="40"/>
      <c r="DQ171" s="40"/>
      <c r="DR171" s="40"/>
      <c r="DS171" s="40"/>
      <c r="DT171" s="40"/>
      <c r="DU171" s="40"/>
      <c r="DV171" s="40"/>
      <c r="DW171" s="40"/>
      <c r="DX171" s="40"/>
      <c r="DY171" s="40"/>
      <c r="DZ171" s="40"/>
      <c r="EA171" s="40"/>
      <c r="EB171" s="40"/>
      <c r="EC171" s="40"/>
      <c r="ED171" s="40"/>
      <c r="EE171" s="40"/>
      <c r="EF171" s="40"/>
      <c r="EG171" s="40"/>
      <c r="EH171" s="40"/>
      <c r="EI171" s="40"/>
      <c r="EJ171" s="40"/>
      <c r="EK171" s="40"/>
      <c r="EL171" s="40"/>
      <c r="EM171" s="40"/>
      <c r="EN171" s="40"/>
      <c r="EO171" s="40"/>
      <c r="EP171" s="40"/>
      <c r="EQ171" s="40"/>
      <c r="ER171" s="40"/>
      <c r="ES171" s="40"/>
      <c r="ET171" s="40"/>
      <c r="EU171" s="40"/>
      <c r="EV171" s="40"/>
      <c r="EW171" s="40"/>
      <c r="EX171" s="40"/>
      <c r="EY171" s="40"/>
      <c r="EZ171" s="40"/>
      <c r="FA171" s="40"/>
      <c r="FB171" s="40"/>
      <c r="FC171" s="40"/>
      <c r="FD171" s="40"/>
      <c r="FE171" s="40"/>
      <c r="FF171" s="40"/>
      <c r="FG171" s="40"/>
      <c r="FH171" s="40"/>
      <c r="FI171" s="40"/>
      <c r="FJ171" s="40"/>
      <c r="FK171" s="40"/>
      <c r="FL171" s="40"/>
      <c r="FM171" s="39"/>
      <c r="FN171" s="40"/>
      <c r="FO171" s="40"/>
      <c r="FP171" s="40"/>
      <c r="FQ171" s="40"/>
      <c r="FR171" s="40"/>
      <c r="FS171" s="40"/>
      <c r="FT171" s="40"/>
      <c r="FU171" s="40"/>
      <c r="FV171" s="40"/>
      <c r="FW171" s="40"/>
      <c r="FX171" s="40"/>
      <c r="FY171" s="40"/>
      <c r="FZ171" s="40"/>
      <c r="GA171" s="40"/>
      <c r="GB171" s="40"/>
      <c r="GC171" s="40"/>
      <c r="GD171" s="40"/>
      <c r="GE171" s="40"/>
      <c r="GF171" s="40"/>
      <c r="GG171" s="40"/>
      <c r="GH171" s="40"/>
      <c r="GI171" s="40"/>
      <c r="GJ171" s="40"/>
      <c r="GK171" s="40"/>
      <c r="GL171" s="40"/>
      <c r="GM171" s="40"/>
      <c r="GN171" s="40"/>
      <c r="GO171" s="40"/>
      <c r="GP171" s="40"/>
      <c r="GQ171" s="40"/>
      <c r="GR171" s="40"/>
      <c r="GS171" s="40"/>
      <c r="GT171" s="40"/>
      <c r="GU171" s="40"/>
      <c r="GV171" s="40"/>
      <c r="GW171" s="40"/>
      <c r="GX171" s="40"/>
      <c r="GY171" s="40"/>
      <c r="GZ171" s="40"/>
      <c r="HA171" s="40"/>
      <c r="HB171" s="40"/>
      <c r="HC171" s="40"/>
      <c r="HD171" s="40"/>
      <c r="HE171" s="40"/>
      <c r="HF171" s="40"/>
      <c r="HG171" s="40"/>
      <c r="HH171" s="40"/>
      <c r="HI171" s="40"/>
      <c r="HJ171" s="40"/>
      <c r="HK171" s="40"/>
      <c r="HL171" s="40"/>
      <c r="HM171" s="40"/>
      <c r="HN171" s="40"/>
      <c r="HO171" s="40"/>
      <c r="HP171" s="40"/>
      <c r="HQ171" s="40"/>
      <c r="HR171" s="40"/>
      <c r="HS171" s="40"/>
      <c r="HT171" s="40"/>
      <c r="HU171" s="39"/>
      <c r="HV171" s="40"/>
      <c r="HW171" s="40"/>
      <c r="HX171" s="40"/>
      <c r="HY171" s="40"/>
      <c r="HZ171" s="40"/>
      <c r="IA171" s="40"/>
      <c r="IB171" s="40"/>
      <c r="IC171" s="40"/>
      <c r="ID171" s="40"/>
      <c r="IE171" s="40"/>
      <c r="IF171" s="40"/>
      <c r="IG171" s="40"/>
      <c r="IH171" s="40"/>
      <c r="II171" s="40"/>
      <c r="IJ171" s="40"/>
      <c r="IK171" s="40"/>
      <c r="IL171" s="40"/>
      <c r="IM171" s="40"/>
      <c r="IN171" s="40"/>
      <c r="IO171" s="40"/>
      <c r="IP171" s="40"/>
      <c r="IQ171" s="40"/>
      <c r="IR171" s="40"/>
      <c r="IS171" s="40"/>
      <c r="IT171" s="40"/>
      <c r="IU171" s="40"/>
      <c r="IV171" s="40"/>
      <c r="IW171" s="40"/>
      <c r="IX171" s="40"/>
      <c r="IY171" s="39"/>
      <c r="IZ171" s="40"/>
      <c r="JA171" s="40"/>
      <c r="JB171" s="40"/>
      <c r="JC171" s="40"/>
      <c r="JD171" s="40"/>
      <c r="JE171" s="40"/>
      <c r="JF171" s="40"/>
      <c r="JG171" s="40"/>
      <c r="JH171" s="40"/>
      <c r="JI171" s="40"/>
      <c r="JJ171" s="40"/>
      <c r="JK171" s="40"/>
      <c r="JL171" s="40"/>
      <c r="JM171" s="40"/>
      <c r="JN171" s="40"/>
      <c r="JO171" s="40"/>
      <c r="JP171" s="40"/>
      <c r="JQ171" s="40"/>
      <c r="JR171" s="40"/>
      <c r="JS171" s="40"/>
      <c r="JT171" s="40"/>
      <c r="JU171" s="40"/>
      <c r="JV171" s="40"/>
      <c r="JW171" s="40"/>
      <c r="JX171" s="40"/>
      <c r="JY171" s="40"/>
      <c r="JZ171" s="40"/>
      <c r="KA171" s="40"/>
      <c r="KB171" s="40"/>
      <c r="KC171" s="39"/>
      <c r="KD171" s="40"/>
      <c r="KE171" s="41"/>
      <c r="KF171" s="40"/>
      <c r="KG171" s="40"/>
      <c r="KH171" s="40"/>
      <c r="KI171" s="39"/>
      <c r="KJ171" s="40"/>
      <c r="KK171" s="41"/>
      <c r="KL171" s="40"/>
      <c r="KM171" s="40"/>
      <c r="KN171" s="40"/>
      <c r="KO171" s="39"/>
      <c r="KP171" s="40"/>
      <c r="KQ171" s="41"/>
      <c r="KR171" s="40"/>
      <c r="KS171" s="40"/>
      <c r="KT171" s="40"/>
      <c r="KU171" s="39"/>
      <c r="KV171" s="40"/>
      <c r="KW171" s="41"/>
      <c r="KX171" s="40"/>
      <c r="KY171" s="40"/>
      <c r="KZ171" s="40"/>
      <c r="LA171" s="64"/>
      <c r="LB171" s="40"/>
      <c r="LC171" s="65"/>
      <c r="LD171" s="40"/>
      <c r="LE171" s="40"/>
      <c r="LF171" s="40"/>
      <c r="LG171" s="39"/>
      <c r="LH171" s="40"/>
      <c r="LI171" s="41"/>
      <c r="LJ171" s="39"/>
      <c r="LK171" s="40"/>
      <c r="LL171" s="41"/>
      <c r="LM171" s="39"/>
      <c r="LN171" s="40"/>
      <c r="LO171" s="41"/>
      <c r="LP171" s="39"/>
      <c r="LQ171" s="40"/>
      <c r="LR171" s="41"/>
      <c r="LS171" s="39"/>
      <c r="LT171" s="40"/>
      <c r="LU171" s="41"/>
      <c r="LV171" s="40"/>
      <c r="LW171" s="40"/>
      <c r="LX171" s="40"/>
      <c r="LY171" s="39"/>
      <c r="LZ171" s="40"/>
      <c r="MA171" s="41"/>
      <c r="MB171" s="40"/>
      <c r="MC171" s="40"/>
      <c r="MD171" s="40"/>
      <c r="ME171" s="39"/>
      <c r="MF171" s="40"/>
      <c r="MG171" s="41"/>
      <c r="MH171" s="40"/>
      <c r="MI171" s="40"/>
      <c r="MJ171" s="40"/>
      <c r="MK171" s="39"/>
      <c r="ML171" s="40"/>
      <c r="MM171" s="41"/>
      <c r="MN171" s="39"/>
      <c r="MO171" s="40"/>
      <c r="MP171" s="41"/>
      <c r="MQ171" s="40"/>
      <c r="MR171" s="40"/>
      <c r="MS171" s="40"/>
      <c r="MT171" s="39"/>
      <c r="MU171" s="40"/>
      <c r="MV171" s="41"/>
      <c r="MW171" s="39"/>
      <c r="MX171" s="40"/>
      <c r="MY171" s="41"/>
      <c r="MZ171" s="39"/>
      <c r="NA171" s="40"/>
      <c r="NB171" s="41"/>
      <c r="NC171" s="61"/>
      <c r="ND171" s="62"/>
      <c r="NE171" s="91"/>
      <c r="NG171" s="275"/>
      <c r="NH171" s="1"/>
      <c r="NI171" s="1"/>
      <c r="NJ171" s="1"/>
      <c r="NK171" s="1"/>
    </row>
    <row r="172" spans="4:375" s="6" customFormat="1" ht="9.9499999999999993" customHeight="1">
      <c r="F172" s="196">
        <f t="shared" ref="F172" si="431">NG172</f>
        <v>9.9999999999999995E-7</v>
      </c>
      <c r="G172" s="197">
        <f>Q172-F172</f>
        <v>-9.9999999999999995E-7</v>
      </c>
      <c r="H172" s="27">
        <v>1</v>
      </c>
      <c r="L172" s="292"/>
      <c r="M172" s="300" t="s">
        <v>79</v>
      </c>
      <c r="N172" s="301">
        <v>1</v>
      </c>
      <c r="O172" s="309" t="s">
        <v>1</v>
      </c>
      <c r="P172" s="315">
        <v>152</v>
      </c>
      <c r="Q172" s="236">
        <f>ROUND(P172/$P$256,5)</f>
        <v>0</v>
      </c>
      <c r="R172" s="100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6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8"/>
      <c r="CA172" s="66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7"/>
      <c r="CQ172" s="67"/>
      <c r="CR172" s="67"/>
      <c r="CS172" s="67"/>
      <c r="CT172" s="67"/>
      <c r="CU172" s="67"/>
      <c r="CV172" s="67"/>
      <c r="CW172" s="67"/>
      <c r="CX172" s="67"/>
      <c r="CY172" s="67"/>
      <c r="CZ172" s="67"/>
      <c r="DA172" s="67"/>
      <c r="DB172" s="67"/>
      <c r="DC172" s="67"/>
      <c r="DD172" s="67"/>
      <c r="DE172" s="66"/>
      <c r="DF172" s="67"/>
      <c r="DG172" s="67"/>
      <c r="DH172" s="67"/>
      <c r="DI172" s="67"/>
      <c r="DJ172" s="67"/>
      <c r="DK172" s="67"/>
      <c r="DL172" s="67"/>
      <c r="DM172" s="67"/>
      <c r="DN172" s="67"/>
      <c r="DO172" s="67"/>
      <c r="DP172" s="67"/>
      <c r="DQ172" s="67"/>
      <c r="DR172" s="67"/>
      <c r="DS172" s="67"/>
      <c r="DT172" s="67"/>
      <c r="DU172" s="67"/>
      <c r="DV172" s="67"/>
      <c r="DW172" s="67"/>
      <c r="DX172" s="67"/>
      <c r="DY172" s="67"/>
      <c r="DZ172" s="67"/>
      <c r="EA172" s="67"/>
      <c r="EB172" s="67"/>
      <c r="EC172" s="67"/>
      <c r="ED172" s="67"/>
      <c r="EE172" s="67"/>
      <c r="EF172" s="67"/>
      <c r="EG172" s="67"/>
      <c r="EH172" s="67"/>
      <c r="EI172" s="67"/>
      <c r="EJ172" s="67"/>
      <c r="EK172" s="67"/>
      <c r="EL172" s="67"/>
      <c r="EM172" s="67"/>
      <c r="EN172" s="67"/>
      <c r="EO172" s="67"/>
      <c r="EP172" s="67"/>
      <c r="EQ172" s="67"/>
      <c r="ER172" s="67"/>
      <c r="ES172" s="67"/>
      <c r="ET172" s="67"/>
      <c r="EU172" s="67"/>
      <c r="EV172" s="67"/>
      <c r="EW172" s="67"/>
      <c r="EX172" s="67"/>
      <c r="EY172" s="67"/>
      <c r="EZ172" s="67"/>
      <c r="FA172" s="67"/>
      <c r="FB172" s="67"/>
      <c r="FC172" s="67"/>
      <c r="FD172" s="67"/>
      <c r="FE172" s="67"/>
      <c r="FF172" s="67"/>
      <c r="FG172" s="67"/>
      <c r="FH172" s="67"/>
      <c r="FI172" s="67"/>
      <c r="FJ172" s="67"/>
      <c r="FK172" s="67"/>
      <c r="FL172" s="67"/>
      <c r="FM172" s="66"/>
      <c r="FN172" s="67"/>
      <c r="FO172" s="67"/>
      <c r="FP172" s="67"/>
      <c r="FQ172" s="67"/>
      <c r="FR172" s="67"/>
      <c r="FS172" s="67"/>
      <c r="FT172" s="67"/>
      <c r="FU172" s="67"/>
      <c r="FV172" s="67"/>
      <c r="FW172" s="67"/>
      <c r="FX172" s="67"/>
      <c r="FY172" s="67"/>
      <c r="FZ172" s="67"/>
      <c r="GA172" s="67"/>
      <c r="GB172" s="67"/>
      <c r="GC172" s="67"/>
      <c r="GD172" s="67"/>
      <c r="GE172" s="67"/>
      <c r="GF172" s="67"/>
      <c r="GG172" s="67"/>
      <c r="GH172" s="67"/>
      <c r="GI172" s="67"/>
      <c r="GJ172" s="67"/>
      <c r="GK172" s="67"/>
      <c r="GL172" s="67"/>
      <c r="GM172" s="67"/>
      <c r="GN172" s="67"/>
      <c r="GO172" s="67"/>
      <c r="GP172" s="67"/>
      <c r="GQ172" s="67"/>
      <c r="GR172" s="67"/>
      <c r="GS172" s="67"/>
      <c r="GT172" s="67"/>
      <c r="GU172" s="67"/>
      <c r="GV172" s="67"/>
      <c r="GW172" s="67"/>
      <c r="GX172" s="67"/>
      <c r="GY172" s="67"/>
      <c r="GZ172" s="67"/>
      <c r="HA172" s="67"/>
      <c r="HB172" s="67"/>
      <c r="HC172" s="67"/>
      <c r="HD172" s="67"/>
      <c r="HE172" s="67"/>
      <c r="HF172" s="67"/>
      <c r="HG172" s="67"/>
      <c r="HH172" s="67"/>
      <c r="HI172" s="67"/>
      <c r="HJ172" s="67"/>
      <c r="HK172" s="67"/>
      <c r="HL172" s="67"/>
      <c r="HM172" s="67"/>
      <c r="HN172" s="67"/>
      <c r="HO172" s="67"/>
      <c r="HP172" s="67"/>
      <c r="HQ172" s="67"/>
      <c r="HR172" s="67"/>
      <c r="HS172" s="67"/>
      <c r="HT172" s="67"/>
      <c r="HU172" s="66"/>
      <c r="HV172" s="67"/>
      <c r="HW172" s="67"/>
      <c r="HX172" s="67"/>
      <c r="HY172" s="67"/>
      <c r="HZ172" s="67"/>
      <c r="IA172" s="67"/>
      <c r="IB172" s="67"/>
      <c r="IC172" s="67"/>
      <c r="ID172" s="67"/>
      <c r="IE172" s="67"/>
      <c r="IF172" s="67"/>
      <c r="IG172" s="67"/>
      <c r="IH172" s="67"/>
      <c r="II172" s="67"/>
      <c r="IJ172" s="67"/>
      <c r="IK172" s="67"/>
      <c r="IL172" s="67"/>
      <c r="IM172" s="67"/>
      <c r="IN172" s="67"/>
      <c r="IO172" s="67"/>
      <c r="IP172" s="67"/>
      <c r="IQ172" s="67"/>
      <c r="IR172" s="67"/>
      <c r="IS172" s="67"/>
      <c r="IT172" s="67"/>
      <c r="IU172" s="67"/>
      <c r="IV172" s="67"/>
      <c r="IW172" s="67"/>
      <c r="IX172" s="67"/>
      <c r="IY172" s="66"/>
      <c r="IZ172" s="67"/>
      <c r="JA172" s="67"/>
      <c r="JB172" s="67"/>
      <c r="JC172" s="67"/>
      <c r="JD172" s="67"/>
      <c r="JE172" s="67"/>
      <c r="JF172" s="67"/>
      <c r="JG172" s="67"/>
      <c r="JH172" s="67"/>
      <c r="JI172" s="67"/>
      <c r="JJ172" s="67"/>
      <c r="JK172" s="67"/>
      <c r="JL172" s="67"/>
      <c r="JM172" s="67"/>
      <c r="JN172" s="67"/>
      <c r="JO172" s="67"/>
      <c r="JP172" s="67"/>
      <c r="JQ172" s="67"/>
      <c r="JR172" s="67"/>
      <c r="JS172" s="67"/>
      <c r="JT172" s="67"/>
      <c r="JU172" s="67"/>
      <c r="JV172" s="67"/>
      <c r="JW172" s="67"/>
      <c r="JX172" s="67"/>
      <c r="JY172" s="67"/>
      <c r="JZ172" s="67"/>
      <c r="KA172" s="67"/>
      <c r="KB172" s="67"/>
      <c r="KC172" s="66"/>
      <c r="KD172" s="67"/>
      <c r="KE172" s="68"/>
      <c r="KF172" s="67"/>
      <c r="KG172" s="67"/>
      <c r="KH172" s="67"/>
      <c r="KI172" s="66"/>
      <c r="KJ172" s="67"/>
      <c r="KK172" s="68"/>
      <c r="KL172" s="67"/>
      <c r="KM172" s="67"/>
      <c r="KN172" s="67"/>
      <c r="KO172" s="66"/>
      <c r="KP172" s="67"/>
      <c r="KQ172" s="68"/>
      <c r="KR172" s="67"/>
      <c r="KS172" s="67"/>
      <c r="KT172" s="67"/>
      <c r="KU172" s="66"/>
      <c r="KV172" s="67"/>
      <c r="KW172" s="68"/>
      <c r="KX172" s="67"/>
      <c r="KY172" s="67"/>
      <c r="KZ172" s="67"/>
      <c r="LA172" s="70"/>
      <c r="LB172" s="67"/>
      <c r="LC172" s="71"/>
      <c r="LD172" s="67"/>
      <c r="LE172" s="67"/>
      <c r="LF172" s="67"/>
      <c r="LG172" s="66"/>
      <c r="LH172" s="67"/>
      <c r="LI172" s="68"/>
      <c r="LJ172" s="66"/>
      <c r="LK172" s="67"/>
      <c r="LL172" s="68"/>
      <c r="LM172" s="66"/>
      <c r="LN172" s="67"/>
      <c r="LO172" s="68"/>
      <c r="LP172" s="66"/>
      <c r="LQ172" s="67"/>
      <c r="LR172" s="68"/>
      <c r="LS172" s="66"/>
      <c r="LT172" s="67"/>
      <c r="LU172" s="68"/>
      <c r="LV172" s="67"/>
      <c r="LW172" s="67"/>
      <c r="LX172" s="67"/>
      <c r="LY172" s="66"/>
      <c r="LZ172" s="67"/>
      <c r="MA172" s="68"/>
      <c r="MB172" s="67"/>
      <c r="MC172" s="67"/>
      <c r="MD172" s="67"/>
      <c r="ME172" s="66"/>
      <c r="MF172" s="67"/>
      <c r="MG172" s="68"/>
      <c r="MH172" s="67"/>
      <c r="MI172" s="67"/>
      <c r="MJ172" s="67"/>
      <c r="MK172" s="66"/>
      <c r="ML172" s="67"/>
      <c r="MM172" s="68"/>
      <c r="MN172" s="66"/>
      <c r="MO172" s="67"/>
      <c r="MP172" s="68"/>
      <c r="MQ172" s="67"/>
      <c r="MR172" s="67"/>
      <c r="MS172" s="67"/>
      <c r="MT172" s="66"/>
      <c r="MU172" s="67"/>
      <c r="MV172" s="68"/>
      <c r="MW172" s="66"/>
      <c r="MX172" s="67"/>
      <c r="MY172" s="68"/>
      <c r="MZ172" s="66"/>
      <c r="NA172" s="67"/>
      <c r="NB172" s="68"/>
      <c r="NC172" s="214">
        <v>9.9999999999999995E-7</v>
      </c>
      <c r="ND172" s="214"/>
      <c r="NE172" s="258"/>
      <c r="NG172" s="277">
        <f>SUM(R172:NE172)</f>
        <v>9.9999999999999995E-7</v>
      </c>
      <c r="NH172" s="1"/>
      <c r="NI172" s="1"/>
      <c r="NJ172" s="1"/>
      <c r="NK172" s="1"/>
    </row>
    <row r="173" spans="4:375" s="6" customFormat="1" ht="6.95" customHeight="1">
      <c r="F173" s="196"/>
      <c r="G173" s="197"/>
      <c r="H173" s="52">
        <v>2</v>
      </c>
      <c r="L173" s="292"/>
      <c r="M173" s="300"/>
      <c r="N173" s="301"/>
      <c r="O173" s="302"/>
      <c r="P173" s="315"/>
      <c r="Q173" s="237"/>
      <c r="R173" s="73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6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/>
      <c r="BR173" s="67"/>
      <c r="BS173" s="67"/>
      <c r="BT173" s="67"/>
      <c r="BU173" s="67"/>
      <c r="BV173" s="67"/>
      <c r="BW173" s="67"/>
      <c r="BX173" s="67"/>
      <c r="BY173" s="67"/>
      <c r="BZ173" s="68"/>
      <c r="CA173" s="66"/>
      <c r="CB173" s="67"/>
      <c r="CC173" s="67"/>
      <c r="CD173" s="67"/>
      <c r="CE173" s="67"/>
      <c r="CF173" s="67"/>
      <c r="CG173" s="67"/>
      <c r="CH173" s="67"/>
      <c r="CI173" s="67"/>
      <c r="CJ173" s="67"/>
      <c r="CK173" s="67"/>
      <c r="CL173" s="67"/>
      <c r="CM173" s="67"/>
      <c r="CN173" s="67"/>
      <c r="CO173" s="67"/>
      <c r="CP173" s="67"/>
      <c r="CQ173" s="67"/>
      <c r="CR173" s="67"/>
      <c r="CS173" s="67"/>
      <c r="CT173" s="67"/>
      <c r="CU173" s="67"/>
      <c r="CV173" s="67"/>
      <c r="CW173" s="67"/>
      <c r="CX173" s="67"/>
      <c r="CY173" s="67"/>
      <c r="CZ173" s="67"/>
      <c r="DA173" s="67"/>
      <c r="DB173" s="67"/>
      <c r="DC173" s="67"/>
      <c r="DD173" s="67"/>
      <c r="DE173" s="66"/>
      <c r="DF173" s="67"/>
      <c r="DG173" s="67"/>
      <c r="DH173" s="67"/>
      <c r="DI173" s="67"/>
      <c r="DJ173" s="67"/>
      <c r="DK173" s="67"/>
      <c r="DL173" s="67"/>
      <c r="DM173" s="67"/>
      <c r="DN173" s="67"/>
      <c r="DO173" s="67"/>
      <c r="DP173" s="67"/>
      <c r="DQ173" s="67"/>
      <c r="DR173" s="67"/>
      <c r="DS173" s="67"/>
      <c r="DT173" s="67"/>
      <c r="DU173" s="67"/>
      <c r="DV173" s="67"/>
      <c r="DW173" s="67"/>
      <c r="DX173" s="67"/>
      <c r="DY173" s="67"/>
      <c r="DZ173" s="67"/>
      <c r="EA173" s="67"/>
      <c r="EB173" s="67"/>
      <c r="EC173" s="67"/>
      <c r="ED173" s="67"/>
      <c r="EE173" s="67"/>
      <c r="EF173" s="67"/>
      <c r="EG173" s="67"/>
      <c r="EH173" s="67"/>
      <c r="EI173" s="67"/>
      <c r="EJ173" s="67"/>
      <c r="EK173" s="67"/>
      <c r="EL173" s="67"/>
      <c r="EM173" s="67"/>
      <c r="EN173" s="67"/>
      <c r="EO173" s="67"/>
      <c r="EP173" s="67"/>
      <c r="EQ173" s="67"/>
      <c r="ER173" s="67"/>
      <c r="ES173" s="67"/>
      <c r="ET173" s="67"/>
      <c r="EU173" s="67"/>
      <c r="EV173" s="67"/>
      <c r="EW173" s="67"/>
      <c r="EX173" s="67"/>
      <c r="EY173" s="67"/>
      <c r="EZ173" s="67"/>
      <c r="FA173" s="67"/>
      <c r="FB173" s="67"/>
      <c r="FC173" s="67"/>
      <c r="FD173" s="67"/>
      <c r="FE173" s="67"/>
      <c r="FF173" s="67"/>
      <c r="FG173" s="67"/>
      <c r="FH173" s="67"/>
      <c r="FI173" s="67"/>
      <c r="FJ173" s="67"/>
      <c r="FK173" s="67"/>
      <c r="FL173" s="67"/>
      <c r="FM173" s="66"/>
      <c r="FN173" s="67"/>
      <c r="FO173" s="67"/>
      <c r="FP173" s="67"/>
      <c r="FQ173" s="67"/>
      <c r="FR173" s="67"/>
      <c r="FS173" s="67"/>
      <c r="FT173" s="67"/>
      <c r="FU173" s="67"/>
      <c r="FV173" s="67"/>
      <c r="FW173" s="67"/>
      <c r="FX173" s="67"/>
      <c r="FY173" s="67"/>
      <c r="FZ173" s="67"/>
      <c r="GA173" s="67"/>
      <c r="GB173" s="67"/>
      <c r="GC173" s="67"/>
      <c r="GD173" s="67"/>
      <c r="GE173" s="67"/>
      <c r="GF173" s="67"/>
      <c r="GG173" s="67"/>
      <c r="GH173" s="67"/>
      <c r="GI173" s="67"/>
      <c r="GJ173" s="67"/>
      <c r="GK173" s="67"/>
      <c r="GL173" s="67"/>
      <c r="GM173" s="67"/>
      <c r="GN173" s="67"/>
      <c r="GO173" s="67"/>
      <c r="GP173" s="67"/>
      <c r="GQ173" s="67"/>
      <c r="GR173" s="67"/>
      <c r="GS173" s="67"/>
      <c r="GT173" s="67"/>
      <c r="GU173" s="67"/>
      <c r="GV173" s="67"/>
      <c r="GW173" s="67"/>
      <c r="GX173" s="67"/>
      <c r="GY173" s="67"/>
      <c r="GZ173" s="67"/>
      <c r="HA173" s="67"/>
      <c r="HB173" s="67"/>
      <c r="HC173" s="67"/>
      <c r="HD173" s="67"/>
      <c r="HE173" s="67"/>
      <c r="HF173" s="67"/>
      <c r="HG173" s="67"/>
      <c r="HH173" s="67"/>
      <c r="HI173" s="67"/>
      <c r="HJ173" s="67"/>
      <c r="HK173" s="67"/>
      <c r="HL173" s="67"/>
      <c r="HM173" s="67"/>
      <c r="HN173" s="67"/>
      <c r="HO173" s="67"/>
      <c r="HP173" s="67"/>
      <c r="HQ173" s="67"/>
      <c r="HR173" s="67"/>
      <c r="HS173" s="67"/>
      <c r="HT173" s="67"/>
      <c r="HU173" s="66"/>
      <c r="HV173" s="67"/>
      <c r="HW173" s="67"/>
      <c r="HX173" s="67"/>
      <c r="HY173" s="67"/>
      <c r="HZ173" s="67"/>
      <c r="IA173" s="67"/>
      <c r="IB173" s="67"/>
      <c r="IC173" s="67"/>
      <c r="ID173" s="67"/>
      <c r="IE173" s="67"/>
      <c r="IF173" s="67"/>
      <c r="IG173" s="67"/>
      <c r="IH173" s="67"/>
      <c r="II173" s="67"/>
      <c r="IJ173" s="67"/>
      <c r="IK173" s="67"/>
      <c r="IL173" s="67"/>
      <c r="IM173" s="67"/>
      <c r="IN173" s="67"/>
      <c r="IO173" s="67"/>
      <c r="IP173" s="67"/>
      <c r="IQ173" s="67"/>
      <c r="IR173" s="67"/>
      <c r="IS173" s="67"/>
      <c r="IT173" s="67"/>
      <c r="IU173" s="67"/>
      <c r="IV173" s="67"/>
      <c r="IW173" s="67"/>
      <c r="IX173" s="67"/>
      <c r="IY173" s="66"/>
      <c r="IZ173" s="67"/>
      <c r="JA173" s="67"/>
      <c r="JB173" s="67"/>
      <c r="JC173" s="67"/>
      <c r="JD173" s="67"/>
      <c r="JE173" s="67"/>
      <c r="JF173" s="67"/>
      <c r="JG173" s="67"/>
      <c r="JH173" s="67"/>
      <c r="JI173" s="67"/>
      <c r="JJ173" s="67"/>
      <c r="JK173" s="67"/>
      <c r="JL173" s="67"/>
      <c r="JM173" s="67"/>
      <c r="JN173" s="67"/>
      <c r="JO173" s="67"/>
      <c r="JP173" s="67"/>
      <c r="JQ173" s="67"/>
      <c r="JR173" s="67"/>
      <c r="JS173" s="67"/>
      <c r="JT173" s="67"/>
      <c r="JU173" s="67"/>
      <c r="JV173" s="67"/>
      <c r="JW173" s="67"/>
      <c r="JX173" s="67"/>
      <c r="JY173" s="67"/>
      <c r="JZ173" s="67"/>
      <c r="KA173" s="67"/>
      <c r="KB173" s="67"/>
      <c r="KC173" s="66"/>
      <c r="KD173" s="67"/>
      <c r="KE173" s="68"/>
      <c r="KF173" s="67"/>
      <c r="KG173" s="67"/>
      <c r="KH173" s="67"/>
      <c r="KI173" s="66"/>
      <c r="KJ173" s="67"/>
      <c r="KK173" s="68"/>
      <c r="KL173" s="67"/>
      <c r="KM173" s="67"/>
      <c r="KN173" s="67"/>
      <c r="KO173" s="66"/>
      <c r="KP173" s="67"/>
      <c r="KQ173" s="68"/>
      <c r="KR173" s="67"/>
      <c r="KS173" s="67"/>
      <c r="KT173" s="67"/>
      <c r="KU173" s="66"/>
      <c r="KV173" s="67"/>
      <c r="KW173" s="68"/>
      <c r="KX173" s="67"/>
      <c r="KY173" s="67"/>
      <c r="KZ173" s="67"/>
      <c r="LA173" s="70"/>
      <c r="LB173" s="67"/>
      <c r="LC173" s="71"/>
      <c r="LD173" s="67"/>
      <c r="LE173" s="67"/>
      <c r="LF173" s="67"/>
      <c r="LG173" s="66"/>
      <c r="LH173" s="67"/>
      <c r="LI173" s="68"/>
      <c r="LJ173" s="66"/>
      <c r="LK173" s="67"/>
      <c r="LL173" s="68"/>
      <c r="LM173" s="66"/>
      <c r="LN173" s="67"/>
      <c r="LO173" s="68"/>
      <c r="LP173" s="66"/>
      <c r="LQ173" s="67"/>
      <c r="LR173" s="68"/>
      <c r="LS173" s="66"/>
      <c r="LT173" s="67"/>
      <c r="LU173" s="68"/>
      <c r="LV173" s="67"/>
      <c r="LW173" s="67"/>
      <c r="LX173" s="67"/>
      <c r="LY173" s="66"/>
      <c r="LZ173" s="67"/>
      <c r="MA173" s="68"/>
      <c r="MB173" s="67"/>
      <c r="MC173" s="67"/>
      <c r="MD173" s="67"/>
      <c r="ME173" s="66"/>
      <c r="MF173" s="67"/>
      <c r="MG173" s="68"/>
      <c r="MH173" s="67"/>
      <c r="MI173" s="67"/>
      <c r="MJ173" s="67"/>
      <c r="MK173" s="66"/>
      <c r="ML173" s="67"/>
      <c r="MM173" s="68"/>
      <c r="MN173" s="66"/>
      <c r="MO173" s="67"/>
      <c r="MP173" s="68"/>
      <c r="MQ173" s="67"/>
      <c r="MR173" s="67"/>
      <c r="MS173" s="67"/>
      <c r="MT173" s="66"/>
      <c r="MU173" s="67"/>
      <c r="MV173" s="68"/>
      <c r="MW173" s="66"/>
      <c r="MX173" s="67"/>
      <c r="MY173" s="68"/>
      <c r="MZ173" s="66"/>
      <c r="NA173" s="67"/>
      <c r="NB173" s="68"/>
      <c r="NC173" s="61"/>
      <c r="ND173" s="62"/>
      <c r="NE173" s="91"/>
      <c r="NG173" s="277"/>
      <c r="NH173" s="1"/>
      <c r="NI173" s="1"/>
      <c r="NJ173" s="1"/>
      <c r="NK173" s="1"/>
    </row>
    <row r="174" spans="4:375" s="6" customFormat="1" ht="9.9499999999999993" customHeight="1">
      <c r="F174" s="196">
        <f t="shared" ref="F174" si="432">NG174</f>
        <v>1.4300000000000003E-3</v>
      </c>
      <c r="G174" s="197">
        <f>Q174-F174</f>
        <v>0</v>
      </c>
      <c r="H174" s="27">
        <v>1</v>
      </c>
      <c r="L174" s="339"/>
      <c r="M174" s="293" t="s">
        <v>151</v>
      </c>
      <c r="N174" s="313">
        <v>1</v>
      </c>
      <c r="O174" s="350" t="s">
        <v>1</v>
      </c>
      <c r="P174" s="307">
        <v>297762</v>
      </c>
      <c r="Q174" s="236">
        <f>ROUND(P174/$P$256,5)</f>
        <v>1.4300000000000001E-3</v>
      </c>
      <c r="R174" s="21"/>
      <c r="S174" s="155">
        <f>0.011%/30</f>
        <v>3.6666666666666661E-6</v>
      </c>
      <c r="T174" s="155">
        <f>S174</f>
        <v>3.6666666666666661E-6</v>
      </c>
      <c r="U174" s="155">
        <f t="shared" ref="U174:AV174" si="433">T174</f>
        <v>3.6666666666666661E-6</v>
      </c>
      <c r="V174" s="155">
        <f t="shared" si="433"/>
        <v>3.6666666666666661E-6</v>
      </c>
      <c r="W174" s="155">
        <f t="shared" si="433"/>
        <v>3.6666666666666661E-6</v>
      </c>
      <c r="X174" s="155">
        <f t="shared" si="433"/>
        <v>3.6666666666666661E-6</v>
      </c>
      <c r="Y174" s="155">
        <f t="shared" si="433"/>
        <v>3.6666666666666661E-6</v>
      </c>
      <c r="Z174" s="155">
        <f t="shared" si="433"/>
        <v>3.6666666666666661E-6</v>
      </c>
      <c r="AA174" s="155">
        <f t="shared" si="433"/>
        <v>3.6666666666666661E-6</v>
      </c>
      <c r="AB174" s="155">
        <f t="shared" si="433"/>
        <v>3.6666666666666661E-6</v>
      </c>
      <c r="AC174" s="155">
        <f t="shared" si="433"/>
        <v>3.6666666666666661E-6</v>
      </c>
      <c r="AD174" s="155">
        <f t="shared" si="433"/>
        <v>3.6666666666666661E-6</v>
      </c>
      <c r="AE174" s="155">
        <f t="shared" si="433"/>
        <v>3.6666666666666661E-6</v>
      </c>
      <c r="AF174" s="155">
        <f t="shared" si="433"/>
        <v>3.6666666666666661E-6</v>
      </c>
      <c r="AG174" s="155">
        <f t="shared" si="433"/>
        <v>3.6666666666666661E-6</v>
      </c>
      <c r="AH174" s="155">
        <f t="shared" si="433"/>
        <v>3.6666666666666661E-6</v>
      </c>
      <c r="AI174" s="155">
        <f t="shared" si="433"/>
        <v>3.6666666666666661E-6</v>
      </c>
      <c r="AJ174" s="155">
        <f t="shared" si="433"/>
        <v>3.6666666666666661E-6</v>
      </c>
      <c r="AK174" s="155">
        <f t="shared" si="433"/>
        <v>3.6666666666666661E-6</v>
      </c>
      <c r="AL174" s="155">
        <f t="shared" si="433"/>
        <v>3.6666666666666661E-6</v>
      </c>
      <c r="AM174" s="155">
        <f t="shared" si="433"/>
        <v>3.6666666666666661E-6</v>
      </c>
      <c r="AN174" s="155">
        <f t="shared" si="433"/>
        <v>3.6666666666666661E-6</v>
      </c>
      <c r="AO174" s="155">
        <f t="shared" si="433"/>
        <v>3.6666666666666661E-6</v>
      </c>
      <c r="AP174" s="155">
        <f t="shared" si="433"/>
        <v>3.6666666666666661E-6</v>
      </c>
      <c r="AQ174" s="155">
        <f t="shared" si="433"/>
        <v>3.6666666666666661E-6</v>
      </c>
      <c r="AR174" s="155">
        <f t="shared" si="433"/>
        <v>3.6666666666666661E-6</v>
      </c>
      <c r="AS174" s="155">
        <f t="shared" si="433"/>
        <v>3.6666666666666661E-6</v>
      </c>
      <c r="AT174" s="155">
        <f t="shared" si="433"/>
        <v>3.6666666666666661E-6</v>
      </c>
      <c r="AU174" s="155">
        <f t="shared" si="433"/>
        <v>3.6666666666666661E-6</v>
      </c>
      <c r="AV174" s="155">
        <f t="shared" si="433"/>
        <v>3.6666666666666661E-6</v>
      </c>
      <c r="AW174" s="155">
        <f>0.004%/30</f>
        <v>1.3333333333333334E-6</v>
      </c>
      <c r="AX174" s="156">
        <f>AW174</f>
        <v>1.3333333333333334E-6</v>
      </c>
      <c r="AY174" s="156">
        <f t="shared" ref="AY174:BZ174" si="434">AX174</f>
        <v>1.3333333333333334E-6</v>
      </c>
      <c r="AZ174" s="156">
        <f t="shared" si="434"/>
        <v>1.3333333333333334E-6</v>
      </c>
      <c r="BA174" s="156">
        <f t="shared" si="434"/>
        <v>1.3333333333333334E-6</v>
      </c>
      <c r="BB174" s="156">
        <f t="shared" si="434"/>
        <v>1.3333333333333334E-6</v>
      </c>
      <c r="BC174" s="156">
        <f t="shared" si="434"/>
        <v>1.3333333333333334E-6</v>
      </c>
      <c r="BD174" s="156">
        <f t="shared" si="434"/>
        <v>1.3333333333333334E-6</v>
      </c>
      <c r="BE174" s="156">
        <f t="shared" si="434"/>
        <v>1.3333333333333334E-6</v>
      </c>
      <c r="BF174" s="156">
        <f t="shared" si="434"/>
        <v>1.3333333333333334E-6</v>
      </c>
      <c r="BG174" s="156">
        <f t="shared" si="434"/>
        <v>1.3333333333333334E-6</v>
      </c>
      <c r="BH174" s="156">
        <f t="shared" si="434"/>
        <v>1.3333333333333334E-6</v>
      </c>
      <c r="BI174" s="156">
        <f t="shared" si="434"/>
        <v>1.3333333333333334E-6</v>
      </c>
      <c r="BJ174" s="156">
        <f t="shared" si="434"/>
        <v>1.3333333333333334E-6</v>
      </c>
      <c r="BK174" s="156">
        <f t="shared" si="434"/>
        <v>1.3333333333333334E-6</v>
      </c>
      <c r="BL174" s="156">
        <f t="shared" si="434"/>
        <v>1.3333333333333334E-6</v>
      </c>
      <c r="BM174" s="156">
        <f t="shared" si="434"/>
        <v>1.3333333333333334E-6</v>
      </c>
      <c r="BN174" s="156">
        <f t="shared" si="434"/>
        <v>1.3333333333333334E-6</v>
      </c>
      <c r="BO174" s="156">
        <f t="shared" si="434"/>
        <v>1.3333333333333334E-6</v>
      </c>
      <c r="BP174" s="156">
        <f t="shared" si="434"/>
        <v>1.3333333333333334E-6</v>
      </c>
      <c r="BQ174" s="156">
        <f t="shared" si="434"/>
        <v>1.3333333333333334E-6</v>
      </c>
      <c r="BR174" s="156">
        <f t="shared" si="434"/>
        <v>1.3333333333333334E-6</v>
      </c>
      <c r="BS174" s="156">
        <f t="shared" si="434"/>
        <v>1.3333333333333334E-6</v>
      </c>
      <c r="BT174" s="156">
        <f t="shared" si="434"/>
        <v>1.3333333333333334E-6</v>
      </c>
      <c r="BU174" s="156">
        <f t="shared" si="434"/>
        <v>1.3333333333333334E-6</v>
      </c>
      <c r="BV174" s="156">
        <f t="shared" si="434"/>
        <v>1.3333333333333334E-6</v>
      </c>
      <c r="BW174" s="156">
        <f t="shared" si="434"/>
        <v>1.3333333333333334E-6</v>
      </c>
      <c r="BX174" s="156">
        <f t="shared" si="434"/>
        <v>1.3333333333333334E-6</v>
      </c>
      <c r="BY174" s="156">
        <f t="shared" si="434"/>
        <v>1.3333333333333334E-6</v>
      </c>
      <c r="BZ174" s="156">
        <f t="shared" si="434"/>
        <v>1.3333333333333334E-6</v>
      </c>
      <c r="CA174" s="155">
        <f>0.004%/30</f>
        <v>1.3333333333333334E-6</v>
      </c>
      <c r="CB174" s="156">
        <f>CA174</f>
        <v>1.3333333333333334E-6</v>
      </c>
      <c r="CC174" s="156">
        <f t="shared" ref="CC174:DD174" si="435">CB174</f>
        <v>1.3333333333333334E-6</v>
      </c>
      <c r="CD174" s="156">
        <f t="shared" si="435"/>
        <v>1.3333333333333334E-6</v>
      </c>
      <c r="CE174" s="156">
        <f t="shared" si="435"/>
        <v>1.3333333333333334E-6</v>
      </c>
      <c r="CF174" s="156">
        <f t="shared" si="435"/>
        <v>1.3333333333333334E-6</v>
      </c>
      <c r="CG174" s="156">
        <f t="shared" si="435"/>
        <v>1.3333333333333334E-6</v>
      </c>
      <c r="CH174" s="156">
        <f t="shared" si="435"/>
        <v>1.3333333333333334E-6</v>
      </c>
      <c r="CI174" s="156">
        <f t="shared" si="435"/>
        <v>1.3333333333333334E-6</v>
      </c>
      <c r="CJ174" s="156">
        <f t="shared" si="435"/>
        <v>1.3333333333333334E-6</v>
      </c>
      <c r="CK174" s="156">
        <f t="shared" si="435"/>
        <v>1.3333333333333334E-6</v>
      </c>
      <c r="CL174" s="156">
        <f t="shared" si="435"/>
        <v>1.3333333333333334E-6</v>
      </c>
      <c r="CM174" s="156">
        <f t="shared" si="435"/>
        <v>1.3333333333333334E-6</v>
      </c>
      <c r="CN174" s="156">
        <f t="shared" si="435"/>
        <v>1.3333333333333334E-6</v>
      </c>
      <c r="CO174" s="156">
        <f t="shared" si="435"/>
        <v>1.3333333333333334E-6</v>
      </c>
      <c r="CP174" s="156">
        <f t="shared" si="435"/>
        <v>1.3333333333333334E-6</v>
      </c>
      <c r="CQ174" s="156">
        <f t="shared" si="435"/>
        <v>1.3333333333333334E-6</v>
      </c>
      <c r="CR174" s="156">
        <f t="shared" si="435"/>
        <v>1.3333333333333334E-6</v>
      </c>
      <c r="CS174" s="156">
        <f t="shared" si="435"/>
        <v>1.3333333333333334E-6</v>
      </c>
      <c r="CT174" s="156">
        <f t="shared" si="435"/>
        <v>1.3333333333333334E-6</v>
      </c>
      <c r="CU174" s="156">
        <f t="shared" si="435"/>
        <v>1.3333333333333334E-6</v>
      </c>
      <c r="CV174" s="156">
        <f t="shared" si="435"/>
        <v>1.3333333333333334E-6</v>
      </c>
      <c r="CW174" s="156">
        <f t="shared" si="435"/>
        <v>1.3333333333333334E-6</v>
      </c>
      <c r="CX174" s="156">
        <f t="shared" si="435"/>
        <v>1.3333333333333334E-6</v>
      </c>
      <c r="CY174" s="156">
        <f t="shared" si="435"/>
        <v>1.3333333333333334E-6</v>
      </c>
      <c r="CZ174" s="156">
        <f t="shared" si="435"/>
        <v>1.3333333333333334E-6</v>
      </c>
      <c r="DA174" s="156">
        <f t="shared" si="435"/>
        <v>1.3333333333333334E-6</v>
      </c>
      <c r="DB174" s="156">
        <f t="shared" si="435"/>
        <v>1.3333333333333334E-6</v>
      </c>
      <c r="DC174" s="156">
        <f t="shared" si="435"/>
        <v>1.3333333333333334E-6</v>
      </c>
      <c r="DD174" s="156">
        <f t="shared" si="435"/>
        <v>1.3333333333333334E-6</v>
      </c>
      <c r="DE174" s="155">
        <f>0.004%/30</f>
        <v>1.3333333333333334E-6</v>
      </c>
      <c r="DF174" s="156">
        <f>DE174</f>
        <v>1.3333333333333334E-6</v>
      </c>
      <c r="DG174" s="156">
        <f t="shared" ref="DG174:EH174" si="436">DF174</f>
        <v>1.3333333333333334E-6</v>
      </c>
      <c r="DH174" s="156">
        <f t="shared" si="436"/>
        <v>1.3333333333333334E-6</v>
      </c>
      <c r="DI174" s="156">
        <f t="shared" si="436"/>
        <v>1.3333333333333334E-6</v>
      </c>
      <c r="DJ174" s="156">
        <f t="shared" si="436"/>
        <v>1.3333333333333334E-6</v>
      </c>
      <c r="DK174" s="156">
        <f t="shared" si="436"/>
        <v>1.3333333333333334E-6</v>
      </c>
      <c r="DL174" s="156">
        <f t="shared" si="436"/>
        <v>1.3333333333333334E-6</v>
      </c>
      <c r="DM174" s="156">
        <f t="shared" si="436"/>
        <v>1.3333333333333334E-6</v>
      </c>
      <c r="DN174" s="156">
        <f t="shared" si="436"/>
        <v>1.3333333333333334E-6</v>
      </c>
      <c r="DO174" s="156">
        <f t="shared" si="436"/>
        <v>1.3333333333333334E-6</v>
      </c>
      <c r="DP174" s="156">
        <f t="shared" si="436"/>
        <v>1.3333333333333334E-6</v>
      </c>
      <c r="DQ174" s="156">
        <f t="shared" si="436"/>
        <v>1.3333333333333334E-6</v>
      </c>
      <c r="DR174" s="156">
        <f t="shared" si="436"/>
        <v>1.3333333333333334E-6</v>
      </c>
      <c r="DS174" s="156">
        <f t="shared" si="436"/>
        <v>1.3333333333333334E-6</v>
      </c>
      <c r="DT174" s="156">
        <f t="shared" si="436"/>
        <v>1.3333333333333334E-6</v>
      </c>
      <c r="DU174" s="156">
        <f t="shared" si="436"/>
        <v>1.3333333333333334E-6</v>
      </c>
      <c r="DV174" s="156">
        <f t="shared" si="436"/>
        <v>1.3333333333333334E-6</v>
      </c>
      <c r="DW174" s="156">
        <f t="shared" si="436"/>
        <v>1.3333333333333334E-6</v>
      </c>
      <c r="DX174" s="156">
        <f t="shared" si="436"/>
        <v>1.3333333333333334E-6</v>
      </c>
      <c r="DY174" s="156">
        <f t="shared" si="436"/>
        <v>1.3333333333333334E-6</v>
      </c>
      <c r="DZ174" s="156">
        <f t="shared" si="436"/>
        <v>1.3333333333333334E-6</v>
      </c>
      <c r="EA174" s="156">
        <f t="shared" si="436"/>
        <v>1.3333333333333334E-6</v>
      </c>
      <c r="EB174" s="156">
        <f t="shared" si="436"/>
        <v>1.3333333333333334E-6</v>
      </c>
      <c r="EC174" s="156">
        <f t="shared" si="436"/>
        <v>1.3333333333333334E-6</v>
      </c>
      <c r="ED174" s="156">
        <f t="shared" si="436"/>
        <v>1.3333333333333334E-6</v>
      </c>
      <c r="EE174" s="156">
        <f t="shared" si="436"/>
        <v>1.3333333333333334E-6</v>
      </c>
      <c r="EF174" s="156">
        <f t="shared" si="436"/>
        <v>1.3333333333333334E-6</v>
      </c>
      <c r="EG174" s="156">
        <f t="shared" si="436"/>
        <v>1.3333333333333334E-6</v>
      </c>
      <c r="EH174" s="156">
        <f t="shared" si="436"/>
        <v>1.3333333333333334E-6</v>
      </c>
      <c r="EI174" s="155">
        <f>0.004%/30</f>
        <v>1.3333333333333334E-6</v>
      </c>
      <c r="EJ174" s="156">
        <f>EI174</f>
        <v>1.3333333333333334E-6</v>
      </c>
      <c r="EK174" s="156">
        <f t="shared" ref="EK174:FL174" si="437">EJ174</f>
        <v>1.3333333333333334E-6</v>
      </c>
      <c r="EL174" s="156">
        <f t="shared" si="437"/>
        <v>1.3333333333333334E-6</v>
      </c>
      <c r="EM174" s="156">
        <f t="shared" si="437"/>
        <v>1.3333333333333334E-6</v>
      </c>
      <c r="EN174" s="156">
        <f t="shared" si="437"/>
        <v>1.3333333333333334E-6</v>
      </c>
      <c r="EO174" s="156">
        <f t="shared" si="437"/>
        <v>1.3333333333333334E-6</v>
      </c>
      <c r="EP174" s="156">
        <f t="shared" si="437"/>
        <v>1.3333333333333334E-6</v>
      </c>
      <c r="EQ174" s="156">
        <f t="shared" si="437"/>
        <v>1.3333333333333334E-6</v>
      </c>
      <c r="ER174" s="156">
        <f t="shared" si="437"/>
        <v>1.3333333333333334E-6</v>
      </c>
      <c r="ES174" s="156">
        <f t="shared" si="437"/>
        <v>1.3333333333333334E-6</v>
      </c>
      <c r="ET174" s="156">
        <f t="shared" si="437"/>
        <v>1.3333333333333334E-6</v>
      </c>
      <c r="EU174" s="156">
        <f t="shared" si="437"/>
        <v>1.3333333333333334E-6</v>
      </c>
      <c r="EV174" s="156">
        <f t="shared" si="437"/>
        <v>1.3333333333333334E-6</v>
      </c>
      <c r="EW174" s="156">
        <f t="shared" si="437"/>
        <v>1.3333333333333334E-6</v>
      </c>
      <c r="EX174" s="156">
        <f t="shared" si="437"/>
        <v>1.3333333333333334E-6</v>
      </c>
      <c r="EY174" s="156">
        <f t="shared" si="437"/>
        <v>1.3333333333333334E-6</v>
      </c>
      <c r="EZ174" s="156">
        <f t="shared" si="437"/>
        <v>1.3333333333333334E-6</v>
      </c>
      <c r="FA174" s="156">
        <f t="shared" si="437"/>
        <v>1.3333333333333334E-6</v>
      </c>
      <c r="FB174" s="156">
        <f t="shared" si="437"/>
        <v>1.3333333333333334E-6</v>
      </c>
      <c r="FC174" s="156">
        <f t="shared" si="437"/>
        <v>1.3333333333333334E-6</v>
      </c>
      <c r="FD174" s="156">
        <f t="shared" si="437"/>
        <v>1.3333333333333334E-6</v>
      </c>
      <c r="FE174" s="156">
        <f t="shared" si="437"/>
        <v>1.3333333333333334E-6</v>
      </c>
      <c r="FF174" s="156">
        <f t="shared" si="437"/>
        <v>1.3333333333333334E-6</v>
      </c>
      <c r="FG174" s="156">
        <f t="shared" si="437"/>
        <v>1.3333333333333334E-6</v>
      </c>
      <c r="FH174" s="156">
        <f t="shared" si="437"/>
        <v>1.3333333333333334E-6</v>
      </c>
      <c r="FI174" s="156">
        <f t="shared" si="437"/>
        <v>1.3333333333333334E-6</v>
      </c>
      <c r="FJ174" s="156">
        <f t="shared" si="437"/>
        <v>1.3333333333333334E-6</v>
      </c>
      <c r="FK174" s="156">
        <f t="shared" si="437"/>
        <v>1.3333333333333334E-6</v>
      </c>
      <c r="FL174" s="156">
        <f t="shared" si="437"/>
        <v>1.3333333333333334E-6</v>
      </c>
      <c r="FM174" s="155">
        <f>0.004%/30</f>
        <v>1.3333333333333334E-6</v>
      </c>
      <c r="FN174" s="156">
        <f>FM174</f>
        <v>1.3333333333333334E-6</v>
      </c>
      <c r="FO174" s="156">
        <f t="shared" ref="FO174:GP174" si="438">FN174</f>
        <v>1.3333333333333334E-6</v>
      </c>
      <c r="FP174" s="156">
        <f t="shared" si="438"/>
        <v>1.3333333333333334E-6</v>
      </c>
      <c r="FQ174" s="156">
        <f t="shared" si="438"/>
        <v>1.3333333333333334E-6</v>
      </c>
      <c r="FR174" s="156">
        <f t="shared" si="438"/>
        <v>1.3333333333333334E-6</v>
      </c>
      <c r="FS174" s="156">
        <f t="shared" si="438"/>
        <v>1.3333333333333334E-6</v>
      </c>
      <c r="FT174" s="156">
        <f t="shared" si="438"/>
        <v>1.3333333333333334E-6</v>
      </c>
      <c r="FU174" s="156">
        <f t="shared" si="438"/>
        <v>1.3333333333333334E-6</v>
      </c>
      <c r="FV174" s="156">
        <f t="shared" si="438"/>
        <v>1.3333333333333334E-6</v>
      </c>
      <c r="FW174" s="156">
        <f t="shared" si="438"/>
        <v>1.3333333333333334E-6</v>
      </c>
      <c r="FX174" s="156">
        <f t="shared" si="438"/>
        <v>1.3333333333333334E-6</v>
      </c>
      <c r="FY174" s="156">
        <f t="shared" si="438"/>
        <v>1.3333333333333334E-6</v>
      </c>
      <c r="FZ174" s="156">
        <f t="shared" si="438"/>
        <v>1.3333333333333334E-6</v>
      </c>
      <c r="GA174" s="156">
        <f t="shared" si="438"/>
        <v>1.3333333333333334E-6</v>
      </c>
      <c r="GB174" s="156">
        <f t="shared" si="438"/>
        <v>1.3333333333333334E-6</v>
      </c>
      <c r="GC174" s="156">
        <f t="shared" si="438"/>
        <v>1.3333333333333334E-6</v>
      </c>
      <c r="GD174" s="156">
        <f t="shared" si="438"/>
        <v>1.3333333333333334E-6</v>
      </c>
      <c r="GE174" s="156">
        <f t="shared" si="438"/>
        <v>1.3333333333333334E-6</v>
      </c>
      <c r="GF174" s="156">
        <f t="shared" si="438"/>
        <v>1.3333333333333334E-6</v>
      </c>
      <c r="GG174" s="156">
        <f t="shared" si="438"/>
        <v>1.3333333333333334E-6</v>
      </c>
      <c r="GH174" s="156">
        <f t="shared" si="438"/>
        <v>1.3333333333333334E-6</v>
      </c>
      <c r="GI174" s="156">
        <f t="shared" si="438"/>
        <v>1.3333333333333334E-6</v>
      </c>
      <c r="GJ174" s="156">
        <f t="shared" si="438"/>
        <v>1.3333333333333334E-6</v>
      </c>
      <c r="GK174" s="156">
        <f t="shared" si="438"/>
        <v>1.3333333333333334E-6</v>
      </c>
      <c r="GL174" s="156">
        <f t="shared" si="438"/>
        <v>1.3333333333333334E-6</v>
      </c>
      <c r="GM174" s="156">
        <f t="shared" si="438"/>
        <v>1.3333333333333334E-6</v>
      </c>
      <c r="GN174" s="156">
        <f t="shared" si="438"/>
        <v>1.3333333333333334E-6</v>
      </c>
      <c r="GO174" s="156">
        <f t="shared" si="438"/>
        <v>1.3333333333333334E-6</v>
      </c>
      <c r="GP174" s="156">
        <f t="shared" si="438"/>
        <v>1.3333333333333334E-6</v>
      </c>
      <c r="GQ174" s="155">
        <f>0.004%/30</f>
        <v>1.3333333333333334E-6</v>
      </c>
      <c r="GR174" s="156">
        <f>GQ174</f>
        <v>1.3333333333333334E-6</v>
      </c>
      <c r="GS174" s="156">
        <f t="shared" ref="GS174:HT174" si="439">GR174</f>
        <v>1.3333333333333334E-6</v>
      </c>
      <c r="GT174" s="156">
        <f t="shared" si="439"/>
        <v>1.3333333333333334E-6</v>
      </c>
      <c r="GU174" s="156">
        <f t="shared" si="439"/>
        <v>1.3333333333333334E-6</v>
      </c>
      <c r="GV174" s="156">
        <f t="shared" si="439"/>
        <v>1.3333333333333334E-6</v>
      </c>
      <c r="GW174" s="156">
        <f t="shared" si="439"/>
        <v>1.3333333333333334E-6</v>
      </c>
      <c r="GX174" s="156">
        <f t="shared" si="439"/>
        <v>1.3333333333333334E-6</v>
      </c>
      <c r="GY174" s="156">
        <f t="shared" si="439"/>
        <v>1.3333333333333334E-6</v>
      </c>
      <c r="GZ174" s="156">
        <f t="shared" si="439"/>
        <v>1.3333333333333334E-6</v>
      </c>
      <c r="HA174" s="156">
        <f t="shared" si="439"/>
        <v>1.3333333333333334E-6</v>
      </c>
      <c r="HB174" s="156">
        <f t="shared" si="439"/>
        <v>1.3333333333333334E-6</v>
      </c>
      <c r="HC174" s="156">
        <f t="shared" si="439"/>
        <v>1.3333333333333334E-6</v>
      </c>
      <c r="HD174" s="156">
        <f t="shared" si="439"/>
        <v>1.3333333333333334E-6</v>
      </c>
      <c r="HE174" s="156">
        <f t="shared" si="439"/>
        <v>1.3333333333333334E-6</v>
      </c>
      <c r="HF174" s="156">
        <f t="shared" si="439"/>
        <v>1.3333333333333334E-6</v>
      </c>
      <c r="HG174" s="156">
        <f t="shared" si="439"/>
        <v>1.3333333333333334E-6</v>
      </c>
      <c r="HH174" s="156">
        <f t="shared" si="439"/>
        <v>1.3333333333333334E-6</v>
      </c>
      <c r="HI174" s="156">
        <f t="shared" si="439"/>
        <v>1.3333333333333334E-6</v>
      </c>
      <c r="HJ174" s="156">
        <f t="shared" si="439"/>
        <v>1.3333333333333334E-6</v>
      </c>
      <c r="HK174" s="156">
        <f t="shared" si="439"/>
        <v>1.3333333333333334E-6</v>
      </c>
      <c r="HL174" s="156">
        <f t="shared" si="439"/>
        <v>1.3333333333333334E-6</v>
      </c>
      <c r="HM174" s="156">
        <f t="shared" si="439"/>
        <v>1.3333333333333334E-6</v>
      </c>
      <c r="HN174" s="156">
        <f t="shared" si="439"/>
        <v>1.3333333333333334E-6</v>
      </c>
      <c r="HO174" s="156">
        <f t="shared" si="439"/>
        <v>1.3333333333333334E-6</v>
      </c>
      <c r="HP174" s="156">
        <f t="shared" si="439"/>
        <v>1.3333333333333334E-6</v>
      </c>
      <c r="HQ174" s="156">
        <f t="shared" si="439"/>
        <v>1.3333333333333334E-6</v>
      </c>
      <c r="HR174" s="156">
        <f t="shared" si="439"/>
        <v>1.3333333333333334E-6</v>
      </c>
      <c r="HS174" s="156">
        <f t="shared" si="439"/>
        <v>1.3333333333333334E-6</v>
      </c>
      <c r="HT174" s="156">
        <f t="shared" si="439"/>
        <v>1.3333333333333334E-6</v>
      </c>
      <c r="HU174" s="155">
        <f>0.004%/30</f>
        <v>1.3333333333333334E-6</v>
      </c>
      <c r="HV174" s="156">
        <f>HU174</f>
        <v>1.3333333333333334E-6</v>
      </c>
      <c r="HW174" s="156">
        <f t="shared" ref="HW174:IX174" si="440">HV174</f>
        <v>1.3333333333333334E-6</v>
      </c>
      <c r="HX174" s="156">
        <f t="shared" si="440"/>
        <v>1.3333333333333334E-6</v>
      </c>
      <c r="HY174" s="156">
        <f t="shared" si="440"/>
        <v>1.3333333333333334E-6</v>
      </c>
      <c r="HZ174" s="156">
        <f t="shared" si="440"/>
        <v>1.3333333333333334E-6</v>
      </c>
      <c r="IA174" s="156">
        <f t="shared" si="440"/>
        <v>1.3333333333333334E-6</v>
      </c>
      <c r="IB174" s="156">
        <f t="shared" si="440"/>
        <v>1.3333333333333334E-6</v>
      </c>
      <c r="IC174" s="156">
        <f t="shared" si="440"/>
        <v>1.3333333333333334E-6</v>
      </c>
      <c r="ID174" s="156">
        <f t="shared" si="440"/>
        <v>1.3333333333333334E-6</v>
      </c>
      <c r="IE174" s="156">
        <f t="shared" si="440"/>
        <v>1.3333333333333334E-6</v>
      </c>
      <c r="IF174" s="156">
        <f t="shared" si="440"/>
        <v>1.3333333333333334E-6</v>
      </c>
      <c r="IG174" s="156">
        <f t="shared" si="440"/>
        <v>1.3333333333333334E-6</v>
      </c>
      <c r="IH174" s="156">
        <f t="shared" si="440"/>
        <v>1.3333333333333334E-6</v>
      </c>
      <c r="II174" s="156">
        <f t="shared" si="440"/>
        <v>1.3333333333333334E-6</v>
      </c>
      <c r="IJ174" s="156">
        <f t="shared" si="440"/>
        <v>1.3333333333333334E-6</v>
      </c>
      <c r="IK174" s="156">
        <f t="shared" si="440"/>
        <v>1.3333333333333334E-6</v>
      </c>
      <c r="IL174" s="156">
        <f t="shared" si="440"/>
        <v>1.3333333333333334E-6</v>
      </c>
      <c r="IM174" s="156">
        <f t="shared" si="440"/>
        <v>1.3333333333333334E-6</v>
      </c>
      <c r="IN174" s="156">
        <f t="shared" si="440"/>
        <v>1.3333333333333334E-6</v>
      </c>
      <c r="IO174" s="156">
        <f t="shared" si="440"/>
        <v>1.3333333333333334E-6</v>
      </c>
      <c r="IP174" s="156">
        <f t="shared" si="440"/>
        <v>1.3333333333333334E-6</v>
      </c>
      <c r="IQ174" s="156">
        <f t="shared" si="440"/>
        <v>1.3333333333333334E-6</v>
      </c>
      <c r="IR174" s="156">
        <f t="shared" si="440"/>
        <v>1.3333333333333334E-6</v>
      </c>
      <c r="IS174" s="156">
        <f t="shared" si="440"/>
        <v>1.3333333333333334E-6</v>
      </c>
      <c r="IT174" s="156">
        <f t="shared" si="440"/>
        <v>1.3333333333333334E-6</v>
      </c>
      <c r="IU174" s="156">
        <f t="shared" si="440"/>
        <v>1.3333333333333334E-6</v>
      </c>
      <c r="IV174" s="156">
        <f t="shared" si="440"/>
        <v>1.3333333333333334E-6</v>
      </c>
      <c r="IW174" s="156">
        <f t="shared" si="440"/>
        <v>1.3333333333333334E-6</v>
      </c>
      <c r="IX174" s="156">
        <f t="shared" si="440"/>
        <v>1.3333333333333334E-6</v>
      </c>
      <c r="IY174" s="155">
        <f>0.004%/30</f>
        <v>1.3333333333333334E-6</v>
      </c>
      <c r="IZ174" s="156">
        <f>IY174</f>
        <v>1.3333333333333334E-6</v>
      </c>
      <c r="JA174" s="156">
        <f t="shared" ref="JA174:KB174" si="441">IZ174</f>
        <v>1.3333333333333334E-6</v>
      </c>
      <c r="JB174" s="156">
        <f t="shared" si="441"/>
        <v>1.3333333333333334E-6</v>
      </c>
      <c r="JC174" s="156">
        <f t="shared" si="441"/>
        <v>1.3333333333333334E-6</v>
      </c>
      <c r="JD174" s="156">
        <f t="shared" si="441"/>
        <v>1.3333333333333334E-6</v>
      </c>
      <c r="JE174" s="156">
        <f t="shared" si="441"/>
        <v>1.3333333333333334E-6</v>
      </c>
      <c r="JF174" s="156">
        <f t="shared" si="441"/>
        <v>1.3333333333333334E-6</v>
      </c>
      <c r="JG174" s="156">
        <f t="shared" si="441"/>
        <v>1.3333333333333334E-6</v>
      </c>
      <c r="JH174" s="156">
        <f t="shared" si="441"/>
        <v>1.3333333333333334E-6</v>
      </c>
      <c r="JI174" s="156">
        <f t="shared" si="441"/>
        <v>1.3333333333333334E-6</v>
      </c>
      <c r="JJ174" s="156">
        <f t="shared" si="441"/>
        <v>1.3333333333333334E-6</v>
      </c>
      <c r="JK174" s="156">
        <f t="shared" si="441"/>
        <v>1.3333333333333334E-6</v>
      </c>
      <c r="JL174" s="156">
        <f t="shared" si="441"/>
        <v>1.3333333333333334E-6</v>
      </c>
      <c r="JM174" s="156">
        <f t="shared" si="441"/>
        <v>1.3333333333333334E-6</v>
      </c>
      <c r="JN174" s="156">
        <f t="shared" si="441"/>
        <v>1.3333333333333334E-6</v>
      </c>
      <c r="JO174" s="156">
        <f t="shared" si="441"/>
        <v>1.3333333333333334E-6</v>
      </c>
      <c r="JP174" s="156">
        <f t="shared" si="441"/>
        <v>1.3333333333333334E-6</v>
      </c>
      <c r="JQ174" s="156">
        <f t="shared" si="441"/>
        <v>1.3333333333333334E-6</v>
      </c>
      <c r="JR174" s="156">
        <f t="shared" si="441"/>
        <v>1.3333333333333334E-6</v>
      </c>
      <c r="JS174" s="156">
        <f t="shared" si="441"/>
        <v>1.3333333333333334E-6</v>
      </c>
      <c r="JT174" s="156">
        <f t="shared" si="441"/>
        <v>1.3333333333333334E-6</v>
      </c>
      <c r="JU174" s="156">
        <f t="shared" si="441"/>
        <v>1.3333333333333334E-6</v>
      </c>
      <c r="JV174" s="156">
        <f t="shared" si="441"/>
        <v>1.3333333333333334E-6</v>
      </c>
      <c r="JW174" s="156">
        <f t="shared" si="441"/>
        <v>1.3333333333333334E-6</v>
      </c>
      <c r="JX174" s="156">
        <f t="shared" si="441"/>
        <v>1.3333333333333334E-6</v>
      </c>
      <c r="JY174" s="156">
        <f t="shared" si="441"/>
        <v>1.3333333333333334E-6</v>
      </c>
      <c r="JZ174" s="156">
        <f t="shared" si="441"/>
        <v>1.3333333333333334E-6</v>
      </c>
      <c r="KA174" s="156">
        <f t="shared" si="441"/>
        <v>1.3333333333333334E-6</v>
      </c>
      <c r="KB174" s="156">
        <f t="shared" si="441"/>
        <v>1.3333333333333334E-6</v>
      </c>
      <c r="KC174" s="220">
        <v>4.0000000000000003E-5</v>
      </c>
      <c r="KD174" s="212"/>
      <c r="KE174" s="212"/>
      <c r="KF174" s="220">
        <v>4.0000000000000003E-5</v>
      </c>
      <c r="KG174" s="212"/>
      <c r="KH174" s="212"/>
      <c r="KI174" s="220">
        <v>4.0000000000000003E-5</v>
      </c>
      <c r="KJ174" s="212"/>
      <c r="KK174" s="212"/>
      <c r="KL174" s="220">
        <v>4.0000000000000003E-5</v>
      </c>
      <c r="KM174" s="212"/>
      <c r="KN174" s="212"/>
      <c r="KO174" s="220">
        <v>4.0000000000000003E-5</v>
      </c>
      <c r="KP174" s="212"/>
      <c r="KQ174" s="212"/>
      <c r="KR174" s="220">
        <v>4.0000000000000003E-5</v>
      </c>
      <c r="KS174" s="212"/>
      <c r="KT174" s="212"/>
      <c r="KU174" s="220">
        <v>4.0000000000000003E-5</v>
      </c>
      <c r="KV174" s="212"/>
      <c r="KW174" s="212"/>
      <c r="KX174" s="220">
        <v>4.0000000000000003E-5</v>
      </c>
      <c r="KY174" s="212"/>
      <c r="KZ174" s="218"/>
      <c r="LA174" s="211">
        <v>4.0000000000000003E-5</v>
      </c>
      <c r="LB174" s="212"/>
      <c r="LC174" s="213"/>
      <c r="LD174" s="220">
        <v>4.0000000000000003E-5</v>
      </c>
      <c r="LE174" s="212"/>
      <c r="LF174" s="212"/>
      <c r="LG174" s="220">
        <v>4.0000000000000003E-5</v>
      </c>
      <c r="LH174" s="212"/>
      <c r="LI174" s="212"/>
      <c r="LJ174" s="220">
        <v>4.0000000000000003E-5</v>
      </c>
      <c r="LK174" s="212"/>
      <c r="LL174" s="212"/>
      <c r="LM174" s="220">
        <v>4.0000000000000003E-5</v>
      </c>
      <c r="LN174" s="212"/>
      <c r="LO174" s="212"/>
      <c r="LP174" s="220">
        <v>4.0000000000000003E-5</v>
      </c>
      <c r="LQ174" s="212"/>
      <c r="LR174" s="212"/>
      <c r="LS174" s="220">
        <v>4.0000000000000003E-5</v>
      </c>
      <c r="LT174" s="212"/>
      <c r="LU174" s="212"/>
      <c r="LV174" s="220">
        <v>4.0000000000000003E-5</v>
      </c>
      <c r="LW174" s="212"/>
      <c r="LX174" s="212"/>
      <c r="LY174" s="220">
        <v>4.0000000000000003E-5</v>
      </c>
      <c r="LZ174" s="212"/>
      <c r="MA174" s="212"/>
      <c r="MB174" s="220">
        <v>4.0000000000000003E-5</v>
      </c>
      <c r="MC174" s="212"/>
      <c r="MD174" s="212"/>
      <c r="ME174" s="220">
        <v>4.0000000000000003E-5</v>
      </c>
      <c r="MF174" s="212"/>
      <c r="MG174" s="212"/>
      <c r="MH174" s="220">
        <v>4.0000000000000003E-5</v>
      </c>
      <c r="MI174" s="212"/>
      <c r="MJ174" s="212"/>
      <c r="MK174" s="220">
        <v>4.0000000000000003E-5</v>
      </c>
      <c r="ML174" s="212"/>
      <c r="MM174" s="212"/>
      <c r="MN174" s="220">
        <v>4.0000000000000003E-5</v>
      </c>
      <c r="MO174" s="212"/>
      <c r="MP174" s="212"/>
      <c r="MQ174" s="220">
        <v>4.0000000000000003E-5</v>
      </c>
      <c r="MR174" s="212"/>
      <c r="MS174" s="212"/>
      <c r="MT174" s="220">
        <v>4.0000000000000003E-5</v>
      </c>
      <c r="MU174" s="212"/>
      <c r="MV174" s="212"/>
      <c r="MW174" s="220">
        <v>4.0000000000000003E-5</v>
      </c>
      <c r="MX174" s="212"/>
      <c r="MY174" s="212"/>
      <c r="MZ174" s="220"/>
      <c r="NA174" s="212"/>
      <c r="NB174" s="212"/>
      <c r="NC174" s="220"/>
      <c r="ND174" s="212"/>
      <c r="NE174" s="276"/>
      <c r="NG174" s="275">
        <f>SUM(R174:NE174)</f>
        <v>1.4300000000000003E-3</v>
      </c>
      <c r="NH174" s="1"/>
      <c r="NI174" s="1"/>
      <c r="NJ174" s="1"/>
      <c r="NK174" s="1"/>
    </row>
    <row r="175" spans="4:375" s="6" customFormat="1" ht="6.95" customHeight="1">
      <c r="F175" s="196"/>
      <c r="G175" s="197"/>
      <c r="H175" s="52">
        <v>2</v>
      </c>
      <c r="L175" s="340"/>
      <c r="M175" s="294"/>
      <c r="N175" s="314"/>
      <c r="O175" s="306"/>
      <c r="P175" s="308"/>
      <c r="Q175" s="237"/>
      <c r="R175" s="90"/>
      <c r="S175" s="61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3"/>
      <c r="AW175" s="61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  <c r="BR175" s="62"/>
      <c r="BS175" s="62"/>
      <c r="BT175" s="62"/>
      <c r="BU175" s="62"/>
      <c r="BV175" s="62"/>
      <c r="BW175" s="62"/>
      <c r="BX175" s="62"/>
      <c r="BY175" s="62"/>
      <c r="BZ175" s="63"/>
      <c r="CA175" s="61"/>
      <c r="CB175" s="62"/>
      <c r="CC175" s="62"/>
      <c r="CD175" s="62"/>
      <c r="CE175" s="62"/>
      <c r="CF175" s="62"/>
      <c r="CG175" s="62"/>
      <c r="CH175" s="62"/>
      <c r="CI175" s="62"/>
      <c r="CJ175" s="62"/>
      <c r="CK175" s="62"/>
      <c r="CL175" s="62"/>
      <c r="CM175" s="62"/>
      <c r="CN175" s="62"/>
      <c r="CO175" s="62"/>
      <c r="CP175" s="62"/>
      <c r="CQ175" s="62"/>
      <c r="CR175" s="62"/>
      <c r="CS175" s="62"/>
      <c r="CT175" s="62"/>
      <c r="CU175" s="62"/>
      <c r="CV175" s="62"/>
      <c r="CW175" s="62"/>
      <c r="CX175" s="62"/>
      <c r="CY175" s="62"/>
      <c r="CZ175" s="62"/>
      <c r="DA175" s="62"/>
      <c r="DB175" s="62"/>
      <c r="DC175" s="62"/>
      <c r="DD175" s="62"/>
      <c r="DE175" s="61"/>
      <c r="DF175" s="62"/>
      <c r="DG175" s="62"/>
      <c r="DH175" s="62"/>
      <c r="DI175" s="62"/>
      <c r="DJ175" s="62"/>
      <c r="DK175" s="62"/>
      <c r="DL175" s="62"/>
      <c r="DM175" s="62"/>
      <c r="DN175" s="62"/>
      <c r="DO175" s="62"/>
      <c r="DP175" s="62"/>
      <c r="DQ175" s="62"/>
      <c r="DR175" s="62"/>
      <c r="DS175" s="62"/>
      <c r="DT175" s="62"/>
      <c r="DU175" s="62"/>
      <c r="DV175" s="62"/>
      <c r="DW175" s="62"/>
      <c r="DX175" s="62"/>
      <c r="DY175" s="62"/>
      <c r="DZ175" s="62"/>
      <c r="EA175" s="62"/>
      <c r="EB175" s="62"/>
      <c r="EC175" s="62"/>
      <c r="ED175" s="62"/>
      <c r="EE175" s="62"/>
      <c r="EF175" s="62"/>
      <c r="EG175" s="62"/>
      <c r="EH175" s="62"/>
      <c r="EI175" s="61"/>
      <c r="EJ175" s="62"/>
      <c r="EK175" s="62"/>
      <c r="EL175" s="62"/>
      <c r="EM175" s="62"/>
      <c r="EN175" s="62"/>
      <c r="EO175" s="62"/>
      <c r="EP175" s="62"/>
      <c r="EQ175" s="62"/>
      <c r="ER175" s="62"/>
      <c r="ES175" s="62"/>
      <c r="ET175" s="62"/>
      <c r="EU175" s="62"/>
      <c r="EV175" s="62"/>
      <c r="EW175" s="62"/>
      <c r="EX175" s="62"/>
      <c r="EY175" s="62"/>
      <c r="EZ175" s="62"/>
      <c r="FA175" s="62"/>
      <c r="FB175" s="62"/>
      <c r="FC175" s="62"/>
      <c r="FD175" s="62"/>
      <c r="FE175" s="62"/>
      <c r="FF175" s="62"/>
      <c r="FG175" s="62"/>
      <c r="FH175" s="62"/>
      <c r="FI175" s="62"/>
      <c r="FJ175" s="62"/>
      <c r="FK175" s="62"/>
      <c r="FL175" s="62"/>
      <c r="FM175" s="61"/>
      <c r="FN175" s="62"/>
      <c r="FO175" s="62"/>
      <c r="FP175" s="62"/>
      <c r="FQ175" s="62"/>
      <c r="FR175" s="62"/>
      <c r="FS175" s="62"/>
      <c r="FT175" s="62"/>
      <c r="FU175" s="62"/>
      <c r="FV175" s="62"/>
      <c r="FW175" s="62"/>
      <c r="FX175" s="62"/>
      <c r="FY175" s="62"/>
      <c r="FZ175" s="62"/>
      <c r="GA175" s="62"/>
      <c r="GB175" s="62"/>
      <c r="GC175" s="62"/>
      <c r="GD175" s="62"/>
      <c r="GE175" s="62"/>
      <c r="GF175" s="62"/>
      <c r="GG175" s="62"/>
      <c r="GH175" s="62"/>
      <c r="GI175" s="62"/>
      <c r="GJ175" s="62"/>
      <c r="GK175" s="62"/>
      <c r="GL175" s="62"/>
      <c r="GM175" s="62"/>
      <c r="GN175" s="62"/>
      <c r="GO175" s="62"/>
      <c r="GP175" s="62"/>
      <c r="GQ175" s="61"/>
      <c r="GR175" s="62"/>
      <c r="GS175" s="62"/>
      <c r="GT175" s="62"/>
      <c r="GU175" s="62"/>
      <c r="GV175" s="62"/>
      <c r="GW175" s="62"/>
      <c r="GX175" s="62"/>
      <c r="GY175" s="62"/>
      <c r="GZ175" s="62"/>
      <c r="HA175" s="62"/>
      <c r="HB175" s="62"/>
      <c r="HC175" s="62"/>
      <c r="HD175" s="62"/>
      <c r="HE175" s="62"/>
      <c r="HF175" s="62"/>
      <c r="HG175" s="62"/>
      <c r="HH175" s="62"/>
      <c r="HI175" s="62"/>
      <c r="HJ175" s="62"/>
      <c r="HK175" s="62"/>
      <c r="HL175" s="62"/>
      <c r="HM175" s="62"/>
      <c r="HN175" s="62"/>
      <c r="HO175" s="62"/>
      <c r="HP175" s="62"/>
      <c r="HQ175" s="62"/>
      <c r="HR175" s="62"/>
      <c r="HS175" s="62"/>
      <c r="HT175" s="62"/>
      <c r="HU175" s="61"/>
      <c r="HV175" s="62"/>
      <c r="HW175" s="62"/>
      <c r="HX175" s="62"/>
      <c r="HY175" s="62"/>
      <c r="HZ175" s="62"/>
      <c r="IA175" s="62"/>
      <c r="IB175" s="62"/>
      <c r="IC175" s="62"/>
      <c r="ID175" s="62"/>
      <c r="IE175" s="62"/>
      <c r="IF175" s="62"/>
      <c r="IG175" s="62"/>
      <c r="IH175" s="62"/>
      <c r="II175" s="62"/>
      <c r="IJ175" s="62"/>
      <c r="IK175" s="62"/>
      <c r="IL175" s="62"/>
      <c r="IM175" s="62"/>
      <c r="IN175" s="62"/>
      <c r="IO175" s="62"/>
      <c r="IP175" s="62"/>
      <c r="IQ175" s="62"/>
      <c r="IR175" s="62"/>
      <c r="IS175" s="62"/>
      <c r="IT175" s="62"/>
      <c r="IU175" s="62"/>
      <c r="IV175" s="62"/>
      <c r="IW175" s="62"/>
      <c r="IX175" s="62"/>
      <c r="IY175" s="61"/>
      <c r="IZ175" s="62"/>
      <c r="JA175" s="62"/>
      <c r="JB175" s="62"/>
      <c r="JC175" s="62"/>
      <c r="JD175" s="62"/>
      <c r="JE175" s="62"/>
      <c r="JF175" s="62"/>
      <c r="JG175" s="62"/>
      <c r="JH175" s="62"/>
      <c r="JI175" s="62"/>
      <c r="JJ175" s="62"/>
      <c r="JK175" s="62"/>
      <c r="JL175" s="62"/>
      <c r="JM175" s="62"/>
      <c r="JN175" s="62"/>
      <c r="JO175" s="62"/>
      <c r="JP175" s="62"/>
      <c r="JQ175" s="62"/>
      <c r="JR175" s="62"/>
      <c r="JS175" s="62"/>
      <c r="JT175" s="62"/>
      <c r="JU175" s="62"/>
      <c r="JV175" s="62"/>
      <c r="JW175" s="62"/>
      <c r="JX175" s="62"/>
      <c r="JY175" s="62"/>
      <c r="JZ175" s="62"/>
      <c r="KA175" s="62"/>
      <c r="KB175" s="62"/>
      <c r="KC175" s="61"/>
      <c r="KD175" s="62"/>
      <c r="KE175" s="63"/>
      <c r="KF175" s="61"/>
      <c r="KG175" s="62"/>
      <c r="KH175" s="63"/>
      <c r="KI175" s="61"/>
      <c r="KJ175" s="62"/>
      <c r="KK175" s="63"/>
      <c r="KL175" s="61"/>
      <c r="KM175" s="62"/>
      <c r="KN175" s="63"/>
      <c r="KO175" s="61"/>
      <c r="KP175" s="62"/>
      <c r="KQ175" s="63"/>
      <c r="KR175" s="61"/>
      <c r="KS175" s="62"/>
      <c r="KT175" s="63"/>
      <c r="KU175" s="61"/>
      <c r="KV175" s="62"/>
      <c r="KW175" s="63"/>
      <c r="KX175" s="61"/>
      <c r="KY175" s="62"/>
      <c r="KZ175" s="63"/>
      <c r="LA175" s="61"/>
      <c r="LB175" s="62"/>
      <c r="LC175" s="63"/>
      <c r="LD175" s="61"/>
      <c r="LE175" s="62"/>
      <c r="LF175" s="63"/>
      <c r="LG175" s="61"/>
      <c r="LH175" s="62"/>
      <c r="LI175" s="63"/>
      <c r="LJ175" s="61"/>
      <c r="LK175" s="62"/>
      <c r="LL175" s="63"/>
      <c r="LM175" s="61"/>
      <c r="LN175" s="62"/>
      <c r="LO175" s="63"/>
      <c r="LP175" s="61"/>
      <c r="LQ175" s="62"/>
      <c r="LR175" s="63"/>
      <c r="LS175" s="61"/>
      <c r="LT175" s="62"/>
      <c r="LU175" s="63"/>
      <c r="LV175" s="61"/>
      <c r="LW175" s="62"/>
      <c r="LX175" s="63"/>
      <c r="LY175" s="61"/>
      <c r="LZ175" s="62"/>
      <c r="MA175" s="63"/>
      <c r="MB175" s="61"/>
      <c r="MC175" s="62"/>
      <c r="MD175" s="63"/>
      <c r="ME175" s="61"/>
      <c r="MF175" s="62"/>
      <c r="MG175" s="63"/>
      <c r="MH175" s="61"/>
      <c r="MI175" s="62"/>
      <c r="MJ175" s="63"/>
      <c r="MK175" s="61"/>
      <c r="ML175" s="62"/>
      <c r="MM175" s="63"/>
      <c r="MN175" s="61"/>
      <c r="MO175" s="62"/>
      <c r="MP175" s="63"/>
      <c r="MQ175" s="61"/>
      <c r="MR175" s="62"/>
      <c r="MS175" s="63"/>
      <c r="MT175" s="61"/>
      <c r="MU175" s="62"/>
      <c r="MV175" s="63"/>
      <c r="MW175" s="61"/>
      <c r="MX175" s="62"/>
      <c r="MY175" s="63"/>
      <c r="MZ175" s="39"/>
      <c r="NA175" s="40"/>
      <c r="NB175" s="41"/>
      <c r="NC175" s="39"/>
      <c r="ND175" s="40"/>
      <c r="NE175" s="42"/>
      <c r="NG175" s="275"/>
      <c r="NH175" s="1"/>
      <c r="NI175" s="1"/>
      <c r="NJ175" s="1"/>
      <c r="NK175" s="1"/>
    </row>
    <row r="176" spans="4:375" s="6" customFormat="1" ht="9.9499999999999993" customHeight="1">
      <c r="F176" s="196">
        <f t="shared" ref="F176" si="442">NG176</f>
        <v>1.01E-3</v>
      </c>
      <c r="G176" s="197">
        <f>Q176-F176</f>
        <v>0</v>
      </c>
      <c r="H176" s="27">
        <v>1</v>
      </c>
      <c r="L176" s="292"/>
      <c r="M176" s="300" t="s">
        <v>52</v>
      </c>
      <c r="N176" s="301">
        <v>1</v>
      </c>
      <c r="O176" s="309" t="s">
        <v>1</v>
      </c>
      <c r="P176" s="315">
        <v>211201</v>
      </c>
      <c r="Q176" s="236">
        <f>ROUND(P176/$P$256,5)</f>
        <v>1.01E-3</v>
      </c>
      <c r="R176" s="73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8"/>
      <c r="AW176" s="66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  <c r="BL176" s="67"/>
      <c r="BM176" s="67"/>
      <c r="BN176" s="67"/>
      <c r="BO176" s="67"/>
      <c r="BP176" s="67"/>
      <c r="BQ176" s="67"/>
      <c r="BR176" s="67"/>
      <c r="BS176" s="67"/>
      <c r="BT176" s="67"/>
      <c r="BU176" s="67"/>
      <c r="BV176" s="67"/>
      <c r="BW176" s="67"/>
      <c r="BX176" s="67"/>
      <c r="BY176" s="67"/>
      <c r="BZ176" s="68"/>
      <c r="CA176" s="66"/>
      <c r="CB176" s="67"/>
      <c r="CC176" s="67"/>
      <c r="CD176" s="67"/>
      <c r="CE176" s="67"/>
      <c r="CF176" s="67"/>
      <c r="CG176" s="67"/>
      <c r="CH176" s="67"/>
      <c r="CI176" s="67"/>
      <c r="CJ176" s="67"/>
      <c r="CK176" s="67"/>
      <c r="CL176" s="67"/>
      <c r="CM176" s="67"/>
      <c r="CN176" s="67"/>
      <c r="CO176" s="67"/>
      <c r="CP176" s="67"/>
      <c r="CQ176" s="67"/>
      <c r="CR176" s="67"/>
      <c r="CS176" s="67"/>
      <c r="CT176" s="67"/>
      <c r="CU176" s="67"/>
      <c r="CV176" s="67"/>
      <c r="CW176" s="67"/>
      <c r="CX176" s="67"/>
      <c r="CY176" s="67"/>
      <c r="CZ176" s="67"/>
      <c r="DA176" s="67"/>
      <c r="DB176" s="67"/>
      <c r="DC176" s="67"/>
      <c r="DD176" s="67"/>
      <c r="DE176" s="66"/>
      <c r="DF176" s="67"/>
      <c r="DG176" s="67"/>
      <c r="DH176" s="67"/>
      <c r="DI176" s="67"/>
      <c r="DJ176" s="67"/>
      <c r="DK176" s="67"/>
      <c r="DL176" s="67"/>
      <c r="DM176" s="67"/>
      <c r="DN176" s="67"/>
      <c r="DO176" s="67"/>
      <c r="DP176" s="67"/>
      <c r="DQ176" s="67"/>
      <c r="DR176" s="67"/>
      <c r="DS176" s="67"/>
      <c r="DT176" s="67"/>
      <c r="DU176" s="67"/>
      <c r="DV176" s="67"/>
      <c r="DW176" s="67"/>
      <c r="DX176" s="67"/>
      <c r="DY176" s="67"/>
      <c r="DZ176" s="67"/>
      <c r="EA176" s="67"/>
      <c r="EB176" s="67"/>
      <c r="EC176" s="67"/>
      <c r="ED176" s="67"/>
      <c r="EE176" s="67"/>
      <c r="EF176" s="67"/>
      <c r="EG176" s="67"/>
      <c r="EH176" s="67"/>
      <c r="EI176" s="66"/>
      <c r="EJ176" s="67"/>
      <c r="EK176" s="67"/>
      <c r="EL176" s="67"/>
      <c r="EM176" s="67"/>
      <c r="EN176" s="67"/>
      <c r="EO176" s="67"/>
      <c r="EP176" s="67"/>
      <c r="EQ176" s="67"/>
      <c r="ER176" s="67"/>
      <c r="ES176" s="67"/>
      <c r="ET176" s="67"/>
      <c r="EU176" s="67"/>
      <c r="EV176" s="67"/>
      <c r="EW176" s="67"/>
      <c r="EX176" s="67"/>
      <c r="EY176" s="67"/>
      <c r="EZ176" s="67"/>
      <c r="FA176" s="67"/>
      <c r="FB176" s="67"/>
      <c r="FC176" s="67"/>
      <c r="FD176" s="67"/>
      <c r="FE176" s="67"/>
      <c r="FF176" s="67"/>
      <c r="FG176" s="67"/>
      <c r="FH176" s="67"/>
      <c r="FI176" s="67"/>
      <c r="FJ176" s="67"/>
      <c r="FK176" s="67"/>
      <c r="FL176" s="67"/>
      <c r="FM176" s="66"/>
      <c r="FN176" s="67"/>
      <c r="FO176" s="67"/>
      <c r="FP176" s="67"/>
      <c r="FQ176" s="67"/>
      <c r="FR176" s="67"/>
      <c r="FS176" s="67"/>
      <c r="FT176" s="67"/>
      <c r="FU176" s="67"/>
      <c r="FV176" s="67"/>
      <c r="FW176" s="67"/>
      <c r="FX176" s="67"/>
      <c r="FY176" s="67"/>
      <c r="FZ176" s="67"/>
      <c r="GA176" s="67"/>
      <c r="GB176" s="67"/>
      <c r="GC176" s="67"/>
      <c r="GD176" s="67"/>
      <c r="GE176" s="67"/>
      <c r="GF176" s="67"/>
      <c r="GG176" s="67"/>
      <c r="GH176" s="67"/>
      <c r="GI176" s="67"/>
      <c r="GJ176" s="67"/>
      <c r="GK176" s="67"/>
      <c r="GL176" s="67"/>
      <c r="GM176" s="67"/>
      <c r="GN176" s="67"/>
      <c r="GO176" s="67"/>
      <c r="GP176" s="67"/>
      <c r="GQ176" s="66"/>
      <c r="GR176" s="67"/>
      <c r="GS176" s="67"/>
      <c r="GT176" s="67"/>
      <c r="GU176" s="67"/>
      <c r="GV176" s="67"/>
      <c r="GW176" s="67"/>
      <c r="GX176" s="67"/>
      <c r="GY176" s="67"/>
      <c r="GZ176" s="67"/>
      <c r="HA176" s="67"/>
      <c r="HB176" s="67"/>
      <c r="HC176" s="67"/>
      <c r="HD176" s="67"/>
      <c r="HE176" s="67"/>
      <c r="HF176" s="67"/>
      <c r="HG176" s="67"/>
      <c r="HH176" s="67"/>
      <c r="HI176" s="67"/>
      <c r="HJ176" s="67"/>
      <c r="HK176" s="67"/>
      <c r="HL176" s="67"/>
      <c r="HM176" s="67"/>
      <c r="HN176" s="67"/>
      <c r="HO176" s="67"/>
      <c r="HP176" s="67"/>
      <c r="HQ176" s="67"/>
      <c r="HR176" s="67"/>
      <c r="HS176" s="67"/>
      <c r="HT176" s="67"/>
      <c r="HU176" s="66"/>
      <c r="HV176" s="67"/>
      <c r="HW176" s="67"/>
      <c r="HX176" s="67"/>
      <c r="HY176" s="67"/>
      <c r="HZ176" s="67"/>
      <c r="IA176" s="67"/>
      <c r="IB176" s="67"/>
      <c r="IC176" s="67"/>
      <c r="ID176" s="67"/>
      <c r="IE176" s="67"/>
      <c r="IF176" s="67"/>
      <c r="IG176" s="67"/>
      <c r="IH176" s="67"/>
      <c r="II176" s="67"/>
      <c r="IJ176" s="67"/>
      <c r="IK176" s="67"/>
      <c r="IL176" s="67"/>
      <c r="IM176" s="67"/>
      <c r="IN176" s="67"/>
      <c r="IO176" s="67"/>
      <c r="IP176" s="67"/>
      <c r="IQ176" s="67"/>
      <c r="IR176" s="67"/>
      <c r="IS176" s="67"/>
      <c r="IT176" s="67"/>
      <c r="IU176" s="67"/>
      <c r="IV176" s="67"/>
      <c r="IW176" s="67"/>
      <c r="IX176" s="67"/>
      <c r="IY176" s="66"/>
      <c r="IZ176" s="67"/>
      <c r="JA176" s="67"/>
      <c r="JB176" s="67"/>
      <c r="JC176" s="67"/>
      <c r="JD176" s="67"/>
      <c r="JE176" s="67"/>
      <c r="JF176" s="67"/>
      <c r="JG176" s="67"/>
      <c r="JH176" s="67"/>
      <c r="JI176" s="67"/>
      <c r="JJ176" s="67"/>
      <c r="JK176" s="67"/>
      <c r="JL176" s="67"/>
      <c r="JM176" s="67"/>
      <c r="JN176" s="67"/>
      <c r="JO176" s="67"/>
      <c r="JP176" s="67"/>
      <c r="JQ176" s="67"/>
      <c r="JR176" s="67"/>
      <c r="JS176" s="67"/>
      <c r="JT176" s="67"/>
      <c r="JU176" s="67"/>
      <c r="JV176" s="67"/>
      <c r="JW176" s="67"/>
      <c r="JX176" s="67"/>
      <c r="JY176" s="67"/>
      <c r="JZ176" s="67"/>
      <c r="KA176" s="67"/>
      <c r="KB176" s="67"/>
      <c r="KC176" s="66"/>
      <c r="KD176" s="67"/>
      <c r="KE176" s="68"/>
      <c r="KF176" s="66"/>
      <c r="KG176" s="67"/>
      <c r="KH176" s="68"/>
      <c r="KI176" s="66"/>
      <c r="KJ176" s="67"/>
      <c r="KK176" s="68"/>
      <c r="KL176" s="66"/>
      <c r="KM176" s="67"/>
      <c r="KN176" s="68"/>
      <c r="KO176" s="66"/>
      <c r="KP176" s="67"/>
      <c r="KQ176" s="68"/>
      <c r="KR176" s="66"/>
      <c r="KS176" s="67"/>
      <c r="KT176" s="68"/>
      <c r="KU176" s="66"/>
      <c r="KV176" s="67"/>
      <c r="KW176" s="68"/>
      <c r="KX176" s="66"/>
      <c r="KY176" s="67"/>
      <c r="KZ176" s="67"/>
      <c r="LA176" s="70"/>
      <c r="LB176" s="67"/>
      <c r="LC176" s="71"/>
      <c r="LD176" s="67"/>
      <c r="LE176" s="67"/>
      <c r="LF176" s="68"/>
      <c r="LG176" s="66"/>
      <c r="LH176" s="67"/>
      <c r="LI176" s="68"/>
      <c r="LJ176" s="66"/>
      <c r="LK176" s="67"/>
      <c r="LL176" s="68"/>
      <c r="LM176" s="66"/>
      <c r="LN176" s="67"/>
      <c r="LO176" s="68"/>
      <c r="LP176" s="66"/>
      <c r="LQ176" s="67"/>
      <c r="LR176" s="68"/>
      <c r="LS176" s="66"/>
      <c r="LT176" s="67"/>
      <c r="LU176" s="68"/>
      <c r="LV176" s="215"/>
      <c r="LW176" s="214"/>
      <c r="LX176" s="214"/>
      <c r="LY176" s="215"/>
      <c r="LZ176" s="214"/>
      <c r="MA176" s="214"/>
      <c r="MB176" s="215"/>
      <c r="MC176" s="214"/>
      <c r="MD176" s="214"/>
      <c r="ME176" s="215"/>
      <c r="MF176" s="214"/>
      <c r="MG176" s="214"/>
      <c r="MH176" s="218">
        <v>1.1E-4</v>
      </c>
      <c r="MI176" s="219"/>
      <c r="MJ176" s="220"/>
      <c r="MK176" s="218">
        <v>2.2000000000000001E-4</v>
      </c>
      <c r="ML176" s="219"/>
      <c r="MM176" s="220"/>
      <c r="MN176" s="218">
        <v>2.2000000000000001E-4</v>
      </c>
      <c r="MO176" s="219"/>
      <c r="MP176" s="220"/>
      <c r="MQ176" s="218">
        <v>2.2000000000000001E-4</v>
      </c>
      <c r="MR176" s="219"/>
      <c r="MS176" s="220"/>
      <c r="MT176" s="218">
        <v>1.2E-4</v>
      </c>
      <c r="MU176" s="219"/>
      <c r="MV176" s="220"/>
      <c r="MW176" s="215">
        <v>1.2E-4</v>
      </c>
      <c r="MX176" s="214"/>
      <c r="MY176" s="214"/>
      <c r="MZ176" s="215"/>
      <c r="NA176" s="214"/>
      <c r="NB176" s="214"/>
      <c r="NC176" s="66"/>
      <c r="ND176" s="67"/>
      <c r="NE176" s="72"/>
      <c r="NG176" s="275">
        <f>SUM(R176:NE176)</f>
        <v>1.01E-3</v>
      </c>
      <c r="NH176" s="1"/>
      <c r="NI176" s="1"/>
      <c r="NJ176" s="1"/>
      <c r="NK176" s="1"/>
    </row>
    <row r="177" spans="5:375" s="6" customFormat="1" ht="6.95" customHeight="1" thickBot="1">
      <c r="F177" s="196"/>
      <c r="G177" s="197"/>
      <c r="H177" s="52">
        <v>2</v>
      </c>
      <c r="L177" s="292"/>
      <c r="M177" s="300"/>
      <c r="N177" s="301"/>
      <c r="O177" s="302"/>
      <c r="P177" s="315"/>
      <c r="Q177" s="237"/>
      <c r="R177" s="82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8"/>
      <c r="AW177" s="66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  <c r="BM177" s="67"/>
      <c r="BN177" s="67"/>
      <c r="BO177" s="67"/>
      <c r="BP177" s="67"/>
      <c r="BQ177" s="67"/>
      <c r="BR177" s="67"/>
      <c r="BS177" s="67"/>
      <c r="BT177" s="67"/>
      <c r="BU177" s="67"/>
      <c r="BV177" s="67"/>
      <c r="BW177" s="67"/>
      <c r="BX177" s="67"/>
      <c r="BY177" s="67"/>
      <c r="BZ177" s="68"/>
      <c r="CA177" s="66"/>
      <c r="CB177" s="67"/>
      <c r="CC177" s="67"/>
      <c r="CD177" s="67"/>
      <c r="CE177" s="67"/>
      <c r="CF177" s="67"/>
      <c r="CG177" s="67"/>
      <c r="CH177" s="67"/>
      <c r="CI177" s="67"/>
      <c r="CJ177" s="67"/>
      <c r="CK177" s="67"/>
      <c r="CL177" s="67"/>
      <c r="CM177" s="67"/>
      <c r="CN177" s="67"/>
      <c r="CO177" s="67"/>
      <c r="CP177" s="67"/>
      <c r="CQ177" s="67"/>
      <c r="CR177" s="67"/>
      <c r="CS177" s="67"/>
      <c r="CT177" s="67"/>
      <c r="CU177" s="67"/>
      <c r="CV177" s="67"/>
      <c r="CW177" s="67"/>
      <c r="CX177" s="67"/>
      <c r="CY177" s="67"/>
      <c r="CZ177" s="67"/>
      <c r="DA177" s="67"/>
      <c r="DB177" s="67"/>
      <c r="DC177" s="67"/>
      <c r="DD177" s="67"/>
      <c r="DE177" s="66"/>
      <c r="DF177" s="67"/>
      <c r="DG177" s="67"/>
      <c r="DH177" s="67"/>
      <c r="DI177" s="67"/>
      <c r="DJ177" s="67"/>
      <c r="DK177" s="67"/>
      <c r="DL177" s="67"/>
      <c r="DM177" s="67"/>
      <c r="DN177" s="67"/>
      <c r="DO177" s="67"/>
      <c r="DP177" s="67"/>
      <c r="DQ177" s="67"/>
      <c r="DR177" s="67"/>
      <c r="DS177" s="67"/>
      <c r="DT177" s="67"/>
      <c r="DU177" s="67"/>
      <c r="DV177" s="67"/>
      <c r="DW177" s="67"/>
      <c r="DX177" s="67"/>
      <c r="DY177" s="67"/>
      <c r="DZ177" s="67"/>
      <c r="EA177" s="67"/>
      <c r="EB177" s="67"/>
      <c r="EC177" s="67"/>
      <c r="ED177" s="67"/>
      <c r="EE177" s="67"/>
      <c r="EF177" s="67"/>
      <c r="EG177" s="67"/>
      <c r="EH177" s="67"/>
      <c r="EI177" s="66"/>
      <c r="EJ177" s="67"/>
      <c r="EK177" s="67"/>
      <c r="EL177" s="67"/>
      <c r="EM177" s="67"/>
      <c r="EN177" s="67"/>
      <c r="EO177" s="67"/>
      <c r="EP177" s="67"/>
      <c r="EQ177" s="67"/>
      <c r="ER177" s="67"/>
      <c r="ES177" s="67"/>
      <c r="ET177" s="67"/>
      <c r="EU177" s="67"/>
      <c r="EV177" s="67"/>
      <c r="EW177" s="67"/>
      <c r="EX177" s="67"/>
      <c r="EY177" s="67"/>
      <c r="EZ177" s="67"/>
      <c r="FA177" s="67"/>
      <c r="FB177" s="67"/>
      <c r="FC177" s="67"/>
      <c r="FD177" s="67"/>
      <c r="FE177" s="67"/>
      <c r="FF177" s="67"/>
      <c r="FG177" s="67"/>
      <c r="FH177" s="67"/>
      <c r="FI177" s="67"/>
      <c r="FJ177" s="67"/>
      <c r="FK177" s="67"/>
      <c r="FL177" s="67"/>
      <c r="FM177" s="66"/>
      <c r="FN177" s="67"/>
      <c r="FO177" s="67"/>
      <c r="FP177" s="67"/>
      <c r="FQ177" s="67"/>
      <c r="FR177" s="67"/>
      <c r="FS177" s="67"/>
      <c r="FT177" s="67"/>
      <c r="FU177" s="67"/>
      <c r="FV177" s="67"/>
      <c r="FW177" s="67"/>
      <c r="FX177" s="67"/>
      <c r="FY177" s="67"/>
      <c r="FZ177" s="67"/>
      <c r="GA177" s="67"/>
      <c r="GB177" s="67"/>
      <c r="GC177" s="67"/>
      <c r="GD177" s="67"/>
      <c r="GE177" s="67"/>
      <c r="GF177" s="67"/>
      <c r="GG177" s="67"/>
      <c r="GH177" s="67"/>
      <c r="GI177" s="67"/>
      <c r="GJ177" s="67"/>
      <c r="GK177" s="67"/>
      <c r="GL177" s="67"/>
      <c r="GM177" s="67"/>
      <c r="GN177" s="67"/>
      <c r="GO177" s="67"/>
      <c r="GP177" s="67"/>
      <c r="GQ177" s="66"/>
      <c r="GR177" s="67"/>
      <c r="GS177" s="67"/>
      <c r="GT177" s="67"/>
      <c r="GU177" s="67"/>
      <c r="GV177" s="67"/>
      <c r="GW177" s="67"/>
      <c r="GX177" s="67"/>
      <c r="GY177" s="67"/>
      <c r="GZ177" s="67"/>
      <c r="HA177" s="67"/>
      <c r="HB177" s="67"/>
      <c r="HC177" s="67"/>
      <c r="HD177" s="67"/>
      <c r="HE177" s="67"/>
      <c r="HF177" s="67"/>
      <c r="HG177" s="67"/>
      <c r="HH177" s="67"/>
      <c r="HI177" s="67"/>
      <c r="HJ177" s="67"/>
      <c r="HK177" s="67"/>
      <c r="HL177" s="67"/>
      <c r="HM177" s="67"/>
      <c r="HN177" s="67"/>
      <c r="HO177" s="67"/>
      <c r="HP177" s="67"/>
      <c r="HQ177" s="67"/>
      <c r="HR177" s="67"/>
      <c r="HS177" s="67"/>
      <c r="HT177" s="67"/>
      <c r="HU177" s="66"/>
      <c r="HV177" s="67"/>
      <c r="HW177" s="67"/>
      <c r="HX177" s="67"/>
      <c r="HY177" s="67"/>
      <c r="HZ177" s="67"/>
      <c r="IA177" s="67"/>
      <c r="IB177" s="67"/>
      <c r="IC177" s="67"/>
      <c r="ID177" s="67"/>
      <c r="IE177" s="67"/>
      <c r="IF177" s="67"/>
      <c r="IG177" s="67"/>
      <c r="IH177" s="67"/>
      <c r="II177" s="67"/>
      <c r="IJ177" s="67"/>
      <c r="IK177" s="67"/>
      <c r="IL177" s="67"/>
      <c r="IM177" s="67"/>
      <c r="IN177" s="67"/>
      <c r="IO177" s="67"/>
      <c r="IP177" s="67"/>
      <c r="IQ177" s="67"/>
      <c r="IR177" s="67"/>
      <c r="IS177" s="67"/>
      <c r="IT177" s="67"/>
      <c r="IU177" s="67"/>
      <c r="IV177" s="67"/>
      <c r="IW177" s="67"/>
      <c r="IX177" s="67"/>
      <c r="IY177" s="66"/>
      <c r="IZ177" s="67"/>
      <c r="JA177" s="67"/>
      <c r="JB177" s="67"/>
      <c r="JC177" s="67"/>
      <c r="JD177" s="67"/>
      <c r="JE177" s="67"/>
      <c r="JF177" s="67"/>
      <c r="JG177" s="67"/>
      <c r="JH177" s="67"/>
      <c r="JI177" s="67"/>
      <c r="JJ177" s="67"/>
      <c r="JK177" s="67"/>
      <c r="JL177" s="67"/>
      <c r="JM177" s="67"/>
      <c r="JN177" s="67"/>
      <c r="JO177" s="67"/>
      <c r="JP177" s="67"/>
      <c r="JQ177" s="67"/>
      <c r="JR177" s="67"/>
      <c r="JS177" s="67"/>
      <c r="JT177" s="67"/>
      <c r="JU177" s="67"/>
      <c r="JV177" s="67"/>
      <c r="JW177" s="67"/>
      <c r="JX177" s="67"/>
      <c r="JY177" s="67"/>
      <c r="JZ177" s="67"/>
      <c r="KA177" s="67"/>
      <c r="KB177" s="67"/>
      <c r="KC177" s="66"/>
      <c r="KD177" s="67"/>
      <c r="KE177" s="68"/>
      <c r="KF177" s="66"/>
      <c r="KG177" s="67"/>
      <c r="KH177" s="68"/>
      <c r="KI177" s="66"/>
      <c r="KJ177" s="67"/>
      <c r="KK177" s="68"/>
      <c r="KL177" s="66"/>
      <c r="KM177" s="67"/>
      <c r="KN177" s="68"/>
      <c r="KO177" s="66"/>
      <c r="KP177" s="67"/>
      <c r="KQ177" s="68"/>
      <c r="KR177" s="66"/>
      <c r="KS177" s="67"/>
      <c r="KT177" s="68"/>
      <c r="KU177" s="66"/>
      <c r="KV177" s="67"/>
      <c r="KW177" s="68"/>
      <c r="KX177" s="66"/>
      <c r="KY177" s="67"/>
      <c r="KZ177" s="67"/>
      <c r="LA177" s="70"/>
      <c r="LB177" s="67"/>
      <c r="LC177" s="71"/>
      <c r="LD177" s="67"/>
      <c r="LE177" s="67"/>
      <c r="LF177" s="68"/>
      <c r="LG177" s="66"/>
      <c r="LH177" s="67"/>
      <c r="LI177" s="68"/>
      <c r="LJ177" s="66"/>
      <c r="LK177" s="67"/>
      <c r="LL177" s="68"/>
      <c r="LM177" s="66"/>
      <c r="LN177" s="67"/>
      <c r="LO177" s="68"/>
      <c r="LP177" s="66"/>
      <c r="LQ177" s="67"/>
      <c r="LR177" s="68"/>
      <c r="LS177" s="66"/>
      <c r="LT177" s="67"/>
      <c r="LU177" s="68"/>
      <c r="LV177" s="66"/>
      <c r="LW177" s="67"/>
      <c r="LX177" s="68"/>
      <c r="LY177" s="66"/>
      <c r="LZ177" s="67"/>
      <c r="MA177" s="68"/>
      <c r="MB177" s="66"/>
      <c r="MC177" s="67"/>
      <c r="MD177" s="68"/>
      <c r="ME177" s="66"/>
      <c r="MF177" s="67"/>
      <c r="MG177" s="68"/>
      <c r="MH177" s="61"/>
      <c r="MI177" s="62"/>
      <c r="MJ177" s="63"/>
      <c r="MK177" s="61"/>
      <c r="ML177" s="62"/>
      <c r="MM177" s="63"/>
      <c r="MN177" s="61"/>
      <c r="MO177" s="62"/>
      <c r="MP177" s="63"/>
      <c r="MQ177" s="61"/>
      <c r="MR177" s="62"/>
      <c r="MS177" s="63"/>
      <c r="MT177" s="61"/>
      <c r="MU177" s="62"/>
      <c r="MV177" s="63"/>
      <c r="MW177" s="61"/>
      <c r="MX177" s="62"/>
      <c r="MY177" s="63"/>
      <c r="MZ177" s="66"/>
      <c r="NA177" s="67"/>
      <c r="NB177" s="68"/>
      <c r="NC177" s="66"/>
      <c r="ND177" s="67"/>
      <c r="NE177" s="72"/>
      <c r="NG177" s="275"/>
      <c r="NH177" s="1"/>
      <c r="NI177" s="1"/>
      <c r="NJ177" s="1"/>
      <c r="NK177" s="1"/>
    </row>
    <row r="178" spans="5:375" s="6" customFormat="1" ht="9.9499999999999993" customHeight="1">
      <c r="F178" s="194">
        <f t="shared" ref="F178" si="443">NG178</f>
        <v>6.6700000000000006E-3</v>
      </c>
      <c r="G178" s="195">
        <f>Q178-F178</f>
        <v>0</v>
      </c>
      <c r="H178" s="27">
        <v>1</v>
      </c>
      <c r="L178" s="286" t="s">
        <v>81</v>
      </c>
      <c r="M178" s="287"/>
      <c r="N178" s="287"/>
      <c r="O178" s="288"/>
      <c r="P178" s="240">
        <f>SUM(P180:P185)</f>
        <v>1388434</v>
      </c>
      <c r="Q178" s="238">
        <f>ROUND(SUM(Q180:Q185),5)</f>
        <v>6.6699999999999997E-3</v>
      </c>
      <c r="R178" s="238">
        <f>ROUND(SUM(R180:R185),5)</f>
        <v>0</v>
      </c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8"/>
      <c r="AW178" s="176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  <c r="BO178" s="137"/>
      <c r="BP178" s="137"/>
      <c r="BQ178" s="137"/>
      <c r="BR178" s="137"/>
      <c r="BS178" s="137"/>
      <c r="BT178" s="137"/>
      <c r="BU178" s="137"/>
      <c r="BV178" s="137"/>
      <c r="BW178" s="137"/>
      <c r="BX178" s="137"/>
      <c r="BY178" s="137"/>
      <c r="BZ178" s="138"/>
      <c r="CA178" s="176"/>
      <c r="CB178" s="137"/>
      <c r="CC178" s="137"/>
      <c r="CD178" s="137"/>
      <c r="CE178" s="137"/>
      <c r="CF178" s="137"/>
      <c r="CG178" s="137"/>
      <c r="CH178" s="137"/>
      <c r="CI178" s="137"/>
      <c r="CJ178" s="137"/>
      <c r="CK178" s="137"/>
      <c r="CL178" s="137"/>
      <c r="CM178" s="137"/>
      <c r="CN178" s="137"/>
      <c r="CO178" s="137"/>
      <c r="CP178" s="137"/>
      <c r="CQ178" s="137"/>
      <c r="CR178" s="137"/>
      <c r="CS178" s="137"/>
      <c r="CT178" s="137"/>
      <c r="CU178" s="137"/>
      <c r="CV178" s="137"/>
      <c r="CW178" s="137"/>
      <c r="CX178" s="137"/>
      <c r="CY178" s="137"/>
      <c r="CZ178" s="137"/>
      <c r="DA178" s="137"/>
      <c r="DB178" s="137"/>
      <c r="DC178" s="137"/>
      <c r="DD178" s="137"/>
      <c r="DE178" s="176"/>
      <c r="DF178" s="137"/>
      <c r="DG178" s="137"/>
      <c r="DH178" s="137"/>
      <c r="DI178" s="137"/>
      <c r="DJ178" s="137"/>
      <c r="DK178" s="137"/>
      <c r="DL178" s="137"/>
      <c r="DM178" s="137"/>
      <c r="DN178" s="137"/>
      <c r="DO178" s="137"/>
      <c r="DP178" s="137"/>
      <c r="DQ178" s="137"/>
      <c r="DR178" s="137"/>
      <c r="DS178" s="137"/>
      <c r="DT178" s="137"/>
      <c r="DU178" s="137"/>
      <c r="DV178" s="137"/>
      <c r="DW178" s="137"/>
      <c r="DX178" s="137"/>
      <c r="DY178" s="137"/>
      <c r="DZ178" s="137"/>
      <c r="EA178" s="137"/>
      <c r="EB178" s="137"/>
      <c r="EC178" s="137"/>
      <c r="ED178" s="137"/>
      <c r="EE178" s="137"/>
      <c r="EF178" s="137"/>
      <c r="EG178" s="137"/>
      <c r="EH178" s="137"/>
      <c r="EI178" s="176"/>
      <c r="EJ178" s="137"/>
      <c r="EK178" s="137"/>
      <c r="EL178" s="137"/>
      <c r="EM178" s="137"/>
      <c r="EN178" s="137"/>
      <c r="EO178" s="137"/>
      <c r="EP178" s="137"/>
      <c r="EQ178" s="137"/>
      <c r="ER178" s="137"/>
      <c r="ES178" s="137"/>
      <c r="ET178" s="137"/>
      <c r="EU178" s="137"/>
      <c r="EV178" s="137"/>
      <c r="EW178" s="137"/>
      <c r="EX178" s="137"/>
      <c r="EY178" s="137"/>
      <c r="EZ178" s="137"/>
      <c r="FA178" s="137"/>
      <c r="FB178" s="137"/>
      <c r="FC178" s="137"/>
      <c r="FD178" s="137"/>
      <c r="FE178" s="137"/>
      <c r="FF178" s="137"/>
      <c r="FG178" s="137"/>
      <c r="FH178" s="137"/>
      <c r="FI178" s="137"/>
      <c r="FJ178" s="137"/>
      <c r="FK178" s="137"/>
      <c r="FL178" s="137"/>
      <c r="FM178" s="176"/>
      <c r="FN178" s="137"/>
      <c r="FO178" s="137"/>
      <c r="FP178" s="137"/>
      <c r="FQ178" s="137"/>
      <c r="FR178" s="137"/>
      <c r="FS178" s="137"/>
      <c r="FT178" s="137"/>
      <c r="FU178" s="137"/>
      <c r="FV178" s="137"/>
      <c r="FW178" s="137"/>
      <c r="FX178" s="137"/>
      <c r="FY178" s="137"/>
      <c r="FZ178" s="137"/>
      <c r="GA178" s="137"/>
      <c r="GB178" s="137"/>
      <c r="GC178" s="137"/>
      <c r="GD178" s="137"/>
      <c r="GE178" s="137"/>
      <c r="GF178" s="137"/>
      <c r="GG178" s="137"/>
      <c r="GH178" s="137"/>
      <c r="GI178" s="137"/>
      <c r="GJ178" s="137"/>
      <c r="GK178" s="137"/>
      <c r="GL178" s="137"/>
      <c r="GM178" s="137"/>
      <c r="GN178" s="137"/>
      <c r="GO178" s="137"/>
      <c r="GP178" s="137"/>
      <c r="GQ178" s="176"/>
      <c r="GR178" s="137"/>
      <c r="GS178" s="137"/>
      <c r="GT178" s="137"/>
      <c r="GU178" s="137"/>
      <c r="GV178" s="137"/>
      <c r="GW178" s="137"/>
      <c r="GX178" s="137"/>
      <c r="GY178" s="137"/>
      <c r="GZ178" s="137"/>
      <c r="HA178" s="137"/>
      <c r="HB178" s="137"/>
      <c r="HC178" s="137"/>
      <c r="HD178" s="137"/>
      <c r="HE178" s="137"/>
      <c r="HF178" s="137"/>
      <c r="HG178" s="137"/>
      <c r="HH178" s="137"/>
      <c r="HI178" s="137"/>
      <c r="HJ178" s="137"/>
      <c r="HK178" s="137"/>
      <c r="HL178" s="137"/>
      <c r="HM178" s="137"/>
      <c r="HN178" s="137"/>
      <c r="HO178" s="137"/>
      <c r="HP178" s="137"/>
      <c r="HQ178" s="137"/>
      <c r="HR178" s="137"/>
      <c r="HS178" s="137"/>
      <c r="HT178" s="137"/>
      <c r="HU178" s="176"/>
      <c r="HV178" s="137"/>
      <c r="HW178" s="137"/>
      <c r="HX178" s="137"/>
      <c r="HY178" s="137"/>
      <c r="HZ178" s="137"/>
      <c r="IA178" s="137"/>
      <c r="IB178" s="137"/>
      <c r="IC178" s="137"/>
      <c r="ID178" s="137"/>
      <c r="IE178" s="137"/>
      <c r="IF178" s="137"/>
      <c r="IG178" s="137"/>
      <c r="IH178" s="137"/>
      <c r="II178" s="137"/>
      <c r="IJ178" s="137"/>
      <c r="IK178" s="137"/>
      <c r="IL178" s="137"/>
      <c r="IM178" s="137"/>
      <c r="IN178" s="137"/>
      <c r="IO178" s="137"/>
      <c r="IP178" s="137"/>
      <c r="IQ178" s="137"/>
      <c r="IR178" s="137"/>
      <c r="IS178" s="137"/>
      <c r="IT178" s="137"/>
      <c r="IU178" s="137"/>
      <c r="IV178" s="137"/>
      <c r="IW178" s="137"/>
      <c r="IX178" s="137"/>
      <c r="IY178" s="176"/>
      <c r="IZ178" s="137"/>
      <c r="JA178" s="137"/>
      <c r="JB178" s="137"/>
      <c r="JC178" s="137"/>
      <c r="JD178" s="137"/>
      <c r="JE178" s="137"/>
      <c r="JF178" s="137"/>
      <c r="JG178" s="137"/>
      <c r="JH178" s="137"/>
      <c r="JI178" s="137"/>
      <c r="JJ178" s="137"/>
      <c r="JK178" s="137"/>
      <c r="JL178" s="137"/>
      <c r="JM178" s="137"/>
      <c r="JN178" s="137"/>
      <c r="JO178" s="137"/>
      <c r="JP178" s="137"/>
      <c r="JQ178" s="137"/>
      <c r="JR178" s="137"/>
      <c r="JS178" s="137"/>
      <c r="JT178" s="137"/>
      <c r="JU178" s="137"/>
      <c r="JV178" s="137"/>
      <c r="JW178" s="137"/>
      <c r="JX178" s="137"/>
      <c r="JY178" s="137"/>
      <c r="JZ178" s="137"/>
      <c r="KA178" s="137"/>
      <c r="KB178" s="137"/>
      <c r="KC178" s="205">
        <f>ROUND(SUM(KC180:KE185),5)</f>
        <v>0</v>
      </c>
      <c r="KD178" s="206"/>
      <c r="KE178" s="207"/>
      <c r="KF178" s="205">
        <f>ROUND(SUM(KF180:KH185),5)</f>
        <v>0</v>
      </c>
      <c r="KG178" s="206"/>
      <c r="KH178" s="207"/>
      <c r="KI178" s="205">
        <f>ROUND(SUM(KI180:KK185),5)</f>
        <v>0</v>
      </c>
      <c r="KJ178" s="206"/>
      <c r="KK178" s="207"/>
      <c r="KL178" s="205">
        <f>ROUND(SUM(KL180:KN185),5)</f>
        <v>0</v>
      </c>
      <c r="KM178" s="206"/>
      <c r="KN178" s="207"/>
      <c r="KO178" s="205">
        <f>ROUND(SUM(KO180:KQ185),5)</f>
        <v>0</v>
      </c>
      <c r="KP178" s="206"/>
      <c r="KQ178" s="207"/>
      <c r="KR178" s="205">
        <f>ROUND(SUM(KR180:KT185),5)</f>
        <v>0</v>
      </c>
      <c r="KS178" s="206"/>
      <c r="KT178" s="207"/>
      <c r="KU178" s="205">
        <f>ROUND(SUM(KU180:KW185),5)</f>
        <v>0</v>
      </c>
      <c r="KV178" s="206"/>
      <c r="KW178" s="207"/>
      <c r="KX178" s="205">
        <f>ROUND(SUM(KX180:KZ185),5)</f>
        <v>0</v>
      </c>
      <c r="KY178" s="206"/>
      <c r="KZ178" s="206"/>
      <c r="LA178" s="229">
        <f>ROUND(SUM(LA180:LC185),5)</f>
        <v>0</v>
      </c>
      <c r="LB178" s="206"/>
      <c r="LC178" s="230"/>
      <c r="LD178" s="206">
        <f>ROUND(SUM(LD180:LF185),5)</f>
        <v>0</v>
      </c>
      <c r="LE178" s="206"/>
      <c r="LF178" s="207"/>
      <c r="LG178" s="205">
        <f>ROUND(SUM(LG180:LI185),5)</f>
        <v>0</v>
      </c>
      <c r="LH178" s="206"/>
      <c r="LI178" s="207"/>
      <c r="LJ178" s="205">
        <f>ROUND(SUM(LJ180:LL185),5)</f>
        <v>8.0999999999999996E-4</v>
      </c>
      <c r="LK178" s="206"/>
      <c r="LL178" s="207"/>
      <c r="LM178" s="205">
        <f>ROUND(SUM(LM180:LO185),5)</f>
        <v>1E-3</v>
      </c>
      <c r="LN178" s="206"/>
      <c r="LO178" s="207"/>
      <c r="LP178" s="205">
        <f>ROUND(SUM(LP180:LR185),5)</f>
        <v>1E-3</v>
      </c>
      <c r="LQ178" s="206"/>
      <c r="LR178" s="207"/>
      <c r="LS178" s="205">
        <f>ROUND(SUM(LS180:LU185),5)</f>
        <v>1E-3</v>
      </c>
      <c r="LT178" s="206"/>
      <c r="LU178" s="207"/>
      <c r="LV178" s="205">
        <f>ROUND(SUM(LV180:LX185),5)</f>
        <v>1.5100000000000001E-3</v>
      </c>
      <c r="LW178" s="206"/>
      <c r="LX178" s="207"/>
      <c r="LY178" s="205">
        <f>ROUND(SUM(LY180:MA185),5)</f>
        <v>1.3500000000000001E-3</v>
      </c>
      <c r="LZ178" s="206"/>
      <c r="MA178" s="207"/>
      <c r="MB178" s="205">
        <f>ROUND(SUM(MB180:MD185),5)</f>
        <v>0</v>
      </c>
      <c r="MC178" s="206"/>
      <c r="MD178" s="207"/>
      <c r="ME178" s="205">
        <f>ROUND(SUM(ME180:MG185),5)</f>
        <v>0</v>
      </c>
      <c r="MF178" s="206"/>
      <c r="MG178" s="207"/>
      <c r="MH178" s="205">
        <f>ROUND(SUM(MH180:MJ185),5)</f>
        <v>0</v>
      </c>
      <c r="MI178" s="206"/>
      <c r="MJ178" s="207"/>
      <c r="MK178" s="205">
        <f>ROUND(SUM(MK180:MM185),5)</f>
        <v>0</v>
      </c>
      <c r="ML178" s="206"/>
      <c r="MM178" s="207"/>
      <c r="MN178" s="205">
        <f>ROUND(SUM(MN180:MP185),5)</f>
        <v>0</v>
      </c>
      <c r="MO178" s="206"/>
      <c r="MP178" s="207"/>
      <c r="MQ178" s="205">
        <f>ROUND(SUM(MQ180:MS185),5)</f>
        <v>0</v>
      </c>
      <c r="MR178" s="206"/>
      <c r="MS178" s="207"/>
      <c r="MT178" s="205">
        <f>ROUND(SUM(MT180:MV185),5)</f>
        <v>0</v>
      </c>
      <c r="MU178" s="206"/>
      <c r="MV178" s="207"/>
      <c r="MW178" s="205">
        <f>ROUND(SUM(MW180:MY185),5)</f>
        <v>0</v>
      </c>
      <c r="MX178" s="206"/>
      <c r="MY178" s="207"/>
      <c r="MZ178" s="205">
        <f>ROUND(SUM(MZ180:NB185),5)</f>
        <v>0</v>
      </c>
      <c r="NA178" s="206"/>
      <c r="NB178" s="207"/>
      <c r="NC178" s="205">
        <f>ROUND(SUM(NC180:NE185),5)</f>
        <v>0</v>
      </c>
      <c r="ND178" s="206"/>
      <c r="NE178" s="223"/>
      <c r="NG178" s="198">
        <f>SUM(R178:NE178)</f>
        <v>6.6700000000000006E-3</v>
      </c>
      <c r="NH178" s="198">
        <f>SUM(NG180:NG185)</f>
        <v>6.6700000000000006E-3</v>
      </c>
      <c r="NI178" s="1"/>
      <c r="NJ178" s="1"/>
      <c r="NK178" s="1"/>
    </row>
    <row r="179" spans="5:375" s="6" customFormat="1" ht="9.9499999999999993" customHeight="1">
      <c r="F179" s="194"/>
      <c r="G179" s="195"/>
      <c r="H179" s="52">
        <v>2</v>
      </c>
      <c r="L179" s="289"/>
      <c r="M179" s="290"/>
      <c r="N179" s="290"/>
      <c r="O179" s="291"/>
      <c r="P179" s="241"/>
      <c r="Q179" s="239"/>
      <c r="R179" s="239"/>
      <c r="S179" s="139"/>
      <c r="T179" s="139"/>
      <c r="U179" s="139"/>
      <c r="V179" s="139"/>
      <c r="W179" s="139"/>
      <c r="X179" s="139"/>
      <c r="Y179" s="139"/>
      <c r="Z179" s="139"/>
      <c r="AA179" s="139"/>
      <c r="AB179" s="139"/>
      <c r="AC179" s="139"/>
      <c r="AD179" s="139"/>
      <c r="AE179" s="139"/>
      <c r="AF179" s="139"/>
      <c r="AG179" s="139"/>
      <c r="AH179" s="139"/>
      <c r="AI179" s="139"/>
      <c r="AJ179" s="139"/>
      <c r="AK179" s="139"/>
      <c r="AL179" s="139"/>
      <c r="AM179" s="139"/>
      <c r="AN179" s="139"/>
      <c r="AO179" s="139"/>
      <c r="AP179" s="139"/>
      <c r="AQ179" s="139"/>
      <c r="AR179" s="139"/>
      <c r="AS179" s="139"/>
      <c r="AT179" s="139"/>
      <c r="AU179" s="139"/>
      <c r="AV179" s="140"/>
      <c r="AW179" s="177"/>
      <c r="AX179" s="139"/>
      <c r="AY179" s="139"/>
      <c r="AZ179" s="139"/>
      <c r="BA179" s="139"/>
      <c r="BB179" s="139"/>
      <c r="BC179" s="139"/>
      <c r="BD179" s="139"/>
      <c r="BE179" s="139"/>
      <c r="BF179" s="139"/>
      <c r="BG179" s="139"/>
      <c r="BH179" s="139"/>
      <c r="BI179" s="139"/>
      <c r="BJ179" s="139"/>
      <c r="BK179" s="139"/>
      <c r="BL179" s="139"/>
      <c r="BM179" s="139"/>
      <c r="BN179" s="139"/>
      <c r="BO179" s="139"/>
      <c r="BP179" s="139"/>
      <c r="BQ179" s="139"/>
      <c r="BR179" s="139"/>
      <c r="BS179" s="139"/>
      <c r="BT179" s="139"/>
      <c r="BU179" s="139"/>
      <c r="BV179" s="139"/>
      <c r="BW179" s="139"/>
      <c r="BX179" s="139"/>
      <c r="BY179" s="139"/>
      <c r="BZ179" s="140"/>
      <c r="CA179" s="177"/>
      <c r="CB179" s="139"/>
      <c r="CC179" s="139"/>
      <c r="CD179" s="139"/>
      <c r="CE179" s="139"/>
      <c r="CF179" s="139"/>
      <c r="CG179" s="139"/>
      <c r="CH179" s="139"/>
      <c r="CI179" s="139"/>
      <c r="CJ179" s="139"/>
      <c r="CK179" s="139"/>
      <c r="CL179" s="139"/>
      <c r="CM179" s="139"/>
      <c r="CN179" s="139"/>
      <c r="CO179" s="139"/>
      <c r="CP179" s="139"/>
      <c r="CQ179" s="139"/>
      <c r="CR179" s="139"/>
      <c r="CS179" s="139"/>
      <c r="CT179" s="139"/>
      <c r="CU179" s="139"/>
      <c r="CV179" s="139"/>
      <c r="CW179" s="139"/>
      <c r="CX179" s="139"/>
      <c r="CY179" s="139"/>
      <c r="CZ179" s="139"/>
      <c r="DA179" s="139"/>
      <c r="DB179" s="139"/>
      <c r="DC179" s="139"/>
      <c r="DD179" s="139"/>
      <c r="DE179" s="177"/>
      <c r="DF179" s="139"/>
      <c r="DG179" s="139"/>
      <c r="DH179" s="139"/>
      <c r="DI179" s="139"/>
      <c r="DJ179" s="139"/>
      <c r="DK179" s="139"/>
      <c r="DL179" s="139"/>
      <c r="DM179" s="139"/>
      <c r="DN179" s="139"/>
      <c r="DO179" s="139"/>
      <c r="DP179" s="139"/>
      <c r="DQ179" s="139"/>
      <c r="DR179" s="139"/>
      <c r="DS179" s="139"/>
      <c r="DT179" s="139"/>
      <c r="DU179" s="139"/>
      <c r="DV179" s="139"/>
      <c r="DW179" s="139"/>
      <c r="DX179" s="139"/>
      <c r="DY179" s="139"/>
      <c r="DZ179" s="139"/>
      <c r="EA179" s="139"/>
      <c r="EB179" s="139"/>
      <c r="EC179" s="139"/>
      <c r="ED179" s="139"/>
      <c r="EE179" s="139"/>
      <c r="EF179" s="139"/>
      <c r="EG179" s="139"/>
      <c r="EH179" s="139"/>
      <c r="EI179" s="177"/>
      <c r="EJ179" s="139"/>
      <c r="EK179" s="139"/>
      <c r="EL179" s="139"/>
      <c r="EM179" s="139"/>
      <c r="EN179" s="139"/>
      <c r="EO179" s="139"/>
      <c r="EP179" s="139"/>
      <c r="EQ179" s="139"/>
      <c r="ER179" s="139"/>
      <c r="ES179" s="139"/>
      <c r="ET179" s="139"/>
      <c r="EU179" s="139"/>
      <c r="EV179" s="139"/>
      <c r="EW179" s="139"/>
      <c r="EX179" s="139"/>
      <c r="EY179" s="139"/>
      <c r="EZ179" s="139"/>
      <c r="FA179" s="139"/>
      <c r="FB179" s="139"/>
      <c r="FC179" s="139"/>
      <c r="FD179" s="139"/>
      <c r="FE179" s="139"/>
      <c r="FF179" s="139"/>
      <c r="FG179" s="139"/>
      <c r="FH179" s="139"/>
      <c r="FI179" s="139"/>
      <c r="FJ179" s="139"/>
      <c r="FK179" s="139"/>
      <c r="FL179" s="139"/>
      <c r="FM179" s="177"/>
      <c r="FN179" s="139"/>
      <c r="FO179" s="139"/>
      <c r="FP179" s="139"/>
      <c r="FQ179" s="139"/>
      <c r="FR179" s="139"/>
      <c r="FS179" s="139"/>
      <c r="FT179" s="139"/>
      <c r="FU179" s="139"/>
      <c r="FV179" s="139"/>
      <c r="FW179" s="139"/>
      <c r="FX179" s="139"/>
      <c r="FY179" s="139"/>
      <c r="FZ179" s="139"/>
      <c r="GA179" s="139"/>
      <c r="GB179" s="139"/>
      <c r="GC179" s="139"/>
      <c r="GD179" s="139"/>
      <c r="GE179" s="139"/>
      <c r="GF179" s="139"/>
      <c r="GG179" s="139"/>
      <c r="GH179" s="139"/>
      <c r="GI179" s="139"/>
      <c r="GJ179" s="139"/>
      <c r="GK179" s="139"/>
      <c r="GL179" s="139"/>
      <c r="GM179" s="139"/>
      <c r="GN179" s="139"/>
      <c r="GO179" s="139"/>
      <c r="GP179" s="139"/>
      <c r="GQ179" s="177"/>
      <c r="GR179" s="139"/>
      <c r="GS179" s="139"/>
      <c r="GT179" s="139"/>
      <c r="GU179" s="139"/>
      <c r="GV179" s="139"/>
      <c r="GW179" s="139"/>
      <c r="GX179" s="139"/>
      <c r="GY179" s="139"/>
      <c r="GZ179" s="139"/>
      <c r="HA179" s="139"/>
      <c r="HB179" s="139"/>
      <c r="HC179" s="139"/>
      <c r="HD179" s="139"/>
      <c r="HE179" s="139"/>
      <c r="HF179" s="139"/>
      <c r="HG179" s="139"/>
      <c r="HH179" s="139"/>
      <c r="HI179" s="139"/>
      <c r="HJ179" s="139"/>
      <c r="HK179" s="139"/>
      <c r="HL179" s="139"/>
      <c r="HM179" s="139"/>
      <c r="HN179" s="139"/>
      <c r="HO179" s="139"/>
      <c r="HP179" s="139"/>
      <c r="HQ179" s="139"/>
      <c r="HR179" s="139"/>
      <c r="HS179" s="139"/>
      <c r="HT179" s="139"/>
      <c r="HU179" s="177"/>
      <c r="HV179" s="139"/>
      <c r="HW179" s="139"/>
      <c r="HX179" s="139"/>
      <c r="HY179" s="139"/>
      <c r="HZ179" s="139"/>
      <c r="IA179" s="139"/>
      <c r="IB179" s="139"/>
      <c r="IC179" s="139"/>
      <c r="ID179" s="139"/>
      <c r="IE179" s="139"/>
      <c r="IF179" s="139"/>
      <c r="IG179" s="139"/>
      <c r="IH179" s="139"/>
      <c r="II179" s="139"/>
      <c r="IJ179" s="139"/>
      <c r="IK179" s="139"/>
      <c r="IL179" s="139"/>
      <c r="IM179" s="139"/>
      <c r="IN179" s="139"/>
      <c r="IO179" s="139"/>
      <c r="IP179" s="139"/>
      <c r="IQ179" s="139"/>
      <c r="IR179" s="139"/>
      <c r="IS179" s="139"/>
      <c r="IT179" s="139"/>
      <c r="IU179" s="139"/>
      <c r="IV179" s="139"/>
      <c r="IW179" s="139"/>
      <c r="IX179" s="139"/>
      <c r="IY179" s="177"/>
      <c r="IZ179" s="139"/>
      <c r="JA179" s="139"/>
      <c r="JB179" s="139"/>
      <c r="JC179" s="139"/>
      <c r="JD179" s="139"/>
      <c r="JE179" s="139"/>
      <c r="JF179" s="139"/>
      <c r="JG179" s="139"/>
      <c r="JH179" s="139"/>
      <c r="JI179" s="139"/>
      <c r="JJ179" s="139"/>
      <c r="JK179" s="139"/>
      <c r="JL179" s="139"/>
      <c r="JM179" s="139"/>
      <c r="JN179" s="139"/>
      <c r="JO179" s="139"/>
      <c r="JP179" s="139"/>
      <c r="JQ179" s="139"/>
      <c r="JR179" s="139"/>
      <c r="JS179" s="139"/>
      <c r="JT179" s="139"/>
      <c r="JU179" s="139"/>
      <c r="JV179" s="139"/>
      <c r="JW179" s="139"/>
      <c r="JX179" s="139"/>
      <c r="JY179" s="139"/>
      <c r="JZ179" s="139"/>
      <c r="KA179" s="139"/>
      <c r="KB179" s="139"/>
      <c r="KC179" s="208"/>
      <c r="KD179" s="209"/>
      <c r="KE179" s="210"/>
      <c r="KF179" s="208"/>
      <c r="KG179" s="209"/>
      <c r="KH179" s="210"/>
      <c r="KI179" s="208"/>
      <c r="KJ179" s="209"/>
      <c r="KK179" s="210"/>
      <c r="KL179" s="208"/>
      <c r="KM179" s="209"/>
      <c r="KN179" s="210"/>
      <c r="KO179" s="208"/>
      <c r="KP179" s="209"/>
      <c r="KQ179" s="210"/>
      <c r="KR179" s="208"/>
      <c r="KS179" s="209"/>
      <c r="KT179" s="210"/>
      <c r="KU179" s="208"/>
      <c r="KV179" s="209"/>
      <c r="KW179" s="210"/>
      <c r="KX179" s="208"/>
      <c r="KY179" s="209"/>
      <c r="KZ179" s="209"/>
      <c r="LA179" s="231"/>
      <c r="LB179" s="209"/>
      <c r="LC179" s="232"/>
      <c r="LD179" s="209"/>
      <c r="LE179" s="209"/>
      <c r="LF179" s="210"/>
      <c r="LG179" s="208"/>
      <c r="LH179" s="209"/>
      <c r="LI179" s="210"/>
      <c r="LJ179" s="208"/>
      <c r="LK179" s="209"/>
      <c r="LL179" s="210"/>
      <c r="LM179" s="208"/>
      <c r="LN179" s="209"/>
      <c r="LO179" s="210"/>
      <c r="LP179" s="208"/>
      <c r="LQ179" s="209"/>
      <c r="LR179" s="210"/>
      <c r="LS179" s="208"/>
      <c r="LT179" s="209"/>
      <c r="LU179" s="210"/>
      <c r="LV179" s="208"/>
      <c r="LW179" s="209"/>
      <c r="LX179" s="210"/>
      <c r="LY179" s="208"/>
      <c r="LZ179" s="209"/>
      <c r="MA179" s="210"/>
      <c r="MB179" s="208"/>
      <c r="MC179" s="209"/>
      <c r="MD179" s="210"/>
      <c r="ME179" s="208"/>
      <c r="MF179" s="209"/>
      <c r="MG179" s="210"/>
      <c r="MH179" s="208"/>
      <c r="MI179" s="209"/>
      <c r="MJ179" s="210"/>
      <c r="MK179" s="208"/>
      <c r="ML179" s="209"/>
      <c r="MM179" s="210"/>
      <c r="MN179" s="208"/>
      <c r="MO179" s="209"/>
      <c r="MP179" s="210"/>
      <c r="MQ179" s="208"/>
      <c r="MR179" s="209"/>
      <c r="MS179" s="210"/>
      <c r="MT179" s="208"/>
      <c r="MU179" s="209"/>
      <c r="MV179" s="210"/>
      <c r="MW179" s="208"/>
      <c r="MX179" s="209"/>
      <c r="MY179" s="210"/>
      <c r="MZ179" s="208"/>
      <c r="NA179" s="209"/>
      <c r="NB179" s="210"/>
      <c r="NC179" s="208"/>
      <c r="ND179" s="209"/>
      <c r="NE179" s="224"/>
      <c r="NG179" s="198"/>
      <c r="NH179" s="198"/>
      <c r="NI179" s="1"/>
      <c r="NJ179" s="1"/>
      <c r="NK179" s="1"/>
    </row>
    <row r="180" spans="5:375" s="6" customFormat="1" ht="9.9499999999999993" customHeight="1">
      <c r="E180" s="6" t="s">
        <v>242</v>
      </c>
      <c r="F180" s="196">
        <f t="shared" ref="F180" si="444">NG180</f>
        <v>3.1100000000000004E-3</v>
      </c>
      <c r="G180" s="197">
        <f>Q180-F180</f>
        <v>0</v>
      </c>
      <c r="H180" s="27">
        <v>1</v>
      </c>
      <c r="I180" s="19" t="s">
        <v>217</v>
      </c>
      <c r="J180" s="19" t="s">
        <v>184</v>
      </c>
      <c r="K180" s="19" t="s">
        <v>243</v>
      </c>
      <c r="L180" s="339"/>
      <c r="M180" s="293" t="s">
        <v>13</v>
      </c>
      <c r="N180" s="313">
        <v>6859</v>
      </c>
      <c r="O180" s="352" t="s">
        <v>82</v>
      </c>
      <c r="P180" s="307">
        <v>647554</v>
      </c>
      <c r="Q180" s="236">
        <f>ROUND(P180/$P$256,5)</f>
        <v>3.1099999999999999E-3</v>
      </c>
      <c r="R180" s="76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3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5"/>
      <c r="CA180" s="53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3"/>
      <c r="DF180" s="54"/>
      <c r="DG180" s="54"/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  <c r="DR180" s="54"/>
      <c r="DS180" s="54"/>
      <c r="DT180" s="54"/>
      <c r="DU180" s="54"/>
      <c r="DV180" s="54"/>
      <c r="DW180" s="54"/>
      <c r="DX180" s="54"/>
      <c r="DY180" s="54"/>
      <c r="DZ180" s="54"/>
      <c r="EA180" s="54"/>
      <c r="EB180" s="54"/>
      <c r="EC180" s="54"/>
      <c r="ED180" s="54"/>
      <c r="EE180" s="54"/>
      <c r="EF180" s="54"/>
      <c r="EG180" s="54"/>
      <c r="EH180" s="54"/>
      <c r="EI180" s="54"/>
      <c r="EJ180" s="54"/>
      <c r="EK180" s="54"/>
      <c r="EL180" s="54"/>
      <c r="EM180" s="54"/>
      <c r="EN180" s="54"/>
      <c r="EO180" s="54"/>
      <c r="EP180" s="54"/>
      <c r="EQ180" s="54"/>
      <c r="ER180" s="54"/>
      <c r="ES180" s="54"/>
      <c r="ET180" s="54"/>
      <c r="EU180" s="54"/>
      <c r="EV180" s="54"/>
      <c r="EW180" s="54"/>
      <c r="EX180" s="54"/>
      <c r="EY180" s="54"/>
      <c r="EZ180" s="54"/>
      <c r="FA180" s="54"/>
      <c r="FB180" s="54"/>
      <c r="FC180" s="54"/>
      <c r="FD180" s="54"/>
      <c r="FE180" s="54"/>
      <c r="FF180" s="54"/>
      <c r="FG180" s="54"/>
      <c r="FH180" s="54"/>
      <c r="FI180" s="54"/>
      <c r="FJ180" s="54"/>
      <c r="FK180" s="54"/>
      <c r="FL180" s="54"/>
      <c r="FM180" s="53"/>
      <c r="FN180" s="54"/>
      <c r="FO180" s="54"/>
      <c r="FP180" s="54"/>
      <c r="FQ180" s="54"/>
      <c r="FR180" s="54"/>
      <c r="FS180" s="54"/>
      <c r="FT180" s="54"/>
      <c r="FU180" s="54"/>
      <c r="FV180" s="54"/>
      <c r="FW180" s="54"/>
      <c r="FX180" s="54"/>
      <c r="FY180" s="54"/>
      <c r="FZ180" s="54"/>
      <c r="GA180" s="54"/>
      <c r="GB180" s="54"/>
      <c r="GC180" s="54"/>
      <c r="GD180" s="54"/>
      <c r="GE180" s="54"/>
      <c r="GF180" s="54"/>
      <c r="GG180" s="54"/>
      <c r="GH180" s="54"/>
      <c r="GI180" s="54"/>
      <c r="GJ180" s="54"/>
      <c r="GK180" s="54"/>
      <c r="GL180" s="54"/>
      <c r="GM180" s="54"/>
      <c r="GN180" s="54"/>
      <c r="GO180" s="54"/>
      <c r="GP180" s="54"/>
      <c r="GQ180" s="54"/>
      <c r="GR180" s="54"/>
      <c r="GS180" s="54"/>
      <c r="GT180" s="54"/>
      <c r="GU180" s="54"/>
      <c r="GV180" s="54"/>
      <c r="GW180" s="54"/>
      <c r="GX180" s="54"/>
      <c r="GY180" s="54"/>
      <c r="GZ180" s="54"/>
      <c r="HA180" s="54"/>
      <c r="HB180" s="54"/>
      <c r="HC180" s="54"/>
      <c r="HD180" s="54"/>
      <c r="HE180" s="54"/>
      <c r="HF180" s="54"/>
      <c r="HG180" s="54"/>
      <c r="HH180" s="54"/>
      <c r="HI180" s="54"/>
      <c r="HJ180" s="54"/>
      <c r="HK180" s="54"/>
      <c r="HL180" s="54"/>
      <c r="HM180" s="54"/>
      <c r="HN180" s="54"/>
      <c r="HO180" s="54"/>
      <c r="HP180" s="54"/>
      <c r="HQ180" s="54"/>
      <c r="HR180" s="54"/>
      <c r="HS180" s="54"/>
      <c r="HT180" s="54"/>
      <c r="HU180" s="53"/>
      <c r="HV180" s="54"/>
      <c r="HW180" s="54"/>
      <c r="HX180" s="54"/>
      <c r="HY180" s="54"/>
      <c r="HZ180" s="54"/>
      <c r="IA180" s="54"/>
      <c r="IB180" s="54"/>
      <c r="IC180" s="54"/>
      <c r="ID180" s="54"/>
      <c r="IE180" s="54"/>
      <c r="IF180" s="54"/>
      <c r="IG180" s="54"/>
      <c r="IH180" s="54"/>
      <c r="II180" s="54"/>
      <c r="IJ180" s="54"/>
      <c r="IK180" s="54"/>
      <c r="IL180" s="54"/>
      <c r="IM180" s="54"/>
      <c r="IN180" s="54"/>
      <c r="IO180" s="54"/>
      <c r="IP180" s="54"/>
      <c r="IQ180" s="54"/>
      <c r="IR180" s="54"/>
      <c r="IS180" s="54"/>
      <c r="IT180" s="54"/>
      <c r="IU180" s="54"/>
      <c r="IV180" s="54"/>
      <c r="IW180" s="54"/>
      <c r="IX180" s="54"/>
      <c r="IY180" s="53"/>
      <c r="IZ180" s="54"/>
      <c r="JA180" s="54"/>
      <c r="JB180" s="54"/>
      <c r="JC180" s="54"/>
      <c r="JD180" s="54"/>
      <c r="JE180" s="54"/>
      <c r="JF180" s="54"/>
      <c r="JG180" s="54"/>
      <c r="JH180" s="54"/>
      <c r="JI180" s="54"/>
      <c r="JJ180" s="54"/>
      <c r="JK180" s="54"/>
      <c r="JL180" s="54"/>
      <c r="JM180" s="54"/>
      <c r="JN180" s="54"/>
      <c r="JO180" s="54"/>
      <c r="JP180" s="54"/>
      <c r="JQ180" s="54"/>
      <c r="JR180" s="54"/>
      <c r="JS180" s="54"/>
      <c r="JT180" s="54"/>
      <c r="JU180" s="54"/>
      <c r="JV180" s="54"/>
      <c r="JW180" s="54"/>
      <c r="JX180" s="54"/>
      <c r="JY180" s="54"/>
      <c r="JZ180" s="54"/>
      <c r="KA180" s="54"/>
      <c r="KB180" s="54"/>
      <c r="KC180" s="53"/>
      <c r="KD180" s="54"/>
      <c r="KE180" s="55"/>
      <c r="KF180" s="212"/>
      <c r="KG180" s="212"/>
      <c r="KH180" s="212"/>
      <c r="KI180" s="212"/>
      <c r="KJ180" s="212"/>
      <c r="KK180" s="212"/>
      <c r="KL180" s="54"/>
      <c r="KM180" s="54"/>
      <c r="KN180" s="54"/>
      <c r="KO180" s="53"/>
      <c r="KP180" s="54"/>
      <c r="KQ180" s="55"/>
      <c r="KR180" s="212"/>
      <c r="KS180" s="212"/>
      <c r="KT180" s="212"/>
      <c r="KU180" s="212"/>
      <c r="KV180" s="212"/>
      <c r="KW180" s="212"/>
      <c r="KX180" s="212"/>
      <c r="KY180" s="212"/>
      <c r="KZ180" s="218"/>
      <c r="LA180" s="211"/>
      <c r="LB180" s="212"/>
      <c r="LC180" s="213"/>
      <c r="LD180" s="220"/>
      <c r="LE180" s="212"/>
      <c r="LF180" s="212"/>
      <c r="LG180" s="212"/>
      <c r="LH180" s="212"/>
      <c r="LI180" s="212"/>
      <c r="LJ180" s="212">
        <v>4.6000000000000001E-4</v>
      </c>
      <c r="LK180" s="212"/>
      <c r="LL180" s="212"/>
      <c r="LM180" s="212">
        <v>5.5000000000000003E-4</v>
      </c>
      <c r="LN180" s="212"/>
      <c r="LO180" s="212"/>
      <c r="LP180" s="212">
        <v>5.5000000000000003E-4</v>
      </c>
      <c r="LQ180" s="212"/>
      <c r="LR180" s="212"/>
      <c r="LS180" s="212">
        <v>5.5000000000000003E-4</v>
      </c>
      <c r="LT180" s="212"/>
      <c r="LU180" s="212"/>
      <c r="LV180" s="212">
        <v>5.5999999999999995E-4</v>
      </c>
      <c r="LW180" s="212"/>
      <c r="LX180" s="212"/>
      <c r="LY180" s="212">
        <v>4.4000000000000002E-4</v>
      </c>
      <c r="LZ180" s="212"/>
      <c r="MA180" s="212"/>
      <c r="MB180" s="54"/>
      <c r="MC180" s="54"/>
      <c r="MD180" s="54"/>
      <c r="ME180" s="53"/>
      <c r="MF180" s="54"/>
      <c r="MG180" s="55"/>
      <c r="MH180" s="53"/>
      <c r="MI180" s="54"/>
      <c r="MJ180" s="55"/>
      <c r="MK180" s="54"/>
      <c r="ML180" s="54"/>
      <c r="MM180" s="54"/>
      <c r="MN180" s="53"/>
      <c r="MO180" s="54"/>
      <c r="MP180" s="55"/>
      <c r="MQ180" s="53"/>
      <c r="MR180" s="54"/>
      <c r="MS180" s="55"/>
      <c r="MT180" s="53"/>
      <c r="MU180" s="54"/>
      <c r="MV180" s="55"/>
      <c r="MW180" s="53"/>
      <c r="MX180" s="54"/>
      <c r="MY180" s="55"/>
      <c r="MZ180" s="53"/>
      <c r="NA180" s="54"/>
      <c r="NB180" s="55"/>
      <c r="NC180" s="54"/>
      <c r="ND180" s="54"/>
      <c r="NE180" s="59"/>
      <c r="NG180" s="275">
        <f>SUM(R180:NE180)</f>
        <v>3.1100000000000004E-3</v>
      </c>
      <c r="NH180" s="1"/>
      <c r="NI180" s="1"/>
      <c r="NJ180" s="1"/>
      <c r="NK180" s="1"/>
    </row>
    <row r="181" spans="5:375" s="6" customFormat="1" ht="6.95" customHeight="1">
      <c r="F181" s="196"/>
      <c r="G181" s="197"/>
      <c r="H181" s="52">
        <v>2</v>
      </c>
      <c r="L181" s="340"/>
      <c r="M181" s="294"/>
      <c r="N181" s="314"/>
      <c r="O181" s="353"/>
      <c r="P181" s="308"/>
      <c r="Q181" s="237"/>
      <c r="R181" s="6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39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  <c r="BW181" s="40"/>
      <c r="BX181" s="40"/>
      <c r="BY181" s="40"/>
      <c r="BZ181" s="41"/>
      <c r="CA181" s="39"/>
      <c r="CB181" s="40"/>
      <c r="CC181" s="40"/>
      <c r="CD181" s="40"/>
      <c r="CE181" s="40"/>
      <c r="CF181" s="40"/>
      <c r="CG181" s="40"/>
      <c r="CH181" s="40"/>
      <c r="CI181" s="40"/>
      <c r="CJ181" s="40"/>
      <c r="CK181" s="40"/>
      <c r="CL181" s="40"/>
      <c r="CM181" s="40"/>
      <c r="CN181" s="40"/>
      <c r="CO181" s="40"/>
      <c r="CP181" s="40"/>
      <c r="CQ181" s="40"/>
      <c r="CR181" s="40"/>
      <c r="CS181" s="40"/>
      <c r="CT181" s="40"/>
      <c r="CU181" s="40"/>
      <c r="CV181" s="40"/>
      <c r="CW181" s="40"/>
      <c r="CX181" s="40"/>
      <c r="CY181" s="40"/>
      <c r="CZ181" s="40"/>
      <c r="DA181" s="40"/>
      <c r="DB181" s="40"/>
      <c r="DC181" s="40"/>
      <c r="DD181" s="40"/>
      <c r="DE181" s="39"/>
      <c r="DF181" s="40"/>
      <c r="DG181" s="40"/>
      <c r="DH181" s="40"/>
      <c r="DI181" s="40"/>
      <c r="DJ181" s="40"/>
      <c r="DK181" s="40"/>
      <c r="DL181" s="40"/>
      <c r="DM181" s="40"/>
      <c r="DN181" s="40"/>
      <c r="DO181" s="40"/>
      <c r="DP181" s="40"/>
      <c r="DQ181" s="40"/>
      <c r="DR181" s="40"/>
      <c r="DS181" s="40"/>
      <c r="DT181" s="40"/>
      <c r="DU181" s="40"/>
      <c r="DV181" s="40"/>
      <c r="DW181" s="40"/>
      <c r="DX181" s="40"/>
      <c r="DY181" s="40"/>
      <c r="DZ181" s="40"/>
      <c r="EA181" s="40"/>
      <c r="EB181" s="40"/>
      <c r="EC181" s="40"/>
      <c r="ED181" s="40"/>
      <c r="EE181" s="40"/>
      <c r="EF181" s="40"/>
      <c r="EG181" s="40"/>
      <c r="EH181" s="40"/>
      <c r="EI181" s="40"/>
      <c r="EJ181" s="40"/>
      <c r="EK181" s="40"/>
      <c r="EL181" s="40"/>
      <c r="EM181" s="40"/>
      <c r="EN181" s="40"/>
      <c r="EO181" s="40"/>
      <c r="EP181" s="40"/>
      <c r="EQ181" s="40"/>
      <c r="ER181" s="40"/>
      <c r="ES181" s="40"/>
      <c r="ET181" s="40"/>
      <c r="EU181" s="40"/>
      <c r="EV181" s="40"/>
      <c r="EW181" s="40"/>
      <c r="EX181" s="40"/>
      <c r="EY181" s="40"/>
      <c r="EZ181" s="40"/>
      <c r="FA181" s="40"/>
      <c r="FB181" s="40"/>
      <c r="FC181" s="40"/>
      <c r="FD181" s="40"/>
      <c r="FE181" s="40"/>
      <c r="FF181" s="40"/>
      <c r="FG181" s="40"/>
      <c r="FH181" s="40"/>
      <c r="FI181" s="40"/>
      <c r="FJ181" s="40"/>
      <c r="FK181" s="40"/>
      <c r="FL181" s="40"/>
      <c r="FM181" s="39"/>
      <c r="FN181" s="40"/>
      <c r="FO181" s="40"/>
      <c r="FP181" s="40"/>
      <c r="FQ181" s="40"/>
      <c r="FR181" s="40"/>
      <c r="FS181" s="40"/>
      <c r="FT181" s="40"/>
      <c r="FU181" s="40"/>
      <c r="FV181" s="40"/>
      <c r="FW181" s="40"/>
      <c r="FX181" s="40"/>
      <c r="FY181" s="40"/>
      <c r="FZ181" s="40"/>
      <c r="GA181" s="40"/>
      <c r="GB181" s="40"/>
      <c r="GC181" s="40"/>
      <c r="GD181" s="40"/>
      <c r="GE181" s="40"/>
      <c r="GF181" s="40"/>
      <c r="GG181" s="40"/>
      <c r="GH181" s="40"/>
      <c r="GI181" s="40"/>
      <c r="GJ181" s="40"/>
      <c r="GK181" s="40"/>
      <c r="GL181" s="40"/>
      <c r="GM181" s="40"/>
      <c r="GN181" s="40"/>
      <c r="GO181" s="40"/>
      <c r="GP181" s="40"/>
      <c r="GQ181" s="40"/>
      <c r="GR181" s="40"/>
      <c r="GS181" s="40"/>
      <c r="GT181" s="40"/>
      <c r="GU181" s="40"/>
      <c r="GV181" s="40"/>
      <c r="GW181" s="40"/>
      <c r="GX181" s="40"/>
      <c r="GY181" s="40"/>
      <c r="GZ181" s="40"/>
      <c r="HA181" s="40"/>
      <c r="HB181" s="40"/>
      <c r="HC181" s="40"/>
      <c r="HD181" s="40"/>
      <c r="HE181" s="40"/>
      <c r="HF181" s="40"/>
      <c r="HG181" s="40"/>
      <c r="HH181" s="40"/>
      <c r="HI181" s="40"/>
      <c r="HJ181" s="40"/>
      <c r="HK181" s="40"/>
      <c r="HL181" s="40"/>
      <c r="HM181" s="40"/>
      <c r="HN181" s="40"/>
      <c r="HO181" s="40"/>
      <c r="HP181" s="40"/>
      <c r="HQ181" s="40"/>
      <c r="HR181" s="40"/>
      <c r="HS181" s="40"/>
      <c r="HT181" s="40"/>
      <c r="HU181" s="39"/>
      <c r="HV181" s="40"/>
      <c r="HW181" s="40"/>
      <c r="HX181" s="40"/>
      <c r="HY181" s="40"/>
      <c r="HZ181" s="40"/>
      <c r="IA181" s="40"/>
      <c r="IB181" s="40"/>
      <c r="IC181" s="40"/>
      <c r="ID181" s="40"/>
      <c r="IE181" s="40"/>
      <c r="IF181" s="40"/>
      <c r="IG181" s="40"/>
      <c r="IH181" s="40"/>
      <c r="II181" s="40"/>
      <c r="IJ181" s="40"/>
      <c r="IK181" s="40"/>
      <c r="IL181" s="40"/>
      <c r="IM181" s="40"/>
      <c r="IN181" s="40"/>
      <c r="IO181" s="40"/>
      <c r="IP181" s="40"/>
      <c r="IQ181" s="40"/>
      <c r="IR181" s="40"/>
      <c r="IS181" s="40"/>
      <c r="IT181" s="40"/>
      <c r="IU181" s="40"/>
      <c r="IV181" s="40"/>
      <c r="IW181" s="40"/>
      <c r="IX181" s="40"/>
      <c r="IY181" s="39"/>
      <c r="IZ181" s="40"/>
      <c r="JA181" s="40"/>
      <c r="JB181" s="40"/>
      <c r="JC181" s="40"/>
      <c r="JD181" s="40"/>
      <c r="JE181" s="40"/>
      <c r="JF181" s="40"/>
      <c r="JG181" s="40"/>
      <c r="JH181" s="40"/>
      <c r="JI181" s="40"/>
      <c r="JJ181" s="40"/>
      <c r="JK181" s="40"/>
      <c r="JL181" s="40"/>
      <c r="JM181" s="40"/>
      <c r="JN181" s="40"/>
      <c r="JO181" s="40"/>
      <c r="JP181" s="40"/>
      <c r="JQ181" s="40"/>
      <c r="JR181" s="40"/>
      <c r="JS181" s="40"/>
      <c r="JT181" s="40"/>
      <c r="JU181" s="40"/>
      <c r="JV181" s="40"/>
      <c r="JW181" s="40"/>
      <c r="JX181" s="40"/>
      <c r="JY181" s="40"/>
      <c r="JZ181" s="40"/>
      <c r="KA181" s="40"/>
      <c r="KB181" s="40"/>
      <c r="KC181" s="39"/>
      <c r="KD181" s="40"/>
      <c r="KE181" s="41"/>
      <c r="KF181" s="39"/>
      <c r="KG181" s="101"/>
      <c r="KH181" s="41"/>
      <c r="KI181" s="39"/>
      <c r="KJ181" s="40"/>
      <c r="KK181" s="41"/>
      <c r="KL181" s="40"/>
      <c r="KM181" s="40"/>
      <c r="KN181" s="40"/>
      <c r="KO181" s="39"/>
      <c r="KP181" s="40"/>
      <c r="KQ181" s="41"/>
      <c r="KR181" s="39"/>
      <c r="KS181" s="40"/>
      <c r="KT181" s="41"/>
      <c r="KU181" s="39"/>
      <c r="KV181" s="40"/>
      <c r="KW181" s="41"/>
      <c r="KX181" s="39"/>
      <c r="KY181" s="40"/>
      <c r="KZ181" s="40"/>
      <c r="LA181" s="64"/>
      <c r="LB181" s="40"/>
      <c r="LC181" s="65"/>
      <c r="LD181" s="40"/>
      <c r="LE181" s="40"/>
      <c r="LF181" s="41"/>
      <c r="LG181" s="39"/>
      <c r="LH181" s="40"/>
      <c r="LI181" s="41"/>
      <c r="LJ181" s="61"/>
      <c r="LK181" s="62"/>
      <c r="LL181" s="63"/>
      <c r="LM181" s="61"/>
      <c r="LN181" s="62"/>
      <c r="LO181" s="63"/>
      <c r="LP181" s="61"/>
      <c r="LQ181" s="62"/>
      <c r="LR181" s="63"/>
      <c r="LS181" s="61"/>
      <c r="LT181" s="62"/>
      <c r="LU181" s="63"/>
      <c r="LV181" s="61"/>
      <c r="LW181" s="62"/>
      <c r="LX181" s="63"/>
      <c r="LY181" s="61"/>
      <c r="LZ181" s="62"/>
      <c r="MA181" s="63"/>
      <c r="MB181" s="40"/>
      <c r="MC181" s="40"/>
      <c r="MD181" s="40"/>
      <c r="ME181" s="39"/>
      <c r="MF181" s="40"/>
      <c r="MG181" s="41"/>
      <c r="MH181" s="39"/>
      <c r="MI181" s="40"/>
      <c r="MJ181" s="41"/>
      <c r="MK181" s="40"/>
      <c r="ML181" s="40"/>
      <c r="MM181" s="40"/>
      <c r="MN181" s="39"/>
      <c r="MO181" s="40"/>
      <c r="MP181" s="41"/>
      <c r="MQ181" s="39"/>
      <c r="MR181" s="40"/>
      <c r="MS181" s="41"/>
      <c r="MT181" s="39"/>
      <c r="MU181" s="40"/>
      <c r="MV181" s="41"/>
      <c r="MW181" s="39"/>
      <c r="MX181" s="40"/>
      <c r="MY181" s="41"/>
      <c r="MZ181" s="39"/>
      <c r="NA181" s="40"/>
      <c r="NB181" s="41"/>
      <c r="NC181" s="40"/>
      <c r="ND181" s="40"/>
      <c r="NE181" s="42"/>
      <c r="NG181" s="275"/>
      <c r="NH181" s="1"/>
      <c r="NI181" s="1"/>
      <c r="NJ181" s="1"/>
      <c r="NK181" s="1"/>
    </row>
    <row r="182" spans="5:375" s="6" customFormat="1" ht="9.9499999999999993" customHeight="1">
      <c r="E182" s="6" t="s">
        <v>244</v>
      </c>
      <c r="F182" s="196">
        <f t="shared" ref="F182" si="445">NG182</f>
        <v>8.0000000000000004E-4</v>
      </c>
      <c r="G182" s="197">
        <f>Q182-F182</f>
        <v>0</v>
      </c>
      <c r="H182" s="27">
        <v>1</v>
      </c>
      <c r="L182" s="339"/>
      <c r="M182" s="293" t="s">
        <v>154</v>
      </c>
      <c r="N182" s="313">
        <v>486</v>
      </c>
      <c r="O182" s="352" t="s">
        <v>153</v>
      </c>
      <c r="P182" s="307">
        <v>166760</v>
      </c>
      <c r="Q182" s="236">
        <f>ROUND(P182/$P$256,5)</f>
        <v>8.0000000000000004E-4</v>
      </c>
      <c r="R182" s="76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3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5"/>
      <c r="CA182" s="53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4"/>
      <c r="CX182" s="54"/>
      <c r="CY182" s="54"/>
      <c r="CZ182" s="54"/>
      <c r="DA182" s="54"/>
      <c r="DB182" s="54"/>
      <c r="DC182" s="54"/>
      <c r="DD182" s="54"/>
      <c r="DE182" s="53"/>
      <c r="DF182" s="54"/>
      <c r="DG182" s="54"/>
      <c r="DH182" s="54"/>
      <c r="DI182" s="54"/>
      <c r="DJ182" s="54"/>
      <c r="DK182" s="54"/>
      <c r="DL182" s="54"/>
      <c r="DM182" s="54"/>
      <c r="DN182" s="54"/>
      <c r="DO182" s="54"/>
      <c r="DP182" s="54"/>
      <c r="DQ182" s="54"/>
      <c r="DR182" s="54"/>
      <c r="DS182" s="54"/>
      <c r="DT182" s="54"/>
      <c r="DU182" s="54"/>
      <c r="DV182" s="54"/>
      <c r="DW182" s="54"/>
      <c r="DX182" s="54"/>
      <c r="DY182" s="54"/>
      <c r="DZ182" s="54"/>
      <c r="EA182" s="54"/>
      <c r="EB182" s="54"/>
      <c r="EC182" s="54"/>
      <c r="ED182" s="54"/>
      <c r="EE182" s="54"/>
      <c r="EF182" s="54"/>
      <c r="EG182" s="54"/>
      <c r="EH182" s="54"/>
      <c r="EI182" s="54"/>
      <c r="EJ182" s="54"/>
      <c r="EK182" s="54"/>
      <c r="EL182" s="54"/>
      <c r="EM182" s="54"/>
      <c r="EN182" s="54"/>
      <c r="EO182" s="54"/>
      <c r="EP182" s="54"/>
      <c r="EQ182" s="54"/>
      <c r="ER182" s="54"/>
      <c r="ES182" s="54"/>
      <c r="ET182" s="54"/>
      <c r="EU182" s="54"/>
      <c r="EV182" s="54"/>
      <c r="EW182" s="54"/>
      <c r="EX182" s="54"/>
      <c r="EY182" s="54"/>
      <c r="EZ182" s="54"/>
      <c r="FA182" s="54"/>
      <c r="FB182" s="54"/>
      <c r="FC182" s="54"/>
      <c r="FD182" s="54"/>
      <c r="FE182" s="54"/>
      <c r="FF182" s="54"/>
      <c r="FG182" s="54"/>
      <c r="FH182" s="54"/>
      <c r="FI182" s="54"/>
      <c r="FJ182" s="54"/>
      <c r="FK182" s="54"/>
      <c r="FL182" s="54"/>
      <c r="FM182" s="53"/>
      <c r="FN182" s="54"/>
      <c r="FO182" s="54"/>
      <c r="FP182" s="54"/>
      <c r="FQ182" s="54"/>
      <c r="FR182" s="54"/>
      <c r="FS182" s="54"/>
      <c r="FT182" s="54"/>
      <c r="FU182" s="54"/>
      <c r="FV182" s="54"/>
      <c r="FW182" s="54"/>
      <c r="FX182" s="54"/>
      <c r="FY182" s="54"/>
      <c r="FZ182" s="54"/>
      <c r="GA182" s="54"/>
      <c r="GB182" s="54"/>
      <c r="GC182" s="54"/>
      <c r="GD182" s="54"/>
      <c r="GE182" s="54"/>
      <c r="GF182" s="54"/>
      <c r="GG182" s="54"/>
      <c r="GH182" s="54"/>
      <c r="GI182" s="54"/>
      <c r="GJ182" s="54"/>
      <c r="GK182" s="54"/>
      <c r="GL182" s="54"/>
      <c r="GM182" s="54"/>
      <c r="GN182" s="54"/>
      <c r="GO182" s="54"/>
      <c r="GP182" s="54"/>
      <c r="GQ182" s="54"/>
      <c r="GR182" s="54"/>
      <c r="GS182" s="54"/>
      <c r="GT182" s="54"/>
      <c r="GU182" s="54"/>
      <c r="GV182" s="54"/>
      <c r="GW182" s="54"/>
      <c r="GX182" s="54"/>
      <c r="GY182" s="54"/>
      <c r="GZ182" s="54"/>
      <c r="HA182" s="54"/>
      <c r="HB182" s="54"/>
      <c r="HC182" s="54"/>
      <c r="HD182" s="54"/>
      <c r="HE182" s="54"/>
      <c r="HF182" s="54"/>
      <c r="HG182" s="54"/>
      <c r="HH182" s="54"/>
      <c r="HI182" s="54"/>
      <c r="HJ182" s="54"/>
      <c r="HK182" s="54"/>
      <c r="HL182" s="54"/>
      <c r="HM182" s="54"/>
      <c r="HN182" s="54"/>
      <c r="HO182" s="54"/>
      <c r="HP182" s="54"/>
      <c r="HQ182" s="54"/>
      <c r="HR182" s="54"/>
      <c r="HS182" s="54"/>
      <c r="HT182" s="54"/>
      <c r="HU182" s="53"/>
      <c r="HV182" s="54"/>
      <c r="HW182" s="54"/>
      <c r="HX182" s="54"/>
      <c r="HY182" s="54"/>
      <c r="HZ182" s="54"/>
      <c r="IA182" s="54"/>
      <c r="IB182" s="54"/>
      <c r="IC182" s="54"/>
      <c r="ID182" s="54"/>
      <c r="IE182" s="54"/>
      <c r="IF182" s="54"/>
      <c r="IG182" s="54"/>
      <c r="IH182" s="54"/>
      <c r="II182" s="54"/>
      <c r="IJ182" s="54"/>
      <c r="IK182" s="54"/>
      <c r="IL182" s="54"/>
      <c r="IM182" s="54"/>
      <c r="IN182" s="54"/>
      <c r="IO182" s="54"/>
      <c r="IP182" s="54"/>
      <c r="IQ182" s="54"/>
      <c r="IR182" s="54"/>
      <c r="IS182" s="54"/>
      <c r="IT182" s="54"/>
      <c r="IU182" s="54"/>
      <c r="IV182" s="54"/>
      <c r="IW182" s="54"/>
      <c r="IX182" s="54"/>
      <c r="IY182" s="53"/>
      <c r="IZ182" s="54"/>
      <c r="JA182" s="54"/>
      <c r="JB182" s="54"/>
      <c r="JC182" s="54"/>
      <c r="JD182" s="54"/>
      <c r="JE182" s="54"/>
      <c r="JF182" s="54"/>
      <c r="JG182" s="54"/>
      <c r="JH182" s="54"/>
      <c r="JI182" s="54"/>
      <c r="JJ182" s="54"/>
      <c r="JK182" s="54"/>
      <c r="JL182" s="54"/>
      <c r="JM182" s="54"/>
      <c r="JN182" s="54"/>
      <c r="JO182" s="54"/>
      <c r="JP182" s="54"/>
      <c r="JQ182" s="54"/>
      <c r="JR182" s="54"/>
      <c r="JS182" s="54"/>
      <c r="JT182" s="54"/>
      <c r="JU182" s="54"/>
      <c r="JV182" s="54"/>
      <c r="JW182" s="54"/>
      <c r="JX182" s="54"/>
      <c r="JY182" s="54"/>
      <c r="JZ182" s="54"/>
      <c r="KA182" s="54"/>
      <c r="KB182" s="54"/>
      <c r="KC182" s="53"/>
      <c r="KD182" s="54"/>
      <c r="KE182" s="55"/>
      <c r="KF182" s="53"/>
      <c r="KG182" s="102"/>
      <c r="KH182" s="55"/>
      <c r="KI182" s="53"/>
      <c r="KJ182" s="54"/>
      <c r="KK182" s="55"/>
      <c r="KL182" s="54"/>
      <c r="KM182" s="54"/>
      <c r="KN182" s="54"/>
      <c r="KO182" s="53"/>
      <c r="KP182" s="54"/>
      <c r="KQ182" s="55"/>
      <c r="KR182" s="103"/>
      <c r="KS182" s="104"/>
      <c r="KT182" s="105"/>
      <c r="KU182" s="103"/>
      <c r="KV182" s="104"/>
      <c r="KW182" s="105"/>
      <c r="KX182" s="103"/>
      <c r="KY182" s="104"/>
      <c r="KZ182" s="104"/>
      <c r="LA182" s="106"/>
      <c r="LB182" s="104"/>
      <c r="LC182" s="107"/>
      <c r="LD182" s="104"/>
      <c r="LE182" s="104"/>
      <c r="LF182" s="105"/>
      <c r="LG182" s="103"/>
      <c r="LH182" s="104"/>
      <c r="LI182" s="105"/>
      <c r="LJ182" s="103"/>
      <c r="LK182" s="104"/>
      <c r="LL182" s="105"/>
      <c r="LM182" s="103"/>
      <c r="LN182" s="104"/>
      <c r="LO182" s="105"/>
      <c r="LP182" s="103"/>
      <c r="LQ182" s="104"/>
      <c r="LR182" s="105"/>
      <c r="LS182" s="103"/>
      <c r="LT182" s="104"/>
      <c r="LU182" s="105"/>
      <c r="LV182" s="214">
        <v>4.0000000000000002E-4</v>
      </c>
      <c r="LW182" s="214"/>
      <c r="LX182" s="214"/>
      <c r="LY182" s="214">
        <v>4.0000000000000002E-4</v>
      </c>
      <c r="LZ182" s="214"/>
      <c r="MA182" s="214"/>
      <c r="MB182" s="54"/>
      <c r="MC182" s="54"/>
      <c r="MD182" s="54"/>
      <c r="ME182" s="53"/>
      <c r="MF182" s="54"/>
      <c r="MG182" s="55"/>
      <c r="MH182" s="53"/>
      <c r="MI182" s="54"/>
      <c r="MJ182" s="55"/>
      <c r="MK182" s="54"/>
      <c r="ML182" s="54"/>
      <c r="MM182" s="54"/>
      <c r="MN182" s="53"/>
      <c r="MO182" s="54"/>
      <c r="MP182" s="55"/>
      <c r="MQ182" s="53"/>
      <c r="MR182" s="54"/>
      <c r="MS182" s="55"/>
      <c r="MT182" s="53"/>
      <c r="MU182" s="54"/>
      <c r="MV182" s="55"/>
      <c r="MW182" s="53"/>
      <c r="MX182" s="54"/>
      <c r="MY182" s="55"/>
      <c r="MZ182" s="53"/>
      <c r="NA182" s="54"/>
      <c r="NB182" s="55"/>
      <c r="NC182" s="54"/>
      <c r="ND182" s="54"/>
      <c r="NE182" s="59"/>
      <c r="NG182" s="275">
        <f>SUM(R182:NE182)</f>
        <v>8.0000000000000004E-4</v>
      </c>
      <c r="NH182" s="1"/>
      <c r="NI182" s="1"/>
      <c r="NJ182" s="1"/>
      <c r="NK182" s="1"/>
    </row>
    <row r="183" spans="5:375" s="6" customFormat="1" ht="6.95" customHeight="1">
      <c r="F183" s="196"/>
      <c r="G183" s="197"/>
      <c r="H183" s="52">
        <v>2</v>
      </c>
      <c r="L183" s="340"/>
      <c r="M183" s="294"/>
      <c r="N183" s="314"/>
      <c r="O183" s="353"/>
      <c r="P183" s="308"/>
      <c r="Q183" s="237"/>
      <c r="R183" s="6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39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1"/>
      <c r="CA183" s="39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0"/>
      <c r="CM183" s="40"/>
      <c r="CN183" s="40"/>
      <c r="CO183" s="40"/>
      <c r="CP183" s="40"/>
      <c r="CQ183" s="40"/>
      <c r="CR183" s="40"/>
      <c r="CS183" s="40"/>
      <c r="CT183" s="40"/>
      <c r="CU183" s="40"/>
      <c r="CV183" s="40"/>
      <c r="CW183" s="40"/>
      <c r="CX183" s="40"/>
      <c r="CY183" s="40"/>
      <c r="CZ183" s="40"/>
      <c r="DA183" s="40"/>
      <c r="DB183" s="40"/>
      <c r="DC183" s="40"/>
      <c r="DD183" s="40"/>
      <c r="DE183" s="39"/>
      <c r="DF183" s="40"/>
      <c r="DG183" s="40"/>
      <c r="DH183" s="40"/>
      <c r="DI183" s="40"/>
      <c r="DJ183" s="40"/>
      <c r="DK183" s="40"/>
      <c r="DL183" s="40"/>
      <c r="DM183" s="40"/>
      <c r="DN183" s="40"/>
      <c r="DO183" s="40"/>
      <c r="DP183" s="40"/>
      <c r="DQ183" s="40"/>
      <c r="DR183" s="40"/>
      <c r="DS183" s="40"/>
      <c r="DT183" s="40"/>
      <c r="DU183" s="40"/>
      <c r="DV183" s="40"/>
      <c r="DW183" s="40"/>
      <c r="DX183" s="40"/>
      <c r="DY183" s="40"/>
      <c r="DZ183" s="40"/>
      <c r="EA183" s="40"/>
      <c r="EB183" s="40"/>
      <c r="EC183" s="40"/>
      <c r="ED183" s="40"/>
      <c r="EE183" s="40"/>
      <c r="EF183" s="40"/>
      <c r="EG183" s="40"/>
      <c r="EH183" s="40"/>
      <c r="EI183" s="40"/>
      <c r="EJ183" s="40"/>
      <c r="EK183" s="40"/>
      <c r="EL183" s="40"/>
      <c r="EM183" s="40"/>
      <c r="EN183" s="40"/>
      <c r="EO183" s="40"/>
      <c r="EP183" s="40"/>
      <c r="EQ183" s="40"/>
      <c r="ER183" s="40"/>
      <c r="ES183" s="40"/>
      <c r="ET183" s="40"/>
      <c r="EU183" s="40"/>
      <c r="EV183" s="40"/>
      <c r="EW183" s="40"/>
      <c r="EX183" s="40"/>
      <c r="EY183" s="40"/>
      <c r="EZ183" s="40"/>
      <c r="FA183" s="40"/>
      <c r="FB183" s="40"/>
      <c r="FC183" s="40"/>
      <c r="FD183" s="40"/>
      <c r="FE183" s="40"/>
      <c r="FF183" s="40"/>
      <c r="FG183" s="40"/>
      <c r="FH183" s="40"/>
      <c r="FI183" s="40"/>
      <c r="FJ183" s="40"/>
      <c r="FK183" s="40"/>
      <c r="FL183" s="40"/>
      <c r="FM183" s="39"/>
      <c r="FN183" s="40"/>
      <c r="FO183" s="40"/>
      <c r="FP183" s="40"/>
      <c r="FQ183" s="40"/>
      <c r="FR183" s="40"/>
      <c r="FS183" s="40"/>
      <c r="FT183" s="40"/>
      <c r="FU183" s="40"/>
      <c r="FV183" s="40"/>
      <c r="FW183" s="40"/>
      <c r="FX183" s="40"/>
      <c r="FY183" s="40"/>
      <c r="FZ183" s="40"/>
      <c r="GA183" s="40"/>
      <c r="GB183" s="40"/>
      <c r="GC183" s="40"/>
      <c r="GD183" s="40"/>
      <c r="GE183" s="40"/>
      <c r="GF183" s="40"/>
      <c r="GG183" s="40"/>
      <c r="GH183" s="40"/>
      <c r="GI183" s="40"/>
      <c r="GJ183" s="40"/>
      <c r="GK183" s="40"/>
      <c r="GL183" s="40"/>
      <c r="GM183" s="40"/>
      <c r="GN183" s="40"/>
      <c r="GO183" s="40"/>
      <c r="GP183" s="40"/>
      <c r="GQ183" s="40"/>
      <c r="GR183" s="40"/>
      <c r="GS183" s="40"/>
      <c r="GT183" s="40"/>
      <c r="GU183" s="40"/>
      <c r="GV183" s="40"/>
      <c r="GW183" s="40"/>
      <c r="GX183" s="40"/>
      <c r="GY183" s="40"/>
      <c r="GZ183" s="40"/>
      <c r="HA183" s="40"/>
      <c r="HB183" s="40"/>
      <c r="HC183" s="40"/>
      <c r="HD183" s="40"/>
      <c r="HE183" s="40"/>
      <c r="HF183" s="40"/>
      <c r="HG183" s="40"/>
      <c r="HH183" s="40"/>
      <c r="HI183" s="40"/>
      <c r="HJ183" s="40"/>
      <c r="HK183" s="40"/>
      <c r="HL183" s="40"/>
      <c r="HM183" s="40"/>
      <c r="HN183" s="40"/>
      <c r="HO183" s="40"/>
      <c r="HP183" s="40"/>
      <c r="HQ183" s="40"/>
      <c r="HR183" s="40"/>
      <c r="HS183" s="40"/>
      <c r="HT183" s="40"/>
      <c r="HU183" s="39"/>
      <c r="HV183" s="40"/>
      <c r="HW183" s="40"/>
      <c r="HX183" s="40"/>
      <c r="HY183" s="40"/>
      <c r="HZ183" s="40"/>
      <c r="IA183" s="40"/>
      <c r="IB183" s="40"/>
      <c r="IC183" s="40"/>
      <c r="ID183" s="40"/>
      <c r="IE183" s="40"/>
      <c r="IF183" s="40"/>
      <c r="IG183" s="40"/>
      <c r="IH183" s="40"/>
      <c r="II183" s="40"/>
      <c r="IJ183" s="40"/>
      <c r="IK183" s="40"/>
      <c r="IL183" s="40"/>
      <c r="IM183" s="40"/>
      <c r="IN183" s="40"/>
      <c r="IO183" s="40"/>
      <c r="IP183" s="40"/>
      <c r="IQ183" s="40"/>
      <c r="IR183" s="40"/>
      <c r="IS183" s="40"/>
      <c r="IT183" s="40"/>
      <c r="IU183" s="40"/>
      <c r="IV183" s="40"/>
      <c r="IW183" s="40"/>
      <c r="IX183" s="40"/>
      <c r="IY183" s="39"/>
      <c r="IZ183" s="40"/>
      <c r="JA183" s="40"/>
      <c r="JB183" s="40"/>
      <c r="JC183" s="40"/>
      <c r="JD183" s="40"/>
      <c r="JE183" s="40"/>
      <c r="JF183" s="40"/>
      <c r="JG183" s="40"/>
      <c r="JH183" s="40"/>
      <c r="JI183" s="40"/>
      <c r="JJ183" s="40"/>
      <c r="JK183" s="40"/>
      <c r="JL183" s="40"/>
      <c r="JM183" s="40"/>
      <c r="JN183" s="40"/>
      <c r="JO183" s="40"/>
      <c r="JP183" s="40"/>
      <c r="JQ183" s="40"/>
      <c r="JR183" s="40"/>
      <c r="JS183" s="40"/>
      <c r="JT183" s="40"/>
      <c r="JU183" s="40"/>
      <c r="JV183" s="40"/>
      <c r="JW183" s="40"/>
      <c r="JX183" s="40"/>
      <c r="JY183" s="40"/>
      <c r="JZ183" s="40"/>
      <c r="KA183" s="40"/>
      <c r="KB183" s="40"/>
      <c r="KC183" s="39"/>
      <c r="KD183" s="40"/>
      <c r="KE183" s="41"/>
      <c r="KF183" s="39"/>
      <c r="KG183" s="101"/>
      <c r="KH183" s="41"/>
      <c r="KI183" s="39"/>
      <c r="KJ183" s="40"/>
      <c r="KK183" s="41"/>
      <c r="KL183" s="40"/>
      <c r="KM183" s="40"/>
      <c r="KN183" s="40"/>
      <c r="KO183" s="39"/>
      <c r="KP183" s="40"/>
      <c r="KQ183" s="41"/>
      <c r="KR183" s="108"/>
      <c r="KS183" s="109"/>
      <c r="KT183" s="110"/>
      <c r="KU183" s="108"/>
      <c r="KV183" s="109"/>
      <c r="KW183" s="110"/>
      <c r="KX183" s="108"/>
      <c r="KY183" s="109"/>
      <c r="KZ183" s="109"/>
      <c r="LA183" s="111"/>
      <c r="LB183" s="109"/>
      <c r="LC183" s="112"/>
      <c r="LD183" s="109"/>
      <c r="LE183" s="109"/>
      <c r="LF183" s="110"/>
      <c r="LG183" s="108"/>
      <c r="LH183" s="109"/>
      <c r="LI183" s="110"/>
      <c r="LJ183" s="108"/>
      <c r="LK183" s="109"/>
      <c r="LL183" s="110"/>
      <c r="LM183" s="108"/>
      <c r="LN183" s="109"/>
      <c r="LO183" s="110"/>
      <c r="LP183" s="108"/>
      <c r="LQ183" s="109"/>
      <c r="LR183" s="110"/>
      <c r="LS183" s="108"/>
      <c r="LT183" s="109"/>
      <c r="LU183" s="110"/>
      <c r="LV183" s="61"/>
      <c r="LW183" s="62"/>
      <c r="LX183" s="63"/>
      <c r="LY183" s="61"/>
      <c r="LZ183" s="62"/>
      <c r="MA183" s="63"/>
      <c r="MB183" s="40"/>
      <c r="MC183" s="40"/>
      <c r="MD183" s="40"/>
      <c r="ME183" s="39"/>
      <c r="MF183" s="40"/>
      <c r="MG183" s="41"/>
      <c r="MH183" s="39"/>
      <c r="MI183" s="40"/>
      <c r="MJ183" s="41"/>
      <c r="MK183" s="40"/>
      <c r="ML183" s="40"/>
      <c r="MM183" s="40"/>
      <c r="MN183" s="39"/>
      <c r="MO183" s="40"/>
      <c r="MP183" s="41"/>
      <c r="MQ183" s="39"/>
      <c r="MR183" s="40"/>
      <c r="MS183" s="41"/>
      <c r="MT183" s="39"/>
      <c r="MU183" s="40"/>
      <c r="MV183" s="41"/>
      <c r="MW183" s="39"/>
      <c r="MX183" s="40"/>
      <c r="MY183" s="41"/>
      <c r="MZ183" s="39"/>
      <c r="NA183" s="40"/>
      <c r="NB183" s="41"/>
      <c r="NC183" s="40"/>
      <c r="ND183" s="40"/>
      <c r="NE183" s="42"/>
      <c r="NG183" s="275"/>
      <c r="NH183" s="1"/>
      <c r="NI183" s="1"/>
      <c r="NJ183" s="1"/>
      <c r="NK183" s="1"/>
    </row>
    <row r="184" spans="5:375" s="6" customFormat="1" ht="9.9499999999999993" customHeight="1">
      <c r="F184" s="196">
        <f t="shared" ref="F184" si="446">NG184</f>
        <v>2.7599999999999999E-3</v>
      </c>
      <c r="G184" s="197">
        <f>Q184-F184</f>
        <v>0</v>
      </c>
      <c r="H184" s="27">
        <v>1</v>
      </c>
      <c r="L184" s="292"/>
      <c r="M184" s="405" t="s">
        <v>152</v>
      </c>
      <c r="N184" s="301">
        <v>1</v>
      </c>
      <c r="O184" s="310" t="s">
        <v>60</v>
      </c>
      <c r="P184" s="315">
        <v>574120</v>
      </c>
      <c r="Q184" s="236">
        <f>ROUND(P184/$P$256,5)</f>
        <v>2.7599999999999999E-3</v>
      </c>
      <c r="R184" s="76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6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7"/>
      <c r="BT184" s="67"/>
      <c r="BU184" s="67"/>
      <c r="BV184" s="67"/>
      <c r="BW184" s="67"/>
      <c r="BX184" s="67"/>
      <c r="BY184" s="67"/>
      <c r="BZ184" s="68"/>
      <c r="CA184" s="66"/>
      <c r="CB184" s="67"/>
      <c r="CC184" s="67"/>
      <c r="CD184" s="67"/>
      <c r="CE184" s="67"/>
      <c r="CF184" s="67"/>
      <c r="CG184" s="67"/>
      <c r="CH184" s="67"/>
      <c r="CI184" s="67"/>
      <c r="CJ184" s="67"/>
      <c r="CK184" s="67"/>
      <c r="CL184" s="67"/>
      <c r="CM184" s="67"/>
      <c r="CN184" s="67"/>
      <c r="CO184" s="67"/>
      <c r="CP184" s="67"/>
      <c r="CQ184" s="67"/>
      <c r="CR184" s="67"/>
      <c r="CS184" s="67"/>
      <c r="CT184" s="67"/>
      <c r="CU184" s="67"/>
      <c r="CV184" s="67"/>
      <c r="CW184" s="67"/>
      <c r="CX184" s="67"/>
      <c r="CY184" s="67"/>
      <c r="CZ184" s="67"/>
      <c r="DA184" s="67"/>
      <c r="DB184" s="67"/>
      <c r="DC184" s="67"/>
      <c r="DD184" s="67"/>
      <c r="DE184" s="66"/>
      <c r="DF184" s="67"/>
      <c r="DG184" s="67"/>
      <c r="DH184" s="67"/>
      <c r="DI184" s="67"/>
      <c r="DJ184" s="67"/>
      <c r="DK184" s="67"/>
      <c r="DL184" s="67"/>
      <c r="DM184" s="67"/>
      <c r="DN184" s="67"/>
      <c r="DO184" s="67"/>
      <c r="DP184" s="67"/>
      <c r="DQ184" s="67"/>
      <c r="DR184" s="67"/>
      <c r="DS184" s="67"/>
      <c r="DT184" s="67"/>
      <c r="DU184" s="67"/>
      <c r="DV184" s="67"/>
      <c r="DW184" s="67"/>
      <c r="DX184" s="67"/>
      <c r="DY184" s="67"/>
      <c r="DZ184" s="67"/>
      <c r="EA184" s="67"/>
      <c r="EB184" s="67"/>
      <c r="EC184" s="67"/>
      <c r="ED184" s="67"/>
      <c r="EE184" s="67"/>
      <c r="EF184" s="67"/>
      <c r="EG184" s="67"/>
      <c r="EH184" s="67"/>
      <c r="EI184" s="67"/>
      <c r="EJ184" s="67"/>
      <c r="EK184" s="67"/>
      <c r="EL184" s="67"/>
      <c r="EM184" s="67"/>
      <c r="EN184" s="67"/>
      <c r="EO184" s="67"/>
      <c r="EP184" s="67"/>
      <c r="EQ184" s="67"/>
      <c r="ER184" s="67"/>
      <c r="ES184" s="67"/>
      <c r="ET184" s="67"/>
      <c r="EU184" s="67"/>
      <c r="EV184" s="67"/>
      <c r="EW184" s="67"/>
      <c r="EX184" s="67"/>
      <c r="EY184" s="67"/>
      <c r="EZ184" s="67"/>
      <c r="FA184" s="67"/>
      <c r="FB184" s="67"/>
      <c r="FC184" s="67"/>
      <c r="FD184" s="67"/>
      <c r="FE184" s="67"/>
      <c r="FF184" s="67"/>
      <c r="FG184" s="67"/>
      <c r="FH184" s="67"/>
      <c r="FI184" s="67"/>
      <c r="FJ184" s="67"/>
      <c r="FK184" s="67"/>
      <c r="FL184" s="67"/>
      <c r="FM184" s="66"/>
      <c r="FN184" s="67"/>
      <c r="FO184" s="67"/>
      <c r="FP184" s="67"/>
      <c r="FQ184" s="67"/>
      <c r="FR184" s="67"/>
      <c r="FS184" s="67"/>
      <c r="FT184" s="67"/>
      <c r="FU184" s="67"/>
      <c r="FV184" s="67"/>
      <c r="FW184" s="67"/>
      <c r="FX184" s="67"/>
      <c r="FY184" s="67"/>
      <c r="FZ184" s="67"/>
      <c r="GA184" s="67"/>
      <c r="GB184" s="67"/>
      <c r="GC184" s="67"/>
      <c r="GD184" s="67"/>
      <c r="GE184" s="67"/>
      <c r="GF184" s="67"/>
      <c r="GG184" s="67"/>
      <c r="GH184" s="67"/>
      <c r="GI184" s="67"/>
      <c r="GJ184" s="67"/>
      <c r="GK184" s="67"/>
      <c r="GL184" s="67"/>
      <c r="GM184" s="67"/>
      <c r="GN184" s="67"/>
      <c r="GO184" s="67"/>
      <c r="GP184" s="67"/>
      <c r="GQ184" s="67"/>
      <c r="GR184" s="67"/>
      <c r="GS184" s="67"/>
      <c r="GT184" s="67"/>
      <c r="GU184" s="67"/>
      <c r="GV184" s="67"/>
      <c r="GW184" s="67"/>
      <c r="GX184" s="67"/>
      <c r="GY184" s="67"/>
      <c r="GZ184" s="67"/>
      <c r="HA184" s="67"/>
      <c r="HB184" s="67"/>
      <c r="HC184" s="67"/>
      <c r="HD184" s="67"/>
      <c r="HE184" s="67"/>
      <c r="HF184" s="67"/>
      <c r="HG184" s="67"/>
      <c r="HH184" s="67"/>
      <c r="HI184" s="67"/>
      <c r="HJ184" s="67"/>
      <c r="HK184" s="67"/>
      <c r="HL184" s="67"/>
      <c r="HM184" s="67"/>
      <c r="HN184" s="67"/>
      <c r="HO184" s="67"/>
      <c r="HP184" s="67"/>
      <c r="HQ184" s="67"/>
      <c r="HR184" s="67"/>
      <c r="HS184" s="67"/>
      <c r="HT184" s="67"/>
      <c r="HU184" s="66"/>
      <c r="HV184" s="67"/>
      <c r="HW184" s="67"/>
      <c r="HX184" s="67"/>
      <c r="HY184" s="67"/>
      <c r="HZ184" s="67"/>
      <c r="IA184" s="67"/>
      <c r="IB184" s="67"/>
      <c r="IC184" s="67"/>
      <c r="ID184" s="67"/>
      <c r="IE184" s="67"/>
      <c r="IF184" s="67"/>
      <c r="IG184" s="67"/>
      <c r="IH184" s="67"/>
      <c r="II184" s="67"/>
      <c r="IJ184" s="67"/>
      <c r="IK184" s="67"/>
      <c r="IL184" s="67"/>
      <c r="IM184" s="67"/>
      <c r="IN184" s="67"/>
      <c r="IO184" s="67"/>
      <c r="IP184" s="67"/>
      <c r="IQ184" s="67"/>
      <c r="IR184" s="67"/>
      <c r="IS184" s="67"/>
      <c r="IT184" s="67"/>
      <c r="IU184" s="67"/>
      <c r="IV184" s="67"/>
      <c r="IW184" s="67"/>
      <c r="IX184" s="67"/>
      <c r="IY184" s="66"/>
      <c r="IZ184" s="67"/>
      <c r="JA184" s="67"/>
      <c r="JB184" s="67"/>
      <c r="JC184" s="67"/>
      <c r="JD184" s="67"/>
      <c r="JE184" s="67"/>
      <c r="JF184" s="67"/>
      <c r="JG184" s="67"/>
      <c r="JH184" s="67"/>
      <c r="JI184" s="67"/>
      <c r="JJ184" s="67"/>
      <c r="JK184" s="67"/>
      <c r="JL184" s="67"/>
      <c r="JM184" s="67"/>
      <c r="JN184" s="67"/>
      <c r="JO184" s="67"/>
      <c r="JP184" s="67"/>
      <c r="JQ184" s="67"/>
      <c r="JR184" s="67"/>
      <c r="JS184" s="67"/>
      <c r="JT184" s="67"/>
      <c r="JU184" s="67"/>
      <c r="JV184" s="67"/>
      <c r="JW184" s="67"/>
      <c r="JX184" s="67"/>
      <c r="JY184" s="67"/>
      <c r="JZ184" s="67"/>
      <c r="KA184" s="67"/>
      <c r="KB184" s="67"/>
      <c r="KC184" s="66"/>
      <c r="KD184" s="67"/>
      <c r="KE184" s="68"/>
      <c r="KF184" s="214"/>
      <c r="KG184" s="214"/>
      <c r="KH184" s="214"/>
      <c r="KI184" s="214"/>
      <c r="KJ184" s="214"/>
      <c r="KK184" s="214"/>
      <c r="KL184" s="67"/>
      <c r="KM184" s="67"/>
      <c r="KN184" s="67"/>
      <c r="KO184" s="66"/>
      <c r="KP184" s="67"/>
      <c r="KQ184" s="68"/>
      <c r="KR184" s="214"/>
      <c r="KS184" s="214"/>
      <c r="KT184" s="214"/>
      <c r="KU184" s="214"/>
      <c r="KV184" s="214"/>
      <c r="KW184" s="214"/>
      <c r="KX184" s="214"/>
      <c r="KY184" s="214"/>
      <c r="KZ184" s="216"/>
      <c r="LA184" s="233"/>
      <c r="LB184" s="214"/>
      <c r="LC184" s="234"/>
      <c r="LD184" s="215"/>
      <c r="LE184" s="214"/>
      <c r="LF184" s="214"/>
      <c r="LG184" s="214"/>
      <c r="LH184" s="214"/>
      <c r="LI184" s="214"/>
      <c r="LJ184" s="214">
        <v>3.5E-4</v>
      </c>
      <c r="LK184" s="214"/>
      <c r="LL184" s="214"/>
      <c r="LM184" s="214">
        <v>4.4999999999999999E-4</v>
      </c>
      <c r="LN184" s="214"/>
      <c r="LO184" s="214"/>
      <c r="LP184" s="214">
        <v>4.4999999999999999E-4</v>
      </c>
      <c r="LQ184" s="214"/>
      <c r="LR184" s="214"/>
      <c r="LS184" s="214">
        <v>4.4999999999999999E-4</v>
      </c>
      <c r="LT184" s="214"/>
      <c r="LU184" s="214"/>
      <c r="LV184" s="214">
        <v>5.5000000000000003E-4</v>
      </c>
      <c r="LW184" s="214"/>
      <c r="LX184" s="214"/>
      <c r="LY184" s="214">
        <v>5.1000000000000004E-4</v>
      </c>
      <c r="LZ184" s="214"/>
      <c r="MA184" s="214"/>
      <c r="MB184" s="67"/>
      <c r="MC184" s="67"/>
      <c r="MD184" s="67"/>
      <c r="ME184" s="66"/>
      <c r="MF184" s="67"/>
      <c r="MG184" s="68"/>
      <c r="MH184" s="66"/>
      <c r="MI184" s="67"/>
      <c r="MJ184" s="68"/>
      <c r="MK184" s="67"/>
      <c r="ML184" s="67"/>
      <c r="MM184" s="67"/>
      <c r="MN184" s="66"/>
      <c r="MO184" s="67"/>
      <c r="MP184" s="68"/>
      <c r="MQ184" s="66"/>
      <c r="MR184" s="67"/>
      <c r="MS184" s="68"/>
      <c r="MT184" s="66"/>
      <c r="MU184" s="67"/>
      <c r="MV184" s="68"/>
      <c r="MW184" s="66"/>
      <c r="MX184" s="67"/>
      <c r="MY184" s="68"/>
      <c r="MZ184" s="66"/>
      <c r="NA184" s="67"/>
      <c r="NB184" s="68"/>
      <c r="NC184" s="67"/>
      <c r="ND184" s="67"/>
      <c r="NE184" s="72"/>
      <c r="NG184" s="275">
        <f>SUM(R184:NE184)</f>
        <v>2.7599999999999999E-3</v>
      </c>
      <c r="NH184" s="1"/>
      <c r="NI184" s="1"/>
      <c r="NJ184" s="1"/>
      <c r="NK184" s="1"/>
    </row>
    <row r="185" spans="5:375" s="6" customFormat="1" ht="6.95" customHeight="1" thickBot="1">
      <c r="F185" s="196"/>
      <c r="G185" s="197"/>
      <c r="H185" s="52">
        <v>2</v>
      </c>
      <c r="L185" s="311"/>
      <c r="M185" s="406"/>
      <c r="N185" s="354"/>
      <c r="O185" s="351"/>
      <c r="P185" s="316"/>
      <c r="Q185" s="237"/>
      <c r="R185" s="60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4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5"/>
      <c r="CA185" s="84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  <c r="CP185" s="83"/>
      <c r="CQ185" s="83"/>
      <c r="CR185" s="83"/>
      <c r="CS185" s="83"/>
      <c r="CT185" s="83"/>
      <c r="CU185" s="83"/>
      <c r="CV185" s="83"/>
      <c r="CW185" s="83"/>
      <c r="CX185" s="83"/>
      <c r="CY185" s="83"/>
      <c r="CZ185" s="83"/>
      <c r="DA185" s="83"/>
      <c r="DB185" s="83"/>
      <c r="DC185" s="83"/>
      <c r="DD185" s="83"/>
      <c r="DE185" s="84"/>
      <c r="DF185" s="83"/>
      <c r="DG185" s="83"/>
      <c r="DH185" s="83"/>
      <c r="DI185" s="83"/>
      <c r="DJ185" s="83"/>
      <c r="DK185" s="83"/>
      <c r="DL185" s="83"/>
      <c r="DM185" s="83"/>
      <c r="DN185" s="83"/>
      <c r="DO185" s="83"/>
      <c r="DP185" s="83"/>
      <c r="DQ185" s="83"/>
      <c r="DR185" s="83"/>
      <c r="DS185" s="83"/>
      <c r="DT185" s="83"/>
      <c r="DU185" s="83"/>
      <c r="DV185" s="83"/>
      <c r="DW185" s="83"/>
      <c r="DX185" s="83"/>
      <c r="DY185" s="83"/>
      <c r="DZ185" s="83"/>
      <c r="EA185" s="83"/>
      <c r="EB185" s="83"/>
      <c r="EC185" s="83"/>
      <c r="ED185" s="83"/>
      <c r="EE185" s="83"/>
      <c r="EF185" s="83"/>
      <c r="EG185" s="83"/>
      <c r="EH185" s="83"/>
      <c r="EI185" s="83"/>
      <c r="EJ185" s="83"/>
      <c r="EK185" s="83"/>
      <c r="EL185" s="83"/>
      <c r="EM185" s="83"/>
      <c r="EN185" s="83"/>
      <c r="EO185" s="83"/>
      <c r="EP185" s="83"/>
      <c r="EQ185" s="83"/>
      <c r="ER185" s="83"/>
      <c r="ES185" s="83"/>
      <c r="ET185" s="83"/>
      <c r="EU185" s="83"/>
      <c r="EV185" s="83"/>
      <c r="EW185" s="83"/>
      <c r="EX185" s="83"/>
      <c r="EY185" s="83"/>
      <c r="EZ185" s="83"/>
      <c r="FA185" s="83"/>
      <c r="FB185" s="83"/>
      <c r="FC185" s="83"/>
      <c r="FD185" s="83"/>
      <c r="FE185" s="83"/>
      <c r="FF185" s="83"/>
      <c r="FG185" s="83"/>
      <c r="FH185" s="83"/>
      <c r="FI185" s="83"/>
      <c r="FJ185" s="83"/>
      <c r="FK185" s="83"/>
      <c r="FL185" s="83"/>
      <c r="FM185" s="84"/>
      <c r="FN185" s="83"/>
      <c r="FO185" s="83"/>
      <c r="FP185" s="83"/>
      <c r="FQ185" s="83"/>
      <c r="FR185" s="83"/>
      <c r="FS185" s="83"/>
      <c r="FT185" s="83"/>
      <c r="FU185" s="83"/>
      <c r="FV185" s="83"/>
      <c r="FW185" s="83"/>
      <c r="FX185" s="83"/>
      <c r="FY185" s="83"/>
      <c r="FZ185" s="83"/>
      <c r="GA185" s="83"/>
      <c r="GB185" s="83"/>
      <c r="GC185" s="83"/>
      <c r="GD185" s="83"/>
      <c r="GE185" s="83"/>
      <c r="GF185" s="83"/>
      <c r="GG185" s="83"/>
      <c r="GH185" s="83"/>
      <c r="GI185" s="83"/>
      <c r="GJ185" s="83"/>
      <c r="GK185" s="83"/>
      <c r="GL185" s="83"/>
      <c r="GM185" s="83"/>
      <c r="GN185" s="83"/>
      <c r="GO185" s="83"/>
      <c r="GP185" s="83"/>
      <c r="GQ185" s="83"/>
      <c r="GR185" s="83"/>
      <c r="GS185" s="83"/>
      <c r="GT185" s="83"/>
      <c r="GU185" s="83"/>
      <c r="GV185" s="83"/>
      <c r="GW185" s="83"/>
      <c r="GX185" s="83"/>
      <c r="GY185" s="83"/>
      <c r="GZ185" s="83"/>
      <c r="HA185" s="83"/>
      <c r="HB185" s="83"/>
      <c r="HC185" s="83"/>
      <c r="HD185" s="83"/>
      <c r="HE185" s="83"/>
      <c r="HF185" s="83"/>
      <c r="HG185" s="83"/>
      <c r="HH185" s="83"/>
      <c r="HI185" s="83"/>
      <c r="HJ185" s="83"/>
      <c r="HK185" s="83"/>
      <c r="HL185" s="83"/>
      <c r="HM185" s="83"/>
      <c r="HN185" s="83"/>
      <c r="HO185" s="83"/>
      <c r="HP185" s="83"/>
      <c r="HQ185" s="83"/>
      <c r="HR185" s="83"/>
      <c r="HS185" s="83"/>
      <c r="HT185" s="83"/>
      <c r="HU185" s="84"/>
      <c r="HV185" s="83"/>
      <c r="HW185" s="83"/>
      <c r="HX185" s="83"/>
      <c r="HY185" s="83"/>
      <c r="HZ185" s="83"/>
      <c r="IA185" s="83"/>
      <c r="IB185" s="83"/>
      <c r="IC185" s="83"/>
      <c r="ID185" s="83"/>
      <c r="IE185" s="83"/>
      <c r="IF185" s="83"/>
      <c r="IG185" s="83"/>
      <c r="IH185" s="83"/>
      <c r="II185" s="83"/>
      <c r="IJ185" s="83"/>
      <c r="IK185" s="83"/>
      <c r="IL185" s="83"/>
      <c r="IM185" s="83"/>
      <c r="IN185" s="83"/>
      <c r="IO185" s="83"/>
      <c r="IP185" s="83"/>
      <c r="IQ185" s="83"/>
      <c r="IR185" s="83"/>
      <c r="IS185" s="83"/>
      <c r="IT185" s="83"/>
      <c r="IU185" s="83"/>
      <c r="IV185" s="83"/>
      <c r="IW185" s="83"/>
      <c r="IX185" s="83"/>
      <c r="IY185" s="84"/>
      <c r="IZ185" s="83"/>
      <c r="JA185" s="83"/>
      <c r="JB185" s="83"/>
      <c r="JC185" s="83"/>
      <c r="JD185" s="83"/>
      <c r="JE185" s="83"/>
      <c r="JF185" s="83"/>
      <c r="JG185" s="83"/>
      <c r="JH185" s="83"/>
      <c r="JI185" s="83"/>
      <c r="JJ185" s="83"/>
      <c r="JK185" s="83"/>
      <c r="JL185" s="83"/>
      <c r="JM185" s="83"/>
      <c r="JN185" s="83"/>
      <c r="JO185" s="83"/>
      <c r="JP185" s="83"/>
      <c r="JQ185" s="83"/>
      <c r="JR185" s="83"/>
      <c r="JS185" s="83"/>
      <c r="JT185" s="83"/>
      <c r="JU185" s="83"/>
      <c r="JV185" s="83"/>
      <c r="JW185" s="83"/>
      <c r="JX185" s="83"/>
      <c r="JY185" s="83"/>
      <c r="JZ185" s="83"/>
      <c r="KA185" s="83"/>
      <c r="KB185" s="83"/>
      <c r="KC185" s="84"/>
      <c r="KD185" s="83"/>
      <c r="KE185" s="85"/>
      <c r="KF185" s="84"/>
      <c r="KG185" s="113"/>
      <c r="KH185" s="85"/>
      <c r="KI185" s="84"/>
      <c r="KJ185" s="83"/>
      <c r="KK185" s="85"/>
      <c r="KL185" s="83"/>
      <c r="KM185" s="83"/>
      <c r="KN185" s="83"/>
      <c r="KO185" s="84"/>
      <c r="KP185" s="83"/>
      <c r="KQ185" s="85"/>
      <c r="KR185" s="84"/>
      <c r="KS185" s="83"/>
      <c r="KT185" s="85"/>
      <c r="KU185" s="84"/>
      <c r="KV185" s="83"/>
      <c r="KW185" s="85"/>
      <c r="KX185" s="84"/>
      <c r="KY185" s="83"/>
      <c r="KZ185" s="83"/>
      <c r="LA185" s="86"/>
      <c r="LB185" s="83"/>
      <c r="LC185" s="87"/>
      <c r="LD185" s="83"/>
      <c r="LE185" s="83"/>
      <c r="LF185" s="85"/>
      <c r="LG185" s="84"/>
      <c r="LH185" s="83"/>
      <c r="LI185" s="85"/>
      <c r="LJ185" s="61"/>
      <c r="LK185" s="62"/>
      <c r="LL185" s="63"/>
      <c r="LM185" s="61"/>
      <c r="LN185" s="62"/>
      <c r="LO185" s="63"/>
      <c r="LP185" s="61"/>
      <c r="LQ185" s="62"/>
      <c r="LR185" s="63"/>
      <c r="LS185" s="61"/>
      <c r="LT185" s="62"/>
      <c r="LU185" s="63"/>
      <c r="LV185" s="61"/>
      <c r="LW185" s="62"/>
      <c r="LX185" s="63"/>
      <c r="LY185" s="61"/>
      <c r="LZ185" s="62"/>
      <c r="MA185" s="63"/>
      <c r="MB185" s="83"/>
      <c r="MC185" s="83"/>
      <c r="MD185" s="83"/>
      <c r="ME185" s="84"/>
      <c r="MF185" s="83"/>
      <c r="MG185" s="85"/>
      <c r="MH185" s="84"/>
      <c r="MI185" s="83"/>
      <c r="MJ185" s="85"/>
      <c r="MK185" s="83"/>
      <c r="ML185" s="83"/>
      <c r="MM185" s="83"/>
      <c r="MN185" s="84"/>
      <c r="MO185" s="83"/>
      <c r="MP185" s="85"/>
      <c r="MQ185" s="84"/>
      <c r="MR185" s="83"/>
      <c r="MS185" s="85"/>
      <c r="MT185" s="84"/>
      <c r="MU185" s="83"/>
      <c r="MV185" s="85"/>
      <c r="MW185" s="84"/>
      <c r="MX185" s="83"/>
      <c r="MY185" s="85"/>
      <c r="MZ185" s="84"/>
      <c r="NA185" s="83"/>
      <c r="NB185" s="85"/>
      <c r="NC185" s="83"/>
      <c r="ND185" s="83"/>
      <c r="NE185" s="88"/>
      <c r="NG185" s="275"/>
      <c r="NH185" s="1"/>
      <c r="NI185" s="1"/>
      <c r="NJ185" s="1"/>
      <c r="NK185" s="1"/>
    </row>
    <row r="186" spans="5:375" s="18" customFormat="1" ht="9.9499999999999993" customHeight="1">
      <c r="F186" s="194">
        <f t="shared" ref="F186" si="447">NG186</f>
        <v>2.5999999999999998E-4</v>
      </c>
      <c r="G186" s="195">
        <f>Q186-F186</f>
        <v>0</v>
      </c>
      <c r="H186" s="27">
        <v>1</v>
      </c>
      <c r="L186" s="286" t="s">
        <v>86</v>
      </c>
      <c r="M186" s="287"/>
      <c r="N186" s="287"/>
      <c r="O186" s="288"/>
      <c r="P186" s="240">
        <f>SUM(P188:P195)</f>
        <v>55947</v>
      </c>
      <c r="Q186" s="238">
        <f>ROUND(SUM(Q188:Q195),5)</f>
        <v>2.5999999999999998E-4</v>
      </c>
      <c r="R186" s="238">
        <f>ROUND(SUM(R188:R195),5)</f>
        <v>0</v>
      </c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8"/>
      <c r="AW186" s="176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  <c r="BO186" s="137"/>
      <c r="BP186" s="137"/>
      <c r="BQ186" s="137"/>
      <c r="BR186" s="137"/>
      <c r="BS186" s="137"/>
      <c r="BT186" s="137"/>
      <c r="BU186" s="137"/>
      <c r="BV186" s="137"/>
      <c r="BW186" s="137"/>
      <c r="BX186" s="137"/>
      <c r="BY186" s="137"/>
      <c r="BZ186" s="138"/>
      <c r="CA186" s="176"/>
      <c r="CB186" s="137"/>
      <c r="CC186" s="137"/>
      <c r="CD186" s="137"/>
      <c r="CE186" s="137"/>
      <c r="CF186" s="137"/>
      <c r="CG186" s="137"/>
      <c r="CH186" s="137"/>
      <c r="CI186" s="137"/>
      <c r="CJ186" s="137"/>
      <c r="CK186" s="137"/>
      <c r="CL186" s="137"/>
      <c r="CM186" s="137"/>
      <c r="CN186" s="137"/>
      <c r="CO186" s="137"/>
      <c r="CP186" s="137"/>
      <c r="CQ186" s="137"/>
      <c r="CR186" s="137"/>
      <c r="CS186" s="137"/>
      <c r="CT186" s="137"/>
      <c r="CU186" s="137"/>
      <c r="CV186" s="137"/>
      <c r="CW186" s="137"/>
      <c r="CX186" s="137"/>
      <c r="CY186" s="137"/>
      <c r="CZ186" s="137"/>
      <c r="DA186" s="137"/>
      <c r="DB186" s="137"/>
      <c r="DC186" s="137"/>
      <c r="DD186" s="137"/>
      <c r="DE186" s="176"/>
      <c r="DF186" s="137"/>
      <c r="DG186" s="137"/>
      <c r="DH186" s="137"/>
      <c r="DI186" s="137"/>
      <c r="DJ186" s="137"/>
      <c r="DK186" s="137"/>
      <c r="DL186" s="137"/>
      <c r="DM186" s="137"/>
      <c r="DN186" s="137"/>
      <c r="DO186" s="137"/>
      <c r="DP186" s="137"/>
      <c r="DQ186" s="137"/>
      <c r="DR186" s="137"/>
      <c r="DS186" s="137"/>
      <c r="DT186" s="137"/>
      <c r="DU186" s="137"/>
      <c r="DV186" s="137"/>
      <c r="DW186" s="137"/>
      <c r="DX186" s="137"/>
      <c r="DY186" s="137"/>
      <c r="DZ186" s="137"/>
      <c r="EA186" s="137"/>
      <c r="EB186" s="137"/>
      <c r="EC186" s="137"/>
      <c r="ED186" s="137"/>
      <c r="EE186" s="137"/>
      <c r="EF186" s="137"/>
      <c r="EG186" s="137"/>
      <c r="EH186" s="137"/>
      <c r="EI186" s="176"/>
      <c r="EJ186" s="137"/>
      <c r="EK186" s="137"/>
      <c r="EL186" s="137"/>
      <c r="EM186" s="137"/>
      <c r="EN186" s="137"/>
      <c r="EO186" s="137"/>
      <c r="EP186" s="137"/>
      <c r="EQ186" s="137"/>
      <c r="ER186" s="137"/>
      <c r="ES186" s="137"/>
      <c r="ET186" s="137"/>
      <c r="EU186" s="137"/>
      <c r="EV186" s="137"/>
      <c r="EW186" s="137"/>
      <c r="EX186" s="137"/>
      <c r="EY186" s="137"/>
      <c r="EZ186" s="137"/>
      <c r="FA186" s="137"/>
      <c r="FB186" s="137"/>
      <c r="FC186" s="137"/>
      <c r="FD186" s="137"/>
      <c r="FE186" s="137"/>
      <c r="FF186" s="137"/>
      <c r="FG186" s="137"/>
      <c r="FH186" s="137"/>
      <c r="FI186" s="137"/>
      <c r="FJ186" s="137"/>
      <c r="FK186" s="137"/>
      <c r="FL186" s="137"/>
      <c r="FM186" s="176"/>
      <c r="FN186" s="137"/>
      <c r="FO186" s="137"/>
      <c r="FP186" s="137"/>
      <c r="FQ186" s="137"/>
      <c r="FR186" s="137"/>
      <c r="FS186" s="137"/>
      <c r="FT186" s="137"/>
      <c r="FU186" s="137"/>
      <c r="FV186" s="137"/>
      <c r="FW186" s="137"/>
      <c r="FX186" s="137"/>
      <c r="FY186" s="137"/>
      <c r="FZ186" s="137"/>
      <c r="GA186" s="137"/>
      <c r="GB186" s="137"/>
      <c r="GC186" s="137"/>
      <c r="GD186" s="137"/>
      <c r="GE186" s="137"/>
      <c r="GF186" s="137"/>
      <c r="GG186" s="137"/>
      <c r="GH186" s="137"/>
      <c r="GI186" s="137"/>
      <c r="GJ186" s="137"/>
      <c r="GK186" s="137"/>
      <c r="GL186" s="137"/>
      <c r="GM186" s="137"/>
      <c r="GN186" s="137"/>
      <c r="GO186" s="137"/>
      <c r="GP186" s="137"/>
      <c r="GQ186" s="176"/>
      <c r="GR186" s="137"/>
      <c r="GS186" s="137"/>
      <c r="GT186" s="137"/>
      <c r="GU186" s="137"/>
      <c r="GV186" s="137"/>
      <c r="GW186" s="137"/>
      <c r="GX186" s="137"/>
      <c r="GY186" s="137"/>
      <c r="GZ186" s="137"/>
      <c r="HA186" s="137"/>
      <c r="HB186" s="137"/>
      <c r="HC186" s="137"/>
      <c r="HD186" s="137"/>
      <c r="HE186" s="137"/>
      <c r="HF186" s="137"/>
      <c r="HG186" s="137"/>
      <c r="HH186" s="137"/>
      <c r="HI186" s="137"/>
      <c r="HJ186" s="137"/>
      <c r="HK186" s="137"/>
      <c r="HL186" s="137"/>
      <c r="HM186" s="137"/>
      <c r="HN186" s="137"/>
      <c r="HO186" s="137"/>
      <c r="HP186" s="137"/>
      <c r="HQ186" s="137"/>
      <c r="HR186" s="137"/>
      <c r="HS186" s="137"/>
      <c r="HT186" s="137"/>
      <c r="HU186" s="176"/>
      <c r="HV186" s="137"/>
      <c r="HW186" s="137"/>
      <c r="HX186" s="137"/>
      <c r="HY186" s="137"/>
      <c r="HZ186" s="137"/>
      <c r="IA186" s="137"/>
      <c r="IB186" s="137"/>
      <c r="IC186" s="137"/>
      <c r="ID186" s="137"/>
      <c r="IE186" s="137"/>
      <c r="IF186" s="137"/>
      <c r="IG186" s="137"/>
      <c r="IH186" s="137"/>
      <c r="II186" s="137"/>
      <c r="IJ186" s="137"/>
      <c r="IK186" s="137"/>
      <c r="IL186" s="137"/>
      <c r="IM186" s="137"/>
      <c r="IN186" s="137"/>
      <c r="IO186" s="137"/>
      <c r="IP186" s="137"/>
      <c r="IQ186" s="137"/>
      <c r="IR186" s="137"/>
      <c r="IS186" s="137"/>
      <c r="IT186" s="137"/>
      <c r="IU186" s="137"/>
      <c r="IV186" s="137"/>
      <c r="IW186" s="137"/>
      <c r="IX186" s="137"/>
      <c r="IY186" s="176"/>
      <c r="IZ186" s="137"/>
      <c r="JA186" s="137"/>
      <c r="JB186" s="137"/>
      <c r="JC186" s="137"/>
      <c r="JD186" s="137"/>
      <c r="JE186" s="137"/>
      <c r="JF186" s="137"/>
      <c r="JG186" s="137"/>
      <c r="JH186" s="137"/>
      <c r="JI186" s="137"/>
      <c r="JJ186" s="137"/>
      <c r="JK186" s="137"/>
      <c r="JL186" s="137"/>
      <c r="JM186" s="137"/>
      <c r="JN186" s="137"/>
      <c r="JO186" s="137"/>
      <c r="JP186" s="137"/>
      <c r="JQ186" s="137"/>
      <c r="JR186" s="137"/>
      <c r="JS186" s="137"/>
      <c r="JT186" s="137"/>
      <c r="JU186" s="137"/>
      <c r="JV186" s="137"/>
      <c r="JW186" s="137"/>
      <c r="JX186" s="137"/>
      <c r="JY186" s="137"/>
      <c r="JZ186" s="137"/>
      <c r="KA186" s="137"/>
      <c r="KB186" s="137"/>
      <c r="KC186" s="205">
        <f t="shared" ref="KC186" si="448">ROUND(SUM(KC188:KE195),5)</f>
        <v>0</v>
      </c>
      <c r="KD186" s="206"/>
      <c r="KE186" s="207"/>
      <c r="KF186" s="205">
        <f t="shared" ref="KF186" si="449">ROUND(SUM(KF188:KH195),5)</f>
        <v>0</v>
      </c>
      <c r="KG186" s="206"/>
      <c r="KH186" s="207"/>
      <c r="KI186" s="205">
        <f t="shared" ref="KI186" si="450">ROUND(SUM(KI188:KK195),5)</f>
        <v>0</v>
      </c>
      <c r="KJ186" s="206"/>
      <c r="KK186" s="207"/>
      <c r="KL186" s="205">
        <f t="shared" ref="KL186" si="451">ROUND(SUM(KL188:KN195),5)</f>
        <v>0</v>
      </c>
      <c r="KM186" s="206"/>
      <c r="KN186" s="207"/>
      <c r="KO186" s="205">
        <f t="shared" ref="KO186" si="452">ROUND(SUM(KO188:KQ195),5)</f>
        <v>0</v>
      </c>
      <c r="KP186" s="206"/>
      <c r="KQ186" s="207"/>
      <c r="KR186" s="205">
        <f t="shared" ref="KR186" si="453">ROUND(SUM(KR188:KT195),5)</f>
        <v>0</v>
      </c>
      <c r="KS186" s="206"/>
      <c r="KT186" s="207"/>
      <c r="KU186" s="205">
        <f t="shared" ref="KU186" si="454">ROUND(SUM(KU188:KW195),5)</f>
        <v>0</v>
      </c>
      <c r="KV186" s="206"/>
      <c r="KW186" s="207"/>
      <c r="KX186" s="205">
        <f t="shared" ref="KX186" si="455">ROUND(SUM(KX188:KZ195),5)</f>
        <v>0</v>
      </c>
      <c r="KY186" s="206"/>
      <c r="KZ186" s="206"/>
      <c r="LA186" s="229">
        <f t="shared" ref="LA186" si="456">ROUND(SUM(LA188:LC195),5)</f>
        <v>0</v>
      </c>
      <c r="LB186" s="206"/>
      <c r="LC186" s="230"/>
      <c r="LD186" s="206">
        <f t="shared" ref="LD186" si="457">ROUND(SUM(LD188:LF195),5)</f>
        <v>0</v>
      </c>
      <c r="LE186" s="206"/>
      <c r="LF186" s="207"/>
      <c r="LG186" s="205">
        <f t="shared" ref="LG186" si="458">ROUND(SUM(LG188:LI195),5)</f>
        <v>0</v>
      </c>
      <c r="LH186" s="206"/>
      <c r="LI186" s="207"/>
      <c r="LJ186" s="205">
        <f t="shared" ref="LJ186" si="459">ROUND(SUM(LJ188:LL195),5)</f>
        <v>1.2E-4</v>
      </c>
      <c r="LK186" s="206"/>
      <c r="LL186" s="207"/>
      <c r="LM186" s="205">
        <f t="shared" ref="LM186" si="460">ROUND(SUM(LM188:LO195),5)</f>
        <v>1.3999999999999999E-4</v>
      </c>
      <c r="LN186" s="206"/>
      <c r="LO186" s="207"/>
      <c r="LP186" s="205">
        <f t="shared" ref="LP186" si="461">ROUND(SUM(LP188:LR195),5)</f>
        <v>0</v>
      </c>
      <c r="LQ186" s="206"/>
      <c r="LR186" s="207"/>
      <c r="LS186" s="205">
        <f t="shared" ref="LS186" si="462">ROUND(SUM(LS188:LU195),5)</f>
        <v>0</v>
      </c>
      <c r="LT186" s="206"/>
      <c r="LU186" s="207"/>
      <c r="LV186" s="205">
        <f t="shared" ref="LV186" si="463">ROUND(SUM(LV188:LX195),5)</f>
        <v>0</v>
      </c>
      <c r="LW186" s="206"/>
      <c r="LX186" s="207"/>
      <c r="LY186" s="205">
        <f t="shared" ref="LY186" si="464">ROUND(SUM(LY188:MA195),5)</f>
        <v>0</v>
      </c>
      <c r="LZ186" s="206"/>
      <c r="MA186" s="207"/>
      <c r="MB186" s="205">
        <f t="shared" ref="MB186" si="465">ROUND(SUM(MB188:MD195),5)</f>
        <v>0</v>
      </c>
      <c r="MC186" s="206"/>
      <c r="MD186" s="207"/>
      <c r="ME186" s="205">
        <f t="shared" ref="ME186" si="466">ROUND(SUM(ME188:MG195),5)</f>
        <v>0</v>
      </c>
      <c r="MF186" s="206"/>
      <c r="MG186" s="207"/>
      <c r="MH186" s="205">
        <f t="shared" ref="MH186" si="467">ROUND(SUM(MH188:MJ195),5)</f>
        <v>0</v>
      </c>
      <c r="MI186" s="206"/>
      <c r="MJ186" s="207"/>
      <c r="MK186" s="205">
        <f t="shared" ref="MK186" si="468">ROUND(SUM(MK188:MM195),5)</f>
        <v>0</v>
      </c>
      <c r="ML186" s="206"/>
      <c r="MM186" s="207"/>
      <c r="MN186" s="205">
        <f t="shared" ref="MN186" si="469">ROUND(SUM(MN188:MP195),5)</f>
        <v>0</v>
      </c>
      <c r="MO186" s="206"/>
      <c r="MP186" s="207"/>
      <c r="MQ186" s="205">
        <f t="shared" ref="MQ186" si="470">ROUND(SUM(MQ188:MS195),5)</f>
        <v>0</v>
      </c>
      <c r="MR186" s="206"/>
      <c r="MS186" s="207"/>
      <c r="MT186" s="205">
        <f t="shared" ref="MT186" si="471">ROUND(SUM(MT188:MV195),5)</f>
        <v>0</v>
      </c>
      <c r="MU186" s="206"/>
      <c r="MV186" s="207"/>
      <c r="MW186" s="205">
        <f t="shared" ref="MW186" si="472">ROUND(SUM(MW188:MY195),5)</f>
        <v>0</v>
      </c>
      <c r="MX186" s="206"/>
      <c r="MY186" s="207"/>
      <c r="MZ186" s="205">
        <f t="shared" ref="MZ186" si="473">ROUND(SUM(MZ188:NB195),5)</f>
        <v>0</v>
      </c>
      <c r="NA186" s="206"/>
      <c r="NB186" s="207"/>
      <c r="NC186" s="205">
        <f>ROUND(SUM(NC188:NE195),5)</f>
        <v>0</v>
      </c>
      <c r="ND186" s="206"/>
      <c r="NE186" s="223"/>
      <c r="NG186" s="198">
        <f>SUM(R186:NE186)</f>
        <v>2.5999999999999998E-4</v>
      </c>
      <c r="NH186" s="198">
        <f>SUM(NG188:NG195)</f>
        <v>2.6000000000000003E-4</v>
      </c>
      <c r="NI186" s="114"/>
      <c r="NJ186" s="114"/>
      <c r="NK186" s="114"/>
    </row>
    <row r="187" spans="5:375" s="18" customFormat="1" ht="9.9499999999999993" customHeight="1">
      <c r="F187" s="194"/>
      <c r="G187" s="195"/>
      <c r="H187" s="52">
        <v>2</v>
      </c>
      <c r="L187" s="289"/>
      <c r="M187" s="290"/>
      <c r="N187" s="290"/>
      <c r="O187" s="291"/>
      <c r="P187" s="241"/>
      <c r="Q187" s="239"/>
      <c r="R187" s="239"/>
      <c r="S187" s="139"/>
      <c r="T187" s="139"/>
      <c r="U187" s="139"/>
      <c r="V187" s="139"/>
      <c r="W187" s="139"/>
      <c r="X187" s="139"/>
      <c r="Y187" s="139"/>
      <c r="Z187" s="139"/>
      <c r="AA187" s="139"/>
      <c r="AB187" s="139"/>
      <c r="AC187" s="139"/>
      <c r="AD187" s="139"/>
      <c r="AE187" s="139"/>
      <c r="AF187" s="139"/>
      <c r="AG187" s="139"/>
      <c r="AH187" s="139"/>
      <c r="AI187" s="139"/>
      <c r="AJ187" s="139"/>
      <c r="AK187" s="139"/>
      <c r="AL187" s="139"/>
      <c r="AM187" s="139"/>
      <c r="AN187" s="139"/>
      <c r="AO187" s="139"/>
      <c r="AP187" s="139"/>
      <c r="AQ187" s="139"/>
      <c r="AR187" s="139"/>
      <c r="AS187" s="139"/>
      <c r="AT187" s="139"/>
      <c r="AU187" s="139"/>
      <c r="AV187" s="140"/>
      <c r="AW187" s="177"/>
      <c r="AX187" s="139"/>
      <c r="AY187" s="139"/>
      <c r="AZ187" s="139"/>
      <c r="BA187" s="139"/>
      <c r="BB187" s="139"/>
      <c r="BC187" s="139"/>
      <c r="BD187" s="139"/>
      <c r="BE187" s="139"/>
      <c r="BF187" s="139"/>
      <c r="BG187" s="139"/>
      <c r="BH187" s="139"/>
      <c r="BI187" s="139"/>
      <c r="BJ187" s="139"/>
      <c r="BK187" s="139"/>
      <c r="BL187" s="139"/>
      <c r="BM187" s="139"/>
      <c r="BN187" s="139"/>
      <c r="BO187" s="139"/>
      <c r="BP187" s="139"/>
      <c r="BQ187" s="139"/>
      <c r="BR187" s="139"/>
      <c r="BS187" s="139"/>
      <c r="BT187" s="139"/>
      <c r="BU187" s="139"/>
      <c r="BV187" s="139"/>
      <c r="BW187" s="139"/>
      <c r="BX187" s="139"/>
      <c r="BY187" s="139"/>
      <c r="BZ187" s="140"/>
      <c r="CA187" s="177"/>
      <c r="CB187" s="139"/>
      <c r="CC187" s="139"/>
      <c r="CD187" s="139"/>
      <c r="CE187" s="139"/>
      <c r="CF187" s="139"/>
      <c r="CG187" s="139"/>
      <c r="CH187" s="139"/>
      <c r="CI187" s="139"/>
      <c r="CJ187" s="139"/>
      <c r="CK187" s="139"/>
      <c r="CL187" s="139"/>
      <c r="CM187" s="139"/>
      <c r="CN187" s="139"/>
      <c r="CO187" s="139"/>
      <c r="CP187" s="139"/>
      <c r="CQ187" s="139"/>
      <c r="CR187" s="139"/>
      <c r="CS187" s="139"/>
      <c r="CT187" s="139"/>
      <c r="CU187" s="139"/>
      <c r="CV187" s="139"/>
      <c r="CW187" s="139"/>
      <c r="CX187" s="139"/>
      <c r="CY187" s="139"/>
      <c r="CZ187" s="139"/>
      <c r="DA187" s="139"/>
      <c r="DB187" s="139"/>
      <c r="DC187" s="139"/>
      <c r="DD187" s="139"/>
      <c r="DE187" s="177"/>
      <c r="DF187" s="139"/>
      <c r="DG187" s="139"/>
      <c r="DH187" s="139"/>
      <c r="DI187" s="139"/>
      <c r="DJ187" s="139"/>
      <c r="DK187" s="139"/>
      <c r="DL187" s="139"/>
      <c r="DM187" s="139"/>
      <c r="DN187" s="139"/>
      <c r="DO187" s="139"/>
      <c r="DP187" s="139"/>
      <c r="DQ187" s="139"/>
      <c r="DR187" s="139"/>
      <c r="DS187" s="139"/>
      <c r="DT187" s="139"/>
      <c r="DU187" s="139"/>
      <c r="DV187" s="139"/>
      <c r="DW187" s="139"/>
      <c r="DX187" s="139"/>
      <c r="DY187" s="139"/>
      <c r="DZ187" s="139"/>
      <c r="EA187" s="139"/>
      <c r="EB187" s="139"/>
      <c r="EC187" s="139"/>
      <c r="ED187" s="139"/>
      <c r="EE187" s="139"/>
      <c r="EF187" s="139"/>
      <c r="EG187" s="139"/>
      <c r="EH187" s="139"/>
      <c r="EI187" s="177"/>
      <c r="EJ187" s="139"/>
      <c r="EK187" s="139"/>
      <c r="EL187" s="139"/>
      <c r="EM187" s="139"/>
      <c r="EN187" s="139"/>
      <c r="EO187" s="139"/>
      <c r="EP187" s="139"/>
      <c r="EQ187" s="139"/>
      <c r="ER187" s="139"/>
      <c r="ES187" s="139"/>
      <c r="ET187" s="139"/>
      <c r="EU187" s="139"/>
      <c r="EV187" s="139"/>
      <c r="EW187" s="139"/>
      <c r="EX187" s="139"/>
      <c r="EY187" s="139"/>
      <c r="EZ187" s="139"/>
      <c r="FA187" s="139"/>
      <c r="FB187" s="139"/>
      <c r="FC187" s="139"/>
      <c r="FD187" s="139"/>
      <c r="FE187" s="139"/>
      <c r="FF187" s="139"/>
      <c r="FG187" s="139"/>
      <c r="FH187" s="139"/>
      <c r="FI187" s="139"/>
      <c r="FJ187" s="139"/>
      <c r="FK187" s="139"/>
      <c r="FL187" s="139"/>
      <c r="FM187" s="177"/>
      <c r="FN187" s="139"/>
      <c r="FO187" s="139"/>
      <c r="FP187" s="139"/>
      <c r="FQ187" s="139"/>
      <c r="FR187" s="139"/>
      <c r="FS187" s="139"/>
      <c r="FT187" s="139"/>
      <c r="FU187" s="139"/>
      <c r="FV187" s="139"/>
      <c r="FW187" s="139"/>
      <c r="FX187" s="139"/>
      <c r="FY187" s="139"/>
      <c r="FZ187" s="139"/>
      <c r="GA187" s="139"/>
      <c r="GB187" s="139"/>
      <c r="GC187" s="139"/>
      <c r="GD187" s="139"/>
      <c r="GE187" s="139"/>
      <c r="GF187" s="139"/>
      <c r="GG187" s="139"/>
      <c r="GH187" s="139"/>
      <c r="GI187" s="139"/>
      <c r="GJ187" s="139"/>
      <c r="GK187" s="139"/>
      <c r="GL187" s="139"/>
      <c r="GM187" s="139"/>
      <c r="GN187" s="139"/>
      <c r="GO187" s="139"/>
      <c r="GP187" s="139"/>
      <c r="GQ187" s="177"/>
      <c r="GR187" s="139"/>
      <c r="GS187" s="139"/>
      <c r="GT187" s="139"/>
      <c r="GU187" s="139"/>
      <c r="GV187" s="139"/>
      <c r="GW187" s="139"/>
      <c r="GX187" s="139"/>
      <c r="GY187" s="139"/>
      <c r="GZ187" s="139"/>
      <c r="HA187" s="139"/>
      <c r="HB187" s="139"/>
      <c r="HC187" s="139"/>
      <c r="HD187" s="139"/>
      <c r="HE187" s="139"/>
      <c r="HF187" s="139"/>
      <c r="HG187" s="139"/>
      <c r="HH187" s="139"/>
      <c r="HI187" s="139"/>
      <c r="HJ187" s="139"/>
      <c r="HK187" s="139"/>
      <c r="HL187" s="139"/>
      <c r="HM187" s="139"/>
      <c r="HN187" s="139"/>
      <c r="HO187" s="139"/>
      <c r="HP187" s="139"/>
      <c r="HQ187" s="139"/>
      <c r="HR187" s="139"/>
      <c r="HS187" s="139"/>
      <c r="HT187" s="139"/>
      <c r="HU187" s="177"/>
      <c r="HV187" s="139"/>
      <c r="HW187" s="139"/>
      <c r="HX187" s="139"/>
      <c r="HY187" s="139"/>
      <c r="HZ187" s="139"/>
      <c r="IA187" s="139"/>
      <c r="IB187" s="139"/>
      <c r="IC187" s="139"/>
      <c r="ID187" s="139"/>
      <c r="IE187" s="139"/>
      <c r="IF187" s="139"/>
      <c r="IG187" s="139"/>
      <c r="IH187" s="139"/>
      <c r="II187" s="139"/>
      <c r="IJ187" s="139"/>
      <c r="IK187" s="139"/>
      <c r="IL187" s="139"/>
      <c r="IM187" s="139"/>
      <c r="IN187" s="139"/>
      <c r="IO187" s="139"/>
      <c r="IP187" s="139"/>
      <c r="IQ187" s="139"/>
      <c r="IR187" s="139"/>
      <c r="IS187" s="139"/>
      <c r="IT187" s="139"/>
      <c r="IU187" s="139"/>
      <c r="IV187" s="139"/>
      <c r="IW187" s="139"/>
      <c r="IX187" s="139"/>
      <c r="IY187" s="177"/>
      <c r="IZ187" s="139"/>
      <c r="JA187" s="139"/>
      <c r="JB187" s="139"/>
      <c r="JC187" s="139"/>
      <c r="JD187" s="139"/>
      <c r="JE187" s="139"/>
      <c r="JF187" s="139"/>
      <c r="JG187" s="139"/>
      <c r="JH187" s="139"/>
      <c r="JI187" s="139"/>
      <c r="JJ187" s="139"/>
      <c r="JK187" s="139"/>
      <c r="JL187" s="139"/>
      <c r="JM187" s="139"/>
      <c r="JN187" s="139"/>
      <c r="JO187" s="139"/>
      <c r="JP187" s="139"/>
      <c r="JQ187" s="139"/>
      <c r="JR187" s="139"/>
      <c r="JS187" s="139"/>
      <c r="JT187" s="139"/>
      <c r="JU187" s="139"/>
      <c r="JV187" s="139"/>
      <c r="JW187" s="139"/>
      <c r="JX187" s="139"/>
      <c r="JY187" s="139"/>
      <c r="JZ187" s="139"/>
      <c r="KA187" s="139"/>
      <c r="KB187" s="139"/>
      <c r="KC187" s="208"/>
      <c r="KD187" s="209"/>
      <c r="KE187" s="210"/>
      <c r="KF187" s="208"/>
      <c r="KG187" s="209"/>
      <c r="KH187" s="210"/>
      <c r="KI187" s="208"/>
      <c r="KJ187" s="209"/>
      <c r="KK187" s="210"/>
      <c r="KL187" s="208"/>
      <c r="KM187" s="209"/>
      <c r="KN187" s="210"/>
      <c r="KO187" s="208"/>
      <c r="KP187" s="209"/>
      <c r="KQ187" s="210"/>
      <c r="KR187" s="208"/>
      <c r="KS187" s="209"/>
      <c r="KT187" s="210"/>
      <c r="KU187" s="208"/>
      <c r="KV187" s="209"/>
      <c r="KW187" s="210"/>
      <c r="KX187" s="208"/>
      <c r="KY187" s="209"/>
      <c r="KZ187" s="209"/>
      <c r="LA187" s="231"/>
      <c r="LB187" s="209"/>
      <c r="LC187" s="232"/>
      <c r="LD187" s="209"/>
      <c r="LE187" s="209"/>
      <c r="LF187" s="210"/>
      <c r="LG187" s="208"/>
      <c r="LH187" s="209"/>
      <c r="LI187" s="210"/>
      <c r="LJ187" s="208"/>
      <c r="LK187" s="209"/>
      <c r="LL187" s="210"/>
      <c r="LM187" s="208"/>
      <c r="LN187" s="209"/>
      <c r="LO187" s="210"/>
      <c r="LP187" s="208"/>
      <c r="LQ187" s="209"/>
      <c r="LR187" s="210"/>
      <c r="LS187" s="208"/>
      <c r="LT187" s="209"/>
      <c r="LU187" s="210"/>
      <c r="LV187" s="208"/>
      <c r="LW187" s="209"/>
      <c r="LX187" s="210"/>
      <c r="LY187" s="208"/>
      <c r="LZ187" s="209"/>
      <c r="MA187" s="210"/>
      <c r="MB187" s="208"/>
      <c r="MC187" s="209"/>
      <c r="MD187" s="210"/>
      <c r="ME187" s="208"/>
      <c r="MF187" s="209"/>
      <c r="MG187" s="210"/>
      <c r="MH187" s="208"/>
      <c r="MI187" s="209"/>
      <c r="MJ187" s="210"/>
      <c r="MK187" s="208"/>
      <c r="ML187" s="209"/>
      <c r="MM187" s="210"/>
      <c r="MN187" s="208"/>
      <c r="MO187" s="209"/>
      <c r="MP187" s="210"/>
      <c r="MQ187" s="208"/>
      <c r="MR187" s="209"/>
      <c r="MS187" s="210"/>
      <c r="MT187" s="208"/>
      <c r="MU187" s="209"/>
      <c r="MV187" s="210"/>
      <c r="MW187" s="208"/>
      <c r="MX187" s="209"/>
      <c r="MY187" s="210"/>
      <c r="MZ187" s="208"/>
      <c r="NA187" s="209"/>
      <c r="NB187" s="210"/>
      <c r="NC187" s="208"/>
      <c r="ND187" s="209"/>
      <c r="NE187" s="224"/>
      <c r="NG187" s="198"/>
      <c r="NH187" s="198"/>
      <c r="NI187" s="114"/>
      <c r="NJ187" s="114"/>
      <c r="NK187" s="114"/>
    </row>
    <row r="188" spans="5:375" s="6" customFormat="1" ht="9.9499999999999993" customHeight="1">
      <c r="F188" s="196">
        <f t="shared" ref="F188" si="474">NG188</f>
        <v>1.0000000000000001E-5</v>
      </c>
      <c r="G188" s="197">
        <f>Q188-F188</f>
        <v>0</v>
      </c>
      <c r="H188" s="27">
        <v>1</v>
      </c>
      <c r="L188" s="339"/>
      <c r="M188" s="299" t="s">
        <v>53</v>
      </c>
      <c r="N188" s="313">
        <v>809</v>
      </c>
      <c r="O188" s="352" t="s">
        <v>34</v>
      </c>
      <c r="P188" s="307">
        <v>2788</v>
      </c>
      <c r="Q188" s="236">
        <f>ROUND(P188/$P$256,5)</f>
        <v>1.0000000000000001E-5</v>
      </c>
      <c r="R188" s="21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3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5"/>
      <c r="CA188" s="53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3"/>
      <c r="DF188" s="54"/>
      <c r="DG188" s="54"/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  <c r="DR188" s="54"/>
      <c r="DS188" s="54"/>
      <c r="DT188" s="54"/>
      <c r="DU188" s="54"/>
      <c r="DV188" s="54"/>
      <c r="DW188" s="54"/>
      <c r="DX188" s="54"/>
      <c r="DY188" s="54"/>
      <c r="DZ188" s="54"/>
      <c r="EA188" s="54"/>
      <c r="EB188" s="54"/>
      <c r="EC188" s="54"/>
      <c r="ED188" s="54"/>
      <c r="EE188" s="54"/>
      <c r="EF188" s="54"/>
      <c r="EG188" s="54"/>
      <c r="EH188" s="54"/>
      <c r="EI188" s="54"/>
      <c r="EJ188" s="54"/>
      <c r="EK188" s="54"/>
      <c r="EL188" s="54"/>
      <c r="EM188" s="54"/>
      <c r="EN188" s="54"/>
      <c r="EO188" s="54"/>
      <c r="EP188" s="54"/>
      <c r="EQ188" s="54"/>
      <c r="ER188" s="54"/>
      <c r="ES188" s="54"/>
      <c r="ET188" s="54"/>
      <c r="EU188" s="54"/>
      <c r="EV188" s="54"/>
      <c r="EW188" s="54"/>
      <c r="EX188" s="54"/>
      <c r="EY188" s="54"/>
      <c r="EZ188" s="54"/>
      <c r="FA188" s="54"/>
      <c r="FB188" s="54"/>
      <c r="FC188" s="54"/>
      <c r="FD188" s="54"/>
      <c r="FE188" s="54"/>
      <c r="FF188" s="54"/>
      <c r="FG188" s="54"/>
      <c r="FH188" s="54"/>
      <c r="FI188" s="54"/>
      <c r="FJ188" s="54"/>
      <c r="FK188" s="54"/>
      <c r="FL188" s="54"/>
      <c r="FM188" s="53"/>
      <c r="FN188" s="54"/>
      <c r="FO188" s="54"/>
      <c r="FP188" s="54"/>
      <c r="FQ188" s="54"/>
      <c r="FR188" s="54"/>
      <c r="FS188" s="54"/>
      <c r="FT188" s="54"/>
      <c r="FU188" s="54"/>
      <c r="FV188" s="54"/>
      <c r="FW188" s="54"/>
      <c r="FX188" s="54"/>
      <c r="FY188" s="54"/>
      <c r="FZ188" s="54"/>
      <c r="GA188" s="54"/>
      <c r="GB188" s="54"/>
      <c r="GC188" s="54"/>
      <c r="GD188" s="54"/>
      <c r="GE188" s="54"/>
      <c r="GF188" s="54"/>
      <c r="GG188" s="54"/>
      <c r="GH188" s="54"/>
      <c r="GI188" s="54"/>
      <c r="GJ188" s="54"/>
      <c r="GK188" s="54"/>
      <c r="GL188" s="54"/>
      <c r="GM188" s="54"/>
      <c r="GN188" s="54"/>
      <c r="GO188" s="54"/>
      <c r="GP188" s="54"/>
      <c r="GQ188" s="53"/>
      <c r="GR188" s="54"/>
      <c r="GS188" s="54"/>
      <c r="GT188" s="54"/>
      <c r="GU188" s="54"/>
      <c r="GV188" s="54"/>
      <c r="GW188" s="54"/>
      <c r="GX188" s="54"/>
      <c r="GY188" s="54"/>
      <c r="GZ188" s="54"/>
      <c r="HA188" s="54"/>
      <c r="HB188" s="54"/>
      <c r="HC188" s="54"/>
      <c r="HD188" s="54"/>
      <c r="HE188" s="54"/>
      <c r="HF188" s="54"/>
      <c r="HG188" s="54"/>
      <c r="HH188" s="54"/>
      <c r="HI188" s="54"/>
      <c r="HJ188" s="54"/>
      <c r="HK188" s="54"/>
      <c r="HL188" s="54"/>
      <c r="HM188" s="54"/>
      <c r="HN188" s="54"/>
      <c r="HO188" s="54"/>
      <c r="HP188" s="54"/>
      <c r="HQ188" s="54"/>
      <c r="HR188" s="54"/>
      <c r="HS188" s="54"/>
      <c r="HT188" s="54"/>
      <c r="HU188" s="53"/>
      <c r="HV188" s="54"/>
      <c r="HW188" s="54"/>
      <c r="HX188" s="54"/>
      <c r="HY188" s="54"/>
      <c r="HZ188" s="54"/>
      <c r="IA188" s="54"/>
      <c r="IB188" s="54"/>
      <c r="IC188" s="54"/>
      <c r="ID188" s="54"/>
      <c r="IE188" s="54"/>
      <c r="IF188" s="54"/>
      <c r="IG188" s="54"/>
      <c r="IH188" s="54"/>
      <c r="II188" s="54"/>
      <c r="IJ188" s="54"/>
      <c r="IK188" s="54"/>
      <c r="IL188" s="54"/>
      <c r="IM188" s="54"/>
      <c r="IN188" s="54"/>
      <c r="IO188" s="54"/>
      <c r="IP188" s="54"/>
      <c r="IQ188" s="54"/>
      <c r="IR188" s="54"/>
      <c r="IS188" s="54"/>
      <c r="IT188" s="54"/>
      <c r="IU188" s="54"/>
      <c r="IV188" s="54"/>
      <c r="IW188" s="54"/>
      <c r="IX188" s="54"/>
      <c r="IY188" s="53"/>
      <c r="IZ188" s="54"/>
      <c r="JA188" s="54"/>
      <c r="JB188" s="54"/>
      <c r="JC188" s="54"/>
      <c r="JD188" s="54"/>
      <c r="JE188" s="54"/>
      <c r="JF188" s="54"/>
      <c r="JG188" s="54"/>
      <c r="JH188" s="54"/>
      <c r="JI188" s="54"/>
      <c r="JJ188" s="54"/>
      <c r="JK188" s="54"/>
      <c r="JL188" s="54"/>
      <c r="JM188" s="54"/>
      <c r="JN188" s="54"/>
      <c r="JO188" s="54"/>
      <c r="JP188" s="54"/>
      <c r="JQ188" s="54"/>
      <c r="JR188" s="54"/>
      <c r="JS188" s="54"/>
      <c r="JT188" s="54"/>
      <c r="JU188" s="54"/>
      <c r="JV188" s="54"/>
      <c r="JW188" s="54"/>
      <c r="JX188" s="54"/>
      <c r="JY188" s="54"/>
      <c r="JZ188" s="54"/>
      <c r="KA188" s="54"/>
      <c r="KB188" s="54"/>
      <c r="KC188" s="53"/>
      <c r="KD188" s="54"/>
      <c r="KE188" s="55"/>
      <c r="KF188" s="54"/>
      <c r="KG188" s="54"/>
      <c r="KH188" s="54"/>
      <c r="KI188" s="53"/>
      <c r="KJ188" s="54"/>
      <c r="KK188" s="55"/>
      <c r="KL188" s="212"/>
      <c r="KM188" s="212"/>
      <c r="KN188" s="212"/>
      <c r="KO188" s="212"/>
      <c r="KP188" s="212"/>
      <c r="KQ188" s="212"/>
      <c r="KR188" s="54"/>
      <c r="KS188" s="54"/>
      <c r="KT188" s="54"/>
      <c r="KU188" s="53"/>
      <c r="KV188" s="54"/>
      <c r="KW188" s="55"/>
      <c r="KX188" s="212"/>
      <c r="KY188" s="212"/>
      <c r="KZ188" s="218"/>
      <c r="LA188" s="211"/>
      <c r="LB188" s="212"/>
      <c r="LC188" s="213"/>
      <c r="LD188" s="54"/>
      <c r="LE188" s="54"/>
      <c r="LF188" s="54"/>
      <c r="LG188" s="53"/>
      <c r="LH188" s="54"/>
      <c r="LI188" s="55"/>
      <c r="LJ188" s="212">
        <v>5.0000000000000004E-6</v>
      </c>
      <c r="LK188" s="212"/>
      <c r="LL188" s="212"/>
      <c r="LM188" s="212">
        <v>5.0000000000000004E-6</v>
      </c>
      <c r="LN188" s="212"/>
      <c r="LO188" s="212"/>
      <c r="LP188" s="53"/>
      <c r="LQ188" s="54"/>
      <c r="LR188" s="55"/>
      <c r="LS188" s="53"/>
      <c r="LT188" s="54"/>
      <c r="LU188" s="55"/>
      <c r="LV188" s="54"/>
      <c r="LW188" s="54"/>
      <c r="LX188" s="54"/>
      <c r="LY188" s="53"/>
      <c r="LZ188" s="54"/>
      <c r="MA188" s="55"/>
      <c r="MB188" s="54"/>
      <c r="MC188" s="54"/>
      <c r="MD188" s="54"/>
      <c r="ME188" s="53"/>
      <c r="MF188" s="54"/>
      <c r="MG188" s="55"/>
      <c r="MH188" s="53"/>
      <c r="MI188" s="54"/>
      <c r="MJ188" s="55"/>
      <c r="MK188" s="54"/>
      <c r="ML188" s="54"/>
      <c r="MM188" s="54"/>
      <c r="MN188" s="53"/>
      <c r="MO188" s="54"/>
      <c r="MP188" s="55"/>
      <c r="MQ188" s="53"/>
      <c r="MR188" s="54"/>
      <c r="MS188" s="55"/>
      <c r="MT188" s="53"/>
      <c r="MU188" s="54"/>
      <c r="MV188" s="55"/>
      <c r="MW188" s="53"/>
      <c r="MX188" s="54"/>
      <c r="MY188" s="55"/>
      <c r="MZ188" s="53"/>
      <c r="NA188" s="54"/>
      <c r="NB188" s="55"/>
      <c r="NC188" s="54"/>
      <c r="ND188" s="54"/>
      <c r="NE188" s="59"/>
      <c r="NG188" s="275">
        <f>SUM(R188:NE188)</f>
        <v>1.0000000000000001E-5</v>
      </c>
      <c r="NH188" s="1"/>
      <c r="NI188" s="1"/>
      <c r="NJ188" s="1"/>
      <c r="NK188" s="1"/>
    </row>
    <row r="189" spans="5:375" s="6" customFormat="1" ht="6.95" customHeight="1">
      <c r="F189" s="196"/>
      <c r="G189" s="197"/>
      <c r="H189" s="52">
        <v>2</v>
      </c>
      <c r="L189" s="340"/>
      <c r="M189" s="294"/>
      <c r="N189" s="314"/>
      <c r="O189" s="353"/>
      <c r="P189" s="308"/>
      <c r="Q189" s="237"/>
      <c r="R189" s="9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39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  <c r="BW189" s="40"/>
      <c r="BX189" s="40"/>
      <c r="BY189" s="40"/>
      <c r="BZ189" s="41"/>
      <c r="CA189" s="39"/>
      <c r="CB189" s="40"/>
      <c r="CC189" s="40"/>
      <c r="CD189" s="40"/>
      <c r="CE189" s="40"/>
      <c r="CF189" s="40"/>
      <c r="CG189" s="40"/>
      <c r="CH189" s="40"/>
      <c r="CI189" s="40"/>
      <c r="CJ189" s="40"/>
      <c r="CK189" s="40"/>
      <c r="CL189" s="40"/>
      <c r="CM189" s="40"/>
      <c r="CN189" s="40"/>
      <c r="CO189" s="40"/>
      <c r="CP189" s="40"/>
      <c r="CQ189" s="40"/>
      <c r="CR189" s="40"/>
      <c r="CS189" s="40"/>
      <c r="CT189" s="40"/>
      <c r="CU189" s="40"/>
      <c r="CV189" s="40"/>
      <c r="CW189" s="40"/>
      <c r="CX189" s="40"/>
      <c r="CY189" s="40"/>
      <c r="CZ189" s="40"/>
      <c r="DA189" s="40"/>
      <c r="DB189" s="40"/>
      <c r="DC189" s="40"/>
      <c r="DD189" s="40"/>
      <c r="DE189" s="39"/>
      <c r="DF189" s="40"/>
      <c r="DG189" s="40"/>
      <c r="DH189" s="40"/>
      <c r="DI189" s="40"/>
      <c r="DJ189" s="40"/>
      <c r="DK189" s="40"/>
      <c r="DL189" s="40"/>
      <c r="DM189" s="40"/>
      <c r="DN189" s="40"/>
      <c r="DO189" s="40"/>
      <c r="DP189" s="40"/>
      <c r="DQ189" s="40"/>
      <c r="DR189" s="40"/>
      <c r="DS189" s="40"/>
      <c r="DT189" s="40"/>
      <c r="DU189" s="40"/>
      <c r="DV189" s="40"/>
      <c r="DW189" s="40"/>
      <c r="DX189" s="40"/>
      <c r="DY189" s="40"/>
      <c r="DZ189" s="40"/>
      <c r="EA189" s="40"/>
      <c r="EB189" s="40"/>
      <c r="EC189" s="40"/>
      <c r="ED189" s="40"/>
      <c r="EE189" s="40"/>
      <c r="EF189" s="40"/>
      <c r="EG189" s="40"/>
      <c r="EH189" s="40"/>
      <c r="EI189" s="40"/>
      <c r="EJ189" s="40"/>
      <c r="EK189" s="40"/>
      <c r="EL189" s="40"/>
      <c r="EM189" s="40"/>
      <c r="EN189" s="40"/>
      <c r="EO189" s="40"/>
      <c r="EP189" s="40"/>
      <c r="EQ189" s="40"/>
      <c r="ER189" s="40"/>
      <c r="ES189" s="40"/>
      <c r="ET189" s="40"/>
      <c r="EU189" s="40"/>
      <c r="EV189" s="40"/>
      <c r="EW189" s="40"/>
      <c r="EX189" s="40"/>
      <c r="EY189" s="40"/>
      <c r="EZ189" s="40"/>
      <c r="FA189" s="40"/>
      <c r="FB189" s="40"/>
      <c r="FC189" s="40"/>
      <c r="FD189" s="40"/>
      <c r="FE189" s="40"/>
      <c r="FF189" s="40"/>
      <c r="FG189" s="40"/>
      <c r="FH189" s="40"/>
      <c r="FI189" s="40"/>
      <c r="FJ189" s="40"/>
      <c r="FK189" s="40"/>
      <c r="FL189" s="40"/>
      <c r="FM189" s="39"/>
      <c r="FN189" s="40"/>
      <c r="FO189" s="40"/>
      <c r="FP189" s="40"/>
      <c r="FQ189" s="40"/>
      <c r="FR189" s="40"/>
      <c r="FS189" s="40"/>
      <c r="FT189" s="40"/>
      <c r="FU189" s="40"/>
      <c r="FV189" s="40"/>
      <c r="FW189" s="40"/>
      <c r="FX189" s="40"/>
      <c r="FY189" s="40"/>
      <c r="FZ189" s="40"/>
      <c r="GA189" s="40"/>
      <c r="GB189" s="40"/>
      <c r="GC189" s="40"/>
      <c r="GD189" s="40"/>
      <c r="GE189" s="40"/>
      <c r="GF189" s="40"/>
      <c r="GG189" s="40"/>
      <c r="GH189" s="40"/>
      <c r="GI189" s="40"/>
      <c r="GJ189" s="40"/>
      <c r="GK189" s="40"/>
      <c r="GL189" s="40"/>
      <c r="GM189" s="40"/>
      <c r="GN189" s="40"/>
      <c r="GO189" s="40"/>
      <c r="GP189" s="40"/>
      <c r="GQ189" s="39"/>
      <c r="GR189" s="40"/>
      <c r="GS189" s="40"/>
      <c r="GT189" s="40"/>
      <c r="GU189" s="40"/>
      <c r="GV189" s="40"/>
      <c r="GW189" s="40"/>
      <c r="GX189" s="40"/>
      <c r="GY189" s="40"/>
      <c r="GZ189" s="40"/>
      <c r="HA189" s="40"/>
      <c r="HB189" s="40"/>
      <c r="HC189" s="40"/>
      <c r="HD189" s="40"/>
      <c r="HE189" s="40"/>
      <c r="HF189" s="40"/>
      <c r="HG189" s="40"/>
      <c r="HH189" s="40"/>
      <c r="HI189" s="40"/>
      <c r="HJ189" s="40"/>
      <c r="HK189" s="40"/>
      <c r="HL189" s="40"/>
      <c r="HM189" s="40"/>
      <c r="HN189" s="40"/>
      <c r="HO189" s="40"/>
      <c r="HP189" s="40"/>
      <c r="HQ189" s="40"/>
      <c r="HR189" s="40"/>
      <c r="HS189" s="40"/>
      <c r="HT189" s="40"/>
      <c r="HU189" s="39"/>
      <c r="HV189" s="40"/>
      <c r="HW189" s="40"/>
      <c r="HX189" s="40"/>
      <c r="HY189" s="40"/>
      <c r="HZ189" s="40"/>
      <c r="IA189" s="40"/>
      <c r="IB189" s="40"/>
      <c r="IC189" s="40"/>
      <c r="ID189" s="40"/>
      <c r="IE189" s="40"/>
      <c r="IF189" s="40"/>
      <c r="IG189" s="40"/>
      <c r="IH189" s="40"/>
      <c r="II189" s="40"/>
      <c r="IJ189" s="40"/>
      <c r="IK189" s="40"/>
      <c r="IL189" s="40"/>
      <c r="IM189" s="40"/>
      <c r="IN189" s="40"/>
      <c r="IO189" s="40"/>
      <c r="IP189" s="40"/>
      <c r="IQ189" s="40"/>
      <c r="IR189" s="40"/>
      <c r="IS189" s="40"/>
      <c r="IT189" s="40"/>
      <c r="IU189" s="40"/>
      <c r="IV189" s="40"/>
      <c r="IW189" s="40"/>
      <c r="IX189" s="40"/>
      <c r="IY189" s="39"/>
      <c r="IZ189" s="40"/>
      <c r="JA189" s="40"/>
      <c r="JB189" s="40"/>
      <c r="JC189" s="40"/>
      <c r="JD189" s="40"/>
      <c r="JE189" s="40"/>
      <c r="JF189" s="40"/>
      <c r="JG189" s="40"/>
      <c r="JH189" s="40"/>
      <c r="JI189" s="40"/>
      <c r="JJ189" s="40"/>
      <c r="JK189" s="40"/>
      <c r="JL189" s="40"/>
      <c r="JM189" s="40"/>
      <c r="JN189" s="40"/>
      <c r="JO189" s="40"/>
      <c r="JP189" s="40"/>
      <c r="JQ189" s="40"/>
      <c r="JR189" s="40"/>
      <c r="JS189" s="40"/>
      <c r="JT189" s="40"/>
      <c r="JU189" s="40"/>
      <c r="JV189" s="40"/>
      <c r="JW189" s="40"/>
      <c r="JX189" s="40"/>
      <c r="JY189" s="40"/>
      <c r="JZ189" s="40"/>
      <c r="KA189" s="40"/>
      <c r="KB189" s="40"/>
      <c r="KC189" s="39"/>
      <c r="KD189" s="40"/>
      <c r="KE189" s="41"/>
      <c r="KF189" s="40"/>
      <c r="KG189" s="40"/>
      <c r="KH189" s="40"/>
      <c r="KI189" s="39"/>
      <c r="KJ189" s="40"/>
      <c r="KK189" s="41"/>
      <c r="KL189" s="39"/>
      <c r="KM189" s="101"/>
      <c r="KN189" s="41"/>
      <c r="KO189" s="39"/>
      <c r="KP189" s="101"/>
      <c r="KQ189" s="41"/>
      <c r="KR189" s="40"/>
      <c r="KS189" s="40"/>
      <c r="KT189" s="40"/>
      <c r="KU189" s="39"/>
      <c r="KV189" s="40"/>
      <c r="KW189" s="41"/>
      <c r="KX189" s="39"/>
      <c r="KY189" s="101"/>
      <c r="KZ189" s="40"/>
      <c r="LA189" s="64"/>
      <c r="LB189" s="101"/>
      <c r="LC189" s="65"/>
      <c r="LD189" s="40"/>
      <c r="LE189" s="40"/>
      <c r="LF189" s="40"/>
      <c r="LG189" s="39"/>
      <c r="LH189" s="40"/>
      <c r="LI189" s="41"/>
      <c r="LJ189" s="61"/>
      <c r="LK189" s="62"/>
      <c r="LL189" s="63"/>
      <c r="LM189" s="61"/>
      <c r="LN189" s="62"/>
      <c r="LO189" s="63"/>
      <c r="LP189" s="39"/>
      <c r="LQ189" s="40"/>
      <c r="LR189" s="41"/>
      <c r="LS189" s="39"/>
      <c r="LT189" s="40"/>
      <c r="LU189" s="41"/>
      <c r="LV189" s="40"/>
      <c r="LW189" s="40"/>
      <c r="LX189" s="40"/>
      <c r="LY189" s="39"/>
      <c r="LZ189" s="40"/>
      <c r="MA189" s="41"/>
      <c r="MB189" s="40"/>
      <c r="MC189" s="40"/>
      <c r="MD189" s="40"/>
      <c r="ME189" s="39"/>
      <c r="MF189" s="40"/>
      <c r="MG189" s="41"/>
      <c r="MH189" s="39"/>
      <c r="MI189" s="40"/>
      <c r="MJ189" s="41"/>
      <c r="MK189" s="40"/>
      <c r="ML189" s="40"/>
      <c r="MM189" s="40"/>
      <c r="MN189" s="39"/>
      <c r="MO189" s="40"/>
      <c r="MP189" s="41"/>
      <c r="MQ189" s="39"/>
      <c r="MR189" s="40"/>
      <c r="MS189" s="41"/>
      <c r="MT189" s="39"/>
      <c r="MU189" s="40"/>
      <c r="MV189" s="41"/>
      <c r="MW189" s="39"/>
      <c r="MX189" s="40"/>
      <c r="MY189" s="41"/>
      <c r="MZ189" s="39"/>
      <c r="NA189" s="40"/>
      <c r="NB189" s="41"/>
      <c r="NC189" s="40"/>
      <c r="ND189" s="40"/>
      <c r="NE189" s="42"/>
      <c r="NG189" s="275"/>
      <c r="NH189" s="1"/>
      <c r="NI189" s="1"/>
      <c r="NJ189" s="1"/>
      <c r="NK189" s="1"/>
    </row>
    <row r="190" spans="5:375" s="6" customFormat="1" ht="9.9499999999999993" customHeight="1">
      <c r="F190" s="196">
        <f t="shared" ref="F190" si="475">NG190</f>
        <v>9.0000000000000006E-5</v>
      </c>
      <c r="G190" s="197">
        <f>Q190-F190</f>
        <v>0</v>
      </c>
      <c r="H190" s="27">
        <v>1</v>
      </c>
      <c r="L190" s="292"/>
      <c r="M190" s="355" t="s">
        <v>83</v>
      </c>
      <c r="N190" s="301">
        <v>42</v>
      </c>
      <c r="O190" s="310" t="s">
        <v>84</v>
      </c>
      <c r="P190" s="315">
        <v>19460</v>
      </c>
      <c r="Q190" s="236">
        <f>ROUND(P190/$P$256,5)</f>
        <v>9.0000000000000006E-5</v>
      </c>
      <c r="R190" s="89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6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8"/>
      <c r="CA190" s="66"/>
      <c r="CB190" s="67"/>
      <c r="CC190" s="67"/>
      <c r="CD190" s="67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  <c r="DC190" s="67"/>
      <c r="DD190" s="67"/>
      <c r="DE190" s="66"/>
      <c r="DF190" s="67"/>
      <c r="DG190" s="67"/>
      <c r="DH190" s="67"/>
      <c r="DI190" s="67"/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67"/>
      <c r="EB190" s="67"/>
      <c r="EC190" s="67"/>
      <c r="ED190" s="67"/>
      <c r="EE190" s="67"/>
      <c r="EF190" s="67"/>
      <c r="EG190" s="67"/>
      <c r="EH190" s="67"/>
      <c r="EI190" s="67"/>
      <c r="EJ190" s="67"/>
      <c r="EK190" s="67"/>
      <c r="EL190" s="67"/>
      <c r="EM190" s="67"/>
      <c r="EN190" s="67"/>
      <c r="EO190" s="67"/>
      <c r="EP190" s="67"/>
      <c r="EQ190" s="67"/>
      <c r="ER190" s="67"/>
      <c r="ES190" s="67"/>
      <c r="ET190" s="67"/>
      <c r="EU190" s="67"/>
      <c r="EV190" s="67"/>
      <c r="EW190" s="67"/>
      <c r="EX190" s="67"/>
      <c r="EY190" s="67"/>
      <c r="EZ190" s="67"/>
      <c r="FA190" s="67"/>
      <c r="FB190" s="67"/>
      <c r="FC190" s="67"/>
      <c r="FD190" s="67"/>
      <c r="FE190" s="67"/>
      <c r="FF190" s="67"/>
      <c r="FG190" s="67"/>
      <c r="FH190" s="67"/>
      <c r="FI190" s="67"/>
      <c r="FJ190" s="67"/>
      <c r="FK190" s="67"/>
      <c r="FL190" s="67"/>
      <c r="FM190" s="66"/>
      <c r="FN190" s="67"/>
      <c r="FO190" s="67"/>
      <c r="FP190" s="67"/>
      <c r="FQ190" s="67"/>
      <c r="FR190" s="67"/>
      <c r="FS190" s="67"/>
      <c r="FT190" s="67"/>
      <c r="FU190" s="67"/>
      <c r="FV190" s="67"/>
      <c r="FW190" s="67"/>
      <c r="FX190" s="67"/>
      <c r="FY190" s="67"/>
      <c r="FZ190" s="67"/>
      <c r="GA190" s="67"/>
      <c r="GB190" s="67"/>
      <c r="GC190" s="67"/>
      <c r="GD190" s="67"/>
      <c r="GE190" s="67"/>
      <c r="GF190" s="67"/>
      <c r="GG190" s="67"/>
      <c r="GH190" s="67"/>
      <c r="GI190" s="67"/>
      <c r="GJ190" s="67"/>
      <c r="GK190" s="67"/>
      <c r="GL190" s="67"/>
      <c r="GM190" s="67"/>
      <c r="GN190" s="67"/>
      <c r="GO190" s="67"/>
      <c r="GP190" s="67"/>
      <c r="GQ190" s="66"/>
      <c r="GR190" s="67"/>
      <c r="GS190" s="67"/>
      <c r="GT190" s="67"/>
      <c r="GU190" s="67"/>
      <c r="GV190" s="67"/>
      <c r="GW190" s="67"/>
      <c r="GX190" s="67"/>
      <c r="GY190" s="67"/>
      <c r="GZ190" s="67"/>
      <c r="HA190" s="67"/>
      <c r="HB190" s="67"/>
      <c r="HC190" s="67"/>
      <c r="HD190" s="67"/>
      <c r="HE190" s="67"/>
      <c r="HF190" s="67"/>
      <c r="HG190" s="67"/>
      <c r="HH190" s="67"/>
      <c r="HI190" s="67"/>
      <c r="HJ190" s="67"/>
      <c r="HK190" s="67"/>
      <c r="HL190" s="67"/>
      <c r="HM190" s="67"/>
      <c r="HN190" s="67"/>
      <c r="HO190" s="67"/>
      <c r="HP190" s="67"/>
      <c r="HQ190" s="67"/>
      <c r="HR190" s="67"/>
      <c r="HS190" s="67"/>
      <c r="HT190" s="67"/>
      <c r="HU190" s="66"/>
      <c r="HV190" s="67"/>
      <c r="HW190" s="67"/>
      <c r="HX190" s="67"/>
      <c r="HY190" s="67"/>
      <c r="HZ190" s="67"/>
      <c r="IA190" s="67"/>
      <c r="IB190" s="67"/>
      <c r="IC190" s="67"/>
      <c r="ID190" s="67"/>
      <c r="IE190" s="67"/>
      <c r="IF190" s="67"/>
      <c r="IG190" s="67"/>
      <c r="IH190" s="67"/>
      <c r="II190" s="67"/>
      <c r="IJ190" s="67"/>
      <c r="IK190" s="67"/>
      <c r="IL190" s="67"/>
      <c r="IM190" s="67"/>
      <c r="IN190" s="67"/>
      <c r="IO190" s="67"/>
      <c r="IP190" s="67"/>
      <c r="IQ190" s="67"/>
      <c r="IR190" s="67"/>
      <c r="IS190" s="67"/>
      <c r="IT190" s="67"/>
      <c r="IU190" s="67"/>
      <c r="IV190" s="67"/>
      <c r="IW190" s="67"/>
      <c r="IX190" s="67"/>
      <c r="IY190" s="157"/>
      <c r="IZ190" s="157"/>
      <c r="JA190" s="157"/>
      <c r="JB190" s="157"/>
      <c r="JC190" s="157"/>
      <c r="JD190" s="157"/>
      <c r="JE190" s="157"/>
      <c r="JF190" s="157"/>
      <c r="JG190" s="157"/>
      <c r="JH190" s="157"/>
      <c r="JI190" s="157"/>
      <c r="JJ190" s="157"/>
      <c r="JK190" s="157"/>
      <c r="JL190" s="157"/>
      <c r="JM190" s="157"/>
      <c r="JN190" s="157"/>
      <c r="JO190" s="157"/>
      <c r="JP190" s="157"/>
      <c r="JQ190" s="157"/>
      <c r="JR190" s="157"/>
      <c r="JS190" s="157"/>
      <c r="JT190" s="157"/>
      <c r="JU190" s="157"/>
      <c r="JV190" s="157"/>
      <c r="JW190" s="157"/>
      <c r="JX190" s="157"/>
      <c r="JY190" s="157"/>
      <c r="JZ190" s="157"/>
      <c r="KA190" s="157"/>
      <c r="KB190" s="157"/>
      <c r="KC190" s="214"/>
      <c r="KD190" s="214"/>
      <c r="KE190" s="214"/>
      <c r="KF190" s="67"/>
      <c r="KG190" s="67"/>
      <c r="KH190" s="67"/>
      <c r="KI190" s="66"/>
      <c r="KJ190" s="67"/>
      <c r="KK190" s="68"/>
      <c r="KL190" s="214"/>
      <c r="KM190" s="214"/>
      <c r="KN190" s="214"/>
      <c r="KO190" s="214"/>
      <c r="KP190" s="214"/>
      <c r="KQ190" s="214"/>
      <c r="KR190" s="67"/>
      <c r="KS190" s="67"/>
      <c r="KT190" s="67"/>
      <c r="KU190" s="66"/>
      <c r="KV190" s="67"/>
      <c r="KW190" s="68"/>
      <c r="KX190" s="214"/>
      <c r="KY190" s="214"/>
      <c r="KZ190" s="216"/>
      <c r="LA190" s="233"/>
      <c r="LB190" s="214"/>
      <c r="LC190" s="234"/>
      <c r="LD190" s="67"/>
      <c r="LE190" s="67"/>
      <c r="LF190" s="67"/>
      <c r="LG190" s="66"/>
      <c r="LH190" s="67"/>
      <c r="LI190" s="68"/>
      <c r="LJ190" s="214">
        <v>4.0000000000000003E-5</v>
      </c>
      <c r="LK190" s="214"/>
      <c r="LL190" s="214"/>
      <c r="LM190" s="214">
        <v>5.0000000000000002E-5</v>
      </c>
      <c r="LN190" s="214"/>
      <c r="LO190" s="214"/>
      <c r="LP190" s="66"/>
      <c r="LQ190" s="67"/>
      <c r="LR190" s="68"/>
      <c r="LS190" s="66"/>
      <c r="LT190" s="67"/>
      <c r="LU190" s="68"/>
      <c r="LV190" s="67"/>
      <c r="LW190" s="67"/>
      <c r="LX190" s="67"/>
      <c r="LY190" s="66"/>
      <c r="LZ190" s="67"/>
      <c r="MA190" s="68"/>
      <c r="MB190" s="67"/>
      <c r="MC190" s="67"/>
      <c r="MD190" s="67"/>
      <c r="ME190" s="66"/>
      <c r="MF190" s="67"/>
      <c r="MG190" s="68"/>
      <c r="MH190" s="66"/>
      <c r="MI190" s="67"/>
      <c r="MJ190" s="68"/>
      <c r="MK190" s="67"/>
      <c r="ML190" s="67"/>
      <c r="MM190" s="67"/>
      <c r="MN190" s="66"/>
      <c r="MO190" s="67"/>
      <c r="MP190" s="68"/>
      <c r="MQ190" s="66"/>
      <c r="MR190" s="67"/>
      <c r="MS190" s="68"/>
      <c r="MT190" s="66"/>
      <c r="MU190" s="67"/>
      <c r="MV190" s="68"/>
      <c r="MW190" s="66"/>
      <c r="MX190" s="67"/>
      <c r="MY190" s="68"/>
      <c r="MZ190" s="66"/>
      <c r="NA190" s="67"/>
      <c r="NB190" s="68"/>
      <c r="NC190" s="67"/>
      <c r="ND190" s="67"/>
      <c r="NE190" s="72"/>
      <c r="NG190" s="275">
        <f>SUM(R190:NE190)</f>
        <v>9.0000000000000006E-5</v>
      </c>
      <c r="NH190" s="1"/>
      <c r="NI190" s="1"/>
      <c r="NJ190" s="1"/>
      <c r="NK190" s="1"/>
    </row>
    <row r="191" spans="5:375" s="6" customFormat="1" ht="6.95" customHeight="1">
      <c r="F191" s="196"/>
      <c r="G191" s="197"/>
      <c r="H191" s="52">
        <v>2</v>
      </c>
      <c r="L191" s="292"/>
      <c r="M191" s="300"/>
      <c r="N191" s="301"/>
      <c r="O191" s="302"/>
      <c r="P191" s="315"/>
      <c r="Q191" s="237"/>
      <c r="R191" s="89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6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8"/>
      <c r="CA191" s="66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  <c r="DC191" s="67"/>
      <c r="DD191" s="67"/>
      <c r="DE191" s="66"/>
      <c r="DF191" s="67"/>
      <c r="DG191" s="67"/>
      <c r="DH191" s="67"/>
      <c r="DI191" s="67"/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67"/>
      <c r="EB191" s="67"/>
      <c r="EC191" s="67"/>
      <c r="ED191" s="67"/>
      <c r="EE191" s="67"/>
      <c r="EF191" s="67"/>
      <c r="EG191" s="67"/>
      <c r="EH191" s="67"/>
      <c r="EI191" s="67"/>
      <c r="EJ191" s="67"/>
      <c r="EK191" s="67"/>
      <c r="EL191" s="67"/>
      <c r="EM191" s="67"/>
      <c r="EN191" s="67"/>
      <c r="EO191" s="67"/>
      <c r="EP191" s="67"/>
      <c r="EQ191" s="67"/>
      <c r="ER191" s="67"/>
      <c r="ES191" s="67"/>
      <c r="ET191" s="67"/>
      <c r="EU191" s="67"/>
      <c r="EV191" s="67"/>
      <c r="EW191" s="67"/>
      <c r="EX191" s="67"/>
      <c r="EY191" s="67"/>
      <c r="EZ191" s="67"/>
      <c r="FA191" s="67"/>
      <c r="FB191" s="67"/>
      <c r="FC191" s="67"/>
      <c r="FD191" s="67"/>
      <c r="FE191" s="67"/>
      <c r="FF191" s="67"/>
      <c r="FG191" s="67"/>
      <c r="FH191" s="67"/>
      <c r="FI191" s="67"/>
      <c r="FJ191" s="67"/>
      <c r="FK191" s="67"/>
      <c r="FL191" s="67"/>
      <c r="FM191" s="66"/>
      <c r="FN191" s="67"/>
      <c r="FO191" s="67"/>
      <c r="FP191" s="67"/>
      <c r="FQ191" s="67"/>
      <c r="FR191" s="67"/>
      <c r="FS191" s="67"/>
      <c r="FT191" s="67"/>
      <c r="FU191" s="67"/>
      <c r="FV191" s="67"/>
      <c r="FW191" s="67"/>
      <c r="FX191" s="67"/>
      <c r="FY191" s="67"/>
      <c r="FZ191" s="67"/>
      <c r="GA191" s="67"/>
      <c r="GB191" s="67"/>
      <c r="GC191" s="67"/>
      <c r="GD191" s="67"/>
      <c r="GE191" s="67"/>
      <c r="GF191" s="67"/>
      <c r="GG191" s="67"/>
      <c r="GH191" s="67"/>
      <c r="GI191" s="67"/>
      <c r="GJ191" s="67"/>
      <c r="GK191" s="67"/>
      <c r="GL191" s="67"/>
      <c r="GM191" s="67"/>
      <c r="GN191" s="67"/>
      <c r="GO191" s="67"/>
      <c r="GP191" s="67"/>
      <c r="GQ191" s="66"/>
      <c r="GR191" s="67"/>
      <c r="GS191" s="67"/>
      <c r="GT191" s="67"/>
      <c r="GU191" s="67"/>
      <c r="GV191" s="67"/>
      <c r="GW191" s="67"/>
      <c r="GX191" s="67"/>
      <c r="GY191" s="67"/>
      <c r="GZ191" s="67"/>
      <c r="HA191" s="67"/>
      <c r="HB191" s="67"/>
      <c r="HC191" s="67"/>
      <c r="HD191" s="67"/>
      <c r="HE191" s="67"/>
      <c r="HF191" s="67"/>
      <c r="HG191" s="67"/>
      <c r="HH191" s="67"/>
      <c r="HI191" s="67"/>
      <c r="HJ191" s="67"/>
      <c r="HK191" s="67"/>
      <c r="HL191" s="67"/>
      <c r="HM191" s="67"/>
      <c r="HN191" s="67"/>
      <c r="HO191" s="67"/>
      <c r="HP191" s="67"/>
      <c r="HQ191" s="67"/>
      <c r="HR191" s="67"/>
      <c r="HS191" s="67"/>
      <c r="HT191" s="67"/>
      <c r="HU191" s="66"/>
      <c r="HV191" s="67"/>
      <c r="HW191" s="67"/>
      <c r="HX191" s="67"/>
      <c r="HY191" s="67"/>
      <c r="HZ191" s="67"/>
      <c r="IA191" s="67"/>
      <c r="IB191" s="67"/>
      <c r="IC191" s="67"/>
      <c r="ID191" s="67"/>
      <c r="IE191" s="67"/>
      <c r="IF191" s="67"/>
      <c r="IG191" s="67"/>
      <c r="IH191" s="67"/>
      <c r="II191" s="67"/>
      <c r="IJ191" s="67"/>
      <c r="IK191" s="67"/>
      <c r="IL191" s="67"/>
      <c r="IM191" s="67"/>
      <c r="IN191" s="67"/>
      <c r="IO191" s="67"/>
      <c r="IP191" s="67"/>
      <c r="IQ191" s="67"/>
      <c r="IR191" s="67"/>
      <c r="IS191" s="67"/>
      <c r="IT191" s="67"/>
      <c r="IU191" s="67"/>
      <c r="IV191" s="67"/>
      <c r="IW191" s="67"/>
      <c r="IX191" s="67"/>
      <c r="IY191" s="66"/>
      <c r="IZ191" s="115"/>
      <c r="JA191" s="115"/>
      <c r="JB191" s="115"/>
      <c r="JC191" s="115"/>
      <c r="JD191" s="115"/>
      <c r="JE191" s="115"/>
      <c r="JF191" s="115"/>
      <c r="JG191" s="115"/>
      <c r="JH191" s="115"/>
      <c r="JI191" s="115"/>
      <c r="JJ191" s="115"/>
      <c r="JK191" s="115"/>
      <c r="JL191" s="115"/>
      <c r="JM191" s="115"/>
      <c r="JN191" s="115"/>
      <c r="JO191" s="115"/>
      <c r="JP191" s="115"/>
      <c r="JQ191" s="115"/>
      <c r="JR191" s="115"/>
      <c r="JS191" s="115"/>
      <c r="JT191" s="115"/>
      <c r="JU191" s="115"/>
      <c r="JV191" s="115"/>
      <c r="JW191" s="115"/>
      <c r="JX191" s="115"/>
      <c r="JY191" s="115"/>
      <c r="JZ191" s="115"/>
      <c r="KA191" s="115"/>
      <c r="KB191" s="115"/>
      <c r="KC191" s="66"/>
      <c r="KD191" s="115"/>
      <c r="KE191" s="68"/>
      <c r="KF191" s="67"/>
      <c r="KG191" s="67"/>
      <c r="KH191" s="67"/>
      <c r="KI191" s="66"/>
      <c r="KJ191" s="67"/>
      <c r="KK191" s="68"/>
      <c r="KL191" s="66"/>
      <c r="KM191" s="115"/>
      <c r="KN191" s="68"/>
      <c r="KO191" s="66"/>
      <c r="KP191" s="115"/>
      <c r="KQ191" s="68"/>
      <c r="KR191" s="67"/>
      <c r="KS191" s="67"/>
      <c r="KT191" s="67"/>
      <c r="KU191" s="66"/>
      <c r="KV191" s="67"/>
      <c r="KW191" s="68"/>
      <c r="KX191" s="66"/>
      <c r="KY191" s="115"/>
      <c r="KZ191" s="67"/>
      <c r="LA191" s="70"/>
      <c r="LB191" s="115"/>
      <c r="LC191" s="71"/>
      <c r="LD191" s="67"/>
      <c r="LE191" s="67"/>
      <c r="LF191" s="67"/>
      <c r="LG191" s="66"/>
      <c r="LH191" s="67"/>
      <c r="LI191" s="68"/>
      <c r="LJ191" s="61"/>
      <c r="LK191" s="62"/>
      <c r="LL191" s="63"/>
      <c r="LM191" s="61"/>
      <c r="LN191" s="62"/>
      <c r="LO191" s="63"/>
      <c r="LP191" s="66"/>
      <c r="LQ191" s="67"/>
      <c r="LR191" s="68"/>
      <c r="LS191" s="66"/>
      <c r="LT191" s="67"/>
      <c r="LU191" s="68"/>
      <c r="LV191" s="67"/>
      <c r="LW191" s="67"/>
      <c r="LX191" s="67"/>
      <c r="LY191" s="66"/>
      <c r="LZ191" s="67"/>
      <c r="MA191" s="68"/>
      <c r="MB191" s="67"/>
      <c r="MC191" s="67"/>
      <c r="MD191" s="67"/>
      <c r="ME191" s="66"/>
      <c r="MF191" s="67"/>
      <c r="MG191" s="68"/>
      <c r="MH191" s="66"/>
      <c r="MI191" s="67"/>
      <c r="MJ191" s="68"/>
      <c r="MK191" s="67"/>
      <c r="ML191" s="67"/>
      <c r="MM191" s="67"/>
      <c r="MN191" s="66"/>
      <c r="MO191" s="67"/>
      <c r="MP191" s="68"/>
      <c r="MQ191" s="66"/>
      <c r="MR191" s="67"/>
      <c r="MS191" s="68"/>
      <c r="MT191" s="66"/>
      <c r="MU191" s="67"/>
      <c r="MV191" s="68"/>
      <c r="MW191" s="66"/>
      <c r="MX191" s="67"/>
      <c r="MY191" s="68"/>
      <c r="MZ191" s="66"/>
      <c r="NA191" s="67"/>
      <c r="NB191" s="68"/>
      <c r="NC191" s="67"/>
      <c r="ND191" s="67"/>
      <c r="NE191" s="72"/>
      <c r="NG191" s="275"/>
      <c r="NH191" s="1"/>
      <c r="NI191" s="1"/>
      <c r="NJ191" s="1"/>
      <c r="NK191" s="1"/>
    </row>
    <row r="192" spans="5:375" s="6" customFormat="1" ht="9.9499999999999993" customHeight="1">
      <c r="F192" s="196">
        <f t="shared" ref="F192" si="476">NG192</f>
        <v>1.0000000000000001E-5</v>
      </c>
      <c r="G192" s="197">
        <f>Q192-F192</f>
        <v>0</v>
      </c>
      <c r="H192" s="27">
        <v>1</v>
      </c>
      <c r="L192" s="339"/>
      <c r="M192" s="299" t="s">
        <v>155</v>
      </c>
      <c r="N192" s="313">
        <v>1</v>
      </c>
      <c r="O192" s="312" t="s">
        <v>43</v>
      </c>
      <c r="P192" s="307">
        <v>1435</v>
      </c>
      <c r="Q192" s="236">
        <f>ROUND(P192/$P$256,5)</f>
        <v>1.0000000000000001E-5</v>
      </c>
      <c r="R192" s="21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3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5"/>
      <c r="CA192" s="53"/>
      <c r="CB192" s="54"/>
      <c r="CC192" s="54"/>
      <c r="CD192" s="54"/>
      <c r="CE192" s="54"/>
      <c r="CF192" s="54"/>
      <c r="CG192" s="54"/>
      <c r="CH192" s="54"/>
      <c r="CI192" s="54"/>
      <c r="CJ192" s="54"/>
      <c r="CK192" s="54"/>
      <c r="CL192" s="54"/>
      <c r="CM192" s="54"/>
      <c r="CN192" s="54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3"/>
      <c r="DF192" s="54"/>
      <c r="DG192" s="54"/>
      <c r="DH192" s="54"/>
      <c r="DI192" s="54"/>
      <c r="DJ192" s="54"/>
      <c r="DK192" s="54"/>
      <c r="DL192" s="54"/>
      <c r="DM192" s="54"/>
      <c r="DN192" s="54"/>
      <c r="DO192" s="54"/>
      <c r="DP192" s="54"/>
      <c r="DQ192" s="54"/>
      <c r="DR192" s="54"/>
      <c r="DS192" s="54"/>
      <c r="DT192" s="54"/>
      <c r="DU192" s="54"/>
      <c r="DV192" s="54"/>
      <c r="DW192" s="54"/>
      <c r="DX192" s="54"/>
      <c r="DY192" s="54"/>
      <c r="DZ192" s="54"/>
      <c r="EA192" s="54"/>
      <c r="EB192" s="54"/>
      <c r="EC192" s="54"/>
      <c r="ED192" s="54"/>
      <c r="EE192" s="54"/>
      <c r="EF192" s="54"/>
      <c r="EG192" s="54"/>
      <c r="EH192" s="54"/>
      <c r="EI192" s="54"/>
      <c r="EJ192" s="54"/>
      <c r="EK192" s="54"/>
      <c r="EL192" s="54"/>
      <c r="EM192" s="54"/>
      <c r="EN192" s="54"/>
      <c r="EO192" s="54"/>
      <c r="EP192" s="54"/>
      <c r="EQ192" s="54"/>
      <c r="ER192" s="54"/>
      <c r="ES192" s="54"/>
      <c r="ET192" s="54"/>
      <c r="EU192" s="54"/>
      <c r="EV192" s="54"/>
      <c r="EW192" s="54"/>
      <c r="EX192" s="54"/>
      <c r="EY192" s="54"/>
      <c r="EZ192" s="54"/>
      <c r="FA192" s="54"/>
      <c r="FB192" s="54"/>
      <c r="FC192" s="54"/>
      <c r="FD192" s="54"/>
      <c r="FE192" s="54"/>
      <c r="FF192" s="54"/>
      <c r="FG192" s="54"/>
      <c r="FH192" s="54"/>
      <c r="FI192" s="54"/>
      <c r="FJ192" s="54"/>
      <c r="FK192" s="54"/>
      <c r="FL192" s="54"/>
      <c r="FM192" s="53"/>
      <c r="FN192" s="54"/>
      <c r="FO192" s="54"/>
      <c r="FP192" s="54"/>
      <c r="FQ192" s="54"/>
      <c r="FR192" s="54"/>
      <c r="FS192" s="54"/>
      <c r="FT192" s="54"/>
      <c r="FU192" s="54"/>
      <c r="FV192" s="54"/>
      <c r="FW192" s="54"/>
      <c r="FX192" s="54"/>
      <c r="FY192" s="54"/>
      <c r="FZ192" s="54"/>
      <c r="GA192" s="54"/>
      <c r="GB192" s="54"/>
      <c r="GC192" s="54"/>
      <c r="GD192" s="54"/>
      <c r="GE192" s="54"/>
      <c r="GF192" s="54"/>
      <c r="GG192" s="54"/>
      <c r="GH192" s="54"/>
      <c r="GI192" s="54"/>
      <c r="GJ192" s="54"/>
      <c r="GK192" s="54"/>
      <c r="GL192" s="54"/>
      <c r="GM192" s="54"/>
      <c r="GN192" s="54"/>
      <c r="GO192" s="54"/>
      <c r="GP192" s="54"/>
      <c r="GQ192" s="53"/>
      <c r="GR192" s="54"/>
      <c r="GS192" s="54"/>
      <c r="GT192" s="54"/>
      <c r="GU192" s="54"/>
      <c r="GV192" s="54"/>
      <c r="GW192" s="54"/>
      <c r="GX192" s="54"/>
      <c r="GY192" s="54"/>
      <c r="GZ192" s="54"/>
      <c r="HA192" s="54"/>
      <c r="HB192" s="54"/>
      <c r="HC192" s="54"/>
      <c r="HD192" s="54"/>
      <c r="HE192" s="54"/>
      <c r="HF192" s="54"/>
      <c r="HG192" s="54"/>
      <c r="HH192" s="54"/>
      <c r="HI192" s="54"/>
      <c r="HJ192" s="54"/>
      <c r="HK192" s="54"/>
      <c r="HL192" s="54"/>
      <c r="HM192" s="54"/>
      <c r="HN192" s="54"/>
      <c r="HO192" s="54"/>
      <c r="HP192" s="54"/>
      <c r="HQ192" s="54"/>
      <c r="HR192" s="54"/>
      <c r="HS192" s="54"/>
      <c r="HT192" s="54"/>
      <c r="HU192" s="53"/>
      <c r="HV192" s="54"/>
      <c r="HW192" s="54"/>
      <c r="HX192" s="54"/>
      <c r="HY192" s="54"/>
      <c r="HZ192" s="54"/>
      <c r="IA192" s="54"/>
      <c r="IB192" s="54"/>
      <c r="IC192" s="54"/>
      <c r="ID192" s="54"/>
      <c r="IE192" s="54"/>
      <c r="IF192" s="54"/>
      <c r="IG192" s="54"/>
      <c r="IH192" s="54"/>
      <c r="II192" s="54"/>
      <c r="IJ192" s="54"/>
      <c r="IK192" s="54"/>
      <c r="IL192" s="54"/>
      <c r="IM192" s="54"/>
      <c r="IN192" s="54"/>
      <c r="IO192" s="54"/>
      <c r="IP192" s="54"/>
      <c r="IQ192" s="54"/>
      <c r="IR192" s="54"/>
      <c r="IS192" s="54"/>
      <c r="IT192" s="54"/>
      <c r="IU192" s="54"/>
      <c r="IV192" s="54"/>
      <c r="IW192" s="54"/>
      <c r="IX192" s="54"/>
      <c r="IY192" s="53"/>
      <c r="IZ192" s="102"/>
      <c r="JA192" s="102"/>
      <c r="JB192" s="102"/>
      <c r="JC192" s="102"/>
      <c r="JD192" s="102"/>
      <c r="JE192" s="102"/>
      <c r="JF192" s="102"/>
      <c r="JG192" s="102"/>
      <c r="JH192" s="102"/>
      <c r="JI192" s="102"/>
      <c r="JJ192" s="102"/>
      <c r="JK192" s="102"/>
      <c r="JL192" s="102"/>
      <c r="JM192" s="102"/>
      <c r="JN192" s="102"/>
      <c r="JO192" s="102"/>
      <c r="JP192" s="102"/>
      <c r="JQ192" s="102"/>
      <c r="JR192" s="102"/>
      <c r="JS192" s="102"/>
      <c r="JT192" s="102"/>
      <c r="JU192" s="102"/>
      <c r="JV192" s="102"/>
      <c r="JW192" s="102"/>
      <c r="JX192" s="102"/>
      <c r="JY192" s="102"/>
      <c r="JZ192" s="102"/>
      <c r="KA192" s="102"/>
      <c r="KB192" s="102"/>
      <c r="KC192" s="53"/>
      <c r="KD192" s="102"/>
      <c r="KE192" s="55"/>
      <c r="KF192" s="54"/>
      <c r="KG192" s="54"/>
      <c r="KH192" s="54"/>
      <c r="KI192" s="53"/>
      <c r="KJ192" s="54"/>
      <c r="KK192" s="55"/>
      <c r="KL192" s="212"/>
      <c r="KM192" s="212"/>
      <c r="KN192" s="212"/>
      <c r="KO192" s="212"/>
      <c r="KP192" s="212"/>
      <c r="KQ192" s="212"/>
      <c r="KR192" s="54"/>
      <c r="KS192" s="54"/>
      <c r="KT192" s="54"/>
      <c r="KU192" s="53"/>
      <c r="KV192" s="54"/>
      <c r="KW192" s="55"/>
      <c r="KX192" s="212"/>
      <c r="KY192" s="212"/>
      <c r="KZ192" s="218"/>
      <c r="LA192" s="211"/>
      <c r="LB192" s="212"/>
      <c r="LC192" s="213"/>
      <c r="LD192" s="54"/>
      <c r="LE192" s="54"/>
      <c r="LF192" s="54"/>
      <c r="LG192" s="53"/>
      <c r="LH192" s="54"/>
      <c r="LI192" s="55"/>
      <c r="LJ192" s="212">
        <v>5.0000000000000004E-6</v>
      </c>
      <c r="LK192" s="212"/>
      <c r="LL192" s="212"/>
      <c r="LM192" s="212">
        <v>5.0000000000000004E-6</v>
      </c>
      <c r="LN192" s="212"/>
      <c r="LO192" s="212"/>
      <c r="LP192" s="53"/>
      <c r="LQ192" s="54"/>
      <c r="LR192" s="55"/>
      <c r="LS192" s="53"/>
      <c r="LT192" s="54"/>
      <c r="LU192" s="55"/>
      <c r="LV192" s="54"/>
      <c r="LW192" s="54"/>
      <c r="LX192" s="54"/>
      <c r="LY192" s="53"/>
      <c r="LZ192" s="54"/>
      <c r="MA192" s="55"/>
      <c r="MB192" s="54"/>
      <c r="MC192" s="54"/>
      <c r="MD192" s="54"/>
      <c r="ME192" s="53"/>
      <c r="MF192" s="54"/>
      <c r="MG192" s="55"/>
      <c r="MH192" s="53"/>
      <c r="MI192" s="54"/>
      <c r="MJ192" s="55"/>
      <c r="MK192" s="54"/>
      <c r="ML192" s="54"/>
      <c r="MM192" s="54"/>
      <c r="MN192" s="53"/>
      <c r="MO192" s="54"/>
      <c r="MP192" s="55"/>
      <c r="MQ192" s="53"/>
      <c r="MR192" s="54"/>
      <c r="MS192" s="55"/>
      <c r="MT192" s="53"/>
      <c r="MU192" s="54"/>
      <c r="MV192" s="55"/>
      <c r="MW192" s="53"/>
      <c r="MX192" s="54"/>
      <c r="MY192" s="55"/>
      <c r="MZ192" s="53"/>
      <c r="NA192" s="54"/>
      <c r="NB192" s="55"/>
      <c r="NC192" s="54"/>
      <c r="ND192" s="54"/>
      <c r="NE192" s="59"/>
      <c r="NG192" s="275">
        <f>SUM(R192:NE192)</f>
        <v>1.0000000000000001E-5</v>
      </c>
      <c r="NH192" s="1"/>
      <c r="NI192" s="1"/>
      <c r="NJ192" s="1"/>
      <c r="NK192" s="1"/>
    </row>
    <row r="193" spans="5:375" s="6" customFormat="1" ht="6.95" customHeight="1">
      <c r="F193" s="196"/>
      <c r="G193" s="197"/>
      <c r="H193" s="52">
        <v>2</v>
      </c>
      <c r="L193" s="340"/>
      <c r="M193" s="294"/>
      <c r="N193" s="314"/>
      <c r="O193" s="306"/>
      <c r="P193" s="308"/>
      <c r="Q193" s="237"/>
      <c r="R193" s="9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39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1"/>
      <c r="CA193" s="39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  <c r="DD193" s="40"/>
      <c r="DE193" s="39"/>
      <c r="DF193" s="40"/>
      <c r="DG193" s="40"/>
      <c r="DH193" s="40"/>
      <c r="DI193" s="40"/>
      <c r="DJ193" s="40"/>
      <c r="DK193" s="40"/>
      <c r="DL193" s="40"/>
      <c r="DM193" s="40"/>
      <c r="DN193" s="40"/>
      <c r="DO193" s="40"/>
      <c r="DP193" s="40"/>
      <c r="DQ193" s="40"/>
      <c r="DR193" s="40"/>
      <c r="DS193" s="40"/>
      <c r="DT193" s="40"/>
      <c r="DU193" s="40"/>
      <c r="DV193" s="40"/>
      <c r="DW193" s="40"/>
      <c r="DX193" s="40"/>
      <c r="DY193" s="40"/>
      <c r="DZ193" s="40"/>
      <c r="EA193" s="40"/>
      <c r="EB193" s="40"/>
      <c r="EC193" s="40"/>
      <c r="ED193" s="40"/>
      <c r="EE193" s="40"/>
      <c r="EF193" s="40"/>
      <c r="EG193" s="40"/>
      <c r="EH193" s="40"/>
      <c r="EI193" s="40"/>
      <c r="EJ193" s="40"/>
      <c r="EK193" s="40"/>
      <c r="EL193" s="40"/>
      <c r="EM193" s="40"/>
      <c r="EN193" s="40"/>
      <c r="EO193" s="40"/>
      <c r="EP193" s="40"/>
      <c r="EQ193" s="40"/>
      <c r="ER193" s="40"/>
      <c r="ES193" s="40"/>
      <c r="ET193" s="40"/>
      <c r="EU193" s="40"/>
      <c r="EV193" s="40"/>
      <c r="EW193" s="40"/>
      <c r="EX193" s="40"/>
      <c r="EY193" s="40"/>
      <c r="EZ193" s="40"/>
      <c r="FA193" s="40"/>
      <c r="FB193" s="40"/>
      <c r="FC193" s="40"/>
      <c r="FD193" s="40"/>
      <c r="FE193" s="40"/>
      <c r="FF193" s="40"/>
      <c r="FG193" s="40"/>
      <c r="FH193" s="40"/>
      <c r="FI193" s="40"/>
      <c r="FJ193" s="40"/>
      <c r="FK193" s="40"/>
      <c r="FL193" s="40"/>
      <c r="FM193" s="39"/>
      <c r="FN193" s="40"/>
      <c r="FO193" s="40"/>
      <c r="FP193" s="40"/>
      <c r="FQ193" s="40"/>
      <c r="FR193" s="40"/>
      <c r="FS193" s="40"/>
      <c r="FT193" s="40"/>
      <c r="FU193" s="40"/>
      <c r="FV193" s="40"/>
      <c r="FW193" s="40"/>
      <c r="FX193" s="40"/>
      <c r="FY193" s="40"/>
      <c r="FZ193" s="40"/>
      <c r="GA193" s="40"/>
      <c r="GB193" s="40"/>
      <c r="GC193" s="40"/>
      <c r="GD193" s="40"/>
      <c r="GE193" s="40"/>
      <c r="GF193" s="40"/>
      <c r="GG193" s="40"/>
      <c r="GH193" s="40"/>
      <c r="GI193" s="40"/>
      <c r="GJ193" s="40"/>
      <c r="GK193" s="40"/>
      <c r="GL193" s="40"/>
      <c r="GM193" s="40"/>
      <c r="GN193" s="40"/>
      <c r="GO193" s="40"/>
      <c r="GP193" s="40"/>
      <c r="GQ193" s="39"/>
      <c r="GR193" s="40"/>
      <c r="GS193" s="40"/>
      <c r="GT193" s="40"/>
      <c r="GU193" s="40"/>
      <c r="GV193" s="40"/>
      <c r="GW193" s="40"/>
      <c r="GX193" s="40"/>
      <c r="GY193" s="40"/>
      <c r="GZ193" s="40"/>
      <c r="HA193" s="40"/>
      <c r="HB193" s="40"/>
      <c r="HC193" s="40"/>
      <c r="HD193" s="40"/>
      <c r="HE193" s="40"/>
      <c r="HF193" s="40"/>
      <c r="HG193" s="40"/>
      <c r="HH193" s="40"/>
      <c r="HI193" s="40"/>
      <c r="HJ193" s="40"/>
      <c r="HK193" s="40"/>
      <c r="HL193" s="40"/>
      <c r="HM193" s="40"/>
      <c r="HN193" s="40"/>
      <c r="HO193" s="40"/>
      <c r="HP193" s="40"/>
      <c r="HQ193" s="40"/>
      <c r="HR193" s="40"/>
      <c r="HS193" s="40"/>
      <c r="HT193" s="40"/>
      <c r="HU193" s="39"/>
      <c r="HV193" s="40"/>
      <c r="HW193" s="40"/>
      <c r="HX193" s="40"/>
      <c r="HY193" s="40"/>
      <c r="HZ193" s="40"/>
      <c r="IA193" s="40"/>
      <c r="IB193" s="40"/>
      <c r="IC193" s="40"/>
      <c r="ID193" s="40"/>
      <c r="IE193" s="40"/>
      <c r="IF193" s="40"/>
      <c r="IG193" s="40"/>
      <c r="IH193" s="40"/>
      <c r="II193" s="40"/>
      <c r="IJ193" s="40"/>
      <c r="IK193" s="40"/>
      <c r="IL193" s="40"/>
      <c r="IM193" s="40"/>
      <c r="IN193" s="40"/>
      <c r="IO193" s="40"/>
      <c r="IP193" s="40"/>
      <c r="IQ193" s="40"/>
      <c r="IR193" s="40"/>
      <c r="IS193" s="40"/>
      <c r="IT193" s="40"/>
      <c r="IU193" s="40"/>
      <c r="IV193" s="40"/>
      <c r="IW193" s="40"/>
      <c r="IX193" s="40"/>
      <c r="IY193" s="39"/>
      <c r="IZ193" s="101"/>
      <c r="JA193" s="101"/>
      <c r="JB193" s="101"/>
      <c r="JC193" s="101"/>
      <c r="JD193" s="101"/>
      <c r="JE193" s="101"/>
      <c r="JF193" s="101"/>
      <c r="JG193" s="101"/>
      <c r="JH193" s="101"/>
      <c r="JI193" s="101"/>
      <c r="JJ193" s="101"/>
      <c r="JK193" s="101"/>
      <c r="JL193" s="101"/>
      <c r="JM193" s="101"/>
      <c r="JN193" s="101"/>
      <c r="JO193" s="101"/>
      <c r="JP193" s="101"/>
      <c r="JQ193" s="101"/>
      <c r="JR193" s="101"/>
      <c r="JS193" s="101"/>
      <c r="JT193" s="101"/>
      <c r="JU193" s="101"/>
      <c r="JV193" s="101"/>
      <c r="JW193" s="101"/>
      <c r="JX193" s="101"/>
      <c r="JY193" s="101"/>
      <c r="JZ193" s="101"/>
      <c r="KA193" s="101"/>
      <c r="KB193" s="101"/>
      <c r="KC193" s="39"/>
      <c r="KD193" s="101"/>
      <c r="KE193" s="41"/>
      <c r="KF193" s="40"/>
      <c r="KG193" s="40"/>
      <c r="KH193" s="40"/>
      <c r="KI193" s="39"/>
      <c r="KJ193" s="40"/>
      <c r="KK193" s="41"/>
      <c r="KL193" s="39"/>
      <c r="KM193" s="101"/>
      <c r="KN193" s="41"/>
      <c r="KO193" s="39"/>
      <c r="KP193" s="101"/>
      <c r="KQ193" s="41"/>
      <c r="KR193" s="40"/>
      <c r="KS193" s="40"/>
      <c r="KT193" s="40"/>
      <c r="KU193" s="39"/>
      <c r="KV193" s="40"/>
      <c r="KW193" s="41"/>
      <c r="KX193" s="39"/>
      <c r="KY193" s="101"/>
      <c r="KZ193" s="40"/>
      <c r="LA193" s="64"/>
      <c r="LB193" s="101"/>
      <c r="LC193" s="65"/>
      <c r="LD193" s="40"/>
      <c r="LE193" s="40"/>
      <c r="LF193" s="40"/>
      <c r="LG193" s="39"/>
      <c r="LH193" s="40"/>
      <c r="LI193" s="41"/>
      <c r="LJ193" s="61"/>
      <c r="LK193" s="62"/>
      <c r="LL193" s="63"/>
      <c r="LM193" s="61"/>
      <c r="LN193" s="62"/>
      <c r="LO193" s="63"/>
      <c r="LP193" s="39"/>
      <c r="LQ193" s="40"/>
      <c r="LR193" s="41"/>
      <c r="LS193" s="39"/>
      <c r="LT193" s="40"/>
      <c r="LU193" s="41"/>
      <c r="LV193" s="40"/>
      <c r="LW193" s="40"/>
      <c r="LX193" s="40"/>
      <c r="LY193" s="39"/>
      <c r="LZ193" s="40"/>
      <c r="MA193" s="41"/>
      <c r="MB193" s="40"/>
      <c r="MC193" s="40"/>
      <c r="MD193" s="40"/>
      <c r="ME193" s="39"/>
      <c r="MF193" s="40"/>
      <c r="MG193" s="41"/>
      <c r="MH193" s="39"/>
      <c r="MI193" s="40"/>
      <c r="MJ193" s="41"/>
      <c r="MK193" s="40"/>
      <c r="ML193" s="40"/>
      <c r="MM193" s="40"/>
      <c r="MN193" s="39"/>
      <c r="MO193" s="40"/>
      <c r="MP193" s="41"/>
      <c r="MQ193" s="39"/>
      <c r="MR193" s="40"/>
      <c r="MS193" s="41"/>
      <c r="MT193" s="39"/>
      <c r="MU193" s="40"/>
      <c r="MV193" s="41"/>
      <c r="MW193" s="39"/>
      <c r="MX193" s="40"/>
      <c r="MY193" s="41"/>
      <c r="MZ193" s="39"/>
      <c r="NA193" s="40"/>
      <c r="NB193" s="41"/>
      <c r="NC193" s="40"/>
      <c r="ND193" s="40"/>
      <c r="NE193" s="42"/>
      <c r="NG193" s="275"/>
      <c r="NH193" s="1"/>
      <c r="NI193" s="1"/>
      <c r="NJ193" s="1"/>
      <c r="NK193" s="1"/>
    </row>
    <row r="194" spans="5:375" s="6" customFormat="1" ht="9.9499999999999993" customHeight="1">
      <c r="F194" s="196">
        <f t="shared" ref="F194" si="477">NG194</f>
        <v>1.5000000000000001E-4</v>
      </c>
      <c r="G194" s="197">
        <f>Q194-F194</f>
        <v>0</v>
      </c>
      <c r="H194" s="27">
        <v>1</v>
      </c>
      <c r="L194" s="292"/>
      <c r="M194" s="300" t="s">
        <v>78</v>
      </c>
      <c r="N194" s="301">
        <v>1</v>
      </c>
      <c r="O194" s="310" t="s">
        <v>85</v>
      </c>
      <c r="P194" s="315">
        <v>32264</v>
      </c>
      <c r="Q194" s="236">
        <f>ROUND(P194/$P$256,5)</f>
        <v>1.4999999999999999E-4</v>
      </c>
      <c r="R194" s="73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6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8"/>
      <c r="CA194" s="66"/>
      <c r="CB194" s="67"/>
      <c r="CC194" s="67"/>
      <c r="CD194" s="67"/>
      <c r="CE194" s="67"/>
      <c r="CF194" s="67"/>
      <c r="CG194" s="67"/>
      <c r="CH194" s="67"/>
      <c r="CI194" s="67"/>
      <c r="CJ194" s="67"/>
      <c r="CK194" s="67"/>
      <c r="CL194" s="67"/>
      <c r="CM194" s="67"/>
      <c r="CN194" s="67"/>
      <c r="CO194" s="67"/>
      <c r="CP194" s="67"/>
      <c r="CQ194" s="67"/>
      <c r="CR194" s="67"/>
      <c r="CS194" s="67"/>
      <c r="CT194" s="67"/>
      <c r="CU194" s="67"/>
      <c r="CV194" s="67"/>
      <c r="CW194" s="67"/>
      <c r="CX194" s="67"/>
      <c r="CY194" s="67"/>
      <c r="CZ194" s="67"/>
      <c r="DA194" s="67"/>
      <c r="DB194" s="67"/>
      <c r="DC194" s="67"/>
      <c r="DD194" s="67"/>
      <c r="DE194" s="66"/>
      <c r="DF194" s="67"/>
      <c r="DG194" s="67"/>
      <c r="DH194" s="67"/>
      <c r="DI194" s="67"/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67"/>
      <c r="EB194" s="67"/>
      <c r="EC194" s="67"/>
      <c r="ED194" s="67"/>
      <c r="EE194" s="67"/>
      <c r="EF194" s="67"/>
      <c r="EG194" s="67"/>
      <c r="EH194" s="67"/>
      <c r="EI194" s="67"/>
      <c r="EJ194" s="67"/>
      <c r="EK194" s="67"/>
      <c r="EL194" s="67"/>
      <c r="EM194" s="67"/>
      <c r="EN194" s="67"/>
      <c r="EO194" s="67"/>
      <c r="EP194" s="67"/>
      <c r="EQ194" s="67"/>
      <c r="ER194" s="67"/>
      <c r="ES194" s="67"/>
      <c r="ET194" s="67"/>
      <c r="EU194" s="67"/>
      <c r="EV194" s="67"/>
      <c r="EW194" s="67"/>
      <c r="EX194" s="67"/>
      <c r="EY194" s="67"/>
      <c r="EZ194" s="67"/>
      <c r="FA194" s="67"/>
      <c r="FB194" s="67"/>
      <c r="FC194" s="67"/>
      <c r="FD194" s="67"/>
      <c r="FE194" s="67"/>
      <c r="FF194" s="67"/>
      <c r="FG194" s="67"/>
      <c r="FH194" s="67"/>
      <c r="FI194" s="67"/>
      <c r="FJ194" s="67"/>
      <c r="FK194" s="67"/>
      <c r="FL194" s="67"/>
      <c r="FM194" s="66"/>
      <c r="FN194" s="67"/>
      <c r="FO194" s="67"/>
      <c r="FP194" s="67"/>
      <c r="FQ194" s="67"/>
      <c r="FR194" s="67"/>
      <c r="FS194" s="67"/>
      <c r="FT194" s="67"/>
      <c r="FU194" s="67"/>
      <c r="FV194" s="67"/>
      <c r="FW194" s="67"/>
      <c r="FX194" s="67"/>
      <c r="FY194" s="67"/>
      <c r="FZ194" s="67"/>
      <c r="GA194" s="67"/>
      <c r="GB194" s="67"/>
      <c r="GC194" s="67"/>
      <c r="GD194" s="67"/>
      <c r="GE194" s="67"/>
      <c r="GF194" s="67"/>
      <c r="GG194" s="67"/>
      <c r="GH194" s="67"/>
      <c r="GI194" s="67"/>
      <c r="GJ194" s="67"/>
      <c r="GK194" s="67"/>
      <c r="GL194" s="67"/>
      <c r="GM194" s="67"/>
      <c r="GN194" s="67"/>
      <c r="GO194" s="67"/>
      <c r="GP194" s="67"/>
      <c r="GQ194" s="66"/>
      <c r="GR194" s="67"/>
      <c r="GS194" s="67"/>
      <c r="GT194" s="67"/>
      <c r="GU194" s="67"/>
      <c r="GV194" s="67"/>
      <c r="GW194" s="67"/>
      <c r="GX194" s="67"/>
      <c r="GY194" s="67"/>
      <c r="GZ194" s="67"/>
      <c r="HA194" s="67"/>
      <c r="HB194" s="67"/>
      <c r="HC194" s="67"/>
      <c r="HD194" s="67"/>
      <c r="HE194" s="67"/>
      <c r="HF194" s="67"/>
      <c r="HG194" s="67"/>
      <c r="HH194" s="67"/>
      <c r="HI194" s="67"/>
      <c r="HJ194" s="67"/>
      <c r="HK194" s="67"/>
      <c r="HL194" s="67"/>
      <c r="HM194" s="67"/>
      <c r="HN194" s="67"/>
      <c r="HO194" s="67"/>
      <c r="HP194" s="67"/>
      <c r="HQ194" s="67"/>
      <c r="HR194" s="67"/>
      <c r="HS194" s="67"/>
      <c r="HT194" s="67"/>
      <c r="HU194" s="66"/>
      <c r="HV194" s="67"/>
      <c r="HW194" s="67"/>
      <c r="HX194" s="67"/>
      <c r="HY194" s="67"/>
      <c r="HZ194" s="67"/>
      <c r="IA194" s="67"/>
      <c r="IB194" s="67"/>
      <c r="IC194" s="67"/>
      <c r="ID194" s="67"/>
      <c r="IE194" s="67"/>
      <c r="IF194" s="67"/>
      <c r="IG194" s="67"/>
      <c r="IH194" s="67"/>
      <c r="II194" s="67"/>
      <c r="IJ194" s="67"/>
      <c r="IK194" s="67"/>
      <c r="IL194" s="67"/>
      <c r="IM194" s="67"/>
      <c r="IN194" s="67"/>
      <c r="IO194" s="67"/>
      <c r="IP194" s="67"/>
      <c r="IQ194" s="67"/>
      <c r="IR194" s="67"/>
      <c r="IS194" s="67"/>
      <c r="IT194" s="67"/>
      <c r="IU194" s="67"/>
      <c r="IV194" s="67"/>
      <c r="IW194" s="67"/>
      <c r="IX194" s="67"/>
      <c r="IY194" s="66"/>
      <c r="IZ194" s="67"/>
      <c r="JA194" s="67"/>
      <c r="JB194" s="67"/>
      <c r="JC194" s="67"/>
      <c r="JD194" s="67"/>
      <c r="JE194" s="67"/>
      <c r="JF194" s="67"/>
      <c r="JG194" s="67"/>
      <c r="JH194" s="67"/>
      <c r="JI194" s="67"/>
      <c r="JJ194" s="67"/>
      <c r="JK194" s="67"/>
      <c r="JL194" s="67"/>
      <c r="JM194" s="67"/>
      <c r="JN194" s="67"/>
      <c r="JO194" s="67"/>
      <c r="JP194" s="67"/>
      <c r="JQ194" s="67"/>
      <c r="JR194" s="67"/>
      <c r="JS194" s="67"/>
      <c r="JT194" s="67"/>
      <c r="JU194" s="67"/>
      <c r="JV194" s="67"/>
      <c r="JW194" s="67"/>
      <c r="JX194" s="67"/>
      <c r="JY194" s="67"/>
      <c r="JZ194" s="67"/>
      <c r="KA194" s="67"/>
      <c r="KB194" s="67"/>
      <c r="KC194" s="66"/>
      <c r="KD194" s="67"/>
      <c r="KE194" s="68"/>
      <c r="KF194" s="67"/>
      <c r="KG194" s="67"/>
      <c r="KH194" s="67"/>
      <c r="KI194" s="66"/>
      <c r="KJ194" s="67"/>
      <c r="KK194" s="68"/>
      <c r="KL194" s="214"/>
      <c r="KM194" s="214"/>
      <c r="KN194" s="214"/>
      <c r="KO194" s="214"/>
      <c r="KP194" s="214"/>
      <c r="KQ194" s="214"/>
      <c r="KR194" s="67"/>
      <c r="KS194" s="67"/>
      <c r="KT194" s="67"/>
      <c r="KU194" s="66"/>
      <c r="KV194" s="67"/>
      <c r="KW194" s="68"/>
      <c r="KX194" s="212"/>
      <c r="KY194" s="212"/>
      <c r="KZ194" s="218"/>
      <c r="LA194" s="211"/>
      <c r="LB194" s="212"/>
      <c r="LC194" s="213"/>
      <c r="LD194" s="67"/>
      <c r="LE194" s="67"/>
      <c r="LF194" s="67"/>
      <c r="LG194" s="66"/>
      <c r="LH194" s="67"/>
      <c r="LI194" s="68"/>
      <c r="LJ194" s="212">
        <v>6.9999999999999994E-5</v>
      </c>
      <c r="LK194" s="212"/>
      <c r="LL194" s="212"/>
      <c r="LM194" s="212">
        <v>8.0000000000000007E-5</v>
      </c>
      <c r="LN194" s="212"/>
      <c r="LO194" s="212"/>
      <c r="LP194" s="66"/>
      <c r="LQ194" s="67"/>
      <c r="LR194" s="68"/>
      <c r="LS194" s="66"/>
      <c r="LT194" s="67"/>
      <c r="LU194" s="68"/>
      <c r="LV194" s="67"/>
      <c r="LW194" s="67"/>
      <c r="LX194" s="67"/>
      <c r="LY194" s="66"/>
      <c r="LZ194" s="67"/>
      <c r="MA194" s="68"/>
      <c r="MB194" s="67"/>
      <c r="MC194" s="67"/>
      <c r="MD194" s="67"/>
      <c r="ME194" s="66"/>
      <c r="MF194" s="67"/>
      <c r="MG194" s="68"/>
      <c r="MH194" s="66"/>
      <c r="MI194" s="67"/>
      <c r="MJ194" s="68"/>
      <c r="MK194" s="67"/>
      <c r="ML194" s="67"/>
      <c r="MM194" s="67"/>
      <c r="MN194" s="66"/>
      <c r="MO194" s="67"/>
      <c r="MP194" s="68"/>
      <c r="MQ194" s="66"/>
      <c r="MR194" s="67"/>
      <c r="MS194" s="68"/>
      <c r="MT194" s="66"/>
      <c r="MU194" s="67"/>
      <c r="MV194" s="68"/>
      <c r="MW194" s="66"/>
      <c r="MX194" s="67"/>
      <c r="MY194" s="68"/>
      <c r="MZ194" s="66"/>
      <c r="NA194" s="67"/>
      <c r="NB194" s="68"/>
      <c r="NC194" s="67"/>
      <c r="ND194" s="67"/>
      <c r="NE194" s="72"/>
      <c r="NG194" s="275">
        <f>SUM(R194:NE194)</f>
        <v>1.5000000000000001E-4</v>
      </c>
      <c r="NH194" s="1"/>
      <c r="NI194" s="1"/>
      <c r="NJ194" s="1"/>
      <c r="NK194" s="1"/>
    </row>
    <row r="195" spans="5:375" s="6" customFormat="1" ht="6.95" customHeight="1" thickBot="1">
      <c r="F195" s="196"/>
      <c r="G195" s="197"/>
      <c r="H195" s="52">
        <v>2</v>
      </c>
      <c r="L195" s="311"/>
      <c r="M195" s="362"/>
      <c r="N195" s="354"/>
      <c r="O195" s="351"/>
      <c r="P195" s="316"/>
      <c r="Q195" s="237"/>
      <c r="R195" s="82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4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5"/>
      <c r="CA195" s="84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4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  <c r="EX195" s="83"/>
      <c r="EY195" s="83"/>
      <c r="EZ195" s="83"/>
      <c r="FA195" s="83"/>
      <c r="FB195" s="83"/>
      <c r="FC195" s="83"/>
      <c r="FD195" s="83"/>
      <c r="FE195" s="83"/>
      <c r="FF195" s="83"/>
      <c r="FG195" s="83"/>
      <c r="FH195" s="83"/>
      <c r="FI195" s="83"/>
      <c r="FJ195" s="83"/>
      <c r="FK195" s="83"/>
      <c r="FL195" s="83"/>
      <c r="FM195" s="84"/>
      <c r="FN195" s="83"/>
      <c r="FO195" s="83"/>
      <c r="FP195" s="83"/>
      <c r="FQ195" s="83"/>
      <c r="FR195" s="83"/>
      <c r="FS195" s="83"/>
      <c r="FT195" s="83"/>
      <c r="FU195" s="83"/>
      <c r="FV195" s="83"/>
      <c r="FW195" s="83"/>
      <c r="FX195" s="83"/>
      <c r="FY195" s="83"/>
      <c r="FZ195" s="83"/>
      <c r="GA195" s="83"/>
      <c r="GB195" s="83"/>
      <c r="GC195" s="83"/>
      <c r="GD195" s="83"/>
      <c r="GE195" s="83"/>
      <c r="GF195" s="83"/>
      <c r="GG195" s="83"/>
      <c r="GH195" s="83"/>
      <c r="GI195" s="83"/>
      <c r="GJ195" s="83"/>
      <c r="GK195" s="83"/>
      <c r="GL195" s="83"/>
      <c r="GM195" s="83"/>
      <c r="GN195" s="83"/>
      <c r="GO195" s="83"/>
      <c r="GP195" s="83"/>
      <c r="GQ195" s="84"/>
      <c r="GR195" s="83"/>
      <c r="GS195" s="83"/>
      <c r="GT195" s="83"/>
      <c r="GU195" s="83"/>
      <c r="GV195" s="83"/>
      <c r="GW195" s="83"/>
      <c r="GX195" s="83"/>
      <c r="GY195" s="83"/>
      <c r="GZ195" s="83"/>
      <c r="HA195" s="83"/>
      <c r="HB195" s="83"/>
      <c r="HC195" s="83"/>
      <c r="HD195" s="83"/>
      <c r="HE195" s="83"/>
      <c r="HF195" s="83"/>
      <c r="HG195" s="83"/>
      <c r="HH195" s="83"/>
      <c r="HI195" s="83"/>
      <c r="HJ195" s="83"/>
      <c r="HK195" s="83"/>
      <c r="HL195" s="83"/>
      <c r="HM195" s="83"/>
      <c r="HN195" s="83"/>
      <c r="HO195" s="83"/>
      <c r="HP195" s="83"/>
      <c r="HQ195" s="83"/>
      <c r="HR195" s="83"/>
      <c r="HS195" s="83"/>
      <c r="HT195" s="83"/>
      <c r="HU195" s="84"/>
      <c r="HV195" s="83"/>
      <c r="HW195" s="83"/>
      <c r="HX195" s="83"/>
      <c r="HY195" s="83"/>
      <c r="HZ195" s="83"/>
      <c r="IA195" s="83"/>
      <c r="IB195" s="83"/>
      <c r="IC195" s="83"/>
      <c r="ID195" s="83"/>
      <c r="IE195" s="83"/>
      <c r="IF195" s="83"/>
      <c r="IG195" s="83"/>
      <c r="IH195" s="83"/>
      <c r="II195" s="83"/>
      <c r="IJ195" s="83"/>
      <c r="IK195" s="83"/>
      <c r="IL195" s="83"/>
      <c r="IM195" s="83"/>
      <c r="IN195" s="83"/>
      <c r="IO195" s="83"/>
      <c r="IP195" s="83"/>
      <c r="IQ195" s="83"/>
      <c r="IR195" s="83"/>
      <c r="IS195" s="83"/>
      <c r="IT195" s="83"/>
      <c r="IU195" s="83"/>
      <c r="IV195" s="83"/>
      <c r="IW195" s="83"/>
      <c r="IX195" s="83"/>
      <c r="IY195" s="84"/>
      <c r="IZ195" s="83"/>
      <c r="JA195" s="83"/>
      <c r="JB195" s="83"/>
      <c r="JC195" s="83"/>
      <c r="JD195" s="83"/>
      <c r="JE195" s="83"/>
      <c r="JF195" s="83"/>
      <c r="JG195" s="83"/>
      <c r="JH195" s="83"/>
      <c r="JI195" s="83"/>
      <c r="JJ195" s="83"/>
      <c r="JK195" s="83"/>
      <c r="JL195" s="83"/>
      <c r="JM195" s="83"/>
      <c r="JN195" s="83"/>
      <c r="JO195" s="83"/>
      <c r="JP195" s="83"/>
      <c r="JQ195" s="83"/>
      <c r="JR195" s="83"/>
      <c r="JS195" s="83"/>
      <c r="JT195" s="83"/>
      <c r="JU195" s="83"/>
      <c r="JV195" s="83"/>
      <c r="JW195" s="83"/>
      <c r="JX195" s="83"/>
      <c r="JY195" s="83"/>
      <c r="JZ195" s="83"/>
      <c r="KA195" s="83"/>
      <c r="KB195" s="83"/>
      <c r="KC195" s="84"/>
      <c r="KD195" s="83"/>
      <c r="KE195" s="85"/>
      <c r="KF195" s="83"/>
      <c r="KG195" s="83"/>
      <c r="KH195" s="83"/>
      <c r="KI195" s="84"/>
      <c r="KJ195" s="83"/>
      <c r="KK195" s="85"/>
      <c r="KL195" s="84"/>
      <c r="KM195" s="113"/>
      <c r="KN195" s="85"/>
      <c r="KO195" s="84"/>
      <c r="KP195" s="113"/>
      <c r="KQ195" s="85"/>
      <c r="KR195" s="83"/>
      <c r="KS195" s="83"/>
      <c r="KT195" s="83"/>
      <c r="KU195" s="84"/>
      <c r="KV195" s="83"/>
      <c r="KW195" s="85"/>
      <c r="KX195" s="84"/>
      <c r="KY195" s="113"/>
      <c r="KZ195" s="83"/>
      <c r="LA195" s="86"/>
      <c r="LB195" s="113"/>
      <c r="LC195" s="87"/>
      <c r="LD195" s="83"/>
      <c r="LE195" s="83"/>
      <c r="LF195" s="83"/>
      <c r="LG195" s="84"/>
      <c r="LH195" s="83"/>
      <c r="LI195" s="85"/>
      <c r="LJ195" s="61"/>
      <c r="LK195" s="62"/>
      <c r="LL195" s="63"/>
      <c r="LM195" s="61"/>
      <c r="LN195" s="62"/>
      <c r="LO195" s="63"/>
      <c r="LP195" s="84"/>
      <c r="LQ195" s="83"/>
      <c r="LR195" s="85"/>
      <c r="LS195" s="84"/>
      <c r="LT195" s="83"/>
      <c r="LU195" s="85"/>
      <c r="LV195" s="83"/>
      <c r="LW195" s="83"/>
      <c r="LX195" s="83"/>
      <c r="LY195" s="84"/>
      <c r="LZ195" s="83"/>
      <c r="MA195" s="85"/>
      <c r="MB195" s="83"/>
      <c r="MC195" s="83"/>
      <c r="MD195" s="83"/>
      <c r="ME195" s="84"/>
      <c r="MF195" s="83"/>
      <c r="MG195" s="85"/>
      <c r="MH195" s="84"/>
      <c r="MI195" s="83"/>
      <c r="MJ195" s="85"/>
      <c r="MK195" s="83"/>
      <c r="ML195" s="83"/>
      <c r="MM195" s="83"/>
      <c r="MN195" s="84"/>
      <c r="MO195" s="83"/>
      <c r="MP195" s="85"/>
      <c r="MQ195" s="84"/>
      <c r="MR195" s="83"/>
      <c r="MS195" s="85"/>
      <c r="MT195" s="84"/>
      <c r="MU195" s="83"/>
      <c r="MV195" s="85"/>
      <c r="MW195" s="84"/>
      <c r="MX195" s="83"/>
      <c r="MY195" s="85"/>
      <c r="MZ195" s="84"/>
      <c r="NA195" s="83"/>
      <c r="NB195" s="85"/>
      <c r="NC195" s="83"/>
      <c r="ND195" s="83"/>
      <c r="NE195" s="88"/>
      <c r="NG195" s="275"/>
      <c r="NH195" s="1"/>
      <c r="NI195" s="1"/>
      <c r="NJ195" s="1"/>
      <c r="NK195" s="1"/>
    </row>
    <row r="196" spans="5:375" s="18" customFormat="1" ht="9.9499999999999993" customHeight="1">
      <c r="F196" s="194">
        <f t="shared" ref="F196" si="478">NG196</f>
        <v>6.4800000000000014E-3</v>
      </c>
      <c r="G196" s="195">
        <f>Q196-F196</f>
        <v>0</v>
      </c>
      <c r="H196" s="27">
        <v>1</v>
      </c>
      <c r="L196" s="286" t="s">
        <v>87</v>
      </c>
      <c r="M196" s="287"/>
      <c r="N196" s="287"/>
      <c r="O196" s="288"/>
      <c r="P196" s="240">
        <f>SUM(P198:P207)</f>
        <v>1348297</v>
      </c>
      <c r="Q196" s="238">
        <f>ROUND(SUM(Q198:Q207),5)</f>
        <v>6.4799999999999996E-3</v>
      </c>
      <c r="R196" s="238">
        <f>ROUND(SUM(R198:R207),5)</f>
        <v>0</v>
      </c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8"/>
      <c r="AW196" s="176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  <c r="BO196" s="137"/>
      <c r="BP196" s="137"/>
      <c r="BQ196" s="137"/>
      <c r="BR196" s="137"/>
      <c r="BS196" s="137"/>
      <c r="BT196" s="137"/>
      <c r="BU196" s="137"/>
      <c r="BV196" s="137"/>
      <c r="BW196" s="137"/>
      <c r="BX196" s="137"/>
      <c r="BY196" s="137"/>
      <c r="BZ196" s="138"/>
      <c r="CA196" s="176"/>
      <c r="CB196" s="137"/>
      <c r="CC196" s="137"/>
      <c r="CD196" s="137"/>
      <c r="CE196" s="137"/>
      <c r="CF196" s="137"/>
      <c r="CG196" s="137"/>
      <c r="CH196" s="137"/>
      <c r="CI196" s="137"/>
      <c r="CJ196" s="137"/>
      <c r="CK196" s="137"/>
      <c r="CL196" s="137"/>
      <c r="CM196" s="137"/>
      <c r="CN196" s="137"/>
      <c r="CO196" s="137"/>
      <c r="CP196" s="137"/>
      <c r="CQ196" s="137"/>
      <c r="CR196" s="137"/>
      <c r="CS196" s="137"/>
      <c r="CT196" s="137"/>
      <c r="CU196" s="137"/>
      <c r="CV196" s="137"/>
      <c r="CW196" s="137"/>
      <c r="CX196" s="137"/>
      <c r="CY196" s="137"/>
      <c r="CZ196" s="137"/>
      <c r="DA196" s="137"/>
      <c r="DB196" s="137"/>
      <c r="DC196" s="137"/>
      <c r="DD196" s="137"/>
      <c r="DE196" s="176"/>
      <c r="DF196" s="137"/>
      <c r="DG196" s="137"/>
      <c r="DH196" s="137"/>
      <c r="DI196" s="137"/>
      <c r="DJ196" s="137"/>
      <c r="DK196" s="137"/>
      <c r="DL196" s="137"/>
      <c r="DM196" s="137"/>
      <c r="DN196" s="137"/>
      <c r="DO196" s="137"/>
      <c r="DP196" s="137"/>
      <c r="DQ196" s="137"/>
      <c r="DR196" s="137"/>
      <c r="DS196" s="137"/>
      <c r="DT196" s="137"/>
      <c r="DU196" s="137"/>
      <c r="DV196" s="137"/>
      <c r="DW196" s="137"/>
      <c r="DX196" s="137"/>
      <c r="DY196" s="137"/>
      <c r="DZ196" s="137"/>
      <c r="EA196" s="137"/>
      <c r="EB196" s="137"/>
      <c r="EC196" s="137"/>
      <c r="ED196" s="137"/>
      <c r="EE196" s="137"/>
      <c r="EF196" s="137"/>
      <c r="EG196" s="137"/>
      <c r="EH196" s="137"/>
      <c r="EI196" s="176"/>
      <c r="EJ196" s="137"/>
      <c r="EK196" s="137"/>
      <c r="EL196" s="137"/>
      <c r="EM196" s="137"/>
      <c r="EN196" s="137"/>
      <c r="EO196" s="137"/>
      <c r="EP196" s="137"/>
      <c r="EQ196" s="137"/>
      <c r="ER196" s="137"/>
      <c r="ES196" s="137"/>
      <c r="ET196" s="137"/>
      <c r="EU196" s="137"/>
      <c r="EV196" s="137"/>
      <c r="EW196" s="137"/>
      <c r="EX196" s="137"/>
      <c r="EY196" s="137"/>
      <c r="EZ196" s="137"/>
      <c r="FA196" s="137"/>
      <c r="FB196" s="137"/>
      <c r="FC196" s="137"/>
      <c r="FD196" s="137"/>
      <c r="FE196" s="137"/>
      <c r="FF196" s="137"/>
      <c r="FG196" s="137"/>
      <c r="FH196" s="137"/>
      <c r="FI196" s="137"/>
      <c r="FJ196" s="137"/>
      <c r="FK196" s="137"/>
      <c r="FL196" s="137"/>
      <c r="FM196" s="176"/>
      <c r="FN196" s="137"/>
      <c r="FO196" s="137"/>
      <c r="FP196" s="137"/>
      <c r="FQ196" s="137"/>
      <c r="FR196" s="137"/>
      <c r="FS196" s="137"/>
      <c r="FT196" s="137"/>
      <c r="FU196" s="137"/>
      <c r="FV196" s="137"/>
      <c r="FW196" s="137"/>
      <c r="FX196" s="137"/>
      <c r="FY196" s="137"/>
      <c r="FZ196" s="137"/>
      <c r="GA196" s="137"/>
      <c r="GB196" s="137"/>
      <c r="GC196" s="137"/>
      <c r="GD196" s="137"/>
      <c r="GE196" s="137"/>
      <c r="GF196" s="137"/>
      <c r="GG196" s="137"/>
      <c r="GH196" s="137"/>
      <c r="GI196" s="137"/>
      <c r="GJ196" s="137"/>
      <c r="GK196" s="137"/>
      <c r="GL196" s="137"/>
      <c r="GM196" s="137"/>
      <c r="GN196" s="137"/>
      <c r="GO196" s="137"/>
      <c r="GP196" s="137"/>
      <c r="GQ196" s="176"/>
      <c r="GR196" s="137"/>
      <c r="GS196" s="137"/>
      <c r="GT196" s="137"/>
      <c r="GU196" s="137"/>
      <c r="GV196" s="137"/>
      <c r="GW196" s="137"/>
      <c r="GX196" s="137"/>
      <c r="GY196" s="137"/>
      <c r="GZ196" s="137"/>
      <c r="HA196" s="137"/>
      <c r="HB196" s="137"/>
      <c r="HC196" s="137"/>
      <c r="HD196" s="137"/>
      <c r="HE196" s="137"/>
      <c r="HF196" s="137"/>
      <c r="HG196" s="137"/>
      <c r="HH196" s="137"/>
      <c r="HI196" s="137"/>
      <c r="HJ196" s="137"/>
      <c r="HK196" s="137"/>
      <c r="HL196" s="137"/>
      <c r="HM196" s="137"/>
      <c r="HN196" s="137"/>
      <c r="HO196" s="137"/>
      <c r="HP196" s="137"/>
      <c r="HQ196" s="137"/>
      <c r="HR196" s="137"/>
      <c r="HS196" s="137"/>
      <c r="HT196" s="137"/>
      <c r="HU196" s="176"/>
      <c r="HV196" s="137"/>
      <c r="HW196" s="137"/>
      <c r="HX196" s="137"/>
      <c r="HY196" s="137"/>
      <c r="HZ196" s="137"/>
      <c r="IA196" s="137"/>
      <c r="IB196" s="137"/>
      <c r="IC196" s="137"/>
      <c r="ID196" s="137"/>
      <c r="IE196" s="137"/>
      <c r="IF196" s="137"/>
      <c r="IG196" s="137"/>
      <c r="IH196" s="137"/>
      <c r="II196" s="137"/>
      <c r="IJ196" s="137"/>
      <c r="IK196" s="137"/>
      <c r="IL196" s="137"/>
      <c r="IM196" s="137"/>
      <c r="IN196" s="137"/>
      <c r="IO196" s="137"/>
      <c r="IP196" s="137"/>
      <c r="IQ196" s="137"/>
      <c r="IR196" s="137"/>
      <c r="IS196" s="137"/>
      <c r="IT196" s="137"/>
      <c r="IU196" s="137"/>
      <c r="IV196" s="137"/>
      <c r="IW196" s="137"/>
      <c r="IX196" s="137"/>
      <c r="IY196" s="176"/>
      <c r="IZ196" s="137"/>
      <c r="JA196" s="137"/>
      <c r="JB196" s="137"/>
      <c r="JC196" s="137"/>
      <c r="JD196" s="137"/>
      <c r="JE196" s="137"/>
      <c r="JF196" s="137"/>
      <c r="JG196" s="137"/>
      <c r="JH196" s="137"/>
      <c r="JI196" s="137"/>
      <c r="JJ196" s="137"/>
      <c r="JK196" s="137"/>
      <c r="JL196" s="137"/>
      <c r="JM196" s="137"/>
      <c r="JN196" s="137"/>
      <c r="JO196" s="137"/>
      <c r="JP196" s="137"/>
      <c r="JQ196" s="137"/>
      <c r="JR196" s="137"/>
      <c r="JS196" s="137"/>
      <c r="JT196" s="137"/>
      <c r="JU196" s="137"/>
      <c r="JV196" s="137"/>
      <c r="JW196" s="137"/>
      <c r="JX196" s="137"/>
      <c r="JY196" s="137"/>
      <c r="JZ196" s="137"/>
      <c r="KA196" s="137"/>
      <c r="KB196" s="137"/>
      <c r="KC196" s="205">
        <f>ROUND(SUM(KC198:KE207),5)</f>
        <v>0</v>
      </c>
      <c r="KD196" s="206"/>
      <c r="KE196" s="207"/>
      <c r="KF196" s="205">
        <f>ROUND(SUM(KF198:KH207),5)</f>
        <v>0</v>
      </c>
      <c r="KG196" s="206"/>
      <c r="KH196" s="207"/>
      <c r="KI196" s="205">
        <f>ROUND(SUM(KI198:KK207),5)</f>
        <v>0</v>
      </c>
      <c r="KJ196" s="206"/>
      <c r="KK196" s="207"/>
      <c r="KL196" s="205">
        <f>ROUND(SUM(KL198:KN207),5)</f>
        <v>0</v>
      </c>
      <c r="KM196" s="206"/>
      <c r="KN196" s="207"/>
      <c r="KO196" s="205">
        <f>ROUND(SUM(KO198:KQ207),5)</f>
        <v>0</v>
      </c>
      <c r="KP196" s="206"/>
      <c r="KQ196" s="207"/>
      <c r="KR196" s="205">
        <f>ROUND(SUM(KR198:KT207),5)</f>
        <v>0</v>
      </c>
      <c r="KS196" s="206"/>
      <c r="KT196" s="207"/>
      <c r="KU196" s="205">
        <f>ROUND(SUM(KU198:KW207),5)</f>
        <v>4.6000000000000001E-4</v>
      </c>
      <c r="KV196" s="206"/>
      <c r="KW196" s="207"/>
      <c r="KX196" s="205">
        <f>ROUND(SUM(KX198:KZ207),5)</f>
        <v>9.3999999999999997E-4</v>
      </c>
      <c r="KY196" s="206"/>
      <c r="KZ196" s="206"/>
      <c r="LA196" s="229">
        <f>ROUND(SUM(LA198:LC207),5)</f>
        <v>9.6000000000000002E-4</v>
      </c>
      <c r="LB196" s="206"/>
      <c r="LC196" s="230"/>
      <c r="LD196" s="206">
        <f>ROUND(SUM(LD198:LF207),5)</f>
        <v>8.1999999999999998E-4</v>
      </c>
      <c r="LE196" s="206"/>
      <c r="LF196" s="207"/>
      <c r="LG196" s="205">
        <f>ROUND(SUM(LG198:LI207),5)</f>
        <v>7.5000000000000002E-4</v>
      </c>
      <c r="LH196" s="206"/>
      <c r="LI196" s="207"/>
      <c r="LJ196" s="205">
        <f>ROUND(SUM(LJ198:LL207),5)</f>
        <v>9.3000000000000005E-4</v>
      </c>
      <c r="LK196" s="206"/>
      <c r="LL196" s="207"/>
      <c r="LM196" s="205">
        <f>ROUND(SUM(LM198:LO207),5)</f>
        <v>9.5E-4</v>
      </c>
      <c r="LN196" s="206"/>
      <c r="LO196" s="207"/>
      <c r="LP196" s="205">
        <f>ROUND(SUM(LP198:LR207),5)</f>
        <v>6.7000000000000002E-4</v>
      </c>
      <c r="LQ196" s="206"/>
      <c r="LR196" s="207"/>
      <c r="LS196" s="205">
        <f>ROUND(SUM(LS198:LU207),5)</f>
        <v>0</v>
      </c>
      <c r="LT196" s="206"/>
      <c r="LU196" s="207"/>
      <c r="LV196" s="205">
        <f>ROUND(SUM(LV198:LX207),5)</f>
        <v>0</v>
      </c>
      <c r="LW196" s="206"/>
      <c r="LX196" s="207"/>
      <c r="LY196" s="205">
        <f>ROUND(SUM(LY198:MA207),5)</f>
        <v>0</v>
      </c>
      <c r="LZ196" s="206"/>
      <c r="MA196" s="207"/>
      <c r="MB196" s="205">
        <f>ROUND(SUM(MB198:MD207),5)</f>
        <v>0</v>
      </c>
      <c r="MC196" s="206"/>
      <c r="MD196" s="207"/>
      <c r="ME196" s="205">
        <f>ROUND(SUM(ME198:MG207),5)</f>
        <v>0</v>
      </c>
      <c r="MF196" s="206"/>
      <c r="MG196" s="207"/>
      <c r="MH196" s="205">
        <f>ROUND(SUM(MH198:MJ207),5)</f>
        <v>0</v>
      </c>
      <c r="MI196" s="206"/>
      <c r="MJ196" s="207"/>
      <c r="MK196" s="205">
        <f>ROUND(SUM(MK198:MM207),5)</f>
        <v>0</v>
      </c>
      <c r="ML196" s="206"/>
      <c r="MM196" s="207"/>
      <c r="MN196" s="205">
        <f>ROUND(SUM(MN198:MP207),5)</f>
        <v>0</v>
      </c>
      <c r="MO196" s="206"/>
      <c r="MP196" s="207"/>
      <c r="MQ196" s="205">
        <f>ROUND(SUM(MQ198:MS207),5)</f>
        <v>0</v>
      </c>
      <c r="MR196" s="206"/>
      <c r="MS196" s="207"/>
      <c r="MT196" s="205">
        <f>ROUND(SUM(MT198:MV207),5)</f>
        <v>0</v>
      </c>
      <c r="MU196" s="206"/>
      <c r="MV196" s="207"/>
      <c r="MW196" s="205">
        <f>ROUND(SUM(MW198:MY207),5)</f>
        <v>0</v>
      </c>
      <c r="MX196" s="206"/>
      <c r="MY196" s="207"/>
      <c r="MZ196" s="205">
        <f>ROUND(SUM(MZ198:NB207),5)</f>
        <v>0</v>
      </c>
      <c r="NA196" s="206"/>
      <c r="NB196" s="207"/>
      <c r="NC196" s="205">
        <f>ROUND(SUM(NC198:NE207),5)</f>
        <v>0</v>
      </c>
      <c r="ND196" s="206"/>
      <c r="NE196" s="223"/>
      <c r="NG196" s="198">
        <f>SUM(R196:NE196)</f>
        <v>6.4800000000000014E-3</v>
      </c>
      <c r="NH196" s="198">
        <f>SUM(NG198:NG207)</f>
        <v>6.4799999999999996E-3</v>
      </c>
      <c r="NI196" s="114"/>
      <c r="NJ196" s="114"/>
      <c r="NK196" s="114"/>
    </row>
    <row r="197" spans="5:375" s="18" customFormat="1" ht="9.9499999999999993" customHeight="1">
      <c r="F197" s="194"/>
      <c r="G197" s="195"/>
      <c r="H197" s="52">
        <v>2</v>
      </c>
      <c r="L197" s="289"/>
      <c r="M197" s="290"/>
      <c r="N197" s="290"/>
      <c r="O197" s="291"/>
      <c r="P197" s="241"/>
      <c r="Q197" s="239"/>
      <c r="R197" s="2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139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  <c r="AR197" s="139"/>
      <c r="AS197" s="139"/>
      <c r="AT197" s="139"/>
      <c r="AU197" s="139"/>
      <c r="AV197" s="140"/>
      <c r="AW197" s="177"/>
      <c r="AX197" s="139"/>
      <c r="AY197" s="139"/>
      <c r="AZ197" s="139"/>
      <c r="BA197" s="139"/>
      <c r="BB197" s="139"/>
      <c r="BC197" s="139"/>
      <c r="BD197" s="139"/>
      <c r="BE197" s="139"/>
      <c r="BF197" s="139"/>
      <c r="BG197" s="139"/>
      <c r="BH197" s="139"/>
      <c r="BI197" s="139"/>
      <c r="BJ197" s="139"/>
      <c r="BK197" s="139"/>
      <c r="BL197" s="139"/>
      <c r="BM197" s="139"/>
      <c r="BN197" s="139"/>
      <c r="BO197" s="139"/>
      <c r="BP197" s="139"/>
      <c r="BQ197" s="139"/>
      <c r="BR197" s="139"/>
      <c r="BS197" s="139"/>
      <c r="BT197" s="139"/>
      <c r="BU197" s="139"/>
      <c r="BV197" s="139"/>
      <c r="BW197" s="139"/>
      <c r="BX197" s="139"/>
      <c r="BY197" s="139"/>
      <c r="BZ197" s="140"/>
      <c r="CA197" s="177"/>
      <c r="CB197" s="139"/>
      <c r="CC197" s="139"/>
      <c r="CD197" s="139"/>
      <c r="CE197" s="139"/>
      <c r="CF197" s="139"/>
      <c r="CG197" s="139"/>
      <c r="CH197" s="139"/>
      <c r="CI197" s="139"/>
      <c r="CJ197" s="139"/>
      <c r="CK197" s="139"/>
      <c r="CL197" s="139"/>
      <c r="CM197" s="139"/>
      <c r="CN197" s="139"/>
      <c r="CO197" s="139"/>
      <c r="CP197" s="139"/>
      <c r="CQ197" s="139"/>
      <c r="CR197" s="139"/>
      <c r="CS197" s="139"/>
      <c r="CT197" s="139"/>
      <c r="CU197" s="139"/>
      <c r="CV197" s="139"/>
      <c r="CW197" s="139"/>
      <c r="CX197" s="139"/>
      <c r="CY197" s="139"/>
      <c r="CZ197" s="139"/>
      <c r="DA197" s="139"/>
      <c r="DB197" s="139"/>
      <c r="DC197" s="139"/>
      <c r="DD197" s="139"/>
      <c r="DE197" s="177"/>
      <c r="DF197" s="139"/>
      <c r="DG197" s="139"/>
      <c r="DH197" s="139"/>
      <c r="DI197" s="139"/>
      <c r="DJ197" s="139"/>
      <c r="DK197" s="139"/>
      <c r="DL197" s="139"/>
      <c r="DM197" s="139"/>
      <c r="DN197" s="139"/>
      <c r="DO197" s="139"/>
      <c r="DP197" s="139"/>
      <c r="DQ197" s="139"/>
      <c r="DR197" s="139"/>
      <c r="DS197" s="139"/>
      <c r="DT197" s="139"/>
      <c r="DU197" s="139"/>
      <c r="DV197" s="139"/>
      <c r="DW197" s="139"/>
      <c r="DX197" s="139"/>
      <c r="DY197" s="139"/>
      <c r="DZ197" s="139"/>
      <c r="EA197" s="139"/>
      <c r="EB197" s="139"/>
      <c r="EC197" s="139"/>
      <c r="ED197" s="139"/>
      <c r="EE197" s="139"/>
      <c r="EF197" s="139"/>
      <c r="EG197" s="139"/>
      <c r="EH197" s="139"/>
      <c r="EI197" s="177"/>
      <c r="EJ197" s="139"/>
      <c r="EK197" s="139"/>
      <c r="EL197" s="139"/>
      <c r="EM197" s="139"/>
      <c r="EN197" s="139"/>
      <c r="EO197" s="139"/>
      <c r="EP197" s="139"/>
      <c r="EQ197" s="139"/>
      <c r="ER197" s="139"/>
      <c r="ES197" s="139"/>
      <c r="ET197" s="139"/>
      <c r="EU197" s="139"/>
      <c r="EV197" s="139"/>
      <c r="EW197" s="139"/>
      <c r="EX197" s="139"/>
      <c r="EY197" s="139"/>
      <c r="EZ197" s="139"/>
      <c r="FA197" s="139"/>
      <c r="FB197" s="139"/>
      <c r="FC197" s="139"/>
      <c r="FD197" s="139"/>
      <c r="FE197" s="139"/>
      <c r="FF197" s="139"/>
      <c r="FG197" s="139"/>
      <c r="FH197" s="139"/>
      <c r="FI197" s="139"/>
      <c r="FJ197" s="139"/>
      <c r="FK197" s="139"/>
      <c r="FL197" s="139"/>
      <c r="FM197" s="177"/>
      <c r="FN197" s="139"/>
      <c r="FO197" s="139"/>
      <c r="FP197" s="139"/>
      <c r="FQ197" s="139"/>
      <c r="FR197" s="139"/>
      <c r="FS197" s="139"/>
      <c r="FT197" s="139"/>
      <c r="FU197" s="139"/>
      <c r="FV197" s="139"/>
      <c r="FW197" s="139"/>
      <c r="FX197" s="139"/>
      <c r="FY197" s="139"/>
      <c r="FZ197" s="139"/>
      <c r="GA197" s="139"/>
      <c r="GB197" s="139"/>
      <c r="GC197" s="139"/>
      <c r="GD197" s="139"/>
      <c r="GE197" s="139"/>
      <c r="GF197" s="139"/>
      <c r="GG197" s="139"/>
      <c r="GH197" s="139"/>
      <c r="GI197" s="139"/>
      <c r="GJ197" s="139"/>
      <c r="GK197" s="139"/>
      <c r="GL197" s="139"/>
      <c r="GM197" s="139"/>
      <c r="GN197" s="139"/>
      <c r="GO197" s="139"/>
      <c r="GP197" s="139"/>
      <c r="GQ197" s="177"/>
      <c r="GR197" s="139"/>
      <c r="GS197" s="139"/>
      <c r="GT197" s="139"/>
      <c r="GU197" s="139"/>
      <c r="GV197" s="139"/>
      <c r="GW197" s="139"/>
      <c r="GX197" s="139"/>
      <c r="GY197" s="139"/>
      <c r="GZ197" s="139"/>
      <c r="HA197" s="139"/>
      <c r="HB197" s="139"/>
      <c r="HC197" s="139"/>
      <c r="HD197" s="139"/>
      <c r="HE197" s="139"/>
      <c r="HF197" s="139"/>
      <c r="HG197" s="139"/>
      <c r="HH197" s="139"/>
      <c r="HI197" s="139"/>
      <c r="HJ197" s="139"/>
      <c r="HK197" s="139"/>
      <c r="HL197" s="139"/>
      <c r="HM197" s="139"/>
      <c r="HN197" s="139"/>
      <c r="HO197" s="139"/>
      <c r="HP197" s="139"/>
      <c r="HQ197" s="139"/>
      <c r="HR197" s="139"/>
      <c r="HS197" s="139"/>
      <c r="HT197" s="139"/>
      <c r="HU197" s="177"/>
      <c r="HV197" s="139"/>
      <c r="HW197" s="139"/>
      <c r="HX197" s="139"/>
      <c r="HY197" s="139"/>
      <c r="HZ197" s="139"/>
      <c r="IA197" s="139"/>
      <c r="IB197" s="139"/>
      <c r="IC197" s="139"/>
      <c r="ID197" s="139"/>
      <c r="IE197" s="139"/>
      <c r="IF197" s="139"/>
      <c r="IG197" s="139"/>
      <c r="IH197" s="139"/>
      <c r="II197" s="139"/>
      <c r="IJ197" s="139"/>
      <c r="IK197" s="139"/>
      <c r="IL197" s="139"/>
      <c r="IM197" s="139"/>
      <c r="IN197" s="139"/>
      <c r="IO197" s="139"/>
      <c r="IP197" s="139"/>
      <c r="IQ197" s="139"/>
      <c r="IR197" s="139"/>
      <c r="IS197" s="139"/>
      <c r="IT197" s="139"/>
      <c r="IU197" s="139"/>
      <c r="IV197" s="139"/>
      <c r="IW197" s="139"/>
      <c r="IX197" s="139"/>
      <c r="IY197" s="177"/>
      <c r="IZ197" s="139"/>
      <c r="JA197" s="139"/>
      <c r="JB197" s="139"/>
      <c r="JC197" s="139"/>
      <c r="JD197" s="139"/>
      <c r="JE197" s="139"/>
      <c r="JF197" s="139"/>
      <c r="JG197" s="139"/>
      <c r="JH197" s="139"/>
      <c r="JI197" s="139"/>
      <c r="JJ197" s="139"/>
      <c r="JK197" s="139"/>
      <c r="JL197" s="139"/>
      <c r="JM197" s="139"/>
      <c r="JN197" s="139"/>
      <c r="JO197" s="139"/>
      <c r="JP197" s="139"/>
      <c r="JQ197" s="139"/>
      <c r="JR197" s="139"/>
      <c r="JS197" s="139"/>
      <c r="JT197" s="139"/>
      <c r="JU197" s="139"/>
      <c r="JV197" s="139"/>
      <c r="JW197" s="139"/>
      <c r="JX197" s="139"/>
      <c r="JY197" s="139"/>
      <c r="JZ197" s="139"/>
      <c r="KA197" s="139"/>
      <c r="KB197" s="139"/>
      <c r="KC197" s="208"/>
      <c r="KD197" s="209"/>
      <c r="KE197" s="210"/>
      <c r="KF197" s="208"/>
      <c r="KG197" s="209"/>
      <c r="KH197" s="210"/>
      <c r="KI197" s="208"/>
      <c r="KJ197" s="209"/>
      <c r="KK197" s="210"/>
      <c r="KL197" s="208"/>
      <c r="KM197" s="209"/>
      <c r="KN197" s="210"/>
      <c r="KO197" s="208"/>
      <c r="KP197" s="209"/>
      <c r="KQ197" s="210"/>
      <c r="KR197" s="208"/>
      <c r="KS197" s="209"/>
      <c r="KT197" s="210"/>
      <c r="KU197" s="208"/>
      <c r="KV197" s="209"/>
      <c r="KW197" s="210"/>
      <c r="KX197" s="208"/>
      <c r="KY197" s="209"/>
      <c r="KZ197" s="209"/>
      <c r="LA197" s="231"/>
      <c r="LB197" s="209"/>
      <c r="LC197" s="232"/>
      <c r="LD197" s="209"/>
      <c r="LE197" s="209"/>
      <c r="LF197" s="210"/>
      <c r="LG197" s="208"/>
      <c r="LH197" s="209"/>
      <c r="LI197" s="210"/>
      <c r="LJ197" s="208"/>
      <c r="LK197" s="209"/>
      <c r="LL197" s="210"/>
      <c r="LM197" s="208"/>
      <c r="LN197" s="209"/>
      <c r="LO197" s="210"/>
      <c r="LP197" s="208"/>
      <c r="LQ197" s="209"/>
      <c r="LR197" s="210"/>
      <c r="LS197" s="208"/>
      <c r="LT197" s="209"/>
      <c r="LU197" s="210"/>
      <c r="LV197" s="208"/>
      <c r="LW197" s="209"/>
      <c r="LX197" s="210"/>
      <c r="LY197" s="208"/>
      <c r="LZ197" s="209"/>
      <c r="MA197" s="210"/>
      <c r="MB197" s="208"/>
      <c r="MC197" s="209"/>
      <c r="MD197" s="210"/>
      <c r="ME197" s="208"/>
      <c r="MF197" s="209"/>
      <c r="MG197" s="210"/>
      <c r="MH197" s="208"/>
      <c r="MI197" s="209"/>
      <c r="MJ197" s="210"/>
      <c r="MK197" s="208"/>
      <c r="ML197" s="209"/>
      <c r="MM197" s="210"/>
      <c r="MN197" s="208"/>
      <c r="MO197" s="209"/>
      <c r="MP197" s="210"/>
      <c r="MQ197" s="208"/>
      <c r="MR197" s="209"/>
      <c r="MS197" s="210"/>
      <c r="MT197" s="208"/>
      <c r="MU197" s="209"/>
      <c r="MV197" s="210"/>
      <c r="MW197" s="208"/>
      <c r="MX197" s="209"/>
      <c r="MY197" s="210"/>
      <c r="MZ197" s="208"/>
      <c r="NA197" s="209"/>
      <c r="NB197" s="210"/>
      <c r="NC197" s="208"/>
      <c r="ND197" s="209"/>
      <c r="NE197" s="224"/>
      <c r="NG197" s="198"/>
      <c r="NH197" s="198"/>
      <c r="NI197" s="114"/>
      <c r="NJ197" s="114"/>
      <c r="NK197" s="114"/>
    </row>
    <row r="198" spans="5:375" s="6" customFormat="1" ht="9.9499999999999993" customHeight="1">
      <c r="F198" s="196">
        <f t="shared" ref="F198" si="479">NG198</f>
        <v>5.1999999999999995E-4</v>
      </c>
      <c r="G198" s="197">
        <f>Q198-F198</f>
        <v>0</v>
      </c>
      <c r="H198" s="27">
        <v>1</v>
      </c>
      <c r="I198" s="19" t="s">
        <v>246</v>
      </c>
      <c r="J198" s="19" t="s">
        <v>184</v>
      </c>
      <c r="K198" s="19" t="s">
        <v>245</v>
      </c>
      <c r="L198" s="339"/>
      <c r="M198" s="293" t="s">
        <v>157</v>
      </c>
      <c r="N198" s="313">
        <v>40107</v>
      </c>
      <c r="O198" s="305" t="s">
        <v>156</v>
      </c>
      <c r="P198" s="307">
        <v>108363</v>
      </c>
      <c r="Q198" s="236">
        <f>ROUND(P198/$P$256,5)</f>
        <v>5.1999999999999995E-4</v>
      </c>
      <c r="R198" s="76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3"/>
      <c r="AX198" s="54"/>
      <c r="AY198" s="54"/>
      <c r="AZ198" s="54"/>
      <c r="BA198" s="54"/>
      <c r="BB198" s="54"/>
      <c r="BC198" s="54"/>
      <c r="BD198" s="54"/>
      <c r="BE198" s="54"/>
      <c r="BF198" s="54"/>
      <c r="BG198" s="54"/>
      <c r="BH198" s="54"/>
      <c r="BI198" s="54"/>
      <c r="BJ198" s="54"/>
      <c r="BK198" s="54"/>
      <c r="BL198" s="54"/>
      <c r="BM198" s="54"/>
      <c r="BN198" s="54"/>
      <c r="BO198" s="54"/>
      <c r="BP198" s="54"/>
      <c r="BQ198" s="54"/>
      <c r="BR198" s="54"/>
      <c r="BS198" s="54"/>
      <c r="BT198" s="54"/>
      <c r="BU198" s="54"/>
      <c r="BV198" s="54"/>
      <c r="BW198" s="54"/>
      <c r="BX198" s="54"/>
      <c r="BY198" s="54"/>
      <c r="BZ198" s="55"/>
      <c r="CA198" s="53"/>
      <c r="CB198" s="54"/>
      <c r="CC198" s="54"/>
      <c r="CD198" s="54"/>
      <c r="CE198" s="54"/>
      <c r="CF198" s="54"/>
      <c r="CG198" s="54"/>
      <c r="CH198" s="54"/>
      <c r="CI198" s="54"/>
      <c r="CJ198" s="54"/>
      <c r="CK198" s="54"/>
      <c r="CL198" s="54"/>
      <c r="CM198" s="54"/>
      <c r="CN198" s="54"/>
      <c r="CO198" s="54"/>
      <c r="CP198" s="54"/>
      <c r="CQ198" s="54"/>
      <c r="CR198" s="54"/>
      <c r="CS198" s="54"/>
      <c r="CT198" s="54"/>
      <c r="CU198" s="54"/>
      <c r="CV198" s="54"/>
      <c r="CW198" s="54"/>
      <c r="CX198" s="54"/>
      <c r="CY198" s="54"/>
      <c r="CZ198" s="54"/>
      <c r="DA198" s="54"/>
      <c r="DB198" s="54"/>
      <c r="DC198" s="54"/>
      <c r="DD198" s="54"/>
      <c r="DE198" s="53"/>
      <c r="DF198" s="54"/>
      <c r="DG198" s="54"/>
      <c r="DH198" s="54"/>
      <c r="DI198" s="54"/>
      <c r="DJ198" s="54"/>
      <c r="DK198" s="54"/>
      <c r="DL198" s="54"/>
      <c r="DM198" s="54"/>
      <c r="DN198" s="54"/>
      <c r="DO198" s="54"/>
      <c r="DP198" s="54"/>
      <c r="DQ198" s="54"/>
      <c r="DR198" s="54"/>
      <c r="DS198" s="54"/>
      <c r="DT198" s="54"/>
      <c r="DU198" s="54"/>
      <c r="DV198" s="54"/>
      <c r="DW198" s="54"/>
      <c r="DX198" s="54"/>
      <c r="DY198" s="54"/>
      <c r="DZ198" s="54"/>
      <c r="EA198" s="54"/>
      <c r="EB198" s="54"/>
      <c r="EC198" s="54"/>
      <c r="ED198" s="54"/>
      <c r="EE198" s="54"/>
      <c r="EF198" s="54"/>
      <c r="EG198" s="54"/>
      <c r="EH198" s="54"/>
      <c r="EI198" s="54"/>
      <c r="EJ198" s="54"/>
      <c r="EK198" s="54"/>
      <c r="EL198" s="54"/>
      <c r="EM198" s="54"/>
      <c r="EN198" s="54"/>
      <c r="EO198" s="54"/>
      <c r="EP198" s="54"/>
      <c r="EQ198" s="54"/>
      <c r="ER198" s="54"/>
      <c r="ES198" s="54"/>
      <c r="ET198" s="54"/>
      <c r="EU198" s="54"/>
      <c r="EV198" s="54"/>
      <c r="EW198" s="54"/>
      <c r="EX198" s="54"/>
      <c r="EY198" s="54"/>
      <c r="EZ198" s="54"/>
      <c r="FA198" s="54"/>
      <c r="FB198" s="54"/>
      <c r="FC198" s="54"/>
      <c r="FD198" s="54"/>
      <c r="FE198" s="54"/>
      <c r="FF198" s="54"/>
      <c r="FG198" s="54"/>
      <c r="FH198" s="54"/>
      <c r="FI198" s="54"/>
      <c r="FJ198" s="54"/>
      <c r="FK198" s="54"/>
      <c r="FL198" s="54"/>
      <c r="FM198" s="156"/>
      <c r="FN198" s="156"/>
      <c r="FO198" s="156"/>
      <c r="FP198" s="156"/>
      <c r="FQ198" s="156"/>
      <c r="FR198" s="156"/>
      <c r="FS198" s="156"/>
      <c r="FT198" s="156"/>
      <c r="FU198" s="156"/>
      <c r="FV198" s="156"/>
      <c r="FW198" s="156"/>
      <c r="FX198" s="156"/>
      <c r="FY198" s="156"/>
      <c r="FZ198" s="156"/>
      <c r="GA198" s="156"/>
      <c r="GB198" s="156"/>
      <c r="GC198" s="156"/>
      <c r="GD198" s="156"/>
      <c r="GE198" s="156"/>
      <c r="GF198" s="156"/>
      <c r="GG198" s="156"/>
      <c r="GH198" s="156"/>
      <c r="GI198" s="156"/>
      <c r="GJ198" s="156"/>
      <c r="GK198" s="156"/>
      <c r="GL198" s="156"/>
      <c r="GM198" s="156"/>
      <c r="GN198" s="156"/>
      <c r="GO198" s="156"/>
      <c r="GP198" s="156"/>
      <c r="GQ198" s="155"/>
      <c r="GR198" s="156"/>
      <c r="GS198" s="156"/>
      <c r="GT198" s="156"/>
      <c r="GU198" s="156"/>
      <c r="GV198" s="156"/>
      <c r="GW198" s="156"/>
      <c r="GX198" s="156"/>
      <c r="GY198" s="156"/>
      <c r="GZ198" s="156"/>
      <c r="HA198" s="156"/>
      <c r="HB198" s="156"/>
      <c r="HC198" s="156"/>
      <c r="HD198" s="156"/>
      <c r="HE198" s="156"/>
      <c r="HF198" s="156"/>
      <c r="HG198" s="156"/>
      <c r="HH198" s="156"/>
      <c r="HI198" s="156"/>
      <c r="HJ198" s="156"/>
      <c r="HK198" s="156"/>
      <c r="HL198" s="156"/>
      <c r="HM198" s="156"/>
      <c r="HN198" s="156"/>
      <c r="HO198" s="156"/>
      <c r="HP198" s="156"/>
      <c r="HQ198" s="156"/>
      <c r="HR198" s="156"/>
      <c r="HS198" s="156"/>
      <c r="HT198" s="156"/>
      <c r="HU198" s="156"/>
      <c r="HV198" s="156"/>
      <c r="HW198" s="156"/>
      <c r="HX198" s="156"/>
      <c r="HY198" s="156"/>
      <c r="HZ198" s="156"/>
      <c r="IA198" s="156"/>
      <c r="IB198" s="156"/>
      <c r="IC198" s="156"/>
      <c r="ID198" s="156"/>
      <c r="IE198" s="156"/>
      <c r="IF198" s="156"/>
      <c r="IG198" s="156"/>
      <c r="IH198" s="156"/>
      <c r="II198" s="156"/>
      <c r="IJ198" s="156"/>
      <c r="IK198" s="156"/>
      <c r="IL198" s="156"/>
      <c r="IM198" s="156"/>
      <c r="IN198" s="156"/>
      <c r="IO198" s="156"/>
      <c r="IP198" s="156"/>
      <c r="IQ198" s="156"/>
      <c r="IR198" s="156"/>
      <c r="IS198" s="156"/>
      <c r="IT198" s="156"/>
      <c r="IU198" s="156"/>
      <c r="IV198" s="156"/>
      <c r="IW198" s="156"/>
      <c r="IX198" s="156"/>
      <c r="IY198" s="156"/>
      <c r="IZ198" s="156"/>
      <c r="JA198" s="156"/>
      <c r="JB198" s="156"/>
      <c r="JC198" s="156"/>
      <c r="JD198" s="156"/>
      <c r="JE198" s="156"/>
      <c r="JF198" s="156"/>
      <c r="JG198" s="156"/>
      <c r="JH198" s="156"/>
      <c r="JI198" s="156"/>
      <c r="JJ198" s="156"/>
      <c r="JK198" s="156"/>
      <c r="JL198" s="156"/>
      <c r="JM198" s="156"/>
      <c r="JN198" s="156"/>
      <c r="JO198" s="156"/>
      <c r="JP198" s="156"/>
      <c r="JQ198" s="156"/>
      <c r="JR198" s="156"/>
      <c r="JS198" s="156"/>
      <c r="JT198" s="156"/>
      <c r="JU198" s="156"/>
      <c r="JV198" s="156"/>
      <c r="JW198" s="156"/>
      <c r="JX198" s="156"/>
      <c r="JY198" s="156"/>
      <c r="JZ198" s="156"/>
      <c r="KA198" s="156"/>
      <c r="KB198" s="156"/>
      <c r="KC198" s="220"/>
      <c r="KD198" s="212"/>
      <c r="KE198" s="218"/>
      <c r="KF198" s="212"/>
      <c r="KG198" s="212"/>
      <c r="KH198" s="212"/>
      <c r="KI198" s="212"/>
      <c r="KJ198" s="212"/>
      <c r="KK198" s="212"/>
      <c r="KL198" s="212"/>
      <c r="KM198" s="212"/>
      <c r="KN198" s="212"/>
      <c r="KO198" s="220"/>
      <c r="KP198" s="212"/>
      <c r="KQ198" s="218"/>
      <c r="KR198" s="212"/>
      <c r="KS198" s="212"/>
      <c r="KT198" s="212"/>
      <c r="KU198" s="218">
        <v>3.0000000000000001E-5</v>
      </c>
      <c r="KV198" s="219"/>
      <c r="KW198" s="220"/>
      <c r="KX198" s="218">
        <v>6.0000000000000002E-5</v>
      </c>
      <c r="KY198" s="219"/>
      <c r="KZ198" s="403"/>
      <c r="LA198" s="404">
        <v>8.0000000000000007E-5</v>
      </c>
      <c r="LB198" s="219"/>
      <c r="LC198" s="403"/>
      <c r="LD198" s="404">
        <v>8.0000000000000007E-5</v>
      </c>
      <c r="LE198" s="219"/>
      <c r="LF198" s="220"/>
      <c r="LG198" s="218">
        <v>8.0000000000000007E-5</v>
      </c>
      <c r="LH198" s="219"/>
      <c r="LI198" s="220"/>
      <c r="LJ198" s="218">
        <v>8.0000000000000007E-5</v>
      </c>
      <c r="LK198" s="219"/>
      <c r="LL198" s="220"/>
      <c r="LM198" s="218">
        <v>6.9999999999999994E-5</v>
      </c>
      <c r="LN198" s="219"/>
      <c r="LO198" s="220"/>
      <c r="LP198" s="218">
        <v>4.0000000000000003E-5</v>
      </c>
      <c r="LQ198" s="219"/>
      <c r="LR198" s="220"/>
      <c r="LS198" s="53"/>
      <c r="LT198" s="54"/>
      <c r="LU198" s="55"/>
      <c r="LV198" s="54"/>
      <c r="LW198" s="54"/>
      <c r="LX198" s="54"/>
      <c r="LY198" s="53"/>
      <c r="LZ198" s="54"/>
      <c r="MA198" s="55"/>
      <c r="MB198" s="54"/>
      <c r="MC198" s="54"/>
      <c r="MD198" s="54"/>
      <c r="ME198" s="53"/>
      <c r="MF198" s="54"/>
      <c r="MG198" s="55"/>
      <c r="MH198" s="53"/>
      <c r="MI198" s="54"/>
      <c r="MJ198" s="55"/>
      <c r="MK198" s="54"/>
      <c r="ML198" s="54"/>
      <c r="MM198" s="54"/>
      <c r="MN198" s="53"/>
      <c r="MO198" s="54"/>
      <c r="MP198" s="55"/>
      <c r="MQ198" s="53"/>
      <c r="MR198" s="54"/>
      <c r="MS198" s="55"/>
      <c r="MT198" s="53"/>
      <c r="MU198" s="54"/>
      <c r="MV198" s="55"/>
      <c r="MW198" s="53"/>
      <c r="MX198" s="54"/>
      <c r="MY198" s="55"/>
      <c r="MZ198" s="53"/>
      <c r="NA198" s="54"/>
      <c r="NB198" s="55"/>
      <c r="NC198" s="54"/>
      <c r="ND198" s="54"/>
      <c r="NE198" s="59"/>
      <c r="NG198" s="275">
        <f>SUM(R198:NE198)</f>
        <v>5.1999999999999995E-4</v>
      </c>
      <c r="NH198" s="1"/>
      <c r="NI198" s="1"/>
      <c r="NJ198" s="1"/>
      <c r="NK198" s="1"/>
    </row>
    <row r="199" spans="5:375" s="6" customFormat="1" ht="6.95" customHeight="1">
      <c r="F199" s="196"/>
      <c r="G199" s="197"/>
      <c r="H199" s="52">
        <v>2</v>
      </c>
      <c r="L199" s="340"/>
      <c r="M199" s="294"/>
      <c r="N199" s="314"/>
      <c r="O199" s="306"/>
      <c r="P199" s="308"/>
      <c r="Q199" s="237"/>
      <c r="R199" s="6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39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  <c r="BW199" s="40"/>
      <c r="BX199" s="40"/>
      <c r="BY199" s="40"/>
      <c r="BZ199" s="41"/>
      <c r="CA199" s="39"/>
      <c r="CB199" s="40"/>
      <c r="CC199" s="40"/>
      <c r="CD199" s="40"/>
      <c r="CE199" s="40"/>
      <c r="CF199" s="40"/>
      <c r="CG199" s="40"/>
      <c r="CH199" s="40"/>
      <c r="CI199" s="40"/>
      <c r="CJ199" s="40"/>
      <c r="CK199" s="40"/>
      <c r="CL199" s="40"/>
      <c r="CM199" s="40"/>
      <c r="CN199" s="40"/>
      <c r="CO199" s="40"/>
      <c r="CP199" s="40"/>
      <c r="CQ199" s="40"/>
      <c r="CR199" s="40"/>
      <c r="CS199" s="40"/>
      <c r="CT199" s="40"/>
      <c r="CU199" s="40"/>
      <c r="CV199" s="40"/>
      <c r="CW199" s="40"/>
      <c r="CX199" s="40"/>
      <c r="CY199" s="40"/>
      <c r="CZ199" s="40"/>
      <c r="DA199" s="40"/>
      <c r="DB199" s="40"/>
      <c r="DC199" s="40"/>
      <c r="DD199" s="40"/>
      <c r="DE199" s="39"/>
      <c r="DF199" s="40"/>
      <c r="DG199" s="40"/>
      <c r="DH199" s="40"/>
      <c r="DI199" s="40"/>
      <c r="DJ199" s="40"/>
      <c r="DK199" s="40"/>
      <c r="DL199" s="40"/>
      <c r="DM199" s="40"/>
      <c r="DN199" s="40"/>
      <c r="DO199" s="40"/>
      <c r="DP199" s="40"/>
      <c r="DQ199" s="40"/>
      <c r="DR199" s="40"/>
      <c r="DS199" s="40"/>
      <c r="DT199" s="40"/>
      <c r="DU199" s="40"/>
      <c r="DV199" s="40"/>
      <c r="DW199" s="40"/>
      <c r="DX199" s="40"/>
      <c r="DY199" s="40"/>
      <c r="DZ199" s="40"/>
      <c r="EA199" s="40"/>
      <c r="EB199" s="40"/>
      <c r="EC199" s="40"/>
      <c r="ED199" s="40"/>
      <c r="EE199" s="40"/>
      <c r="EF199" s="40"/>
      <c r="EG199" s="40"/>
      <c r="EH199" s="40"/>
      <c r="EI199" s="40"/>
      <c r="EJ199" s="40"/>
      <c r="EK199" s="40"/>
      <c r="EL199" s="40"/>
      <c r="EM199" s="40"/>
      <c r="EN199" s="40"/>
      <c r="EO199" s="40"/>
      <c r="EP199" s="40"/>
      <c r="EQ199" s="40"/>
      <c r="ER199" s="40"/>
      <c r="ES199" s="40"/>
      <c r="ET199" s="40"/>
      <c r="EU199" s="40"/>
      <c r="EV199" s="40"/>
      <c r="EW199" s="40"/>
      <c r="EX199" s="40"/>
      <c r="EY199" s="40"/>
      <c r="EZ199" s="40"/>
      <c r="FA199" s="40"/>
      <c r="FB199" s="40"/>
      <c r="FC199" s="40"/>
      <c r="FD199" s="40"/>
      <c r="FE199" s="40"/>
      <c r="FF199" s="40"/>
      <c r="FG199" s="40"/>
      <c r="FH199" s="40"/>
      <c r="FI199" s="40"/>
      <c r="FJ199" s="40"/>
      <c r="FK199" s="40"/>
      <c r="FL199" s="40"/>
      <c r="FM199" s="39"/>
      <c r="FN199" s="101"/>
      <c r="FO199" s="101"/>
      <c r="FP199" s="101"/>
      <c r="FQ199" s="101"/>
      <c r="FR199" s="101"/>
      <c r="FS199" s="101"/>
      <c r="FT199" s="101"/>
      <c r="FU199" s="101"/>
      <c r="FV199" s="101"/>
      <c r="FW199" s="101"/>
      <c r="FX199" s="101"/>
      <c r="FY199" s="101"/>
      <c r="FZ199" s="101"/>
      <c r="GA199" s="101"/>
      <c r="GB199" s="101"/>
      <c r="GC199" s="101"/>
      <c r="GD199" s="101"/>
      <c r="GE199" s="101"/>
      <c r="GF199" s="101"/>
      <c r="GG199" s="101"/>
      <c r="GH199" s="101"/>
      <c r="GI199" s="101"/>
      <c r="GJ199" s="101"/>
      <c r="GK199" s="101"/>
      <c r="GL199" s="101"/>
      <c r="GM199" s="101"/>
      <c r="GN199" s="101"/>
      <c r="GO199" s="101"/>
      <c r="GP199" s="101"/>
      <c r="GQ199" s="40"/>
      <c r="GR199" s="101"/>
      <c r="GS199" s="101"/>
      <c r="GT199" s="101"/>
      <c r="GU199" s="101"/>
      <c r="GV199" s="101"/>
      <c r="GW199" s="101"/>
      <c r="GX199" s="101"/>
      <c r="GY199" s="101"/>
      <c r="GZ199" s="101"/>
      <c r="HA199" s="101"/>
      <c r="HB199" s="101"/>
      <c r="HC199" s="101"/>
      <c r="HD199" s="101"/>
      <c r="HE199" s="101"/>
      <c r="HF199" s="101"/>
      <c r="HG199" s="101"/>
      <c r="HH199" s="101"/>
      <c r="HI199" s="101"/>
      <c r="HJ199" s="101"/>
      <c r="HK199" s="101"/>
      <c r="HL199" s="101"/>
      <c r="HM199" s="101"/>
      <c r="HN199" s="101"/>
      <c r="HO199" s="101"/>
      <c r="HP199" s="101"/>
      <c r="HQ199" s="101"/>
      <c r="HR199" s="101"/>
      <c r="HS199" s="101"/>
      <c r="HT199" s="101"/>
      <c r="HU199" s="39"/>
      <c r="HV199" s="101"/>
      <c r="HW199" s="101"/>
      <c r="HX199" s="101"/>
      <c r="HY199" s="101"/>
      <c r="HZ199" s="101"/>
      <c r="IA199" s="101"/>
      <c r="IB199" s="101"/>
      <c r="IC199" s="101"/>
      <c r="ID199" s="101"/>
      <c r="IE199" s="101"/>
      <c r="IF199" s="101"/>
      <c r="IG199" s="101"/>
      <c r="IH199" s="101"/>
      <c r="II199" s="101"/>
      <c r="IJ199" s="101"/>
      <c r="IK199" s="101"/>
      <c r="IL199" s="101"/>
      <c r="IM199" s="101"/>
      <c r="IN199" s="101"/>
      <c r="IO199" s="101"/>
      <c r="IP199" s="101"/>
      <c r="IQ199" s="101"/>
      <c r="IR199" s="101"/>
      <c r="IS199" s="101"/>
      <c r="IT199" s="101"/>
      <c r="IU199" s="101"/>
      <c r="IV199" s="101"/>
      <c r="IW199" s="101"/>
      <c r="IX199" s="101"/>
      <c r="IY199" s="39"/>
      <c r="IZ199" s="101"/>
      <c r="JA199" s="101"/>
      <c r="JB199" s="101"/>
      <c r="JC199" s="101"/>
      <c r="JD199" s="101"/>
      <c r="JE199" s="101"/>
      <c r="JF199" s="101"/>
      <c r="JG199" s="101"/>
      <c r="JH199" s="101"/>
      <c r="JI199" s="101"/>
      <c r="JJ199" s="101"/>
      <c r="JK199" s="101"/>
      <c r="JL199" s="101"/>
      <c r="JM199" s="101"/>
      <c r="JN199" s="101"/>
      <c r="JO199" s="101"/>
      <c r="JP199" s="101"/>
      <c r="JQ199" s="101"/>
      <c r="JR199" s="101"/>
      <c r="JS199" s="101"/>
      <c r="JT199" s="101"/>
      <c r="JU199" s="101"/>
      <c r="JV199" s="101"/>
      <c r="JW199" s="101"/>
      <c r="JX199" s="101"/>
      <c r="JY199" s="101"/>
      <c r="JZ199" s="101"/>
      <c r="KA199" s="101"/>
      <c r="KB199" s="101"/>
      <c r="KC199" s="40"/>
      <c r="KD199" s="101"/>
      <c r="KE199" s="40"/>
      <c r="KF199" s="39"/>
      <c r="KG199" s="101"/>
      <c r="KH199" s="41"/>
      <c r="KI199" s="40"/>
      <c r="KJ199" s="101"/>
      <c r="KK199" s="40"/>
      <c r="KL199" s="39"/>
      <c r="KM199" s="101"/>
      <c r="KN199" s="41"/>
      <c r="KO199" s="40"/>
      <c r="KP199" s="101"/>
      <c r="KQ199" s="40"/>
      <c r="KR199" s="39"/>
      <c r="KS199" s="101"/>
      <c r="KT199" s="41"/>
      <c r="KU199" s="61"/>
      <c r="KV199" s="62"/>
      <c r="KW199" s="63"/>
      <c r="KX199" s="61"/>
      <c r="KY199" s="62"/>
      <c r="KZ199" s="63"/>
      <c r="LA199" s="61"/>
      <c r="LB199" s="62"/>
      <c r="LC199" s="63"/>
      <c r="LD199" s="61"/>
      <c r="LE199" s="62"/>
      <c r="LF199" s="63"/>
      <c r="LG199" s="61"/>
      <c r="LH199" s="62"/>
      <c r="LI199" s="63"/>
      <c r="LJ199" s="61"/>
      <c r="LK199" s="62"/>
      <c r="LL199" s="63"/>
      <c r="LM199" s="61"/>
      <c r="LN199" s="62"/>
      <c r="LO199" s="63"/>
      <c r="LP199" s="61"/>
      <c r="LQ199" s="62"/>
      <c r="LR199" s="63"/>
      <c r="LS199" s="39"/>
      <c r="LT199" s="40"/>
      <c r="LU199" s="41"/>
      <c r="LV199" s="40"/>
      <c r="LW199" s="40"/>
      <c r="LX199" s="40"/>
      <c r="LY199" s="39"/>
      <c r="LZ199" s="40"/>
      <c r="MA199" s="41"/>
      <c r="MB199" s="40"/>
      <c r="MC199" s="40"/>
      <c r="MD199" s="40"/>
      <c r="ME199" s="39"/>
      <c r="MF199" s="40"/>
      <c r="MG199" s="41"/>
      <c r="MH199" s="39"/>
      <c r="MI199" s="40"/>
      <c r="MJ199" s="41"/>
      <c r="MK199" s="40"/>
      <c r="ML199" s="40"/>
      <c r="MM199" s="40"/>
      <c r="MN199" s="39"/>
      <c r="MO199" s="40"/>
      <c r="MP199" s="41"/>
      <c r="MQ199" s="39"/>
      <c r="MR199" s="40"/>
      <c r="MS199" s="41"/>
      <c r="MT199" s="39"/>
      <c r="MU199" s="40"/>
      <c r="MV199" s="41"/>
      <c r="MW199" s="39"/>
      <c r="MX199" s="40"/>
      <c r="MY199" s="41"/>
      <c r="MZ199" s="39"/>
      <c r="NA199" s="40"/>
      <c r="NB199" s="41"/>
      <c r="NC199" s="40"/>
      <c r="ND199" s="40"/>
      <c r="NE199" s="42"/>
      <c r="NG199" s="275"/>
      <c r="NH199" s="1"/>
      <c r="NI199" s="1"/>
      <c r="NJ199" s="1"/>
      <c r="NK199" s="1"/>
    </row>
    <row r="200" spans="5:375" s="6" customFormat="1" ht="9.9499999999999993" customHeight="1">
      <c r="E200" s="6" t="s">
        <v>247</v>
      </c>
      <c r="F200" s="196">
        <f t="shared" ref="F200" si="480">NG200</f>
        <v>1.8100000000000002E-3</v>
      </c>
      <c r="G200" s="197">
        <f>Q200-F200</f>
        <v>0</v>
      </c>
      <c r="H200" s="27">
        <v>1</v>
      </c>
      <c r="I200" s="19" t="s">
        <v>217</v>
      </c>
      <c r="J200" s="19" t="s">
        <v>184</v>
      </c>
      <c r="K200" s="19" t="s">
        <v>248</v>
      </c>
      <c r="L200" s="292"/>
      <c r="M200" s="300" t="s">
        <v>158</v>
      </c>
      <c r="N200" s="301">
        <v>3861</v>
      </c>
      <c r="O200" s="302" t="s">
        <v>159</v>
      </c>
      <c r="P200" s="315">
        <v>377162</v>
      </c>
      <c r="Q200" s="236">
        <f>ROUND(P200/$P$256,5)</f>
        <v>1.81E-3</v>
      </c>
      <c r="R200" s="73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6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8"/>
      <c r="CA200" s="66"/>
      <c r="CB200" s="67"/>
      <c r="CC200" s="67"/>
      <c r="CD200" s="67"/>
      <c r="CE200" s="67"/>
      <c r="CF200" s="67"/>
      <c r="CG200" s="67"/>
      <c r="CH200" s="67"/>
      <c r="CI200" s="67"/>
      <c r="CJ200" s="67"/>
      <c r="CK200" s="67"/>
      <c r="CL200" s="67"/>
      <c r="CM200" s="67"/>
      <c r="CN200" s="67"/>
      <c r="CO200" s="67"/>
      <c r="CP200" s="67"/>
      <c r="CQ200" s="67"/>
      <c r="CR200" s="67"/>
      <c r="CS200" s="67"/>
      <c r="CT200" s="67"/>
      <c r="CU200" s="67"/>
      <c r="CV200" s="67"/>
      <c r="CW200" s="67"/>
      <c r="CX200" s="67"/>
      <c r="CY200" s="67"/>
      <c r="CZ200" s="67"/>
      <c r="DA200" s="67"/>
      <c r="DB200" s="67"/>
      <c r="DC200" s="67"/>
      <c r="DD200" s="67"/>
      <c r="DE200" s="66"/>
      <c r="DF200" s="67"/>
      <c r="DG200" s="67"/>
      <c r="DH200" s="67"/>
      <c r="DI200" s="67"/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67"/>
      <c r="EB200" s="67"/>
      <c r="EC200" s="67"/>
      <c r="ED200" s="67"/>
      <c r="EE200" s="67"/>
      <c r="EF200" s="67"/>
      <c r="EG200" s="67"/>
      <c r="EH200" s="67"/>
      <c r="EI200" s="67"/>
      <c r="EJ200" s="67"/>
      <c r="EK200" s="67"/>
      <c r="EL200" s="67"/>
      <c r="EM200" s="67"/>
      <c r="EN200" s="67"/>
      <c r="EO200" s="67"/>
      <c r="EP200" s="67"/>
      <c r="EQ200" s="67"/>
      <c r="ER200" s="67"/>
      <c r="ES200" s="67"/>
      <c r="ET200" s="67"/>
      <c r="EU200" s="67"/>
      <c r="EV200" s="67"/>
      <c r="EW200" s="67"/>
      <c r="EX200" s="67"/>
      <c r="EY200" s="67"/>
      <c r="EZ200" s="67"/>
      <c r="FA200" s="67"/>
      <c r="FB200" s="67"/>
      <c r="FC200" s="67"/>
      <c r="FD200" s="67"/>
      <c r="FE200" s="67"/>
      <c r="FF200" s="67"/>
      <c r="FG200" s="67"/>
      <c r="FH200" s="67"/>
      <c r="FI200" s="67"/>
      <c r="FJ200" s="67"/>
      <c r="FK200" s="67"/>
      <c r="FL200" s="67"/>
      <c r="FM200" s="157"/>
      <c r="FN200" s="157"/>
      <c r="FO200" s="157"/>
      <c r="FP200" s="157"/>
      <c r="FQ200" s="157"/>
      <c r="FR200" s="157"/>
      <c r="FS200" s="157"/>
      <c r="FT200" s="157"/>
      <c r="FU200" s="157"/>
      <c r="FV200" s="157"/>
      <c r="FW200" s="157"/>
      <c r="FX200" s="157"/>
      <c r="FY200" s="157"/>
      <c r="FZ200" s="157"/>
      <c r="GA200" s="157"/>
      <c r="GB200" s="157"/>
      <c r="GC200" s="157"/>
      <c r="GD200" s="157"/>
      <c r="GE200" s="157"/>
      <c r="GF200" s="157"/>
      <c r="GG200" s="157"/>
      <c r="GH200" s="157"/>
      <c r="GI200" s="157"/>
      <c r="GJ200" s="157"/>
      <c r="GK200" s="157"/>
      <c r="GL200" s="157"/>
      <c r="GM200" s="157"/>
      <c r="GN200" s="157"/>
      <c r="GO200" s="157"/>
      <c r="GP200" s="157"/>
      <c r="GQ200" s="154"/>
      <c r="GR200" s="157"/>
      <c r="GS200" s="157"/>
      <c r="GT200" s="157"/>
      <c r="GU200" s="157"/>
      <c r="GV200" s="157"/>
      <c r="GW200" s="157"/>
      <c r="GX200" s="157"/>
      <c r="GY200" s="157"/>
      <c r="GZ200" s="157"/>
      <c r="HA200" s="157"/>
      <c r="HB200" s="157"/>
      <c r="HC200" s="157"/>
      <c r="HD200" s="157"/>
      <c r="HE200" s="157"/>
      <c r="HF200" s="157"/>
      <c r="HG200" s="157"/>
      <c r="HH200" s="157"/>
      <c r="HI200" s="157"/>
      <c r="HJ200" s="157"/>
      <c r="HK200" s="157"/>
      <c r="HL200" s="157"/>
      <c r="HM200" s="157"/>
      <c r="HN200" s="157"/>
      <c r="HO200" s="157"/>
      <c r="HP200" s="157"/>
      <c r="HQ200" s="157"/>
      <c r="HR200" s="157"/>
      <c r="HS200" s="157"/>
      <c r="HT200" s="157"/>
      <c r="HU200" s="157"/>
      <c r="HV200" s="157"/>
      <c r="HW200" s="157"/>
      <c r="HX200" s="157"/>
      <c r="HY200" s="157"/>
      <c r="HZ200" s="157"/>
      <c r="IA200" s="157"/>
      <c r="IB200" s="157"/>
      <c r="IC200" s="157"/>
      <c r="ID200" s="157"/>
      <c r="IE200" s="157"/>
      <c r="IF200" s="157"/>
      <c r="IG200" s="157"/>
      <c r="IH200" s="157"/>
      <c r="II200" s="157"/>
      <c r="IJ200" s="157"/>
      <c r="IK200" s="157"/>
      <c r="IL200" s="157"/>
      <c r="IM200" s="157"/>
      <c r="IN200" s="157"/>
      <c r="IO200" s="157"/>
      <c r="IP200" s="157"/>
      <c r="IQ200" s="157"/>
      <c r="IR200" s="157"/>
      <c r="IS200" s="157"/>
      <c r="IT200" s="157"/>
      <c r="IU200" s="157"/>
      <c r="IV200" s="157"/>
      <c r="IW200" s="157"/>
      <c r="IX200" s="157"/>
      <c r="IY200" s="157"/>
      <c r="IZ200" s="157"/>
      <c r="JA200" s="157"/>
      <c r="JB200" s="157"/>
      <c r="JC200" s="157"/>
      <c r="JD200" s="157"/>
      <c r="JE200" s="157"/>
      <c r="JF200" s="157"/>
      <c r="JG200" s="157"/>
      <c r="JH200" s="157"/>
      <c r="JI200" s="157"/>
      <c r="JJ200" s="157"/>
      <c r="JK200" s="157"/>
      <c r="JL200" s="157"/>
      <c r="JM200" s="157"/>
      <c r="JN200" s="157"/>
      <c r="JO200" s="157"/>
      <c r="JP200" s="157"/>
      <c r="JQ200" s="157"/>
      <c r="JR200" s="157"/>
      <c r="JS200" s="157"/>
      <c r="JT200" s="157"/>
      <c r="JU200" s="157"/>
      <c r="JV200" s="157"/>
      <c r="JW200" s="157"/>
      <c r="JX200" s="157"/>
      <c r="JY200" s="157"/>
      <c r="JZ200" s="157"/>
      <c r="KA200" s="157"/>
      <c r="KB200" s="157"/>
      <c r="KC200" s="215"/>
      <c r="KD200" s="214"/>
      <c r="KE200" s="216"/>
      <c r="KF200" s="214"/>
      <c r="KG200" s="214"/>
      <c r="KH200" s="214"/>
      <c r="KI200" s="214"/>
      <c r="KJ200" s="214"/>
      <c r="KK200" s="214"/>
      <c r="KL200" s="214"/>
      <c r="KM200" s="214"/>
      <c r="KN200" s="214"/>
      <c r="KO200" s="215"/>
      <c r="KP200" s="214"/>
      <c r="KQ200" s="216"/>
      <c r="KR200" s="214"/>
      <c r="KS200" s="214"/>
      <c r="KT200" s="214"/>
      <c r="KU200" s="214">
        <v>2.5000000000000001E-4</v>
      </c>
      <c r="KV200" s="214"/>
      <c r="KW200" s="214"/>
      <c r="KX200" s="215">
        <v>4.4000000000000002E-4</v>
      </c>
      <c r="KY200" s="214"/>
      <c r="KZ200" s="216"/>
      <c r="LA200" s="233">
        <v>4.4000000000000002E-4</v>
      </c>
      <c r="LB200" s="214"/>
      <c r="LC200" s="234"/>
      <c r="LD200" s="215">
        <v>3.4000000000000002E-4</v>
      </c>
      <c r="LE200" s="214"/>
      <c r="LF200" s="214"/>
      <c r="LG200" s="214">
        <v>3.4000000000000002E-4</v>
      </c>
      <c r="LH200" s="214"/>
      <c r="LI200" s="214"/>
      <c r="LJ200" s="214"/>
      <c r="LK200" s="214"/>
      <c r="LL200" s="214"/>
      <c r="LM200" s="214"/>
      <c r="LN200" s="214"/>
      <c r="LO200" s="214"/>
      <c r="LP200" s="214"/>
      <c r="LQ200" s="214"/>
      <c r="LR200" s="214"/>
      <c r="LS200" s="66"/>
      <c r="LT200" s="67"/>
      <c r="LU200" s="68"/>
      <c r="LV200" s="67"/>
      <c r="LW200" s="67"/>
      <c r="LX200" s="67"/>
      <c r="LY200" s="66"/>
      <c r="LZ200" s="67"/>
      <c r="MA200" s="68"/>
      <c r="MB200" s="67"/>
      <c r="MC200" s="67"/>
      <c r="MD200" s="67"/>
      <c r="ME200" s="66"/>
      <c r="MF200" s="67"/>
      <c r="MG200" s="68"/>
      <c r="MH200" s="66"/>
      <c r="MI200" s="67"/>
      <c r="MJ200" s="68"/>
      <c r="MK200" s="67"/>
      <c r="ML200" s="67"/>
      <c r="MM200" s="67"/>
      <c r="MN200" s="66"/>
      <c r="MO200" s="67"/>
      <c r="MP200" s="68"/>
      <c r="MQ200" s="66"/>
      <c r="MR200" s="67"/>
      <c r="MS200" s="68"/>
      <c r="MT200" s="66"/>
      <c r="MU200" s="67"/>
      <c r="MV200" s="68"/>
      <c r="MW200" s="66"/>
      <c r="MX200" s="67"/>
      <c r="MY200" s="68"/>
      <c r="MZ200" s="66"/>
      <c r="NA200" s="67"/>
      <c r="NB200" s="68"/>
      <c r="NC200" s="67"/>
      <c r="ND200" s="67"/>
      <c r="NE200" s="72"/>
      <c r="NG200" s="275">
        <f>SUM(R200:NE200)</f>
        <v>1.8100000000000002E-3</v>
      </c>
      <c r="NH200" s="1"/>
      <c r="NI200" s="1"/>
      <c r="NJ200" s="1"/>
      <c r="NK200" s="1"/>
    </row>
    <row r="201" spans="5:375" s="6" customFormat="1" ht="6.95" customHeight="1">
      <c r="F201" s="196"/>
      <c r="G201" s="197"/>
      <c r="H201" s="52">
        <v>2</v>
      </c>
      <c r="L201" s="292"/>
      <c r="M201" s="300"/>
      <c r="N201" s="301"/>
      <c r="O201" s="302"/>
      <c r="P201" s="315"/>
      <c r="Q201" s="237"/>
      <c r="R201" s="73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6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8"/>
      <c r="CA201" s="66"/>
      <c r="CB201" s="67"/>
      <c r="CC201" s="67"/>
      <c r="CD201" s="67"/>
      <c r="CE201" s="67"/>
      <c r="CF201" s="67"/>
      <c r="CG201" s="67"/>
      <c r="CH201" s="67"/>
      <c r="CI201" s="67"/>
      <c r="CJ201" s="67"/>
      <c r="CK201" s="67"/>
      <c r="CL201" s="67"/>
      <c r="CM201" s="67"/>
      <c r="CN201" s="67"/>
      <c r="CO201" s="67"/>
      <c r="CP201" s="67"/>
      <c r="CQ201" s="67"/>
      <c r="CR201" s="67"/>
      <c r="CS201" s="67"/>
      <c r="CT201" s="67"/>
      <c r="CU201" s="67"/>
      <c r="CV201" s="67"/>
      <c r="CW201" s="67"/>
      <c r="CX201" s="67"/>
      <c r="CY201" s="67"/>
      <c r="CZ201" s="67"/>
      <c r="DA201" s="67"/>
      <c r="DB201" s="67"/>
      <c r="DC201" s="67"/>
      <c r="DD201" s="67"/>
      <c r="DE201" s="66"/>
      <c r="DF201" s="67"/>
      <c r="DG201" s="67"/>
      <c r="DH201" s="67"/>
      <c r="DI201" s="67"/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67"/>
      <c r="EB201" s="67"/>
      <c r="EC201" s="67"/>
      <c r="ED201" s="67"/>
      <c r="EE201" s="67"/>
      <c r="EF201" s="67"/>
      <c r="EG201" s="67"/>
      <c r="EH201" s="67"/>
      <c r="EI201" s="67"/>
      <c r="EJ201" s="67"/>
      <c r="EK201" s="67"/>
      <c r="EL201" s="67"/>
      <c r="EM201" s="67"/>
      <c r="EN201" s="67"/>
      <c r="EO201" s="67"/>
      <c r="EP201" s="67"/>
      <c r="EQ201" s="67"/>
      <c r="ER201" s="67"/>
      <c r="ES201" s="67"/>
      <c r="ET201" s="67"/>
      <c r="EU201" s="67"/>
      <c r="EV201" s="67"/>
      <c r="EW201" s="67"/>
      <c r="EX201" s="67"/>
      <c r="EY201" s="67"/>
      <c r="EZ201" s="67"/>
      <c r="FA201" s="67"/>
      <c r="FB201" s="67"/>
      <c r="FC201" s="67"/>
      <c r="FD201" s="67"/>
      <c r="FE201" s="67"/>
      <c r="FF201" s="67"/>
      <c r="FG201" s="67"/>
      <c r="FH201" s="67"/>
      <c r="FI201" s="67"/>
      <c r="FJ201" s="67"/>
      <c r="FK201" s="67"/>
      <c r="FL201" s="67"/>
      <c r="FM201" s="66"/>
      <c r="FN201" s="115"/>
      <c r="FO201" s="115"/>
      <c r="FP201" s="115"/>
      <c r="FQ201" s="115"/>
      <c r="FR201" s="115"/>
      <c r="FS201" s="115"/>
      <c r="FT201" s="115"/>
      <c r="FU201" s="115"/>
      <c r="FV201" s="115"/>
      <c r="FW201" s="115"/>
      <c r="FX201" s="115"/>
      <c r="FY201" s="115"/>
      <c r="FZ201" s="115"/>
      <c r="GA201" s="115"/>
      <c r="GB201" s="115"/>
      <c r="GC201" s="115"/>
      <c r="GD201" s="115"/>
      <c r="GE201" s="115"/>
      <c r="GF201" s="115"/>
      <c r="GG201" s="115"/>
      <c r="GH201" s="115"/>
      <c r="GI201" s="115"/>
      <c r="GJ201" s="115"/>
      <c r="GK201" s="115"/>
      <c r="GL201" s="115"/>
      <c r="GM201" s="115"/>
      <c r="GN201" s="115"/>
      <c r="GO201" s="115"/>
      <c r="GP201" s="115"/>
      <c r="GQ201" s="67"/>
      <c r="GR201" s="115"/>
      <c r="GS201" s="115"/>
      <c r="GT201" s="115"/>
      <c r="GU201" s="115"/>
      <c r="GV201" s="115"/>
      <c r="GW201" s="115"/>
      <c r="GX201" s="115"/>
      <c r="GY201" s="115"/>
      <c r="GZ201" s="115"/>
      <c r="HA201" s="115"/>
      <c r="HB201" s="115"/>
      <c r="HC201" s="115"/>
      <c r="HD201" s="115"/>
      <c r="HE201" s="115"/>
      <c r="HF201" s="115"/>
      <c r="HG201" s="115"/>
      <c r="HH201" s="115"/>
      <c r="HI201" s="115"/>
      <c r="HJ201" s="115"/>
      <c r="HK201" s="115"/>
      <c r="HL201" s="115"/>
      <c r="HM201" s="115"/>
      <c r="HN201" s="115"/>
      <c r="HO201" s="115"/>
      <c r="HP201" s="115"/>
      <c r="HQ201" s="115"/>
      <c r="HR201" s="115"/>
      <c r="HS201" s="115"/>
      <c r="HT201" s="115"/>
      <c r="HU201" s="66"/>
      <c r="HV201" s="115"/>
      <c r="HW201" s="115"/>
      <c r="HX201" s="115"/>
      <c r="HY201" s="115"/>
      <c r="HZ201" s="115"/>
      <c r="IA201" s="115"/>
      <c r="IB201" s="115"/>
      <c r="IC201" s="115"/>
      <c r="ID201" s="115"/>
      <c r="IE201" s="115"/>
      <c r="IF201" s="115"/>
      <c r="IG201" s="115"/>
      <c r="IH201" s="115"/>
      <c r="II201" s="115"/>
      <c r="IJ201" s="115"/>
      <c r="IK201" s="115"/>
      <c r="IL201" s="115"/>
      <c r="IM201" s="115"/>
      <c r="IN201" s="115"/>
      <c r="IO201" s="115"/>
      <c r="IP201" s="115"/>
      <c r="IQ201" s="115"/>
      <c r="IR201" s="115"/>
      <c r="IS201" s="115"/>
      <c r="IT201" s="115"/>
      <c r="IU201" s="115"/>
      <c r="IV201" s="115"/>
      <c r="IW201" s="115"/>
      <c r="IX201" s="115"/>
      <c r="IY201" s="66"/>
      <c r="IZ201" s="115"/>
      <c r="JA201" s="115"/>
      <c r="JB201" s="115"/>
      <c r="JC201" s="115"/>
      <c r="JD201" s="115"/>
      <c r="JE201" s="115"/>
      <c r="JF201" s="115"/>
      <c r="JG201" s="115"/>
      <c r="JH201" s="115"/>
      <c r="JI201" s="115"/>
      <c r="JJ201" s="115"/>
      <c r="JK201" s="115"/>
      <c r="JL201" s="115"/>
      <c r="JM201" s="115"/>
      <c r="JN201" s="115"/>
      <c r="JO201" s="115"/>
      <c r="JP201" s="115"/>
      <c r="JQ201" s="115"/>
      <c r="JR201" s="115"/>
      <c r="JS201" s="115"/>
      <c r="JT201" s="115"/>
      <c r="JU201" s="115"/>
      <c r="JV201" s="115"/>
      <c r="JW201" s="115"/>
      <c r="JX201" s="115"/>
      <c r="JY201" s="115"/>
      <c r="JZ201" s="115"/>
      <c r="KA201" s="115"/>
      <c r="KB201" s="115"/>
      <c r="KC201" s="67"/>
      <c r="KD201" s="115"/>
      <c r="KE201" s="67"/>
      <c r="KF201" s="66"/>
      <c r="KG201" s="115"/>
      <c r="KH201" s="68"/>
      <c r="KI201" s="67"/>
      <c r="KJ201" s="115"/>
      <c r="KK201" s="67"/>
      <c r="KL201" s="66"/>
      <c r="KM201" s="115"/>
      <c r="KN201" s="68"/>
      <c r="KO201" s="67"/>
      <c r="KP201" s="115"/>
      <c r="KQ201" s="67"/>
      <c r="KR201" s="66"/>
      <c r="KS201" s="115"/>
      <c r="KT201" s="68"/>
      <c r="KU201" s="61"/>
      <c r="KV201" s="62"/>
      <c r="KW201" s="63"/>
      <c r="KX201" s="61"/>
      <c r="KY201" s="62"/>
      <c r="KZ201" s="63"/>
      <c r="LA201" s="61"/>
      <c r="LB201" s="62"/>
      <c r="LC201" s="63"/>
      <c r="LD201" s="61"/>
      <c r="LE201" s="62"/>
      <c r="LF201" s="63"/>
      <c r="LG201" s="61"/>
      <c r="LH201" s="62"/>
      <c r="LI201" s="63"/>
      <c r="LJ201" s="39"/>
      <c r="LK201" s="101"/>
      <c r="LL201" s="41"/>
      <c r="LM201" s="39"/>
      <c r="LN201" s="101"/>
      <c r="LO201" s="41"/>
      <c r="LP201" s="39"/>
      <c r="LQ201" s="101"/>
      <c r="LR201" s="41"/>
      <c r="LS201" s="66"/>
      <c r="LT201" s="67"/>
      <c r="LU201" s="68"/>
      <c r="LV201" s="67"/>
      <c r="LW201" s="67"/>
      <c r="LX201" s="67"/>
      <c r="LY201" s="66"/>
      <c r="LZ201" s="67"/>
      <c r="MA201" s="68"/>
      <c r="MB201" s="67"/>
      <c r="MC201" s="67"/>
      <c r="MD201" s="67"/>
      <c r="ME201" s="66"/>
      <c r="MF201" s="67"/>
      <c r="MG201" s="68"/>
      <c r="MH201" s="66"/>
      <c r="MI201" s="67"/>
      <c r="MJ201" s="68"/>
      <c r="MK201" s="67"/>
      <c r="ML201" s="67"/>
      <c r="MM201" s="67"/>
      <c r="MN201" s="66"/>
      <c r="MO201" s="67"/>
      <c r="MP201" s="68"/>
      <c r="MQ201" s="66"/>
      <c r="MR201" s="67"/>
      <c r="MS201" s="68"/>
      <c r="MT201" s="66"/>
      <c r="MU201" s="67"/>
      <c r="MV201" s="68"/>
      <c r="MW201" s="66"/>
      <c r="MX201" s="67"/>
      <c r="MY201" s="68"/>
      <c r="MZ201" s="66"/>
      <c r="NA201" s="67"/>
      <c r="NB201" s="68"/>
      <c r="NC201" s="67"/>
      <c r="ND201" s="67"/>
      <c r="NE201" s="72"/>
      <c r="NG201" s="275"/>
      <c r="NH201" s="1"/>
      <c r="NI201" s="1"/>
      <c r="NJ201" s="1"/>
      <c r="NK201" s="1"/>
    </row>
    <row r="202" spans="5:375" s="6" customFormat="1" ht="9.9499999999999993" customHeight="1">
      <c r="F202" s="196">
        <f t="shared" ref="F202" si="481">NG202</f>
        <v>1.09E-3</v>
      </c>
      <c r="G202" s="197">
        <f>Q202-F202</f>
        <v>0</v>
      </c>
      <c r="H202" s="27">
        <v>1</v>
      </c>
      <c r="L202" s="339"/>
      <c r="M202" s="293" t="s">
        <v>160</v>
      </c>
      <c r="N202" s="313">
        <v>214</v>
      </c>
      <c r="O202" s="305" t="s">
        <v>15</v>
      </c>
      <c r="P202" s="307">
        <v>226452</v>
      </c>
      <c r="Q202" s="236">
        <f>ROUND(P202/$P$256,5)</f>
        <v>1.09E-3</v>
      </c>
      <c r="R202" s="76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3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5"/>
      <c r="CA202" s="53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54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3"/>
      <c r="DF202" s="54"/>
      <c r="DG202" s="54"/>
      <c r="DH202" s="54"/>
      <c r="DI202" s="54"/>
      <c r="DJ202" s="54"/>
      <c r="DK202" s="54"/>
      <c r="DL202" s="54"/>
      <c r="DM202" s="54"/>
      <c r="DN202" s="54"/>
      <c r="DO202" s="54"/>
      <c r="DP202" s="54"/>
      <c r="DQ202" s="54"/>
      <c r="DR202" s="54"/>
      <c r="DS202" s="54"/>
      <c r="DT202" s="54"/>
      <c r="DU202" s="54"/>
      <c r="DV202" s="54"/>
      <c r="DW202" s="54"/>
      <c r="DX202" s="54"/>
      <c r="DY202" s="54"/>
      <c r="DZ202" s="54"/>
      <c r="EA202" s="54"/>
      <c r="EB202" s="54"/>
      <c r="EC202" s="54"/>
      <c r="ED202" s="54"/>
      <c r="EE202" s="54"/>
      <c r="EF202" s="54"/>
      <c r="EG202" s="54"/>
      <c r="EH202" s="54"/>
      <c r="EI202" s="54"/>
      <c r="EJ202" s="54"/>
      <c r="EK202" s="54"/>
      <c r="EL202" s="54"/>
      <c r="EM202" s="54"/>
      <c r="EN202" s="54"/>
      <c r="EO202" s="54"/>
      <c r="EP202" s="54"/>
      <c r="EQ202" s="54"/>
      <c r="ER202" s="54"/>
      <c r="ES202" s="54"/>
      <c r="ET202" s="54"/>
      <c r="EU202" s="54"/>
      <c r="EV202" s="54"/>
      <c r="EW202" s="54"/>
      <c r="EX202" s="54"/>
      <c r="EY202" s="54"/>
      <c r="EZ202" s="54"/>
      <c r="FA202" s="54"/>
      <c r="FB202" s="54"/>
      <c r="FC202" s="54"/>
      <c r="FD202" s="54"/>
      <c r="FE202" s="54"/>
      <c r="FF202" s="54"/>
      <c r="FG202" s="54"/>
      <c r="FH202" s="54"/>
      <c r="FI202" s="54"/>
      <c r="FJ202" s="54"/>
      <c r="FK202" s="54"/>
      <c r="FL202" s="54"/>
      <c r="FM202" s="53"/>
      <c r="FN202" s="54"/>
      <c r="FO202" s="54"/>
      <c r="FP202" s="54"/>
      <c r="FQ202" s="54"/>
      <c r="FR202" s="54"/>
      <c r="FS202" s="54"/>
      <c r="FT202" s="54"/>
      <c r="FU202" s="54"/>
      <c r="FV202" s="54"/>
      <c r="FW202" s="54"/>
      <c r="FX202" s="54"/>
      <c r="FY202" s="54"/>
      <c r="FZ202" s="54"/>
      <c r="GA202" s="54"/>
      <c r="GB202" s="54"/>
      <c r="GC202" s="54"/>
      <c r="GD202" s="54"/>
      <c r="GE202" s="54"/>
      <c r="GF202" s="54"/>
      <c r="GG202" s="54"/>
      <c r="GH202" s="54"/>
      <c r="GI202" s="54"/>
      <c r="GJ202" s="54"/>
      <c r="GK202" s="54"/>
      <c r="GL202" s="54"/>
      <c r="GM202" s="54"/>
      <c r="GN202" s="54"/>
      <c r="GO202" s="54"/>
      <c r="GP202" s="54"/>
      <c r="GQ202" s="54"/>
      <c r="GR202" s="54"/>
      <c r="GS202" s="54"/>
      <c r="GT202" s="54"/>
      <c r="GU202" s="54"/>
      <c r="GV202" s="54"/>
      <c r="GW202" s="54"/>
      <c r="GX202" s="54"/>
      <c r="GY202" s="54"/>
      <c r="GZ202" s="54"/>
      <c r="HA202" s="54"/>
      <c r="HB202" s="54"/>
      <c r="HC202" s="54"/>
      <c r="HD202" s="54"/>
      <c r="HE202" s="54"/>
      <c r="HF202" s="54"/>
      <c r="HG202" s="54"/>
      <c r="HH202" s="54"/>
      <c r="HI202" s="54"/>
      <c r="HJ202" s="54"/>
      <c r="HK202" s="54"/>
      <c r="HL202" s="54"/>
      <c r="HM202" s="54"/>
      <c r="HN202" s="54"/>
      <c r="HO202" s="54"/>
      <c r="HP202" s="54"/>
      <c r="HQ202" s="54"/>
      <c r="HR202" s="54"/>
      <c r="HS202" s="54"/>
      <c r="HT202" s="54"/>
      <c r="HU202" s="53"/>
      <c r="HV202" s="54"/>
      <c r="HW202" s="54"/>
      <c r="HX202" s="54"/>
      <c r="HY202" s="54"/>
      <c r="HZ202" s="54"/>
      <c r="IA202" s="54"/>
      <c r="IB202" s="54"/>
      <c r="IC202" s="54"/>
      <c r="ID202" s="54"/>
      <c r="IE202" s="54"/>
      <c r="IF202" s="54"/>
      <c r="IG202" s="54"/>
      <c r="IH202" s="54"/>
      <c r="II202" s="54"/>
      <c r="IJ202" s="54"/>
      <c r="IK202" s="54"/>
      <c r="IL202" s="54"/>
      <c r="IM202" s="54"/>
      <c r="IN202" s="54"/>
      <c r="IO202" s="54"/>
      <c r="IP202" s="54"/>
      <c r="IQ202" s="54"/>
      <c r="IR202" s="54"/>
      <c r="IS202" s="54"/>
      <c r="IT202" s="54"/>
      <c r="IU202" s="54"/>
      <c r="IV202" s="54"/>
      <c r="IW202" s="54"/>
      <c r="IX202" s="54"/>
      <c r="IY202" s="53"/>
      <c r="IZ202" s="54"/>
      <c r="JA202" s="54"/>
      <c r="JB202" s="54"/>
      <c r="JC202" s="54"/>
      <c r="JD202" s="54"/>
      <c r="JE202" s="54"/>
      <c r="JF202" s="54"/>
      <c r="JG202" s="54"/>
      <c r="JH202" s="54"/>
      <c r="JI202" s="54"/>
      <c r="JJ202" s="54"/>
      <c r="JK202" s="54"/>
      <c r="JL202" s="54"/>
      <c r="JM202" s="54"/>
      <c r="JN202" s="54"/>
      <c r="JO202" s="54"/>
      <c r="JP202" s="54"/>
      <c r="JQ202" s="54"/>
      <c r="JR202" s="54"/>
      <c r="JS202" s="54"/>
      <c r="JT202" s="54"/>
      <c r="JU202" s="54"/>
      <c r="JV202" s="54"/>
      <c r="JW202" s="54"/>
      <c r="JX202" s="54"/>
      <c r="JY202" s="54"/>
      <c r="JZ202" s="54"/>
      <c r="KA202" s="54"/>
      <c r="KB202" s="54"/>
      <c r="KC202" s="54"/>
      <c r="KD202" s="54"/>
      <c r="KE202" s="54"/>
      <c r="KF202" s="53"/>
      <c r="KG202" s="54"/>
      <c r="KH202" s="55"/>
      <c r="KI202" s="54"/>
      <c r="KJ202" s="54"/>
      <c r="KK202" s="54"/>
      <c r="KL202" s="53"/>
      <c r="KM202" s="54"/>
      <c r="KN202" s="55"/>
      <c r="KO202" s="54"/>
      <c r="KP202" s="54"/>
      <c r="KQ202" s="54"/>
      <c r="KR202" s="53"/>
      <c r="KS202" s="54"/>
      <c r="KT202" s="55"/>
      <c r="KU202" s="53"/>
      <c r="KV202" s="54"/>
      <c r="KW202" s="55"/>
      <c r="KX202" s="54"/>
      <c r="KY202" s="54"/>
      <c r="KZ202" s="54"/>
      <c r="LA202" s="57"/>
      <c r="LB202" s="54"/>
      <c r="LC202" s="58"/>
      <c r="LD202" s="54"/>
      <c r="LE202" s="54"/>
      <c r="LF202" s="55"/>
      <c r="LG202" s="66"/>
      <c r="LH202" s="67"/>
      <c r="LI202" s="68"/>
      <c r="LJ202" s="214">
        <v>4.0999999999999999E-4</v>
      </c>
      <c r="LK202" s="214"/>
      <c r="LL202" s="214"/>
      <c r="LM202" s="214">
        <v>4.4000000000000002E-4</v>
      </c>
      <c r="LN202" s="214"/>
      <c r="LO202" s="214"/>
      <c r="LP202" s="214">
        <v>2.4000000000000001E-4</v>
      </c>
      <c r="LQ202" s="214"/>
      <c r="LR202" s="214"/>
      <c r="LS202" s="53"/>
      <c r="LT202" s="54"/>
      <c r="LU202" s="55"/>
      <c r="LV202" s="54"/>
      <c r="LW202" s="54"/>
      <c r="LX202" s="54"/>
      <c r="LY202" s="53"/>
      <c r="LZ202" s="54"/>
      <c r="MA202" s="55"/>
      <c r="MB202" s="54"/>
      <c r="MC202" s="54"/>
      <c r="MD202" s="54"/>
      <c r="ME202" s="53"/>
      <c r="MF202" s="54"/>
      <c r="MG202" s="55"/>
      <c r="MH202" s="53"/>
      <c r="MI202" s="54"/>
      <c r="MJ202" s="55"/>
      <c r="MK202" s="54"/>
      <c r="ML202" s="54"/>
      <c r="MM202" s="54"/>
      <c r="MN202" s="53"/>
      <c r="MO202" s="54"/>
      <c r="MP202" s="55"/>
      <c r="MQ202" s="53"/>
      <c r="MR202" s="54"/>
      <c r="MS202" s="55"/>
      <c r="MT202" s="53"/>
      <c r="MU202" s="54"/>
      <c r="MV202" s="55"/>
      <c r="MW202" s="53"/>
      <c r="MX202" s="54"/>
      <c r="MY202" s="55"/>
      <c r="MZ202" s="53"/>
      <c r="NA202" s="54"/>
      <c r="NB202" s="55"/>
      <c r="NC202" s="54"/>
      <c r="ND202" s="54"/>
      <c r="NE202" s="59"/>
      <c r="NG202" s="275">
        <f>SUM(R202:NE202)</f>
        <v>1.09E-3</v>
      </c>
      <c r="NH202" s="1"/>
      <c r="NI202" s="1"/>
      <c r="NJ202" s="1"/>
      <c r="NK202" s="1"/>
    </row>
    <row r="203" spans="5:375" s="6" customFormat="1" ht="6.95" customHeight="1">
      <c r="F203" s="196"/>
      <c r="G203" s="197"/>
      <c r="H203" s="52">
        <v>2</v>
      </c>
      <c r="L203" s="340"/>
      <c r="M203" s="294"/>
      <c r="N203" s="314"/>
      <c r="O203" s="306"/>
      <c r="P203" s="308"/>
      <c r="Q203" s="237"/>
      <c r="R203" s="6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39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  <c r="BW203" s="40"/>
      <c r="BX203" s="40"/>
      <c r="BY203" s="40"/>
      <c r="BZ203" s="41"/>
      <c r="CA203" s="39"/>
      <c r="CB203" s="40"/>
      <c r="CC203" s="40"/>
      <c r="CD203" s="40"/>
      <c r="CE203" s="40"/>
      <c r="CF203" s="40"/>
      <c r="CG203" s="40"/>
      <c r="CH203" s="40"/>
      <c r="CI203" s="40"/>
      <c r="CJ203" s="40"/>
      <c r="CK203" s="40"/>
      <c r="CL203" s="40"/>
      <c r="CM203" s="40"/>
      <c r="CN203" s="40"/>
      <c r="CO203" s="40"/>
      <c r="CP203" s="40"/>
      <c r="CQ203" s="40"/>
      <c r="CR203" s="40"/>
      <c r="CS203" s="40"/>
      <c r="CT203" s="40"/>
      <c r="CU203" s="40"/>
      <c r="CV203" s="40"/>
      <c r="CW203" s="40"/>
      <c r="CX203" s="40"/>
      <c r="CY203" s="40"/>
      <c r="CZ203" s="40"/>
      <c r="DA203" s="40"/>
      <c r="DB203" s="40"/>
      <c r="DC203" s="40"/>
      <c r="DD203" s="40"/>
      <c r="DE203" s="39"/>
      <c r="DF203" s="40"/>
      <c r="DG203" s="40"/>
      <c r="DH203" s="40"/>
      <c r="DI203" s="40"/>
      <c r="DJ203" s="40"/>
      <c r="DK203" s="40"/>
      <c r="DL203" s="40"/>
      <c r="DM203" s="40"/>
      <c r="DN203" s="40"/>
      <c r="DO203" s="40"/>
      <c r="DP203" s="40"/>
      <c r="DQ203" s="40"/>
      <c r="DR203" s="40"/>
      <c r="DS203" s="40"/>
      <c r="DT203" s="40"/>
      <c r="DU203" s="40"/>
      <c r="DV203" s="40"/>
      <c r="DW203" s="40"/>
      <c r="DX203" s="40"/>
      <c r="DY203" s="40"/>
      <c r="DZ203" s="40"/>
      <c r="EA203" s="40"/>
      <c r="EB203" s="40"/>
      <c r="EC203" s="40"/>
      <c r="ED203" s="40"/>
      <c r="EE203" s="40"/>
      <c r="EF203" s="40"/>
      <c r="EG203" s="40"/>
      <c r="EH203" s="40"/>
      <c r="EI203" s="40"/>
      <c r="EJ203" s="40"/>
      <c r="EK203" s="40"/>
      <c r="EL203" s="40"/>
      <c r="EM203" s="40"/>
      <c r="EN203" s="40"/>
      <c r="EO203" s="40"/>
      <c r="EP203" s="40"/>
      <c r="EQ203" s="40"/>
      <c r="ER203" s="40"/>
      <c r="ES203" s="40"/>
      <c r="ET203" s="40"/>
      <c r="EU203" s="40"/>
      <c r="EV203" s="40"/>
      <c r="EW203" s="40"/>
      <c r="EX203" s="40"/>
      <c r="EY203" s="40"/>
      <c r="EZ203" s="40"/>
      <c r="FA203" s="40"/>
      <c r="FB203" s="40"/>
      <c r="FC203" s="40"/>
      <c r="FD203" s="40"/>
      <c r="FE203" s="40"/>
      <c r="FF203" s="40"/>
      <c r="FG203" s="40"/>
      <c r="FH203" s="40"/>
      <c r="FI203" s="40"/>
      <c r="FJ203" s="40"/>
      <c r="FK203" s="40"/>
      <c r="FL203" s="40"/>
      <c r="FM203" s="39"/>
      <c r="FN203" s="40"/>
      <c r="FO203" s="40"/>
      <c r="FP203" s="40"/>
      <c r="FQ203" s="40"/>
      <c r="FR203" s="40"/>
      <c r="FS203" s="40"/>
      <c r="FT203" s="40"/>
      <c r="FU203" s="40"/>
      <c r="FV203" s="40"/>
      <c r="FW203" s="40"/>
      <c r="FX203" s="40"/>
      <c r="FY203" s="40"/>
      <c r="FZ203" s="40"/>
      <c r="GA203" s="40"/>
      <c r="GB203" s="40"/>
      <c r="GC203" s="40"/>
      <c r="GD203" s="40"/>
      <c r="GE203" s="40"/>
      <c r="GF203" s="40"/>
      <c r="GG203" s="40"/>
      <c r="GH203" s="40"/>
      <c r="GI203" s="40"/>
      <c r="GJ203" s="40"/>
      <c r="GK203" s="40"/>
      <c r="GL203" s="40"/>
      <c r="GM203" s="40"/>
      <c r="GN203" s="40"/>
      <c r="GO203" s="40"/>
      <c r="GP203" s="40"/>
      <c r="GQ203" s="40"/>
      <c r="GR203" s="40"/>
      <c r="GS203" s="40"/>
      <c r="GT203" s="40"/>
      <c r="GU203" s="40"/>
      <c r="GV203" s="40"/>
      <c r="GW203" s="40"/>
      <c r="GX203" s="40"/>
      <c r="GY203" s="40"/>
      <c r="GZ203" s="40"/>
      <c r="HA203" s="40"/>
      <c r="HB203" s="40"/>
      <c r="HC203" s="40"/>
      <c r="HD203" s="40"/>
      <c r="HE203" s="40"/>
      <c r="HF203" s="40"/>
      <c r="HG203" s="40"/>
      <c r="HH203" s="40"/>
      <c r="HI203" s="40"/>
      <c r="HJ203" s="40"/>
      <c r="HK203" s="40"/>
      <c r="HL203" s="40"/>
      <c r="HM203" s="40"/>
      <c r="HN203" s="40"/>
      <c r="HO203" s="40"/>
      <c r="HP203" s="40"/>
      <c r="HQ203" s="40"/>
      <c r="HR203" s="40"/>
      <c r="HS203" s="40"/>
      <c r="HT203" s="40"/>
      <c r="HU203" s="39"/>
      <c r="HV203" s="40"/>
      <c r="HW203" s="40"/>
      <c r="HX203" s="40"/>
      <c r="HY203" s="40"/>
      <c r="HZ203" s="40"/>
      <c r="IA203" s="40"/>
      <c r="IB203" s="40"/>
      <c r="IC203" s="40"/>
      <c r="ID203" s="40"/>
      <c r="IE203" s="40"/>
      <c r="IF203" s="40"/>
      <c r="IG203" s="40"/>
      <c r="IH203" s="40"/>
      <c r="II203" s="40"/>
      <c r="IJ203" s="40"/>
      <c r="IK203" s="40"/>
      <c r="IL203" s="40"/>
      <c r="IM203" s="40"/>
      <c r="IN203" s="40"/>
      <c r="IO203" s="40"/>
      <c r="IP203" s="40"/>
      <c r="IQ203" s="40"/>
      <c r="IR203" s="40"/>
      <c r="IS203" s="40"/>
      <c r="IT203" s="40"/>
      <c r="IU203" s="40"/>
      <c r="IV203" s="40"/>
      <c r="IW203" s="40"/>
      <c r="IX203" s="40"/>
      <c r="IY203" s="39"/>
      <c r="IZ203" s="40"/>
      <c r="JA203" s="40"/>
      <c r="JB203" s="40"/>
      <c r="JC203" s="40"/>
      <c r="JD203" s="40"/>
      <c r="JE203" s="40"/>
      <c r="JF203" s="40"/>
      <c r="JG203" s="40"/>
      <c r="JH203" s="40"/>
      <c r="JI203" s="40"/>
      <c r="JJ203" s="40"/>
      <c r="JK203" s="40"/>
      <c r="JL203" s="40"/>
      <c r="JM203" s="40"/>
      <c r="JN203" s="40"/>
      <c r="JO203" s="40"/>
      <c r="JP203" s="40"/>
      <c r="JQ203" s="40"/>
      <c r="JR203" s="40"/>
      <c r="JS203" s="40"/>
      <c r="JT203" s="40"/>
      <c r="JU203" s="40"/>
      <c r="JV203" s="40"/>
      <c r="JW203" s="40"/>
      <c r="JX203" s="40"/>
      <c r="JY203" s="40"/>
      <c r="JZ203" s="40"/>
      <c r="KA203" s="40"/>
      <c r="KB203" s="40"/>
      <c r="KC203" s="40"/>
      <c r="KD203" s="40"/>
      <c r="KE203" s="40"/>
      <c r="KF203" s="39"/>
      <c r="KG203" s="40"/>
      <c r="KH203" s="41"/>
      <c r="KI203" s="40"/>
      <c r="KJ203" s="40"/>
      <c r="KK203" s="40"/>
      <c r="KL203" s="39"/>
      <c r="KM203" s="40"/>
      <c r="KN203" s="41"/>
      <c r="KO203" s="40"/>
      <c r="KP203" s="40"/>
      <c r="KQ203" s="40"/>
      <c r="KR203" s="39"/>
      <c r="KS203" s="40"/>
      <c r="KT203" s="41"/>
      <c r="KU203" s="39"/>
      <c r="KV203" s="40"/>
      <c r="KW203" s="41"/>
      <c r="KX203" s="40"/>
      <c r="KY203" s="40"/>
      <c r="KZ203" s="40"/>
      <c r="LA203" s="64"/>
      <c r="LB203" s="40"/>
      <c r="LC203" s="65"/>
      <c r="LD203" s="40"/>
      <c r="LE203" s="40"/>
      <c r="LF203" s="41"/>
      <c r="LG203" s="39"/>
      <c r="LH203" s="40"/>
      <c r="LI203" s="41"/>
      <c r="LJ203" s="61"/>
      <c r="LK203" s="62"/>
      <c r="LL203" s="63"/>
      <c r="LM203" s="61"/>
      <c r="LN203" s="62"/>
      <c r="LO203" s="63"/>
      <c r="LP203" s="61"/>
      <c r="LQ203" s="62"/>
      <c r="LR203" s="63"/>
      <c r="LS203" s="39"/>
      <c r="LT203" s="40"/>
      <c r="LU203" s="41"/>
      <c r="LV203" s="40"/>
      <c r="LW203" s="40"/>
      <c r="LX203" s="40"/>
      <c r="LY203" s="39"/>
      <c r="LZ203" s="40"/>
      <c r="MA203" s="41"/>
      <c r="MB203" s="40"/>
      <c r="MC203" s="40"/>
      <c r="MD203" s="40"/>
      <c r="ME203" s="39"/>
      <c r="MF203" s="40"/>
      <c r="MG203" s="41"/>
      <c r="MH203" s="39"/>
      <c r="MI203" s="40"/>
      <c r="MJ203" s="41"/>
      <c r="MK203" s="40"/>
      <c r="ML203" s="40"/>
      <c r="MM203" s="40"/>
      <c r="MN203" s="39"/>
      <c r="MO203" s="40"/>
      <c r="MP203" s="41"/>
      <c r="MQ203" s="39"/>
      <c r="MR203" s="40"/>
      <c r="MS203" s="41"/>
      <c r="MT203" s="39"/>
      <c r="MU203" s="40"/>
      <c r="MV203" s="41"/>
      <c r="MW203" s="39"/>
      <c r="MX203" s="40"/>
      <c r="MY203" s="41"/>
      <c r="MZ203" s="39"/>
      <c r="NA203" s="40"/>
      <c r="NB203" s="41"/>
      <c r="NC203" s="40"/>
      <c r="ND203" s="40"/>
      <c r="NE203" s="42"/>
      <c r="NG203" s="275"/>
      <c r="NH203" s="1"/>
      <c r="NI203" s="1"/>
      <c r="NJ203" s="1"/>
      <c r="NK203" s="1"/>
    </row>
    <row r="204" spans="5:375" s="6" customFormat="1" ht="9.9499999999999993" customHeight="1">
      <c r="F204" s="196">
        <f t="shared" ref="F204" si="482">NG204</f>
        <v>1.2E-4</v>
      </c>
      <c r="G204" s="197">
        <f>Q204-F204</f>
        <v>0</v>
      </c>
      <c r="H204" s="27">
        <v>1</v>
      </c>
      <c r="L204" s="339"/>
      <c r="M204" s="293" t="s">
        <v>161</v>
      </c>
      <c r="N204" s="313">
        <v>66</v>
      </c>
      <c r="O204" s="305" t="s">
        <v>15</v>
      </c>
      <c r="P204" s="307">
        <v>24793</v>
      </c>
      <c r="Q204" s="236">
        <f>ROUND(P204/$P$256,5)</f>
        <v>1.2E-4</v>
      </c>
      <c r="R204" s="21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3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5"/>
      <c r="CA204" s="53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54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3"/>
      <c r="DF204" s="54"/>
      <c r="DG204" s="54"/>
      <c r="DH204" s="54"/>
      <c r="DI204" s="54"/>
      <c r="DJ204" s="54"/>
      <c r="DK204" s="54"/>
      <c r="DL204" s="54"/>
      <c r="DM204" s="54"/>
      <c r="DN204" s="54"/>
      <c r="DO204" s="54"/>
      <c r="DP204" s="54"/>
      <c r="DQ204" s="54"/>
      <c r="DR204" s="54"/>
      <c r="DS204" s="54"/>
      <c r="DT204" s="54"/>
      <c r="DU204" s="54"/>
      <c r="DV204" s="54"/>
      <c r="DW204" s="54"/>
      <c r="DX204" s="54"/>
      <c r="DY204" s="54"/>
      <c r="DZ204" s="54"/>
      <c r="EA204" s="54"/>
      <c r="EB204" s="54"/>
      <c r="EC204" s="54"/>
      <c r="ED204" s="54"/>
      <c r="EE204" s="54"/>
      <c r="EF204" s="54"/>
      <c r="EG204" s="54"/>
      <c r="EH204" s="54"/>
      <c r="EI204" s="54"/>
      <c r="EJ204" s="54"/>
      <c r="EK204" s="54"/>
      <c r="EL204" s="54"/>
      <c r="EM204" s="54"/>
      <c r="EN204" s="54"/>
      <c r="EO204" s="54"/>
      <c r="EP204" s="54"/>
      <c r="EQ204" s="54"/>
      <c r="ER204" s="54"/>
      <c r="ES204" s="54"/>
      <c r="ET204" s="54"/>
      <c r="EU204" s="54"/>
      <c r="EV204" s="54"/>
      <c r="EW204" s="54"/>
      <c r="EX204" s="54"/>
      <c r="EY204" s="54"/>
      <c r="EZ204" s="54"/>
      <c r="FA204" s="54"/>
      <c r="FB204" s="54"/>
      <c r="FC204" s="54"/>
      <c r="FD204" s="54"/>
      <c r="FE204" s="54"/>
      <c r="FF204" s="54"/>
      <c r="FG204" s="54"/>
      <c r="FH204" s="54"/>
      <c r="FI204" s="54"/>
      <c r="FJ204" s="54"/>
      <c r="FK204" s="54"/>
      <c r="FL204" s="54"/>
      <c r="FM204" s="53"/>
      <c r="FN204" s="54"/>
      <c r="FO204" s="54"/>
      <c r="FP204" s="54"/>
      <c r="FQ204" s="54"/>
      <c r="FR204" s="54"/>
      <c r="FS204" s="54"/>
      <c r="FT204" s="54"/>
      <c r="FU204" s="54"/>
      <c r="FV204" s="54"/>
      <c r="FW204" s="54"/>
      <c r="FX204" s="54"/>
      <c r="FY204" s="54"/>
      <c r="FZ204" s="54"/>
      <c r="GA204" s="54"/>
      <c r="GB204" s="54"/>
      <c r="GC204" s="54"/>
      <c r="GD204" s="54"/>
      <c r="GE204" s="54"/>
      <c r="GF204" s="54"/>
      <c r="GG204" s="54"/>
      <c r="GH204" s="54"/>
      <c r="GI204" s="54"/>
      <c r="GJ204" s="54"/>
      <c r="GK204" s="54"/>
      <c r="GL204" s="54"/>
      <c r="GM204" s="54"/>
      <c r="GN204" s="54"/>
      <c r="GO204" s="54"/>
      <c r="GP204" s="54"/>
      <c r="GQ204" s="54"/>
      <c r="GR204" s="54"/>
      <c r="GS204" s="54"/>
      <c r="GT204" s="54"/>
      <c r="GU204" s="54"/>
      <c r="GV204" s="54"/>
      <c r="GW204" s="54"/>
      <c r="GX204" s="54"/>
      <c r="GY204" s="54"/>
      <c r="GZ204" s="54"/>
      <c r="HA204" s="54"/>
      <c r="HB204" s="54"/>
      <c r="HC204" s="54"/>
      <c r="HD204" s="54"/>
      <c r="HE204" s="54"/>
      <c r="HF204" s="54"/>
      <c r="HG204" s="54"/>
      <c r="HH204" s="54"/>
      <c r="HI204" s="54"/>
      <c r="HJ204" s="54"/>
      <c r="HK204" s="54"/>
      <c r="HL204" s="54"/>
      <c r="HM204" s="54"/>
      <c r="HN204" s="54"/>
      <c r="HO204" s="54"/>
      <c r="HP204" s="54"/>
      <c r="HQ204" s="54"/>
      <c r="HR204" s="54"/>
      <c r="HS204" s="54"/>
      <c r="HT204" s="54"/>
      <c r="HU204" s="53"/>
      <c r="HV204" s="54"/>
      <c r="HW204" s="54"/>
      <c r="HX204" s="54"/>
      <c r="HY204" s="54"/>
      <c r="HZ204" s="54"/>
      <c r="IA204" s="54"/>
      <c r="IB204" s="54"/>
      <c r="IC204" s="54"/>
      <c r="ID204" s="54"/>
      <c r="IE204" s="54"/>
      <c r="IF204" s="54"/>
      <c r="IG204" s="54"/>
      <c r="IH204" s="54"/>
      <c r="II204" s="54"/>
      <c r="IJ204" s="54"/>
      <c r="IK204" s="54"/>
      <c r="IL204" s="54"/>
      <c r="IM204" s="54"/>
      <c r="IN204" s="54"/>
      <c r="IO204" s="54"/>
      <c r="IP204" s="54"/>
      <c r="IQ204" s="54"/>
      <c r="IR204" s="54"/>
      <c r="IS204" s="54"/>
      <c r="IT204" s="54"/>
      <c r="IU204" s="54"/>
      <c r="IV204" s="54"/>
      <c r="IW204" s="54"/>
      <c r="IX204" s="54"/>
      <c r="IY204" s="53"/>
      <c r="IZ204" s="54"/>
      <c r="JA204" s="54"/>
      <c r="JB204" s="54"/>
      <c r="JC204" s="54"/>
      <c r="JD204" s="54"/>
      <c r="JE204" s="54"/>
      <c r="JF204" s="54"/>
      <c r="JG204" s="54"/>
      <c r="JH204" s="54"/>
      <c r="JI204" s="54"/>
      <c r="JJ204" s="54"/>
      <c r="JK204" s="54"/>
      <c r="JL204" s="54"/>
      <c r="JM204" s="54"/>
      <c r="JN204" s="54"/>
      <c r="JO204" s="54"/>
      <c r="JP204" s="54"/>
      <c r="JQ204" s="54"/>
      <c r="JR204" s="54"/>
      <c r="JS204" s="54"/>
      <c r="JT204" s="54"/>
      <c r="JU204" s="54"/>
      <c r="JV204" s="54"/>
      <c r="JW204" s="54"/>
      <c r="JX204" s="54"/>
      <c r="JY204" s="54"/>
      <c r="JZ204" s="54"/>
      <c r="KA204" s="54"/>
      <c r="KB204" s="54"/>
      <c r="KC204" s="54"/>
      <c r="KD204" s="54"/>
      <c r="KE204" s="54"/>
      <c r="KF204" s="53"/>
      <c r="KG204" s="54"/>
      <c r="KH204" s="55"/>
      <c r="KI204" s="214"/>
      <c r="KJ204" s="214"/>
      <c r="KK204" s="214"/>
      <c r="KL204" s="53"/>
      <c r="KM204" s="54"/>
      <c r="KN204" s="55"/>
      <c r="KO204" s="54"/>
      <c r="KP204" s="54"/>
      <c r="KQ204" s="54"/>
      <c r="KR204" s="53"/>
      <c r="KS204" s="54"/>
      <c r="KT204" s="55"/>
      <c r="KU204" s="53"/>
      <c r="KV204" s="54"/>
      <c r="KW204" s="55"/>
      <c r="KX204" s="54"/>
      <c r="KY204" s="54"/>
      <c r="KZ204" s="54"/>
      <c r="LA204" s="57"/>
      <c r="LB204" s="54"/>
      <c r="LC204" s="58"/>
      <c r="LD204" s="215">
        <v>6.0000000000000002E-5</v>
      </c>
      <c r="LE204" s="214"/>
      <c r="LF204" s="214"/>
      <c r="LG204" s="214">
        <v>6.0000000000000002E-5</v>
      </c>
      <c r="LH204" s="214"/>
      <c r="LI204" s="214"/>
      <c r="LJ204" s="214"/>
      <c r="LK204" s="214"/>
      <c r="LL204" s="214"/>
      <c r="LM204" s="53"/>
      <c r="LN204" s="54"/>
      <c r="LO204" s="55"/>
      <c r="LP204" s="54"/>
      <c r="LQ204" s="54"/>
      <c r="LR204" s="55"/>
      <c r="LS204" s="53"/>
      <c r="LT204" s="54"/>
      <c r="LU204" s="55"/>
      <c r="LV204" s="54"/>
      <c r="LW204" s="54"/>
      <c r="LX204" s="54"/>
      <c r="LY204" s="53"/>
      <c r="LZ204" s="54"/>
      <c r="MA204" s="55"/>
      <c r="MB204" s="54"/>
      <c r="MC204" s="54"/>
      <c r="MD204" s="54"/>
      <c r="ME204" s="53"/>
      <c r="MF204" s="54"/>
      <c r="MG204" s="55"/>
      <c r="MH204" s="53"/>
      <c r="MI204" s="54"/>
      <c r="MJ204" s="55"/>
      <c r="MK204" s="54"/>
      <c r="ML204" s="54"/>
      <c r="MM204" s="54"/>
      <c r="MN204" s="53"/>
      <c r="MO204" s="54"/>
      <c r="MP204" s="55"/>
      <c r="MQ204" s="53"/>
      <c r="MR204" s="54"/>
      <c r="MS204" s="55"/>
      <c r="MT204" s="53"/>
      <c r="MU204" s="54"/>
      <c r="MV204" s="55"/>
      <c r="MW204" s="53"/>
      <c r="MX204" s="54"/>
      <c r="MY204" s="55"/>
      <c r="MZ204" s="53"/>
      <c r="NA204" s="54"/>
      <c r="NB204" s="55"/>
      <c r="NC204" s="54"/>
      <c r="ND204" s="54"/>
      <c r="NE204" s="59"/>
      <c r="NG204" s="275">
        <f>SUM(R204:NE204)</f>
        <v>1.2E-4</v>
      </c>
      <c r="NH204" s="1"/>
      <c r="NI204" s="1"/>
      <c r="NJ204" s="1"/>
      <c r="NK204" s="1"/>
    </row>
    <row r="205" spans="5:375" s="6" customFormat="1" ht="6.95" customHeight="1">
      <c r="F205" s="196"/>
      <c r="G205" s="197"/>
      <c r="H205" s="52">
        <v>2</v>
      </c>
      <c r="L205" s="340"/>
      <c r="M205" s="294"/>
      <c r="N205" s="314"/>
      <c r="O205" s="306"/>
      <c r="P205" s="308"/>
      <c r="Q205" s="237"/>
      <c r="R205" s="6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39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1"/>
      <c r="CA205" s="39"/>
      <c r="CB205" s="40"/>
      <c r="CC205" s="40"/>
      <c r="CD205" s="40"/>
      <c r="CE205" s="40"/>
      <c r="CF205" s="40"/>
      <c r="CG205" s="40"/>
      <c r="CH205" s="40"/>
      <c r="CI205" s="40"/>
      <c r="CJ205" s="40"/>
      <c r="CK205" s="40"/>
      <c r="CL205" s="40"/>
      <c r="CM205" s="40"/>
      <c r="CN205" s="40"/>
      <c r="CO205" s="40"/>
      <c r="CP205" s="40"/>
      <c r="CQ205" s="40"/>
      <c r="CR205" s="40"/>
      <c r="CS205" s="40"/>
      <c r="CT205" s="40"/>
      <c r="CU205" s="40"/>
      <c r="CV205" s="40"/>
      <c r="CW205" s="40"/>
      <c r="CX205" s="40"/>
      <c r="CY205" s="40"/>
      <c r="CZ205" s="40"/>
      <c r="DA205" s="40"/>
      <c r="DB205" s="40"/>
      <c r="DC205" s="40"/>
      <c r="DD205" s="40"/>
      <c r="DE205" s="39"/>
      <c r="DF205" s="40"/>
      <c r="DG205" s="40"/>
      <c r="DH205" s="40"/>
      <c r="DI205" s="40"/>
      <c r="DJ205" s="40"/>
      <c r="DK205" s="40"/>
      <c r="DL205" s="40"/>
      <c r="DM205" s="40"/>
      <c r="DN205" s="40"/>
      <c r="DO205" s="40"/>
      <c r="DP205" s="40"/>
      <c r="DQ205" s="40"/>
      <c r="DR205" s="40"/>
      <c r="DS205" s="40"/>
      <c r="DT205" s="40"/>
      <c r="DU205" s="40"/>
      <c r="DV205" s="40"/>
      <c r="DW205" s="40"/>
      <c r="DX205" s="40"/>
      <c r="DY205" s="40"/>
      <c r="DZ205" s="40"/>
      <c r="EA205" s="40"/>
      <c r="EB205" s="40"/>
      <c r="EC205" s="40"/>
      <c r="ED205" s="40"/>
      <c r="EE205" s="40"/>
      <c r="EF205" s="40"/>
      <c r="EG205" s="40"/>
      <c r="EH205" s="40"/>
      <c r="EI205" s="40"/>
      <c r="EJ205" s="40"/>
      <c r="EK205" s="40"/>
      <c r="EL205" s="40"/>
      <c r="EM205" s="40"/>
      <c r="EN205" s="40"/>
      <c r="EO205" s="40"/>
      <c r="EP205" s="40"/>
      <c r="EQ205" s="40"/>
      <c r="ER205" s="40"/>
      <c r="ES205" s="40"/>
      <c r="ET205" s="40"/>
      <c r="EU205" s="40"/>
      <c r="EV205" s="40"/>
      <c r="EW205" s="40"/>
      <c r="EX205" s="40"/>
      <c r="EY205" s="40"/>
      <c r="EZ205" s="40"/>
      <c r="FA205" s="40"/>
      <c r="FB205" s="40"/>
      <c r="FC205" s="40"/>
      <c r="FD205" s="40"/>
      <c r="FE205" s="40"/>
      <c r="FF205" s="40"/>
      <c r="FG205" s="40"/>
      <c r="FH205" s="40"/>
      <c r="FI205" s="40"/>
      <c r="FJ205" s="40"/>
      <c r="FK205" s="40"/>
      <c r="FL205" s="40"/>
      <c r="FM205" s="39"/>
      <c r="FN205" s="40"/>
      <c r="FO205" s="40"/>
      <c r="FP205" s="40"/>
      <c r="FQ205" s="40"/>
      <c r="FR205" s="40"/>
      <c r="FS205" s="40"/>
      <c r="FT205" s="40"/>
      <c r="FU205" s="40"/>
      <c r="FV205" s="40"/>
      <c r="FW205" s="40"/>
      <c r="FX205" s="40"/>
      <c r="FY205" s="40"/>
      <c r="FZ205" s="40"/>
      <c r="GA205" s="40"/>
      <c r="GB205" s="40"/>
      <c r="GC205" s="40"/>
      <c r="GD205" s="40"/>
      <c r="GE205" s="40"/>
      <c r="GF205" s="40"/>
      <c r="GG205" s="40"/>
      <c r="GH205" s="40"/>
      <c r="GI205" s="40"/>
      <c r="GJ205" s="40"/>
      <c r="GK205" s="40"/>
      <c r="GL205" s="40"/>
      <c r="GM205" s="40"/>
      <c r="GN205" s="40"/>
      <c r="GO205" s="40"/>
      <c r="GP205" s="40"/>
      <c r="GQ205" s="40"/>
      <c r="GR205" s="40"/>
      <c r="GS205" s="40"/>
      <c r="GT205" s="40"/>
      <c r="GU205" s="40"/>
      <c r="GV205" s="40"/>
      <c r="GW205" s="40"/>
      <c r="GX205" s="40"/>
      <c r="GY205" s="40"/>
      <c r="GZ205" s="40"/>
      <c r="HA205" s="40"/>
      <c r="HB205" s="40"/>
      <c r="HC205" s="40"/>
      <c r="HD205" s="40"/>
      <c r="HE205" s="40"/>
      <c r="HF205" s="40"/>
      <c r="HG205" s="40"/>
      <c r="HH205" s="40"/>
      <c r="HI205" s="40"/>
      <c r="HJ205" s="40"/>
      <c r="HK205" s="40"/>
      <c r="HL205" s="40"/>
      <c r="HM205" s="40"/>
      <c r="HN205" s="40"/>
      <c r="HO205" s="40"/>
      <c r="HP205" s="40"/>
      <c r="HQ205" s="40"/>
      <c r="HR205" s="40"/>
      <c r="HS205" s="40"/>
      <c r="HT205" s="40"/>
      <c r="HU205" s="39"/>
      <c r="HV205" s="40"/>
      <c r="HW205" s="40"/>
      <c r="HX205" s="40"/>
      <c r="HY205" s="40"/>
      <c r="HZ205" s="40"/>
      <c r="IA205" s="40"/>
      <c r="IB205" s="40"/>
      <c r="IC205" s="40"/>
      <c r="ID205" s="40"/>
      <c r="IE205" s="40"/>
      <c r="IF205" s="40"/>
      <c r="IG205" s="40"/>
      <c r="IH205" s="40"/>
      <c r="II205" s="40"/>
      <c r="IJ205" s="40"/>
      <c r="IK205" s="40"/>
      <c r="IL205" s="40"/>
      <c r="IM205" s="40"/>
      <c r="IN205" s="40"/>
      <c r="IO205" s="40"/>
      <c r="IP205" s="40"/>
      <c r="IQ205" s="40"/>
      <c r="IR205" s="40"/>
      <c r="IS205" s="40"/>
      <c r="IT205" s="40"/>
      <c r="IU205" s="40"/>
      <c r="IV205" s="40"/>
      <c r="IW205" s="40"/>
      <c r="IX205" s="40"/>
      <c r="IY205" s="39"/>
      <c r="IZ205" s="40"/>
      <c r="JA205" s="40"/>
      <c r="JB205" s="40"/>
      <c r="JC205" s="40"/>
      <c r="JD205" s="40"/>
      <c r="JE205" s="40"/>
      <c r="JF205" s="40"/>
      <c r="JG205" s="40"/>
      <c r="JH205" s="40"/>
      <c r="JI205" s="40"/>
      <c r="JJ205" s="40"/>
      <c r="JK205" s="40"/>
      <c r="JL205" s="40"/>
      <c r="JM205" s="40"/>
      <c r="JN205" s="40"/>
      <c r="JO205" s="40"/>
      <c r="JP205" s="40"/>
      <c r="JQ205" s="40"/>
      <c r="JR205" s="40"/>
      <c r="JS205" s="40"/>
      <c r="JT205" s="40"/>
      <c r="JU205" s="40"/>
      <c r="JV205" s="40"/>
      <c r="JW205" s="40"/>
      <c r="JX205" s="40"/>
      <c r="JY205" s="40"/>
      <c r="JZ205" s="40"/>
      <c r="KA205" s="40"/>
      <c r="KB205" s="40"/>
      <c r="KC205" s="40"/>
      <c r="KD205" s="40"/>
      <c r="KE205" s="40"/>
      <c r="KF205" s="39"/>
      <c r="KG205" s="40"/>
      <c r="KH205" s="41"/>
      <c r="KI205" s="40"/>
      <c r="KJ205" s="101"/>
      <c r="KK205" s="40"/>
      <c r="KL205" s="39"/>
      <c r="KM205" s="40"/>
      <c r="KN205" s="41"/>
      <c r="KO205" s="40"/>
      <c r="KP205" s="40"/>
      <c r="KQ205" s="40"/>
      <c r="KR205" s="39"/>
      <c r="KS205" s="40"/>
      <c r="KT205" s="41"/>
      <c r="KU205" s="39"/>
      <c r="KV205" s="40"/>
      <c r="KW205" s="41"/>
      <c r="KX205" s="40"/>
      <c r="KY205" s="40"/>
      <c r="KZ205" s="40"/>
      <c r="LA205" s="64"/>
      <c r="LB205" s="40"/>
      <c r="LC205" s="65"/>
      <c r="LD205" s="61"/>
      <c r="LE205" s="62"/>
      <c r="LF205" s="63"/>
      <c r="LG205" s="61"/>
      <c r="LH205" s="62"/>
      <c r="LI205" s="63"/>
      <c r="LJ205" s="39"/>
      <c r="LK205" s="101"/>
      <c r="LL205" s="41"/>
      <c r="LM205" s="39"/>
      <c r="LN205" s="40"/>
      <c r="LO205" s="41"/>
      <c r="LP205" s="39"/>
      <c r="LQ205" s="40"/>
      <c r="LR205" s="41"/>
      <c r="LS205" s="39"/>
      <c r="LT205" s="40"/>
      <c r="LU205" s="41"/>
      <c r="LV205" s="40"/>
      <c r="LW205" s="40"/>
      <c r="LX205" s="40"/>
      <c r="LY205" s="39"/>
      <c r="LZ205" s="40"/>
      <c r="MA205" s="41"/>
      <c r="MB205" s="40"/>
      <c r="MC205" s="40"/>
      <c r="MD205" s="40"/>
      <c r="ME205" s="39"/>
      <c r="MF205" s="40"/>
      <c r="MG205" s="41"/>
      <c r="MH205" s="39"/>
      <c r="MI205" s="40"/>
      <c r="MJ205" s="41"/>
      <c r="MK205" s="40"/>
      <c r="ML205" s="40"/>
      <c r="MM205" s="40"/>
      <c r="MN205" s="39"/>
      <c r="MO205" s="40"/>
      <c r="MP205" s="41"/>
      <c r="MQ205" s="39"/>
      <c r="MR205" s="40"/>
      <c r="MS205" s="41"/>
      <c r="MT205" s="39"/>
      <c r="MU205" s="40"/>
      <c r="MV205" s="41"/>
      <c r="MW205" s="39"/>
      <c r="MX205" s="40"/>
      <c r="MY205" s="41"/>
      <c r="MZ205" s="39"/>
      <c r="NA205" s="40"/>
      <c r="NB205" s="41"/>
      <c r="NC205" s="40"/>
      <c r="ND205" s="40"/>
      <c r="NE205" s="42"/>
      <c r="NG205" s="275"/>
      <c r="NH205" s="1"/>
      <c r="NI205" s="1"/>
      <c r="NJ205" s="1"/>
      <c r="NK205" s="1"/>
    </row>
    <row r="206" spans="5:375" s="6" customFormat="1" ht="9.9499999999999993" customHeight="1">
      <c r="E206" s="116"/>
      <c r="F206" s="196">
        <f t="shared" ref="F206" si="483">NG206</f>
        <v>2.9399999999999999E-3</v>
      </c>
      <c r="G206" s="197">
        <f>Q206-F206</f>
        <v>0</v>
      </c>
      <c r="H206" s="27">
        <v>1</v>
      </c>
      <c r="I206" s="116"/>
      <c r="J206" s="116"/>
      <c r="L206" s="292"/>
      <c r="M206" s="300" t="s">
        <v>78</v>
      </c>
      <c r="N206" s="301">
        <v>1</v>
      </c>
      <c r="O206" s="310" t="s">
        <v>88</v>
      </c>
      <c r="P206" s="315">
        <v>611527</v>
      </c>
      <c r="Q206" s="236">
        <f>ROUND(P206/$P$256,5)</f>
        <v>2.9399999999999999E-3</v>
      </c>
      <c r="R206" s="73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6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8"/>
      <c r="CA206" s="66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67"/>
      <c r="CU206" s="67"/>
      <c r="CV206" s="67"/>
      <c r="CW206" s="67"/>
      <c r="CX206" s="67"/>
      <c r="CY206" s="67"/>
      <c r="CZ206" s="67"/>
      <c r="DA206" s="67"/>
      <c r="DB206" s="67"/>
      <c r="DC206" s="67"/>
      <c r="DD206" s="67"/>
      <c r="DE206" s="66"/>
      <c r="DF206" s="67"/>
      <c r="DG206" s="67"/>
      <c r="DH206" s="67"/>
      <c r="DI206" s="67"/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67"/>
      <c r="FC206" s="67"/>
      <c r="FD206" s="67"/>
      <c r="FE206" s="67"/>
      <c r="FF206" s="67"/>
      <c r="FG206" s="67"/>
      <c r="FH206" s="67"/>
      <c r="FI206" s="67"/>
      <c r="FJ206" s="67"/>
      <c r="FK206" s="67"/>
      <c r="FL206" s="67"/>
      <c r="FM206" s="157"/>
      <c r="FN206" s="157"/>
      <c r="FO206" s="157"/>
      <c r="FP206" s="157"/>
      <c r="FQ206" s="157"/>
      <c r="FR206" s="157"/>
      <c r="FS206" s="157"/>
      <c r="FT206" s="157"/>
      <c r="FU206" s="157"/>
      <c r="FV206" s="157"/>
      <c r="FW206" s="157"/>
      <c r="FX206" s="157"/>
      <c r="FY206" s="157"/>
      <c r="FZ206" s="157"/>
      <c r="GA206" s="157"/>
      <c r="GB206" s="157"/>
      <c r="GC206" s="157"/>
      <c r="GD206" s="157"/>
      <c r="GE206" s="157"/>
      <c r="GF206" s="157"/>
      <c r="GG206" s="157"/>
      <c r="GH206" s="157"/>
      <c r="GI206" s="157"/>
      <c r="GJ206" s="157"/>
      <c r="GK206" s="157"/>
      <c r="GL206" s="157"/>
      <c r="GM206" s="157"/>
      <c r="GN206" s="157"/>
      <c r="GO206" s="157"/>
      <c r="GP206" s="157"/>
      <c r="GQ206" s="157"/>
      <c r="GR206" s="157"/>
      <c r="GS206" s="157"/>
      <c r="GT206" s="157"/>
      <c r="GU206" s="157"/>
      <c r="GV206" s="157"/>
      <c r="GW206" s="157"/>
      <c r="GX206" s="157"/>
      <c r="GY206" s="157"/>
      <c r="GZ206" s="157"/>
      <c r="HA206" s="157"/>
      <c r="HB206" s="157"/>
      <c r="HC206" s="157"/>
      <c r="HD206" s="157"/>
      <c r="HE206" s="157"/>
      <c r="HF206" s="157"/>
      <c r="HG206" s="157"/>
      <c r="HH206" s="157"/>
      <c r="HI206" s="157"/>
      <c r="HJ206" s="157"/>
      <c r="HK206" s="157"/>
      <c r="HL206" s="157"/>
      <c r="HM206" s="157"/>
      <c r="HN206" s="157"/>
      <c r="HO206" s="157"/>
      <c r="HP206" s="157"/>
      <c r="HQ206" s="157"/>
      <c r="HR206" s="157"/>
      <c r="HS206" s="157"/>
      <c r="HT206" s="157"/>
      <c r="HU206" s="157"/>
      <c r="HV206" s="157"/>
      <c r="HW206" s="157"/>
      <c r="HX206" s="157"/>
      <c r="HY206" s="157"/>
      <c r="HZ206" s="157"/>
      <c r="IA206" s="157"/>
      <c r="IB206" s="157"/>
      <c r="IC206" s="157"/>
      <c r="ID206" s="157"/>
      <c r="IE206" s="157"/>
      <c r="IF206" s="157"/>
      <c r="IG206" s="157"/>
      <c r="IH206" s="157"/>
      <c r="II206" s="157"/>
      <c r="IJ206" s="157"/>
      <c r="IK206" s="157"/>
      <c r="IL206" s="157"/>
      <c r="IM206" s="157"/>
      <c r="IN206" s="157"/>
      <c r="IO206" s="157"/>
      <c r="IP206" s="157"/>
      <c r="IQ206" s="157"/>
      <c r="IR206" s="157"/>
      <c r="IS206" s="157"/>
      <c r="IT206" s="157"/>
      <c r="IU206" s="157"/>
      <c r="IV206" s="157"/>
      <c r="IW206" s="157"/>
      <c r="IX206" s="157"/>
      <c r="IY206" s="157"/>
      <c r="IZ206" s="157"/>
      <c r="JA206" s="157"/>
      <c r="JB206" s="157"/>
      <c r="JC206" s="157"/>
      <c r="JD206" s="157"/>
      <c r="JE206" s="157"/>
      <c r="JF206" s="157"/>
      <c r="JG206" s="157"/>
      <c r="JH206" s="157"/>
      <c r="JI206" s="157"/>
      <c r="JJ206" s="157"/>
      <c r="JK206" s="157"/>
      <c r="JL206" s="157"/>
      <c r="JM206" s="157"/>
      <c r="JN206" s="157"/>
      <c r="JO206" s="157"/>
      <c r="JP206" s="157"/>
      <c r="JQ206" s="157"/>
      <c r="JR206" s="157"/>
      <c r="JS206" s="157"/>
      <c r="JT206" s="157"/>
      <c r="JU206" s="157"/>
      <c r="JV206" s="157"/>
      <c r="JW206" s="157"/>
      <c r="JX206" s="157"/>
      <c r="JY206" s="157"/>
      <c r="JZ206" s="157"/>
      <c r="KA206" s="157"/>
      <c r="KB206" s="157"/>
      <c r="KC206" s="214"/>
      <c r="KD206" s="214"/>
      <c r="KE206" s="214"/>
      <c r="KF206" s="214"/>
      <c r="KG206" s="214"/>
      <c r="KH206" s="214"/>
      <c r="KI206" s="214"/>
      <c r="KJ206" s="214"/>
      <c r="KK206" s="214"/>
      <c r="KL206" s="214"/>
      <c r="KM206" s="214"/>
      <c r="KN206" s="214"/>
      <c r="KO206" s="214"/>
      <c r="KP206" s="214"/>
      <c r="KQ206" s="214"/>
      <c r="KR206" s="214"/>
      <c r="KS206" s="214"/>
      <c r="KT206" s="214"/>
      <c r="KU206" s="214">
        <v>1.8000000000000001E-4</v>
      </c>
      <c r="KV206" s="214"/>
      <c r="KW206" s="214"/>
      <c r="KX206" s="214">
        <v>4.4000000000000002E-4</v>
      </c>
      <c r="KY206" s="214"/>
      <c r="KZ206" s="216"/>
      <c r="LA206" s="233">
        <v>4.4000000000000002E-4</v>
      </c>
      <c r="LB206" s="214"/>
      <c r="LC206" s="234"/>
      <c r="LD206" s="215">
        <v>3.4000000000000002E-4</v>
      </c>
      <c r="LE206" s="214"/>
      <c r="LF206" s="214"/>
      <c r="LG206" s="214">
        <v>2.7E-4</v>
      </c>
      <c r="LH206" s="214"/>
      <c r="LI206" s="214"/>
      <c r="LJ206" s="214">
        <v>4.4000000000000002E-4</v>
      </c>
      <c r="LK206" s="214"/>
      <c r="LL206" s="214"/>
      <c r="LM206" s="214">
        <v>4.4000000000000002E-4</v>
      </c>
      <c r="LN206" s="214"/>
      <c r="LO206" s="214"/>
      <c r="LP206" s="214">
        <v>3.8999999999999999E-4</v>
      </c>
      <c r="LQ206" s="214"/>
      <c r="LR206" s="214"/>
      <c r="LS206" s="66"/>
      <c r="LT206" s="67"/>
      <c r="LU206" s="68"/>
      <c r="LV206" s="67"/>
      <c r="LW206" s="67"/>
      <c r="LX206" s="67"/>
      <c r="LY206" s="66"/>
      <c r="LZ206" s="67"/>
      <c r="MA206" s="68"/>
      <c r="MB206" s="67"/>
      <c r="MC206" s="67"/>
      <c r="MD206" s="67"/>
      <c r="ME206" s="66"/>
      <c r="MF206" s="67"/>
      <c r="MG206" s="68"/>
      <c r="MH206" s="66"/>
      <c r="MI206" s="67"/>
      <c r="MJ206" s="68"/>
      <c r="MK206" s="67"/>
      <c r="ML206" s="67"/>
      <c r="MM206" s="67"/>
      <c r="MN206" s="66"/>
      <c r="MO206" s="67"/>
      <c r="MP206" s="68"/>
      <c r="MQ206" s="66"/>
      <c r="MR206" s="67"/>
      <c r="MS206" s="68"/>
      <c r="MT206" s="66"/>
      <c r="MU206" s="67"/>
      <c r="MV206" s="68"/>
      <c r="MW206" s="66"/>
      <c r="MX206" s="67"/>
      <c r="MY206" s="68"/>
      <c r="MZ206" s="66"/>
      <c r="NA206" s="67"/>
      <c r="NB206" s="68"/>
      <c r="NC206" s="67"/>
      <c r="ND206" s="67"/>
      <c r="NE206" s="72"/>
      <c r="NG206" s="275">
        <f>SUM(R206:NE206)</f>
        <v>2.9399999999999999E-3</v>
      </c>
      <c r="NH206" s="1"/>
      <c r="NI206" s="1"/>
      <c r="NJ206" s="1"/>
      <c r="NK206" s="1"/>
    </row>
    <row r="207" spans="5:375" s="6" customFormat="1" ht="6.95" customHeight="1" thickBot="1">
      <c r="E207" s="116"/>
      <c r="F207" s="196"/>
      <c r="G207" s="197"/>
      <c r="H207" s="52">
        <v>2</v>
      </c>
      <c r="I207" s="116"/>
      <c r="J207" s="116"/>
      <c r="L207" s="311"/>
      <c r="M207" s="362"/>
      <c r="N207" s="354"/>
      <c r="O207" s="351"/>
      <c r="P207" s="316"/>
      <c r="Q207" s="237"/>
      <c r="R207" s="82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4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Y207" s="83"/>
      <c r="BZ207" s="85"/>
      <c r="CA207" s="84"/>
      <c r="CB207" s="83"/>
      <c r="CC207" s="83"/>
      <c r="CD207" s="83"/>
      <c r="CE207" s="83"/>
      <c r="CF207" s="83"/>
      <c r="CG207" s="83"/>
      <c r="CH207" s="83"/>
      <c r="CI207" s="83"/>
      <c r="CJ207" s="83"/>
      <c r="CK207" s="83"/>
      <c r="CL207" s="83"/>
      <c r="CM207" s="83"/>
      <c r="CN207" s="83"/>
      <c r="CO207" s="83"/>
      <c r="CP207" s="83"/>
      <c r="CQ207" s="83"/>
      <c r="CR207" s="83"/>
      <c r="CS207" s="83"/>
      <c r="CT207" s="83"/>
      <c r="CU207" s="83"/>
      <c r="CV207" s="83"/>
      <c r="CW207" s="83"/>
      <c r="CX207" s="83"/>
      <c r="CY207" s="83"/>
      <c r="CZ207" s="83"/>
      <c r="DA207" s="83"/>
      <c r="DB207" s="83"/>
      <c r="DC207" s="83"/>
      <c r="DD207" s="83"/>
      <c r="DE207" s="84"/>
      <c r="DF207" s="83"/>
      <c r="DG207" s="83"/>
      <c r="DH207" s="83"/>
      <c r="DI207" s="83"/>
      <c r="DJ207" s="83"/>
      <c r="DK207" s="83"/>
      <c r="DL207" s="83"/>
      <c r="DM207" s="83"/>
      <c r="DN207" s="83"/>
      <c r="DO207" s="83"/>
      <c r="DP207" s="83"/>
      <c r="DQ207" s="83"/>
      <c r="DR207" s="83"/>
      <c r="DS207" s="83"/>
      <c r="DT207" s="83"/>
      <c r="DU207" s="83"/>
      <c r="DV207" s="83"/>
      <c r="DW207" s="83"/>
      <c r="DX207" s="83"/>
      <c r="DY207" s="83"/>
      <c r="DZ207" s="83"/>
      <c r="EA207" s="83"/>
      <c r="EB207" s="83"/>
      <c r="EC207" s="83"/>
      <c r="ED207" s="83"/>
      <c r="EE207" s="83"/>
      <c r="EF207" s="83"/>
      <c r="EG207" s="83"/>
      <c r="EH207" s="83"/>
      <c r="EI207" s="83"/>
      <c r="EJ207" s="83"/>
      <c r="EK207" s="83"/>
      <c r="EL207" s="83"/>
      <c r="EM207" s="83"/>
      <c r="EN207" s="83"/>
      <c r="EO207" s="83"/>
      <c r="EP207" s="83"/>
      <c r="EQ207" s="83"/>
      <c r="ER207" s="83"/>
      <c r="ES207" s="83"/>
      <c r="ET207" s="83"/>
      <c r="EU207" s="83"/>
      <c r="EV207" s="83"/>
      <c r="EW207" s="83"/>
      <c r="EX207" s="83"/>
      <c r="EY207" s="83"/>
      <c r="EZ207" s="83"/>
      <c r="FA207" s="83"/>
      <c r="FB207" s="83"/>
      <c r="FC207" s="83"/>
      <c r="FD207" s="83"/>
      <c r="FE207" s="83"/>
      <c r="FF207" s="83"/>
      <c r="FG207" s="83"/>
      <c r="FH207" s="83"/>
      <c r="FI207" s="83"/>
      <c r="FJ207" s="83"/>
      <c r="FK207" s="83"/>
      <c r="FL207" s="83"/>
      <c r="FM207" s="84"/>
      <c r="FN207" s="113"/>
      <c r="FO207" s="113"/>
      <c r="FP207" s="113"/>
      <c r="FQ207" s="113"/>
      <c r="FR207" s="113"/>
      <c r="FS207" s="113"/>
      <c r="FT207" s="113"/>
      <c r="FU207" s="113"/>
      <c r="FV207" s="113"/>
      <c r="FW207" s="113"/>
      <c r="FX207" s="113"/>
      <c r="FY207" s="113"/>
      <c r="FZ207" s="113"/>
      <c r="GA207" s="113"/>
      <c r="GB207" s="113"/>
      <c r="GC207" s="113"/>
      <c r="GD207" s="113"/>
      <c r="GE207" s="113"/>
      <c r="GF207" s="113"/>
      <c r="GG207" s="113"/>
      <c r="GH207" s="113"/>
      <c r="GI207" s="113"/>
      <c r="GJ207" s="113"/>
      <c r="GK207" s="113"/>
      <c r="GL207" s="113"/>
      <c r="GM207" s="113"/>
      <c r="GN207" s="113"/>
      <c r="GO207" s="113"/>
      <c r="GP207" s="113"/>
      <c r="GQ207" s="84"/>
      <c r="GR207" s="113"/>
      <c r="GS207" s="113"/>
      <c r="GT207" s="113"/>
      <c r="GU207" s="113"/>
      <c r="GV207" s="113"/>
      <c r="GW207" s="113"/>
      <c r="GX207" s="113"/>
      <c r="GY207" s="113"/>
      <c r="GZ207" s="113"/>
      <c r="HA207" s="113"/>
      <c r="HB207" s="113"/>
      <c r="HC207" s="113"/>
      <c r="HD207" s="113"/>
      <c r="HE207" s="113"/>
      <c r="HF207" s="113"/>
      <c r="HG207" s="113"/>
      <c r="HH207" s="113"/>
      <c r="HI207" s="113"/>
      <c r="HJ207" s="113"/>
      <c r="HK207" s="113"/>
      <c r="HL207" s="113"/>
      <c r="HM207" s="113"/>
      <c r="HN207" s="113"/>
      <c r="HO207" s="113"/>
      <c r="HP207" s="113"/>
      <c r="HQ207" s="113"/>
      <c r="HR207" s="113"/>
      <c r="HS207" s="113"/>
      <c r="HT207" s="113"/>
      <c r="HU207" s="84"/>
      <c r="HV207" s="113"/>
      <c r="HW207" s="113"/>
      <c r="HX207" s="113"/>
      <c r="HY207" s="113"/>
      <c r="HZ207" s="113"/>
      <c r="IA207" s="113"/>
      <c r="IB207" s="113"/>
      <c r="IC207" s="113"/>
      <c r="ID207" s="113"/>
      <c r="IE207" s="113"/>
      <c r="IF207" s="113"/>
      <c r="IG207" s="113"/>
      <c r="IH207" s="113"/>
      <c r="II207" s="113"/>
      <c r="IJ207" s="113"/>
      <c r="IK207" s="113"/>
      <c r="IL207" s="113"/>
      <c r="IM207" s="113"/>
      <c r="IN207" s="113"/>
      <c r="IO207" s="113"/>
      <c r="IP207" s="113"/>
      <c r="IQ207" s="113"/>
      <c r="IR207" s="113"/>
      <c r="IS207" s="113"/>
      <c r="IT207" s="113"/>
      <c r="IU207" s="113"/>
      <c r="IV207" s="113"/>
      <c r="IW207" s="113"/>
      <c r="IX207" s="113"/>
      <c r="IY207" s="84"/>
      <c r="IZ207" s="113"/>
      <c r="JA207" s="113"/>
      <c r="JB207" s="113"/>
      <c r="JC207" s="113"/>
      <c r="JD207" s="113"/>
      <c r="JE207" s="113"/>
      <c r="JF207" s="113"/>
      <c r="JG207" s="113"/>
      <c r="JH207" s="113"/>
      <c r="JI207" s="113"/>
      <c r="JJ207" s="113"/>
      <c r="JK207" s="113"/>
      <c r="JL207" s="113"/>
      <c r="JM207" s="113"/>
      <c r="JN207" s="113"/>
      <c r="JO207" s="113"/>
      <c r="JP207" s="113"/>
      <c r="JQ207" s="113"/>
      <c r="JR207" s="113"/>
      <c r="JS207" s="113"/>
      <c r="JT207" s="113"/>
      <c r="JU207" s="113"/>
      <c r="JV207" s="113"/>
      <c r="JW207" s="113"/>
      <c r="JX207" s="113"/>
      <c r="JY207" s="113"/>
      <c r="JZ207" s="113"/>
      <c r="KA207" s="113"/>
      <c r="KB207" s="113"/>
      <c r="KC207" s="84"/>
      <c r="KD207" s="113"/>
      <c r="KE207" s="85"/>
      <c r="KF207" s="84"/>
      <c r="KG207" s="113"/>
      <c r="KH207" s="85"/>
      <c r="KI207" s="84"/>
      <c r="KJ207" s="113"/>
      <c r="KK207" s="85"/>
      <c r="KL207" s="84"/>
      <c r="KM207" s="113"/>
      <c r="KN207" s="85"/>
      <c r="KO207" s="84"/>
      <c r="KP207" s="113"/>
      <c r="KQ207" s="85"/>
      <c r="KR207" s="84"/>
      <c r="KS207" s="113"/>
      <c r="KT207" s="85"/>
      <c r="KU207" s="61"/>
      <c r="KV207" s="62"/>
      <c r="KW207" s="63"/>
      <c r="KX207" s="61"/>
      <c r="KY207" s="62"/>
      <c r="KZ207" s="63"/>
      <c r="LA207" s="61"/>
      <c r="LB207" s="62"/>
      <c r="LC207" s="63"/>
      <c r="LD207" s="61"/>
      <c r="LE207" s="62"/>
      <c r="LF207" s="63"/>
      <c r="LG207" s="61"/>
      <c r="LH207" s="62"/>
      <c r="LI207" s="63"/>
      <c r="LJ207" s="61"/>
      <c r="LK207" s="62"/>
      <c r="LL207" s="63"/>
      <c r="LM207" s="61"/>
      <c r="LN207" s="62"/>
      <c r="LO207" s="63"/>
      <c r="LP207" s="61"/>
      <c r="LQ207" s="62"/>
      <c r="LR207" s="63"/>
      <c r="LS207" s="84"/>
      <c r="LT207" s="83"/>
      <c r="LU207" s="85"/>
      <c r="LV207" s="83"/>
      <c r="LW207" s="83"/>
      <c r="LX207" s="83"/>
      <c r="LY207" s="84"/>
      <c r="LZ207" s="83"/>
      <c r="MA207" s="85"/>
      <c r="MB207" s="83"/>
      <c r="MC207" s="83"/>
      <c r="MD207" s="83"/>
      <c r="ME207" s="84"/>
      <c r="MF207" s="83"/>
      <c r="MG207" s="85"/>
      <c r="MH207" s="84"/>
      <c r="MI207" s="83"/>
      <c r="MJ207" s="85"/>
      <c r="MK207" s="83"/>
      <c r="ML207" s="83"/>
      <c r="MM207" s="83"/>
      <c r="MN207" s="84"/>
      <c r="MO207" s="83"/>
      <c r="MP207" s="85"/>
      <c r="MQ207" s="84"/>
      <c r="MR207" s="83"/>
      <c r="MS207" s="85"/>
      <c r="MT207" s="84"/>
      <c r="MU207" s="83"/>
      <c r="MV207" s="85"/>
      <c r="MW207" s="84"/>
      <c r="MX207" s="83"/>
      <c r="MY207" s="85"/>
      <c r="MZ207" s="84"/>
      <c r="NA207" s="83"/>
      <c r="NB207" s="85"/>
      <c r="NC207" s="83"/>
      <c r="ND207" s="83"/>
      <c r="NE207" s="88"/>
      <c r="NG207" s="275"/>
      <c r="NH207" s="1"/>
      <c r="NI207" s="1"/>
      <c r="NJ207" s="1"/>
      <c r="NK207" s="1"/>
    </row>
    <row r="208" spans="5:375" s="18" customFormat="1" ht="9.9499999999999993" customHeight="1">
      <c r="F208" s="194">
        <f t="shared" ref="F208" si="484">NG208</f>
        <v>2.7000000000000001E-3</v>
      </c>
      <c r="G208" s="195">
        <f>Q208-F208</f>
        <v>0</v>
      </c>
      <c r="H208" s="27">
        <v>1</v>
      </c>
      <c r="L208" s="286" t="s">
        <v>89</v>
      </c>
      <c r="M208" s="287"/>
      <c r="N208" s="287"/>
      <c r="O208" s="288"/>
      <c r="P208" s="240">
        <f>SUM(P210:P221)</f>
        <v>562755</v>
      </c>
      <c r="Q208" s="238">
        <f>ROUND(SUM(Q210:Q221),5)</f>
        <v>2.7000000000000001E-3</v>
      </c>
      <c r="R208" s="238">
        <f>ROUND(SUM(R210:R221),5)</f>
        <v>0</v>
      </c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8"/>
      <c r="AW208" s="176"/>
      <c r="AX208" s="137"/>
      <c r="AY208" s="137"/>
      <c r="AZ208" s="137"/>
      <c r="BA208" s="137"/>
      <c r="BB208" s="137"/>
      <c r="BC208" s="137"/>
      <c r="BD208" s="137"/>
      <c r="BE208" s="137"/>
      <c r="BF208" s="137"/>
      <c r="BG208" s="137"/>
      <c r="BH208" s="137"/>
      <c r="BI208" s="137"/>
      <c r="BJ208" s="137"/>
      <c r="BK208" s="137"/>
      <c r="BL208" s="137"/>
      <c r="BM208" s="137"/>
      <c r="BN208" s="137"/>
      <c r="BO208" s="137"/>
      <c r="BP208" s="137"/>
      <c r="BQ208" s="137"/>
      <c r="BR208" s="137"/>
      <c r="BS208" s="137"/>
      <c r="BT208" s="137"/>
      <c r="BU208" s="137"/>
      <c r="BV208" s="137"/>
      <c r="BW208" s="137"/>
      <c r="BX208" s="137"/>
      <c r="BY208" s="137"/>
      <c r="BZ208" s="138"/>
      <c r="CA208" s="176"/>
      <c r="CB208" s="137"/>
      <c r="CC208" s="137"/>
      <c r="CD208" s="137"/>
      <c r="CE208" s="137"/>
      <c r="CF208" s="137"/>
      <c r="CG208" s="137"/>
      <c r="CH208" s="137"/>
      <c r="CI208" s="137"/>
      <c r="CJ208" s="137"/>
      <c r="CK208" s="137"/>
      <c r="CL208" s="137"/>
      <c r="CM208" s="137"/>
      <c r="CN208" s="137"/>
      <c r="CO208" s="137"/>
      <c r="CP208" s="137"/>
      <c r="CQ208" s="137"/>
      <c r="CR208" s="137"/>
      <c r="CS208" s="137"/>
      <c r="CT208" s="137"/>
      <c r="CU208" s="137"/>
      <c r="CV208" s="137"/>
      <c r="CW208" s="137"/>
      <c r="CX208" s="137"/>
      <c r="CY208" s="137"/>
      <c r="CZ208" s="137"/>
      <c r="DA208" s="137"/>
      <c r="DB208" s="137"/>
      <c r="DC208" s="137"/>
      <c r="DD208" s="137"/>
      <c r="DE208" s="176"/>
      <c r="DF208" s="137"/>
      <c r="DG208" s="137"/>
      <c r="DH208" s="137"/>
      <c r="DI208" s="137"/>
      <c r="DJ208" s="137"/>
      <c r="DK208" s="137"/>
      <c r="DL208" s="137"/>
      <c r="DM208" s="137"/>
      <c r="DN208" s="137"/>
      <c r="DO208" s="137"/>
      <c r="DP208" s="137"/>
      <c r="DQ208" s="137"/>
      <c r="DR208" s="137"/>
      <c r="DS208" s="137"/>
      <c r="DT208" s="137"/>
      <c r="DU208" s="137"/>
      <c r="DV208" s="137"/>
      <c r="DW208" s="137"/>
      <c r="DX208" s="137"/>
      <c r="DY208" s="137"/>
      <c r="DZ208" s="137"/>
      <c r="EA208" s="137"/>
      <c r="EB208" s="137"/>
      <c r="EC208" s="137"/>
      <c r="ED208" s="137"/>
      <c r="EE208" s="137"/>
      <c r="EF208" s="137"/>
      <c r="EG208" s="137"/>
      <c r="EH208" s="137"/>
      <c r="EI208" s="176"/>
      <c r="EJ208" s="137"/>
      <c r="EK208" s="137"/>
      <c r="EL208" s="137"/>
      <c r="EM208" s="137"/>
      <c r="EN208" s="137"/>
      <c r="EO208" s="137"/>
      <c r="EP208" s="137"/>
      <c r="EQ208" s="137"/>
      <c r="ER208" s="137"/>
      <c r="ES208" s="137"/>
      <c r="ET208" s="137"/>
      <c r="EU208" s="137"/>
      <c r="EV208" s="137"/>
      <c r="EW208" s="137"/>
      <c r="EX208" s="137"/>
      <c r="EY208" s="137"/>
      <c r="EZ208" s="137"/>
      <c r="FA208" s="137"/>
      <c r="FB208" s="137"/>
      <c r="FC208" s="137"/>
      <c r="FD208" s="137"/>
      <c r="FE208" s="137"/>
      <c r="FF208" s="137"/>
      <c r="FG208" s="137"/>
      <c r="FH208" s="137"/>
      <c r="FI208" s="137"/>
      <c r="FJ208" s="137"/>
      <c r="FK208" s="137"/>
      <c r="FL208" s="137"/>
      <c r="FM208" s="176"/>
      <c r="FN208" s="137"/>
      <c r="FO208" s="137"/>
      <c r="FP208" s="137"/>
      <c r="FQ208" s="137"/>
      <c r="FR208" s="137"/>
      <c r="FS208" s="137"/>
      <c r="FT208" s="137"/>
      <c r="FU208" s="137"/>
      <c r="FV208" s="137"/>
      <c r="FW208" s="137"/>
      <c r="FX208" s="137"/>
      <c r="FY208" s="137"/>
      <c r="FZ208" s="137"/>
      <c r="GA208" s="137"/>
      <c r="GB208" s="137"/>
      <c r="GC208" s="137"/>
      <c r="GD208" s="137"/>
      <c r="GE208" s="137"/>
      <c r="GF208" s="137"/>
      <c r="GG208" s="137"/>
      <c r="GH208" s="137"/>
      <c r="GI208" s="137"/>
      <c r="GJ208" s="137"/>
      <c r="GK208" s="137"/>
      <c r="GL208" s="137"/>
      <c r="GM208" s="137"/>
      <c r="GN208" s="137"/>
      <c r="GO208" s="137"/>
      <c r="GP208" s="137"/>
      <c r="GQ208" s="176"/>
      <c r="GR208" s="137"/>
      <c r="GS208" s="137"/>
      <c r="GT208" s="137"/>
      <c r="GU208" s="137"/>
      <c r="GV208" s="137"/>
      <c r="GW208" s="137"/>
      <c r="GX208" s="137"/>
      <c r="GY208" s="137"/>
      <c r="GZ208" s="137"/>
      <c r="HA208" s="137"/>
      <c r="HB208" s="137"/>
      <c r="HC208" s="137"/>
      <c r="HD208" s="137"/>
      <c r="HE208" s="137"/>
      <c r="HF208" s="137"/>
      <c r="HG208" s="137"/>
      <c r="HH208" s="137"/>
      <c r="HI208" s="137"/>
      <c r="HJ208" s="137"/>
      <c r="HK208" s="137"/>
      <c r="HL208" s="137"/>
      <c r="HM208" s="137"/>
      <c r="HN208" s="137"/>
      <c r="HO208" s="137"/>
      <c r="HP208" s="137"/>
      <c r="HQ208" s="137"/>
      <c r="HR208" s="137"/>
      <c r="HS208" s="137"/>
      <c r="HT208" s="137"/>
      <c r="HU208" s="176"/>
      <c r="HV208" s="137"/>
      <c r="HW208" s="137"/>
      <c r="HX208" s="137"/>
      <c r="HY208" s="137"/>
      <c r="HZ208" s="137"/>
      <c r="IA208" s="137"/>
      <c r="IB208" s="137"/>
      <c r="IC208" s="137"/>
      <c r="ID208" s="137"/>
      <c r="IE208" s="137"/>
      <c r="IF208" s="137"/>
      <c r="IG208" s="137"/>
      <c r="IH208" s="137"/>
      <c r="II208" s="137"/>
      <c r="IJ208" s="137"/>
      <c r="IK208" s="137"/>
      <c r="IL208" s="137"/>
      <c r="IM208" s="137"/>
      <c r="IN208" s="137"/>
      <c r="IO208" s="137"/>
      <c r="IP208" s="137"/>
      <c r="IQ208" s="137"/>
      <c r="IR208" s="137"/>
      <c r="IS208" s="137"/>
      <c r="IT208" s="137"/>
      <c r="IU208" s="137"/>
      <c r="IV208" s="137"/>
      <c r="IW208" s="137"/>
      <c r="IX208" s="137"/>
      <c r="IY208" s="176"/>
      <c r="IZ208" s="137"/>
      <c r="JA208" s="137"/>
      <c r="JB208" s="137"/>
      <c r="JC208" s="137"/>
      <c r="JD208" s="137"/>
      <c r="JE208" s="137"/>
      <c r="JF208" s="137"/>
      <c r="JG208" s="137"/>
      <c r="JH208" s="137"/>
      <c r="JI208" s="137"/>
      <c r="JJ208" s="137"/>
      <c r="JK208" s="137"/>
      <c r="JL208" s="137"/>
      <c r="JM208" s="137"/>
      <c r="JN208" s="137"/>
      <c r="JO208" s="137"/>
      <c r="JP208" s="137"/>
      <c r="JQ208" s="137"/>
      <c r="JR208" s="137"/>
      <c r="JS208" s="137"/>
      <c r="JT208" s="137"/>
      <c r="JU208" s="137"/>
      <c r="JV208" s="137"/>
      <c r="JW208" s="137"/>
      <c r="JX208" s="137"/>
      <c r="JY208" s="137"/>
      <c r="JZ208" s="137"/>
      <c r="KA208" s="137"/>
      <c r="KB208" s="137"/>
      <c r="KC208" s="205">
        <f>ROUND(SUM(KC210:KE221),5)</f>
        <v>1.0000000000000001E-5</v>
      </c>
      <c r="KD208" s="206"/>
      <c r="KE208" s="207"/>
      <c r="KF208" s="205">
        <f>ROUND(SUM(KF210:KH221),5)</f>
        <v>0</v>
      </c>
      <c r="KG208" s="206"/>
      <c r="KH208" s="207"/>
      <c r="KI208" s="205">
        <f>ROUND(SUM(KI210:KK221),5)</f>
        <v>0</v>
      </c>
      <c r="KJ208" s="206"/>
      <c r="KK208" s="207"/>
      <c r="KL208" s="205">
        <f>ROUND(SUM(KL210:KN221),5)</f>
        <v>0</v>
      </c>
      <c r="KM208" s="206"/>
      <c r="KN208" s="207"/>
      <c r="KO208" s="205">
        <f>ROUND(SUM(KO210:KQ221),5)</f>
        <v>0</v>
      </c>
      <c r="KP208" s="206"/>
      <c r="KQ208" s="207"/>
      <c r="KR208" s="205">
        <f>ROUND(SUM(KR210:KT221),5)</f>
        <v>0</v>
      </c>
      <c r="KS208" s="206"/>
      <c r="KT208" s="207"/>
      <c r="KU208" s="205">
        <f>ROUND(SUM(KU210:KW221),5)</f>
        <v>0</v>
      </c>
      <c r="KV208" s="206"/>
      <c r="KW208" s="207"/>
      <c r="KX208" s="205">
        <f>ROUND(SUM(KX210:KZ221),5)</f>
        <v>0</v>
      </c>
      <c r="KY208" s="206"/>
      <c r="KZ208" s="206"/>
      <c r="LA208" s="229">
        <f>ROUND(SUM(LA210:LC221),5)</f>
        <v>0</v>
      </c>
      <c r="LB208" s="206"/>
      <c r="LC208" s="230"/>
      <c r="LD208" s="206">
        <f>ROUND(SUM(LD210:LF221),5)</f>
        <v>0</v>
      </c>
      <c r="LE208" s="206"/>
      <c r="LF208" s="207"/>
      <c r="LG208" s="205">
        <f>ROUND(SUM(LG210:LI221),5)</f>
        <v>0</v>
      </c>
      <c r="LH208" s="206"/>
      <c r="LI208" s="207"/>
      <c r="LJ208" s="205">
        <f>ROUND(SUM(LJ210:LL221),5)</f>
        <v>0</v>
      </c>
      <c r="LK208" s="206"/>
      <c r="LL208" s="207"/>
      <c r="LM208" s="205">
        <f>ROUND(SUM(LM210:LO221),5)</f>
        <v>0</v>
      </c>
      <c r="LN208" s="206"/>
      <c r="LO208" s="207"/>
      <c r="LP208" s="205">
        <f>ROUND(SUM(LP210:LR221),5)</f>
        <v>0</v>
      </c>
      <c r="LQ208" s="206"/>
      <c r="LR208" s="207"/>
      <c r="LS208" s="205">
        <f>ROUND(SUM(LS210:LU221),5)</f>
        <v>0</v>
      </c>
      <c r="LT208" s="206"/>
      <c r="LU208" s="207"/>
      <c r="LV208" s="205">
        <f>ROUND(SUM(LV210:LX221),5)</f>
        <v>0</v>
      </c>
      <c r="LW208" s="206"/>
      <c r="LX208" s="207"/>
      <c r="LY208" s="205">
        <f>ROUND(SUM(LY210:MA221),5)</f>
        <v>0</v>
      </c>
      <c r="LZ208" s="206"/>
      <c r="MA208" s="207"/>
      <c r="MB208" s="205">
        <f>ROUND(SUM(MB210:MD221),5)</f>
        <v>7.6999999999999996E-4</v>
      </c>
      <c r="MC208" s="206"/>
      <c r="MD208" s="207"/>
      <c r="ME208" s="205">
        <f>ROUND(SUM(ME210:MG221),5)</f>
        <v>7.6999999999999996E-4</v>
      </c>
      <c r="MF208" s="206"/>
      <c r="MG208" s="207"/>
      <c r="MH208" s="205">
        <f>ROUND(SUM(MH210:MJ221),5)</f>
        <v>4.8999999999999998E-4</v>
      </c>
      <c r="MI208" s="206"/>
      <c r="MJ208" s="207"/>
      <c r="MK208" s="205">
        <f>ROUND(SUM(MK210:MM221),5)</f>
        <v>0</v>
      </c>
      <c r="ML208" s="206"/>
      <c r="MM208" s="207"/>
      <c r="MN208" s="205">
        <f>ROUND(SUM(MN210:MP221),5)</f>
        <v>1.9000000000000001E-4</v>
      </c>
      <c r="MO208" s="206"/>
      <c r="MP208" s="207"/>
      <c r="MQ208" s="205">
        <f>ROUND(SUM(MQ210:MS221),5)</f>
        <v>4.6999999999999999E-4</v>
      </c>
      <c r="MR208" s="206"/>
      <c r="MS208" s="207"/>
      <c r="MT208" s="205">
        <f>ROUND(SUM(MT210:MV221),5)</f>
        <v>0</v>
      </c>
      <c r="MU208" s="206"/>
      <c r="MV208" s="207"/>
      <c r="MW208" s="205">
        <f>ROUND(SUM(MW210:MY221),5)</f>
        <v>0</v>
      </c>
      <c r="MX208" s="206"/>
      <c r="MY208" s="207"/>
      <c r="MZ208" s="205">
        <f>ROUND(SUM(MZ210:NB221),5)</f>
        <v>0</v>
      </c>
      <c r="NA208" s="206"/>
      <c r="NB208" s="207"/>
      <c r="NC208" s="205">
        <f>ROUND(SUM(NC210:NE221),5)</f>
        <v>0</v>
      </c>
      <c r="ND208" s="206"/>
      <c r="NE208" s="223"/>
      <c r="NG208" s="198">
        <f>SUM(R208:NE208)</f>
        <v>2.7000000000000001E-3</v>
      </c>
      <c r="NH208" s="198">
        <f>SUM(NG210:NG221)</f>
        <v>2.7004000000000004E-3</v>
      </c>
      <c r="NI208" s="114"/>
      <c r="NJ208" s="114"/>
      <c r="NK208" s="114"/>
    </row>
    <row r="209" spans="5:375" s="18" customFormat="1" ht="9.9499999999999993" customHeight="1">
      <c r="F209" s="194"/>
      <c r="G209" s="195"/>
      <c r="H209" s="52">
        <v>2</v>
      </c>
      <c r="L209" s="289"/>
      <c r="M209" s="290"/>
      <c r="N209" s="290"/>
      <c r="O209" s="291"/>
      <c r="P209" s="241"/>
      <c r="Q209" s="239"/>
      <c r="R209" s="239"/>
      <c r="S209" s="139"/>
      <c r="T209" s="139"/>
      <c r="U209" s="139"/>
      <c r="V209" s="139"/>
      <c r="W209" s="139"/>
      <c r="X209" s="139"/>
      <c r="Y209" s="139"/>
      <c r="Z209" s="139"/>
      <c r="AA209" s="139"/>
      <c r="AB209" s="139"/>
      <c r="AC209" s="139"/>
      <c r="AD209" s="139"/>
      <c r="AE209" s="139"/>
      <c r="AF209" s="139"/>
      <c r="AG209" s="139"/>
      <c r="AH209" s="139"/>
      <c r="AI209" s="139"/>
      <c r="AJ209" s="139"/>
      <c r="AK209" s="139"/>
      <c r="AL209" s="139"/>
      <c r="AM209" s="139"/>
      <c r="AN209" s="139"/>
      <c r="AO209" s="139"/>
      <c r="AP209" s="139"/>
      <c r="AQ209" s="139"/>
      <c r="AR209" s="139"/>
      <c r="AS209" s="139"/>
      <c r="AT209" s="139"/>
      <c r="AU209" s="139"/>
      <c r="AV209" s="140"/>
      <c r="AW209" s="177"/>
      <c r="AX209" s="139"/>
      <c r="AY209" s="139"/>
      <c r="AZ209" s="139"/>
      <c r="BA209" s="139"/>
      <c r="BB209" s="139"/>
      <c r="BC209" s="139"/>
      <c r="BD209" s="139"/>
      <c r="BE209" s="139"/>
      <c r="BF209" s="139"/>
      <c r="BG209" s="139"/>
      <c r="BH209" s="139"/>
      <c r="BI209" s="139"/>
      <c r="BJ209" s="139"/>
      <c r="BK209" s="139"/>
      <c r="BL209" s="139"/>
      <c r="BM209" s="139"/>
      <c r="BN209" s="139"/>
      <c r="BO209" s="139"/>
      <c r="BP209" s="139"/>
      <c r="BQ209" s="139"/>
      <c r="BR209" s="139"/>
      <c r="BS209" s="139"/>
      <c r="BT209" s="139"/>
      <c r="BU209" s="139"/>
      <c r="BV209" s="139"/>
      <c r="BW209" s="139"/>
      <c r="BX209" s="139"/>
      <c r="BY209" s="139"/>
      <c r="BZ209" s="140"/>
      <c r="CA209" s="177"/>
      <c r="CB209" s="139"/>
      <c r="CC209" s="139"/>
      <c r="CD209" s="139"/>
      <c r="CE209" s="139"/>
      <c r="CF209" s="139"/>
      <c r="CG209" s="139"/>
      <c r="CH209" s="139"/>
      <c r="CI209" s="139"/>
      <c r="CJ209" s="139"/>
      <c r="CK209" s="139"/>
      <c r="CL209" s="139"/>
      <c r="CM209" s="139"/>
      <c r="CN209" s="139"/>
      <c r="CO209" s="139"/>
      <c r="CP209" s="139"/>
      <c r="CQ209" s="139"/>
      <c r="CR209" s="139"/>
      <c r="CS209" s="139"/>
      <c r="CT209" s="139"/>
      <c r="CU209" s="139"/>
      <c r="CV209" s="139"/>
      <c r="CW209" s="139"/>
      <c r="CX209" s="139"/>
      <c r="CY209" s="139"/>
      <c r="CZ209" s="139"/>
      <c r="DA209" s="139"/>
      <c r="DB209" s="139"/>
      <c r="DC209" s="139"/>
      <c r="DD209" s="139"/>
      <c r="DE209" s="177"/>
      <c r="DF209" s="139"/>
      <c r="DG209" s="139"/>
      <c r="DH209" s="139"/>
      <c r="DI209" s="139"/>
      <c r="DJ209" s="139"/>
      <c r="DK209" s="139"/>
      <c r="DL209" s="139"/>
      <c r="DM209" s="139"/>
      <c r="DN209" s="139"/>
      <c r="DO209" s="139"/>
      <c r="DP209" s="139"/>
      <c r="DQ209" s="139"/>
      <c r="DR209" s="139"/>
      <c r="DS209" s="139"/>
      <c r="DT209" s="139"/>
      <c r="DU209" s="139"/>
      <c r="DV209" s="139"/>
      <c r="DW209" s="139"/>
      <c r="DX209" s="139"/>
      <c r="DY209" s="139"/>
      <c r="DZ209" s="139"/>
      <c r="EA209" s="139"/>
      <c r="EB209" s="139"/>
      <c r="EC209" s="139"/>
      <c r="ED209" s="139"/>
      <c r="EE209" s="139"/>
      <c r="EF209" s="139"/>
      <c r="EG209" s="139"/>
      <c r="EH209" s="139"/>
      <c r="EI209" s="177"/>
      <c r="EJ209" s="139"/>
      <c r="EK209" s="139"/>
      <c r="EL209" s="139"/>
      <c r="EM209" s="139"/>
      <c r="EN209" s="139"/>
      <c r="EO209" s="139"/>
      <c r="EP209" s="139"/>
      <c r="EQ209" s="139"/>
      <c r="ER209" s="139"/>
      <c r="ES209" s="139"/>
      <c r="ET209" s="139"/>
      <c r="EU209" s="139"/>
      <c r="EV209" s="139"/>
      <c r="EW209" s="139"/>
      <c r="EX209" s="139"/>
      <c r="EY209" s="139"/>
      <c r="EZ209" s="139"/>
      <c r="FA209" s="139"/>
      <c r="FB209" s="139"/>
      <c r="FC209" s="139"/>
      <c r="FD209" s="139"/>
      <c r="FE209" s="139"/>
      <c r="FF209" s="139"/>
      <c r="FG209" s="139"/>
      <c r="FH209" s="139"/>
      <c r="FI209" s="139"/>
      <c r="FJ209" s="139"/>
      <c r="FK209" s="139"/>
      <c r="FL209" s="139"/>
      <c r="FM209" s="177"/>
      <c r="FN209" s="139"/>
      <c r="FO209" s="139"/>
      <c r="FP209" s="139"/>
      <c r="FQ209" s="139"/>
      <c r="FR209" s="139"/>
      <c r="FS209" s="139"/>
      <c r="FT209" s="139"/>
      <c r="FU209" s="139"/>
      <c r="FV209" s="139"/>
      <c r="FW209" s="139"/>
      <c r="FX209" s="139"/>
      <c r="FY209" s="139"/>
      <c r="FZ209" s="139"/>
      <c r="GA209" s="139"/>
      <c r="GB209" s="139"/>
      <c r="GC209" s="139"/>
      <c r="GD209" s="139"/>
      <c r="GE209" s="139"/>
      <c r="GF209" s="139"/>
      <c r="GG209" s="139"/>
      <c r="GH209" s="139"/>
      <c r="GI209" s="139"/>
      <c r="GJ209" s="139"/>
      <c r="GK209" s="139"/>
      <c r="GL209" s="139"/>
      <c r="GM209" s="139"/>
      <c r="GN209" s="139"/>
      <c r="GO209" s="139"/>
      <c r="GP209" s="139"/>
      <c r="GQ209" s="177"/>
      <c r="GR209" s="139"/>
      <c r="GS209" s="139"/>
      <c r="GT209" s="139"/>
      <c r="GU209" s="139"/>
      <c r="GV209" s="139"/>
      <c r="GW209" s="139"/>
      <c r="GX209" s="139"/>
      <c r="GY209" s="139"/>
      <c r="GZ209" s="139"/>
      <c r="HA209" s="139"/>
      <c r="HB209" s="139"/>
      <c r="HC209" s="139"/>
      <c r="HD209" s="139"/>
      <c r="HE209" s="139"/>
      <c r="HF209" s="139"/>
      <c r="HG209" s="139"/>
      <c r="HH209" s="139"/>
      <c r="HI209" s="139"/>
      <c r="HJ209" s="139"/>
      <c r="HK209" s="139"/>
      <c r="HL209" s="139"/>
      <c r="HM209" s="139"/>
      <c r="HN209" s="139"/>
      <c r="HO209" s="139"/>
      <c r="HP209" s="139"/>
      <c r="HQ209" s="139"/>
      <c r="HR209" s="139"/>
      <c r="HS209" s="139"/>
      <c r="HT209" s="139"/>
      <c r="HU209" s="177"/>
      <c r="HV209" s="139"/>
      <c r="HW209" s="139"/>
      <c r="HX209" s="139"/>
      <c r="HY209" s="139"/>
      <c r="HZ209" s="139"/>
      <c r="IA209" s="139"/>
      <c r="IB209" s="139"/>
      <c r="IC209" s="139"/>
      <c r="ID209" s="139"/>
      <c r="IE209" s="139"/>
      <c r="IF209" s="139"/>
      <c r="IG209" s="139"/>
      <c r="IH209" s="139"/>
      <c r="II209" s="139"/>
      <c r="IJ209" s="139"/>
      <c r="IK209" s="139"/>
      <c r="IL209" s="139"/>
      <c r="IM209" s="139"/>
      <c r="IN209" s="139"/>
      <c r="IO209" s="139"/>
      <c r="IP209" s="139"/>
      <c r="IQ209" s="139"/>
      <c r="IR209" s="139"/>
      <c r="IS209" s="139"/>
      <c r="IT209" s="139"/>
      <c r="IU209" s="139"/>
      <c r="IV209" s="139"/>
      <c r="IW209" s="139"/>
      <c r="IX209" s="139"/>
      <c r="IY209" s="177"/>
      <c r="IZ209" s="139"/>
      <c r="JA209" s="139"/>
      <c r="JB209" s="139"/>
      <c r="JC209" s="139"/>
      <c r="JD209" s="139"/>
      <c r="JE209" s="139"/>
      <c r="JF209" s="139"/>
      <c r="JG209" s="139"/>
      <c r="JH209" s="139"/>
      <c r="JI209" s="139"/>
      <c r="JJ209" s="139"/>
      <c r="JK209" s="139"/>
      <c r="JL209" s="139"/>
      <c r="JM209" s="139"/>
      <c r="JN209" s="139"/>
      <c r="JO209" s="139"/>
      <c r="JP209" s="139"/>
      <c r="JQ209" s="139"/>
      <c r="JR209" s="139"/>
      <c r="JS209" s="139"/>
      <c r="JT209" s="139"/>
      <c r="JU209" s="139"/>
      <c r="JV209" s="139"/>
      <c r="JW209" s="139"/>
      <c r="JX209" s="139"/>
      <c r="JY209" s="139"/>
      <c r="JZ209" s="139"/>
      <c r="KA209" s="139"/>
      <c r="KB209" s="139"/>
      <c r="KC209" s="281"/>
      <c r="KD209" s="282"/>
      <c r="KE209" s="283"/>
      <c r="KF209" s="208"/>
      <c r="KG209" s="209"/>
      <c r="KH209" s="210"/>
      <c r="KI209" s="208"/>
      <c r="KJ209" s="209"/>
      <c r="KK209" s="210"/>
      <c r="KL209" s="208"/>
      <c r="KM209" s="209"/>
      <c r="KN209" s="210"/>
      <c r="KO209" s="208"/>
      <c r="KP209" s="209"/>
      <c r="KQ209" s="210"/>
      <c r="KR209" s="208"/>
      <c r="KS209" s="209"/>
      <c r="KT209" s="210"/>
      <c r="KU209" s="208"/>
      <c r="KV209" s="209"/>
      <c r="KW209" s="210"/>
      <c r="KX209" s="208"/>
      <c r="KY209" s="209"/>
      <c r="KZ209" s="209"/>
      <c r="LA209" s="231"/>
      <c r="LB209" s="209"/>
      <c r="LC209" s="232"/>
      <c r="LD209" s="209"/>
      <c r="LE209" s="209"/>
      <c r="LF209" s="210"/>
      <c r="LG209" s="208"/>
      <c r="LH209" s="209"/>
      <c r="LI209" s="210"/>
      <c r="LJ209" s="208"/>
      <c r="LK209" s="209"/>
      <c r="LL209" s="210"/>
      <c r="LM209" s="208"/>
      <c r="LN209" s="209"/>
      <c r="LO209" s="210"/>
      <c r="LP209" s="208"/>
      <c r="LQ209" s="209"/>
      <c r="LR209" s="210"/>
      <c r="LS209" s="208"/>
      <c r="LT209" s="209"/>
      <c r="LU209" s="210"/>
      <c r="LV209" s="208"/>
      <c r="LW209" s="209"/>
      <c r="LX209" s="210"/>
      <c r="LY209" s="208"/>
      <c r="LZ209" s="209"/>
      <c r="MA209" s="210"/>
      <c r="MB209" s="208"/>
      <c r="MC209" s="209"/>
      <c r="MD209" s="210"/>
      <c r="ME209" s="208"/>
      <c r="MF209" s="209"/>
      <c r="MG209" s="210"/>
      <c r="MH209" s="208"/>
      <c r="MI209" s="209"/>
      <c r="MJ209" s="210"/>
      <c r="MK209" s="208"/>
      <c r="ML209" s="209"/>
      <c r="MM209" s="210"/>
      <c r="MN209" s="208"/>
      <c r="MO209" s="209"/>
      <c r="MP209" s="210"/>
      <c r="MQ209" s="208"/>
      <c r="MR209" s="209"/>
      <c r="MS209" s="210"/>
      <c r="MT209" s="208"/>
      <c r="MU209" s="209"/>
      <c r="MV209" s="210"/>
      <c r="MW209" s="208"/>
      <c r="MX209" s="209"/>
      <c r="MY209" s="210"/>
      <c r="MZ209" s="208"/>
      <c r="NA209" s="209"/>
      <c r="NB209" s="210"/>
      <c r="NC209" s="208"/>
      <c r="ND209" s="209"/>
      <c r="NE209" s="224"/>
      <c r="NG209" s="198"/>
      <c r="NH209" s="198"/>
      <c r="NI209" s="114"/>
      <c r="NJ209" s="114"/>
      <c r="NK209" s="114"/>
    </row>
    <row r="210" spans="5:375" s="6" customFormat="1" ht="9.9499999999999993" customHeight="1">
      <c r="F210" s="196">
        <f t="shared" ref="F210" si="485">NG210</f>
        <v>1.0000000000000001E-5</v>
      </c>
      <c r="G210" s="197">
        <f>Q210-F210</f>
        <v>0</v>
      </c>
      <c r="H210" s="27">
        <v>1</v>
      </c>
      <c r="L210" s="339"/>
      <c r="M210" s="293" t="s">
        <v>90</v>
      </c>
      <c r="N210" s="313">
        <v>322</v>
      </c>
      <c r="O210" s="305" t="s">
        <v>91</v>
      </c>
      <c r="P210" s="307">
        <v>1458</v>
      </c>
      <c r="Q210" s="236">
        <f>ROUND(P210/$P$256,5)</f>
        <v>1.0000000000000001E-5</v>
      </c>
      <c r="R210" s="21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3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54"/>
      <c r="BS210" s="54"/>
      <c r="BT210" s="54"/>
      <c r="BU210" s="54"/>
      <c r="BV210" s="54"/>
      <c r="BW210" s="54"/>
      <c r="BX210" s="54"/>
      <c r="BY210" s="54"/>
      <c r="BZ210" s="55"/>
      <c r="CA210" s="53"/>
      <c r="CB210" s="54"/>
      <c r="CC210" s="54"/>
      <c r="CD210" s="54"/>
      <c r="CE210" s="54"/>
      <c r="CF210" s="54"/>
      <c r="CG210" s="54"/>
      <c r="CH210" s="54"/>
      <c r="CI210" s="54"/>
      <c r="CJ210" s="54"/>
      <c r="CK210" s="54"/>
      <c r="CL210" s="54"/>
      <c r="CM210" s="54"/>
      <c r="CN210" s="54"/>
      <c r="CO210" s="54"/>
      <c r="CP210" s="54"/>
      <c r="CQ210" s="54"/>
      <c r="CR210" s="54"/>
      <c r="CS210" s="54"/>
      <c r="CT210" s="54"/>
      <c r="CU210" s="54"/>
      <c r="CV210" s="54"/>
      <c r="CW210" s="54"/>
      <c r="CX210" s="54"/>
      <c r="CY210" s="54"/>
      <c r="CZ210" s="54"/>
      <c r="DA210" s="54"/>
      <c r="DB210" s="54"/>
      <c r="DC210" s="54"/>
      <c r="DD210" s="54"/>
      <c r="DE210" s="53"/>
      <c r="DF210" s="54"/>
      <c r="DG210" s="54"/>
      <c r="DH210" s="54"/>
      <c r="DI210" s="54"/>
      <c r="DJ210" s="54"/>
      <c r="DK210" s="54"/>
      <c r="DL210" s="54"/>
      <c r="DM210" s="54"/>
      <c r="DN210" s="54"/>
      <c r="DO210" s="54"/>
      <c r="DP210" s="54"/>
      <c r="DQ210" s="54"/>
      <c r="DR210" s="54"/>
      <c r="DS210" s="54"/>
      <c r="DT210" s="54"/>
      <c r="DU210" s="54"/>
      <c r="DV210" s="54"/>
      <c r="DW210" s="54"/>
      <c r="DX210" s="54"/>
      <c r="DY210" s="54"/>
      <c r="DZ210" s="54"/>
      <c r="EA210" s="54"/>
      <c r="EB210" s="54"/>
      <c r="EC210" s="54"/>
      <c r="ED210" s="54"/>
      <c r="EE210" s="54"/>
      <c r="EF210" s="54"/>
      <c r="EG210" s="54"/>
      <c r="EH210" s="54"/>
      <c r="EI210" s="156"/>
      <c r="EJ210" s="156"/>
      <c r="EK210" s="156"/>
      <c r="EL210" s="156"/>
      <c r="EM210" s="156"/>
      <c r="EN210" s="156"/>
      <c r="EO210" s="156"/>
      <c r="EP210" s="156"/>
      <c r="EQ210" s="156"/>
      <c r="ER210" s="156"/>
      <c r="ES210" s="156"/>
      <c r="ET210" s="156"/>
      <c r="EU210" s="156"/>
      <c r="EV210" s="156"/>
      <c r="EW210" s="156"/>
      <c r="EX210" s="156"/>
      <c r="EY210" s="156"/>
      <c r="EZ210" s="156"/>
      <c r="FA210" s="156"/>
      <c r="FB210" s="156"/>
      <c r="FC210" s="156"/>
      <c r="FD210" s="156"/>
      <c r="FE210" s="156"/>
      <c r="FF210" s="156"/>
      <c r="FG210" s="156"/>
      <c r="FH210" s="156"/>
      <c r="FI210" s="156"/>
      <c r="FJ210" s="156"/>
      <c r="FK210" s="156"/>
      <c r="FL210" s="156"/>
      <c r="FM210" s="53"/>
      <c r="FN210" s="54"/>
      <c r="FO210" s="54"/>
      <c r="FP210" s="54"/>
      <c r="FQ210" s="54"/>
      <c r="FR210" s="54"/>
      <c r="FS210" s="54"/>
      <c r="FT210" s="54"/>
      <c r="FU210" s="54"/>
      <c r="FV210" s="54"/>
      <c r="FW210" s="54"/>
      <c r="FX210" s="54"/>
      <c r="FY210" s="54"/>
      <c r="FZ210" s="54"/>
      <c r="GA210" s="54"/>
      <c r="GB210" s="54"/>
      <c r="GC210" s="54"/>
      <c r="GD210" s="54"/>
      <c r="GE210" s="54"/>
      <c r="GF210" s="54"/>
      <c r="GG210" s="54"/>
      <c r="GH210" s="54"/>
      <c r="GI210" s="54"/>
      <c r="GJ210" s="54"/>
      <c r="GK210" s="54"/>
      <c r="GL210" s="54"/>
      <c r="GM210" s="54"/>
      <c r="GN210" s="54"/>
      <c r="GO210" s="54"/>
      <c r="GP210" s="54"/>
      <c r="GQ210" s="54"/>
      <c r="GR210" s="54"/>
      <c r="GS210" s="54"/>
      <c r="GT210" s="54"/>
      <c r="GU210" s="54"/>
      <c r="GV210" s="54"/>
      <c r="GW210" s="54"/>
      <c r="GX210" s="54"/>
      <c r="GY210" s="54"/>
      <c r="GZ210" s="54"/>
      <c r="HA210" s="54"/>
      <c r="HB210" s="54"/>
      <c r="HC210" s="54"/>
      <c r="HD210" s="54"/>
      <c r="HE210" s="54"/>
      <c r="HF210" s="54"/>
      <c r="HG210" s="54"/>
      <c r="HH210" s="54"/>
      <c r="HI210" s="54"/>
      <c r="HJ210" s="54"/>
      <c r="HK210" s="54"/>
      <c r="HL210" s="54"/>
      <c r="HM210" s="54"/>
      <c r="HN210" s="54"/>
      <c r="HO210" s="54"/>
      <c r="HP210" s="54"/>
      <c r="HQ210" s="54"/>
      <c r="HR210" s="54"/>
      <c r="HS210" s="54"/>
      <c r="HT210" s="54"/>
      <c r="HU210" s="53"/>
      <c r="HV210" s="54"/>
      <c r="HW210" s="54"/>
      <c r="HX210" s="54"/>
      <c r="HY210" s="54"/>
      <c r="HZ210" s="54"/>
      <c r="IA210" s="54"/>
      <c r="IB210" s="54"/>
      <c r="IC210" s="54"/>
      <c r="ID210" s="54"/>
      <c r="IE210" s="54"/>
      <c r="IF210" s="54"/>
      <c r="IG210" s="54"/>
      <c r="IH210" s="54"/>
      <c r="II210" s="54"/>
      <c r="IJ210" s="54"/>
      <c r="IK210" s="54"/>
      <c r="IL210" s="54"/>
      <c r="IM210" s="54"/>
      <c r="IN210" s="54"/>
      <c r="IO210" s="54"/>
      <c r="IP210" s="54"/>
      <c r="IQ210" s="54"/>
      <c r="IR210" s="54"/>
      <c r="IS210" s="54"/>
      <c r="IT210" s="54"/>
      <c r="IU210" s="54"/>
      <c r="IV210" s="54"/>
      <c r="IW210" s="54"/>
      <c r="IX210" s="54"/>
      <c r="IY210" s="53"/>
      <c r="IZ210" s="54"/>
      <c r="JA210" s="54"/>
      <c r="JB210" s="54"/>
      <c r="JC210" s="54"/>
      <c r="JD210" s="54"/>
      <c r="JE210" s="54"/>
      <c r="JF210" s="54"/>
      <c r="JG210" s="54"/>
      <c r="JH210" s="54"/>
      <c r="JI210" s="54"/>
      <c r="JJ210" s="54"/>
      <c r="JK210" s="54"/>
      <c r="JL210" s="54"/>
      <c r="JM210" s="54"/>
      <c r="JN210" s="54"/>
      <c r="JO210" s="54"/>
      <c r="JP210" s="54"/>
      <c r="JQ210" s="54"/>
      <c r="JR210" s="54"/>
      <c r="JS210" s="54"/>
      <c r="JT210" s="54"/>
      <c r="JU210" s="54"/>
      <c r="JV210" s="54"/>
      <c r="JW210" s="54"/>
      <c r="JX210" s="54"/>
      <c r="JY210" s="54"/>
      <c r="JZ210" s="54"/>
      <c r="KA210" s="54"/>
      <c r="KB210" s="54"/>
      <c r="KC210" s="212">
        <v>5.0000000000000004E-6</v>
      </c>
      <c r="KD210" s="212"/>
      <c r="KE210" s="212"/>
      <c r="KF210" s="54"/>
      <c r="KG210" s="54"/>
      <c r="KH210" s="54"/>
      <c r="KI210" s="53"/>
      <c r="KJ210" s="54"/>
      <c r="KK210" s="55"/>
      <c r="KL210" s="53"/>
      <c r="KM210" s="54"/>
      <c r="KN210" s="55"/>
      <c r="KO210" s="212">
        <v>3.0000000000000001E-6</v>
      </c>
      <c r="KP210" s="212"/>
      <c r="KQ210" s="212"/>
      <c r="KR210" s="54"/>
      <c r="KS210" s="54"/>
      <c r="KT210" s="55"/>
      <c r="KU210" s="54"/>
      <c r="KV210" s="54"/>
      <c r="KW210" s="55"/>
      <c r="KX210" s="54"/>
      <c r="KY210" s="54"/>
      <c r="KZ210" s="54"/>
      <c r="LA210" s="211">
        <v>1.9999999999999999E-6</v>
      </c>
      <c r="LB210" s="212"/>
      <c r="LC210" s="213"/>
      <c r="LD210" s="54"/>
      <c r="LE210" s="54"/>
      <c r="LF210" s="54"/>
      <c r="LG210" s="53"/>
      <c r="LH210" s="54"/>
      <c r="LI210" s="55"/>
      <c r="LJ210" s="53"/>
      <c r="LK210" s="54"/>
      <c r="LL210" s="55"/>
      <c r="LM210" s="53"/>
      <c r="LN210" s="54"/>
      <c r="LO210" s="55"/>
      <c r="LP210" s="53"/>
      <c r="LQ210" s="54"/>
      <c r="LR210" s="55"/>
      <c r="LS210" s="53"/>
      <c r="LT210" s="54"/>
      <c r="LU210" s="55"/>
      <c r="LV210" s="54"/>
      <c r="LW210" s="54"/>
      <c r="LX210" s="54"/>
      <c r="LY210" s="53"/>
      <c r="LZ210" s="54"/>
      <c r="MA210" s="55"/>
      <c r="MB210" s="54"/>
      <c r="MC210" s="54"/>
      <c r="MD210" s="54"/>
      <c r="ME210" s="53"/>
      <c r="MF210" s="54"/>
      <c r="MG210" s="55"/>
      <c r="MH210" s="53"/>
      <c r="MI210" s="54"/>
      <c r="MJ210" s="55"/>
      <c r="MK210" s="54"/>
      <c r="ML210" s="54"/>
      <c r="MM210" s="54"/>
      <c r="MN210" s="53"/>
      <c r="MO210" s="54"/>
      <c r="MP210" s="55"/>
      <c r="MQ210" s="53"/>
      <c r="MR210" s="54"/>
      <c r="MS210" s="55"/>
      <c r="MT210" s="53"/>
      <c r="MU210" s="54"/>
      <c r="MV210" s="55"/>
      <c r="MW210" s="53"/>
      <c r="MX210" s="54"/>
      <c r="MY210" s="55"/>
      <c r="MZ210" s="53"/>
      <c r="NA210" s="54"/>
      <c r="NB210" s="55"/>
      <c r="NC210" s="54"/>
      <c r="ND210" s="54"/>
      <c r="NE210" s="59"/>
      <c r="NG210" s="275">
        <f>SUM(R210:NE210)</f>
        <v>1.0000000000000001E-5</v>
      </c>
      <c r="NH210" s="1"/>
      <c r="NI210" s="1"/>
      <c r="NJ210" s="1"/>
      <c r="NK210" s="1"/>
    </row>
    <row r="211" spans="5:375" s="6" customFormat="1" ht="6.95" customHeight="1">
      <c r="F211" s="196"/>
      <c r="G211" s="197"/>
      <c r="H211" s="52">
        <v>2</v>
      </c>
      <c r="L211" s="340"/>
      <c r="M211" s="294"/>
      <c r="N211" s="314"/>
      <c r="O211" s="306"/>
      <c r="P211" s="308"/>
      <c r="Q211" s="237"/>
      <c r="R211" s="9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39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  <c r="BW211" s="40"/>
      <c r="BX211" s="40"/>
      <c r="BY211" s="40"/>
      <c r="BZ211" s="41"/>
      <c r="CA211" s="39"/>
      <c r="CB211" s="40"/>
      <c r="CC211" s="40"/>
      <c r="CD211" s="40"/>
      <c r="CE211" s="40"/>
      <c r="CF211" s="40"/>
      <c r="CG211" s="40"/>
      <c r="CH211" s="40"/>
      <c r="CI211" s="40"/>
      <c r="CJ211" s="40"/>
      <c r="CK211" s="40"/>
      <c r="CL211" s="40"/>
      <c r="CM211" s="40"/>
      <c r="CN211" s="40"/>
      <c r="CO211" s="40"/>
      <c r="CP211" s="40"/>
      <c r="CQ211" s="40"/>
      <c r="CR211" s="40"/>
      <c r="CS211" s="40"/>
      <c r="CT211" s="40"/>
      <c r="CU211" s="40"/>
      <c r="CV211" s="40"/>
      <c r="CW211" s="40"/>
      <c r="CX211" s="40"/>
      <c r="CY211" s="40"/>
      <c r="CZ211" s="40"/>
      <c r="DA211" s="40"/>
      <c r="DB211" s="40"/>
      <c r="DC211" s="40"/>
      <c r="DD211" s="40"/>
      <c r="DE211" s="39"/>
      <c r="DF211" s="40"/>
      <c r="DG211" s="40"/>
      <c r="DH211" s="40"/>
      <c r="DI211" s="40"/>
      <c r="DJ211" s="40"/>
      <c r="DK211" s="40"/>
      <c r="DL211" s="40"/>
      <c r="DM211" s="40"/>
      <c r="DN211" s="40"/>
      <c r="DO211" s="40"/>
      <c r="DP211" s="40"/>
      <c r="DQ211" s="40"/>
      <c r="DR211" s="40"/>
      <c r="DS211" s="40"/>
      <c r="DT211" s="40"/>
      <c r="DU211" s="40"/>
      <c r="DV211" s="40"/>
      <c r="DW211" s="40"/>
      <c r="DX211" s="40"/>
      <c r="DY211" s="40"/>
      <c r="DZ211" s="40"/>
      <c r="EA211" s="40"/>
      <c r="EB211" s="40"/>
      <c r="EC211" s="40"/>
      <c r="ED211" s="40"/>
      <c r="EE211" s="40"/>
      <c r="EF211" s="40"/>
      <c r="EG211" s="40"/>
      <c r="EH211" s="40"/>
      <c r="EI211" s="39"/>
      <c r="EJ211" s="101"/>
      <c r="EK211" s="101"/>
      <c r="EL211" s="101"/>
      <c r="EM211" s="101"/>
      <c r="EN211" s="101"/>
      <c r="EO211" s="101"/>
      <c r="EP211" s="101"/>
      <c r="EQ211" s="101"/>
      <c r="ER211" s="101"/>
      <c r="ES211" s="101"/>
      <c r="ET211" s="101"/>
      <c r="EU211" s="101"/>
      <c r="EV211" s="101"/>
      <c r="EW211" s="101"/>
      <c r="EX211" s="101"/>
      <c r="EY211" s="101"/>
      <c r="EZ211" s="101"/>
      <c r="FA211" s="101"/>
      <c r="FB211" s="101"/>
      <c r="FC211" s="101"/>
      <c r="FD211" s="101"/>
      <c r="FE211" s="101"/>
      <c r="FF211" s="101"/>
      <c r="FG211" s="101"/>
      <c r="FH211" s="101"/>
      <c r="FI211" s="101"/>
      <c r="FJ211" s="101"/>
      <c r="FK211" s="101"/>
      <c r="FL211" s="101"/>
      <c r="FM211" s="39"/>
      <c r="FN211" s="40"/>
      <c r="FO211" s="40"/>
      <c r="FP211" s="40"/>
      <c r="FQ211" s="40"/>
      <c r="FR211" s="40"/>
      <c r="FS211" s="40"/>
      <c r="FT211" s="40"/>
      <c r="FU211" s="40"/>
      <c r="FV211" s="40"/>
      <c r="FW211" s="40"/>
      <c r="FX211" s="40"/>
      <c r="FY211" s="40"/>
      <c r="FZ211" s="40"/>
      <c r="GA211" s="40"/>
      <c r="GB211" s="40"/>
      <c r="GC211" s="40"/>
      <c r="GD211" s="40"/>
      <c r="GE211" s="40"/>
      <c r="GF211" s="40"/>
      <c r="GG211" s="40"/>
      <c r="GH211" s="40"/>
      <c r="GI211" s="40"/>
      <c r="GJ211" s="40"/>
      <c r="GK211" s="40"/>
      <c r="GL211" s="40"/>
      <c r="GM211" s="40"/>
      <c r="GN211" s="40"/>
      <c r="GO211" s="40"/>
      <c r="GP211" s="40"/>
      <c r="GQ211" s="40"/>
      <c r="GR211" s="40"/>
      <c r="GS211" s="40"/>
      <c r="GT211" s="40"/>
      <c r="GU211" s="40"/>
      <c r="GV211" s="40"/>
      <c r="GW211" s="40"/>
      <c r="GX211" s="40"/>
      <c r="GY211" s="40"/>
      <c r="GZ211" s="40"/>
      <c r="HA211" s="40"/>
      <c r="HB211" s="40"/>
      <c r="HC211" s="40"/>
      <c r="HD211" s="40"/>
      <c r="HE211" s="40"/>
      <c r="HF211" s="40"/>
      <c r="HG211" s="40"/>
      <c r="HH211" s="40"/>
      <c r="HI211" s="40"/>
      <c r="HJ211" s="40"/>
      <c r="HK211" s="40"/>
      <c r="HL211" s="40"/>
      <c r="HM211" s="40"/>
      <c r="HN211" s="40"/>
      <c r="HO211" s="40"/>
      <c r="HP211" s="40"/>
      <c r="HQ211" s="40"/>
      <c r="HR211" s="40"/>
      <c r="HS211" s="40"/>
      <c r="HT211" s="40"/>
      <c r="HU211" s="39"/>
      <c r="HV211" s="40"/>
      <c r="HW211" s="40"/>
      <c r="HX211" s="40"/>
      <c r="HY211" s="40"/>
      <c r="HZ211" s="40"/>
      <c r="IA211" s="40"/>
      <c r="IB211" s="40"/>
      <c r="IC211" s="40"/>
      <c r="ID211" s="40"/>
      <c r="IE211" s="40"/>
      <c r="IF211" s="40"/>
      <c r="IG211" s="40"/>
      <c r="IH211" s="40"/>
      <c r="II211" s="40"/>
      <c r="IJ211" s="40"/>
      <c r="IK211" s="40"/>
      <c r="IL211" s="40"/>
      <c r="IM211" s="40"/>
      <c r="IN211" s="40"/>
      <c r="IO211" s="40"/>
      <c r="IP211" s="40"/>
      <c r="IQ211" s="40"/>
      <c r="IR211" s="40"/>
      <c r="IS211" s="40"/>
      <c r="IT211" s="40"/>
      <c r="IU211" s="40"/>
      <c r="IV211" s="40"/>
      <c r="IW211" s="40"/>
      <c r="IX211" s="40"/>
      <c r="IY211" s="39"/>
      <c r="IZ211" s="40"/>
      <c r="JA211" s="40"/>
      <c r="JB211" s="40"/>
      <c r="JC211" s="40"/>
      <c r="JD211" s="40"/>
      <c r="JE211" s="40"/>
      <c r="JF211" s="40"/>
      <c r="JG211" s="40"/>
      <c r="JH211" s="40"/>
      <c r="JI211" s="40"/>
      <c r="JJ211" s="40"/>
      <c r="JK211" s="40"/>
      <c r="JL211" s="40"/>
      <c r="JM211" s="40"/>
      <c r="JN211" s="40"/>
      <c r="JO211" s="40"/>
      <c r="JP211" s="40"/>
      <c r="JQ211" s="40"/>
      <c r="JR211" s="40"/>
      <c r="JS211" s="40"/>
      <c r="JT211" s="40"/>
      <c r="JU211" s="40"/>
      <c r="JV211" s="40"/>
      <c r="JW211" s="40"/>
      <c r="JX211" s="40"/>
      <c r="JY211" s="40"/>
      <c r="JZ211" s="40"/>
      <c r="KA211" s="40"/>
      <c r="KB211" s="40"/>
      <c r="KC211" s="39"/>
      <c r="KD211" s="40"/>
      <c r="KE211" s="41"/>
      <c r="KF211" s="40"/>
      <c r="KG211" s="40"/>
      <c r="KH211" s="40"/>
      <c r="KI211" s="39"/>
      <c r="KJ211" s="40"/>
      <c r="KK211" s="41"/>
      <c r="KL211" s="40"/>
      <c r="KM211" s="40"/>
      <c r="KN211" s="40"/>
      <c r="KO211" s="39"/>
      <c r="KP211" s="101"/>
      <c r="KQ211" s="41"/>
      <c r="KR211" s="39"/>
      <c r="KS211" s="40"/>
      <c r="KT211" s="41"/>
      <c r="KU211" s="39"/>
      <c r="KV211" s="40"/>
      <c r="KW211" s="41"/>
      <c r="KX211" s="40"/>
      <c r="KY211" s="40"/>
      <c r="KZ211" s="40"/>
      <c r="LA211" s="64"/>
      <c r="LB211" s="101"/>
      <c r="LC211" s="65"/>
      <c r="LD211" s="40"/>
      <c r="LE211" s="40"/>
      <c r="LF211" s="40"/>
      <c r="LG211" s="39"/>
      <c r="LH211" s="40"/>
      <c r="LI211" s="41"/>
      <c r="LJ211" s="39"/>
      <c r="LK211" s="40"/>
      <c r="LL211" s="41"/>
      <c r="LM211" s="39"/>
      <c r="LN211" s="40"/>
      <c r="LO211" s="41"/>
      <c r="LP211" s="39"/>
      <c r="LQ211" s="40"/>
      <c r="LR211" s="41"/>
      <c r="LS211" s="39"/>
      <c r="LT211" s="40"/>
      <c r="LU211" s="41"/>
      <c r="LV211" s="40"/>
      <c r="LW211" s="40"/>
      <c r="LX211" s="40"/>
      <c r="LY211" s="39"/>
      <c r="LZ211" s="40"/>
      <c r="MA211" s="41"/>
      <c r="MB211" s="40"/>
      <c r="MC211" s="40"/>
      <c r="MD211" s="40"/>
      <c r="ME211" s="39"/>
      <c r="MF211" s="40"/>
      <c r="MG211" s="41"/>
      <c r="MH211" s="39"/>
      <c r="MI211" s="40"/>
      <c r="MJ211" s="41"/>
      <c r="MK211" s="40"/>
      <c r="ML211" s="40"/>
      <c r="MM211" s="40"/>
      <c r="MN211" s="39"/>
      <c r="MO211" s="40"/>
      <c r="MP211" s="41"/>
      <c r="MQ211" s="39"/>
      <c r="MR211" s="40"/>
      <c r="MS211" s="41"/>
      <c r="MT211" s="39"/>
      <c r="MU211" s="40"/>
      <c r="MV211" s="41"/>
      <c r="MW211" s="39"/>
      <c r="MX211" s="40"/>
      <c r="MY211" s="41"/>
      <c r="MZ211" s="39"/>
      <c r="NA211" s="40"/>
      <c r="NB211" s="41"/>
      <c r="NC211" s="40"/>
      <c r="ND211" s="40"/>
      <c r="NE211" s="42"/>
      <c r="NG211" s="275"/>
      <c r="NH211" s="1"/>
      <c r="NI211" s="1"/>
      <c r="NJ211" s="1"/>
      <c r="NK211" s="1"/>
    </row>
    <row r="212" spans="5:375" s="6" customFormat="1" ht="9.9499999999999993" customHeight="1">
      <c r="F212" s="196">
        <f t="shared" ref="F212" si="486">NG212</f>
        <v>8.1999999999999998E-4</v>
      </c>
      <c r="G212" s="197">
        <f>Q212-F212</f>
        <v>0</v>
      </c>
      <c r="H212" s="27">
        <v>1</v>
      </c>
      <c r="I212" s="19" t="s">
        <v>249</v>
      </c>
      <c r="J212" s="19" t="s">
        <v>184</v>
      </c>
      <c r="K212" s="19" t="s">
        <v>250</v>
      </c>
      <c r="L212" s="292"/>
      <c r="M212" s="300" t="s">
        <v>92</v>
      </c>
      <c r="N212" s="301">
        <v>7128</v>
      </c>
      <c r="O212" s="302" t="s">
        <v>93</v>
      </c>
      <c r="P212" s="315">
        <v>171136</v>
      </c>
      <c r="Q212" s="236">
        <f>ROUND(P212/$P$256,5)</f>
        <v>8.1999999999999998E-4</v>
      </c>
      <c r="R212" s="89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6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  <c r="BM212" s="67"/>
      <c r="BN212" s="67"/>
      <c r="BO212" s="67"/>
      <c r="BP212" s="67"/>
      <c r="BQ212" s="67"/>
      <c r="BR212" s="67"/>
      <c r="BS212" s="67"/>
      <c r="BT212" s="67"/>
      <c r="BU212" s="67"/>
      <c r="BV212" s="67"/>
      <c r="BW212" s="67"/>
      <c r="BX212" s="67"/>
      <c r="BY212" s="67"/>
      <c r="BZ212" s="68"/>
      <c r="CA212" s="66"/>
      <c r="CB212" s="67"/>
      <c r="CC212" s="67"/>
      <c r="CD212" s="67"/>
      <c r="CE212" s="67"/>
      <c r="CF212" s="67"/>
      <c r="CG212" s="67"/>
      <c r="CH212" s="67"/>
      <c r="CI212" s="67"/>
      <c r="CJ212" s="67"/>
      <c r="CK212" s="67"/>
      <c r="CL212" s="67"/>
      <c r="CM212" s="67"/>
      <c r="CN212" s="67"/>
      <c r="CO212" s="67"/>
      <c r="CP212" s="67"/>
      <c r="CQ212" s="67"/>
      <c r="CR212" s="67"/>
      <c r="CS212" s="67"/>
      <c r="CT212" s="67"/>
      <c r="CU212" s="67"/>
      <c r="CV212" s="67"/>
      <c r="CW212" s="67"/>
      <c r="CX212" s="67"/>
      <c r="CY212" s="67"/>
      <c r="CZ212" s="67"/>
      <c r="DA212" s="67"/>
      <c r="DB212" s="67"/>
      <c r="DC212" s="67"/>
      <c r="DD212" s="67"/>
      <c r="DE212" s="66"/>
      <c r="DF212" s="67"/>
      <c r="DG212" s="67"/>
      <c r="DH212" s="67"/>
      <c r="DI212" s="67"/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67"/>
      <c r="EB212" s="67"/>
      <c r="EC212" s="67"/>
      <c r="ED212" s="67"/>
      <c r="EE212" s="67"/>
      <c r="EF212" s="67"/>
      <c r="EG212" s="67"/>
      <c r="EH212" s="67"/>
      <c r="EI212" s="67"/>
      <c r="EJ212" s="67"/>
      <c r="EK212" s="67"/>
      <c r="EL212" s="67"/>
      <c r="EM212" s="67"/>
      <c r="EN212" s="67"/>
      <c r="EO212" s="67"/>
      <c r="EP212" s="67"/>
      <c r="EQ212" s="67"/>
      <c r="ER212" s="67"/>
      <c r="ES212" s="67"/>
      <c r="ET212" s="67"/>
      <c r="EU212" s="67"/>
      <c r="EV212" s="67"/>
      <c r="EW212" s="67"/>
      <c r="EX212" s="67"/>
      <c r="EY212" s="67"/>
      <c r="EZ212" s="67"/>
      <c r="FA212" s="67"/>
      <c r="FB212" s="67"/>
      <c r="FC212" s="67"/>
      <c r="FD212" s="67"/>
      <c r="FE212" s="67"/>
      <c r="FF212" s="67"/>
      <c r="FG212" s="67"/>
      <c r="FH212" s="67"/>
      <c r="FI212" s="67"/>
      <c r="FJ212" s="67"/>
      <c r="FK212" s="67"/>
      <c r="FL212" s="67"/>
      <c r="FM212" s="66"/>
      <c r="FN212" s="67"/>
      <c r="FO212" s="67"/>
      <c r="FP212" s="67"/>
      <c r="FQ212" s="67"/>
      <c r="FR212" s="67"/>
      <c r="FS212" s="67"/>
      <c r="FT212" s="67"/>
      <c r="FU212" s="67"/>
      <c r="FV212" s="67"/>
      <c r="FW212" s="67"/>
      <c r="FX212" s="67"/>
      <c r="FY212" s="67"/>
      <c r="FZ212" s="67"/>
      <c r="GA212" s="67"/>
      <c r="GB212" s="67"/>
      <c r="GC212" s="67"/>
      <c r="GD212" s="67"/>
      <c r="GE212" s="67"/>
      <c r="GF212" s="67"/>
      <c r="GG212" s="67"/>
      <c r="GH212" s="67"/>
      <c r="GI212" s="67"/>
      <c r="GJ212" s="67"/>
      <c r="GK212" s="67"/>
      <c r="GL212" s="67"/>
      <c r="GM212" s="67"/>
      <c r="GN212" s="67"/>
      <c r="GO212" s="67"/>
      <c r="GP212" s="67"/>
      <c r="GQ212" s="67"/>
      <c r="GR212" s="67"/>
      <c r="GS212" s="67"/>
      <c r="GT212" s="67"/>
      <c r="GU212" s="67"/>
      <c r="GV212" s="67"/>
      <c r="GW212" s="67"/>
      <c r="GX212" s="67"/>
      <c r="GY212" s="67"/>
      <c r="GZ212" s="67"/>
      <c r="HA212" s="67"/>
      <c r="HB212" s="67"/>
      <c r="HC212" s="67"/>
      <c r="HD212" s="67"/>
      <c r="HE212" s="67"/>
      <c r="HF212" s="67"/>
      <c r="HG212" s="67"/>
      <c r="HH212" s="67"/>
      <c r="HI212" s="67"/>
      <c r="HJ212" s="67"/>
      <c r="HK212" s="67"/>
      <c r="HL212" s="67"/>
      <c r="HM212" s="67"/>
      <c r="HN212" s="67"/>
      <c r="HO212" s="67"/>
      <c r="HP212" s="67"/>
      <c r="HQ212" s="67"/>
      <c r="HR212" s="67"/>
      <c r="HS212" s="67"/>
      <c r="HT212" s="67"/>
      <c r="HU212" s="66"/>
      <c r="HV212" s="67"/>
      <c r="HW212" s="67"/>
      <c r="HX212" s="67"/>
      <c r="HY212" s="67"/>
      <c r="HZ212" s="67"/>
      <c r="IA212" s="67"/>
      <c r="IB212" s="67"/>
      <c r="IC212" s="67"/>
      <c r="ID212" s="67"/>
      <c r="IE212" s="67"/>
      <c r="IF212" s="67"/>
      <c r="IG212" s="67"/>
      <c r="IH212" s="67"/>
      <c r="II212" s="67"/>
      <c r="IJ212" s="67"/>
      <c r="IK212" s="67"/>
      <c r="IL212" s="67"/>
      <c r="IM212" s="67"/>
      <c r="IN212" s="67"/>
      <c r="IO212" s="67"/>
      <c r="IP212" s="67"/>
      <c r="IQ212" s="67"/>
      <c r="IR212" s="67"/>
      <c r="IS212" s="67"/>
      <c r="IT212" s="67"/>
      <c r="IU212" s="67"/>
      <c r="IV212" s="67"/>
      <c r="IW212" s="67"/>
      <c r="IX212" s="67"/>
      <c r="IY212" s="66"/>
      <c r="IZ212" s="67"/>
      <c r="JA212" s="67"/>
      <c r="JB212" s="67"/>
      <c r="JC212" s="67"/>
      <c r="JD212" s="67"/>
      <c r="JE212" s="67"/>
      <c r="JF212" s="67"/>
      <c r="JG212" s="67"/>
      <c r="JH212" s="67"/>
      <c r="JI212" s="67"/>
      <c r="JJ212" s="67"/>
      <c r="JK212" s="67"/>
      <c r="JL212" s="67"/>
      <c r="JM212" s="67"/>
      <c r="JN212" s="67"/>
      <c r="JO212" s="67"/>
      <c r="JP212" s="67"/>
      <c r="JQ212" s="67"/>
      <c r="JR212" s="67"/>
      <c r="JS212" s="67"/>
      <c r="JT212" s="67"/>
      <c r="JU212" s="67"/>
      <c r="JV212" s="67"/>
      <c r="JW212" s="67"/>
      <c r="JX212" s="67"/>
      <c r="JY212" s="67"/>
      <c r="JZ212" s="67"/>
      <c r="KA212" s="67"/>
      <c r="KB212" s="67"/>
      <c r="KC212" s="66"/>
      <c r="KD212" s="67"/>
      <c r="KE212" s="68"/>
      <c r="KF212" s="67"/>
      <c r="KG212" s="67"/>
      <c r="KH212" s="67"/>
      <c r="KI212" s="66"/>
      <c r="KJ212" s="67"/>
      <c r="KK212" s="68"/>
      <c r="KL212" s="67"/>
      <c r="KM212" s="67"/>
      <c r="KN212" s="67"/>
      <c r="KO212" s="66"/>
      <c r="KP212" s="67"/>
      <c r="KQ212" s="68"/>
      <c r="KR212" s="67"/>
      <c r="KS212" s="67"/>
      <c r="KT212" s="67"/>
      <c r="KU212" s="66"/>
      <c r="KV212" s="67"/>
      <c r="KW212" s="68"/>
      <c r="KX212" s="67"/>
      <c r="KY212" s="67"/>
      <c r="KZ212" s="67"/>
      <c r="LA212" s="70"/>
      <c r="LB212" s="67"/>
      <c r="LC212" s="71"/>
      <c r="LD212" s="67"/>
      <c r="LE212" s="67"/>
      <c r="LF212" s="67"/>
      <c r="LG212" s="66"/>
      <c r="LH212" s="67"/>
      <c r="LI212" s="68"/>
      <c r="LJ212" s="66"/>
      <c r="LK212" s="67"/>
      <c r="LL212" s="68"/>
      <c r="LM212" s="66"/>
      <c r="LN212" s="67"/>
      <c r="LO212" s="68"/>
      <c r="LP212" s="66"/>
      <c r="LQ212" s="67"/>
      <c r="LR212" s="68"/>
      <c r="LS212" s="66"/>
      <c r="LT212" s="67"/>
      <c r="LU212" s="68"/>
      <c r="LV212" s="67"/>
      <c r="LW212" s="67"/>
      <c r="LX212" s="67"/>
      <c r="LY212" s="214"/>
      <c r="LZ212" s="214"/>
      <c r="MA212" s="214"/>
      <c r="MB212" s="214">
        <v>3.3E-4</v>
      </c>
      <c r="MC212" s="214"/>
      <c r="MD212" s="214"/>
      <c r="ME212" s="214">
        <v>3.3E-4</v>
      </c>
      <c r="MF212" s="214"/>
      <c r="MG212" s="214"/>
      <c r="MH212" s="214">
        <v>1.6000000000000001E-4</v>
      </c>
      <c r="MI212" s="214"/>
      <c r="MJ212" s="214"/>
      <c r="MK212" s="66"/>
      <c r="ML212" s="67"/>
      <c r="MM212" s="68"/>
      <c r="MN212" s="67"/>
      <c r="MO212" s="67"/>
      <c r="MP212" s="67"/>
      <c r="MQ212" s="66"/>
      <c r="MR212" s="67"/>
      <c r="MS212" s="68"/>
      <c r="MT212" s="66"/>
      <c r="MU212" s="67"/>
      <c r="MV212" s="68"/>
      <c r="MW212" s="66"/>
      <c r="MX212" s="67"/>
      <c r="MY212" s="68"/>
      <c r="MZ212" s="66"/>
      <c r="NA212" s="67"/>
      <c r="NB212" s="68"/>
      <c r="NC212" s="67"/>
      <c r="ND212" s="67"/>
      <c r="NE212" s="72"/>
      <c r="NG212" s="275">
        <f>SUM(R212:NE212)</f>
        <v>8.1999999999999998E-4</v>
      </c>
      <c r="NH212" s="1"/>
      <c r="NI212" s="1"/>
      <c r="NJ212" s="1"/>
      <c r="NK212" s="1"/>
    </row>
    <row r="213" spans="5:375" s="6" customFormat="1" ht="6.95" customHeight="1">
      <c r="F213" s="196"/>
      <c r="G213" s="197"/>
      <c r="H213" s="52">
        <v>2</v>
      </c>
      <c r="L213" s="292"/>
      <c r="M213" s="300"/>
      <c r="N213" s="301"/>
      <c r="O213" s="302"/>
      <c r="P213" s="315"/>
      <c r="Q213" s="237"/>
      <c r="R213" s="89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  <c r="AV213" s="67"/>
      <c r="AW213" s="66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  <c r="BK213" s="67"/>
      <c r="BL213" s="67"/>
      <c r="BM213" s="67"/>
      <c r="BN213" s="67"/>
      <c r="BO213" s="67"/>
      <c r="BP213" s="67"/>
      <c r="BQ213" s="67"/>
      <c r="BR213" s="67"/>
      <c r="BS213" s="67"/>
      <c r="BT213" s="67"/>
      <c r="BU213" s="67"/>
      <c r="BV213" s="67"/>
      <c r="BW213" s="67"/>
      <c r="BX213" s="67"/>
      <c r="BY213" s="67"/>
      <c r="BZ213" s="68"/>
      <c r="CA213" s="66"/>
      <c r="CB213" s="67"/>
      <c r="CC213" s="67"/>
      <c r="CD213" s="67"/>
      <c r="CE213" s="67"/>
      <c r="CF213" s="67"/>
      <c r="CG213" s="67"/>
      <c r="CH213" s="67"/>
      <c r="CI213" s="67"/>
      <c r="CJ213" s="67"/>
      <c r="CK213" s="67"/>
      <c r="CL213" s="67"/>
      <c r="CM213" s="67"/>
      <c r="CN213" s="67"/>
      <c r="CO213" s="67"/>
      <c r="CP213" s="67"/>
      <c r="CQ213" s="67"/>
      <c r="CR213" s="67"/>
      <c r="CS213" s="67"/>
      <c r="CT213" s="67"/>
      <c r="CU213" s="67"/>
      <c r="CV213" s="67"/>
      <c r="CW213" s="67"/>
      <c r="CX213" s="67"/>
      <c r="CY213" s="67"/>
      <c r="CZ213" s="67"/>
      <c r="DA213" s="67"/>
      <c r="DB213" s="67"/>
      <c r="DC213" s="67"/>
      <c r="DD213" s="67"/>
      <c r="DE213" s="66"/>
      <c r="DF213" s="67"/>
      <c r="DG213" s="67"/>
      <c r="DH213" s="67"/>
      <c r="DI213" s="67"/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B213" s="67"/>
      <c r="EC213" s="67"/>
      <c r="ED213" s="67"/>
      <c r="EE213" s="67"/>
      <c r="EF213" s="67"/>
      <c r="EG213" s="67"/>
      <c r="EH213" s="67"/>
      <c r="EI213" s="67"/>
      <c r="EJ213" s="67"/>
      <c r="EK213" s="67"/>
      <c r="EL213" s="67"/>
      <c r="EM213" s="67"/>
      <c r="EN213" s="67"/>
      <c r="EO213" s="67"/>
      <c r="EP213" s="67"/>
      <c r="EQ213" s="67"/>
      <c r="ER213" s="67"/>
      <c r="ES213" s="67"/>
      <c r="ET213" s="67"/>
      <c r="EU213" s="67"/>
      <c r="EV213" s="67"/>
      <c r="EW213" s="67"/>
      <c r="EX213" s="67"/>
      <c r="EY213" s="67"/>
      <c r="EZ213" s="67"/>
      <c r="FA213" s="67"/>
      <c r="FB213" s="67"/>
      <c r="FC213" s="67"/>
      <c r="FD213" s="67"/>
      <c r="FE213" s="67"/>
      <c r="FF213" s="67"/>
      <c r="FG213" s="67"/>
      <c r="FH213" s="67"/>
      <c r="FI213" s="67"/>
      <c r="FJ213" s="67"/>
      <c r="FK213" s="67"/>
      <c r="FL213" s="67"/>
      <c r="FM213" s="66"/>
      <c r="FN213" s="67"/>
      <c r="FO213" s="67"/>
      <c r="FP213" s="67"/>
      <c r="FQ213" s="67"/>
      <c r="FR213" s="67"/>
      <c r="FS213" s="67"/>
      <c r="FT213" s="67"/>
      <c r="FU213" s="67"/>
      <c r="FV213" s="67"/>
      <c r="FW213" s="67"/>
      <c r="FX213" s="67"/>
      <c r="FY213" s="67"/>
      <c r="FZ213" s="67"/>
      <c r="GA213" s="67"/>
      <c r="GB213" s="67"/>
      <c r="GC213" s="67"/>
      <c r="GD213" s="67"/>
      <c r="GE213" s="67"/>
      <c r="GF213" s="67"/>
      <c r="GG213" s="67"/>
      <c r="GH213" s="67"/>
      <c r="GI213" s="67"/>
      <c r="GJ213" s="67"/>
      <c r="GK213" s="67"/>
      <c r="GL213" s="67"/>
      <c r="GM213" s="67"/>
      <c r="GN213" s="67"/>
      <c r="GO213" s="67"/>
      <c r="GP213" s="67"/>
      <c r="GQ213" s="67"/>
      <c r="GR213" s="67"/>
      <c r="GS213" s="67"/>
      <c r="GT213" s="67"/>
      <c r="GU213" s="67"/>
      <c r="GV213" s="67"/>
      <c r="GW213" s="67"/>
      <c r="GX213" s="67"/>
      <c r="GY213" s="67"/>
      <c r="GZ213" s="67"/>
      <c r="HA213" s="67"/>
      <c r="HB213" s="67"/>
      <c r="HC213" s="67"/>
      <c r="HD213" s="67"/>
      <c r="HE213" s="67"/>
      <c r="HF213" s="67"/>
      <c r="HG213" s="67"/>
      <c r="HH213" s="67"/>
      <c r="HI213" s="67"/>
      <c r="HJ213" s="67"/>
      <c r="HK213" s="67"/>
      <c r="HL213" s="67"/>
      <c r="HM213" s="67"/>
      <c r="HN213" s="67"/>
      <c r="HO213" s="67"/>
      <c r="HP213" s="67"/>
      <c r="HQ213" s="67"/>
      <c r="HR213" s="67"/>
      <c r="HS213" s="67"/>
      <c r="HT213" s="67"/>
      <c r="HU213" s="66"/>
      <c r="HV213" s="67"/>
      <c r="HW213" s="67"/>
      <c r="HX213" s="67"/>
      <c r="HY213" s="67"/>
      <c r="HZ213" s="67"/>
      <c r="IA213" s="67"/>
      <c r="IB213" s="67"/>
      <c r="IC213" s="67"/>
      <c r="ID213" s="67"/>
      <c r="IE213" s="67"/>
      <c r="IF213" s="67"/>
      <c r="IG213" s="67"/>
      <c r="IH213" s="67"/>
      <c r="II213" s="67"/>
      <c r="IJ213" s="67"/>
      <c r="IK213" s="67"/>
      <c r="IL213" s="67"/>
      <c r="IM213" s="67"/>
      <c r="IN213" s="67"/>
      <c r="IO213" s="67"/>
      <c r="IP213" s="67"/>
      <c r="IQ213" s="67"/>
      <c r="IR213" s="67"/>
      <c r="IS213" s="67"/>
      <c r="IT213" s="67"/>
      <c r="IU213" s="67"/>
      <c r="IV213" s="67"/>
      <c r="IW213" s="67"/>
      <c r="IX213" s="67"/>
      <c r="IY213" s="66"/>
      <c r="IZ213" s="67"/>
      <c r="JA213" s="67"/>
      <c r="JB213" s="67"/>
      <c r="JC213" s="67"/>
      <c r="JD213" s="67"/>
      <c r="JE213" s="67"/>
      <c r="JF213" s="67"/>
      <c r="JG213" s="67"/>
      <c r="JH213" s="67"/>
      <c r="JI213" s="67"/>
      <c r="JJ213" s="67"/>
      <c r="JK213" s="67"/>
      <c r="JL213" s="67"/>
      <c r="JM213" s="67"/>
      <c r="JN213" s="67"/>
      <c r="JO213" s="67"/>
      <c r="JP213" s="67"/>
      <c r="JQ213" s="67"/>
      <c r="JR213" s="67"/>
      <c r="JS213" s="67"/>
      <c r="JT213" s="67"/>
      <c r="JU213" s="67"/>
      <c r="JV213" s="67"/>
      <c r="JW213" s="67"/>
      <c r="JX213" s="67"/>
      <c r="JY213" s="67"/>
      <c r="JZ213" s="67"/>
      <c r="KA213" s="67"/>
      <c r="KB213" s="67"/>
      <c r="KC213" s="66"/>
      <c r="KD213" s="67"/>
      <c r="KE213" s="68"/>
      <c r="KF213" s="67"/>
      <c r="KG213" s="67"/>
      <c r="KH213" s="67"/>
      <c r="KI213" s="66"/>
      <c r="KJ213" s="67"/>
      <c r="KK213" s="68"/>
      <c r="KL213" s="67"/>
      <c r="KM213" s="67"/>
      <c r="KN213" s="67"/>
      <c r="KO213" s="66"/>
      <c r="KP213" s="67"/>
      <c r="KQ213" s="68"/>
      <c r="KR213" s="67"/>
      <c r="KS213" s="67"/>
      <c r="KT213" s="67"/>
      <c r="KU213" s="66"/>
      <c r="KV213" s="67"/>
      <c r="KW213" s="68"/>
      <c r="KX213" s="67"/>
      <c r="KY213" s="67"/>
      <c r="KZ213" s="67"/>
      <c r="LA213" s="70"/>
      <c r="LB213" s="67"/>
      <c r="LC213" s="71"/>
      <c r="LD213" s="67"/>
      <c r="LE213" s="67"/>
      <c r="LF213" s="67"/>
      <c r="LG213" s="66"/>
      <c r="LH213" s="67"/>
      <c r="LI213" s="68"/>
      <c r="LJ213" s="66"/>
      <c r="LK213" s="67"/>
      <c r="LL213" s="68"/>
      <c r="LM213" s="66"/>
      <c r="LN213" s="67"/>
      <c r="LO213" s="68"/>
      <c r="LP213" s="66"/>
      <c r="LQ213" s="67"/>
      <c r="LR213" s="68"/>
      <c r="LS213" s="66"/>
      <c r="LT213" s="67"/>
      <c r="LU213" s="68"/>
      <c r="LV213" s="67"/>
      <c r="LW213" s="67"/>
      <c r="LX213" s="67"/>
      <c r="LY213" s="66"/>
      <c r="LZ213" s="67"/>
      <c r="MA213" s="68"/>
      <c r="MB213" s="61"/>
      <c r="MC213" s="62"/>
      <c r="MD213" s="63"/>
      <c r="ME213" s="61"/>
      <c r="MF213" s="62"/>
      <c r="MG213" s="63"/>
      <c r="MH213" s="61"/>
      <c r="MI213" s="62"/>
      <c r="MJ213" s="63"/>
      <c r="MK213" s="66"/>
      <c r="ML213" s="67"/>
      <c r="MM213" s="68"/>
      <c r="MN213" s="67"/>
      <c r="MO213" s="67"/>
      <c r="MP213" s="67"/>
      <c r="MQ213" s="39"/>
      <c r="MR213" s="40"/>
      <c r="MS213" s="41"/>
      <c r="MT213" s="39"/>
      <c r="MU213" s="67"/>
      <c r="MV213" s="68"/>
      <c r="MW213" s="66"/>
      <c r="MX213" s="67"/>
      <c r="MY213" s="68"/>
      <c r="MZ213" s="66"/>
      <c r="NA213" s="67"/>
      <c r="NB213" s="68"/>
      <c r="NC213" s="67"/>
      <c r="ND213" s="67"/>
      <c r="NE213" s="72"/>
      <c r="NG213" s="275"/>
      <c r="NH213" s="1"/>
      <c r="NI213" s="1"/>
      <c r="NJ213" s="1"/>
      <c r="NK213" s="1"/>
    </row>
    <row r="214" spans="5:375" s="6" customFormat="1" ht="9.9499999999999993" customHeight="1">
      <c r="E214" s="79"/>
      <c r="F214" s="196">
        <f t="shared" ref="F214" si="487">NG214</f>
        <v>3.0000000000000001E-5</v>
      </c>
      <c r="G214" s="197">
        <f>Q214-F214</f>
        <v>0</v>
      </c>
      <c r="H214" s="27">
        <v>1</v>
      </c>
      <c r="I214" s="80"/>
      <c r="J214" s="80"/>
      <c r="L214" s="339"/>
      <c r="M214" s="293" t="s">
        <v>94</v>
      </c>
      <c r="N214" s="313">
        <v>394</v>
      </c>
      <c r="O214" s="305" t="s">
        <v>296</v>
      </c>
      <c r="P214" s="307">
        <v>7252</v>
      </c>
      <c r="Q214" s="236">
        <f>ROUND(P214/$P$256,5)</f>
        <v>3.0000000000000001E-5</v>
      </c>
      <c r="R214" s="117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3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54"/>
      <c r="BS214" s="54"/>
      <c r="BT214" s="54"/>
      <c r="BU214" s="54"/>
      <c r="BV214" s="54"/>
      <c r="BW214" s="54"/>
      <c r="BX214" s="54"/>
      <c r="BY214" s="54"/>
      <c r="BZ214" s="55"/>
      <c r="CA214" s="53"/>
      <c r="CB214" s="54"/>
      <c r="CC214" s="54"/>
      <c r="CD214" s="54"/>
      <c r="CE214" s="54"/>
      <c r="CF214" s="54"/>
      <c r="CG214" s="54"/>
      <c r="CH214" s="54"/>
      <c r="CI214" s="54"/>
      <c r="CJ214" s="54"/>
      <c r="CK214" s="54"/>
      <c r="CL214" s="54"/>
      <c r="CM214" s="54"/>
      <c r="CN214" s="54"/>
      <c r="CO214" s="54"/>
      <c r="CP214" s="54"/>
      <c r="CQ214" s="54"/>
      <c r="CR214" s="54"/>
      <c r="CS214" s="54"/>
      <c r="CT214" s="54"/>
      <c r="CU214" s="54"/>
      <c r="CV214" s="54"/>
      <c r="CW214" s="54"/>
      <c r="CX214" s="54"/>
      <c r="CY214" s="54"/>
      <c r="CZ214" s="54"/>
      <c r="DA214" s="54"/>
      <c r="DB214" s="54"/>
      <c r="DC214" s="54"/>
      <c r="DD214" s="54"/>
      <c r="DE214" s="53"/>
      <c r="DF214" s="54"/>
      <c r="DG214" s="54"/>
      <c r="DH214" s="54"/>
      <c r="DI214" s="54"/>
      <c r="DJ214" s="54"/>
      <c r="DK214" s="54"/>
      <c r="DL214" s="54"/>
      <c r="DM214" s="54"/>
      <c r="DN214" s="54"/>
      <c r="DO214" s="54"/>
      <c r="DP214" s="54"/>
      <c r="DQ214" s="54"/>
      <c r="DR214" s="54"/>
      <c r="DS214" s="54"/>
      <c r="DT214" s="54"/>
      <c r="DU214" s="54"/>
      <c r="DV214" s="54"/>
      <c r="DW214" s="54"/>
      <c r="DX214" s="54"/>
      <c r="DY214" s="54"/>
      <c r="DZ214" s="54"/>
      <c r="EA214" s="54"/>
      <c r="EB214" s="54"/>
      <c r="EC214" s="54"/>
      <c r="ED214" s="54"/>
      <c r="EE214" s="54"/>
      <c r="EF214" s="54"/>
      <c r="EG214" s="54"/>
      <c r="EH214" s="54"/>
      <c r="EI214" s="54"/>
      <c r="EJ214" s="54"/>
      <c r="EK214" s="54"/>
      <c r="EL214" s="54"/>
      <c r="EM214" s="54"/>
      <c r="EN214" s="54"/>
      <c r="EO214" s="54"/>
      <c r="EP214" s="54"/>
      <c r="EQ214" s="54"/>
      <c r="ER214" s="54"/>
      <c r="ES214" s="54"/>
      <c r="ET214" s="54"/>
      <c r="EU214" s="54"/>
      <c r="EV214" s="54"/>
      <c r="EW214" s="54"/>
      <c r="EX214" s="54"/>
      <c r="EY214" s="54"/>
      <c r="EZ214" s="54"/>
      <c r="FA214" s="54"/>
      <c r="FB214" s="54"/>
      <c r="FC214" s="54"/>
      <c r="FD214" s="54"/>
      <c r="FE214" s="54"/>
      <c r="FF214" s="54"/>
      <c r="FG214" s="54"/>
      <c r="FH214" s="54"/>
      <c r="FI214" s="54"/>
      <c r="FJ214" s="54"/>
      <c r="FK214" s="54"/>
      <c r="FL214" s="54"/>
      <c r="FM214" s="53"/>
      <c r="FN214" s="54"/>
      <c r="FO214" s="54"/>
      <c r="FP214" s="54"/>
      <c r="FQ214" s="54"/>
      <c r="FR214" s="54"/>
      <c r="FS214" s="54"/>
      <c r="FT214" s="54"/>
      <c r="FU214" s="54"/>
      <c r="FV214" s="54"/>
      <c r="FW214" s="54"/>
      <c r="FX214" s="54"/>
      <c r="FY214" s="54"/>
      <c r="FZ214" s="54"/>
      <c r="GA214" s="54"/>
      <c r="GB214" s="54"/>
      <c r="GC214" s="54"/>
      <c r="GD214" s="54"/>
      <c r="GE214" s="54"/>
      <c r="GF214" s="54"/>
      <c r="GG214" s="54"/>
      <c r="GH214" s="54"/>
      <c r="GI214" s="54"/>
      <c r="GJ214" s="54"/>
      <c r="GK214" s="54"/>
      <c r="GL214" s="54"/>
      <c r="GM214" s="54"/>
      <c r="GN214" s="54"/>
      <c r="GO214" s="54"/>
      <c r="GP214" s="54"/>
      <c r="GQ214" s="54"/>
      <c r="GR214" s="54"/>
      <c r="GS214" s="54"/>
      <c r="GT214" s="54"/>
      <c r="GU214" s="54"/>
      <c r="GV214" s="54"/>
      <c r="GW214" s="54"/>
      <c r="GX214" s="54"/>
      <c r="GY214" s="54"/>
      <c r="GZ214" s="54"/>
      <c r="HA214" s="54"/>
      <c r="HB214" s="54"/>
      <c r="HC214" s="54"/>
      <c r="HD214" s="54"/>
      <c r="HE214" s="54"/>
      <c r="HF214" s="54"/>
      <c r="HG214" s="54"/>
      <c r="HH214" s="54"/>
      <c r="HI214" s="54"/>
      <c r="HJ214" s="54"/>
      <c r="HK214" s="54"/>
      <c r="HL214" s="54"/>
      <c r="HM214" s="54"/>
      <c r="HN214" s="54"/>
      <c r="HO214" s="54"/>
      <c r="HP214" s="54"/>
      <c r="HQ214" s="54"/>
      <c r="HR214" s="54"/>
      <c r="HS214" s="54"/>
      <c r="HT214" s="54"/>
      <c r="HU214" s="53"/>
      <c r="HV214" s="54"/>
      <c r="HW214" s="54"/>
      <c r="HX214" s="54"/>
      <c r="HY214" s="54"/>
      <c r="HZ214" s="54"/>
      <c r="IA214" s="54"/>
      <c r="IB214" s="54"/>
      <c r="IC214" s="54"/>
      <c r="ID214" s="54"/>
      <c r="IE214" s="54"/>
      <c r="IF214" s="54"/>
      <c r="IG214" s="54"/>
      <c r="IH214" s="54"/>
      <c r="II214" s="54"/>
      <c r="IJ214" s="54"/>
      <c r="IK214" s="54"/>
      <c r="IL214" s="54"/>
      <c r="IM214" s="54"/>
      <c r="IN214" s="54"/>
      <c r="IO214" s="54"/>
      <c r="IP214" s="54"/>
      <c r="IQ214" s="54"/>
      <c r="IR214" s="54"/>
      <c r="IS214" s="54"/>
      <c r="IT214" s="54"/>
      <c r="IU214" s="54"/>
      <c r="IV214" s="54"/>
      <c r="IW214" s="54"/>
      <c r="IX214" s="54"/>
      <c r="IY214" s="53"/>
      <c r="IZ214" s="54"/>
      <c r="JA214" s="54"/>
      <c r="JB214" s="54"/>
      <c r="JC214" s="54"/>
      <c r="JD214" s="54"/>
      <c r="JE214" s="54"/>
      <c r="JF214" s="54"/>
      <c r="JG214" s="54"/>
      <c r="JH214" s="54"/>
      <c r="JI214" s="54"/>
      <c r="JJ214" s="54"/>
      <c r="JK214" s="54"/>
      <c r="JL214" s="54"/>
      <c r="JM214" s="54"/>
      <c r="JN214" s="54"/>
      <c r="JO214" s="54"/>
      <c r="JP214" s="54"/>
      <c r="JQ214" s="54"/>
      <c r="JR214" s="54"/>
      <c r="JS214" s="54"/>
      <c r="JT214" s="54"/>
      <c r="JU214" s="54"/>
      <c r="JV214" s="54"/>
      <c r="JW214" s="54"/>
      <c r="JX214" s="54"/>
      <c r="JY214" s="54"/>
      <c r="JZ214" s="54"/>
      <c r="KA214" s="54"/>
      <c r="KB214" s="54"/>
      <c r="KC214" s="53"/>
      <c r="KD214" s="54"/>
      <c r="KE214" s="55"/>
      <c r="KF214" s="54"/>
      <c r="KG214" s="54"/>
      <c r="KH214" s="54"/>
      <c r="KI214" s="53"/>
      <c r="KJ214" s="54"/>
      <c r="KK214" s="55"/>
      <c r="KL214" s="54"/>
      <c r="KM214" s="54"/>
      <c r="KN214" s="54"/>
      <c r="KO214" s="53"/>
      <c r="KP214" s="54"/>
      <c r="KQ214" s="55"/>
      <c r="KR214" s="54"/>
      <c r="KS214" s="54"/>
      <c r="KT214" s="54"/>
      <c r="KU214" s="53"/>
      <c r="KV214" s="54"/>
      <c r="KW214" s="55"/>
      <c r="KX214" s="54"/>
      <c r="KY214" s="54"/>
      <c r="KZ214" s="54"/>
      <c r="LA214" s="57"/>
      <c r="LB214" s="54"/>
      <c r="LC214" s="58"/>
      <c r="LD214" s="54"/>
      <c r="LE214" s="54"/>
      <c r="LF214" s="54"/>
      <c r="LG214" s="53"/>
      <c r="LH214" s="54"/>
      <c r="LI214" s="55"/>
      <c r="LJ214" s="53"/>
      <c r="LK214" s="54"/>
      <c r="LL214" s="55"/>
      <c r="LM214" s="53"/>
      <c r="LN214" s="54"/>
      <c r="LO214" s="55"/>
      <c r="LP214" s="53"/>
      <c r="LQ214" s="54"/>
      <c r="LR214" s="55"/>
      <c r="LS214" s="53"/>
      <c r="LT214" s="54"/>
      <c r="LU214" s="55"/>
      <c r="LV214" s="54"/>
      <c r="LW214" s="54"/>
      <c r="LX214" s="54"/>
      <c r="LY214" s="53"/>
      <c r="LZ214" s="54"/>
      <c r="MA214" s="55"/>
      <c r="MB214" s="53"/>
      <c r="MC214" s="54"/>
      <c r="MD214" s="55"/>
      <c r="ME214" s="54"/>
      <c r="MF214" s="54"/>
      <c r="MG214" s="54"/>
      <c r="MH214" s="53"/>
      <c r="MI214" s="54"/>
      <c r="MJ214" s="55"/>
      <c r="MK214" s="53"/>
      <c r="ML214" s="54"/>
      <c r="MM214" s="55"/>
      <c r="MN214" s="54"/>
      <c r="MO214" s="54"/>
      <c r="MP214" s="54"/>
      <c r="MQ214" s="214">
        <v>3.0000000000000001E-5</v>
      </c>
      <c r="MR214" s="214"/>
      <c r="MS214" s="214"/>
      <c r="MT214" s="214"/>
      <c r="MU214" s="212"/>
      <c r="MV214" s="212"/>
      <c r="MW214" s="212"/>
      <c r="MX214" s="212"/>
      <c r="MY214" s="212"/>
      <c r="MZ214" s="212"/>
      <c r="NA214" s="212"/>
      <c r="NB214" s="212"/>
      <c r="NC214" s="54"/>
      <c r="ND214" s="54"/>
      <c r="NE214" s="59"/>
      <c r="NG214" s="275">
        <f>SUM(R214:NE214)</f>
        <v>3.0000000000000001E-5</v>
      </c>
      <c r="NH214" s="1"/>
      <c r="NI214" s="1"/>
      <c r="NJ214" s="1"/>
      <c r="NK214" s="1"/>
    </row>
    <row r="215" spans="5:375" s="6" customFormat="1" ht="6.95" customHeight="1">
      <c r="E215" s="80"/>
      <c r="F215" s="196"/>
      <c r="G215" s="197"/>
      <c r="H215" s="52">
        <v>2</v>
      </c>
      <c r="I215" s="80"/>
      <c r="J215" s="80"/>
      <c r="L215" s="340"/>
      <c r="M215" s="294"/>
      <c r="N215" s="314"/>
      <c r="O215" s="306"/>
      <c r="P215" s="308"/>
      <c r="Q215" s="237"/>
      <c r="R215" s="6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39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1"/>
      <c r="CA215" s="39"/>
      <c r="CB215" s="40"/>
      <c r="CC215" s="40"/>
      <c r="CD215" s="40"/>
      <c r="CE215" s="40"/>
      <c r="CF215" s="40"/>
      <c r="CG215" s="40"/>
      <c r="CH215" s="40"/>
      <c r="CI215" s="40"/>
      <c r="CJ215" s="40"/>
      <c r="CK215" s="40"/>
      <c r="CL215" s="40"/>
      <c r="CM215" s="40"/>
      <c r="CN215" s="40"/>
      <c r="CO215" s="40"/>
      <c r="CP215" s="40"/>
      <c r="CQ215" s="40"/>
      <c r="CR215" s="40"/>
      <c r="CS215" s="40"/>
      <c r="CT215" s="40"/>
      <c r="CU215" s="40"/>
      <c r="CV215" s="40"/>
      <c r="CW215" s="40"/>
      <c r="CX215" s="40"/>
      <c r="CY215" s="40"/>
      <c r="CZ215" s="40"/>
      <c r="DA215" s="40"/>
      <c r="DB215" s="40"/>
      <c r="DC215" s="40"/>
      <c r="DD215" s="40"/>
      <c r="DE215" s="39"/>
      <c r="DF215" s="40"/>
      <c r="DG215" s="40"/>
      <c r="DH215" s="40"/>
      <c r="DI215" s="40"/>
      <c r="DJ215" s="40"/>
      <c r="DK215" s="40"/>
      <c r="DL215" s="40"/>
      <c r="DM215" s="40"/>
      <c r="DN215" s="40"/>
      <c r="DO215" s="40"/>
      <c r="DP215" s="40"/>
      <c r="DQ215" s="40"/>
      <c r="DR215" s="40"/>
      <c r="DS215" s="40"/>
      <c r="DT215" s="40"/>
      <c r="DU215" s="40"/>
      <c r="DV215" s="40"/>
      <c r="DW215" s="40"/>
      <c r="DX215" s="40"/>
      <c r="DY215" s="40"/>
      <c r="DZ215" s="40"/>
      <c r="EA215" s="40"/>
      <c r="EB215" s="40"/>
      <c r="EC215" s="40"/>
      <c r="ED215" s="40"/>
      <c r="EE215" s="40"/>
      <c r="EF215" s="40"/>
      <c r="EG215" s="40"/>
      <c r="EH215" s="40"/>
      <c r="EI215" s="40"/>
      <c r="EJ215" s="40"/>
      <c r="EK215" s="40"/>
      <c r="EL215" s="40"/>
      <c r="EM215" s="40"/>
      <c r="EN215" s="40"/>
      <c r="EO215" s="40"/>
      <c r="EP215" s="40"/>
      <c r="EQ215" s="40"/>
      <c r="ER215" s="40"/>
      <c r="ES215" s="40"/>
      <c r="ET215" s="40"/>
      <c r="EU215" s="40"/>
      <c r="EV215" s="40"/>
      <c r="EW215" s="40"/>
      <c r="EX215" s="40"/>
      <c r="EY215" s="40"/>
      <c r="EZ215" s="40"/>
      <c r="FA215" s="40"/>
      <c r="FB215" s="40"/>
      <c r="FC215" s="40"/>
      <c r="FD215" s="40"/>
      <c r="FE215" s="40"/>
      <c r="FF215" s="40"/>
      <c r="FG215" s="40"/>
      <c r="FH215" s="40"/>
      <c r="FI215" s="40"/>
      <c r="FJ215" s="40"/>
      <c r="FK215" s="40"/>
      <c r="FL215" s="40"/>
      <c r="FM215" s="39"/>
      <c r="FN215" s="40"/>
      <c r="FO215" s="40"/>
      <c r="FP215" s="40"/>
      <c r="FQ215" s="40"/>
      <c r="FR215" s="40"/>
      <c r="FS215" s="40"/>
      <c r="FT215" s="40"/>
      <c r="FU215" s="40"/>
      <c r="FV215" s="40"/>
      <c r="FW215" s="40"/>
      <c r="FX215" s="40"/>
      <c r="FY215" s="40"/>
      <c r="FZ215" s="40"/>
      <c r="GA215" s="40"/>
      <c r="GB215" s="40"/>
      <c r="GC215" s="40"/>
      <c r="GD215" s="40"/>
      <c r="GE215" s="40"/>
      <c r="GF215" s="40"/>
      <c r="GG215" s="40"/>
      <c r="GH215" s="40"/>
      <c r="GI215" s="40"/>
      <c r="GJ215" s="40"/>
      <c r="GK215" s="40"/>
      <c r="GL215" s="40"/>
      <c r="GM215" s="40"/>
      <c r="GN215" s="40"/>
      <c r="GO215" s="40"/>
      <c r="GP215" s="40"/>
      <c r="GQ215" s="40"/>
      <c r="GR215" s="40"/>
      <c r="GS215" s="40"/>
      <c r="GT215" s="40"/>
      <c r="GU215" s="40"/>
      <c r="GV215" s="40"/>
      <c r="GW215" s="40"/>
      <c r="GX215" s="40"/>
      <c r="GY215" s="40"/>
      <c r="GZ215" s="40"/>
      <c r="HA215" s="40"/>
      <c r="HB215" s="40"/>
      <c r="HC215" s="40"/>
      <c r="HD215" s="40"/>
      <c r="HE215" s="40"/>
      <c r="HF215" s="40"/>
      <c r="HG215" s="40"/>
      <c r="HH215" s="40"/>
      <c r="HI215" s="40"/>
      <c r="HJ215" s="40"/>
      <c r="HK215" s="40"/>
      <c r="HL215" s="40"/>
      <c r="HM215" s="40"/>
      <c r="HN215" s="40"/>
      <c r="HO215" s="40"/>
      <c r="HP215" s="40"/>
      <c r="HQ215" s="40"/>
      <c r="HR215" s="40"/>
      <c r="HS215" s="40"/>
      <c r="HT215" s="40"/>
      <c r="HU215" s="39"/>
      <c r="HV215" s="40"/>
      <c r="HW215" s="40"/>
      <c r="HX215" s="40"/>
      <c r="HY215" s="40"/>
      <c r="HZ215" s="40"/>
      <c r="IA215" s="40"/>
      <c r="IB215" s="40"/>
      <c r="IC215" s="40"/>
      <c r="ID215" s="40"/>
      <c r="IE215" s="40"/>
      <c r="IF215" s="40"/>
      <c r="IG215" s="40"/>
      <c r="IH215" s="40"/>
      <c r="II215" s="40"/>
      <c r="IJ215" s="40"/>
      <c r="IK215" s="40"/>
      <c r="IL215" s="40"/>
      <c r="IM215" s="40"/>
      <c r="IN215" s="40"/>
      <c r="IO215" s="40"/>
      <c r="IP215" s="40"/>
      <c r="IQ215" s="40"/>
      <c r="IR215" s="40"/>
      <c r="IS215" s="40"/>
      <c r="IT215" s="40"/>
      <c r="IU215" s="40"/>
      <c r="IV215" s="40"/>
      <c r="IW215" s="40"/>
      <c r="IX215" s="40"/>
      <c r="IY215" s="39"/>
      <c r="IZ215" s="40"/>
      <c r="JA215" s="40"/>
      <c r="JB215" s="40"/>
      <c r="JC215" s="40"/>
      <c r="JD215" s="40"/>
      <c r="JE215" s="40"/>
      <c r="JF215" s="40"/>
      <c r="JG215" s="40"/>
      <c r="JH215" s="40"/>
      <c r="JI215" s="40"/>
      <c r="JJ215" s="40"/>
      <c r="JK215" s="40"/>
      <c r="JL215" s="40"/>
      <c r="JM215" s="40"/>
      <c r="JN215" s="40"/>
      <c r="JO215" s="40"/>
      <c r="JP215" s="40"/>
      <c r="JQ215" s="40"/>
      <c r="JR215" s="40"/>
      <c r="JS215" s="40"/>
      <c r="JT215" s="40"/>
      <c r="JU215" s="40"/>
      <c r="JV215" s="40"/>
      <c r="JW215" s="40"/>
      <c r="JX215" s="40"/>
      <c r="JY215" s="40"/>
      <c r="JZ215" s="40"/>
      <c r="KA215" s="40"/>
      <c r="KB215" s="40"/>
      <c r="KC215" s="39"/>
      <c r="KD215" s="40"/>
      <c r="KE215" s="41"/>
      <c r="KF215" s="40"/>
      <c r="KG215" s="40"/>
      <c r="KH215" s="40"/>
      <c r="KI215" s="39"/>
      <c r="KJ215" s="40"/>
      <c r="KK215" s="41"/>
      <c r="KL215" s="40"/>
      <c r="KM215" s="40"/>
      <c r="KN215" s="40"/>
      <c r="KO215" s="39"/>
      <c r="KP215" s="40"/>
      <c r="KQ215" s="41"/>
      <c r="KR215" s="40"/>
      <c r="KS215" s="40"/>
      <c r="KT215" s="40"/>
      <c r="KU215" s="39"/>
      <c r="KV215" s="40"/>
      <c r="KW215" s="41"/>
      <c r="KX215" s="40"/>
      <c r="KY215" s="40"/>
      <c r="KZ215" s="40"/>
      <c r="LA215" s="64"/>
      <c r="LB215" s="40"/>
      <c r="LC215" s="65"/>
      <c r="LD215" s="40"/>
      <c r="LE215" s="40"/>
      <c r="LF215" s="40"/>
      <c r="LG215" s="39"/>
      <c r="LH215" s="40"/>
      <c r="LI215" s="41"/>
      <c r="LJ215" s="39"/>
      <c r="LK215" s="40"/>
      <c r="LL215" s="41"/>
      <c r="LM215" s="39"/>
      <c r="LN215" s="40"/>
      <c r="LO215" s="41"/>
      <c r="LP215" s="39"/>
      <c r="LQ215" s="40"/>
      <c r="LR215" s="41"/>
      <c r="LS215" s="39"/>
      <c r="LT215" s="40"/>
      <c r="LU215" s="41"/>
      <c r="LV215" s="40"/>
      <c r="LW215" s="40"/>
      <c r="LX215" s="40"/>
      <c r="LY215" s="39"/>
      <c r="LZ215" s="40"/>
      <c r="MA215" s="41"/>
      <c r="MB215" s="39"/>
      <c r="MC215" s="40"/>
      <c r="MD215" s="41"/>
      <c r="ME215" s="40"/>
      <c r="MF215" s="40"/>
      <c r="MG215" s="40"/>
      <c r="MH215" s="39"/>
      <c r="MI215" s="40"/>
      <c r="MJ215" s="41"/>
      <c r="MK215" s="39"/>
      <c r="ML215" s="40"/>
      <c r="MM215" s="41"/>
      <c r="MN215" s="40"/>
      <c r="MO215" s="40"/>
      <c r="MP215" s="40"/>
      <c r="MQ215" s="61"/>
      <c r="MR215" s="62"/>
      <c r="MS215" s="63"/>
      <c r="MT215" s="39"/>
      <c r="MU215" s="40"/>
      <c r="MV215" s="41"/>
      <c r="MW215" s="39"/>
      <c r="MX215" s="40"/>
      <c r="MY215" s="41"/>
      <c r="MZ215" s="39"/>
      <c r="NA215" s="40"/>
      <c r="NB215" s="41"/>
      <c r="NC215" s="40"/>
      <c r="ND215" s="40"/>
      <c r="NE215" s="42"/>
      <c r="NG215" s="275"/>
      <c r="NH215" s="1"/>
      <c r="NI215" s="1"/>
      <c r="NJ215" s="1"/>
      <c r="NK215" s="1"/>
    </row>
    <row r="216" spans="5:375" s="6" customFormat="1" ht="9.9499999999999993" customHeight="1">
      <c r="E216" s="80"/>
      <c r="F216" s="196">
        <f t="shared" ref="F216" si="488">NG216</f>
        <v>1.0000000000000001E-5</v>
      </c>
      <c r="G216" s="197">
        <f>Q216-F216</f>
        <v>0</v>
      </c>
      <c r="H216" s="27">
        <v>1</v>
      </c>
      <c r="I216" s="80"/>
      <c r="J216" s="80"/>
      <c r="L216" s="292"/>
      <c r="M216" s="355" t="s">
        <v>162</v>
      </c>
      <c r="N216" s="301">
        <v>60</v>
      </c>
      <c r="O216" s="302" t="s">
        <v>15</v>
      </c>
      <c r="P216" s="315">
        <v>1748</v>
      </c>
      <c r="Q216" s="236">
        <f>ROUND(P216/$P$256,5)</f>
        <v>1.0000000000000001E-5</v>
      </c>
      <c r="R216" s="89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6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  <c r="BM216" s="67"/>
      <c r="BN216" s="67"/>
      <c r="BO216" s="67"/>
      <c r="BP216" s="67"/>
      <c r="BQ216" s="67"/>
      <c r="BR216" s="67"/>
      <c r="BS216" s="67"/>
      <c r="BT216" s="67"/>
      <c r="BU216" s="67"/>
      <c r="BV216" s="67"/>
      <c r="BW216" s="67"/>
      <c r="BX216" s="67"/>
      <c r="BY216" s="67"/>
      <c r="BZ216" s="68"/>
      <c r="CA216" s="66"/>
      <c r="CB216" s="67"/>
      <c r="CC216" s="67"/>
      <c r="CD216" s="67"/>
      <c r="CE216" s="67"/>
      <c r="CF216" s="67"/>
      <c r="CG216" s="67"/>
      <c r="CH216" s="67"/>
      <c r="CI216" s="67"/>
      <c r="CJ216" s="67"/>
      <c r="CK216" s="67"/>
      <c r="CL216" s="67"/>
      <c r="CM216" s="67"/>
      <c r="CN216" s="67"/>
      <c r="CO216" s="67"/>
      <c r="CP216" s="67"/>
      <c r="CQ216" s="67"/>
      <c r="CR216" s="67"/>
      <c r="CS216" s="67"/>
      <c r="CT216" s="67"/>
      <c r="CU216" s="67"/>
      <c r="CV216" s="67"/>
      <c r="CW216" s="67"/>
      <c r="CX216" s="67"/>
      <c r="CY216" s="67"/>
      <c r="CZ216" s="67"/>
      <c r="DA216" s="67"/>
      <c r="DB216" s="67"/>
      <c r="DC216" s="67"/>
      <c r="DD216" s="67"/>
      <c r="DE216" s="66"/>
      <c r="DF216" s="67"/>
      <c r="DG216" s="67"/>
      <c r="DH216" s="67"/>
      <c r="DI216" s="67"/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67"/>
      <c r="EB216" s="67"/>
      <c r="EC216" s="67"/>
      <c r="ED216" s="67"/>
      <c r="EE216" s="67"/>
      <c r="EF216" s="67"/>
      <c r="EG216" s="67"/>
      <c r="EH216" s="67"/>
      <c r="EI216" s="67"/>
      <c r="EJ216" s="67"/>
      <c r="EK216" s="67"/>
      <c r="EL216" s="67"/>
      <c r="EM216" s="67"/>
      <c r="EN216" s="67"/>
      <c r="EO216" s="67"/>
      <c r="EP216" s="67"/>
      <c r="EQ216" s="67"/>
      <c r="ER216" s="67"/>
      <c r="ES216" s="67"/>
      <c r="ET216" s="67"/>
      <c r="EU216" s="67"/>
      <c r="EV216" s="67"/>
      <c r="EW216" s="67"/>
      <c r="EX216" s="67"/>
      <c r="EY216" s="67"/>
      <c r="EZ216" s="67"/>
      <c r="FA216" s="67"/>
      <c r="FB216" s="67"/>
      <c r="FC216" s="67"/>
      <c r="FD216" s="67"/>
      <c r="FE216" s="67"/>
      <c r="FF216" s="67"/>
      <c r="FG216" s="67"/>
      <c r="FH216" s="67"/>
      <c r="FI216" s="67"/>
      <c r="FJ216" s="67"/>
      <c r="FK216" s="67"/>
      <c r="FL216" s="67"/>
      <c r="FM216" s="66"/>
      <c r="FN216" s="67"/>
      <c r="FO216" s="67"/>
      <c r="FP216" s="67"/>
      <c r="FQ216" s="67"/>
      <c r="FR216" s="67"/>
      <c r="FS216" s="67"/>
      <c r="FT216" s="67"/>
      <c r="FU216" s="67"/>
      <c r="FV216" s="67"/>
      <c r="FW216" s="67"/>
      <c r="FX216" s="67"/>
      <c r="FY216" s="67"/>
      <c r="FZ216" s="67"/>
      <c r="GA216" s="67"/>
      <c r="GB216" s="67"/>
      <c r="GC216" s="67"/>
      <c r="GD216" s="67"/>
      <c r="GE216" s="67"/>
      <c r="GF216" s="67"/>
      <c r="GG216" s="67"/>
      <c r="GH216" s="67"/>
      <c r="GI216" s="67"/>
      <c r="GJ216" s="67"/>
      <c r="GK216" s="67"/>
      <c r="GL216" s="67"/>
      <c r="GM216" s="67"/>
      <c r="GN216" s="67"/>
      <c r="GO216" s="67"/>
      <c r="GP216" s="67"/>
      <c r="GQ216" s="67"/>
      <c r="GR216" s="67"/>
      <c r="GS216" s="67"/>
      <c r="GT216" s="67"/>
      <c r="GU216" s="67"/>
      <c r="GV216" s="67"/>
      <c r="GW216" s="67"/>
      <c r="GX216" s="67"/>
      <c r="GY216" s="67"/>
      <c r="GZ216" s="67"/>
      <c r="HA216" s="67"/>
      <c r="HB216" s="67"/>
      <c r="HC216" s="67"/>
      <c r="HD216" s="67"/>
      <c r="HE216" s="67"/>
      <c r="HF216" s="67"/>
      <c r="HG216" s="67"/>
      <c r="HH216" s="67"/>
      <c r="HI216" s="67"/>
      <c r="HJ216" s="67"/>
      <c r="HK216" s="67"/>
      <c r="HL216" s="67"/>
      <c r="HM216" s="67"/>
      <c r="HN216" s="67"/>
      <c r="HO216" s="67"/>
      <c r="HP216" s="67"/>
      <c r="HQ216" s="67"/>
      <c r="HR216" s="67"/>
      <c r="HS216" s="67"/>
      <c r="HT216" s="67"/>
      <c r="HU216" s="66"/>
      <c r="HV216" s="67"/>
      <c r="HW216" s="67"/>
      <c r="HX216" s="67"/>
      <c r="HY216" s="67"/>
      <c r="HZ216" s="67"/>
      <c r="IA216" s="67"/>
      <c r="IB216" s="67"/>
      <c r="IC216" s="67"/>
      <c r="ID216" s="67"/>
      <c r="IE216" s="67"/>
      <c r="IF216" s="67"/>
      <c r="IG216" s="67"/>
      <c r="IH216" s="67"/>
      <c r="II216" s="67"/>
      <c r="IJ216" s="67"/>
      <c r="IK216" s="67"/>
      <c r="IL216" s="67"/>
      <c r="IM216" s="67"/>
      <c r="IN216" s="67"/>
      <c r="IO216" s="67"/>
      <c r="IP216" s="67"/>
      <c r="IQ216" s="67"/>
      <c r="IR216" s="67"/>
      <c r="IS216" s="67"/>
      <c r="IT216" s="67"/>
      <c r="IU216" s="67"/>
      <c r="IV216" s="67"/>
      <c r="IW216" s="67"/>
      <c r="IX216" s="67"/>
      <c r="IY216" s="66"/>
      <c r="IZ216" s="67"/>
      <c r="JA216" s="67"/>
      <c r="JB216" s="67"/>
      <c r="JC216" s="67"/>
      <c r="JD216" s="67"/>
      <c r="JE216" s="67"/>
      <c r="JF216" s="67"/>
      <c r="JG216" s="67"/>
      <c r="JH216" s="67"/>
      <c r="JI216" s="67"/>
      <c r="JJ216" s="67"/>
      <c r="JK216" s="67"/>
      <c r="JL216" s="67"/>
      <c r="JM216" s="67"/>
      <c r="JN216" s="67"/>
      <c r="JO216" s="67"/>
      <c r="JP216" s="67"/>
      <c r="JQ216" s="67"/>
      <c r="JR216" s="67"/>
      <c r="JS216" s="67"/>
      <c r="JT216" s="67"/>
      <c r="JU216" s="67"/>
      <c r="JV216" s="67"/>
      <c r="JW216" s="67"/>
      <c r="JX216" s="67"/>
      <c r="JY216" s="67"/>
      <c r="JZ216" s="67"/>
      <c r="KA216" s="67"/>
      <c r="KB216" s="67"/>
      <c r="KC216" s="66"/>
      <c r="KD216" s="67"/>
      <c r="KE216" s="68"/>
      <c r="KF216" s="67"/>
      <c r="KG216" s="67"/>
      <c r="KH216" s="67"/>
      <c r="KI216" s="66"/>
      <c r="KJ216" s="67"/>
      <c r="KK216" s="68"/>
      <c r="KL216" s="67"/>
      <c r="KM216" s="67"/>
      <c r="KN216" s="67"/>
      <c r="KO216" s="66"/>
      <c r="KP216" s="67"/>
      <c r="KQ216" s="68"/>
      <c r="KR216" s="67"/>
      <c r="KS216" s="67"/>
      <c r="KT216" s="67"/>
      <c r="KU216" s="66"/>
      <c r="KV216" s="67"/>
      <c r="KW216" s="68"/>
      <c r="KX216" s="67"/>
      <c r="KY216" s="67"/>
      <c r="KZ216" s="67"/>
      <c r="LA216" s="70"/>
      <c r="LB216" s="67"/>
      <c r="LC216" s="71"/>
      <c r="LD216" s="67"/>
      <c r="LE216" s="67"/>
      <c r="LF216" s="67"/>
      <c r="LG216" s="66"/>
      <c r="LH216" s="67"/>
      <c r="LI216" s="68"/>
      <c r="LJ216" s="66"/>
      <c r="LK216" s="67"/>
      <c r="LL216" s="68"/>
      <c r="LM216" s="66"/>
      <c r="LN216" s="67"/>
      <c r="LO216" s="68"/>
      <c r="LP216" s="66"/>
      <c r="LQ216" s="67"/>
      <c r="LR216" s="68"/>
      <c r="LS216" s="66"/>
      <c r="LT216" s="67"/>
      <c r="LU216" s="68"/>
      <c r="LV216" s="67"/>
      <c r="LW216" s="67"/>
      <c r="LX216" s="67"/>
      <c r="LY216" s="66"/>
      <c r="LZ216" s="67"/>
      <c r="MA216" s="68"/>
      <c r="MB216" s="66"/>
      <c r="MC216" s="67"/>
      <c r="MD216" s="68"/>
      <c r="ME216" s="67"/>
      <c r="MF216" s="67"/>
      <c r="MG216" s="67"/>
      <c r="MH216" s="66"/>
      <c r="MI216" s="67"/>
      <c r="MJ216" s="68"/>
      <c r="MK216" s="66"/>
      <c r="ML216" s="67"/>
      <c r="MM216" s="68"/>
      <c r="MN216" s="214">
        <v>1.0000000000000001E-5</v>
      </c>
      <c r="MO216" s="214"/>
      <c r="MP216" s="214"/>
      <c r="MQ216" s="66"/>
      <c r="MR216" s="67"/>
      <c r="MS216" s="68"/>
      <c r="MT216" s="66"/>
      <c r="MU216" s="67"/>
      <c r="MV216" s="68"/>
      <c r="MW216" s="66"/>
      <c r="MX216" s="67"/>
      <c r="MY216" s="68"/>
      <c r="MZ216" s="66"/>
      <c r="NA216" s="67"/>
      <c r="NB216" s="68"/>
      <c r="NC216" s="67"/>
      <c r="ND216" s="67"/>
      <c r="NE216" s="72"/>
      <c r="NG216" s="275">
        <f>SUM(R216:NE216)</f>
        <v>1.0000000000000001E-5</v>
      </c>
      <c r="NH216" s="1"/>
      <c r="NI216" s="1"/>
      <c r="NJ216" s="1"/>
      <c r="NK216" s="1"/>
    </row>
    <row r="217" spans="5:375" s="6" customFormat="1" ht="6.95" customHeight="1">
      <c r="E217" s="80"/>
      <c r="F217" s="196"/>
      <c r="G217" s="197"/>
      <c r="H217" s="52">
        <v>2</v>
      </c>
      <c r="I217" s="80"/>
      <c r="J217" s="80"/>
      <c r="L217" s="292"/>
      <c r="M217" s="300"/>
      <c r="N217" s="301"/>
      <c r="O217" s="302"/>
      <c r="P217" s="315"/>
      <c r="Q217" s="237"/>
      <c r="R217" s="73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6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/>
      <c r="BR217" s="67"/>
      <c r="BS217" s="67"/>
      <c r="BT217" s="67"/>
      <c r="BU217" s="67"/>
      <c r="BV217" s="67"/>
      <c r="BW217" s="67"/>
      <c r="BX217" s="67"/>
      <c r="BY217" s="67"/>
      <c r="BZ217" s="68"/>
      <c r="CA217" s="66"/>
      <c r="CB217" s="67"/>
      <c r="CC217" s="67"/>
      <c r="CD217" s="67"/>
      <c r="CE217" s="67"/>
      <c r="CF217" s="67"/>
      <c r="CG217" s="67"/>
      <c r="CH217" s="67"/>
      <c r="CI217" s="67"/>
      <c r="CJ217" s="67"/>
      <c r="CK217" s="67"/>
      <c r="CL217" s="67"/>
      <c r="CM217" s="67"/>
      <c r="CN217" s="67"/>
      <c r="CO217" s="67"/>
      <c r="CP217" s="67"/>
      <c r="CQ217" s="67"/>
      <c r="CR217" s="67"/>
      <c r="CS217" s="67"/>
      <c r="CT217" s="67"/>
      <c r="CU217" s="67"/>
      <c r="CV217" s="67"/>
      <c r="CW217" s="67"/>
      <c r="CX217" s="67"/>
      <c r="CY217" s="67"/>
      <c r="CZ217" s="67"/>
      <c r="DA217" s="67"/>
      <c r="DB217" s="67"/>
      <c r="DC217" s="67"/>
      <c r="DD217" s="67"/>
      <c r="DE217" s="66"/>
      <c r="DF217" s="67"/>
      <c r="DG217" s="67"/>
      <c r="DH217" s="67"/>
      <c r="DI217" s="67"/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67"/>
      <c r="EB217" s="67"/>
      <c r="EC217" s="67"/>
      <c r="ED217" s="67"/>
      <c r="EE217" s="67"/>
      <c r="EF217" s="67"/>
      <c r="EG217" s="67"/>
      <c r="EH217" s="67"/>
      <c r="EI217" s="67"/>
      <c r="EJ217" s="67"/>
      <c r="EK217" s="67"/>
      <c r="EL217" s="67"/>
      <c r="EM217" s="67"/>
      <c r="EN217" s="67"/>
      <c r="EO217" s="67"/>
      <c r="EP217" s="67"/>
      <c r="EQ217" s="67"/>
      <c r="ER217" s="67"/>
      <c r="ES217" s="67"/>
      <c r="ET217" s="67"/>
      <c r="EU217" s="67"/>
      <c r="EV217" s="67"/>
      <c r="EW217" s="67"/>
      <c r="EX217" s="67"/>
      <c r="EY217" s="67"/>
      <c r="EZ217" s="67"/>
      <c r="FA217" s="67"/>
      <c r="FB217" s="67"/>
      <c r="FC217" s="67"/>
      <c r="FD217" s="67"/>
      <c r="FE217" s="67"/>
      <c r="FF217" s="67"/>
      <c r="FG217" s="67"/>
      <c r="FH217" s="67"/>
      <c r="FI217" s="67"/>
      <c r="FJ217" s="67"/>
      <c r="FK217" s="67"/>
      <c r="FL217" s="67"/>
      <c r="FM217" s="66"/>
      <c r="FN217" s="67"/>
      <c r="FO217" s="67"/>
      <c r="FP217" s="67"/>
      <c r="FQ217" s="67"/>
      <c r="FR217" s="67"/>
      <c r="FS217" s="67"/>
      <c r="FT217" s="67"/>
      <c r="FU217" s="67"/>
      <c r="FV217" s="67"/>
      <c r="FW217" s="67"/>
      <c r="FX217" s="67"/>
      <c r="FY217" s="67"/>
      <c r="FZ217" s="67"/>
      <c r="GA217" s="67"/>
      <c r="GB217" s="67"/>
      <c r="GC217" s="67"/>
      <c r="GD217" s="67"/>
      <c r="GE217" s="67"/>
      <c r="GF217" s="67"/>
      <c r="GG217" s="67"/>
      <c r="GH217" s="67"/>
      <c r="GI217" s="67"/>
      <c r="GJ217" s="67"/>
      <c r="GK217" s="67"/>
      <c r="GL217" s="67"/>
      <c r="GM217" s="67"/>
      <c r="GN217" s="67"/>
      <c r="GO217" s="67"/>
      <c r="GP217" s="67"/>
      <c r="GQ217" s="67"/>
      <c r="GR217" s="67"/>
      <c r="GS217" s="67"/>
      <c r="GT217" s="67"/>
      <c r="GU217" s="67"/>
      <c r="GV217" s="67"/>
      <c r="GW217" s="67"/>
      <c r="GX217" s="67"/>
      <c r="GY217" s="67"/>
      <c r="GZ217" s="67"/>
      <c r="HA217" s="67"/>
      <c r="HB217" s="67"/>
      <c r="HC217" s="67"/>
      <c r="HD217" s="67"/>
      <c r="HE217" s="67"/>
      <c r="HF217" s="67"/>
      <c r="HG217" s="67"/>
      <c r="HH217" s="67"/>
      <c r="HI217" s="67"/>
      <c r="HJ217" s="67"/>
      <c r="HK217" s="67"/>
      <c r="HL217" s="67"/>
      <c r="HM217" s="67"/>
      <c r="HN217" s="67"/>
      <c r="HO217" s="67"/>
      <c r="HP217" s="67"/>
      <c r="HQ217" s="67"/>
      <c r="HR217" s="67"/>
      <c r="HS217" s="67"/>
      <c r="HT217" s="67"/>
      <c r="HU217" s="66"/>
      <c r="HV217" s="67"/>
      <c r="HW217" s="67"/>
      <c r="HX217" s="67"/>
      <c r="HY217" s="67"/>
      <c r="HZ217" s="67"/>
      <c r="IA217" s="67"/>
      <c r="IB217" s="67"/>
      <c r="IC217" s="67"/>
      <c r="ID217" s="67"/>
      <c r="IE217" s="67"/>
      <c r="IF217" s="67"/>
      <c r="IG217" s="67"/>
      <c r="IH217" s="67"/>
      <c r="II217" s="67"/>
      <c r="IJ217" s="67"/>
      <c r="IK217" s="67"/>
      <c r="IL217" s="67"/>
      <c r="IM217" s="67"/>
      <c r="IN217" s="67"/>
      <c r="IO217" s="67"/>
      <c r="IP217" s="67"/>
      <c r="IQ217" s="67"/>
      <c r="IR217" s="67"/>
      <c r="IS217" s="67"/>
      <c r="IT217" s="67"/>
      <c r="IU217" s="67"/>
      <c r="IV217" s="67"/>
      <c r="IW217" s="67"/>
      <c r="IX217" s="67"/>
      <c r="IY217" s="66"/>
      <c r="IZ217" s="67"/>
      <c r="JA217" s="67"/>
      <c r="JB217" s="67"/>
      <c r="JC217" s="67"/>
      <c r="JD217" s="67"/>
      <c r="JE217" s="67"/>
      <c r="JF217" s="67"/>
      <c r="JG217" s="67"/>
      <c r="JH217" s="67"/>
      <c r="JI217" s="67"/>
      <c r="JJ217" s="67"/>
      <c r="JK217" s="67"/>
      <c r="JL217" s="67"/>
      <c r="JM217" s="67"/>
      <c r="JN217" s="67"/>
      <c r="JO217" s="67"/>
      <c r="JP217" s="67"/>
      <c r="JQ217" s="67"/>
      <c r="JR217" s="67"/>
      <c r="JS217" s="67"/>
      <c r="JT217" s="67"/>
      <c r="JU217" s="67"/>
      <c r="JV217" s="67"/>
      <c r="JW217" s="67"/>
      <c r="JX217" s="67"/>
      <c r="JY217" s="67"/>
      <c r="JZ217" s="67"/>
      <c r="KA217" s="67"/>
      <c r="KB217" s="67"/>
      <c r="KC217" s="66"/>
      <c r="KD217" s="67"/>
      <c r="KE217" s="68"/>
      <c r="KF217" s="67"/>
      <c r="KG217" s="67"/>
      <c r="KH217" s="67"/>
      <c r="KI217" s="66"/>
      <c r="KJ217" s="67"/>
      <c r="KK217" s="68"/>
      <c r="KL217" s="67"/>
      <c r="KM217" s="67"/>
      <c r="KN217" s="67"/>
      <c r="KO217" s="66"/>
      <c r="KP217" s="67"/>
      <c r="KQ217" s="68"/>
      <c r="KR217" s="67"/>
      <c r="KS217" s="67"/>
      <c r="KT217" s="67"/>
      <c r="KU217" s="66"/>
      <c r="KV217" s="67"/>
      <c r="KW217" s="68"/>
      <c r="KX217" s="67"/>
      <c r="KY217" s="67"/>
      <c r="KZ217" s="67"/>
      <c r="LA217" s="70"/>
      <c r="LB217" s="67"/>
      <c r="LC217" s="71"/>
      <c r="LD217" s="67"/>
      <c r="LE217" s="67"/>
      <c r="LF217" s="67"/>
      <c r="LG217" s="66"/>
      <c r="LH217" s="67"/>
      <c r="LI217" s="68"/>
      <c r="LJ217" s="66"/>
      <c r="LK217" s="67"/>
      <c r="LL217" s="68"/>
      <c r="LM217" s="66"/>
      <c r="LN217" s="67"/>
      <c r="LO217" s="68"/>
      <c r="LP217" s="66"/>
      <c r="LQ217" s="67"/>
      <c r="LR217" s="68"/>
      <c r="LS217" s="66"/>
      <c r="LT217" s="67"/>
      <c r="LU217" s="68"/>
      <c r="LV217" s="67"/>
      <c r="LW217" s="67"/>
      <c r="LX217" s="67"/>
      <c r="LY217" s="66"/>
      <c r="LZ217" s="67"/>
      <c r="MA217" s="68"/>
      <c r="MB217" s="66"/>
      <c r="MC217" s="67"/>
      <c r="MD217" s="68"/>
      <c r="ME217" s="67"/>
      <c r="MF217" s="67"/>
      <c r="MG217" s="67"/>
      <c r="MH217" s="66"/>
      <c r="MI217" s="67"/>
      <c r="MJ217" s="68"/>
      <c r="MK217" s="66"/>
      <c r="ML217" s="67"/>
      <c r="MM217" s="68"/>
      <c r="MN217" s="61"/>
      <c r="MO217" s="62"/>
      <c r="MP217" s="63"/>
      <c r="MQ217" s="39"/>
      <c r="MR217" s="40"/>
      <c r="MS217" s="41"/>
      <c r="MT217" s="39"/>
      <c r="MU217" s="67"/>
      <c r="MV217" s="68"/>
      <c r="MW217" s="66"/>
      <c r="MX217" s="67"/>
      <c r="MY217" s="68"/>
      <c r="MZ217" s="66"/>
      <c r="NA217" s="67"/>
      <c r="NB217" s="68"/>
      <c r="NC217" s="67"/>
      <c r="ND217" s="67"/>
      <c r="NE217" s="72"/>
      <c r="NG217" s="275"/>
      <c r="NH217" s="1"/>
      <c r="NI217" s="1"/>
      <c r="NJ217" s="1"/>
      <c r="NK217" s="1"/>
    </row>
    <row r="218" spans="5:375" s="6" customFormat="1" ht="9.9499999999999993" customHeight="1">
      <c r="F218" s="196">
        <f t="shared" ref="F218" si="489">NG218</f>
        <v>3.9999999999999998E-7</v>
      </c>
      <c r="G218" s="197">
        <f>Q218-F218</f>
        <v>9.9999999999999995E-8</v>
      </c>
      <c r="H218" s="27">
        <v>1</v>
      </c>
      <c r="L218" s="339"/>
      <c r="M218" s="299" t="s">
        <v>164</v>
      </c>
      <c r="N218" s="313">
        <v>2</v>
      </c>
      <c r="O218" s="312" t="s">
        <v>163</v>
      </c>
      <c r="P218" s="307">
        <v>95</v>
      </c>
      <c r="Q218" s="400">
        <f>ROUND(P218/$P$256,7)</f>
        <v>4.9999999999999998E-7</v>
      </c>
      <c r="R218" s="21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3"/>
      <c r="AX218" s="54"/>
      <c r="AY218" s="54"/>
      <c r="AZ218" s="54"/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54"/>
      <c r="BS218" s="54"/>
      <c r="BT218" s="54"/>
      <c r="BU218" s="54"/>
      <c r="BV218" s="54"/>
      <c r="BW218" s="54"/>
      <c r="BX218" s="54"/>
      <c r="BY218" s="54"/>
      <c r="BZ218" s="55"/>
      <c r="CA218" s="53"/>
      <c r="CB218" s="54"/>
      <c r="CC218" s="54"/>
      <c r="CD218" s="54"/>
      <c r="CE218" s="54"/>
      <c r="CF218" s="54"/>
      <c r="CG218" s="54"/>
      <c r="CH218" s="54"/>
      <c r="CI218" s="54"/>
      <c r="CJ218" s="54"/>
      <c r="CK218" s="54"/>
      <c r="CL218" s="54"/>
      <c r="CM218" s="54"/>
      <c r="CN218" s="54"/>
      <c r="CO218" s="54"/>
      <c r="CP218" s="54"/>
      <c r="CQ218" s="54"/>
      <c r="CR218" s="54"/>
      <c r="CS218" s="54"/>
      <c r="CT218" s="54"/>
      <c r="CU218" s="54"/>
      <c r="CV218" s="54"/>
      <c r="CW218" s="54"/>
      <c r="CX218" s="54"/>
      <c r="CY218" s="54"/>
      <c r="CZ218" s="54"/>
      <c r="DA218" s="54"/>
      <c r="DB218" s="54"/>
      <c r="DC218" s="54"/>
      <c r="DD218" s="54"/>
      <c r="DE218" s="53"/>
      <c r="DF218" s="54"/>
      <c r="DG218" s="54"/>
      <c r="DH218" s="54"/>
      <c r="DI218" s="54"/>
      <c r="DJ218" s="54"/>
      <c r="DK218" s="54"/>
      <c r="DL218" s="54"/>
      <c r="DM218" s="54"/>
      <c r="DN218" s="54"/>
      <c r="DO218" s="54"/>
      <c r="DP218" s="54"/>
      <c r="DQ218" s="54"/>
      <c r="DR218" s="54"/>
      <c r="DS218" s="54"/>
      <c r="DT218" s="54"/>
      <c r="DU218" s="54"/>
      <c r="DV218" s="54"/>
      <c r="DW218" s="54"/>
      <c r="DX218" s="54"/>
      <c r="DY218" s="54"/>
      <c r="DZ218" s="54"/>
      <c r="EA218" s="54"/>
      <c r="EB218" s="54"/>
      <c r="EC218" s="54"/>
      <c r="ED218" s="54"/>
      <c r="EE218" s="54"/>
      <c r="EF218" s="54"/>
      <c r="EG218" s="54"/>
      <c r="EH218" s="54"/>
      <c r="EI218" s="54"/>
      <c r="EJ218" s="54"/>
      <c r="EK218" s="54"/>
      <c r="EL218" s="54"/>
      <c r="EM218" s="54"/>
      <c r="EN218" s="54"/>
      <c r="EO218" s="54"/>
      <c r="EP218" s="54"/>
      <c r="EQ218" s="54"/>
      <c r="ER218" s="54"/>
      <c r="ES218" s="54"/>
      <c r="ET218" s="54"/>
      <c r="EU218" s="54"/>
      <c r="EV218" s="54"/>
      <c r="EW218" s="54"/>
      <c r="EX218" s="54"/>
      <c r="EY218" s="54"/>
      <c r="EZ218" s="54"/>
      <c r="FA218" s="54"/>
      <c r="FB218" s="54"/>
      <c r="FC218" s="54"/>
      <c r="FD218" s="54"/>
      <c r="FE218" s="54"/>
      <c r="FF218" s="54"/>
      <c r="FG218" s="54"/>
      <c r="FH218" s="54"/>
      <c r="FI218" s="54"/>
      <c r="FJ218" s="54"/>
      <c r="FK218" s="54"/>
      <c r="FL218" s="54"/>
      <c r="FM218" s="53"/>
      <c r="FN218" s="54"/>
      <c r="FO218" s="54"/>
      <c r="FP218" s="54"/>
      <c r="FQ218" s="54"/>
      <c r="FR218" s="54"/>
      <c r="FS218" s="54"/>
      <c r="FT218" s="54"/>
      <c r="FU218" s="54"/>
      <c r="FV218" s="54"/>
      <c r="FW218" s="54"/>
      <c r="FX218" s="54"/>
      <c r="FY218" s="54"/>
      <c r="FZ218" s="54"/>
      <c r="GA218" s="54"/>
      <c r="GB218" s="54"/>
      <c r="GC218" s="54"/>
      <c r="GD218" s="54"/>
      <c r="GE218" s="54"/>
      <c r="GF218" s="54"/>
      <c r="GG218" s="54"/>
      <c r="GH218" s="54"/>
      <c r="GI218" s="54"/>
      <c r="GJ218" s="54"/>
      <c r="GK218" s="54"/>
      <c r="GL218" s="54"/>
      <c r="GM218" s="54"/>
      <c r="GN218" s="54"/>
      <c r="GO218" s="54"/>
      <c r="GP218" s="54"/>
      <c r="GQ218" s="54"/>
      <c r="GR218" s="54"/>
      <c r="GS218" s="54"/>
      <c r="GT218" s="54"/>
      <c r="GU218" s="54"/>
      <c r="GV218" s="54"/>
      <c r="GW218" s="54"/>
      <c r="GX218" s="54"/>
      <c r="GY218" s="54"/>
      <c r="GZ218" s="54"/>
      <c r="HA218" s="54"/>
      <c r="HB218" s="54"/>
      <c r="HC218" s="54"/>
      <c r="HD218" s="54"/>
      <c r="HE218" s="54"/>
      <c r="HF218" s="54"/>
      <c r="HG218" s="54"/>
      <c r="HH218" s="54"/>
      <c r="HI218" s="54"/>
      <c r="HJ218" s="54"/>
      <c r="HK218" s="54"/>
      <c r="HL218" s="54"/>
      <c r="HM218" s="54"/>
      <c r="HN218" s="54"/>
      <c r="HO218" s="54"/>
      <c r="HP218" s="54"/>
      <c r="HQ218" s="54"/>
      <c r="HR218" s="54"/>
      <c r="HS218" s="54"/>
      <c r="HT218" s="54"/>
      <c r="HU218" s="53"/>
      <c r="HV218" s="54"/>
      <c r="HW218" s="54"/>
      <c r="HX218" s="54"/>
      <c r="HY218" s="54"/>
      <c r="HZ218" s="54"/>
      <c r="IA218" s="54"/>
      <c r="IB218" s="54"/>
      <c r="IC218" s="54"/>
      <c r="ID218" s="54"/>
      <c r="IE218" s="54"/>
      <c r="IF218" s="54"/>
      <c r="IG218" s="54"/>
      <c r="IH218" s="54"/>
      <c r="II218" s="54"/>
      <c r="IJ218" s="54"/>
      <c r="IK218" s="54"/>
      <c r="IL218" s="54"/>
      <c r="IM218" s="54"/>
      <c r="IN218" s="54"/>
      <c r="IO218" s="54"/>
      <c r="IP218" s="54"/>
      <c r="IQ218" s="54"/>
      <c r="IR218" s="54"/>
      <c r="IS218" s="54"/>
      <c r="IT218" s="54"/>
      <c r="IU218" s="54"/>
      <c r="IV218" s="54"/>
      <c r="IW218" s="54"/>
      <c r="IX218" s="54"/>
      <c r="IY218" s="53"/>
      <c r="IZ218" s="54"/>
      <c r="JA218" s="54"/>
      <c r="JB218" s="54"/>
      <c r="JC218" s="54"/>
      <c r="JD218" s="54"/>
      <c r="JE218" s="54"/>
      <c r="JF218" s="54"/>
      <c r="JG218" s="54"/>
      <c r="JH218" s="54"/>
      <c r="JI218" s="54"/>
      <c r="JJ218" s="54"/>
      <c r="JK218" s="54"/>
      <c r="JL218" s="54"/>
      <c r="JM218" s="54"/>
      <c r="JN218" s="54"/>
      <c r="JO218" s="54"/>
      <c r="JP218" s="54"/>
      <c r="JQ218" s="54"/>
      <c r="JR218" s="54"/>
      <c r="JS218" s="54"/>
      <c r="JT218" s="54"/>
      <c r="JU218" s="54"/>
      <c r="JV218" s="54"/>
      <c r="JW218" s="54"/>
      <c r="JX218" s="54"/>
      <c r="JY218" s="54"/>
      <c r="JZ218" s="54"/>
      <c r="KA218" s="54"/>
      <c r="KB218" s="54"/>
      <c r="KC218" s="53"/>
      <c r="KD218" s="54"/>
      <c r="KE218" s="55"/>
      <c r="KF218" s="54"/>
      <c r="KG218" s="54"/>
      <c r="KH218" s="54"/>
      <c r="KI218" s="53"/>
      <c r="KJ218" s="54"/>
      <c r="KK218" s="55"/>
      <c r="KL218" s="54"/>
      <c r="KM218" s="54"/>
      <c r="KN218" s="54"/>
      <c r="KO218" s="53"/>
      <c r="KP218" s="54"/>
      <c r="KQ218" s="55"/>
      <c r="KR218" s="54"/>
      <c r="KS218" s="54"/>
      <c r="KT218" s="54"/>
      <c r="KU218" s="53"/>
      <c r="KV218" s="54"/>
      <c r="KW218" s="55"/>
      <c r="KX218" s="54"/>
      <c r="KY218" s="54"/>
      <c r="KZ218" s="54"/>
      <c r="LA218" s="57"/>
      <c r="LB218" s="54"/>
      <c r="LC218" s="58"/>
      <c r="LD218" s="54"/>
      <c r="LE218" s="54"/>
      <c r="LF218" s="54"/>
      <c r="LG218" s="53"/>
      <c r="LH218" s="54"/>
      <c r="LI218" s="55"/>
      <c r="LJ218" s="53"/>
      <c r="LK218" s="54"/>
      <c r="LL218" s="55"/>
      <c r="LM218" s="53"/>
      <c r="LN218" s="54"/>
      <c r="LO218" s="55"/>
      <c r="LP218" s="53"/>
      <c r="LQ218" s="54"/>
      <c r="LR218" s="55"/>
      <c r="LS218" s="53"/>
      <c r="LT218" s="54"/>
      <c r="LU218" s="55"/>
      <c r="LV218" s="54"/>
      <c r="LW218" s="54"/>
      <c r="LX218" s="54"/>
      <c r="LY218" s="53"/>
      <c r="LZ218" s="54"/>
      <c r="MA218" s="55"/>
      <c r="MB218" s="53"/>
      <c r="MC218" s="54"/>
      <c r="MD218" s="55"/>
      <c r="ME218" s="54"/>
      <c r="MF218" s="54"/>
      <c r="MG218" s="54"/>
      <c r="MH218" s="53"/>
      <c r="MI218" s="54"/>
      <c r="MJ218" s="55"/>
      <c r="MK218" s="53"/>
      <c r="ML218" s="54"/>
      <c r="MM218" s="55"/>
      <c r="MN218" s="54"/>
      <c r="MO218" s="54"/>
      <c r="MP218" s="67"/>
      <c r="MQ218" s="214">
        <v>3.9999999999999998E-7</v>
      </c>
      <c r="MR218" s="214"/>
      <c r="MS218" s="214"/>
      <c r="MT218" s="214"/>
      <c r="MU218" s="212"/>
      <c r="MV218" s="212"/>
      <c r="MW218" s="212"/>
      <c r="MX218" s="212"/>
      <c r="MY218" s="212"/>
      <c r="MZ218" s="212"/>
      <c r="NA218" s="212"/>
      <c r="NB218" s="212"/>
      <c r="NC218" s="54"/>
      <c r="ND218" s="54"/>
      <c r="NE218" s="59"/>
      <c r="NG218" s="284">
        <f>SUM(R218:NE218)</f>
        <v>3.9999999999999998E-7</v>
      </c>
      <c r="NH218" s="1"/>
      <c r="NI218" s="1"/>
      <c r="NJ218" s="1"/>
      <c r="NK218" s="1"/>
    </row>
    <row r="219" spans="5:375" s="6" customFormat="1" ht="6.95" customHeight="1">
      <c r="F219" s="196"/>
      <c r="G219" s="197"/>
      <c r="H219" s="52">
        <v>2</v>
      </c>
      <c r="L219" s="340"/>
      <c r="M219" s="294"/>
      <c r="N219" s="314"/>
      <c r="O219" s="306"/>
      <c r="P219" s="308"/>
      <c r="Q219" s="401"/>
      <c r="R219" s="9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39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  <c r="BW219" s="40"/>
      <c r="BX219" s="40"/>
      <c r="BY219" s="40"/>
      <c r="BZ219" s="41"/>
      <c r="CA219" s="39"/>
      <c r="CB219" s="40"/>
      <c r="CC219" s="40"/>
      <c r="CD219" s="40"/>
      <c r="CE219" s="40"/>
      <c r="CF219" s="40"/>
      <c r="CG219" s="40"/>
      <c r="CH219" s="40"/>
      <c r="CI219" s="40"/>
      <c r="CJ219" s="40"/>
      <c r="CK219" s="40"/>
      <c r="CL219" s="40"/>
      <c r="CM219" s="40"/>
      <c r="CN219" s="40"/>
      <c r="CO219" s="40"/>
      <c r="CP219" s="40"/>
      <c r="CQ219" s="40"/>
      <c r="CR219" s="40"/>
      <c r="CS219" s="40"/>
      <c r="CT219" s="40"/>
      <c r="CU219" s="40"/>
      <c r="CV219" s="40"/>
      <c r="CW219" s="40"/>
      <c r="CX219" s="40"/>
      <c r="CY219" s="40"/>
      <c r="CZ219" s="40"/>
      <c r="DA219" s="40"/>
      <c r="DB219" s="40"/>
      <c r="DC219" s="40"/>
      <c r="DD219" s="40"/>
      <c r="DE219" s="39"/>
      <c r="DF219" s="40"/>
      <c r="DG219" s="40"/>
      <c r="DH219" s="40"/>
      <c r="DI219" s="40"/>
      <c r="DJ219" s="40"/>
      <c r="DK219" s="40"/>
      <c r="DL219" s="40"/>
      <c r="DM219" s="40"/>
      <c r="DN219" s="40"/>
      <c r="DO219" s="40"/>
      <c r="DP219" s="40"/>
      <c r="DQ219" s="40"/>
      <c r="DR219" s="40"/>
      <c r="DS219" s="40"/>
      <c r="DT219" s="40"/>
      <c r="DU219" s="40"/>
      <c r="DV219" s="40"/>
      <c r="DW219" s="40"/>
      <c r="DX219" s="40"/>
      <c r="DY219" s="40"/>
      <c r="DZ219" s="40"/>
      <c r="EA219" s="40"/>
      <c r="EB219" s="40"/>
      <c r="EC219" s="40"/>
      <c r="ED219" s="40"/>
      <c r="EE219" s="40"/>
      <c r="EF219" s="40"/>
      <c r="EG219" s="40"/>
      <c r="EH219" s="40"/>
      <c r="EI219" s="40"/>
      <c r="EJ219" s="40"/>
      <c r="EK219" s="40"/>
      <c r="EL219" s="40"/>
      <c r="EM219" s="40"/>
      <c r="EN219" s="40"/>
      <c r="EO219" s="40"/>
      <c r="EP219" s="40"/>
      <c r="EQ219" s="40"/>
      <c r="ER219" s="40"/>
      <c r="ES219" s="40"/>
      <c r="ET219" s="40"/>
      <c r="EU219" s="40"/>
      <c r="EV219" s="40"/>
      <c r="EW219" s="40"/>
      <c r="EX219" s="40"/>
      <c r="EY219" s="40"/>
      <c r="EZ219" s="40"/>
      <c r="FA219" s="40"/>
      <c r="FB219" s="40"/>
      <c r="FC219" s="40"/>
      <c r="FD219" s="40"/>
      <c r="FE219" s="40"/>
      <c r="FF219" s="40"/>
      <c r="FG219" s="40"/>
      <c r="FH219" s="40"/>
      <c r="FI219" s="40"/>
      <c r="FJ219" s="40"/>
      <c r="FK219" s="40"/>
      <c r="FL219" s="40"/>
      <c r="FM219" s="39"/>
      <c r="FN219" s="40"/>
      <c r="FO219" s="40"/>
      <c r="FP219" s="40"/>
      <c r="FQ219" s="40"/>
      <c r="FR219" s="40"/>
      <c r="FS219" s="40"/>
      <c r="FT219" s="40"/>
      <c r="FU219" s="40"/>
      <c r="FV219" s="40"/>
      <c r="FW219" s="40"/>
      <c r="FX219" s="40"/>
      <c r="FY219" s="40"/>
      <c r="FZ219" s="40"/>
      <c r="GA219" s="40"/>
      <c r="GB219" s="40"/>
      <c r="GC219" s="40"/>
      <c r="GD219" s="40"/>
      <c r="GE219" s="40"/>
      <c r="GF219" s="40"/>
      <c r="GG219" s="40"/>
      <c r="GH219" s="40"/>
      <c r="GI219" s="40"/>
      <c r="GJ219" s="40"/>
      <c r="GK219" s="40"/>
      <c r="GL219" s="40"/>
      <c r="GM219" s="40"/>
      <c r="GN219" s="40"/>
      <c r="GO219" s="40"/>
      <c r="GP219" s="40"/>
      <c r="GQ219" s="40"/>
      <c r="GR219" s="40"/>
      <c r="GS219" s="40"/>
      <c r="GT219" s="40"/>
      <c r="GU219" s="40"/>
      <c r="GV219" s="40"/>
      <c r="GW219" s="40"/>
      <c r="GX219" s="40"/>
      <c r="GY219" s="40"/>
      <c r="GZ219" s="40"/>
      <c r="HA219" s="40"/>
      <c r="HB219" s="40"/>
      <c r="HC219" s="40"/>
      <c r="HD219" s="40"/>
      <c r="HE219" s="40"/>
      <c r="HF219" s="40"/>
      <c r="HG219" s="40"/>
      <c r="HH219" s="40"/>
      <c r="HI219" s="40"/>
      <c r="HJ219" s="40"/>
      <c r="HK219" s="40"/>
      <c r="HL219" s="40"/>
      <c r="HM219" s="40"/>
      <c r="HN219" s="40"/>
      <c r="HO219" s="40"/>
      <c r="HP219" s="40"/>
      <c r="HQ219" s="40"/>
      <c r="HR219" s="40"/>
      <c r="HS219" s="40"/>
      <c r="HT219" s="40"/>
      <c r="HU219" s="39"/>
      <c r="HV219" s="40"/>
      <c r="HW219" s="40"/>
      <c r="HX219" s="40"/>
      <c r="HY219" s="40"/>
      <c r="HZ219" s="40"/>
      <c r="IA219" s="40"/>
      <c r="IB219" s="40"/>
      <c r="IC219" s="40"/>
      <c r="ID219" s="40"/>
      <c r="IE219" s="40"/>
      <c r="IF219" s="40"/>
      <c r="IG219" s="40"/>
      <c r="IH219" s="40"/>
      <c r="II219" s="40"/>
      <c r="IJ219" s="40"/>
      <c r="IK219" s="40"/>
      <c r="IL219" s="40"/>
      <c r="IM219" s="40"/>
      <c r="IN219" s="40"/>
      <c r="IO219" s="40"/>
      <c r="IP219" s="40"/>
      <c r="IQ219" s="40"/>
      <c r="IR219" s="40"/>
      <c r="IS219" s="40"/>
      <c r="IT219" s="40"/>
      <c r="IU219" s="40"/>
      <c r="IV219" s="40"/>
      <c r="IW219" s="40"/>
      <c r="IX219" s="40"/>
      <c r="IY219" s="39"/>
      <c r="IZ219" s="40"/>
      <c r="JA219" s="40"/>
      <c r="JB219" s="40"/>
      <c r="JC219" s="40"/>
      <c r="JD219" s="40"/>
      <c r="JE219" s="40"/>
      <c r="JF219" s="40"/>
      <c r="JG219" s="40"/>
      <c r="JH219" s="40"/>
      <c r="JI219" s="40"/>
      <c r="JJ219" s="40"/>
      <c r="JK219" s="40"/>
      <c r="JL219" s="40"/>
      <c r="JM219" s="40"/>
      <c r="JN219" s="40"/>
      <c r="JO219" s="40"/>
      <c r="JP219" s="40"/>
      <c r="JQ219" s="40"/>
      <c r="JR219" s="40"/>
      <c r="JS219" s="40"/>
      <c r="JT219" s="40"/>
      <c r="JU219" s="40"/>
      <c r="JV219" s="40"/>
      <c r="JW219" s="40"/>
      <c r="JX219" s="40"/>
      <c r="JY219" s="40"/>
      <c r="JZ219" s="40"/>
      <c r="KA219" s="40"/>
      <c r="KB219" s="40"/>
      <c r="KC219" s="39"/>
      <c r="KD219" s="40"/>
      <c r="KE219" s="41"/>
      <c r="KF219" s="40"/>
      <c r="KG219" s="40"/>
      <c r="KH219" s="40"/>
      <c r="KI219" s="39"/>
      <c r="KJ219" s="40"/>
      <c r="KK219" s="41"/>
      <c r="KL219" s="40"/>
      <c r="KM219" s="40"/>
      <c r="KN219" s="40"/>
      <c r="KO219" s="39"/>
      <c r="KP219" s="40"/>
      <c r="KQ219" s="41"/>
      <c r="KR219" s="40"/>
      <c r="KS219" s="40"/>
      <c r="KT219" s="40"/>
      <c r="KU219" s="39"/>
      <c r="KV219" s="40"/>
      <c r="KW219" s="41"/>
      <c r="KX219" s="40"/>
      <c r="KY219" s="40"/>
      <c r="KZ219" s="40"/>
      <c r="LA219" s="64"/>
      <c r="LB219" s="40"/>
      <c r="LC219" s="65"/>
      <c r="LD219" s="40"/>
      <c r="LE219" s="40"/>
      <c r="LF219" s="40"/>
      <c r="LG219" s="39"/>
      <c r="LH219" s="40"/>
      <c r="LI219" s="41"/>
      <c r="LJ219" s="39"/>
      <c r="LK219" s="40"/>
      <c r="LL219" s="41"/>
      <c r="LM219" s="39"/>
      <c r="LN219" s="40"/>
      <c r="LO219" s="41"/>
      <c r="LP219" s="39"/>
      <c r="LQ219" s="40"/>
      <c r="LR219" s="41"/>
      <c r="LS219" s="39"/>
      <c r="LT219" s="40"/>
      <c r="LU219" s="41"/>
      <c r="LV219" s="40"/>
      <c r="LW219" s="40"/>
      <c r="LX219" s="40"/>
      <c r="LY219" s="39"/>
      <c r="LZ219" s="40"/>
      <c r="MA219" s="41"/>
      <c r="MB219" s="39"/>
      <c r="MC219" s="40"/>
      <c r="MD219" s="41"/>
      <c r="ME219" s="40"/>
      <c r="MF219" s="40"/>
      <c r="MG219" s="40"/>
      <c r="MH219" s="39"/>
      <c r="MI219" s="40"/>
      <c r="MJ219" s="41"/>
      <c r="MK219" s="39"/>
      <c r="ML219" s="40"/>
      <c r="MM219" s="41"/>
      <c r="MN219" s="40"/>
      <c r="MO219" s="40"/>
      <c r="MP219" s="40"/>
      <c r="MQ219" s="61"/>
      <c r="MR219" s="62"/>
      <c r="MS219" s="63"/>
      <c r="MT219" s="39"/>
      <c r="MU219" s="40"/>
      <c r="MV219" s="41"/>
      <c r="MW219" s="39"/>
      <c r="MX219" s="40"/>
      <c r="MY219" s="41"/>
      <c r="MZ219" s="39"/>
      <c r="NA219" s="40"/>
      <c r="NB219" s="41"/>
      <c r="NC219" s="40"/>
      <c r="ND219" s="40"/>
      <c r="NE219" s="42"/>
      <c r="NG219" s="284"/>
      <c r="NH219" s="1"/>
      <c r="NI219" s="1"/>
      <c r="NJ219" s="1"/>
      <c r="NK219" s="1"/>
    </row>
    <row r="220" spans="5:375" s="6" customFormat="1" ht="9.9499999999999993" customHeight="1">
      <c r="F220" s="196">
        <f t="shared" ref="F220" si="490">NG220</f>
        <v>1.8300000000000002E-3</v>
      </c>
      <c r="G220" s="197">
        <f>Q220-F220</f>
        <v>0</v>
      </c>
      <c r="H220" s="27">
        <v>1</v>
      </c>
      <c r="L220" s="292"/>
      <c r="M220" s="355" t="s">
        <v>95</v>
      </c>
      <c r="N220" s="301">
        <v>1</v>
      </c>
      <c r="O220" s="310" t="s">
        <v>96</v>
      </c>
      <c r="P220" s="315">
        <v>381066</v>
      </c>
      <c r="Q220" s="236">
        <f>ROUND(P220/$P$256,5)</f>
        <v>1.83E-3</v>
      </c>
      <c r="R220" s="73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  <c r="AV220" s="67"/>
      <c r="AW220" s="66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  <c r="BK220" s="67"/>
      <c r="BL220" s="67"/>
      <c r="BM220" s="67"/>
      <c r="BN220" s="67"/>
      <c r="BO220" s="67"/>
      <c r="BP220" s="67"/>
      <c r="BQ220" s="67"/>
      <c r="BR220" s="67"/>
      <c r="BS220" s="67"/>
      <c r="BT220" s="67"/>
      <c r="BU220" s="67"/>
      <c r="BV220" s="67"/>
      <c r="BW220" s="67"/>
      <c r="BX220" s="67"/>
      <c r="BY220" s="67"/>
      <c r="BZ220" s="68"/>
      <c r="CA220" s="66"/>
      <c r="CB220" s="67"/>
      <c r="CC220" s="67"/>
      <c r="CD220" s="67"/>
      <c r="CE220" s="67"/>
      <c r="CF220" s="67"/>
      <c r="CG220" s="67"/>
      <c r="CH220" s="67"/>
      <c r="CI220" s="67"/>
      <c r="CJ220" s="67"/>
      <c r="CK220" s="67"/>
      <c r="CL220" s="67"/>
      <c r="CM220" s="67"/>
      <c r="CN220" s="67"/>
      <c r="CO220" s="67"/>
      <c r="CP220" s="67"/>
      <c r="CQ220" s="67"/>
      <c r="CR220" s="67"/>
      <c r="CS220" s="67"/>
      <c r="CT220" s="67"/>
      <c r="CU220" s="67"/>
      <c r="CV220" s="67"/>
      <c r="CW220" s="67"/>
      <c r="CX220" s="67"/>
      <c r="CY220" s="67"/>
      <c r="CZ220" s="67"/>
      <c r="DA220" s="67"/>
      <c r="DB220" s="67"/>
      <c r="DC220" s="67"/>
      <c r="DD220" s="67"/>
      <c r="DE220" s="66"/>
      <c r="DF220" s="67"/>
      <c r="DG220" s="67"/>
      <c r="DH220" s="67"/>
      <c r="DI220" s="67"/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67"/>
      <c r="EB220" s="67"/>
      <c r="EC220" s="67"/>
      <c r="ED220" s="67"/>
      <c r="EE220" s="67"/>
      <c r="EF220" s="67"/>
      <c r="EG220" s="67"/>
      <c r="EH220" s="67"/>
      <c r="EI220" s="67"/>
      <c r="EJ220" s="67"/>
      <c r="EK220" s="67"/>
      <c r="EL220" s="67"/>
      <c r="EM220" s="67"/>
      <c r="EN220" s="67"/>
      <c r="EO220" s="67"/>
      <c r="EP220" s="67"/>
      <c r="EQ220" s="67"/>
      <c r="ER220" s="67"/>
      <c r="ES220" s="67"/>
      <c r="ET220" s="67"/>
      <c r="EU220" s="67"/>
      <c r="EV220" s="67"/>
      <c r="EW220" s="67"/>
      <c r="EX220" s="67"/>
      <c r="EY220" s="67"/>
      <c r="EZ220" s="67"/>
      <c r="FA220" s="67"/>
      <c r="FB220" s="67"/>
      <c r="FC220" s="67"/>
      <c r="FD220" s="67"/>
      <c r="FE220" s="67"/>
      <c r="FF220" s="67"/>
      <c r="FG220" s="67"/>
      <c r="FH220" s="67"/>
      <c r="FI220" s="67"/>
      <c r="FJ220" s="67"/>
      <c r="FK220" s="67"/>
      <c r="FL220" s="67"/>
      <c r="FM220" s="66"/>
      <c r="FN220" s="67"/>
      <c r="FO220" s="67"/>
      <c r="FP220" s="67"/>
      <c r="FQ220" s="67"/>
      <c r="FR220" s="67"/>
      <c r="FS220" s="67"/>
      <c r="FT220" s="67"/>
      <c r="FU220" s="67"/>
      <c r="FV220" s="67"/>
      <c r="FW220" s="67"/>
      <c r="FX220" s="67"/>
      <c r="FY220" s="67"/>
      <c r="FZ220" s="67"/>
      <c r="GA220" s="67"/>
      <c r="GB220" s="67"/>
      <c r="GC220" s="67"/>
      <c r="GD220" s="67"/>
      <c r="GE220" s="67"/>
      <c r="GF220" s="67"/>
      <c r="GG220" s="67"/>
      <c r="GH220" s="67"/>
      <c r="GI220" s="67"/>
      <c r="GJ220" s="67"/>
      <c r="GK220" s="67"/>
      <c r="GL220" s="67"/>
      <c r="GM220" s="67"/>
      <c r="GN220" s="67"/>
      <c r="GO220" s="67"/>
      <c r="GP220" s="67"/>
      <c r="GQ220" s="67"/>
      <c r="GR220" s="67"/>
      <c r="GS220" s="67"/>
      <c r="GT220" s="67"/>
      <c r="GU220" s="67"/>
      <c r="GV220" s="67"/>
      <c r="GW220" s="67"/>
      <c r="GX220" s="67"/>
      <c r="GY220" s="67"/>
      <c r="GZ220" s="67"/>
      <c r="HA220" s="67"/>
      <c r="HB220" s="67"/>
      <c r="HC220" s="67"/>
      <c r="HD220" s="67"/>
      <c r="HE220" s="67"/>
      <c r="HF220" s="67"/>
      <c r="HG220" s="67"/>
      <c r="HH220" s="67"/>
      <c r="HI220" s="67"/>
      <c r="HJ220" s="67"/>
      <c r="HK220" s="67"/>
      <c r="HL220" s="67"/>
      <c r="HM220" s="67"/>
      <c r="HN220" s="67"/>
      <c r="HO220" s="67"/>
      <c r="HP220" s="67"/>
      <c r="HQ220" s="67"/>
      <c r="HR220" s="67"/>
      <c r="HS220" s="67"/>
      <c r="HT220" s="67"/>
      <c r="HU220" s="66"/>
      <c r="HV220" s="67"/>
      <c r="HW220" s="67"/>
      <c r="HX220" s="67"/>
      <c r="HY220" s="67"/>
      <c r="HZ220" s="67"/>
      <c r="IA220" s="67"/>
      <c r="IB220" s="67"/>
      <c r="IC220" s="67"/>
      <c r="ID220" s="67"/>
      <c r="IE220" s="67"/>
      <c r="IF220" s="67"/>
      <c r="IG220" s="67"/>
      <c r="IH220" s="67"/>
      <c r="II220" s="67"/>
      <c r="IJ220" s="67"/>
      <c r="IK220" s="67"/>
      <c r="IL220" s="67"/>
      <c r="IM220" s="67"/>
      <c r="IN220" s="67"/>
      <c r="IO220" s="67"/>
      <c r="IP220" s="67"/>
      <c r="IQ220" s="67"/>
      <c r="IR220" s="67"/>
      <c r="IS220" s="67"/>
      <c r="IT220" s="67"/>
      <c r="IU220" s="67"/>
      <c r="IV220" s="67"/>
      <c r="IW220" s="67"/>
      <c r="IX220" s="67"/>
      <c r="IY220" s="66"/>
      <c r="IZ220" s="67"/>
      <c r="JA220" s="67"/>
      <c r="JB220" s="67"/>
      <c r="JC220" s="67"/>
      <c r="JD220" s="67"/>
      <c r="JE220" s="67"/>
      <c r="JF220" s="67"/>
      <c r="JG220" s="67"/>
      <c r="JH220" s="67"/>
      <c r="JI220" s="67"/>
      <c r="JJ220" s="67"/>
      <c r="JK220" s="67"/>
      <c r="JL220" s="67"/>
      <c r="JM220" s="67"/>
      <c r="JN220" s="67"/>
      <c r="JO220" s="67"/>
      <c r="JP220" s="67"/>
      <c r="JQ220" s="67"/>
      <c r="JR220" s="67"/>
      <c r="JS220" s="67"/>
      <c r="JT220" s="67"/>
      <c r="JU220" s="67"/>
      <c r="JV220" s="67"/>
      <c r="JW220" s="67"/>
      <c r="JX220" s="67"/>
      <c r="JY220" s="67"/>
      <c r="JZ220" s="67"/>
      <c r="KA220" s="67"/>
      <c r="KB220" s="67"/>
      <c r="KC220" s="66"/>
      <c r="KD220" s="67"/>
      <c r="KE220" s="68"/>
      <c r="KF220" s="67"/>
      <c r="KG220" s="67"/>
      <c r="KH220" s="67"/>
      <c r="KI220" s="66"/>
      <c r="KJ220" s="67"/>
      <c r="KK220" s="68"/>
      <c r="KL220" s="67"/>
      <c r="KM220" s="67"/>
      <c r="KN220" s="67"/>
      <c r="KO220" s="66"/>
      <c r="KP220" s="67"/>
      <c r="KQ220" s="68"/>
      <c r="KR220" s="67"/>
      <c r="KS220" s="67"/>
      <c r="KT220" s="67"/>
      <c r="KU220" s="66"/>
      <c r="KV220" s="67"/>
      <c r="KW220" s="68"/>
      <c r="KX220" s="67"/>
      <c r="KY220" s="67"/>
      <c r="KZ220" s="67"/>
      <c r="LA220" s="70"/>
      <c r="LB220" s="67"/>
      <c r="LC220" s="71"/>
      <c r="LD220" s="67"/>
      <c r="LE220" s="67"/>
      <c r="LF220" s="67"/>
      <c r="LG220" s="66"/>
      <c r="LH220" s="67"/>
      <c r="LI220" s="68"/>
      <c r="LJ220" s="66"/>
      <c r="LK220" s="67"/>
      <c r="LL220" s="68"/>
      <c r="LM220" s="66"/>
      <c r="LN220" s="67"/>
      <c r="LO220" s="68"/>
      <c r="LP220" s="66"/>
      <c r="LQ220" s="67"/>
      <c r="LR220" s="68"/>
      <c r="LS220" s="66"/>
      <c r="LT220" s="67"/>
      <c r="LU220" s="68"/>
      <c r="LV220" s="67"/>
      <c r="LW220" s="67"/>
      <c r="LX220" s="67"/>
      <c r="LY220" s="214"/>
      <c r="LZ220" s="214"/>
      <c r="MA220" s="214"/>
      <c r="MB220" s="214">
        <v>4.4000000000000002E-4</v>
      </c>
      <c r="MC220" s="214"/>
      <c r="MD220" s="214"/>
      <c r="ME220" s="214">
        <v>4.4000000000000002E-4</v>
      </c>
      <c r="MF220" s="214"/>
      <c r="MG220" s="214"/>
      <c r="MH220" s="214">
        <v>3.3E-4</v>
      </c>
      <c r="MI220" s="214"/>
      <c r="MJ220" s="214"/>
      <c r="MK220" s="66"/>
      <c r="ML220" s="67"/>
      <c r="MM220" s="68"/>
      <c r="MN220" s="214">
        <v>1.8000000000000001E-4</v>
      </c>
      <c r="MO220" s="214"/>
      <c r="MP220" s="214"/>
      <c r="MQ220" s="214">
        <v>4.4000000000000002E-4</v>
      </c>
      <c r="MR220" s="214"/>
      <c r="MS220" s="214"/>
      <c r="MT220" s="214"/>
      <c r="MU220" s="214"/>
      <c r="MV220" s="214"/>
      <c r="MW220" s="214"/>
      <c r="MX220" s="214"/>
      <c r="MY220" s="214"/>
      <c r="MZ220" s="214"/>
      <c r="NA220" s="214"/>
      <c r="NB220" s="214"/>
      <c r="NC220" s="67"/>
      <c r="ND220" s="67"/>
      <c r="NE220" s="72"/>
      <c r="NG220" s="275">
        <f>SUM(R220:NE220)</f>
        <v>1.8300000000000002E-3</v>
      </c>
      <c r="NH220" s="1"/>
      <c r="NI220" s="1"/>
      <c r="NJ220" s="1"/>
      <c r="NK220" s="1"/>
    </row>
    <row r="221" spans="5:375" s="6" customFormat="1" ht="6.95" customHeight="1" thickBot="1">
      <c r="F221" s="196"/>
      <c r="G221" s="197"/>
      <c r="H221" s="52">
        <v>2</v>
      </c>
      <c r="L221" s="311"/>
      <c r="M221" s="362"/>
      <c r="N221" s="354"/>
      <c r="O221" s="351"/>
      <c r="P221" s="316"/>
      <c r="Q221" s="237"/>
      <c r="R221" s="82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4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  <c r="BM221" s="83"/>
      <c r="BN221" s="83"/>
      <c r="BO221" s="83"/>
      <c r="BP221" s="83"/>
      <c r="BQ221" s="83"/>
      <c r="BR221" s="83"/>
      <c r="BS221" s="83"/>
      <c r="BT221" s="83"/>
      <c r="BU221" s="83"/>
      <c r="BV221" s="83"/>
      <c r="BW221" s="83"/>
      <c r="BX221" s="83"/>
      <c r="BY221" s="83"/>
      <c r="BZ221" s="85"/>
      <c r="CA221" s="84"/>
      <c r="CB221" s="83"/>
      <c r="CC221" s="83"/>
      <c r="CD221" s="83"/>
      <c r="CE221" s="83"/>
      <c r="CF221" s="83"/>
      <c r="CG221" s="83"/>
      <c r="CH221" s="83"/>
      <c r="CI221" s="83"/>
      <c r="CJ221" s="83"/>
      <c r="CK221" s="83"/>
      <c r="CL221" s="83"/>
      <c r="CM221" s="83"/>
      <c r="CN221" s="83"/>
      <c r="CO221" s="83"/>
      <c r="CP221" s="83"/>
      <c r="CQ221" s="83"/>
      <c r="CR221" s="83"/>
      <c r="CS221" s="83"/>
      <c r="CT221" s="83"/>
      <c r="CU221" s="83"/>
      <c r="CV221" s="83"/>
      <c r="CW221" s="83"/>
      <c r="CX221" s="83"/>
      <c r="CY221" s="83"/>
      <c r="CZ221" s="83"/>
      <c r="DA221" s="83"/>
      <c r="DB221" s="83"/>
      <c r="DC221" s="83"/>
      <c r="DD221" s="83"/>
      <c r="DE221" s="84"/>
      <c r="DF221" s="83"/>
      <c r="DG221" s="83"/>
      <c r="DH221" s="83"/>
      <c r="DI221" s="83"/>
      <c r="DJ221" s="83"/>
      <c r="DK221" s="83"/>
      <c r="DL221" s="83"/>
      <c r="DM221" s="83"/>
      <c r="DN221" s="83"/>
      <c r="DO221" s="83"/>
      <c r="DP221" s="83"/>
      <c r="DQ221" s="83"/>
      <c r="DR221" s="83"/>
      <c r="DS221" s="83"/>
      <c r="DT221" s="83"/>
      <c r="DU221" s="83"/>
      <c r="DV221" s="83"/>
      <c r="DW221" s="83"/>
      <c r="DX221" s="83"/>
      <c r="DY221" s="83"/>
      <c r="DZ221" s="83"/>
      <c r="EA221" s="83"/>
      <c r="EB221" s="83"/>
      <c r="EC221" s="83"/>
      <c r="ED221" s="83"/>
      <c r="EE221" s="83"/>
      <c r="EF221" s="83"/>
      <c r="EG221" s="83"/>
      <c r="EH221" s="83"/>
      <c r="EI221" s="83"/>
      <c r="EJ221" s="83"/>
      <c r="EK221" s="83"/>
      <c r="EL221" s="83"/>
      <c r="EM221" s="83"/>
      <c r="EN221" s="83"/>
      <c r="EO221" s="83"/>
      <c r="EP221" s="83"/>
      <c r="EQ221" s="83"/>
      <c r="ER221" s="83"/>
      <c r="ES221" s="83"/>
      <c r="ET221" s="83"/>
      <c r="EU221" s="83"/>
      <c r="EV221" s="83"/>
      <c r="EW221" s="83"/>
      <c r="EX221" s="83"/>
      <c r="EY221" s="83"/>
      <c r="EZ221" s="83"/>
      <c r="FA221" s="83"/>
      <c r="FB221" s="83"/>
      <c r="FC221" s="83"/>
      <c r="FD221" s="83"/>
      <c r="FE221" s="83"/>
      <c r="FF221" s="83"/>
      <c r="FG221" s="83"/>
      <c r="FH221" s="83"/>
      <c r="FI221" s="83"/>
      <c r="FJ221" s="83"/>
      <c r="FK221" s="83"/>
      <c r="FL221" s="83"/>
      <c r="FM221" s="84"/>
      <c r="FN221" s="83"/>
      <c r="FO221" s="83"/>
      <c r="FP221" s="83"/>
      <c r="FQ221" s="83"/>
      <c r="FR221" s="83"/>
      <c r="FS221" s="83"/>
      <c r="FT221" s="83"/>
      <c r="FU221" s="83"/>
      <c r="FV221" s="83"/>
      <c r="FW221" s="83"/>
      <c r="FX221" s="83"/>
      <c r="FY221" s="83"/>
      <c r="FZ221" s="83"/>
      <c r="GA221" s="83"/>
      <c r="GB221" s="83"/>
      <c r="GC221" s="83"/>
      <c r="GD221" s="83"/>
      <c r="GE221" s="83"/>
      <c r="GF221" s="83"/>
      <c r="GG221" s="83"/>
      <c r="GH221" s="83"/>
      <c r="GI221" s="83"/>
      <c r="GJ221" s="83"/>
      <c r="GK221" s="83"/>
      <c r="GL221" s="83"/>
      <c r="GM221" s="83"/>
      <c r="GN221" s="83"/>
      <c r="GO221" s="83"/>
      <c r="GP221" s="83"/>
      <c r="GQ221" s="83"/>
      <c r="GR221" s="83"/>
      <c r="GS221" s="83"/>
      <c r="GT221" s="83"/>
      <c r="GU221" s="83"/>
      <c r="GV221" s="83"/>
      <c r="GW221" s="83"/>
      <c r="GX221" s="83"/>
      <c r="GY221" s="83"/>
      <c r="GZ221" s="83"/>
      <c r="HA221" s="83"/>
      <c r="HB221" s="83"/>
      <c r="HC221" s="83"/>
      <c r="HD221" s="83"/>
      <c r="HE221" s="83"/>
      <c r="HF221" s="83"/>
      <c r="HG221" s="83"/>
      <c r="HH221" s="83"/>
      <c r="HI221" s="83"/>
      <c r="HJ221" s="83"/>
      <c r="HK221" s="83"/>
      <c r="HL221" s="83"/>
      <c r="HM221" s="83"/>
      <c r="HN221" s="83"/>
      <c r="HO221" s="83"/>
      <c r="HP221" s="83"/>
      <c r="HQ221" s="83"/>
      <c r="HR221" s="83"/>
      <c r="HS221" s="83"/>
      <c r="HT221" s="83"/>
      <c r="HU221" s="84"/>
      <c r="HV221" s="83"/>
      <c r="HW221" s="83"/>
      <c r="HX221" s="83"/>
      <c r="HY221" s="83"/>
      <c r="HZ221" s="83"/>
      <c r="IA221" s="83"/>
      <c r="IB221" s="83"/>
      <c r="IC221" s="83"/>
      <c r="ID221" s="83"/>
      <c r="IE221" s="83"/>
      <c r="IF221" s="83"/>
      <c r="IG221" s="83"/>
      <c r="IH221" s="83"/>
      <c r="II221" s="83"/>
      <c r="IJ221" s="83"/>
      <c r="IK221" s="83"/>
      <c r="IL221" s="83"/>
      <c r="IM221" s="83"/>
      <c r="IN221" s="83"/>
      <c r="IO221" s="83"/>
      <c r="IP221" s="83"/>
      <c r="IQ221" s="83"/>
      <c r="IR221" s="83"/>
      <c r="IS221" s="83"/>
      <c r="IT221" s="83"/>
      <c r="IU221" s="83"/>
      <c r="IV221" s="83"/>
      <c r="IW221" s="83"/>
      <c r="IX221" s="83"/>
      <c r="IY221" s="84"/>
      <c r="IZ221" s="83"/>
      <c r="JA221" s="83"/>
      <c r="JB221" s="83"/>
      <c r="JC221" s="83"/>
      <c r="JD221" s="83"/>
      <c r="JE221" s="83"/>
      <c r="JF221" s="83"/>
      <c r="JG221" s="83"/>
      <c r="JH221" s="83"/>
      <c r="JI221" s="83"/>
      <c r="JJ221" s="83"/>
      <c r="JK221" s="83"/>
      <c r="JL221" s="83"/>
      <c r="JM221" s="83"/>
      <c r="JN221" s="83"/>
      <c r="JO221" s="83"/>
      <c r="JP221" s="83"/>
      <c r="JQ221" s="83"/>
      <c r="JR221" s="83"/>
      <c r="JS221" s="83"/>
      <c r="JT221" s="83"/>
      <c r="JU221" s="83"/>
      <c r="JV221" s="83"/>
      <c r="JW221" s="83"/>
      <c r="JX221" s="83"/>
      <c r="JY221" s="83"/>
      <c r="JZ221" s="83"/>
      <c r="KA221" s="83"/>
      <c r="KB221" s="83"/>
      <c r="KC221" s="84"/>
      <c r="KD221" s="83"/>
      <c r="KE221" s="85"/>
      <c r="KF221" s="83"/>
      <c r="KG221" s="83"/>
      <c r="KH221" s="83"/>
      <c r="KI221" s="84"/>
      <c r="KJ221" s="83"/>
      <c r="KK221" s="85"/>
      <c r="KL221" s="83"/>
      <c r="KM221" s="83"/>
      <c r="KN221" s="83"/>
      <c r="KO221" s="84"/>
      <c r="KP221" s="83"/>
      <c r="KQ221" s="85"/>
      <c r="KR221" s="83"/>
      <c r="KS221" s="83"/>
      <c r="KT221" s="83"/>
      <c r="KU221" s="84"/>
      <c r="KV221" s="83"/>
      <c r="KW221" s="85"/>
      <c r="KX221" s="83"/>
      <c r="KY221" s="83"/>
      <c r="KZ221" s="83"/>
      <c r="LA221" s="86"/>
      <c r="LB221" s="83"/>
      <c r="LC221" s="87"/>
      <c r="LD221" s="83"/>
      <c r="LE221" s="83"/>
      <c r="LF221" s="83"/>
      <c r="LG221" s="84"/>
      <c r="LH221" s="83"/>
      <c r="LI221" s="85"/>
      <c r="LJ221" s="84"/>
      <c r="LK221" s="83"/>
      <c r="LL221" s="85"/>
      <c r="LM221" s="84"/>
      <c r="LN221" s="83"/>
      <c r="LO221" s="85"/>
      <c r="LP221" s="84"/>
      <c r="LQ221" s="83"/>
      <c r="LR221" s="85"/>
      <c r="LS221" s="84"/>
      <c r="LT221" s="83"/>
      <c r="LU221" s="85"/>
      <c r="LV221" s="83"/>
      <c r="LW221" s="83"/>
      <c r="LX221" s="83"/>
      <c r="LY221" s="84"/>
      <c r="LZ221" s="83"/>
      <c r="MA221" s="85"/>
      <c r="MB221" s="61"/>
      <c r="MC221" s="62"/>
      <c r="MD221" s="63"/>
      <c r="ME221" s="61"/>
      <c r="MF221" s="62"/>
      <c r="MG221" s="63"/>
      <c r="MH221" s="61"/>
      <c r="MI221" s="62"/>
      <c r="MJ221" s="63"/>
      <c r="MK221" s="66"/>
      <c r="ML221" s="67"/>
      <c r="MM221" s="68"/>
      <c r="MN221" s="61"/>
      <c r="MO221" s="62"/>
      <c r="MP221" s="63"/>
      <c r="MQ221" s="61"/>
      <c r="MR221" s="62"/>
      <c r="MS221" s="63"/>
      <c r="MT221" s="84"/>
      <c r="MU221" s="83"/>
      <c r="MV221" s="85"/>
      <c r="MW221" s="84"/>
      <c r="MX221" s="83"/>
      <c r="MY221" s="85"/>
      <c r="MZ221" s="84"/>
      <c r="NA221" s="83"/>
      <c r="NB221" s="85"/>
      <c r="NC221" s="83"/>
      <c r="ND221" s="83"/>
      <c r="NE221" s="88"/>
      <c r="NG221" s="275"/>
      <c r="NH221" s="1"/>
      <c r="NI221" s="1"/>
      <c r="NJ221" s="1"/>
      <c r="NK221" s="1"/>
    </row>
    <row r="222" spans="5:375" s="18" customFormat="1" ht="9.9499999999999993" customHeight="1">
      <c r="F222" s="194">
        <f t="shared" ref="F222" si="491">NG222</f>
        <v>1.4170000000000006E-2</v>
      </c>
      <c r="G222" s="195">
        <f>Q222-F222</f>
        <v>4.099999999999996E-3</v>
      </c>
      <c r="H222" s="27">
        <v>1</v>
      </c>
      <c r="L222" s="286" t="s">
        <v>97</v>
      </c>
      <c r="M222" s="287"/>
      <c r="N222" s="287"/>
      <c r="O222" s="288"/>
      <c r="P222" s="240">
        <f>SUM(P224:P239)</f>
        <v>3806661</v>
      </c>
      <c r="Q222" s="238">
        <f>ROUND(SUM(Q224:Q239),5)</f>
        <v>1.8270000000000002E-2</v>
      </c>
      <c r="R222" s="238">
        <f>ROUND(SUM(R224:R239),5)</f>
        <v>0</v>
      </c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8"/>
      <c r="AW222" s="176"/>
      <c r="AX222" s="137"/>
      <c r="AY222" s="137"/>
      <c r="AZ222" s="137"/>
      <c r="BA222" s="137"/>
      <c r="BB222" s="137"/>
      <c r="BC222" s="137"/>
      <c r="BD222" s="137"/>
      <c r="BE222" s="137"/>
      <c r="BF222" s="137"/>
      <c r="BG222" s="137"/>
      <c r="BH222" s="137"/>
      <c r="BI222" s="137"/>
      <c r="BJ222" s="137"/>
      <c r="BK222" s="137"/>
      <c r="BL222" s="137"/>
      <c r="BM222" s="137"/>
      <c r="BN222" s="137"/>
      <c r="BO222" s="137"/>
      <c r="BP222" s="137"/>
      <c r="BQ222" s="137"/>
      <c r="BR222" s="137"/>
      <c r="BS222" s="137"/>
      <c r="BT222" s="137"/>
      <c r="BU222" s="137"/>
      <c r="BV222" s="137"/>
      <c r="BW222" s="137"/>
      <c r="BX222" s="137"/>
      <c r="BY222" s="137"/>
      <c r="BZ222" s="138"/>
      <c r="CA222" s="176"/>
      <c r="CB222" s="137"/>
      <c r="CC222" s="137"/>
      <c r="CD222" s="137"/>
      <c r="CE222" s="137"/>
      <c r="CF222" s="137"/>
      <c r="CG222" s="137"/>
      <c r="CH222" s="137"/>
      <c r="CI222" s="137"/>
      <c r="CJ222" s="137"/>
      <c r="CK222" s="137"/>
      <c r="CL222" s="137"/>
      <c r="CM222" s="137"/>
      <c r="CN222" s="137"/>
      <c r="CO222" s="137"/>
      <c r="CP222" s="137"/>
      <c r="CQ222" s="137"/>
      <c r="CR222" s="137"/>
      <c r="CS222" s="137"/>
      <c r="CT222" s="137"/>
      <c r="CU222" s="137"/>
      <c r="CV222" s="137"/>
      <c r="CW222" s="137"/>
      <c r="CX222" s="137"/>
      <c r="CY222" s="137"/>
      <c r="CZ222" s="137"/>
      <c r="DA222" s="137"/>
      <c r="DB222" s="137"/>
      <c r="DC222" s="137"/>
      <c r="DD222" s="137"/>
      <c r="DE222" s="176"/>
      <c r="DF222" s="137"/>
      <c r="DG222" s="137"/>
      <c r="DH222" s="137"/>
      <c r="DI222" s="137"/>
      <c r="DJ222" s="137"/>
      <c r="DK222" s="137"/>
      <c r="DL222" s="137"/>
      <c r="DM222" s="137"/>
      <c r="DN222" s="137"/>
      <c r="DO222" s="137"/>
      <c r="DP222" s="137"/>
      <c r="DQ222" s="137"/>
      <c r="DR222" s="137"/>
      <c r="DS222" s="137"/>
      <c r="DT222" s="137"/>
      <c r="DU222" s="137"/>
      <c r="DV222" s="137"/>
      <c r="DW222" s="137"/>
      <c r="DX222" s="137"/>
      <c r="DY222" s="137"/>
      <c r="DZ222" s="137"/>
      <c r="EA222" s="137"/>
      <c r="EB222" s="137"/>
      <c r="EC222" s="137"/>
      <c r="ED222" s="137"/>
      <c r="EE222" s="137"/>
      <c r="EF222" s="137"/>
      <c r="EG222" s="137"/>
      <c r="EH222" s="137"/>
      <c r="EI222" s="176"/>
      <c r="EJ222" s="137"/>
      <c r="EK222" s="137"/>
      <c r="EL222" s="137"/>
      <c r="EM222" s="137"/>
      <c r="EN222" s="137"/>
      <c r="EO222" s="137"/>
      <c r="EP222" s="137"/>
      <c r="EQ222" s="137"/>
      <c r="ER222" s="137"/>
      <c r="ES222" s="137"/>
      <c r="ET222" s="137"/>
      <c r="EU222" s="137"/>
      <c r="EV222" s="137"/>
      <c r="EW222" s="137"/>
      <c r="EX222" s="137"/>
      <c r="EY222" s="137"/>
      <c r="EZ222" s="137"/>
      <c r="FA222" s="137"/>
      <c r="FB222" s="137"/>
      <c r="FC222" s="137"/>
      <c r="FD222" s="137"/>
      <c r="FE222" s="137"/>
      <c r="FF222" s="137"/>
      <c r="FG222" s="137"/>
      <c r="FH222" s="137"/>
      <c r="FI222" s="137"/>
      <c r="FJ222" s="137"/>
      <c r="FK222" s="137"/>
      <c r="FL222" s="137"/>
      <c r="FM222" s="176"/>
      <c r="FN222" s="137"/>
      <c r="FO222" s="137"/>
      <c r="FP222" s="137"/>
      <c r="FQ222" s="137"/>
      <c r="FR222" s="137"/>
      <c r="FS222" s="137"/>
      <c r="FT222" s="137"/>
      <c r="FU222" s="137"/>
      <c r="FV222" s="137"/>
      <c r="FW222" s="137"/>
      <c r="FX222" s="137"/>
      <c r="FY222" s="137"/>
      <c r="FZ222" s="137"/>
      <c r="GA222" s="137"/>
      <c r="GB222" s="137"/>
      <c r="GC222" s="137"/>
      <c r="GD222" s="137"/>
      <c r="GE222" s="137"/>
      <c r="GF222" s="137"/>
      <c r="GG222" s="137"/>
      <c r="GH222" s="137"/>
      <c r="GI222" s="137"/>
      <c r="GJ222" s="137"/>
      <c r="GK222" s="137"/>
      <c r="GL222" s="137"/>
      <c r="GM222" s="137"/>
      <c r="GN222" s="137"/>
      <c r="GO222" s="137"/>
      <c r="GP222" s="137"/>
      <c r="GQ222" s="176"/>
      <c r="GR222" s="137"/>
      <c r="GS222" s="137"/>
      <c r="GT222" s="137"/>
      <c r="GU222" s="137"/>
      <c r="GV222" s="137"/>
      <c r="GW222" s="137"/>
      <c r="GX222" s="137"/>
      <c r="GY222" s="137"/>
      <c r="GZ222" s="137"/>
      <c r="HA222" s="137"/>
      <c r="HB222" s="137"/>
      <c r="HC222" s="137"/>
      <c r="HD222" s="137"/>
      <c r="HE222" s="137"/>
      <c r="HF222" s="137"/>
      <c r="HG222" s="137"/>
      <c r="HH222" s="137"/>
      <c r="HI222" s="137"/>
      <c r="HJ222" s="137"/>
      <c r="HK222" s="137"/>
      <c r="HL222" s="137"/>
      <c r="HM222" s="137"/>
      <c r="HN222" s="137"/>
      <c r="HO222" s="137"/>
      <c r="HP222" s="137"/>
      <c r="HQ222" s="137"/>
      <c r="HR222" s="137"/>
      <c r="HS222" s="137"/>
      <c r="HT222" s="137"/>
      <c r="HU222" s="176"/>
      <c r="HV222" s="137"/>
      <c r="HW222" s="137"/>
      <c r="HX222" s="137"/>
      <c r="HY222" s="137"/>
      <c r="HZ222" s="137"/>
      <c r="IA222" s="137"/>
      <c r="IB222" s="137"/>
      <c r="IC222" s="137"/>
      <c r="ID222" s="137"/>
      <c r="IE222" s="137"/>
      <c r="IF222" s="137"/>
      <c r="IG222" s="137"/>
      <c r="IH222" s="137"/>
      <c r="II222" s="137"/>
      <c r="IJ222" s="137"/>
      <c r="IK222" s="137"/>
      <c r="IL222" s="137"/>
      <c r="IM222" s="137"/>
      <c r="IN222" s="137"/>
      <c r="IO222" s="137"/>
      <c r="IP222" s="137"/>
      <c r="IQ222" s="137"/>
      <c r="IR222" s="137"/>
      <c r="IS222" s="137"/>
      <c r="IT222" s="137"/>
      <c r="IU222" s="137"/>
      <c r="IV222" s="137"/>
      <c r="IW222" s="137"/>
      <c r="IX222" s="137"/>
      <c r="IY222" s="176"/>
      <c r="IZ222" s="137"/>
      <c r="JA222" s="137"/>
      <c r="JB222" s="137"/>
      <c r="JC222" s="137"/>
      <c r="JD222" s="137"/>
      <c r="JE222" s="137"/>
      <c r="JF222" s="137"/>
      <c r="JG222" s="137"/>
      <c r="JH222" s="137"/>
      <c r="JI222" s="137"/>
      <c r="JJ222" s="137"/>
      <c r="JK222" s="137"/>
      <c r="JL222" s="137"/>
      <c r="JM222" s="137"/>
      <c r="JN222" s="137"/>
      <c r="JO222" s="137"/>
      <c r="JP222" s="137"/>
      <c r="JQ222" s="137"/>
      <c r="JR222" s="137"/>
      <c r="JS222" s="137"/>
      <c r="JT222" s="137"/>
      <c r="JU222" s="137"/>
      <c r="JV222" s="137"/>
      <c r="JW222" s="137"/>
      <c r="JX222" s="137"/>
      <c r="JY222" s="137"/>
      <c r="JZ222" s="137"/>
      <c r="KA222" s="137"/>
      <c r="KB222" s="137"/>
      <c r="KC222" s="205">
        <f>ROUND(SUM(KC224:KE239),5)</f>
        <v>4.0000000000000002E-4</v>
      </c>
      <c r="KD222" s="206"/>
      <c r="KE222" s="207"/>
      <c r="KF222" s="205">
        <f>ROUNDDOWN(SUM(KF224:KH239),5)</f>
        <v>3.4000000000000002E-4</v>
      </c>
      <c r="KG222" s="206"/>
      <c r="KH222" s="207"/>
      <c r="KI222" s="205">
        <f>ROUND(SUM(KI224:KK239),5)</f>
        <v>3.4000000000000002E-4</v>
      </c>
      <c r="KJ222" s="206"/>
      <c r="KK222" s="207"/>
      <c r="KL222" s="205">
        <f>ROUNDDOWN(SUM(KL224:KN239),5)</f>
        <v>3.6999999999999999E-4</v>
      </c>
      <c r="KM222" s="206"/>
      <c r="KN222" s="207"/>
      <c r="KO222" s="205">
        <f>ROUND(SUM(KO224:KQ239),5)</f>
        <v>3.4000000000000002E-4</v>
      </c>
      <c r="KP222" s="206"/>
      <c r="KQ222" s="207"/>
      <c r="KR222" s="205">
        <f>ROUNDDOWN(SUM(KR224:KT239),5)</f>
        <v>3.4000000000000002E-4</v>
      </c>
      <c r="KS222" s="206"/>
      <c r="KT222" s="207"/>
      <c r="KU222" s="205">
        <f>ROUND(SUM(KU224:KW239),5)</f>
        <v>3.4000000000000002E-4</v>
      </c>
      <c r="KV222" s="206"/>
      <c r="KW222" s="207"/>
      <c r="KX222" s="205">
        <f>ROUNDDOWN(SUM(KX224:KZ239),5)</f>
        <v>3.4000000000000002E-4</v>
      </c>
      <c r="KY222" s="206"/>
      <c r="KZ222" s="206"/>
      <c r="LA222" s="229">
        <f>ROUND(SUM(LA224:LC239),5)</f>
        <v>3.4000000000000002E-4</v>
      </c>
      <c r="LB222" s="206"/>
      <c r="LC222" s="230"/>
      <c r="LD222" s="206">
        <f>ROUNDDOWN(SUM(LD224:LF239),5)</f>
        <v>3.4000000000000002E-4</v>
      </c>
      <c r="LE222" s="206"/>
      <c r="LF222" s="207"/>
      <c r="LG222" s="205">
        <f>ROUND(SUM(LG224:LI239),5)</f>
        <v>3.4000000000000002E-4</v>
      </c>
      <c r="LH222" s="206"/>
      <c r="LI222" s="207"/>
      <c r="LJ222" s="205">
        <f>ROUNDDOWN(SUM(LJ224:LL239),5)</f>
        <v>6.7000000000000002E-4</v>
      </c>
      <c r="LK222" s="206"/>
      <c r="LL222" s="207"/>
      <c r="LM222" s="205">
        <f>ROUND(SUM(LM224:LO239),5)</f>
        <v>6.7000000000000002E-4</v>
      </c>
      <c r="LN222" s="206"/>
      <c r="LO222" s="207"/>
      <c r="LP222" s="205">
        <f>ROUNDDOWN(SUM(LP224:LR239),5)</f>
        <v>6.7000000000000002E-4</v>
      </c>
      <c r="LQ222" s="206"/>
      <c r="LR222" s="207"/>
      <c r="LS222" s="205">
        <f>ROUND(SUM(LS224:LU239),5)</f>
        <v>6.8000000000000005E-4</v>
      </c>
      <c r="LT222" s="206"/>
      <c r="LU222" s="207"/>
      <c r="LV222" s="205">
        <f>ROUNDDOWN(SUM(LV224:LX239),5)</f>
        <v>6.7000000000000002E-4</v>
      </c>
      <c r="LW222" s="206"/>
      <c r="LX222" s="207"/>
      <c r="LY222" s="205">
        <f>ROUND(SUM(LY224:MA239),5)</f>
        <v>7.6999999999999996E-4</v>
      </c>
      <c r="LZ222" s="206"/>
      <c r="MA222" s="207"/>
      <c r="MB222" s="205">
        <f>ROUNDDOWN(SUM(MB224:MD239),5)</f>
        <v>7.6999999999999996E-4</v>
      </c>
      <c r="MC222" s="206"/>
      <c r="MD222" s="207"/>
      <c r="ME222" s="205">
        <f>ROUND(SUM(ME224:MG239),5)</f>
        <v>6.7000000000000002E-4</v>
      </c>
      <c r="MF222" s="206"/>
      <c r="MG222" s="207"/>
      <c r="MH222" s="205">
        <f>ROUNDDOWN(SUM(MH224:MJ239),5)</f>
        <v>6.7000000000000002E-4</v>
      </c>
      <c r="MI222" s="206"/>
      <c r="MJ222" s="207"/>
      <c r="MK222" s="205">
        <f>ROUNDDOWN(SUM(MK224:MM239),5)</f>
        <v>6.7000000000000002E-4</v>
      </c>
      <c r="ML222" s="206"/>
      <c r="MM222" s="207"/>
      <c r="MN222" s="205">
        <f>ROUND(SUM(MN224:MP239),5)</f>
        <v>3.3E-4</v>
      </c>
      <c r="MO222" s="206"/>
      <c r="MP222" s="207"/>
      <c r="MQ222" s="205">
        <f>ROUND(SUM(MQ224:MS239),5)</f>
        <v>6.2E-4</v>
      </c>
      <c r="MR222" s="206"/>
      <c r="MS222" s="207"/>
      <c r="MT222" s="205">
        <f>ROUND(SUM(MT224:MV239),5)</f>
        <v>6.2E-4</v>
      </c>
      <c r="MU222" s="206"/>
      <c r="MV222" s="207"/>
      <c r="MW222" s="205">
        <f>ROUND(SUM(MW224:MY239),5)</f>
        <v>6.2E-4</v>
      </c>
      <c r="MX222" s="206"/>
      <c r="MY222" s="207"/>
      <c r="MZ222" s="205">
        <f>ROUND(SUM(MZ224:NB239),5)</f>
        <v>7.1000000000000002E-4</v>
      </c>
      <c r="NA222" s="206"/>
      <c r="NB222" s="207"/>
      <c r="NC222" s="205">
        <f>ROUND(SUM(NC224:NE239),5)</f>
        <v>5.2999999999999998E-4</v>
      </c>
      <c r="ND222" s="206"/>
      <c r="NE222" s="223"/>
      <c r="NG222" s="198">
        <f>SUM(R222:NE222)</f>
        <v>1.4170000000000006E-2</v>
      </c>
      <c r="NH222" s="198">
        <f>SUM(NG224:NG239)</f>
        <v>1.8270000000000012E-2</v>
      </c>
      <c r="NI222" s="114"/>
      <c r="NJ222" s="114"/>
      <c r="NK222" s="114"/>
    </row>
    <row r="223" spans="5:375" s="18" customFormat="1" ht="9.9499999999999993" customHeight="1">
      <c r="F223" s="194"/>
      <c r="G223" s="195"/>
      <c r="H223" s="52">
        <v>2</v>
      </c>
      <c r="L223" s="289"/>
      <c r="M223" s="290"/>
      <c r="N223" s="290"/>
      <c r="O223" s="291"/>
      <c r="P223" s="241"/>
      <c r="Q223" s="239"/>
      <c r="R223" s="239"/>
      <c r="S223" s="139"/>
      <c r="T223" s="139"/>
      <c r="U223" s="139"/>
      <c r="V223" s="139"/>
      <c r="W223" s="139"/>
      <c r="X223" s="139"/>
      <c r="Y223" s="139"/>
      <c r="Z223" s="139"/>
      <c r="AA223" s="139"/>
      <c r="AB223" s="139"/>
      <c r="AC223" s="139"/>
      <c r="AD223" s="139"/>
      <c r="AE223" s="139"/>
      <c r="AF223" s="139"/>
      <c r="AG223" s="139"/>
      <c r="AH223" s="139"/>
      <c r="AI223" s="139"/>
      <c r="AJ223" s="139"/>
      <c r="AK223" s="139"/>
      <c r="AL223" s="139"/>
      <c r="AM223" s="139"/>
      <c r="AN223" s="139"/>
      <c r="AO223" s="139"/>
      <c r="AP223" s="139"/>
      <c r="AQ223" s="139"/>
      <c r="AR223" s="139"/>
      <c r="AS223" s="139"/>
      <c r="AT223" s="139"/>
      <c r="AU223" s="139"/>
      <c r="AV223" s="140"/>
      <c r="AW223" s="177"/>
      <c r="AX223" s="139"/>
      <c r="AY223" s="139"/>
      <c r="AZ223" s="139"/>
      <c r="BA223" s="139"/>
      <c r="BB223" s="139"/>
      <c r="BC223" s="139"/>
      <c r="BD223" s="139"/>
      <c r="BE223" s="139"/>
      <c r="BF223" s="139"/>
      <c r="BG223" s="139"/>
      <c r="BH223" s="139"/>
      <c r="BI223" s="139"/>
      <c r="BJ223" s="139"/>
      <c r="BK223" s="139"/>
      <c r="BL223" s="139"/>
      <c r="BM223" s="139"/>
      <c r="BN223" s="139"/>
      <c r="BO223" s="139"/>
      <c r="BP223" s="139"/>
      <c r="BQ223" s="139"/>
      <c r="BR223" s="139"/>
      <c r="BS223" s="139"/>
      <c r="BT223" s="139"/>
      <c r="BU223" s="139"/>
      <c r="BV223" s="139"/>
      <c r="BW223" s="139"/>
      <c r="BX223" s="139"/>
      <c r="BY223" s="139"/>
      <c r="BZ223" s="140"/>
      <c r="CA223" s="180"/>
      <c r="CB223" s="165"/>
      <c r="CC223" s="165"/>
      <c r="CD223" s="165"/>
      <c r="CE223" s="165"/>
      <c r="CF223" s="165"/>
      <c r="CG223" s="165"/>
      <c r="CH223" s="165"/>
      <c r="CI223" s="165"/>
      <c r="CJ223" s="165"/>
      <c r="CK223" s="165"/>
      <c r="CL223" s="165"/>
      <c r="CM223" s="165"/>
      <c r="CN223" s="165"/>
      <c r="CO223" s="165"/>
      <c r="CP223" s="165"/>
      <c r="CQ223" s="165"/>
      <c r="CR223" s="165"/>
      <c r="CS223" s="165"/>
      <c r="CT223" s="165"/>
      <c r="CU223" s="165"/>
      <c r="CV223" s="165"/>
      <c r="CW223" s="165"/>
      <c r="CX223" s="165"/>
      <c r="CY223" s="165"/>
      <c r="CZ223" s="165"/>
      <c r="DA223" s="165"/>
      <c r="DB223" s="165"/>
      <c r="DC223" s="165"/>
      <c r="DD223" s="165"/>
      <c r="DE223" s="177"/>
      <c r="DF223" s="139"/>
      <c r="DG223" s="139"/>
      <c r="DH223" s="139"/>
      <c r="DI223" s="139"/>
      <c r="DJ223" s="139"/>
      <c r="DK223" s="139"/>
      <c r="DL223" s="139"/>
      <c r="DM223" s="139"/>
      <c r="DN223" s="139"/>
      <c r="DO223" s="139"/>
      <c r="DP223" s="139"/>
      <c r="DQ223" s="139"/>
      <c r="DR223" s="139"/>
      <c r="DS223" s="139"/>
      <c r="DT223" s="139"/>
      <c r="DU223" s="139"/>
      <c r="DV223" s="139"/>
      <c r="DW223" s="139"/>
      <c r="DX223" s="139"/>
      <c r="DY223" s="139"/>
      <c r="DZ223" s="139"/>
      <c r="EA223" s="139"/>
      <c r="EB223" s="139"/>
      <c r="EC223" s="139"/>
      <c r="ED223" s="139"/>
      <c r="EE223" s="139"/>
      <c r="EF223" s="139"/>
      <c r="EG223" s="139"/>
      <c r="EH223" s="139"/>
      <c r="EI223" s="180"/>
      <c r="EJ223" s="165"/>
      <c r="EK223" s="165"/>
      <c r="EL223" s="165"/>
      <c r="EM223" s="165"/>
      <c r="EN223" s="165"/>
      <c r="EO223" s="165"/>
      <c r="EP223" s="165"/>
      <c r="EQ223" s="165"/>
      <c r="ER223" s="165"/>
      <c r="ES223" s="165"/>
      <c r="ET223" s="165"/>
      <c r="EU223" s="165"/>
      <c r="EV223" s="165"/>
      <c r="EW223" s="165"/>
      <c r="EX223" s="165"/>
      <c r="EY223" s="165"/>
      <c r="EZ223" s="165"/>
      <c r="FA223" s="165"/>
      <c r="FB223" s="165"/>
      <c r="FC223" s="165"/>
      <c r="FD223" s="165"/>
      <c r="FE223" s="165"/>
      <c r="FF223" s="165"/>
      <c r="FG223" s="165"/>
      <c r="FH223" s="165"/>
      <c r="FI223" s="165"/>
      <c r="FJ223" s="165"/>
      <c r="FK223" s="165"/>
      <c r="FL223" s="165"/>
      <c r="FM223" s="177"/>
      <c r="FN223" s="139"/>
      <c r="FO223" s="139"/>
      <c r="FP223" s="139"/>
      <c r="FQ223" s="139"/>
      <c r="FR223" s="139"/>
      <c r="FS223" s="139"/>
      <c r="FT223" s="139"/>
      <c r="FU223" s="139"/>
      <c r="FV223" s="139"/>
      <c r="FW223" s="139"/>
      <c r="FX223" s="139"/>
      <c r="FY223" s="139"/>
      <c r="FZ223" s="139"/>
      <c r="GA223" s="139"/>
      <c r="GB223" s="139"/>
      <c r="GC223" s="139"/>
      <c r="GD223" s="139"/>
      <c r="GE223" s="139"/>
      <c r="GF223" s="139"/>
      <c r="GG223" s="139"/>
      <c r="GH223" s="139"/>
      <c r="GI223" s="139"/>
      <c r="GJ223" s="139"/>
      <c r="GK223" s="139"/>
      <c r="GL223" s="139"/>
      <c r="GM223" s="139"/>
      <c r="GN223" s="139"/>
      <c r="GO223" s="139"/>
      <c r="GP223" s="139"/>
      <c r="GQ223" s="177"/>
      <c r="GR223" s="139"/>
      <c r="GS223" s="139"/>
      <c r="GT223" s="139"/>
      <c r="GU223" s="139"/>
      <c r="GV223" s="139"/>
      <c r="GW223" s="139"/>
      <c r="GX223" s="139"/>
      <c r="GY223" s="139"/>
      <c r="GZ223" s="139"/>
      <c r="HA223" s="139"/>
      <c r="HB223" s="139"/>
      <c r="HC223" s="139"/>
      <c r="HD223" s="139"/>
      <c r="HE223" s="139"/>
      <c r="HF223" s="139"/>
      <c r="HG223" s="139"/>
      <c r="HH223" s="139"/>
      <c r="HI223" s="139"/>
      <c r="HJ223" s="139"/>
      <c r="HK223" s="139"/>
      <c r="HL223" s="139"/>
      <c r="HM223" s="139"/>
      <c r="HN223" s="139"/>
      <c r="HO223" s="139"/>
      <c r="HP223" s="139"/>
      <c r="HQ223" s="139"/>
      <c r="HR223" s="139"/>
      <c r="HS223" s="139"/>
      <c r="HT223" s="139"/>
      <c r="HU223" s="180"/>
      <c r="HV223" s="165"/>
      <c r="HW223" s="165"/>
      <c r="HX223" s="165"/>
      <c r="HY223" s="165"/>
      <c r="HZ223" s="165"/>
      <c r="IA223" s="165"/>
      <c r="IB223" s="165"/>
      <c r="IC223" s="165"/>
      <c r="ID223" s="165"/>
      <c r="IE223" s="165"/>
      <c r="IF223" s="165"/>
      <c r="IG223" s="165"/>
      <c r="IH223" s="165"/>
      <c r="II223" s="165"/>
      <c r="IJ223" s="165"/>
      <c r="IK223" s="165"/>
      <c r="IL223" s="165"/>
      <c r="IM223" s="165"/>
      <c r="IN223" s="165"/>
      <c r="IO223" s="165"/>
      <c r="IP223" s="165"/>
      <c r="IQ223" s="165"/>
      <c r="IR223" s="165"/>
      <c r="IS223" s="165"/>
      <c r="IT223" s="165"/>
      <c r="IU223" s="165"/>
      <c r="IV223" s="165"/>
      <c r="IW223" s="165"/>
      <c r="IX223" s="165"/>
      <c r="IY223" s="177"/>
      <c r="IZ223" s="139"/>
      <c r="JA223" s="139"/>
      <c r="JB223" s="139"/>
      <c r="JC223" s="139"/>
      <c r="JD223" s="139"/>
      <c r="JE223" s="139"/>
      <c r="JF223" s="139"/>
      <c r="JG223" s="139"/>
      <c r="JH223" s="139"/>
      <c r="JI223" s="139"/>
      <c r="JJ223" s="139"/>
      <c r="JK223" s="139"/>
      <c r="JL223" s="139"/>
      <c r="JM223" s="139"/>
      <c r="JN223" s="139"/>
      <c r="JO223" s="139"/>
      <c r="JP223" s="139"/>
      <c r="JQ223" s="139"/>
      <c r="JR223" s="139"/>
      <c r="JS223" s="139"/>
      <c r="JT223" s="139"/>
      <c r="JU223" s="139"/>
      <c r="JV223" s="139"/>
      <c r="JW223" s="139"/>
      <c r="JX223" s="139"/>
      <c r="JY223" s="139"/>
      <c r="JZ223" s="139"/>
      <c r="KA223" s="139"/>
      <c r="KB223" s="139"/>
      <c r="KC223" s="281"/>
      <c r="KD223" s="282"/>
      <c r="KE223" s="283"/>
      <c r="KF223" s="208"/>
      <c r="KG223" s="209"/>
      <c r="KH223" s="210"/>
      <c r="KI223" s="281"/>
      <c r="KJ223" s="282"/>
      <c r="KK223" s="283"/>
      <c r="KL223" s="208"/>
      <c r="KM223" s="209"/>
      <c r="KN223" s="210"/>
      <c r="KO223" s="281"/>
      <c r="KP223" s="282"/>
      <c r="KQ223" s="283"/>
      <c r="KR223" s="208"/>
      <c r="KS223" s="209"/>
      <c r="KT223" s="210"/>
      <c r="KU223" s="281"/>
      <c r="KV223" s="282"/>
      <c r="KW223" s="283"/>
      <c r="KX223" s="208"/>
      <c r="KY223" s="209"/>
      <c r="KZ223" s="209"/>
      <c r="LA223" s="435"/>
      <c r="LB223" s="282"/>
      <c r="LC223" s="436"/>
      <c r="LD223" s="209"/>
      <c r="LE223" s="209"/>
      <c r="LF223" s="210"/>
      <c r="LG223" s="281"/>
      <c r="LH223" s="282"/>
      <c r="LI223" s="283"/>
      <c r="LJ223" s="208"/>
      <c r="LK223" s="209"/>
      <c r="LL223" s="210"/>
      <c r="LM223" s="281"/>
      <c r="LN223" s="282"/>
      <c r="LO223" s="283"/>
      <c r="LP223" s="208"/>
      <c r="LQ223" s="209"/>
      <c r="LR223" s="210"/>
      <c r="LS223" s="281"/>
      <c r="LT223" s="282"/>
      <c r="LU223" s="283"/>
      <c r="LV223" s="208"/>
      <c r="LW223" s="209"/>
      <c r="LX223" s="210"/>
      <c r="LY223" s="281"/>
      <c r="LZ223" s="282"/>
      <c r="MA223" s="283"/>
      <c r="MB223" s="208"/>
      <c r="MC223" s="209"/>
      <c r="MD223" s="210"/>
      <c r="ME223" s="281"/>
      <c r="MF223" s="282"/>
      <c r="MG223" s="283"/>
      <c r="MH223" s="208"/>
      <c r="MI223" s="209"/>
      <c r="MJ223" s="210"/>
      <c r="MK223" s="208"/>
      <c r="ML223" s="209"/>
      <c r="MM223" s="210"/>
      <c r="MN223" s="281"/>
      <c r="MO223" s="282"/>
      <c r="MP223" s="283"/>
      <c r="MQ223" s="281"/>
      <c r="MR223" s="282"/>
      <c r="MS223" s="283"/>
      <c r="MT223" s="281"/>
      <c r="MU223" s="282"/>
      <c r="MV223" s="283"/>
      <c r="MW223" s="281"/>
      <c r="MX223" s="282"/>
      <c r="MY223" s="283"/>
      <c r="MZ223" s="281"/>
      <c r="NA223" s="282"/>
      <c r="NB223" s="283"/>
      <c r="NC223" s="208"/>
      <c r="ND223" s="209"/>
      <c r="NE223" s="224"/>
      <c r="NG223" s="198"/>
      <c r="NH223" s="198"/>
      <c r="NI223" s="114"/>
      <c r="NJ223" s="114"/>
      <c r="NK223" s="114"/>
    </row>
    <row r="224" spans="5:375" s="6" customFormat="1" ht="9.9499999999999993" customHeight="1">
      <c r="F224" s="196">
        <f t="shared" ref="F224" si="492">NG224</f>
        <v>3.5699999999999998E-3</v>
      </c>
      <c r="G224" s="197">
        <f>Q224-F224</f>
        <v>0</v>
      </c>
      <c r="H224" s="27">
        <v>1</v>
      </c>
      <c r="I224" s="19" t="s">
        <v>253</v>
      </c>
      <c r="J224" s="19" t="s">
        <v>184</v>
      </c>
      <c r="K224" s="19" t="s">
        <v>254</v>
      </c>
      <c r="L224" s="339"/>
      <c r="M224" s="293" t="s">
        <v>276</v>
      </c>
      <c r="N224" s="313">
        <v>10264</v>
      </c>
      <c r="O224" s="305" t="s">
        <v>15</v>
      </c>
      <c r="P224" s="307">
        <v>743877</v>
      </c>
      <c r="Q224" s="236">
        <f>ROUND(P224/$P$256,5)</f>
        <v>3.5699999999999998E-3</v>
      </c>
      <c r="R224" s="76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55"/>
      <c r="AW224" s="155"/>
      <c r="AX224" s="156"/>
      <c r="AY224" s="156"/>
      <c r="AZ224" s="156"/>
      <c r="BA224" s="156"/>
      <c r="BB224" s="156"/>
      <c r="BC224" s="156"/>
      <c r="BD224" s="156"/>
      <c r="BE224" s="156"/>
      <c r="BF224" s="156"/>
      <c r="BG224" s="156"/>
      <c r="BH224" s="156"/>
      <c r="BI224" s="156"/>
      <c r="BJ224" s="156"/>
      <c r="BK224" s="156"/>
      <c r="BL224" s="156"/>
      <c r="BM224" s="156"/>
      <c r="BN224" s="156"/>
      <c r="BO224" s="156"/>
      <c r="BP224" s="156"/>
      <c r="BQ224" s="156"/>
      <c r="BR224" s="156"/>
      <c r="BS224" s="156"/>
      <c r="BT224" s="156"/>
      <c r="BU224" s="156"/>
      <c r="BV224" s="156"/>
      <c r="BW224" s="156"/>
      <c r="BX224" s="156"/>
      <c r="BY224" s="156"/>
      <c r="BZ224" s="156"/>
      <c r="CA224" s="156"/>
      <c r="CB224" s="156"/>
      <c r="CC224" s="156"/>
      <c r="CD224" s="156"/>
      <c r="CE224" s="156"/>
      <c r="CF224" s="156"/>
      <c r="CG224" s="156"/>
      <c r="CH224" s="156"/>
      <c r="CI224" s="156"/>
      <c r="CJ224" s="156"/>
      <c r="CK224" s="156"/>
      <c r="CL224" s="156"/>
      <c r="CM224" s="156"/>
      <c r="CN224" s="156"/>
      <c r="CO224" s="156"/>
      <c r="CP224" s="156"/>
      <c r="CQ224" s="156"/>
      <c r="CR224" s="156"/>
      <c r="CS224" s="156"/>
      <c r="CT224" s="156"/>
      <c r="CU224" s="156"/>
      <c r="CV224" s="156"/>
      <c r="CW224" s="156"/>
      <c r="CX224" s="156"/>
      <c r="CY224" s="156"/>
      <c r="CZ224" s="156"/>
      <c r="DA224" s="156"/>
      <c r="DB224" s="156"/>
      <c r="DC224" s="156"/>
      <c r="DD224" s="156"/>
      <c r="DE224" s="156"/>
      <c r="DF224" s="156"/>
      <c r="DG224" s="156"/>
      <c r="DH224" s="156"/>
      <c r="DI224" s="156"/>
      <c r="DJ224" s="156"/>
      <c r="DK224" s="156"/>
      <c r="DL224" s="156"/>
      <c r="DM224" s="156"/>
      <c r="DN224" s="156"/>
      <c r="DO224" s="156"/>
      <c r="DP224" s="156"/>
      <c r="DQ224" s="156"/>
      <c r="DR224" s="156"/>
      <c r="DS224" s="156"/>
      <c r="DT224" s="156"/>
      <c r="DU224" s="156"/>
      <c r="DV224" s="156"/>
      <c r="DW224" s="156"/>
      <c r="DX224" s="156"/>
      <c r="DY224" s="156"/>
      <c r="DZ224" s="156"/>
      <c r="EA224" s="156"/>
      <c r="EB224" s="156"/>
      <c r="EC224" s="156"/>
      <c r="ED224" s="156"/>
      <c r="EE224" s="156"/>
      <c r="EF224" s="156"/>
      <c r="EG224" s="156"/>
      <c r="EH224" s="156"/>
      <c r="EI224" s="156"/>
      <c r="EJ224" s="156"/>
      <c r="EK224" s="156"/>
      <c r="EL224" s="156"/>
      <c r="EM224" s="156"/>
      <c r="EN224" s="156"/>
      <c r="EO224" s="156"/>
      <c r="EP224" s="156"/>
      <c r="EQ224" s="156"/>
      <c r="ER224" s="156"/>
      <c r="ES224" s="156"/>
      <c r="ET224" s="156"/>
      <c r="EU224" s="156"/>
      <c r="EV224" s="156"/>
      <c r="EW224" s="156"/>
      <c r="EX224" s="156"/>
      <c r="EY224" s="156"/>
      <c r="EZ224" s="156"/>
      <c r="FA224" s="156"/>
      <c r="FB224" s="156"/>
      <c r="FC224" s="156"/>
      <c r="FD224" s="156"/>
      <c r="FE224" s="156"/>
      <c r="FF224" s="156"/>
      <c r="FG224" s="156"/>
      <c r="FH224" s="156"/>
      <c r="FI224" s="156"/>
      <c r="FJ224" s="156"/>
      <c r="FK224" s="156"/>
      <c r="FL224" s="156"/>
      <c r="FM224" s="53"/>
      <c r="FN224" s="54"/>
      <c r="FO224" s="54"/>
      <c r="FP224" s="54"/>
      <c r="FQ224" s="54"/>
      <c r="FR224" s="54"/>
      <c r="FS224" s="54"/>
      <c r="FT224" s="54"/>
      <c r="FU224" s="54"/>
      <c r="FV224" s="54"/>
      <c r="FW224" s="54"/>
      <c r="FX224" s="54"/>
      <c r="FY224" s="54"/>
      <c r="FZ224" s="54"/>
      <c r="GA224" s="54"/>
      <c r="GB224" s="54"/>
      <c r="GC224" s="54"/>
      <c r="GD224" s="54"/>
      <c r="GE224" s="54"/>
      <c r="GF224" s="54"/>
      <c r="GG224" s="54"/>
      <c r="GH224" s="54"/>
      <c r="GI224" s="54"/>
      <c r="GJ224" s="54"/>
      <c r="GK224" s="54"/>
      <c r="GL224" s="54"/>
      <c r="GM224" s="54"/>
      <c r="GN224" s="54"/>
      <c r="GO224" s="54"/>
      <c r="GP224" s="54"/>
      <c r="GQ224" s="156"/>
      <c r="GR224" s="156"/>
      <c r="GS224" s="156"/>
      <c r="GT224" s="156"/>
      <c r="GU224" s="156"/>
      <c r="GV224" s="156"/>
      <c r="GW224" s="156"/>
      <c r="GX224" s="156"/>
      <c r="GY224" s="156"/>
      <c r="GZ224" s="156"/>
      <c r="HA224" s="156"/>
      <c r="HB224" s="156"/>
      <c r="HC224" s="156"/>
      <c r="HD224" s="156"/>
      <c r="HE224" s="156"/>
      <c r="HF224" s="156"/>
      <c r="HG224" s="156"/>
      <c r="HH224" s="156"/>
      <c r="HI224" s="156"/>
      <c r="HJ224" s="156"/>
      <c r="HK224" s="156"/>
      <c r="HL224" s="156"/>
      <c r="HM224" s="156"/>
      <c r="HN224" s="156"/>
      <c r="HO224" s="156"/>
      <c r="HP224" s="156"/>
      <c r="HQ224" s="156"/>
      <c r="HR224" s="156"/>
      <c r="HS224" s="156"/>
      <c r="HT224" s="156"/>
      <c r="HU224" s="156"/>
      <c r="HV224" s="156"/>
      <c r="HW224" s="156"/>
      <c r="HX224" s="156"/>
      <c r="HY224" s="156"/>
      <c r="HZ224" s="156"/>
      <c r="IA224" s="156"/>
      <c r="IB224" s="156"/>
      <c r="IC224" s="156"/>
      <c r="ID224" s="156"/>
      <c r="IE224" s="156"/>
      <c r="IF224" s="156"/>
      <c r="IG224" s="156"/>
      <c r="IH224" s="156"/>
      <c r="II224" s="156"/>
      <c r="IJ224" s="156"/>
      <c r="IK224" s="156"/>
      <c r="IL224" s="156"/>
      <c r="IM224" s="156"/>
      <c r="IN224" s="156"/>
      <c r="IO224" s="156"/>
      <c r="IP224" s="156"/>
      <c r="IQ224" s="156"/>
      <c r="IR224" s="156"/>
      <c r="IS224" s="156"/>
      <c r="IT224" s="156"/>
      <c r="IU224" s="156"/>
      <c r="IV224" s="156"/>
      <c r="IW224" s="156"/>
      <c r="IX224" s="156"/>
      <c r="IY224" s="53"/>
      <c r="IZ224" s="54"/>
      <c r="JA224" s="54"/>
      <c r="JB224" s="54"/>
      <c r="JC224" s="54"/>
      <c r="JD224" s="54"/>
      <c r="JE224" s="54"/>
      <c r="JF224" s="54"/>
      <c r="JG224" s="54"/>
      <c r="JH224" s="54"/>
      <c r="JI224" s="54"/>
      <c r="JJ224" s="54"/>
      <c r="JK224" s="54"/>
      <c r="JL224" s="54"/>
      <c r="JM224" s="54"/>
      <c r="JN224" s="54"/>
      <c r="JO224" s="54"/>
      <c r="JP224" s="54"/>
      <c r="JQ224" s="54"/>
      <c r="JR224" s="54"/>
      <c r="JS224" s="54"/>
      <c r="JT224" s="54"/>
      <c r="JU224" s="54"/>
      <c r="JV224" s="54"/>
      <c r="JW224" s="54"/>
      <c r="JX224" s="54"/>
      <c r="JY224" s="54"/>
      <c r="JZ224" s="54"/>
      <c r="KA224" s="54"/>
      <c r="KB224" s="54"/>
      <c r="KC224" s="212"/>
      <c r="KD224" s="212"/>
      <c r="KE224" s="212"/>
      <c r="KF224" s="212"/>
      <c r="KG224" s="212"/>
      <c r="KH224" s="212"/>
      <c r="KI224" s="54"/>
      <c r="KJ224" s="54"/>
      <c r="KK224" s="54"/>
      <c r="KL224" s="212"/>
      <c r="KM224" s="212"/>
      <c r="KN224" s="212"/>
      <c r="KO224" s="212"/>
      <c r="KP224" s="212"/>
      <c r="KQ224" s="212"/>
      <c r="KR224" s="53"/>
      <c r="KS224" s="54"/>
      <c r="KT224" s="55"/>
      <c r="KU224" s="212"/>
      <c r="KV224" s="212"/>
      <c r="KW224" s="212"/>
      <c r="KX224" s="212"/>
      <c r="KY224" s="212"/>
      <c r="KZ224" s="218"/>
      <c r="LA224" s="211"/>
      <c r="LB224" s="212"/>
      <c r="LC224" s="213"/>
      <c r="LD224" s="220"/>
      <c r="LE224" s="212"/>
      <c r="LF224" s="212"/>
      <c r="LG224" s="212"/>
      <c r="LH224" s="212"/>
      <c r="LI224" s="212"/>
      <c r="LJ224" s="212">
        <v>3.3E-4</v>
      </c>
      <c r="LK224" s="212"/>
      <c r="LL224" s="212"/>
      <c r="LM224" s="218">
        <v>3.3E-4</v>
      </c>
      <c r="LN224" s="219"/>
      <c r="LO224" s="220"/>
      <c r="LP224" s="218">
        <v>3.3E-4</v>
      </c>
      <c r="LQ224" s="219"/>
      <c r="LR224" s="220"/>
      <c r="LS224" s="218">
        <v>3.4000000000000002E-4</v>
      </c>
      <c r="LT224" s="219"/>
      <c r="LU224" s="220"/>
      <c r="LV224" s="218">
        <v>3.4000000000000002E-4</v>
      </c>
      <c r="LW224" s="219"/>
      <c r="LX224" s="220"/>
      <c r="LY224" s="218">
        <v>4.4000000000000002E-4</v>
      </c>
      <c r="LZ224" s="219"/>
      <c r="MA224" s="220"/>
      <c r="MB224" s="218">
        <v>4.4000000000000002E-4</v>
      </c>
      <c r="MC224" s="219"/>
      <c r="MD224" s="220"/>
      <c r="ME224" s="218">
        <v>3.4000000000000002E-4</v>
      </c>
      <c r="MF224" s="219"/>
      <c r="MG224" s="220"/>
      <c r="MH224" s="218">
        <v>3.4000000000000002E-4</v>
      </c>
      <c r="MI224" s="219"/>
      <c r="MJ224" s="220"/>
      <c r="MK224" s="218">
        <v>3.4000000000000002E-4</v>
      </c>
      <c r="ML224" s="219"/>
      <c r="MM224" s="220"/>
      <c r="MN224" s="53"/>
      <c r="MO224" s="54"/>
      <c r="MP224" s="55"/>
      <c r="MQ224" s="53"/>
      <c r="MR224" s="54"/>
      <c r="MS224" s="55"/>
      <c r="MT224" s="53"/>
      <c r="MU224" s="54"/>
      <c r="MV224" s="55"/>
      <c r="MW224" s="53"/>
      <c r="MX224" s="54"/>
      <c r="MY224" s="55"/>
      <c r="MZ224" s="53"/>
      <c r="NA224" s="54"/>
      <c r="NB224" s="55"/>
      <c r="NC224" s="54"/>
      <c r="ND224" s="54"/>
      <c r="NE224" s="59"/>
      <c r="NG224" s="275">
        <f>SUM(R224:NE224)</f>
        <v>3.5699999999999998E-3</v>
      </c>
      <c r="NH224" s="1"/>
      <c r="NI224" s="1"/>
      <c r="NJ224" s="1"/>
      <c r="NK224" s="1"/>
    </row>
    <row r="225" spans="4:375" s="6" customFormat="1" ht="6.95" customHeight="1">
      <c r="F225" s="196"/>
      <c r="G225" s="197"/>
      <c r="H225" s="52">
        <v>2</v>
      </c>
      <c r="L225" s="340"/>
      <c r="M225" s="294"/>
      <c r="N225" s="314"/>
      <c r="O225" s="306"/>
      <c r="P225" s="308"/>
      <c r="Q225" s="237"/>
      <c r="R225" s="6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1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1"/>
      <c r="CA225" s="39"/>
      <c r="CB225" s="40"/>
      <c r="CC225" s="40"/>
      <c r="CD225" s="40"/>
      <c r="CE225" s="40"/>
      <c r="CF225" s="40"/>
      <c r="CG225" s="40"/>
      <c r="CH225" s="40"/>
      <c r="CI225" s="40"/>
      <c r="CJ225" s="40"/>
      <c r="CK225" s="40"/>
      <c r="CL225" s="40"/>
      <c r="CM225" s="40"/>
      <c r="CN225" s="40"/>
      <c r="CO225" s="40"/>
      <c r="CP225" s="40"/>
      <c r="CQ225" s="40"/>
      <c r="CR225" s="40"/>
      <c r="CS225" s="40"/>
      <c r="CT225" s="40"/>
      <c r="CU225" s="40"/>
      <c r="CV225" s="40"/>
      <c r="CW225" s="40"/>
      <c r="CX225" s="40"/>
      <c r="CY225" s="40"/>
      <c r="CZ225" s="40"/>
      <c r="DA225" s="40"/>
      <c r="DB225" s="40"/>
      <c r="DC225" s="40"/>
      <c r="DD225" s="40"/>
      <c r="DE225" s="39"/>
      <c r="DF225" s="40"/>
      <c r="DG225" s="40"/>
      <c r="DH225" s="40"/>
      <c r="DI225" s="40"/>
      <c r="DJ225" s="40"/>
      <c r="DK225" s="40"/>
      <c r="DL225" s="40"/>
      <c r="DM225" s="40"/>
      <c r="DN225" s="40"/>
      <c r="DO225" s="40"/>
      <c r="DP225" s="40"/>
      <c r="DQ225" s="40"/>
      <c r="DR225" s="40"/>
      <c r="DS225" s="40"/>
      <c r="DT225" s="40"/>
      <c r="DU225" s="40"/>
      <c r="DV225" s="40"/>
      <c r="DW225" s="40"/>
      <c r="DX225" s="40"/>
      <c r="DY225" s="40"/>
      <c r="DZ225" s="40"/>
      <c r="EA225" s="40"/>
      <c r="EB225" s="40"/>
      <c r="EC225" s="40"/>
      <c r="ED225" s="40"/>
      <c r="EE225" s="40"/>
      <c r="EF225" s="40"/>
      <c r="EG225" s="40"/>
      <c r="EH225" s="40"/>
      <c r="EI225" s="39"/>
      <c r="EJ225" s="40"/>
      <c r="EK225" s="40"/>
      <c r="EL225" s="40"/>
      <c r="EM225" s="40"/>
      <c r="EN225" s="40"/>
      <c r="EO225" s="40"/>
      <c r="EP225" s="40"/>
      <c r="EQ225" s="40"/>
      <c r="ER225" s="40"/>
      <c r="ES225" s="40"/>
      <c r="ET225" s="40"/>
      <c r="EU225" s="40"/>
      <c r="EV225" s="40"/>
      <c r="EW225" s="40"/>
      <c r="EX225" s="40"/>
      <c r="EY225" s="40"/>
      <c r="EZ225" s="40"/>
      <c r="FA225" s="40"/>
      <c r="FB225" s="40"/>
      <c r="FC225" s="40"/>
      <c r="FD225" s="40"/>
      <c r="FE225" s="40"/>
      <c r="FF225" s="40"/>
      <c r="FG225" s="40"/>
      <c r="FH225" s="40"/>
      <c r="FI225" s="40"/>
      <c r="FJ225" s="40"/>
      <c r="FK225" s="40"/>
      <c r="FL225" s="40"/>
      <c r="FM225" s="39"/>
      <c r="FN225" s="40"/>
      <c r="FO225" s="40"/>
      <c r="FP225" s="40"/>
      <c r="FQ225" s="40"/>
      <c r="FR225" s="40"/>
      <c r="FS225" s="40"/>
      <c r="FT225" s="40"/>
      <c r="FU225" s="40"/>
      <c r="FV225" s="40"/>
      <c r="FW225" s="40"/>
      <c r="FX225" s="40"/>
      <c r="FY225" s="40"/>
      <c r="FZ225" s="40"/>
      <c r="GA225" s="40"/>
      <c r="GB225" s="40"/>
      <c r="GC225" s="40"/>
      <c r="GD225" s="40"/>
      <c r="GE225" s="40"/>
      <c r="GF225" s="40"/>
      <c r="GG225" s="40"/>
      <c r="GH225" s="40"/>
      <c r="GI225" s="40"/>
      <c r="GJ225" s="40"/>
      <c r="GK225" s="40"/>
      <c r="GL225" s="40"/>
      <c r="GM225" s="40"/>
      <c r="GN225" s="40"/>
      <c r="GO225" s="40"/>
      <c r="GP225" s="40"/>
      <c r="GQ225" s="39"/>
      <c r="GR225" s="40"/>
      <c r="GS225" s="40"/>
      <c r="GT225" s="40"/>
      <c r="GU225" s="40"/>
      <c r="GV225" s="40"/>
      <c r="GW225" s="40"/>
      <c r="GX225" s="40"/>
      <c r="GY225" s="40"/>
      <c r="GZ225" s="40"/>
      <c r="HA225" s="40"/>
      <c r="HB225" s="40"/>
      <c r="HC225" s="40"/>
      <c r="HD225" s="40"/>
      <c r="HE225" s="40"/>
      <c r="HF225" s="40"/>
      <c r="HG225" s="40"/>
      <c r="HH225" s="40"/>
      <c r="HI225" s="40"/>
      <c r="HJ225" s="40"/>
      <c r="HK225" s="40"/>
      <c r="HL225" s="40"/>
      <c r="HM225" s="40"/>
      <c r="HN225" s="40"/>
      <c r="HO225" s="40"/>
      <c r="HP225" s="40"/>
      <c r="HQ225" s="40"/>
      <c r="HR225" s="40"/>
      <c r="HS225" s="40"/>
      <c r="HT225" s="40"/>
      <c r="HU225" s="39"/>
      <c r="HV225" s="40"/>
      <c r="HW225" s="40"/>
      <c r="HX225" s="40"/>
      <c r="HY225" s="40"/>
      <c r="HZ225" s="40"/>
      <c r="IA225" s="40"/>
      <c r="IB225" s="40"/>
      <c r="IC225" s="40"/>
      <c r="ID225" s="40"/>
      <c r="IE225" s="40"/>
      <c r="IF225" s="40"/>
      <c r="IG225" s="40"/>
      <c r="IH225" s="40"/>
      <c r="II225" s="40"/>
      <c r="IJ225" s="40"/>
      <c r="IK225" s="40"/>
      <c r="IL225" s="40"/>
      <c r="IM225" s="40"/>
      <c r="IN225" s="40"/>
      <c r="IO225" s="40"/>
      <c r="IP225" s="40"/>
      <c r="IQ225" s="40"/>
      <c r="IR225" s="40"/>
      <c r="IS225" s="40"/>
      <c r="IT225" s="40"/>
      <c r="IU225" s="40"/>
      <c r="IV225" s="40"/>
      <c r="IW225" s="40"/>
      <c r="IX225" s="40"/>
      <c r="IY225" s="39"/>
      <c r="IZ225" s="40"/>
      <c r="JA225" s="40"/>
      <c r="JB225" s="40"/>
      <c r="JC225" s="40"/>
      <c r="JD225" s="40"/>
      <c r="JE225" s="40"/>
      <c r="JF225" s="40"/>
      <c r="JG225" s="40"/>
      <c r="JH225" s="40"/>
      <c r="JI225" s="40"/>
      <c r="JJ225" s="40"/>
      <c r="JK225" s="40"/>
      <c r="JL225" s="40"/>
      <c r="JM225" s="40"/>
      <c r="JN225" s="40"/>
      <c r="JO225" s="40"/>
      <c r="JP225" s="40"/>
      <c r="JQ225" s="40"/>
      <c r="JR225" s="40"/>
      <c r="JS225" s="40"/>
      <c r="JT225" s="40"/>
      <c r="JU225" s="40"/>
      <c r="JV225" s="40"/>
      <c r="JW225" s="40"/>
      <c r="JX225" s="40"/>
      <c r="JY225" s="40"/>
      <c r="JZ225" s="40"/>
      <c r="KA225" s="40"/>
      <c r="KB225" s="40"/>
      <c r="KC225" s="39"/>
      <c r="KD225" s="40"/>
      <c r="KE225" s="40"/>
      <c r="KF225" s="39"/>
      <c r="KG225" s="40"/>
      <c r="KH225" s="41"/>
      <c r="KI225" s="40"/>
      <c r="KJ225" s="40"/>
      <c r="KK225" s="40"/>
      <c r="KL225" s="39"/>
      <c r="KM225" s="40"/>
      <c r="KN225" s="40"/>
      <c r="KO225" s="39"/>
      <c r="KP225" s="40"/>
      <c r="KQ225" s="40"/>
      <c r="KR225" s="39"/>
      <c r="KS225" s="40"/>
      <c r="KT225" s="41"/>
      <c r="KU225" s="39"/>
      <c r="KV225" s="40"/>
      <c r="KW225" s="40"/>
      <c r="KX225" s="39"/>
      <c r="KY225" s="40"/>
      <c r="KZ225" s="40"/>
      <c r="LA225" s="64"/>
      <c r="LB225" s="40"/>
      <c r="LC225" s="65"/>
      <c r="LD225" s="40"/>
      <c r="LE225" s="40"/>
      <c r="LF225" s="40"/>
      <c r="LG225" s="39"/>
      <c r="LH225" s="40"/>
      <c r="LI225" s="40"/>
      <c r="LJ225" s="61"/>
      <c r="LK225" s="62"/>
      <c r="LL225" s="63"/>
      <c r="LM225" s="61"/>
      <c r="LN225" s="62"/>
      <c r="LO225" s="63"/>
      <c r="LP225" s="61"/>
      <c r="LQ225" s="62"/>
      <c r="LR225" s="63"/>
      <c r="LS225" s="61"/>
      <c r="LT225" s="62"/>
      <c r="LU225" s="63"/>
      <c r="LV225" s="61"/>
      <c r="LW225" s="62"/>
      <c r="LX225" s="63"/>
      <c r="LY225" s="61"/>
      <c r="LZ225" s="62"/>
      <c r="MA225" s="63"/>
      <c r="MB225" s="61"/>
      <c r="MC225" s="62"/>
      <c r="MD225" s="63"/>
      <c r="ME225" s="61"/>
      <c r="MF225" s="62"/>
      <c r="MG225" s="63"/>
      <c r="MH225" s="61"/>
      <c r="MI225" s="62"/>
      <c r="MJ225" s="63"/>
      <c r="MK225" s="61"/>
      <c r="ML225" s="62"/>
      <c r="MM225" s="63"/>
      <c r="MN225" s="39"/>
      <c r="MO225" s="40"/>
      <c r="MP225" s="41"/>
      <c r="MQ225" s="39"/>
      <c r="MR225" s="40"/>
      <c r="MS225" s="41"/>
      <c r="MT225" s="39"/>
      <c r="MU225" s="40"/>
      <c r="MV225" s="41"/>
      <c r="MW225" s="39"/>
      <c r="MX225" s="40"/>
      <c r="MY225" s="41"/>
      <c r="MZ225" s="39"/>
      <c r="NA225" s="40"/>
      <c r="NB225" s="41"/>
      <c r="NC225" s="40"/>
      <c r="ND225" s="40"/>
      <c r="NE225" s="42"/>
      <c r="NG225" s="275"/>
      <c r="NH225" s="1"/>
      <c r="NI225" s="1"/>
      <c r="NJ225" s="1"/>
      <c r="NK225" s="1"/>
    </row>
    <row r="226" spans="4:375" s="6" customFormat="1" ht="9.9499999999999993" customHeight="1">
      <c r="F226" s="196">
        <f t="shared" ref="F226" si="493">NG226</f>
        <v>1.260000000000002E-3</v>
      </c>
      <c r="G226" s="197">
        <f>Q226-F226</f>
        <v>-1.951563910473908E-18</v>
      </c>
      <c r="H226" s="27">
        <v>1</v>
      </c>
      <c r="I226" s="19"/>
      <c r="J226" s="19"/>
      <c r="K226" s="19"/>
      <c r="L226" s="292"/>
      <c r="M226" s="300" t="s">
        <v>99</v>
      </c>
      <c r="N226" s="301">
        <v>1</v>
      </c>
      <c r="O226" s="302" t="s">
        <v>98</v>
      </c>
      <c r="P226" s="315">
        <v>262721</v>
      </c>
      <c r="Q226" s="236">
        <f>ROUND(P226/$P$256,5)</f>
        <v>1.2600000000000001E-3</v>
      </c>
      <c r="R226" s="73"/>
      <c r="S226" s="141">
        <f>0.0035%/30</f>
        <v>1.1666666666666668E-6</v>
      </c>
      <c r="T226" s="141">
        <f t="shared" ref="T226:AV226" si="494">0.0035%/30</f>
        <v>1.1666666666666668E-6</v>
      </c>
      <c r="U226" s="141">
        <f t="shared" si="494"/>
        <v>1.1666666666666668E-6</v>
      </c>
      <c r="V226" s="141">
        <f t="shared" si="494"/>
        <v>1.1666666666666668E-6</v>
      </c>
      <c r="W226" s="141">
        <f t="shared" si="494"/>
        <v>1.1666666666666668E-6</v>
      </c>
      <c r="X226" s="141">
        <f t="shared" si="494"/>
        <v>1.1666666666666668E-6</v>
      </c>
      <c r="Y226" s="141">
        <f t="shared" si="494"/>
        <v>1.1666666666666668E-6</v>
      </c>
      <c r="Z226" s="141">
        <f t="shared" si="494"/>
        <v>1.1666666666666668E-6</v>
      </c>
      <c r="AA226" s="141">
        <f t="shared" si="494"/>
        <v>1.1666666666666668E-6</v>
      </c>
      <c r="AB226" s="141">
        <f t="shared" si="494"/>
        <v>1.1666666666666668E-6</v>
      </c>
      <c r="AC226" s="141">
        <f t="shared" si="494"/>
        <v>1.1666666666666668E-6</v>
      </c>
      <c r="AD226" s="141">
        <f t="shared" si="494"/>
        <v>1.1666666666666668E-6</v>
      </c>
      <c r="AE226" s="141">
        <f t="shared" si="494"/>
        <v>1.1666666666666668E-6</v>
      </c>
      <c r="AF226" s="141">
        <f t="shared" si="494"/>
        <v>1.1666666666666668E-6</v>
      </c>
      <c r="AG226" s="141">
        <f t="shared" si="494"/>
        <v>1.1666666666666668E-6</v>
      </c>
      <c r="AH226" s="141">
        <f t="shared" si="494"/>
        <v>1.1666666666666668E-6</v>
      </c>
      <c r="AI226" s="141">
        <f t="shared" si="494"/>
        <v>1.1666666666666668E-6</v>
      </c>
      <c r="AJ226" s="141">
        <f t="shared" si="494"/>
        <v>1.1666666666666668E-6</v>
      </c>
      <c r="AK226" s="141">
        <f t="shared" si="494"/>
        <v>1.1666666666666668E-6</v>
      </c>
      <c r="AL226" s="141">
        <f t="shared" si="494"/>
        <v>1.1666666666666668E-6</v>
      </c>
      <c r="AM226" s="141">
        <f t="shared" si="494"/>
        <v>1.1666666666666668E-6</v>
      </c>
      <c r="AN226" s="141">
        <f t="shared" si="494"/>
        <v>1.1666666666666668E-6</v>
      </c>
      <c r="AO226" s="141">
        <f t="shared" si="494"/>
        <v>1.1666666666666668E-6</v>
      </c>
      <c r="AP226" s="141">
        <f t="shared" si="494"/>
        <v>1.1666666666666668E-6</v>
      </c>
      <c r="AQ226" s="141">
        <f t="shared" si="494"/>
        <v>1.1666666666666668E-6</v>
      </c>
      <c r="AR226" s="141">
        <f t="shared" si="494"/>
        <v>1.1666666666666668E-6</v>
      </c>
      <c r="AS226" s="141">
        <f t="shared" si="494"/>
        <v>1.1666666666666668E-6</v>
      </c>
      <c r="AT226" s="141">
        <f t="shared" si="494"/>
        <v>1.1666666666666668E-6</v>
      </c>
      <c r="AU226" s="141">
        <f t="shared" si="494"/>
        <v>1.1666666666666668E-6</v>
      </c>
      <c r="AV226" s="141">
        <f t="shared" si="494"/>
        <v>1.1666666666666668E-6</v>
      </c>
      <c r="AW226" s="141">
        <f>0.0035%/30</f>
        <v>1.1666666666666668E-6</v>
      </c>
      <c r="AX226" s="156">
        <f>AW226</f>
        <v>1.1666666666666668E-6</v>
      </c>
      <c r="AY226" s="141">
        <f t="shared" ref="AY226:BZ226" si="495">AX226</f>
        <v>1.1666666666666668E-6</v>
      </c>
      <c r="AZ226" s="141">
        <f t="shared" si="495"/>
        <v>1.1666666666666668E-6</v>
      </c>
      <c r="BA226" s="141">
        <f t="shared" si="495"/>
        <v>1.1666666666666668E-6</v>
      </c>
      <c r="BB226" s="141">
        <f t="shared" si="495"/>
        <v>1.1666666666666668E-6</v>
      </c>
      <c r="BC226" s="141">
        <f t="shared" si="495"/>
        <v>1.1666666666666668E-6</v>
      </c>
      <c r="BD226" s="141">
        <f t="shared" si="495"/>
        <v>1.1666666666666668E-6</v>
      </c>
      <c r="BE226" s="141">
        <f t="shared" si="495"/>
        <v>1.1666666666666668E-6</v>
      </c>
      <c r="BF226" s="141">
        <f t="shared" si="495"/>
        <v>1.1666666666666668E-6</v>
      </c>
      <c r="BG226" s="141">
        <f t="shared" si="495"/>
        <v>1.1666666666666668E-6</v>
      </c>
      <c r="BH226" s="141">
        <f t="shared" si="495"/>
        <v>1.1666666666666668E-6</v>
      </c>
      <c r="BI226" s="141">
        <f t="shared" si="495"/>
        <v>1.1666666666666668E-6</v>
      </c>
      <c r="BJ226" s="141">
        <f t="shared" si="495"/>
        <v>1.1666666666666668E-6</v>
      </c>
      <c r="BK226" s="141">
        <f t="shared" si="495"/>
        <v>1.1666666666666668E-6</v>
      </c>
      <c r="BL226" s="141">
        <f t="shared" si="495"/>
        <v>1.1666666666666668E-6</v>
      </c>
      <c r="BM226" s="141">
        <f t="shared" si="495"/>
        <v>1.1666666666666668E-6</v>
      </c>
      <c r="BN226" s="141">
        <f t="shared" si="495"/>
        <v>1.1666666666666668E-6</v>
      </c>
      <c r="BO226" s="141">
        <f t="shared" si="495"/>
        <v>1.1666666666666668E-6</v>
      </c>
      <c r="BP226" s="141">
        <f t="shared" si="495"/>
        <v>1.1666666666666668E-6</v>
      </c>
      <c r="BQ226" s="141">
        <f t="shared" si="495"/>
        <v>1.1666666666666668E-6</v>
      </c>
      <c r="BR226" s="141">
        <f t="shared" si="495"/>
        <v>1.1666666666666668E-6</v>
      </c>
      <c r="BS226" s="141">
        <f t="shared" si="495"/>
        <v>1.1666666666666668E-6</v>
      </c>
      <c r="BT226" s="141">
        <f t="shared" si="495"/>
        <v>1.1666666666666668E-6</v>
      </c>
      <c r="BU226" s="141">
        <f t="shared" si="495"/>
        <v>1.1666666666666668E-6</v>
      </c>
      <c r="BV226" s="141">
        <f t="shared" si="495"/>
        <v>1.1666666666666668E-6</v>
      </c>
      <c r="BW226" s="141">
        <f t="shared" si="495"/>
        <v>1.1666666666666668E-6</v>
      </c>
      <c r="BX226" s="141">
        <f t="shared" si="495"/>
        <v>1.1666666666666668E-6</v>
      </c>
      <c r="BY226" s="141">
        <f t="shared" si="495"/>
        <v>1.1666666666666668E-6</v>
      </c>
      <c r="BZ226" s="154">
        <f t="shared" si="495"/>
        <v>1.1666666666666668E-6</v>
      </c>
      <c r="CA226" s="141">
        <f>0.0035%/30</f>
        <v>1.1666666666666668E-6</v>
      </c>
      <c r="CB226" s="156">
        <f>CA226</f>
        <v>1.1666666666666668E-6</v>
      </c>
      <c r="CC226" s="156">
        <f t="shared" ref="CC226:DD226" si="496">CB226</f>
        <v>1.1666666666666668E-6</v>
      </c>
      <c r="CD226" s="156">
        <f t="shared" si="496"/>
        <v>1.1666666666666668E-6</v>
      </c>
      <c r="CE226" s="156">
        <f t="shared" si="496"/>
        <v>1.1666666666666668E-6</v>
      </c>
      <c r="CF226" s="156">
        <f t="shared" si="496"/>
        <v>1.1666666666666668E-6</v>
      </c>
      <c r="CG226" s="156">
        <f t="shared" si="496"/>
        <v>1.1666666666666668E-6</v>
      </c>
      <c r="CH226" s="156">
        <f t="shared" si="496"/>
        <v>1.1666666666666668E-6</v>
      </c>
      <c r="CI226" s="156">
        <f t="shared" si="496"/>
        <v>1.1666666666666668E-6</v>
      </c>
      <c r="CJ226" s="156">
        <f t="shared" si="496"/>
        <v>1.1666666666666668E-6</v>
      </c>
      <c r="CK226" s="156">
        <f t="shared" si="496"/>
        <v>1.1666666666666668E-6</v>
      </c>
      <c r="CL226" s="156">
        <f t="shared" si="496"/>
        <v>1.1666666666666668E-6</v>
      </c>
      <c r="CM226" s="156">
        <f t="shared" si="496"/>
        <v>1.1666666666666668E-6</v>
      </c>
      <c r="CN226" s="156">
        <f t="shared" si="496"/>
        <v>1.1666666666666668E-6</v>
      </c>
      <c r="CO226" s="156">
        <f t="shared" si="496"/>
        <v>1.1666666666666668E-6</v>
      </c>
      <c r="CP226" s="156">
        <f t="shared" si="496"/>
        <v>1.1666666666666668E-6</v>
      </c>
      <c r="CQ226" s="156">
        <f t="shared" si="496"/>
        <v>1.1666666666666668E-6</v>
      </c>
      <c r="CR226" s="156">
        <f t="shared" si="496"/>
        <v>1.1666666666666668E-6</v>
      </c>
      <c r="CS226" s="156">
        <f t="shared" si="496"/>
        <v>1.1666666666666668E-6</v>
      </c>
      <c r="CT226" s="156">
        <f t="shared" si="496"/>
        <v>1.1666666666666668E-6</v>
      </c>
      <c r="CU226" s="156">
        <f t="shared" si="496"/>
        <v>1.1666666666666668E-6</v>
      </c>
      <c r="CV226" s="156">
        <f t="shared" si="496"/>
        <v>1.1666666666666668E-6</v>
      </c>
      <c r="CW226" s="156">
        <f t="shared" si="496"/>
        <v>1.1666666666666668E-6</v>
      </c>
      <c r="CX226" s="156">
        <f t="shared" si="496"/>
        <v>1.1666666666666668E-6</v>
      </c>
      <c r="CY226" s="156">
        <f t="shared" si="496"/>
        <v>1.1666666666666668E-6</v>
      </c>
      <c r="CZ226" s="156">
        <f t="shared" si="496"/>
        <v>1.1666666666666668E-6</v>
      </c>
      <c r="DA226" s="156">
        <f t="shared" si="496"/>
        <v>1.1666666666666668E-6</v>
      </c>
      <c r="DB226" s="156">
        <f t="shared" si="496"/>
        <v>1.1666666666666668E-6</v>
      </c>
      <c r="DC226" s="156">
        <f t="shared" si="496"/>
        <v>1.1666666666666668E-6</v>
      </c>
      <c r="DD226" s="156">
        <f t="shared" si="496"/>
        <v>1.1666666666666668E-6</v>
      </c>
      <c r="DE226" s="141">
        <f>0.0035%/30</f>
        <v>1.1666666666666668E-6</v>
      </c>
      <c r="DF226" s="156">
        <f>DE226</f>
        <v>1.1666666666666668E-6</v>
      </c>
      <c r="DG226" s="156">
        <f t="shared" ref="DG226:EH226" si="497">DF226</f>
        <v>1.1666666666666668E-6</v>
      </c>
      <c r="DH226" s="156">
        <f t="shared" si="497"/>
        <v>1.1666666666666668E-6</v>
      </c>
      <c r="DI226" s="156">
        <f t="shared" si="497"/>
        <v>1.1666666666666668E-6</v>
      </c>
      <c r="DJ226" s="156">
        <f t="shared" si="497"/>
        <v>1.1666666666666668E-6</v>
      </c>
      <c r="DK226" s="156">
        <f t="shared" si="497"/>
        <v>1.1666666666666668E-6</v>
      </c>
      <c r="DL226" s="156">
        <f t="shared" si="497"/>
        <v>1.1666666666666668E-6</v>
      </c>
      <c r="DM226" s="156">
        <f t="shared" si="497"/>
        <v>1.1666666666666668E-6</v>
      </c>
      <c r="DN226" s="156">
        <f t="shared" si="497"/>
        <v>1.1666666666666668E-6</v>
      </c>
      <c r="DO226" s="156">
        <f t="shared" si="497"/>
        <v>1.1666666666666668E-6</v>
      </c>
      <c r="DP226" s="156">
        <f t="shared" si="497"/>
        <v>1.1666666666666668E-6</v>
      </c>
      <c r="DQ226" s="156">
        <f t="shared" si="497"/>
        <v>1.1666666666666668E-6</v>
      </c>
      <c r="DR226" s="156">
        <f t="shared" si="497"/>
        <v>1.1666666666666668E-6</v>
      </c>
      <c r="DS226" s="156">
        <f t="shared" si="497"/>
        <v>1.1666666666666668E-6</v>
      </c>
      <c r="DT226" s="156">
        <f t="shared" si="497"/>
        <v>1.1666666666666668E-6</v>
      </c>
      <c r="DU226" s="156">
        <f t="shared" si="497"/>
        <v>1.1666666666666668E-6</v>
      </c>
      <c r="DV226" s="156">
        <f t="shared" si="497"/>
        <v>1.1666666666666668E-6</v>
      </c>
      <c r="DW226" s="156">
        <f t="shared" si="497"/>
        <v>1.1666666666666668E-6</v>
      </c>
      <c r="DX226" s="156">
        <f t="shared" si="497"/>
        <v>1.1666666666666668E-6</v>
      </c>
      <c r="DY226" s="156">
        <f t="shared" si="497"/>
        <v>1.1666666666666668E-6</v>
      </c>
      <c r="DZ226" s="156">
        <f t="shared" si="497"/>
        <v>1.1666666666666668E-6</v>
      </c>
      <c r="EA226" s="156">
        <f t="shared" si="497"/>
        <v>1.1666666666666668E-6</v>
      </c>
      <c r="EB226" s="156">
        <f t="shared" si="497"/>
        <v>1.1666666666666668E-6</v>
      </c>
      <c r="EC226" s="156">
        <f t="shared" si="497"/>
        <v>1.1666666666666668E-6</v>
      </c>
      <c r="ED226" s="156">
        <f t="shared" si="497"/>
        <v>1.1666666666666668E-6</v>
      </c>
      <c r="EE226" s="156">
        <f t="shared" si="497"/>
        <v>1.1666666666666668E-6</v>
      </c>
      <c r="EF226" s="156">
        <f t="shared" si="497"/>
        <v>1.1666666666666668E-6</v>
      </c>
      <c r="EG226" s="156">
        <f t="shared" si="497"/>
        <v>1.1666666666666668E-6</v>
      </c>
      <c r="EH226" s="156">
        <f t="shared" si="497"/>
        <v>1.1666666666666668E-6</v>
      </c>
      <c r="EI226" s="141">
        <f>0.0035%/30</f>
        <v>1.1666666666666668E-6</v>
      </c>
      <c r="EJ226" s="156">
        <f>EI226</f>
        <v>1.1666666666666668E-6</v>
      </c>
      <c r="EK226" s="156">
        <f t="shared" ref="EK226:FL226" si="498">EJ226</f>
        <v>1.1666666666666668E-6</v>
      </c>
      <c r="EL226" s="156">
        <f t="shared" si="498"/>
        <v>1.1666666666666668E-6</v>
      </c>
      <c r="EM226" s="156">
        <f t="shared" si="498"/>
        <v>1.1666666666666668E-6</v>
      </c>
      <c r="EN226" s="156">
        <f t="shared" si="498"/>
        <v>1.1666666666666668E-6</v>
      </c>
      <c r="EO226" s="156">
        <f t="shared" si="498"/>
        <v>1.1666666666666668E-6</v>
      </c>
      <c r="EP226" s="156">
        <f t="shared" si="498"/>
        <v>1.1666666666666668E-6</v>
      </c>
      <c r="EQ226" s="156">
        <f t="shared" si="498"/>
        <v>1.1666666666666668E-6</v>
      </c>
      <c r="ER226" s="156">
        <f t="shared" si="498"/>
        <v>1.1666666666666668E-6</v>
      </c>
      <c r="ES226" s="156">
        <f t="shared" si="498"/>
        <v>1.1666666666666668E-6</v>
      </c>
      <c r="ET226" s="156">
        <f t="shared" si="498"/>
        <v>1.1666666666666668E-6</v>
      </c>
      <c r="EU226" s="156">
        <f t="shared" si="498"/>
        <v>1.1666666666666668E-6</v>
      </c>
      <c r="EV226" s="156">
        <f t="shared" si="498"/>
        <v>1.1666666666666668E-6</v>
      </c>
      <c r="EW226" s="156">
        <f t="shared" si="498"/>
        <v>1.1666666666666668E-6</v>
      </c>
      <c r="EX226" s="156">
        <f t="shared" si="498"/>
        <v>1.1666666666666668E-6</v>
      </c>
      <c r="EY226" s="156">
        <f t="shared" si="498"/>
        <v>1.1666666666666668E-6</v>
      </c>
      <c r="EZ226" s="156">
        <f t="shared" si="498"/>
        <v>1.1666666666666668E-6</v>
      </c>
      <c r="FA226" s="156">
        <f t="shared" si="498"/>
        <v>1.1666666666666668E-6</v>
      </c>
      <c r="FB226" s="156">
        <f t="shared" si="498"/>
        <v>1.1666666666666668E-6</v>
      </c>
      <c r="FC226" s="156">
        <f t="shared" si="498"/>
        <v>1.1666666666666668E-6</v>
      </c>
      <c r="FD226" s="156">
        <f t="shared" si="498"/>
        <v>1.1666666666666668E-6</v>
      </c>
      <c r="FE226" s="156">
        <f t="shared" si="498"/>
        <v>1.1666666666666668E-6</v>
      </c>
      <c r="FF226" s="156">
        <f t="shared" si="498"/>
        <v>1.1666666666666668E-6</v>
      </c>
      <c r="FG226" s="156">
        <f t="shared" si="498"/>
        <v>1.1666666666666668E-6</v>
      </c>
      <c r="FH226" s="156">
        <f t="shared" si="498"/>
        <v>1.1666666666666668E-6</v>
      </c>
      <c r="FI226" s="156">
        <f t="shared" si="498"/>
        <v>1.1666666666666668E-6</v>
      </c>
      <c r="FJ226" s="156">
        <f t="shared" si="498"/>
        <v>1.1666666666666668E-6</v>
      </c>
      <c r="FK226" s="156">
        <f t="shared" si="498"/>
        <v>1.1666666666666668E-6</v>
      </c>
      <c r="FL226" s="156">
        <f t="shared" si="498"/>
        <v>1.1666666666666668E-6</v>
      </c>
      <c r="FM226" s="141">
        <f>0.0035%/30</f>
        <v>1.1666666666666668E-6</v>
      </c>
      <c r="FN226" s="156">
        <f>FM226</f>
        <v>1.1666666666666668E-6</v>
      </c>
      <c r="FO226" s="156">
        <f t="shared" ref="FO226:GP226" si="499">FN226</f>
        <v>1.1666666666666668E-6</v>
      </c>
      <c r="FP226" s="156">
        <f t="shared" si="499"/>
        <v>1.1666666666666668E-6</v>
      </c>
      <c r="FQ226" s="156">
        <f t="shared" si="499"/>
        <v>1.1666666666666668E-6</v>
      </c>
      <c r="FR226" s="156">
        <f t="shared" si="499"/>
        <v>1.1666666666666668E-6</v>
      </c>
      <c r="FS226" s="156">
        <f t="shared" si="499"/>
        <v>1.1666666666666668E-6</v>
      </c>
      <c r="FT226" s="156">
        <f t="shared" si="499"/>
        <v>1.1666666666666668E-6</v>
      </c>
      <c r="FU226" s="156">
        <f t="shared" si="499"/>
        <v>1.1666666666666668E-6</v>
      </c>
      <c r="FV226" s="156">
        <f t="shared" si="499"/>
        <v>1.1666666666666668E-6</v>
      </c>
      <c r="FW226" s="156">
        <f t="shared" si="499"/>
        <v>1.1666666666666668E-6</v>
      </c>
      <c r="FX226" s="156">
        <f t="shared" si="499"/>
        <v>1.1666666666666668E-6</v>
      </c>
      <c r="FY226" s="156">
        <f t="shared" si="499"/>
        <v>1.1666666666666668E-6</v>
      </c>
      <c r="FZ226" s="156">
        <f t="shared" si="499"/>
        <v>1.1666666666666668E-6</v>
      </c>
      <c r="GA226" s="156">
        <f t="shared" si="499"/>
        <v>1.1666666666666668E-6</v>
      </c>
      <c r="GB226" s="156">
        <f t="shared" si="499"/>
        <v>1.1666666666666668E-6</v>
      </c>
      <c r="GC226" s="156">
        <f t="shared" si="499"/>
        <v>1.1666666666666668E-6</v>
      </c>
      <c r="GD226" s="156">
        <f t="shared" si="499"/>
        <v>1.1666666666666668E-6</v>
      </c>
      <c r="GE226" s="156">
        <f t="shared" si="499"/>
        <v>1.1666666666666668E-6</v>
      </c>
      <c r="GF226" s="156">
        <f t="shared" si="499"/>
        <v>1.1666666666666668E-6</v>
      </c>
      <c r="GG226" s="156">
        <f t="shared" si="499"/>
        <v>1.1666666666666668E-6</v>
      </c>
      <c r="GH226" s="156">
        <f t="shared" si="499"/>
        <v>1.1666666666666668E-6</v>
      </c>
      <c r="GI226" s="156">
        <f t="shared" si="499"/>
        <v>1.1666666666666668E-6</v>
      </c>
      <c r="GJ226" s="156">
        <f t="shared" si="499"/>
        <v>1.1666666666666668E-6</v>
      </c>
      <c r="GK226" s="156">
        <f t="shared" si="499"/>
        <v>1.1666666666666668E-6</v>
      </c>
      <c r="GL226" s="156">
        <f t="shared" si="499"/>
        <v>1.1666666666666668E-6</v>
      </c>
      <c r="GM226" s="156">
        <f t="shared" si="499"/>
        <v>1.1666666666666668E-6</v>
      </c>
      <c r="GN226" s="156">
        <f t="shared" si="499"/>
        <v>1.1666666666666668E-6</v>
      </c>
      <c r="GO226" s="156">
        <f t="shared" si="499"/>
        <v>1.1666666666666668E-6</v>
      </c>
      <c r="GP226" s="156">
        <f t="shared" si="499"/>
        <v>1.1666666666666668E-6</v>
      </c>
      <c r="GQ226" s="141">
        <f>0.0035%/30</f>
        <v>1.1666666666666668E-6</v>
      </c>
      <c r="GR226" s="156">
        <f>GQ226</f>
        <v>1.1666666666666668E-6</v>
      </c>
      <c r="GS226" s="156">
        <f t="shared" ref="GS226:HT226" si="500">GR226</f>
        <v>1.1666666666666668E-6</v>
      </c>
      <c r="GT226" s="156">
        <f t="shared" si="500"/>
        <v>1.1666666666666668E-6</v>
      </c>
      <c r="GU226" s="156">
        <f t="shared" si="500"/>
        <v>1.1666666666666668E-6</v>
      </c>
      <c r="GV226" s="156">
        <f t="shared" si="500"/>
        <v>1.1666666666666668E-6</v>
      </c>
      <c r="GW226" s="156">
        <f t="shared" si="500"/>
        <v>1.1666666666666668E-6</v>
      </c>
      <c r="GX226" s="156">
        <f t="shared" si="500"/>
        <v>1.1666666666666668E-6</v>
      </c>
      <c r="GY226" s="156">
        <f t="shared" si="500"/>
        <v>1.1666666666666668E-6</v>
      </c>
      <c r="GZ226" s="156">
        <f t="shared" si="500"/>
        <v>1.1666666666666668E-6</v>
      </c>
      <c r="HA226" s="156">
        <f t="shared" si="500"/>
        <v>1.1666666666666668E-6</v>
      </c>
      <c r="HB226" s="156">
        <f t="shared" si="500"/>
        <v>1.1666666666666668E-6</v>
      </c>
      <c r="HC226" s="156">
        <f t="shared" si="500"/>
        <v>1.1666666666666668E-6</v>
      </c>
      <c r="HD226" s="156">
        <f t="shared" si="500"/>
        <v>1.1666666666666668E-6</v>
      </c>
      <c r="HE226" s="156">
        <f t="shared" si="500"/>
        <v>1.1666666666666668E-6</v>
      </c>
      <c r="HF226" s="156">
        <f t="shared" si="500"/>
        <v>1.1666666666666668E-6</v>
      </c>
      <c r="HG226" s="156">
        <f t="shared" si="500"/>
        <v>1.1666666666666668E-6</v>
      </c>
      <c r="HH226" s="156">
        <f t="shared" si="500"/>
        <v>1.1666666666666668E-6</v>
      </c>
      <c r="HI226" s="156">
        <f t="shared" si="500"/>
        <v>1.1666666666666668E-6</v>
      </c>
      <c r="HJ226" s="156">
        <f t="shared" si="500"/>
        <v>1.1666666666666668E-6</v>
      </c>
      <c r="HK226" s="156">
        <f t="shared" si="500"/>
        <v>1.1666666666666668E-6</v>
      </c>
      <c r="HL226" s="156">
        <f t="shared" si="500"/>
        <v>1.1666666666666668E-6</v>
      </c>
      <c r="HM226" s="156">
        <f t="shared" si="500"/>
        <v>1.1666666666666668E-6</v>
      </c>
      <c r="HN226" s="156">
        <f t="shared" si="500"/>
        <v>1.1666666666666668E-6</v>
      </c>
      <c r="HO226" s="156">
        <f t="shared" si="500"/>
        <v>1.1666666666666668E-6</v>
      </c>
      <c r="HP226" s="156">
        <f t="shared" si="500"/>
        <v>1.1666666666666668E-6</v>
      </c>
      <c r="HQ226" s="156">
        <f t="shared" si="500"/>
        <v>1.1666666666666668E-6</v>
      </c>
      <c r="HR226" s="156">
        <f t="shared" si="500"/>
        <v>1.1666666666666668E-6</v>
      </c>
      <c r="HS226" s="156">
        <f t="shared" si="500"/>
        <v>1.1666666666666668E-6</v>
      </c>
      <c r="HT226" s="156">
        <f t="shared" si="500"/>
        <v>1.1666666666666668E-6</v>
      </c>
      <c r="HU226" s="141">
        <f>0.0035%/30</f>
        <v>1.1666666666666668E-6</v>
      </c>
      <c r="HV226" s="156">
        <f>HU226</f>
        <v>1.1666666666666668E-6</v>
      </c>
      <c r="HW226" s="156">
        <f t="shared" ref="HW226:IX226" si="501">HV226</f>
        <v>1.1666666666666668E-6</v>
      </c>
      <c r="HX226" s="156">
        <f t="shared" si="501"/>
        <v>1.1666666666666668E-6</v>
      </c>
      <c r="HY226" s="156">
        <f t="shared" si="501"/>
        <v>1.1666666666666668E-6</v>
      </c>
      <c r="HZ226" s="156">
        <f t="shared" si="501"/>
        <v>1.1666666666666668E-6</v>
      </c>
      <c r="IA226" s="156">
        <f t="shared" si="501"/>
        <v>1.1666666666666668E-6</v>
      </c>
      <c r="IB226" s="156">
        <f t="shared" si="501"/>
        <v>1.1666666666666668E-6</v>
      </c>
      <c r="IC226" s="156">
        <f t="shared" si="501"/>
        <v>1.1666666666666668E-6</v>
      </c>
      <c r="ID226" s="156">
        <f t="shared" si="501"/>
        <v>1.1666666666666668E-6</v>
      </c>
      <c r="IE226" s="156">
        <f t="shared" si="501"/>
        <v>1.1666666666666668E-6</v>
      </c>
      <c r="IF226" s="156">
        <f t="shared" si="501"/>
        <v>1.1666666666666668E-6</v>
      </c>
      <c r="IG226" s="156">
        <f t="shared" si="501"/>
        <v>1.1666666666666668E-6</v>
      </c>
      <c r="IH226" s="156">
        <f t="shared" si="501"/>
        <v>1.1666666666666668E-6</v>
      </c>
      <c r="II226" s="156">
        <f t="shared" si="501"/>
        <v>1.1666666666666668E-6</v>
      </c>
      <c r="IJ226" s="156">
        <f t="shared" si="501"/>
        <v>1.1666666666666668E-6</v>
      </c>
      <c r="IK226" s="156">
        <f t="shared" si="501"/>
        <v>1.1666666666666668E-6</v>
      </c>
      <c r="IL226" s="156">
        <f t="shared" si="501"/>
        <v>1.1666666666666668E-6</v>
      </c>
      <c r="IM226" s="156">
        <f t="shared" si="501"/>
        <v>1.1666666666666668E-6</v>
      </c>
      <c r="IN226" s="156">
        <f t="shared" si="501"/>
        <v>1.1666666666666668E-6</v>
      </c>
      <c r="IO226" s="156">
        <f t="shared" si="501"/>
        <v>1.1666666666666668E-6</v>
      </c>
      <c r="IP226" s="156">
        <f t="shared" si="501"/>
        <v>1.1666666666666668E-6</v>
      </c>
      <c r="IQ226" s="156">
        <f t="shared" si="501"/>
        <v>1.1666666666666668E-6</v>
      </c>
      <c r="IR226" s="156">
        <f t="shared" si="501"/>
        <v>1.1666666666666668E-6</v>
      </c>
      <c r="IS226" s="156">
        <f t="shared" si="501"/>
        <v>1.1666666666666668E-6</v>
      </c>
      <c r="IT226" s="156">
        <f t="shared" si="501"/>
        <v>1.1666666666666668E-6</v>
      </c>
      <c r="IU226" s="156">
        <f t="shared" si="501"/>
        <v>1.1666666666666668E-6</v>
      </c>
      <c r="IV226" s="156">
        <f t="shared" si="501"/>
        <v>1.1666666666666668E-6</v>
      </c>
      <c r="IW226" s="156">
        <f t="shared" si="501"/>
        <v>1.1666666666666668E-6</v>
      </c>
      <c r="IX226" s="156">
        <f t="shared" si="501"/>
        <v>1.1666666666666668E-6</v>
      </c>
      <c r="IY226" s="141">
        <f>0.0035%/30</f>
        <v>1.1666666666666668E-6</v>
      </c>
      <c r="IZ226" s="156">
        <f>IY226</f>
        <v>1.1666666666666668E-6</v>
      </c>
      <c r="JA226" s="156">
        <f t="shared" ref="JA226:KB226" si="502">IZ226</f>
        <v>1.1666666666666668E-6</v>
      </c>
      <c r="JB226" s="156">
        <f t="shared" si="502"/>
        <v>1.1666666666666668E-6</v>
      </c>
      <c r="JC226" s="156">
        <f t="shared" si="502"/>
        <v>1.1666666666666668E-6</v>
      </c>
      <c r="JD226" s="156">
        <f t="shared" si="502"/>
        <v>1.1666666666666668E-6</v>
      </c>
      <c r="JE226" s="156">
        <f t="shared" si="502"/>
        <v>1.1666666666666668E-6</v>
      </c>
      <c r="JF226" s="156">
        <f t="shared" si="502"/>
        <v>1.1666666666666668E-6</v>
      </c>
      <c r="JG226" s="156">
        <f t="shared" si="502"/>
        <v>1.1666666666666668E-6</v>
      </c>
      <c r="JH226" s="156">
        <f t="shared" si="502"/>
        <v>1.1666666666666668E-6</v>
      </c>
      <c r="JI226" s="156">
        <f t="shared" si="502"/>
        <v>1.1666666666666668E-6</v>
      </c>
      <c r="JJ226" s="156">
        <f t="shared" si="502"/>
        <v>1.1666666666666668E-6</v>
      </c>
      <c r="JK226" s="156">
        <f t="shared" si="502"/>
        <v>1.1666666666666668E-6</v>
      </c>
      <c r="JL226" s="156">
        <f t="shared" si="502"/>
        <v>1.1666666666666668E-6</v>
      </c>
      <c r="JM226" s="156">
        <f t="shared" si="502"/>
        <v>1.1666666666666668E-6</v>
      </c>
      <c r="JN226" s="156">
        <f t="shared" si="502"/>
        <v>1.1666666666666668E-6</v>
      </c>
      <c r="JO226" s="156">
        <f t="shared" si="502"/>
        <v>1.1666666666666668E-6</v>
      </c>
      <c r="JP226" s="156">
        <f t="shared" si="502"/>
        <v>1.1666666666666668E-6</v>
      </c>
      <c r="JQ226" s="156">
        <f t="shared" si="502"/>
        <v>1.1666666666666668E-6</v>
      </c>
      <c r="JR226" s="156">
        <f t="shared" si="502"/>
        <v>1.1666666666666668E-6</v>
      </c>
      <c r="JS226" s="156">
        <f t="shared" si="502"/>
        <v>1.1666666666666668E-6</v>
      </c>
      <c r="JT226" s="156">
        <f t="shared" si="502"/>
        <v>1.1666666666666668E-6</v>
      </c>
      <c r="JU226" s="156">
        <f t="shared" si="502"/>
        <v>1.1666666666666668E-6</v>
      </c>
      <c r="JV226" s="156">
        <f t="shared" si="502"/>
        <v>1.1666666666666668E-6</v>
      </c>
      <c r="JW226" s="156">
        <f t="shared" si="502"/>
        <v>1.1666666666666668E-6</v>
      </c>
      <c r="JX226" s="156">
        <f t="shared" si="502"/>
        <v>1.1666666666666668E-6</v>
      </c>
      <c r="JY226" s="156">
        <f t="shared" si="502"/>
        <v>1.1666666666666668E-6</v>
      </c>
      <c r="JZ226" s="156">
        <f t="shared" si="502"/>
        <v>1.1666666666666668E-6</v>
      </c>
      <c r="KA226" s="156">
        <f t="shared" si="502"/>
        <v>1.1666666666666668E-6</v>
      </c>
      <c r="KB226" s="156">
        <f t="shared" si="502"/>
        <v>1.1666666666666668E-6</v>
      </c>
      <c r="KC226" s="217">
        <v>3.4999999999999997E-5</v>
      </c>
      <c r="KD226" s="217"/>
      <c r="KE226" s="215"/>
      <c r="KF226" s="217">
        <v>3.4999999999999997E-5</v>
      </c>
      <c r="KG226" s="217"/>
      <c r="KH226" s="215"/>
      <c r="KI226" s="217">
        <v>3.4999999999999997E-5</v>
      </c>
      <c r="KJ226" s="217"/>
      <c r="KK226" s="215"/>
      <c r="KL226" s="217">
        <v>3.4999999999999997E-5</v>
      </c>
      <c r="KM226" s="217"/>
      <c r="KN226" s="215"/>
      <c r="KO226" s="217">
        <v>3.4999999999999997E-5</v>
      </c>
      <c r="KP226" s="217"/>
      <c r="KQ226" s="215"/>
      <c r="KR226" s="217">
        <v>3.4999999999999997E-5</v>
      </c>
      <c r="KS226" s="217"/>
      <c r="KT226" s="215"/>
      <c r="KU226" s="217">
        <v>3.4999999999999997E-5</v>
      </c>
      <c r="KV226" s="217"/>
      <c r="KW226" s="215"/>
      <c r="KX226" s="217">
        <v>3.4999999999999997E-5</v>
      </c>
      <c r="KY226" s="217"/>
      <c r="KZ226" s="217"/>
      <c r="LA226" s="416">
        <v>3.4999999999999997E-5</v>
      </c>
      <c r="LB226" s="217"/>
      <c r="LC226" s="417"/>
      <c r="LD226" s="217">
        <v>3.4999999999999997E-5</v>
      </c>
      <c r="LE226" s="217"/>
      <c r="LF226" s="215"/>
      <c r="LG226" s="217">
        <v>3.4999999999999997E-5</v>
      </c>
      <c r="LH226" s="217"/>
      <c r="LI226" s="215"/>
      <c r="LJ226" s="217">
        <v>3.4999999999999997E-5</v>
      </c>
      <c r="LK226" s="217"/>
      <c r="LL226" s="215"/>
      <c r="LM226" s="217">
        <v>3.4999999999999997E-5</v>
      </c>
      <c r="LN226" s="217"/>
      <c r="LO226" s="215"/>
      <c r="LP226" s="217">
        <v>3.4999999999999997E-5</v>
      </c>
      <c r="LQ226" s="217"/>
      <c r="LR226" s="215"/>
      <c r="LS226" s="217">
        <v>3.4999999999999997E-5</v>
      </c>
      <c r="LT226" s="217"/>
      <c r="LU226" s="215"/>
      <c r="LV226" s="217">
        <v>3.4999999999999997E-5</v>
      </c>
      <c r="LW226" s="217"/>
      <c r="LX226" s="215"/>
      <c r="LY226" s="217">
        <v>3.4999999999999997E-5</v>
      </c>
      <c r="LZ226" s="217"/>
      <c r="MA226" s="215"/>
      <c r="MB226" s="217">
        <v>3.4999999999999997E-5</v>
      </c>
      <c r="MC226" s="217"/>
      <c r="MD226" s="215"/>
      <c r="ME226" s="217">
        <v>3.4999999999999997E-5</v>
      </c>
      <c r="MF226" s="217"/>
      <c r="MG226" s="215"/>
      <c r="MH226" s="217">
        <v>3.4999999999999997E-5</v>
      </c>
      <c r="MI226" s="217"/>
      <c r="MJ226" s="215"/>
      <c r="MK226" s="217">
        <v>3.4999999999999997E-5</v>
      </c>
      <c r="ML226" s="217"/>
      <c r="MM226" s="215"/>
      <c r="MN226" s="217">
        <v>3.4999999999999997E-5</v>
      </c>
      <c r="MO226" s="217"/>
      <c r="MP226" s="215"/>
      <c r="MQ226" s="217">
        <v>3.4999999999999997E-5</v>
      </c>
      <c r="MR226" s="217"/>
      <c r="MS226" s="215"/>
      <c r="MT226" s="217">
        <v>3.4999999999999997E-5</v>
      </c>
      <c r="MU226" s="217"/>
      <c r="MV226" s="215"/>
      <c r="MW226" s="217">
        <v>3.4999999999999997E-5</v>
      </c>
      <c r="MX226" s="217"/>
      <c r="MY226" s="215"/>
      <c r="MZ226" s="217">
        <v>3.4999999999999997E-5</v>
      </c>
      <c r="NA226" s="217"/>
      <c r="NB226" s="215"/>
      <c r="NC226" s="217">
        <v>3.4999999999999997E-5</v>
      </c>
      <c r="ND226" s="217"/>
      <c r="NE226" s="285"/>
      <c r="NG226" s="275">
        <f>SUM(R226:NE226)</f>
        <v>1.260000000000002E-3</v>
      </c>
      <c r="NH226" s="1"/>
      <c r="NI226" s="1"/>
      <c r="NJ226" s="1"/>
      <c r="NK226" s="1"/>
    </row>
    <row r="227" spans="4:375" s="6" customFormat="1" ht="6.95" customHeight="1">
      <c r="D227" s="6">
        <v>0</v>
      </c>
      <c r="F227" s="196"/>
      <c r="G227" s="197"/>
      <c r="H227" s="52">
        <v>2</v>
      </c>
      <c r="L227" s="292"/>
      <c r="M227" s="300"/>
      <c r="N227" s="301"/>
      <c r="O227" s="302"/>
      <c r="P227" s="315"/>
      <c r="Q227" s="237"/>
      <c r="R227" s="73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  <c r="BT227" s="62"/>
      <c r="BU227" s="62"/>
      <c r="BV227" s="62"/>
      <c r="BW227" s="62"/>
      <c r="BX227" s="62"/>
      <c r="BY227" s="62"/>
      <c r="BZ227" s="63"/>
      <c r="CA227" s="61"/>
      <c r="CB227" s="62"/>
      <c r="CC227" s="62"/>
      <c r="CD227" s="62"/>
      <c r="CE227" s="62"/>
      <c r="CF227" s="62"/>
      <c r="CG227" s="62"/>
      <c r="CH227" s="62"/>
      <c r="CI227" s="62"/>
      <c r="CJ227" s="62"/>
      <c r="CK227" s="62"/>
      <c r="CL227" s="62"/>
      <c r="CM227" s="62"/>
      <c r="CN227" s="62"/>
      <c r="CO227" s="62"/>
      <c r="CP227" s="62"/>
      <c r="CQ227" s="62"/>
      <c r="CR227" s="62"/>
      <c r="CS227" s="62"/>
      <c r="CT227" s="62"/>
      <c r="CU227" s="62"/>
      <c r="CV227" s="62"/>
      <c r="CW227" s="62"/>
      <c r="CX227" s="62"/>
      <c r="CY227" s="62"/>
      <c r="CZ227" s="62"/>
      <c r="DA227" s="62"/>
      <c r="DB227" s="62"/>
      <c r="DC227" s="62"/>
      <c r="DD227" s="62"/>
      <c r="DE227" s="61"/>
      <c r="DF227" s="62"/>
      <c r="DG227" s="62"/>
      <c r="DH227" s="62"/>
      <c r="DI227" s="62"/>
      <c r="DJ227" s="62"/>
      <c r="DK227" s="62"/>
      <c r="DL227" s="62"/>
      <c r="DM227" s="62"/>
      <c r="DN227" s="62"/>
      <c r="DO227" s="62"/>
      <c r="DP227" s="62"/>
      <c r="DQ227" s="62"/>
      <c r="DR227" s="62"/>
      <c r="DS227" s="62"/>
      <c r="DT227" s="62"/>
      <c r="DU227" s="62"/>
      <c r="DV227" s="62"/>
      <c r="DW227" s="62"/>
      <c r="DX227" s="62"/>
      <c r="DY227" s="62"/>
      <c r="DZ227" s="62"/>
      <c r="EA227" s="62"/>
      <c r="EB227" s="62"/>
      <c r="EC227" s="62"/>
      <c r="ED227" s="62"/>
      <c r="EE227" s="62"/>
      <c r="EF227" s="62"/>
      <c r="EG227" s="62"/>
      <c r="EH227" s="62"/>
      <c r="EI227" s="61"/>
      <c r="EJ227" s="62"/>
      <c r="EK227" s="62"/>
      <c r="EL227" s="62"/>
      <c r="EM227" s="62"/>
      <c r="EN227" s="62"/>
      <c r="EO227" s="62"/>
      <c r="EP227" s="62"/>
      <c r="EQ227" s="62"/>
      <c r="ER227" s="62"/>
      <c r="ES227" s="62"/>
      <c r="ET227" s="62"/>
      <c r="EU227" s="62"/>
      <c r="EV227" s="62"/>
      <c r="EW227" s="62"/>
      <c r="EX227" s="62"/>
      <c r="EY227" s="62"/>
      <c r="EZ227" s="62"/>
      <c r="FA227" s="62"/>
      <c r="FB227" s="62"/>
      <c r="FC227" s="62"/>
      <c r="FD227" s="62"/>
      <c r="FE227" s="62"/>
      <c r="FF227" s="62"/>
      <c r="FG227" s="62"/>
      <c r="FH227" s="62"/>
      <c r="FI227" s="62"/>
      <c r="FJ227" s="62"/>
      <c r="FK227" s="62"/>
      <c r="FL227" s="62"/>
      <c r="FM227" s="61"/>
      <c r="FN227" s="62"/>
      <c r="FO227" s="62"/>
      <c r="FP227" s="62"/>
      <c r="FQ227" s="62"/>
      <c r="FR227" s="62"/>
      <c r="FS227" s="62"/>
      <c r="FT227" s="62"/>
      <c r="FU227" s="62"/>
      <c r="FV227" s="62"/>
      <c r="FW227" s="62"/>
      <c r="FX227" s="62"/>
      <c r="FY227" s="62"/>
      <c r="FZ227" s="62"/>
      <c r="GA227" s="62"/>
      <c r="GB227" s="62"/>
      <c r="GC227" s="62"/>
      <c r="GD227" s="62"/>
      <c r="GE227" s="62"/>
      <c r="GF227" s="62"/>
      <c r="GG227" s="62"/>
      <c r="GH227" s="62"/>
      <c r="GI227" s="62"/>
      <c r="GJ227" s="62"/>
      <c r="GK227" s="62"/>
      <c r="GL227" s="62"/>
      <c r="GM227" s="62"/>
      <c r="GN227" s="62"/>
      <c r="GO227" s="62"/>
      <c r="GP227" s="62"/>
      <c r="GQ227" s="61"/>
      <c r="GR227" s="62"/>
      <c r="GS227" s="62"/>
      <c r="GT227" s="62"/>
      <c r="GU227" s="62"/>
      <c r="GV227" s="62"/>
      <c r="GW227" s="62"/>
      <c r="GX227" s="62"/>
      <c r="GY227" s="62"/>
      <c r="GZ227" s="62"/>
      <c r="HA227" s="62"/>
      <c r="HB227" s="62"/>
      <c r="HC227" s="62"/>
      <c r="HD227" s="62"/>
      <c r="HE227" s="62"/>
      <c r="HF227" s="62"/>
      <c r="HG227" s="62"/>
      <c r="HH227" s="62"/>
      <c r="HI227" s="62"/>
      <c r="HJ227" s="62"/>
      <c r="HK227" s="62"/>
      <c r="HL227" s="62"/>
      <c r="HM227" s="62"/>
      <c r="HN227" s="62"/>
      <c r="HO227" s="62"/>
      <c r="HP227" s="62"/>
      <c r="HQ227" s="62"/>
      <c r="HR227" s="62"/>
      <c r="HS227" s="62"/>
      <c r="HT227" s="62"/>
      <c r="HU227" s="61"/>
      <c r="HV227" s="62"/>
      <c r="HW227" s="62"/>
      <c r="HX227" s="62"/>
      <c r="HY227" s="62"/>
      <c r="HZ227" s="62"/>
      <c r="IA227" s="62"/>
      <c r="IB227" s="62"/>
      <c r="IC227" s="62"/>
      <c r="ID227" s="62"/>
      <c r="IE227" s="62"/>
      <c r="IF227" s="62"/>
      <c r="IG227" s="62"/>
      <c r="IH227" s="62"/>
      <c r="II227" s="62"/>
      <c r="IJ227" s="62"/>
      <c r="IK227" s="62"/>
      <c r="IL227" s="62"/>
      <c r="IM227" s="62"/>
      <c r="IN227" s="62"/>
      <c r="IO227" s="62"/>
      <c r="IP227" s="62"/>
      <c r="IQ227" s="62"/>
      <c r="IR227" s="62"/>
      <c r="IS227" s="62"/>
      <c r="IT227" s="62"/>
      <c r="IU227" s="62"/>
      <c r="IV227" s="62"/>
      <c r="IW227" s="62"/>
      <c r="IX227" s="62"/>
      <c r="IY227" s="61"/>
      <c r="IZ227" s="62"/>
      <c r="JA227" s="62"/>
      <c r="JB227" s="62"/>
      <c r="JC227" s="62"/>
      <c r="JD227" s="62"/>
      <c r="JE227" s="62"/>
      <c r="JF227" s="62"/>
      <c r="JG227" s="62"/>
      <c r="JH227" s="62"/>
      <c r="JI227" s="62"/>
      <c r="JJ227" s="62"/>
      <c r="JK227" s="62"/>
      <c r="JL227" s="62"/>
      <c r="JM227" s="62"/>
      <c r="JN227" s="62"/>
      <c r="JO227" s="62"/>
      <c r="JP227" s="62"/>
      <c r="JQ227" s="62"/>
      <c r="JR227" s="62"/>
      <c r="JS227" s="62"/>
      <c r="JT227" s="62"/>
      <c r="JU227" s="62"/>
      <c r="JV227" s="62"/>
      <c r="JW227" s="62"/>
      <c r="JX227" s="62"/>
      <c r="JY227" s="62"/>
      <c r="JZ227" s="62"/>
      <c r="KA227" s="62"/>
      <c r="KB227" s="62"/>
      <c r="KC227" s="61"/>
      <c r="KD227" s="62"/>
      <c r="KE227" s="63"/>
      <c r="KF227" s="61"/>
      <c r="KG227" s="62"/>
      <c r="KH227" s="63"/>
      <c r="KI227" s="61"/>
      <c r="KJ227" s="62"/>
      <c r="KK227" s="63"/>
      <c r="KL227" s="61"/>
      <c r="KM227" s="62"/>
      <c r="KN227" s="63"/>
      <c r="KO227" s="61"/>
      <c r="KP227" s="62"/>
      <c r="KQ227" s="63"/>
      <c r="KR227" s="61"/>
      <c r="KS227" s="62"/>
      <c r="KT227" s="63"/>
      <c r="KU227" s="61"/>
      <c r="KV227" s="62"/>
      <c r="KW227" s="63"/>
      <c r="KX227" s="61"/>
      <c r="KY227" s="62"/>
      <c r="KZ227" s="63"/>
      <c r="LA227" s="61"/>
      <c r="LB227" s="62"/>
      <c r="LC227" s="63"/>
      <c r="LD227" s="61"/>
      <c r="LE227" s="62"/>
      <c r="LF227" s="63"/>
      <c r="LG227" s="61"/>
      <c r="LH227" s="62"/>
      <c r="LI227" s="63"/>
      <c r="LJ227" s="61"/>
      <c r="LK227" s="62"/>
      <c r="LL227" s="63"/>
      <c r="LM227" s="61"/>
      <c r="LN227" s="62"/>
      <c r="LO227" s="63"/>
      <c r="LP227" s="61"/>
      <c r="LQ227" s="62"/>
      <c r="LR227" s="63"/>
      <c r="LS227" s="61"/>
      <c r="LT227" s="62"/>
      <c r="LU227" s="63"/>
      <c r="LV227" s="61"/>
      <c r="LW227" s="62"/>
      <c r="LX227" s="63"/>
      <c r="LY227" s="61"/>
      <c r="LZ227" s="62"/>
      <c r="MA227" s="63"/>
      <c r="MB227" s="61"/>
      <c r="MC227" s="62"/>
      <c r="MD227" s="63"/>
      <c r="ME227" s="61"/>
      <c r="MF227" s="62"/>
      <c r="MG227" s="63"/>
      <c r="MH227" s="61"/>
      <c r="MI227" s="62"/>
      <c r="MJ227" s="63"/>
      <c r="MK227" s="61"/>
      <c r="ML227" s="62"/>
      <c r="MM227" s="63"/>
      <c r="MN227" s="61"/>
      <c r="MO227" s="62"/>
      <c r="MP227" s="63"/>
      <c r="MQ227" s="61"/>
      <c r="MR227" s="62"/>
      <c r="MS227" s="63"/>
      <c r="MT227" s="61"/>
      <c r="MU227" s="62"/>
      <c r="MV227" s="63"/>
      <c r="MW227" s="61"/>
      <c r="MX227" s="62"/>
      <c r="MY227" s="63"/>
      <c r="MZ227" s="61"/>
      <c r="NA227" s="62"/>
      <c r="NB227" s="63"/>
      <c r="NC227" s="61"/>
      <c r="ND227" s="62"/>
      <c r="NE227" s="91"/>
      <c r="NG227" s="275"/>
      <c r="NH227" s="1"/>
      <c r="NI227" s="1"/>
      <c r="NJ227" s="1"/>
      <c r="NK227" s="1"/>
    </row>
    <row r="228" spans="4:375" s="6" customFormat="1" ht="9.9499999999999993" customHeight="1">
      <c r="F228" s="196">
        <f t="shared" ref="F228" si="503">NG228</f>
        <v>3.1000000000000108E-4</v>
      </c>
      <c r="G228" s="197">
        <f>Q228-F228</f>
        <v>-1.0842021724855044E-18</v>
      </c>
      <c r="H228" s="27">
        <v>1</v>
      </c>
      <c r="I228" s="19" t="s">
        <v>251</v>
      </c>
      <c r="J228" s="19" t="s">
        <v>252</v>
      </c>
      <c r="K228" s="19"/>
      <c r="L228" s="339"/>
      <c r="M228" s="293" t="s">
        <v>165</v>
      </c>
      <c r="N228" s="356">
        <v>4</v>
      </c>
      <c r="O228" s="312" t="s">
        <v>26</v>
      </c>
      <c r="P228" s="307">
        <v>65003</v>
      </c>
      <c r="Q228" s="236">
        <f>ROUND(P228/$P$256,5)</f>
        <v>3.1E-4</v>
      </c>
      <c r="R228" s="21"/>
      <c r="S228" s="155">
        <f>0.0026%/30</f>
        <v>8.6666666666666659E-7</v>
      </c>
      <c r="T228" s="155">
        <f t="shared" ref="T228:AV228" si="504">0.0026%/30</f>
        <v>8.6666666666666659E-7</v>
      </c>
      <c r="U228" s="155">
        <f t="shared" si="504"/>
        <v>8.6666666666666659E-7</v>
      </c>
      <c r="V228" s="155">
        <f t="shared" si="504"/>
        <v>8.6666666666666659E-7</v>
      </c>
      <c r="W228" s="155">
        <f t="shared" si="504"/>
        <v>8.6666666666666659E-7</v>
      </c>
      <c r="X228" s="155">
        <f t="shared" si="504"/>
        <v>8.6666666666666659E-7</v>
      </c>
      <c r="Y228" s="155">
        <f t="shared" si="504"/>
        <v>8.6666666666666659E-7</v>
      </c>
      <c r="Z228" s="155">
        <f t="shared" si="504"/>
        <v>8.6666666666666659E-7</v>
      </c>
      <c r="AA228" s="155">
        <f t="shared" si="504"/>
        <v>8.6666666666666659E-7</v>
      </c>
      <c r="AB228" s="155">
        <f t="shared" si="504"/>
        <v>8.6666666666666659E-7</v>
      </c>
      <c r="AC228" s="155">
        <f t="shared" si="504"/>
        <v>8.6666666666666659E-7</v>
      </c>
      <c r="AD228" s="155">
        <f t="shared" si="504"/>
        <v>8.6666666666666659E-7</v>
      </c>
      <c r="AE228" s="155">
        <f t="shared" si="504"/>
        <v>8.6666666666666659E-7</v>
      </c>
      <c r="AF228" s="155">
        <f t="shared" si="504"/>
        <v>8.6666666666666659E-7</v>
      </c>
      <c r="AG228" s="155">
        <f t="shared" si="504"/>
        <v>8.6666666666666659E-7</v>
      </c>
      <c r="AH228" s="155">
        <f t="shared" si="504"/>
        <v>8.6666666666666659E-7</v>
      </c>
      <c r="AI228" s="155">
        <f t="shared" si="504"/>
        <v>8.6666666666666659E-7</v>
      </c>
      <c r="AJ228" s="155">
        <f t="shared" si="504"/>
        <v>8.6666666666666659E-7</v>
      </c>
      <c r="AK228" s="155">
        <f t="shared" si="504"/>
        <v>8.6666666666666659E-7</v>
      </c>
      <c r="AL228" s="155">
        <f t="shared" si="504"/>
        <v>8.6666666666666659E-7</v>
      </c>
      <c r="AM228" s="155">
        <f t="shared" si="504"/>
        <v>8.6666666666666659E-7</v>
      </c>
      <c r="AN228" s="155">
        <f t="shared" si="504"/>
        <v>8.6666666666666659E-7</v>
      </c>
      <c r="AO228" s="155">
        <f t="shared" si="504"/>
        <v>8.6666666666666659E-7</v>
      </c>
      <c r="AP228" s="155">
        <f t="shared" si="504"/>
        <v>8.6666666666666659E-7</v>
      </c>
      <c r="AQ228" s="155">
        <f t="shared" si="504"/>
        <v>8.6666666666666659E-7</v>
      </c>
      <c r="AR228" s="155">
        <f t="shared" si="504"/>
        <v>8.6666666666666659E-7</v>
      </c>
      <c r="AS228" s="155">
        <f t="shared" si="504"/>
        <v>8.6666666666666659E-7</v>
      </c>
      <c r="AT228" s="155">
        <f t="shared" si="504"/>
        <v>8.6666666666666659E-7</v>
      </c>
      <c r="AU228" s="155">
        <f t="shared" si="504"/>
        <v>8.6666666666666659E-7</v>
      </c>
      <c r="AV228" s="155">
        <f t="shared" si="504"/>
        <v>8.6666666666666659E-7</v>
      </c>
      <c r="AW228" s="155">
        <f>0.0026%/30</f>
        <v>8.6666666666666659E-7</v>
      </c>
      <c r="AX228" s="156">
        <f>AW228</f>
        <v>8.6666666666666659E-7</v>
      </c>
      <c r="AY228" s="156">
        <f t="shared" ref="AY228:BZ228" si="505">AX228</f>
        <v>8.6666666666666659E-7</v>
      </c>
      <c r="AZ228" s="156">
        <f t="shared" si="505"/>
        <v>8.6666666666666659E-7</v>
      </c>
      <c r="BA228" s="156">
        <f t="shared" si="505"/>
        <v>8.6666666666666659E-7</v>
      </c>
      <c r="BB228" s="156">
        <f t="shared" si="505"/>
        <v>8.6666666666666659E-7</v>
      </c>
      <c r="BC228" s="156">
        <f t="shared" si="505"/>
        <v>8.6666666666666659E-7</v>
      </c>
      <c r="BD228" s="156">
        <f t="shared" si="505"/>
        <v>8.6666666666666659E-7</v>
      </c>
      <c r="BE228" s="156">
        <f t="shared" si="505"/>
        <v>8.6666666666666659E-7</v>
      </c>
      <c r="BF228" s="156">
        <f t="shared" si="505"/>
        <v>8.6666666666666659E-7</v>
      </c>
      <c r="BG228" s="156">
        <f t="shared" si="505"/>
        <v>8.6666666666666659E-7</v>
      </c>
      <c r="BH228" s="156">
        <f t="shared" si="505"/>
        <v>8.6666666666666659E-7</v>
      </c>
      <c r="BI228" s="156">
        <f t="shared" si="505"/>
        <v>8.6666666666666659E-7</v>
      </c>
      <c r="BJ228" s="156">
        <f t="shared" si="505"/>
        <v>8.6666666666666659E-7</v>
      </c>
      <c r="BK228" s="156">
        <f t="shared" si="505"/>
        <v>8.6666666666666659E-7</v>
      </c>
      <c r="BL228" s="156">
        <f t="shared" si="505"/>
        <v>8.6666666666666659E-7</v>
      </c>
      <c r="BM228" s="156">
        <f t="shared" si="505"/>
        <v>8.6666666666666659E-7</v>
      </c>
      <c r="BN228" s="156">
        <f t="shared" si="505"/>
        <v>8.6666666666666659E-7</v>
      </c>
      <c r="BO228" s="156">
        <f t="shared" si="505"/>
        <v>8.6666666666666659E-7</v>
      </c>
      <c r="BP228" s="156">
        <f t="shared" si="505"/>
        <v>8.6666666666666659E-7</v>
      </c>
      <c r="BQ228" s="156">
        <f t="shared" si="505"/>
        <v>8.6666666666666659E-7</v>
      </c>
      <c r="BR228" s="156">
        <f t="shared" si="505"/>
        <v>8.6666666666666659E-7</v>
      </c>
      <c r="BS228" s="156">
        <f t="shared" si="505"/>
        <v>8.6666666666666659E-7</v>
      </c>
      <c r="BT228" s="156">
        <f t="shared" si="505"/>
        <v>8.6666666666666659E-7</v>
      </c>
      <c r="BU228" s="156">
        <f t="shared" si="505"/>
        <v>8.6666666666666659E-7</v>
      </c>
      <c r="BV228" s="156">
        <f t="shared" si="505"/>
        <v>8.6666666666666659E-7</v>
      </c>
      <c r="BW228" s="156">
        <f t="shared" si="505"/>
        <v>8.6666666666666659E-7</v>
      </c>
      <c r="BX228" s="156">
        <f t="shared" si="505"/>
        <v>8.6666666666666659E-7</v>
      </c>
      <c r="BY228" s="156">
        <f t="shared" si="505"/>
        <v>8.6666666666666659E-7</v>
      </c>
      <c r="BZ228" s="156">
        <f t="shared" si="505"/>
        <v>8.6666666666666659E-7</v>
      </c>
      <c r="CA228" s="155">
        <f>0.0026%/30</f>
        <v>8.6666666666666659E-7</v>
      </c>
      <c r="CB228" s="156">
        <f>CA228</f>
        <v>8.6666666666666659E-7</v>
      </c>
      <c r="CC228" s="156">
        <f t="shared" ref="CC228:DD228" si="506">CB228</f>
        <v>8.6666666666666659E-7</v>
      </c>
      <c r="CD228" s="156">
        <f t="shared" si="506"/>
        <v>8.6666666666666659E-7</v>
      </c>
      <c r="CE228" s="156">
        <f t="shared" si="506"/>
        <v>8.6666666666666659E-7</v>
      </c>
      <c r="CF228" s="156">
        <f t="shared" si="506"/>
        <v>8.6666666666666659E-7</v>
      </c>
      <c r="CG228" s="156">
        <f t="shared" si="506"/>
        <v>8.6666666666666659E-7</v>
      </c>
      <c r="CH228" s="156">
        <f t="shared" si="506"/>
        <v>8.6666666666666659E-7</v>
      </c>
      <c r="CI228" s="156">
        <f t="shared" si="506"/>
        <v>8.6666666666666659E-7</v>
      </c>
      <c r="CJ228" s="156">
        <f t="shared" si="506"/>
        <v>8.6666666666666659E-7</v>
      </c>
      <c r="CK228" s="156">
        <f t="shared" si="506"/>
        <v>8.6666666666666659E-7</v>
      </c>
      <c r="CL228" s="156">
        <f t="shared" si="506"/>
        <v>8.6666666666666659E-7</v>
      </c>
      <c r="CM228" s="156">
        <f t="shared" si="506"/>
        <v>8.6666666666666659E-7</v>
      </c>
      <c r="CN228" s="156">
        <f t="shared" si="506"/>
        <v>8.6666666666666659E-7</v>
      </c>
      <c r="CO228" s="156">
        <f t="shared" si="506"/>
        <v>8.6666666666666659E-7</v>
      </c>
      <c r="CP228" s="156">
        <f t="shared" si="506"/>
        <v>8.6666666666666659E-7</v>
      </c>
      <c r="CQ228" s="156">
        <f t="shared" si="506"/>
        <v>8.6666666666666659E-7</v>
      </c>
      <c r="CR228" s="156">
        <f t="shared" si="506"/>
        <v>8.6666666666666659E-7</v>
      </c>
      <c r="CS228" s="156">
        <f t="shared" si="506"/>
        <v>8.6666666666666659E-7</v>
      </c>
      <c r="CT228" s="156">
        <f t="shared" si="506"/>
        <v>8.6666666666666659E-7</v>
      </c>
      <c r="CU228" s="156">
        <f t="shared" si="506"/>
        <v>8.6666666666666659E-7</v>
      </c>
      <c r="CV228" s="156">
        <f t="shared" si="506"/>
        <v>8.6666666666666659E-7</v>
      </c>
      <c r="CW228" s="156">
        <f t="shared" si="506"/>
        <v>8.6666666666666659E-7</v>
      </c>
      <c r="CX228" s="156">
        <f t="shared" si="506"/>
        <v>8.6666666666666659E-7</v>
      </c>
      <c r="CY228" s="156">
        <f t="shared" si="506"/>
        <v>8.6666666666666659E-7</v>
      </c>
      <c r="CZ228" s="156">
        <f t="shared" si="506"/>
        <v>8.6666666666666659E-7</v>
      </c>
      <c r="DA228" s="156">
        <f t="shared" si="506"/>
        <v>8.6666666666666659E-7</v>
      </c>
      <c r="DB228" s="156">
        <f t="shared" si="506"/>
        <v>8.6666666666666659E-7</v>
      </c>
      <c r="DC228" s="156">
        <f t="shared" si="506"/>
        <v>8.6666666666666659E-7</v>
      </c>
      <c r="DD228" s="156">
        <f t="shared" si="506"/>
        <v>8.6666666666666659E-7</v>
      </c>
      <c r="DE228" s="155">
        <f>0.0005%/30</f>
        <v>1.6666666666666668E-7</v>
      </c>
      <c r="DF228" s="156">
        <f>DE228</f>
        <v>1.6666666666666668E-7</v>
      </c>
      <c r="DG228" s="156">
        <f t="shared" ref="DG228:EH228" si="507">DF228</f>
        <v>1.6666666666666668E-7</v>
      </c>
      <c r="DH228" s="156">
        <f t="shared" si="507"/>
        <v>1.6666666666666668E-7</v>
      </c>
      <c r="DI228" s="156">
        <f t="shared" si="507"/>
        <v>1.6666666666666668E-7</v>
      </c>
      <c r="DJ228" s="156">
        <f t="shared" si="507"/>
        <v>1.6666666666666668E-7</v>
      </c>
      <c r="DK228" s="156">
        <f t="shared" si="507"/>
        <v>1.6666666666666668E-7</v>
      </c>
      <c r="DL228" s="156">
        <f t="shared" si="507"/>
        <v>1.6666666666666668E-7</v>
      </c>
      <c r="DM228" s="156">
        <f t="shared" si="507"/>
        <v>1.6666666666666668E-7</v>
      </c>
      <c r="DN228" s="156">
        <f t="shared" si="507"/>
        <v>1.6666666666666668E-7</v>
      </c>
      <c r="DO228" s="156">
        <f t="shared" si="507"/>
        <v>1.6666666666666668E-7</v>
      </c>
      <c r="DP228" s="156">
        <f t="shared" si="507"/>
        <v>1.6666666666666668E-7</v>
      </c>
      <c r="DQ228" s="156">
        <f t="shared" si="507"/>
        <v>1.6666666666666668E-7</v>
      </c>
      <c r="DR228" s="156">
        <f t="shared" si="507"/>
        <v>1.6666666666666668E-7</v>
      </c>
      <c r="DS228" s="156">
        <f t="shared" si="507"/>
        <v>1.6666666666666668E-7</v>
      </c>
      <c r="DT228" s="156">
        <f t="shared" si="507"/>
        <v>1.6666666666666668E-7</v>
      </c>
      <c r="DU228" s="156">
        <f t="shared" si="507"/>
        <v>1.6666666666666668E-7</v>
      </c>
      <c r="DV228" s="156">
        <f t="shared" si="507"/>
        <v>1.6666666666666668E-7</v>
      </c>
      <c r="DW228" s="156">
        <f t="shared" si="507"/>
        <v>1.6666666666666668E-7</v>
      </c>
      <c r="DX228" s="156">
        <f t="shared" si="507"/>
        <v>1.6666666666666668E-7</v>
      </c>
      <c r="DY228" s="156">
        <f t="shared" si="507"/>
        <v>1.6666666666666668E-7</v>
      </c>
      <c r="DZ228" s="156">
        <f t="shared" si="507"/>
        <v>1.6666666666666668E-7</v>
      </c>
      <c r="EA228" s="156">
        <f t="shared" si="507"/>
        <v>1.6666666666666668E-7</v>
      </c>
      <c r="EB228" s="156">
        <f t="shared" si="507"/>
        <v>1.6666666666666668E-7</v>
      </c>
      <c r="EC228" s="156">
        <f t="shared" si="507"/>
        <v>1.6666666666666668E-7</v>
      </c>
      <c r="ED228" s="156">
        <f t="shared" si="507"/>
        <v>1.6666666666666668E-7</v>
      </c>
      <c r="EE228" s="156">
        <f t="shared" si="507"/>
        <v>1.6666666666666668E-7</v>
      </c>
      <c r="EF228" s="156">
        <f t="shared" si="507"/>
        <v>1.6666666666666668E-7</v>
      </c>
      <c r="EG228" s="156">
        <f t="shared" si="507"/>
        <v>1.6666666666666668E-7</v>
      </c>
      <c r="EH228" s="156">
        <f t="shared" si="507"/>
        <v>1.6666666666666668E-7</v>
      </c>
      <c r="EI228" s="155">
        <f>0.0005%/30</f>
        <v>1.6666666666666668E-7</v>
      </c>
      <c r="EJ228" s="156">
        <f>EI228</f>
        <v>1.6666666666666668E-7</v>
      </c>
      <c r="EK228" s="156">
        <f t="shared" ref="EK228:FL228" si="508">EJ228</f>
        <v>1.6666666666666668E-7</v>
      </c>
      <c r="EL228" s="156">
        <f t="shared" si="508"/>
        <v>1.6666666666666668E-7</v>
      </c>
      <c r="EM228" s="156">
        <f t="shared" si="508"/>
        <v>1.6666666666666668E-7</v>
      </c>
      <c r="EN228" s="156">
        <f t="shared" si="508"/>
        <v>1.6666666666666668E-7</v>
      </c>
      <c r="EO228" s="156">
        <f t="shared" si="508"/>
        <v>1.6666666666666668E-7</v>
      </c>
      <c r="EP228" s="156">
        <f t="shared" si="508"/>
        <v>1.6666666666666668E-7</v>
      </c>
      <c r="EQ228" s="156">
        <f t="shared" si="508"/>
        <v>1.6666666666666668E-7</v>
      </c>
      <c r="ER228" s="156">
        <f t="shared" si="508"/>
        <v>1.6666666666666668E-7</v>
      </c>
      <c r="ES228" s="156">
        <f t="shared" si="508"/>
        <v>1.6666666666666668E-7</v>
      </c>
      <c r="ET228" s="156">
        <f t="shared" si="508"/>
        <v>1.6666666666666668E-7</v>
      </c>
      <c r="EU228" s="156">
        <f t="shared" si="508"/>
        <v>1.6666666666666668E-7</v>
      </c>
      <c r="EV228" s="156">
        <f t="shared" si="508"/>
        <v>1.6666666666666668E-7</v>
      </c>
      <c r="EW228" s="156">
        <f t="shared" si="508"/>
        <v>1.6666666666666668E-7</v>
      </c>
      <c r="EX228" s="156">
        <f t="shared" si="508"/>
        <v>1.6666666666666668E-7</v>
      </c>
      <c r="EY228" s="156">
        <f t="shared" si="508"/>
        <v>1.6666666666666668E-7</v>
      </c>
      <c r="EZ228" s="156">
        <f t="shared" si="508"/>
        <v>1.6666666666666668E-7</v>
      </c>
      <c r="FA228" s="156">
        <f t="shared" si="508"/>
        <v>1.6666666666666668E-7</v>
      </c>
      <c r="FB228" s="156">
        <f t="shared" si="508"/>
        <v>1.6666666666666668E-7</v>
      </c>
      <c r="FC228" s="156">
        <f t="shared" si="508"/>
        <v>1.6666666666666668E-7</v>
      </c>
      <c r="FD228" s="156">
        <f t="shared" si="508"/>
        <v>1.6666666666666668E-7</v>
      </c>
      <c r="FE228" s="156">
        <f t="shared" si="508"/>
        <v>1.6666666666666668E-7</v>
      </c>
      <c r="FF228" s="156">
        <f t="shared" si="508"/>
        <v>1.6666666666666668E-7</v>
      </c>
      <c r="FG228" s="156">
        <f t="shared" si="508"/>
        <v>1.6666666666666668E-7</v>
      </c>
      <c r="FH228" s="156">
        <f t="shared" si="508"/>
        <v>1.6666666666666668E-7</v>
      </c>
      <c r="FI228" s="156">
        <f t="shared" si="508"/>
        <v>1.6666666666666668E-7</v>
      </c>
      <c r="FJ228" s="156">
        <f t="shared" si="508"/>
        <v>1.6666666666666668E-7</v>
      </c>
      <c r="FK228" s="156">
        <f t="shared" si="508"/>
        <v>1.6666666666666668E-7</v>
      </c>
      <c r="FL228" s="156">
        <f t="shared" si="508"/>
        <v>1.6666666666666668E-7</v>
      </c>
      <c r="FM228" s="155">
        <f>0.0026%/30</f>
        <v>8.6666666666666659E-7</v>
      </c>
      <c r="FN228" s="156">
        <f>FM228</f>
        <v>8.6666666666666659E-7</v>
      </c>
      <c r="FO228" s="156">
        <f t="shared" ref="FO228:GP228" si="509">FN228</f>
        <v>8.6666666666666659E-7</v>
      </c>
      <c r="FP228" s="156">
        <f t="shared" si="509"/>
        <v>8.6666666666666659E-7</v>
      </c>
      <c r="FQ228" s="156">
        <f t="shared" si="509"/>
        <v>8.6666666666666659E-7</v>
      </c>
      <c r="FR228" s="156">
        <f t="shared" si="509"/>
        <v>8.6666666666666659E-7</v>
      </c>
      <c r="FS228" s="156">
        <f t="shared" si="509"/>
        <v>8.6666666666666659E-7</v>
      </c>
      <c r="FT228" s="156">
        <f t="shared" si="509"/>
        <v>8.6666666666666659E-7</v>
      </c>
      <c r="FU228" s="156">
        <f t="shared" si="509"/>
        <v>8.6666666666666659E-7</v>
      </c>
      <c r="FV228" s="156">
        <f t="shared" si="509"/>
        <v>8.6666666666666659E-7</v>
      </c>
      <c r="FW228" s="156">
        <f t="shared" si="509"/>
        <v>8.6666666666666659E-7</v>
      </c>
      <c r="FX228" s="156">
        <f t="shared" si="509"/>
        <v>8.6666666666666659E-7</v>
      </c>
      <c r="FY228" s="156">
        <f t="shared" si="509"/>
        <v>8.6666666666666659E-7</v>
      </c>
      <c r="FZ228" s="156">
        <f t="shared" si="509"/>
        <v>8.6666666666666659E-7</v>
      </c>
      <c r="GA228" s="156">
        <f t="shared" si="509"/>
        <v>8.6666666666666659E-7</v>
      </c>
      <c r="GB228" s="156">
        <f t="shared" si="509"/>
        <v>8.6666666666666659E-7</v>
      </c>
      <c r="GC228" s="156">
        <f t="shared" si="509"/>
        <v>8.6666666666666659E-7</v>
      </c>
      <c r="GD228" s="156">
        <f t="shared" si="509"/>
        <v>8.6666666666666659E-7</v>
      </c>
      <c r="GE228" s="156">
        <f t="shared" si="509"/>
        <v>8.6666666666666659E-7</v>
      </c>
      <c r="GF228" s="156">
        <f t="shared" si="509"/>
        <v>8.6666666666666659E-7</v>
      </c>
      <c r="GG228" s="156">
        <f t="shared" si="509"/>
        <v>8.6666666666666659E-7</v>
      </c>
      <c r="GH228" s="156">
        <f t="shared" si="509"/>
        <v>8.6666666666666659E-7</v>
      </c>
      <c r="GI228" s="156">
        <f t="shared" si="509"/>
        <v>8.6666666666666659E-7</v>
      </c>
      <c r="GJ228" s="156">
        <f t="shared" si="509"/>
        <v>8.6666666666666659E-7</v>
      </c>
      <c r="GK228" s="156">
        <f t="shared" si="509"/>
        <v>8.6666666666666659E-7</v>
      </c>
      <c r="GL228" s="156">
        <f t="shared" si="509"/>
        <v>8.6666666666666659E-7</v>
      </c>
      <c r="GM228" s="156">
        <f t="shared" si="509"/>
        <v>8.6666666666666659E-7</v>
      </c>
      <c r="GN228" s="156">
        <f t="shared" si="509"/>
        <v>8.6666666666666659E-7</v>
      </c>
      <c r="GO228" s="156">
        <f t="shared" si="509"/>
        <v>8.6666666666666659E-7</v>
      </c>
      <c r="GP228" s="156">
        <f t="shared" si="509"/>
        <v>8.6666666666666659E-7</v>
      </c>
      <c r="GQ228" s="155">
        <f>0.0026%/30</f>
        <v>8.6666666666666659E-7</v>
      </c>
      <c r="GR228" s="156">
        <f>GQ228</f>
        <v>8.6666666666666659E-7</v>
      </c>
      <c r="GS228" s="156">
        <f t="shared" ref="GS228:HT228" si="510">GR228</f>
        <v>8.6666666666666659E-7</v>
      </c>
      <c r="GT228" s="156">
        <f t="shared" si="510"/>
        <v>8.6666666666666659E-7</v>
      </c>
      <c r="GU228" s="156">
        <f t="shared" si="510"/>
        <v>8.6666666666666659E-7</v>
      </c>
      <c r="GV228" s="156">
        <f t="shared" si="510"/>
        <v>8.6666666666666659E-7</v>
      </c>
      <c r="GW228" s="156">
        <f t="shared" si="510"/>
        <v>8.6666666666666659E-7</v>
      </c>
      <c r="GX228" s="156">
        <f t="shared" si="510"/>
        <v>8.6666666666666659E-7</v>
      </c>
      <c r="GY228" s="156">
        <f t="shared" si="510"/>
        <v>8.6666666666666659E-7</v>
      </c>
      <c r="GZ228" s="156">
        <f t="shared" si="510"/>
        <v>8.6666666666666659E-7</v>
      </c>
      <c r="HA228" s="156">
        <f t="shared" si="510"/>
        <v>8.6666666666666659E-7</v>
      </c>
      <c r="HB228" s="156">
        <f t="shared" si="510"/>
        <v>8.6666666666666659E-7</v>
      </c>
      <c r="HC228" s="156">
        <f t="shared" si="510"/>
        <v>8.6666666666666659E-7</v>
      </c>
      <c r="HD228" s="156">
        <f t="shared" si="510"/>
        <v>8.6666666666666659E-7</v>
      </c>
      <c r="HE228" s="156">
        <f t="shared" si="510"/>
        <v>8.6666666666666659E-7</v>
      </c>
      <c r="HF228" s="156">
        <f t="shared" si="510"/>
        <v>8.6666666666666659E-7</v>
      </c>
      <c r="HG228" s="156">
        <f t="shared" si="510"/>
        <v>8.6666666666666659E-7</v>
      </c>
      <c r="HH228" s="156">
        <f t="shared" si="510"/>
        <v>8.6666666666666659E-7</v>
      </c>
      <c r="HI228" s="156">
        <f t="shared" si="510"/>
        <v>8.6666666666666659E-7</v>
      </c>
      <c r="HJ228" s="156">
        <f t="shared" si="510"/>
        <v>8.6666666666666659E-7</v>
      </c>
      <c r="HK228" s="156">
        <f t="shared" si="510"/>
        <v>8.6666666666666659E-7</v>
      </c>
      <c r="HL228" s="156">
        <f t="shared" si="510"/>
        <v>8.6666666666666659E-7</v>
      </c>
      <c r="HM228" s="156">
        <f t="shared" si="510"/>
        <v>8.6666666666666659E-7</v>
      </c>
      <c r="HN228" s="156">
        <f t="shared" si="510"/>
        <v>8.6666666666666659E-7</v>
      </c>
      <c r="HO228" s="156">
        <f t="shared" si="510"/>
        <v>8.6666666666666659E-7</v>
      </c>
      <c r="HP228" s="156">
        <f t="shared" si="510"/>
        <v>8.6666666666666659E-7</v>
      </c>
      <c r="HQ228" s="156">
        <f t="shared" si="510"/>
        <v>8.6666666666666659E-7</v>
      </c>
      <c r="HR228" s="156">
        <f t="shared" si="510"/>
        <v>8.6666666666666659E-7</v>
      </c>
      <c r="HS228" s="156">
        <f t="shared" si="510"/>
        <v>8.6666666666666659E-7</v>
      </c>
      <c r="HT228" s="156">
        <f t="shared" si="510"/>
        <v>8.6666666666666659E-7</v>
      </c>
      <c r="HU228" s="155">
        <f>0.0026%/30</f>
        <v>8.6666666666666659E-7</v>
      </c>
      <c r="HV228" s="156">
        <f>HU228</f>
        <v>8.6666666666666659E-7</v>
      </c>
      <c r="HW228" s="156">
        <f t="shared" ref="HW228:IX228" si="511">HV228</f>
        <v>8.6666666666666659E-7</v>
      </c>
      <c r="HX228" s="156">
        <f t="shared" si="511"/>
        <v>8.6666666666666659E-7</v>
      </c>
      <c r="HY228" s="156">
        <f t="shared" si="511"/>
        <v>8.6666666666666659E-7</v>
      </c>
      <c r="HZ228" s="156">
        <f t="shared" si="511"/>
        <v>8.6666666666666659E-7</v>
      </c>
      <c r="IA228" s="156">
        <f t="shared" si="511"/>
        <v>8.6666666666666659E-7</v>
      </c>
      <c r="IB228" s="156">
        <f t="shared" si="511"/>
        <v>8.6666666666666659E-7</v>
      </c>
      <c r="IC228" s="156">
        <f t="shared" si="511"/>
        <v>8.6666666666666659E-7</v>
      </c>
      <c r="ID228" s="156">
        <f t="shared" si="511"/>
        <v>8.6666666666666659E-7</v>
      </c>
      <c r="IE228" s="156">
        <f t="shared" si="511"/>
        <v>8.6666666666666659E-7</v>
      </c>
      <c r="IF228" s="156">
        <f t="shared" si="511"/>
        <v>8.6666666666666659E-7</v>
      </c>
      <c r="IG228" s="156">
        <f t="shared" si="511"/>
        <v>8.6666666666666659E-7</v>
      </c>
      <c r="IH228" s="156">
        <f t="shared" si="511"/>
        <v>8.6666666666666659E-7</v>
      </c>
      <c r="II228" s="156">
        <f t="shared" si="511"/>
        <v>8.6666666666666659E-7</v>
      </c>
      <c r="IJ228" s="156">
        <f t="shared" si="511"/>
        <v>8.6666666666666659E-7</v>
      </c>
      <c r="IK228" s="156">
        <f t="shared" si="511"/>
        <v>8.6666666666666659E-7</v>
      </c>
      <c r="IL228" s="156">
        <f t="shared" si="511"/>
        <v>8.6666666666666659E-7</v>
      </c>
      <c r="IM228" s="156">
        <f t="shared" si="511"/>
        <v>8.6666666666666659E-7</v>
      </c>
      <c r="IN228" s="156">
        <f t="shared" si="511"/>
        <v>8.6666666666666659E-7</v>
      </c>
      <c r="IO228" s="156">
        <f t="shared" si="511"/>
        <v>8.6666666666666659E-7</v>
      </c>
      <c r="IP228" s="156">
        <f t="shared" si="511"/>
        <v>8.6666666666666659E-7</v>
      </c>
      <c r="IQ228" s="156">
        <f t="shared" si="511"/>
        <v>8.6666666666666659E-7</v>
      </c>
      <c r="IR228" s="156">
        <f t="shared" si="511"/>
        <v>8.6666666666666659E-7</v>
      </c>
      <c r="IS228" s="156">
        <f t="shared" si="511"/>
        <v>8.6666666666666659E-7</v>
      </c>
      <c r="IT228" s="156">
        <f t="shared" si="511"/>
        <v>8.6666666666666659E-7</v>
      </c>
      <c r="IU228" s="156">
        <f t="shared" si="511"/>
        <v>8.6666666666666659E-7</v>
      </c>
      <c r="IV228" s="156">
        <f t="shared" si="511"/>
        <v>8.6666666666666659E-7</v>
      </c>
      <c r="IW228" s="156">
        <f t="shared" si="511"/>
        <v>8.6666666666666659E-7</v>
      </c>
      <c r="IX228" s="156">
        <f t="shared" si="511"/>
        <v>8.6666666666666659E-7</v>
      </c>
      <c r="IY228" s="155">
        <f>0.0005%/30</f>
        <v>1.6666666666666668E-7</v>
      </c>
      <c r="IZ228" s="156">
        <f>IY228</f>
        <v>1.6666666666666668E-7</v>
      </c>
      <c r="JA228" s="156">
        <f t="shared" ref="JA228:KB228" si="512">IZ228</f>
        <v>1.6666666666666668E-7</v>
      </c>
      <c r="JB228" s="156">
        <f t="shared" si="512"/>
        <v>1.6666666666666668E-7</v>
      </c>
      <c r="JC228" s="156">
        <f t="shared" si="512"/>
        <v>1.6666666666666668E-7</v>
      </c>
      <c r="JD228" s="156">
        <f t="shared" si="512"/>
        <v>1.6666666666666668E-7</v>
      </c>
      <c r="JE228" s="156">
        <f t="shared" si="512"/>
        <v>1.6666666666666668E-7</v>
      </c>
      <c r="JF228" s="156">
        <f t="shared" si="512"/>
        <v>1.6666666666666668E-7</v>
      </c>
      <c r="JG228" s="156">
        <f t="shared" si="512"/>
        <v>1.6666666666666668E-7</v>
      </c>
      <c r="JH228" s="156">
        <f t="shared" si="512"/>
        <v>1.6666666666666668E-7</v>
      </c>
      <c r="JI228" s="156">
        <f t="shared" si="512"/>
        <v>1.6666666666666668E-7</v>
      </c>
      <c r="JJ228" s="156">
        <f t="shared" si="512"/>
        <v>1.6666666666666668E-7</v>
      </c>
      <c r="JK228" s="156">
        <f t="shared" si="512"/>
        <v>1.6666666666666668E-7</v>
      </c>
      <c r="JL228" s="156">
        <f t="shared" si="512"/>
        <v>1.6666666666666668E-7</v>
      </c>
      <c r="JM228" s="156">
        <f t="shared" si="512"/>
        <v>1.6666666666666668E-7</v>
      </c>
      <c r="JN228" s="156">
        <f t="shared" si="512"/>
        <v>1.6666666666666668E-7</v>
      </c>
      <c r="JO228" s="156">
        <f t="shared" si="512"/>
        <v>1.6666666666666668E-7</v>
      </c>
      <c r="JP228" s="156">
        <f t="shared" si="512"/>
        <v>1.6666666666666668E-7</v>
      </c>
      <c r="JQ228" s="156">
        <f t="shared" si="512"/>
        <v>1.6666666666666668E-7</v>
      </c>
      <c r="JR228" s="156">
        <f t="shared" si="512"/>
        <v>1.6666666666666668E-7</v>
      </c>
      <c r="JS228" s="156">
        <f t="shared" si="512"/>
        <v>1.6666666666666668E-7</v>
      </c>
      <c r="JT228" s="156">
        <f t="shared" si="512"/>
        <v>1.6666666666666668E-7</v>
      </c>
      <c r="JU228" s="156">
        <f t="shared" si="512"/>
        <v>1.6666666666666668E-7</v>
      </c>
      <c r="JV228" s="156">
        <f t="shared" si="512"/>
        <v>1.6666666666666668E-7</v>
      </c>
      <c r="JW228" s="156">
        <f t="shared" si="512"/>
        <v>1.6666666666666668E-7</v>
      </c>
      <c r="JX228" s="156">
        <f t="shared" si="512"/>
        <v>1.6666666666666668E-7</v>
      </c>
      <c r="JY228" s="156">
        <f t="shared" si="512"/>
        <v>1.6666666666666668E-7</v>
      </c>
      <c r="JZ228" s="156">
        <f t="shared" si="512"/>
        <v>1.6666666666666668E-7</v>
      </c>
      <c r="KA228" s="156">
        <f t="shared" si="512"/>
        <v>1.6666666666666668E-7</v>
      </c>
      <c r="KB228" s="156">
        <f t="shared" si="512"/>
        <v>1.6666666666666668E-7</v>
      </c>
      <c r="KC228" s="220">
        <v>5.0000000000000004E-6</v>
      </c>
      <c r="KD228" s="212"/>
      <c r="KE228" s="212"/>
      <c r="KF228" s="220">
        <v>5.0000000000000004E-6</v>
      </c>
      <c r="KG228" s="212"/>
      <c r="KH228" s="212"/>
      <c r="KI228" s="220">
        <v>5.0000000000000004E-6</v>
      </c>
      <c r="KJ228" s="212"/>
      <c r="KK228" s="212"/>
      <c r="KL228" s="220">
        <v>5.0000000000000004E-6</v>
      </c>
      <c r="KM228" s="212"/>
      <c r="KN228" s="212"/>
      <c r="KO228" s="220">
        <v>5.0000000000000004E-6</v>
      </c>
      <c r="KP228" s="212"/>
      <c r="KQ228" s="212"/>
      <c r="KR228" s="220">
        <v>5.0000000000000004E-6</v>
      </c>
      <c r="KS228" s="212"/>
      <c r="KT228" s="212"/>
      <c r="KU228" s="220">
        <v>5.0000000000000004E-6</v>
      </c>
      <c r="KV228" s="212"/>
      <c r="KW228" s="212"/>
      <c r="KX228" s="220">
        <v>5.0000000000000004E-6</v>
      </c>
      <c r="KY228" s="212"/>
      <c r="KZ228" s="218"/>
      <c r="LA228" s="211">
        <v>5.0000000000000004E-6</v>
      </c>
      <c r="LB228" s="212"/>
      <c r="LC228" s="213"/>
      <c r="LD228" s="220">
        <v>5.0000000000000004E-6</v>
      </c>
      <c r="LE228" s="212"/>
      <c r="LF228" s="212"/>
      <c r="LG228" s="220">
        <v>5.0000000000000004E-6</v>
      </c>
      <c r="LH228" s="212"/>
      <c r="LI228" s="212"/>
      <c r="LJ228" s="220">
        <v>5.0000000000000004E-6</v>
      </c>
      <c r="LK228" s="212"/>
      <c r="LL228" s="212"/>
      <c r="LM228" s="220">
        <v>5.0000000000000004E-6</v>
      </c>
      <c r="LN228" s="212"/>
      <c r="LO228" s="212"/>
      <c r="LP228" s="220">
        <v>5.0000000000000004E-6</v>
      </c>
      <c r="LQ228" s="212"/>
      <c r="LR228" s="212"/>
      <c r="LS228" s="220">
        <v>5.0000000000000004E-6</v>
      </c>
      <c r="LT228" s="212"/>
      <c r="LU228" s="212"/>
      <c r="LV228" s="220">
        <v>5.0000000000000004E-6</v>
      </c>
      <c r="LW228" s="212"/>
      <c r="LX228" s="212"/>
      <c r="LY228" s="220">
        <v>5.0000000000000004E-6</v>
      </c>
      <c r="LZ228" s="212"/>
      <c r="MA228" s="212"/>
      <c r="MB228" s="220">
        <v>5.0000000000000004E-6</v>
      </c>
      <c r="MC228" s="212"/>
      <c r="MD228" s="212"/>
      <c r="ME228" s="220">
        <v>5.0000000000000004E-6</v>
      </c>
      <c r="MF228" s="212"/>
      <c r="MG228" s="212"/>
      <c r="MH228" s="220">
        <v>5.0000000000000004E-6</v>
      </c>
      <c r="MI228" s="212"/>
      <c r="MJ228" s="212"/>
      <c r="MK228" s="220">
        <v>5.0000000000000004E-6</v>
      </c>
      <c r="ML228" s="212"/>
      <c r="MM228" s="212"/>
      <c r="MN228" s="220">
        <v>5.0000000000000004E-6</v>
      </c>
      <c r="MO228" s="212"/>
      <c r="MP228" s="212"/>
      <c r="MQ228" s="220">
        <v>5.0000000000000004E-6</v>
      </c>
      <c r="MR228" s="212"/>
      <c r="MS228" s="212"/>
      <c r="MT228" s="220">
        <v>5.0000000000000004E-6</v>
      </c>
      <c r="MU228" s="212"/>
      <c r="MV228" s="212"/>
      <c r="MW228" s="220">
        <v>5.0000000000000004E-6</v>
      </c>
      <c r="MX228" s="212"/>
      <c r="MY228" s="212"/>
      <c r="MZ228" s="220">
        <v>5.0000000000000004E-6</v>
      </c>
      <c r="NA228" s="212"/>
      <c r="NB228" s="212"/>
      <c r="NC228" s="217">
        <v>9.0000000000000002E-6</v>
      </c>
      <c r="ND228" s="217"/>
      <c r="NE228" s="285"/>
      <c r="NG228" s="275">
        <f>SUM(R228:NE228)</f>
        <v>3.1000000000000108E-4</v>
      </c>
      <c r="NH228" s="1"/>
      <c r="NI228" s="1"/>
      <c r="NJ228" s="1"/>
      <c r="NK228" s="1"/>
    </row>
    <row r="229" spans="4:375" s="6" customFormat="1" ht="6.95" customHeight="1">
      <c r="F229" s="196"/>
      <c r="G229" s="197"/>
      <c r="H229" s="52">
        <v>2</v>
      </c>
      <c r="L229" s="340"/>
      <c r="M229" s="294"/>
      <c r="N229" s="357"/>
      <c r="O229" s="306"/>
      <c r="P229" s="308"/>
      <c r="Q229" s="237"/>
      <c r="R229" s="60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  <c r="BT229" s="62"/>
      <c r="BU229" s="62"/>
      <c r="BV229" s="62"/>
      <c r="BW229" s="62"/>
      <c r="BX229" s="62"/>
      <c r="BY229" s="62"/>
      <c r="BZ229" s="63"/>
      <c r="CA229" s="61"/>
      <c r="CB229" s="62"/>
      <c r="CC229" s="62"/>
      <c r="CD229" s="62"/>
      <c r="CE229" s="62"/>
      <c r="CF229" s="62"/>
      <c r="CG229" s="62"/>
      <c r="CH229" s="62"/>
      <c r="CI229" s="62"/>
      <c r="CJ229" s="62"/>
      <c r="CK229" s="62"/>
      <c r="CL229" s="62"/>
      <c r="CM229" s="62"/>
      <c r="CN229" s="62"/>
      <c r="CO229" s="62"/>
      <c r="CP229" s="62"/>
      <c r="CQ229" s="62"/>
      <c r="CR229" s="62"/>
      <c r="CS229" s="62"/>
      <c r="CT229" s="62"/>
      <c r="CU229" s="62"/>
      <c r="CV229" s="62"/>
      <c r="CW229" s="62"/>
      <c r="CX229" s="62"/>
      <c r="CY229" s="62"/>
      <c r="CZ229" s="62"/>
      <c r="DA229" s="62"/>
      <c r="DB229" s="62"/>
      <c r="DC229" s="62"/>
      <c r="DD229" s="62"/>
      <c r="DE229" s="61"/>
      <c r="DF229" s="62"/>
      <c r="DG229" s="62"/>
      <c r="DH229" s="62"/>
      <c r="DI229" s="62"/>
      <c r="DJ229" s="62"/>
      <c r="DK229" s="62"/>
      <c r="DL229" s="62"/>
      <c r="DM229" s="62"/>
      <c r="DN229" s="62"/>
      <c r="DO229" s="62"/>
      <c r="DP229" s="62"/>
      <c r="DQ229" s="62"/>
      <c r="DR229" s="62"/>
      <c r="DS229" s="62"/>
      <c r="DT229" s="62"/>
      <c r="DU229" s="62"/>
      <c r="DV229" s="62"/>
      <c r="DW229" s="62"/>
      <c r="DX229" s="62"/>
      <c r="DY229" s="62"/>
      <c r="DZ229" s="62"/>
      <c r="EA229" s="62"/>
      <c r="EB229" s="62"/>
      <c r="EC229" s="62"/>
      <c r="ED229" s="62"/>
      <c r="EE229" s="62"/>
      <c r="EF229" s="62"/>
      <c r="EG229" s="62"/>
      <c r="EH229" s="62"/>
      <c r="EI229" s="61"/>
      <c r="EJ229" s="62"/>
      <c r="EK229" s="62"/>
      <c r="EL229" s="62"/>
      <c r="EM229" s="62"/>
      <c r="EN229" s="62"/>
      <c r="EO229" s="62"/>
      <c r="EP229" s="62"/>
      <c r="EQ229" s="62"/>
      <c r="ER229" s="62"/>
      <c r="ES229" s="62"/>
      <c r="ET229" s="62"/>
      <c r="EU229" s="62"/>
      <c r="EV229" s="62"/>
      <c r="EW229" s="62"/>
      <c r="EX229" s="62"/>
      <c r="EY229" s="62"/>
      <c r="EZ229" s="62"/>
      <c r="FA229" s="62"/>
      <c r="FB229" s="62"/>
      <c r="FC229" s="62"/>
      <c r="FD229" s="62"/>
      <c r="FE229" s="62"/>
      <c r="FF229" s="62"/>
      <c r="FG229" s="62"/>
      <c r="FH229" s="62"/>
      <c r="FI229" s="62"/>
      <c r="FJ229" s="62"/>
      <c r="FK229" s="62"/>
      <c r="FL229" s="62"/>
      <c r="FM229" s="61"/>
      <c r="FN229" s="62"/>
      <c r="FO229" s="62"/>
      <c r="FP229" s="62"/>
      <c r="FQ229" s="62"/>
      <c r="FR229" s="62"/>
      <c r="FS229" s="62"/>
      <c r="FT229" s="62"/>
      <c r="FU229" s="62"/>
      <c r="FV229" s="62"/>
      <c r="FW229" s="62"/>
      <c r="FX229" s="62"/>
      <c r="FY229" s="62"/>
      <c r="FZ229" s="62"/>
      <c r="GA229" s="62"/>
      <c r="GB229" s="62"/>
      <c r="GC229" s="62"/>
      <c r="GD229" s="62"/>
      <c r="GE229" s="62"/>
      <c r="GF229" s="62"/>
      <c r="GG229" s="62"/>
      <c r="GH229" s="62"/>
      <c r="GI229" s="62"/>
      <c r="GJ229" s="62"/>
      <c r="GK229" s="62"/>
      <c r="GL229" s="62"/>
      <c r="GM229" s="62"/>
      <c r="GN229" s="62"/>
      <c r="GO229" s="62"/>
      <c r="GP229" s="62"/>
      <c r="GQ229" s="61"/>
      <c r="GR229" s="62"/>
      <c r="GS229" s="62"/>
      <c r="GT229" s="62"/>
      <c r="GU229" s="62"/>
      <c r="GV229" s="62"/>
      <c r="GW229" s="62"/>
      <c r="GX229" s="62"/>
      <c r="GY229" s="62"/>
      <c r="GZ229" s="62"/>
      <c r="HA229" s="62"/>
      <c r="HB229" s="62"/>
      <c r="HC229" s="62"/>
      <c r="HD229" s="62"/>
      <c r="HE229" s="62"/>
      <c r="HF229" s="62"/>
      <c r="HG229" s="62"/>
      <c r="HH229" s="62"/>
      <c r="HI229" s="62"/>
      <c r="HJ229" s="62"/>
      <c r="HK229" s="62"/>
      <c r="HL229" s="62"/>
      <c r="HM229" s="62"/>
      <c r="HN229" s="62"/>
      <c r="HO229" s="62"/>
      <c r="HP229" s="62"/>
      <c r="HQ229" s="62"/>
      <c r="HR229" s="62"/>
      <c r="HS229" s="62"/>
      <c r="HT229" s="62"/>
      <c r="HU229" s="61"/>
      <c r="HV229" s="62"/>
      <c r="HW229" s="62"/>
      <c r="HX229" s="62"/>
      <c r="HY229" s="62"/>
      <c r="HZ229" s="62"/>
      <c r="IA229" s="62"/>
      <c r="IB229" s="62"/>
      <c r="IC229" s="62"/>
      <c r="ID229" s="62"/>
      <c r="IE229" s="62"/>
      <c r="IF229" s="62"/>
      <c r="IG229" s="62"/>
      <c r="IH229" s="62"/>
      <c r="II229" s="62"/>
      <c r="IJ229" s="62"/>
      <c r="IK229" s="62"/>
      <c r="IL229" s="62"/>
      <c r="IM229" s="62"/>
      <c r="IN229" s="62"/>
      <c r="IO229" s="62"/>
      <c r="IP229" s="62"/>
      <c r="IQ229" s="62"/>
      <c r="IR229" s="62"/>
      <c r="IS229" s="62"/>
      <c r="IT229" s="62"/>
      <c r="IU229" s="62"/>
      <c r="IV229" s="62"/>
      <c r="IW229" s="62"/>
      <c r="IX229" s="62"/>
      <c r="IY229" s="61"/>
      <c r="IZ229" s="62"/>
      <c r="JA229" s="62"/>
      <c r="JB229" s="62"/>
      <c r="JC229" s="62"/>
      <c r="JD229" s="62"/>
      <c r="JE229" s="62"/>
      <c r="JF229" s="62"/>
      <c r="JG229" s="62"/>
      <c r="JH229" s="62"/>
      <c r="JI229" s="62"/>
      <c r="JJ229" s="62"/>
      <c r="JK229" s="62"/>
      <c r="JL229" s="62"/>
      <c r="JM229" s="62"/>
      <c r="JN229" s="62"/>
      <c r="JO229" s="62"/>
      <c r="JP229" s="62"/>
      <c r="JQ229" s="62"/>
      <c r="JR229" s="62"/>
      <c r="JS229" s="62"/>
      <c r="JT229" s="62"/>
      <c r="JU229" s="62"/>
      <c r="JV229" s="62"/>
      <c r="JW229" s="62"/>
      <c r="JX229" s="62"/>
      <c r="JY229" s="62"/>
      <c r="JZ229" s="62"/>
      <c r="KA229" s="62"/>
      <c r="KB229" s="62"/>
      <c r="KC229" s="61"/>
      <c r="KD229" s="62"/>
      <c r="KE229" s="63"/>
      <c r="KF229" s="61"/>
      <c r="KG229" s="62"/>
      <c r="KH229" s="63"/>
      <c r="KI229" s="61"/>
      <c r="KJ229" s="62"/>
      <c r="KK229" s="63"/>
      <c r="KL229" s="61"/>
      <c r="KM229" s="62"/>
      <c r="KN229" s="63"/>
      <c r="KO229" s="61"/>
      <c r="KP229" s="62"/>
      <c r="KQ229" s="63"/>
      <c r="KR229" s="61"/>
      <c r="KS229" s="62"/>
      <c r="KT229" s="63"/>
      <c r="KU229" s="61"/>
      <c r="KV229" s="62"/>
      <c r="KW229" s="63"/>
      <c r="KX229" s="61"/>
      <c r="KY229" s="62"/>
      <c r="KZ229" s="63"/>
      <c r="LA229" s="61"/>
      <c r="LB229" s="62"/>
      <c r="LC229" s="63"/>
      <c r="LD229" s="61"/>
      <c r="LE229" s="62"/>
      <c r="LF229" s="63"/>
      <c r="LG229" s="61"/>
      <c r="LH229" s="62"/>
      <c r="LI229" s="63"/>
      <c r="LJ229" s="61"/>
      <c r="LK229" s="62"/>
      <c r="LL229" s="63"/>
      <c r="LM229" s="61"/>
      <c r="LN229" s="62"/>
      <c r="LO229" s="63"/>
      <c r="LP229" s="61"/>
      <c r="LQ229" s="62"/>
      <c r="LR229" s="63"/>
      <c r="LS229" s="61"/>
      <c r="LT229" s="62"/>
      <c r="LU229" s="63"/>
      <c r="LV229" s="61"/>
      <c r="LW229" s="62"/>
      <c r="LX229" s="63"/>
      <c r="LY229" s="61"/>
      <c r="LZ229" s="62"/>
      <c r="MA229" s="63"/>
      <c r="MB229" s="61"/>
      <c r="MC229" s="62"/>
      <c r="MD229" s="63"/>
      <c r="ME229" s="61"/>
      <c r="MF229" s="62"/>
      <c r="MG229" s="63"/>
      <c r="MH229" s="61"/>
      <c r="MI229" s="62"/>
      <c r="MJ229" s="63"/>
      <c r="MK229" s="61"/>
      <c r="ML229" s="62"/>
      <c r="MM229" s="63"/>
      <c r="MN229" s="61"/>
      <c r="MO229" s="62"/>
      <c r="MP229" s="63"/>
      <c r="MQ229" s="61"/>
      <c r="MR229" s="62"/>
      <c r="MS229" s="63"/>
      <c r="MT229" s="61"/>
      <c r="MU229" s="62"/>
      <c r="MV229" s="63"/>
      <c r="MW229" s="61"/>
      <c r="MX229" s="62"/>
      <c r="MY229" s="63"/>
      <c r="MZ229" s="61"/>
      <c r="NA229" s="62"/>
      <c r="NB229" s="63"/>
      <c r="NC229" s="61"/>
      <c r="ND229" s="62"/>
      <c r="NE229" s="91"/>
      <c r="NG229" s="275"/>
      <c r="NH229" s="1"/>
      <c r="NI229" s="1"/>
      <c r="NJ229" s="1"/>
      <c r="NK229" s="1"/>
    </row>
    <row r="230" spans="4:375" s="6" customFormat="1" ht="9.9499999999999993" customHeight="1">
      <c r="E230" s="79"/>
      <c r="F230" s="196">
        <f t="shared" ref="F230" si="513">NG230</f>
        <v>2.6700000000000035E-3</v>
      </c>
      <c r="G230" s="197">
        <f>Q230-F230</f>
        <v>-3.4694469519536142E-18</v>
      </c>
      <c r="H230" s="27">
        <v>1</v>
      </c>
      <c r="I230" s="80"/>
      <c r="J230" s="80"/>
      <c r="L230" s="292"/>
      <c r="M230" s="300" t="s">
        <v>255</v>
      </c>
      <c r="N230" s="296">
        <v>2437</v>
      </c>
      <c r="O230" s="302" t="s">
        <v>15</v>
      </c>
      <c r="P230" s="315">
        <v>555911</v>
      </c>
      <c r="Q230" s="236">
        <f>ROUND(P230/$P$256,5)</f>
        <v>2.6700000000000001E-3</v>
      </c>
      <c r="R230" s="21"/>
      <c r="S230" s="154">
        <f>0.011%/30</f>
        <v>3.6666666666666661E-6</v>
      </c>
      <c r="T230" s="154">
        <f t="shared" ref="T230:AV230" si="514">0.011%/30</f>
        <v>3.6666666666666661E-6</v>
      </c>
      <c r="U230" s="154">
        <f t="shared" si="514"/>
        <v>3.6666666666666661E-6</v>
      </c>
      <c r="V230" s="154">
        <f t="shared" si="514"/>
        <v>3.6666666666666661E-6</v>
      </c>
      <c r="W230" s="154">
        <f t="shared" si="514"/>
        <v>3.6666666666666661E-6</v>
      </c>
      <c r="X230" s="154">
        <f t="shared" si="514"/>
        <v>3.6666666666666661E-6</v>
      </c>
      <c r="Y230" s="154">
        <f t="shared" si="514"/>
        <v>3.6666666666666661E-6</v>
      </c>
      <c r="Z230" s="154">
        <f t="shared" si="514"/>
        <v>3.6666666666666661E-6</v>
      </c>
      <c r="AA230" s="154">
        <f t="shared" si="514"/>
        <v>3.6666666666666661E-6</v>
      </c>
      <c r="AB230" s="154">
        <f t="shared" si="514"/>
        <v>3.6666666666666661E-6</v>
      </c>
      <c r="AC230" s="154">
        <f t="shared" si="514"/>
        <v>3.6666666666666661E-6</v>
      </c>
      <c r="AD230" s="154">
        <f t="shared" si="514"/>
        <v>3.6666666666666661E-6</v>
      </c>
      <c r="AE230" s="154">
        <f t="shared" si="514"/>
        <v>3.6666666666666661E-6</v>
      </c>
      <c r="AF230" s="154">
        <f t="shared" si="514"/>
        <v>3.6666666666666661E-6</v>
      </c>
      <c r="AG230" s="154">
        <f t="shared" si="514"/>
        <v>3.6666666666666661E-6</v>
      </c>
      <c r="AH230" s="154">
        <f t="shared" si="514"/>
        <v>3.6666666666666661E-6</v>
      </c>
      <c r="AI230" s="154">
        <f t="shared" si="514"/>
        <v>3.6666666666666661E-6</v>
      </c>
      <c r="AJ230" s="154">
        <f t="shared" si="514"/>
        <v>3.6666666666666661E-6</v>
      </c>
      <c r="AK230" s="154">
        <f t="shared" si="514"/>
        <v>3.6666666666666661E-6</v>
      </c>
      <c r="AL230" s="154">
        <f t="shared" si="514"/>
        <v>3.6666666666666661E-6</v>
      </c>
      <c r="AM230" s="154">
        <f t="shared" si="514"/>
        <v>3.6666666666666661E-6</v>
      </c>
      <c r="AN230" s="154">
        <f t="shared" si="514"/>
        <v>3.6666666666666661E-6</v>
      </c>
      <c r="AO230" s="154">
        <f t="shared" si="514"/>
        <v>3.6666666666666661E-6</v>
      </c>
      <c r="AP230" s="154">
        <f t="shared" si="514"/>
        <v>3.6666666666666661E-6</v>
      </c>
      <c r="AQ230" s="154">
        <f t="shared" si="514"/>
        <v>3.6666666666666661E-6</v>
      </c>
      <c r="AR230" s="154">
        <f t="shared" si="514"/>
        <v>3.6666666666666661E-6</v>
      </c>
      <c r="AS230" s="154">
        <f t="shared" si="514"/>
        <v>3.6666666666666661E-6</v>
      </c>
      <c r="AT230" s="154">
        <f t="shared" si="514"/>
        <v>3.6666666666666661E-6</v>
      </c>
      <c r="AU230" s="154">
        <f t="shared" si="514"/>
        <v>3.6666666666666661E-6</v>
      </c>
      <c r="AV230" s="154">
        <f t="shared" si="514"/>
        <v>3.6666666666666661E-6</v>
      </c>
      <c r="AW230" s="154">
        <f>0.01%/30</f>
        <v>3.3333333333333333E-6</v>
      </c>
      <c r="AX230" s="156">
        <f>AW230</f>
        <v>3.3333333333333333E-6</v>
      </c>
      <c r="AY230" s="157">
        <f t="shared" ref="AY230:BZ230" si="515">AX230</f>
        <v>3.3333333333333333E-6</v>
      </c>
      <c r="AZ230" s="157">
        <f t="shared" si="515"/>
        <v>3.3333333333333333E-6</v>
      </c>
      <c r="BA230" s="157">
        <f t="shared" si="515"/>
        <v>3.3333333333333333E-6</v>
      </c>
      <c r="BB230" s="157">
        <f t="shared" si="515"/>
        <v>3.3333333333333333E-6</v>
      </c>
      <c r="BC230" s="157">
        <f t="shared" si="515"/>
        <v>3.3333333333333333E-6</v>
      </c>
      <c r="BD230" s="157">
        <f t="shared" si="515"/>
        <v>3.3333333333333333E-6</v>
      </c>
      <c r="BE230" s="157">
        <f t="shared" si="515"/>
        <v>3.3333333333333333E-6</v>
      </c>
      <c r="BF230" s="157">
        <f t="shared" si="515"/>
        <v>3.3333333333333333E-6</v>
      </c>
      <c r="BG230" s="157">
        <f t="shared" si="515"/>
        <v>3.3333333333333333E-6</v>
      </c>
      <c r="BH230" s="157">
        <f t="shared" si="515"/>
        <v>3.3333333333333333E-6</v>
      </c>
      <c r="BI230" s="157">
        <f t="shared" si="515"/>
        <v>3.3333333333333333E-6</v>
      </c>
      <c r="BJ230" s="157">
        <f t="shared" si="515"/>
        <v>3.3333333333333333E-6</v>
      </c>
      <c r="BK230" s="157">
        <f t="shared" si="515"/>
        <v>3.3333333333333333E-6</v>
      </c>
      <c r="BL230" s="157">
        <f t="shared" si="515"/>
        <v>3.3333333333333333E-6</v>
      </c>
      <c r="BM230" s="157">
        <f t="shared" si="515"/>
        <v>3.3333333333333333E-6</v>
      </c>
      <c r="BN230" s="157">
        <f t="shared" si="515"/>
        <v>3.3333333333333333E-6</v>
      </c>
      <c r="BO230" s="157">
        <f t="shared" si="515"/>
        <v>3.3333333333333333E-6</v>
      </c>
      <c r="BP230" s="157">
        <f t="shared" si="515"/>
        <v>3.3333333333333333E-6</v>
      </c>
      <c r="BQ230" s="157">
        <f t="shared" si="515"/>
        <v>3.3333333333333333E-6</v>
      </c>
      <c r="BR230" s="157">
        <f t="shared" si="515"/>
        <v>3.3333333333333333E-6</v>
      </c>
      <c r="BS230" s="157">
        <f t="shared" si="515"/>
        <v>3.3333333333333333E-6</v>
      </c>
      <c r="BT230" s="157">
        <f t="shared" si="515"/>
        <v>3.3333333333333333E-6</v>
      </c>
      <c r="BU230" s="157">
        <f t="shared" si="515"/>
        <v>3.3333333333333333E-6</v>
      </c>
      <c r="BV230" s="157">
        <f t="shared" si="515"/>
        <v>3.3333333333333333E-6</v>
      </c>
      <c r="BW230" s="157">
        <f t="shared" si="515"/>
        <v>3.3333333333333333E-6</v>
      </c>
      <c r="BX230" s="157">
        <f t="shared" si="515"/>
        <v>3.3333333333333333E-6</v>
      </c>
      <c r="BY230" s="157">
        <f t="shared" si="515"/>
        <v>3.3333333333333333E-6</v>
      </c>
      <c r="BZ230" s="157">
        <f t="shared" si="515"/>
        <v>3.3333333333333333E-6</v>
      </c>
      <c r="CA230" s="154">
        <f>0.01%/30</f>
        <v>3.3333333333333333E-6</v>
      </c>
      <c r="CB230" s="156">
        <f>CA230</f>
        <v>3.3333333333333333E-6</v>
      </c>
      <c r="CC230" s="156">
        <f t="shared" ref="CC230:DD230" si="516">CB230</f>
        <v>3.3333333333333333E-6</v>
      </c>
      <c r="CD230" s="156">
        <f t="shared" si="516"/>
        <v>3.3333333333333333E-6</v>
      </c>
      <c r="CE230" s="156">
        <f t="shared" si="516"/>
        <v>3.3333333333333333E-6</v>
      </c>
      <c r="CF230" s="156">
        <f t="shared" si="516"/>
        <v>3.3333333333333333E-6</v>
      </c>
      <c r="CG230" s="156">
        <f t="shared" si="516"/>
        <v>3.3333333333333333E-6</v>
      </c>
      <c r="CH230" s="156">
        <f t="shared" si="516"/>
        <v>3.3333333333333333E-6</v>
      </c>
      <c r="CI230" s="156">
        <f t="shared" si="516"/>
        <v>3.3333333333333333E-6</v>
      </c>
      <c r="CJ230" s="156">
        <f t="shared" si="516"/>
        <v>3.3333333333333333E-6</v>
      </c>
      <c r="CK230" s="156">
        <f t="shared" si="516"/>
        <v>3.3333333333333333E-6</v>
      </c>
      <c r="CL230" s="156">
        <f t="shared" si="516"/>
        <v>3.3333333333333333E-6</v>
      </c>
      <c r="CM230" s="156">
        <f t="shared" si="516"/>
        <v>3.3333333333333333E-6</v>
      </c>
      <c r="CN230" s="156">
        <f t="shared" si="516"/>
        <v>3.3333333333333333E-6</v>
      </c>
      <c r="CO230" s="156">
        <f t="shared" si="516"/>
        <v>3.3333333333333333E-6</v>
      </c>
      <c r="CP230" s="156">
        <f t="shared" si="516"/>
        <v>3.3333333333333333E-6</v>
      </c>
      <c r="CQ230" s="156">
        <f t="shared" si="516"/>
        <v>3.3333333333333333E-6</v>
      </c>
      <c r="CR230" s="156">
        <f t="shared" si="516"/>
        <v>3.3333333333333333E-6</v>
      </c>
      <c r="CS230" s="156">
        <f t="shared" si="516"/>
        <v>3.3333333333333333E-6</v>
      </c>
      <c r="CT230" s="156">
        <f t="shared" si="516"/>
        <v>3.3333333333333333E-6</v>
      </c>
      <c r="CU230" s="156">
        <f t="shared" si="516"/>
        <v>3.3333333333333333E-6</v>
      </c>
      <c r="CV230" s="156">
        <f t="shared" si="516"/>
        <v>3.3333333333333333E-6</v>
      </c>
      <c r="CW230" s="156">
        <f t="shared" si="516"/>
        <v>3.3333333333333333E-6</v>
      </c>
      <c r="CX230" s="156">
        <f t="shared" si="516"/>
        <v>3.3333333333333333E-6</v>
      </c>
      <c r="CY230" s="156">
        <f t="shared" si="516"/>
        <v>3.3333333333333333E-6</v>
      </c>
      <c r="CZ230" s="156">
        <f t="shared" si="516"/>
        <v>3.3333333333333333E-6</v>
      </c>
      <c r="DA230" s="156">
        <f t="shared" si="516"/>
        <v>3.3333333333333333E-6</v>
      </c>
      <c r="DB230" s="156">
        <f t="shared" si="516"/>
        <v>3.3333333333333333E-6</v>
      </c>
      <c r="DC230" s="156">
        <f t="shared" si="516"/>
        <v>3.3333333333333333E-6</v>
      </c>
      <c r="DD230" s="156">
        <f t="shared" si="516"/>
        <v>3.3333333333333333E-6</v>
      </c>
      <c r="DE230" s="154">
        <f>0.007%/30</f>
        <v>2.3333333333333336E-6</v>
      </c>
      <c r="DF230" s="156">
        <f>DE230</f>
        <v>2.3333333333333336E-6</v>
      </c>
      <c r="DG230" s="156">
        <f t="shared" ref="DG230:EH230" si="517">DF230</f>
        <v>2.3333333333333336E-6</v>
      </c>
      <c r="DH230" s="156">
        <f t="shared" si="517"/>
        <v>2.3333333333333336E-6</v>
      </c>
      <c r="DI230" s="156">
        <f t="shared" si="517"/>
        <v>2.3333333333333336E-6</v>
      </c>
      <c r="DJ230" s="156">
        <f t="shared" si="517"/>
        <v>2.3333333333333336E-6</v>
      </c>
      <c r="DK230" s="156">
        <f t="shared" si="517"/>
        <v>2.3333333333333336E-6</v>
      </c>
      <c r="DL230" s="156">
        <f t="shared" si="517"/>
        <v>2.3333333333333336E-6</v>
      </c>
      <c r="DM230" s="156">
        <f t="shared" si="517"/>
        <v>2.3333333333333336E-6</v>
      </c>
      <c r="DN230" s="156">
        <f t="shared" si="517"/>
        <v>2.3333333333333336E-6</v>
      </c>
      <c r="DO230" s="156">
        <f t="shared" si="517"/>
        <v>2.3333333333333336E-6</v>
      </c>
      <c r="DP230" s="156">
        <f t="shared" si="517"/>
        <v>2.3333333333333336E-6</v>
      </c>
      <c r="DQ230" s="156">
        <f t="shared" si="517"/>
        <v>2.3333333333333336E-6</v>
      </c>
      <c r="DR230" s="156">
        <f t="shared" si="517"/>
        <v>2.3333333333333336E-6</v>
      </c>
      <c r="DS230" s="156">
        <f t="shared" si="517"/>
        <v>2.3333333333333336E-6</v>
      </c>
      <c r="DT230" s="156">
        <f t="shared" si="517"/>
        <v>2.3333333333333336E-6</v>
      </c>
      <c r="DU230" s="156">
        <f t="shared" si="517"/>
        <v>2.3333333333333336E-6</v>
      </c>
      <c r="DV230" s="156">
        <f t="shared" si="517"/>
        <v>2.3333333333333336E-6</v>
      </c>
      <c r="DW230" s="156">
        <f t="shared" si="517"/>
        <v>2.3333333333333336E-6</v>
      </c>
      <c r="DX230" s="156">
        <f t="shared" si="517"/>
        <v>2.3333333333333336E-6</v>
      </c>
      <c r="DY230" s="156">
        <f t="shared" si="517"/>
        <v>2.3333333333333336E-6</v>
      </c>
      <c r="DZ230" s="156">
        <f t="shared" si="517"/>
        <v>2.3333333333333336E-6</v>
      </c>
      <c r="EA230" s="156">
        <f t="shared" si="517"/>
        <v>2.3333333333333336E-6</v>
      </c>
      <c r="EB230" s="156">
        <f t="shared" si="517"/>
        <v>2.3333333333333336E-6</v>
      </c>
      <c r="EC230" s="156">
        <f t="shared" si="517"/>
        <v>2.3333333333333336E-6</v>
      </c>
      <c r="ED230" s="156">
        <f t="shared" si="517"/>
        <v>2.3333333333333336E-6</v>
      </c>
      <c r="EE230" s="156">
        <f t="shared" si="517"/>
        <v>2.3333333333333336E-6</v>
      </c>
      <c r="EF230" s="156">
        <f t="shared" si="517"/>
        <v>2.3333333333333336E-6</v>
      </c>
      <c r="EG230" s="156">
        <f t="shared" si="517"/>
        <v>2.3333333333333336E-6</v>
      </c>
      <c r="EH230" s="156">
        <f t="shared" si="517"/>
        <v>2.3333333333333336E-6</v>
      </c>
      <c r="EI230" s="154">
        <f>0.007%/30</f>
        <v>2.3333333333333336E-6</v>
      </c>
      <c r="EJ230" s="156">
        <f>EI230</f>
        <v>2.3333333333333336E-6</v>
      </c>
      <c r="EK230" s="156">
        <f t="shared" ref="EK230:FL230" si="518">EJ230</f>
        <v>2.3333333333333336E-6</v>
      </c>
      <c r="EL230" s="156">
        <f t="shared" si="518"/>
        <v>2.3333333333333336E-6</v>
      </c>
      <c r="EM230" s="156">
        <f t="shared" si="518"/>
        <v>2.3333333333333336E-6</v>
      </c>
      <c r="EN230" s="156">
        <f t="shared" si="518"/>
        <v>2.3333333333333336E-6</v>
      </c>
      <c r="EO230" s="156">
        <f t="shared" si="518"/>
        <v>2.3333333333333336E-6</v>
      </c>
      <c r="EP230" s="156">
        <f t="shared" si="518"/>
        <v>2.3333333333333336E-6</v>
      </c>
      <c r="EQ230" s="156">
        <f t="shared" si="518"/>
        <v>2.3333333333333336E-6</v>
      </c>
      <c r="ER230" s="156">
        <f t="shared" si="518"/>
        <v>2.3333333333333336E-6</v>
      </c>
      <c r="ES230" s="156">
        <f t="shared" si="518"/>
        <v>2.3333333333333336E-6</v>
      </c>
      <c r="ET230" s="156">
        <f t="shared" si="518"/>
        <v>2.3333333333333336E-6</v>
      </c>
      <c r="EU230" s="156">
        <f t="shared" si="518"/>
        <v>2.3333333333333336E-6</v>
      </c>
      <c r="EV230" s="156">
        <f t="shared" si="518"/>
        <v>2.3333333333333336E-6</v>
      </c>
      <c r="EW230" s="156">
        <f t="shared" si="518"/>
        <v>2.3333333333333336E-6</v>
      </c>
      <c r="EX230" s="156">
        <f t="shared" si="518"/>
        <v>2.3333333333333336E-6</v>
      </c>
      <c r="EY230" s="156">
        <f t="shared" si="518"/>
        <v>2.3333333333333336E-6</v>
      </c>
      <c r="EZ230" s="156">
        <f t="shared" si="518"/>
        <v>2.3333333333333336E-6</v>
      </c>
      <c r="FA230" s="156">
        <f t="shared" si="518"/>
        <v>2.3333333333333336E-6</v>
      </c>
      <c r="FB230" s="156">
        <f t="shared" si="518"/>
        <v>2.3333333333333336E-6</v>
      </c>
      <c r="FC230" s="156">
        <f t="shared" si="518"/>
        <v>2.3333333333333336E-6</v>
      </c>
      <c r="FD230" s="156">
        <f t="shared" si="518"/>
        <v>2.3333333333333336E-6</v>
      </c>
      <c r="FE230" s="156">
        <f t="shared" si="518"/>
        <v>2.3333333333333336E-6</v>
      </c>
      <c r="FF230" s="156">
        <f t="shared" si="518"/>
        <v>2.3333333333333336E-6</v>
      </c>
      <c r="FG230" s="156">
        <f t="shared" si="518"/>
        <v>2.3333333333333336E-6</v>
      </c>
      <c r="FH230" s="156">
        <f t="shared" si="518"/>
        <v>2.3333333333333336E-6</v>
      </c>
      <c r="FI230" s="156">
        <f t="shared" si="518"/>
        <v>2.3333333333333336E-6</v>
      </c>
      <c r="FJ230" s="156">
        <f t="shared" si="518"/>
        <v>2.3333333333333336E-6</v>
      </c>
      <c r="FK230" s="156">
        <f t="shared" si="518"/>
        <v>2.3333333333333336E-6</v>
      </c>
      <c r="FL230" s="156">
        <f t="shared" si="518"/>
        <v>2.3333333333333336E-6</v>
      </c>
      <c r="FM230" s="154">
        <f>0.007%/30</f>
        <v>2.3333333333333336E-6</v>
      </c>
      <c r="FN230" s="156">
        <f>FM230</f>
        <v>2.3333333333333336E-6</v>
      </c>
      <c r="FO230" s="156">
        <f t="shared" ref="FO230:GP230" si="519">FN230</f>
        <v>2.3333333333333336E-6</v>
      </c>
      <c r="FP230" s="156">
        <f t="shared" si="519"/>
        <v>2.3333333333333336E-6</v>
      </c>
      <c r="FQ230" s="156">
        <f t="shared" si="519"/>
        <v>2.3333333333333336E-6</v>
      </c>
      <c r="FR230" s="156">
        <f t="shared" si="519"/>
        <v>2.3333333333333336E-6</v>
      </c>
      <c r="FS230" s="156">
        <f t="shared" si="519"/>
        <v>2.3333333333333336E-6</v>
      </c>
      <c r="FT230" s="156">
        <f t="shared" si="519"/>
        <v>2.3333333333333336E-6</v>
      </c>
      <c r="FU230" s="156">
        <f t="shared" si="519"/>
        <v>2.3333333333333336E-6</v>
      </c>
      <c r="FV230" s="156">
        <f t="shared" si="519"/>
        <v>2.3333333333333336E-6</v>
      </c>
      <c r="FW230" s="156">
        <f t="shared" si="519"/>
        <v>2.3333333333333336E-6</v>
      </c>
      <c r="FX230" s="156">
        <f t="shared" si="519"/>
        <v>2.3333333333333336E-6</v>
      </c>
      <c r="FY230" s="156">
        <f t="shared" si="519"/>
        <v>2.3333333333333336E-6</v>
      </c>
      <c r="FZ230" s="156">
        <f t="shared" si="519"/>
        <v>2.3333333333333336E-6</v>
      </c>
      <c r="GA230" s="156">
        <f t="shared" si="519"/>
        <v>2.3333333333333336E-6</v>
      </c>
      <c r="GB230" s="156">
        <f t="shared" si="519"/>
        <v>2.3333333333333336E-6</v>
      </c>
      <c r="GC230" s="156">
        <f t="shared" si="519"/>
        <v>2.3333333333333336E-6</v>
      </c>
      <c r="GD230" s="156">
        <f t="shared" si="519"/>
        <v>2.3333333333333336E-6</v>
      </c>
      <c r="GE230" s="156">
        <f t="shared" si="519"/>
        <v>2.3333333333333336E-6</v>
      </c>
      <c r="GF230" s="156">
        <f t="shared" si="519"/>
        <v>2.3333333333333336E-6</v>
      </c>
      <c r="GG230" s="156">
        <f t="shared" si="519"/>
        <v>2.3333333333333336E-6</v>
      </c>
      <c r="GH230" s="156">
        <f t="shared" si="519"/>
        <v>2.3333333333333336E-6</v>
      </c>
      <c r="GI230" s="156">
        <f t="shared" si="519"/>
        <v>2.3333333333333336E-6</v>
      </c>
      <c r="GJ230" s="156">
        <f t="shared" si="519"/>
        <v>2.3333333333333336E-6</v>
      </c>
      <c r="GK230" s="156">
        <f t="shared" si="519"/>
        <v>2.3333333333333336E-6</v>
      </c>
      <c r="GL230" s="156">
        <f t="shared" si="519"/>
        <v>2.3333333333333336E-6</v>
      </c>
      <c r="GM230" s="156">
        <f t="shared" si="519"/>
        <v>2.3333333333333336E-6</v>
      </c>
      <c r="GN230" s="156">
        <f t="shared" si="519"/>
        <v>2.3333333333333336E-6</v>
      </c>
      <c r="GO230" s="156">
        <f t="shared" si="519"/>
        <v>2.3333333333333336E-6</v>
      </c>
      <c r="GP230" s="156">
        <f t="shared" si="519"/>
        <v>2.3333333333333336E-6</v>
      </c>
      <c r="GQ230" s="154">
        <f>0.007%/30</f>
        <v>2.3333333333333336E-6</v>
      </c>
      <c r="GR230" s="156">
        <f>GQ230</f>
        <v>2.3333333333333336E-6</v>
      </c>
      <c r="GS230" s="156">
        <f t="shared" ref="GS230:HT230" si="520">GR230</f>
        <v>2.3333333333333336E-6</v>
      </c>
      <c r="GT230" s="156">
        <f t="shared" si="520"/>
        <v>2.3333333333333336E-6</v>
      </c>
      <c r="GU230" s="156">
        <f t="shared" si="520"/>
        <v>2.3333333333333336E-6</v>
      </c>
      <c r="GV230" s="156">
        <f t="shared" si="520"/>
        <v>2.3333333333333336E-6</v>
      </c>
      <c r="GW230" s="156">
        <f t="shared" si="520"/>
        <v>2.3333333333333336E-6</v>
      </c>
      <c r="GX230" s="156">
        <f t="shared" si="520"/>
        <v>2.3333333333333336E-6</v>
      </c>
      <c r="GY230" s="156">
        <f t="shared" si="520"/>
        <v>2.3333333333333336E-6</v>
      </c>
      <c r="GZ230" s="156">
        <f t="shared" si="520"/>
        <v>2.3333333333333336E-6</v>
      </c>
      <c r="HA230" s="156">
        <f t="shared" si="520"/>
        <v>2.3333333333333336E-6</v>
      </c>
      <c r="HB230" s="156">
        <f t="shared" si="520"/>
        <v>2.3333333333333336E-6</v>
      </c>
      <c r="HC230" s="156">
        <f t="shared" si="520"/>
        <v>2.3333333333333336E-6</v>
      </c>
      <c r="HD230" s="156">
        <f t="shared" si="520"/>
        <v>2.3333333333333336E-6</v>
      </c>
      <c r="HE230" s="156">
        <f t="shared" si="520"/>
        <v>2.3333333333333336E-6</v>
      </c>
      <c r="HF230" s="156">
        <f t="shared" si="520"/>
        <v>2.3333333333333336E-6</v>
      </c>
      <c r="HG230" s="156">
        <f t="shared" si="520"/>
        <v>2.3333333333333336E-6</v>
      </c>
      <c r="HH230" s="156">
        <f t="shared" si="520"/>
        <v>2.3333333333333336E-6</v>
      </c>
      <c r="HI230" s="156">
        <f t="shared" si="520"/>
        <v>2.3333333333333336E-6</v>
      </c>
      <c r="HJ230" s="156">
        <f t="shared" si="520"/>
        <v>2.3333333333333336E-6</v>
      </c>
      <c r="HK230" s="156">
        <f t="shared" si="520"/>
        <v>2.3333333333333336E-6</v>
      </c>
      <c r="HL230" s="156">
        <f t="shared" si="520"/>
        <v>2.3333333333333336E-6</v>
      </c>
      <c r="HM230" s="156">
        <f t="shared" si="520"/>
        <v>2.3333333333333336E-6</v>
      </c>
      <c r="HN230" s="156">
        <f t="shared" si="520"/>
        <v>2.3333333333333336E-6</v>
      </c>
      <c r="HO230" s="156">
        <f t="shared" si="520"/>
        <v>2.3333333333333336E-6</v>
      </c>
      <c r="HP230" s="156">
        <f t="shared" si="520"/>
        <v>2.3333333333333336E-6</v>
      </c>
      <c r="HQ230" s="156">
        <f t="shared" si="520"/>
        <v>2.3333333333333336E-6</v>
      </c>
      <c r="HR230" s="156">
        <f t="shared" si="520"/>
        <v>2.3333333333333336E-6</v>
      </c>
      <c r="HS230" s="156">
        <f t="shared" si="520"/>
        <v>2.3333333333333336E-6</v>
      </c>
      <c r="HT230" s="156">
        <f t="shared" si="520"/>
        <v>2.3333333333333336E-6</v>
      </c>
      <c r="HU230" s="154">
        <f>0.007%/30</f>
        <v>2.3333333333333336E-6</v>
      </c>
      <c r="HV230" s="156">
        <f>HU230</f>
        <v>2.3333333333333336E-6</v>
      </c>
      <c r="HW230" s="156">
        <f t="shared" ref="HW230:IX230" si="521">HV230</f>
        <v>2.3333333333333336E-6</v>
      </c>
      <c r="HX230" s="156">
        <f t="shared" si="521"/>
        <v>2.3333333333333336E-6</v>
      </c>
      <c r="HY230" s="156">
        <f t="shared" si="521"/>
        <v>2.3333333333333336E-6</v>
      </c>
      <c r="HZ230" s="156">
        <f t="shared" si="521"/>
        <v>2.3333333333333336E-6</v>
      </c>
      <c r="IA230" s="156">
        <f t="shared" si="521"/>
        <v>2.3333333333333336E-6</v>
      </c>
      <c r="IB230" s="156">
        <f t="shared" si="521"/>
        <v>2.3333333333333336E-6</v>
      </c>
      <c r="IC230" s="156">
        <f t="shared" si="521"/>
        <v>2.3333333333333336E-6</v>
      </c>
      <c r="ID230" s="156">
        <f t="shared" si="521"/>
        <v>2.3333333333333336E-6</v>
      </c>
      <c r="IE230" s="156">
        <f t="shared" si="521"/>
        <v>2.3333333333333336E-6</v>
      </c>
      <c r="IF230" s="156">
        <f t="shared" si="521"/>
        <v>2.3333333333333336E-6</v>
      </c>
      <c r="IG230" s="156">
        <f t="shared" si="521"/>
        <v>2.3333333333333336E-6</v>
      </c>
      <c r="IH230" s="156">
        <f t="shared" si="521"/>
        <v>2.3333333333333336E-6</v>
      </c>
      <c r="II230" s="156">
        <f t="shared" si="521"/>
        <v>2.3333333333333336E-6</v>
      </c>
      <c r="IJ230" s="156">
        <f t="shared" si="521"/>
        <v>2.3333333333333336E-6</v>
      </c>
      <c r="IK230" s="156">
        <f t="shared" si="521"/>
        <v>2.3333333333333336E-6</v>
      </c>
      <c r="IL230" s="156">
        <f t="shared" si="521"/>
        <v>2.3333333333333336E-6</v>
      </c>
      <c r="IM230" s="156">
        <f t="shared" si="521"/>
        <v>2.3333333333333336E-6</v>
      </c>
      <c r="IN230" s="156">
        <f t="shared" si="521"/>
        <v>2.3333333333333336E-6</v>
      </c>
      <c r="IO230" s="156">
        <f t="shared" si="521"/>
        <v>2.3333333333333336E-6</v>
      </c>
      <c r="IP230" s="156">
        <f t="shared" si="521"/>
        <v>2.3333333333333336E-6</v>
      </c>
      <c r="IQ230" s="156">
        <f t="shared" si="521"/>
        <v>2.3333333333333336E-6</v>
      </c>
      <c r="IR230" s="156">
        <f t="shared" si="521"/>
        <v>2.3333333333333336E-6</v>
      </c>
      <c r="IS230" s="156">
        <f t="shared" si="521"/>
        <v>2.3333333333333336E-6</v>
      </c>
      <c r="IT230" s="156">
        <f t="shared" si="521"/>
        <v>2.3333333333333336E-6</v>
      </c>
      <c r="IU230" s="156">
        <f t="shared" si="521"/>
        <v>2.3333333333333336E-6</v>
      </c>
      <c r="IV230" s="156">
        <f t="shared" si="521"/>
        <v>2.3333333333333336E-6</v>
      </c>
      <c r="IW230" s="156">
        <f t="shared" si="521"/>
        <v>2.3333333333333336E-6</v>
      </c>
      <c r="IX230" s="156">
        <f t="shared" si="521"/>
        <v>2.3333333333333336E-6</v>
      </c>
      <c r="IY230" s="154">
        <f>0.007%/30</f>
        <v>2.3333333333333336E-6</v>
      </c>
      <c r="IZ230" s="156">
        <f>IY230</f>
        <v>2.3333333333333336E-6</v>
      </c>
      <c r="JA230" s="156">
        <f t="shared" ref="JA230:KB230" si="522">IZ230</f>
        <v>2.3333333333333336E-6</v>
      </c>
      <c r="JB230" s="156">
        <f t="shared" si="522"/>
        <v>2.3333333333333336E-6</v>
      </c>
      <c r="JC230" s="156">
        <f t="shared" si="522"/>
        <v>2.3333333333333336E-6</v>
      </c>
      <c r="JD230" s="156">
        <f t="shared" si="522"/>
        <v>2.3333333333333336E-6</v>
      </c>
      <c r="JE230" s="156">
        <f t="shared" si="522"/>
        <v>2.3333333333333336E-6</v>
      </c>
      <c r="JF230" s="156">
        <f t="shared" si="522"/>
        <v>2.3333333333333336E-6</v>
      </c>
      <c r="JG230" s="156">
        <f t="shared" si="522"/>
        <v>2.3333333333333336E-6</v>
      </c>
      <c r="JH230" s="156">
        <f t="shared" si="522"/>
        <v>2.3333333333333336E-6</v>
      </c>
      <c r="JI230" s="156">
        <f t="shared" si="522"/>
        <v>2.3333333333333336E-6</v>
      </c>
      <c r="JJ230" s="156">
        <f t="shared" si="522"/>
        <v>2.3333333333333336E-6</v>
      </c>
      <c r="JK230" s="156">
        <f t="shared" si="522"/>
        <v>2.3333333333333336E-6</v>
      </c>
      <c r="JL230" s="156">
        <f t="shared" si="522"/>
        <v>2.3333333333333336E-6</v>
      </c>
      <c r="JM230" s="156">
        <f t="shared" si="522"/>
        <v>2.3333333333333336E-6</v>
      </c>
      <c r="JN230" s="156">
        <f t="shared" si="522"/>
        <v>2.3333333333333336E-6</v>
      </c>
      <c r="JO230" s="156">
        <f t="shared" si="522"/>
        <v>2.3333333333333336E-6</v>
      </c>
      <c r="JP230" s="156">
        <f t="shared" si="522"/>
        <v>2.3333333333333336E-6</v>
      </c>
      <c r="JQ230" s="156">
        <f t="shared" si="522"/>
        <v>2.3333333333333336E-6</v>
      </c>
      <c r="JR230" s="156">
        <f t="shared" si="522"/>
        <v>2.3333333333333336E-6</v>
      </c>
      <c r="JS230" s="156">
        <f t="shared" si="522"/>
        <v>2.3333333333333336E-6</v>
      </c>
      <c r="JT230" s="156">
        <f t="shared" si="522"/>
        <v>2.3333333333333336E-6</v>
      </c>
      <c r="JU230" s="156">
        <f t="shared" si="522"/>
        <v>2.3333333333333336E-6</v>
      </c>
      <c r="JV230" s="156">
        <f t="shared" si="522"/>
        <v>2.3333333333333336E-6</v>
      </c>
      <c r="JW230" s="156">
        <f t="shared" si="522"/>
        <v>2.3333333333333336E-6</v>
      </c>
      <c r="JX230" s="156">
        <f t="shared" si="522"/>
        <v>2.3333333333333336E-6</v>
      </c>
      <c r="JY230" s="156">
        <f t="shared" si="522"/>
        <v>2.3333333333333336E-6</v>
      </c>
      <c r="JZ230" s="156">
        <f t="shared" si="522"/>
        <v>2.3333333333333336E-6</v>
      </c>
      <c r="KA230" s="156">
        <f t="shared" si="522"/>
        <v>2.3333333333333336E-6</v>
      </c>
      <c r="KB230" s="156">
        <f t="shared" si="522"/>
        <v>2.3333333333333336E-6</v>
      </c>
      <c r="KC230" s="215">
        <v>6.9999999999999994E-5</v>
      </c>
      <c r="KD230" s="214"/>
      <c r="KE230" s="214"/>
      <c r="KF230" s="215">
        <v>6.9999999999999994E-5</v>
      </c>
      <c r="KG230" s="214"/>
      <c r="KH230" s="214"/>
      <c r="KI230" s="215">
        <v>6.9999999999999994E-5</v>
      </c>
      <c r="KJ230" s="214"/>
      <c r="KK230" s="214"/>
      <c r="KL230" s="215">
        <v>6.9999999999999994E-5</v>
      </c>
      <c r="KM230" s="214"/>
      <c r="KN230" s="214"/>
      <c r="KO230" s="215">
        <v>6.9999999999999994E-5</v>
      </c>
      <c r="KP230" s="214"/>
      <c r="KQ230" s="214"/>
      <c r="KR230" s="215">
        <v>6.9999999999999994E-5</v>
      </c>
      <c r="KS230" s="214"/>
      <c r="KT230" s="214"/>
      <c r="KU230" s="215">
        <v>6.9999999999999994E-5</v>
      </c>
      <c r="KV230" s="214"/>
      <c r="KW230" s="214"/>
      <c r="KX230" s="215">
        <v>6.9999999999999994E-5</v>
      </c>
      <c r="KY230" s="214"/>
      <c r="KZ230" s="216"/>
      <c r="LA230" s="233">
        <v>6.9999999999999994E-5</v>
      </c>
      <c r="LB230" s="214"/>
      <c r="LC230" s="234"/>
      <c r="LD230" s="215">
        <v>6.9999999999999994E-5</v>
      </c>
      <c r="LE230" s="214"/>
      <c r="LF230" s="214"/>
      <c r="LG230" s="215">
        <v>6.9999999999999994E-5</v>
      </c>
      <c r="LH230" s="214"/>
      <c r="LI230" s="214"/>
      <c r="LJ230" s="215">
        <v>6.9999999999999994E-5</v>
      </c>
      <c r="LK230" s="214"/>
      <c r="LL230" s="214"/>
      <c r="LM230" s="215">
        <v>6.9999999999999994E-5</v>
      </c>
      <c r="LN230" s="214"/>
      <c r="LO230" s="214"/>
      <c r="LP230" s="215">
        <v>6.9999999999999994E-5</v>
      </c>
      <c r="LQ230" s="214"/>
      <c r="LR230" s="214"/>
      <c r="LS230" s="215">
        <v>6.9999999999999994E-5</v>
      </c>
      <c r="LT230" s="214"/>
      <c r="LU230" s="214"/>
      <c r="LV230" s="215">
        <v>6.9999999999999994E-5</v>
      </c>
      <c r="LW230" s="214"/>
      <c r="LX230" s="214"/>
      <c r="LY230" s="215">
        <v>6.9999999999999994E-5</v>
      </c>
      <c r="LZ230" s="214"/>
      <c r="MA230" s="214"/>
      <c r="MB230" s="215">
        <v>6.9999999999999994E-5</v>
      </c>
      <c r="MC230" s="214"/>
      <c r="MD230" s="214"/>
      <c r="ME230" s="215">
        <v>6.9999999999999994E-5</v>
      </c>
      <c r="MF230" s="214"/>
      <c r="MG230" s="214"/>
      <c r="MH230" s="215">
        <v>6.9999999999999994E-5</v>
      </c>
      <c r="MI230" s="214"/>
      <c r="MJ230" s="214"/>
      <c r="MK230" s="215">
        <v>6.9999999999999994E-5</v>
      </c>
      <c r="ML230" s="214"/>
      <c r="MM230" s="214"/>
      <c r="MN230" s="215">
        <v>6.9999999999999994E-5</v>
      </c>
      <c r="MO230" s="214"/>
      <c r="MP230" s="214"/>
      <c r="MQ230" s="215">
        <v>6.9999999999999994E-5</v>
      </c>
      <c r="MR230" s="214"/>
      <c r="MS230" s="214"/>
      <c r="MT230" s="215">
        <v>6.9999999999999994E-5</v>
      </c>
      <c r="MU230" s="214"/>
      <c r="MV230" s="214"/>
      <c r="MW230" s="215">
        <v>6.9999999999999994E-5</v>
      </c>
      <c r="MX230" s="214"/>
      <c r="MY230" s="214"/>
      <c r="MZ230" s="215">
        <v>9.0000000000000006E-5</v>
      </c>
      <c r="NA230" s="214"/>
      <c r="NB230" s="214"/>
      <c r="NC230" s="217">
        <v>1E-4</v>
      </c>
      <c r="ND230" s="217"/>
      <c r="NE230" s="285"/>
      <c r="NG230" s="275">
        <f>SUM(R230:NE230)</f>
        <v>2.6700000000000035E-3</v>
      </c>
      <c r="NH230" s="1"/>
      <c r="NI230" s="1"/>
      <c r="NJ230" s="1"/>
      <c r="NK230" s="1"/>
    </row>
    <row r="231" spans="4:375" s="6" customFormat="1" ht="6.95" customHeight="1">
      <c r="E231" s="80"/>
      <c r="F231" s="196"/>
      <c r="G231" s="197"/>
      <c r="H231" s="52">
        <v>2</v>
      </c>
      <c r="I231" s="80"/>
      <c r="J231" s="80"/>
      <c r="L231" s="292"/>
      <c r="M231" s="300"/>
      <c r="N231" s="296"/>
      <c r="O231" s="302"/>
      <c r="P231" s="315"/>
      <c r="Q231" s="237"/>
      <c r="R231" s="60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62"/>
      <c r="BS231" s="62"/>
      <c r="BT231" s="62"/>
      <c r="BU231" s="62"/>
      <c r="BV231" s="62"/>
      <c r="BW231" s="62"/>
      <c r="BX231" s="62"/>
      <c r="BY231" s="62"/>
      <c r="BZ231" s="63"/>
      <c r="CA231" s="61"/>
      <c r="CB231" s="62"/>
      <c r="CC231" s="62"/>
      <c r="CD231" s="62"/>
      <c r="CE231" s="62"/>
      <c r="CF231" s="62"/>
      <c r="CG231" s="62"/>
      <c r="CH231" s="62"/>
      <c r="CI231" s="62"/>
      <c r="CJ231" s="62"/>
      <c r="CK231" s="62"/>
      <c r="CL231" s="62"/>
      <c r="CM231" s="62"/>
      <c r="CN231" s="62"/>
      <c r="CO231" s="62"/>
      <c r="CP231" s="62"/>
      <c r="CQ231" s="62"/>
      <c r="CR231" s="62"/>
      <c r="CS231" s="62"/>
      <c r="CT231" s="62"/>
      <c r="CU231" s="62"/>
      <c r="CV231" s="62"/>
      <c r="CW231" s="62"/>
      <c r="CX231" s="62"/>
      <c r="CY231" s="62"/>
      <c r="CZ231" s="62"/>
      <c r="DA231" s="62"/>
      <c r="DB231" s="62"/>
      <c r="DC231" s="62"/>
      <c r="DD231" s="62"/>
      <c r="DE231" s="61"/>
      <c r="DF231" s="62"/>
      <c r="DG231" s="62"/>
      <c r="DH231" s="62"/>
      <c r="DI231" s="62"/>
      <c r="DJ231" s="62"/>
      <c r="DK231" s="62"/>
      <c r="DL231" s="62"/>
      <c r="DM231" s="62"/>
      <c r="DN231" s="62"/>
      <c r="DO231" s="62"/>
      <c r="DP231" s="62"/>
      <c r="DQ231" s="62"/>
      <c r="DR231" s="62"/>
      <c r="DS231" s="62"/>
      <c r="DT231" s="62"/>
      <c r="DU231" s="62"/>
      <c r="DV231" s="62"/>
      <c r="DW231" s="62"/>
      <c r="DX231" s="62"/>
      <c r="DY231" s="62"/>
      <c r="DZ231" s="62"/>
      <c r="EA231" s="62"/>
      <c r="EB231" s="62"/>
      <c r="EC231" s="62"/>
      <c r="ED231" s="62"/>
      <c r="EE231" s="62"/>
      <c r="EF231" s="62"/>
      <c r="EG231" s="62"/>
      <c r="EH231" s="62"/>
      <c r="EI231" s="61"/>
      <c r="EJ231" s="62"/>
      <c r="EK231" s="62"/>
      <c r="EL231" s="62"/>
      <c r="EM231" s="62"/>
      <c r="EN231" s="62"/>
      <c r="EO231" s="62"/>
      <c r="EP231" s="62"/>
      <c r="EQ231" s="62"/>
      <c r="ER231" s="62"/>
      <c r="ES231" s="62"/>
      <c r="ET231" s="62"/>
      <c r="EU231" s="62"/>
      <c r="EV231" s="62"/>
      <c r="EW231" s="62"/>
      <c r="EX231" s="62"/>
      <c r="EY231" s="62"/>
      <c r="EZ231" s="62"/>
      <c r="FA231" s="62"/>
      <c r="FB231" s="62"/>
      <c r="FC231" s="62"/>
      <c r="FD231" s="62"/>
      <c r="FE231" s="62"/>
      <c r="FF231" s="62"/>
      <c r="FG231" s="62"/>
      <c r="FH231" s="62"/>
      <c r="FI231" s="62"/>
      <c r="FJ231" s="62"/>
      <c r="FK231" s="62"/>
      <c r="FL231" s="62"/>
      <c r="FM231" s="61"/>
      <c r="FN231" s="62"/>
      <c r="FO231" s="62"/>
      <c r="FP231" s="62"/>
      <c r="FQ231" s="62"/>
      <c r="FR231" s="62"/>
      <c r="FS231" s="62"/>
      <c r="FT231" s="62"/>
      <c r="FU231" s="62"/>
      <c r="FV231" s="62"/>
      <c r="FW231" s="62"/>
      <c r="FX231" s="62"/>
      <c r="FY231" s="62"/>
      <c r="FZ231" s="62"/>
      <c r="GA231" s="62"/>
      <c r="GB231" s="62"/>
      <c r="GC231" s="62"/>
      <c r="GD231" s="62"/>
      <c r="GE231" s="62"/>
      <c r="GF231" s="62"/>
      <c r="GG231" s="62"/>
      <c r="GH231" s="62"/>
      <c r="GI231" s="62"/>
      <c r="GJ231" s="62"/>
      <c r="GK231" s="62"/>
      <c r="GL231" s="62"/>
      <c r="GM231" s="62"/>
      <c r="GN231" s="62"/>
      <c r="GO231" s="62"/>
      <c r="GP231" s="62"/>
      <c r="GQ231" s="61"/>
      <c r="GR231" s="62"/>
      <c r="GS231" s="62"/>
      <c r="GT231" s="62"/>
      <c r="GU231" s="62"/>
      <c r="GV231" s="62"/>
      <c r="GW231" s="62"/>
      <c r="GX231" s="62"/>
      <c r="GY231" s="62"/>
      <c r="GZ231" s="62"/>
      <c r="HA231" s="62"/>
      <c r="HB231" s="62"/>
      <c r="HC231" s="62"/>
      <c r="HD231" s="62"/>
      <c r="HE231" s="62"/>
      <c r="HF231" s="62"/>
      <c r="HG231" s="62"/>
      <c r="HH231" s="62"/>
      <c r="HI231" s="62"/>
      <c r="HJ231" s="62"/>
      <c r="HK231" s="62"/>
      <c r="HL231" s="62"/>
      <c r="HM231" s="62"/>
      <c r="HN231" s="62"/>
      <c r="HO231" s="62"/>
      <c r="HP231" s="62"/>
      <c r="HQ231" s="62"/>
      <c r="HR231" s="62"/>
      <c r="HS231" s="62"/>
      <c r="HT231" s="62"/>
      <c r="HU231" s="61"/>
      <c r="HV231" s="62"/>
      <c r="HW231" s="62"/>
      <c r="HX231" s="62"/>
      <c r="HY231" s="62"/>
      <c r="HZ231" s="62"/>
      <c r="IA231" s="62"/>
      <c r="IB231" s="62"/>
      <c r="IC231" s="62"/>
      <c r="ID231" s="62"/>
      <c r="IE231" s="62"/>
      <c r="IF231" s="62"/>
      <c r="IG231" s="62"/>
      <c r="IH231" s="62"/>
      <c r="II231" s="62"/>
      <c r="IJ231" s="62"/>
      <c r="IK231" s="62"/>
      <c r="IL231" s="62"/>
      <c r="IM231" s="62"/>
      <c r="IN231" s="62"/>
      <c r="IO231" s="62"/>
      <c r="IP231" s="62"/>
      <c r="IQ231" s="62"/>
      <c r="IR231" s="62"/>
      <c r="IS231" s="62"/>
      <c r="IT231" s="62"/>
      <c r="IU231" s="62"/>
      <c r="IV231" s="62"/>
      <c r="IW231" s="62"/>
      <c r="IX231" s="62"/>
      <c r="IY231" s="61"/>
      <c r="IZ231" s="62"/>
      <c r="JA231" s="62"/>
      <c r="JB231" s="62"/>
      <c r="JC231" s="62"/>
      <c r="JD231" s="62"/>
      <c r="JE231" s="62"/>
      <c r="JF231" s="62"/>
      <c r="JG231" s="62"/>
      <c r="JH231" s="62"/>
      <c r="JI231" s="62"/>
      <c r="JJ231" s="62"/>
      <c r="JK231" s="62"/>
      <c r="JL231" s="62"/>
      <c r="JM231" s="62"/>
      <c r="JN231" s="62"/>
      <c r="JO231" s="62"/>
      <c r="JP231" s="62"/>
      <c r="JQ231" s="62"/>
      <c r="JR231" s="62"/>
      <c r="JS231" s="62"/>
      <c r="JT231" s="62"/>
      <c r="JU231" s="62"/>
      <c r="JV231" s="62"/>
      <c r="JW231" s="62"/>
      <c r="JX231" s="62"/>
      <c r="JY231" s="62"/>
      <c r="JZ231" s="62"/>
      <c r="KA231" s="62"/>
      <c r="KB231" s="62"/>
      <c r="KC231" s="61"/>
      <c r="KD231" s="62"/>
      <c r="KE231" s="63"/>
      <c r="KF231" s="61"/>
      <c r="KG231" s="62"/>
      <c r="KH231" s="63"/>
      <c r="KI231" s="61"/>
      <c r="KJ231" s="62"/>
      <c r="KK231" s="63"/>
      <c r="KL231" s="61"/>
      <c r="KM231" s="62"/>
      <c r="KN231" s="63"/>
      <c r="KO231" s="61"/>
      <c r="KP231" s="62"/>
      <c r="KQ231" s="63"/>
      <c r="KR231" s="61"/>
      <c r="KS231" s="62"/>
      <c r="KT231" s="63"/>
      <c r="KU231" s="61"/>
      <c r="KV231" s="62"/>
      <c r="KW231" s="63"/>
      <c r="KX231" s="61"/>
      <c r="KY231" s="62"/>
      <c r="KZ231" s="63"/>
      <c r="LA231" s="61"/>
      <c r="LB231" s="62"/>
      <c r="LC231" s="63"/>
      <c r="LD231" s="61"/>
      <c r="LE231" s="62"/>
      <c r="LF231" s="63"/>
      <c r="LG231" s="61"/>
      <c r="LH231" s="62"/>
      <c r="LI231" s="63"/>
      <c r="LJ231" s="61"/>
      <c r="LK231" s="62"/>
      <c r="LL231" s="63"/>
      <c r="LM231" s="61"/>
      <c r="LN231" s="62"/>
      <c r="LO231" s="63"/>
      <c r="LP231" s="61"/>
      <c r="LQ231" s="62"/>
      <c r="LR231" s="63"/>
      <c r="LS231" s="61"/>
      <c r="LT231" s="62"/>
      <c r="LU231" s="63"/>
      <c r="LV231" s="61"/>
      <c r="LW231" s="62"/>
      <c r="LX231" s="63"/>
      <c r="LY231" s="61"/>
      <c r="LZ231" s="62"/>
      <c r="MA231" s="63"/>
      <c r="MB231" s="61"/>
      <c r="MC231" s="62"/>
      <c r="MD231" s="63"/>
      <c r="ME231" s="61"/>
      <c r="MF231" s="62"/>
      <c r="MG231" s="63"/>
      <c r="MH231" s="61"/>
      <c r="MI231" s="62"/>
      <c r="MJ231" s="63"/>
      <c r="MK231" s="61"/>
      <c r="ML231" s="62"/>
      <c r="MM231" s="63"/>
      <c r="MN231" s="61"/>
      <c r="MO231" s="62"/>
      <c r="MP231" s="63"/>
      <c r="MQ231" s="61"/>
      <c r="MR231" s="62"/>
      <c r="MS231" s="63"/>
      <c r="MT231" s="61"/>
      <c r="MU231" s="62"/>
      <c r="MV231" s="63"/>
      <c r="MW231" s="61"/>
      <c r="MX231" s="62"/>
      <c r="MY231" s="63"/>
      <c r="MZ231" s="61"/>
      <c r="NA231" s="62"/>
      <c r="NB231" s="63"/>
      <c r="NC231" s="61"/>
      <c r="ND231" s="62"/>
      <c r="NE231" s="91"/>
      <c r="NG231" s="275"/>
      <c r="NH231" s="1"/>
      <c r="NI231" s="1"/>
      <c r="NJ231" s="1"/>
      <c r="NK231" s="1"/>
    </row>
    <row r="232" spans="4:375" s="6" customFormat="1" ht="9.9499999999999993" customHeight="1">
      <c r="E232" s="80"/>
      <c r="F232" s="196">
        <f t="shared" ref="F232" si="523">NG232</f>
        <v>2.7600000000000003E-3</v>
      </c>
      <c r="G232" s="197">
        <f>Q232-F232</f>
        <v>0</v>
      </c>
      <c r="H232" s="27">
        <v>1</v>
      </c>
      <c r="I232" s="80"/>
      <c r="J232" s="80"/>
      <c r="L232" s="339"/>
      <c r="M232" s="293" t="s">
        <v>166</v>
      </c>
      <c r="N232" s="356">
        <v>982151</v>
      </c>
      <c r="O232" s="305" t="s">
        <v>167</v>
      </c>
      <c r="P232" s="307">
        <v>574558</v>
      </c>
      <c r="Q232" s="236">
        <f>ROUND(P232/$P$256,5)</f>
        <v>2.7599999999999999E-3</v>
      </c>
      <c r="R232" s="21"/>
      <c r="S232" s="143">
        <f>0.008%/30</f>
        <v>2.6666666666666668E-6</v>
      </c>
      <c r="T232" s="143">
        <f t="shared" ref="T232:AV232" si="524">0.008%/30</f>
        <v>2.6666666666666668E-6</v>
      </c>
      <c r="U232" s="143">
        <f t="shared" si="524"/>
        <v>2.6666666666666668E-6</v>
      </c>
      <c r="V232" s="143">
        <f t="shared" si="524"/>
        <v>2.6666666666666668E-6</v>
      </c>
      <c r="W232" s="143">
        <f t="shared" si="524"/>
        <v>2.6666666666666668E-6</v>
      </c>
      <c r="X232" s="143">
        <f t="shared" si="524"/>
        <v>2.6666666666666668E-6</v>
      </c>
      <c r="Y232" s="143">
        <f t="shared" si="524"/>
        <v>2.6666666666666668E-6</v>
      </c>
      <c r="Z232" s="143">
        <f t="shared" si="524"/>
        <v>2.6666666666666668E-6</v>
      </c>
      <c r="AA232" s="143">
        <f t="shared" si="524"/>
        <v>2.6666666666666668E-6</v>
      </c>
      <c r="AB232" s="143">
        <f t="shared" si="524"/>
        <v>2.6666666666666668E-6</v>
      </c>
      <c r="AC232" s="143">
        <f t="shared" si="524"/>
        <v>2.6666666666666668E-6</v>
      </c>
      <c r="AD232" s="143">
        <f t="shared" si="524"/>
        <v>2.6666666666666668E-6</v>
      </c>
      <c r="AE232" s="143">
        <f t="shared" si="524"/>
        <v>2.6666666666666668E-6</v>
      </c>
      <c r="AF232" s="143">
        <f t="shared" si="524"/>
        <v>2.6666666666666668E-6</v>
      </c>
      <c r="AG232" s="143">
        <f t="shared" si="524"/>
        <v>2.6666666666666668E-6</v>
      </c>
      <c r="AH232" s="143">
        <f t="shared" si="524"/>
        <v>2.6666666666666668E-6</v>
      </c>
      <c r="AI232" s="143">
        <f t="shared" si="524"/>
        <v>2.6666666666666668E-6</v>
      </c>
      <c r="AJ232" s="143">
        <f t="shared" si="524"/>
        <v>2.6666666666666668E-6</v>
      </c>
      <c r="AK232" s="143">
        <f t="shared" si="524"/>
        <v>2.6666666666666668E-6</v>
      </c>
      <c r="AL232" s="143">
        <f t="shared" si="524"/>
        <v>2.6666666666666668E-6</v>
      </c>
      <c r="AM232" s="143">
        <f t="shared" si="524"/>
        <v>2.6666666666666668E-6</v>
      </c>
      <c r="AN232" s="143">
        <f t="shared" si="524"/>
        <v>2.6666666666666668E-6</v>
      </c>
      <c r="AO232" s="143">
        <f t="shared" si="524"/>
        <v>2.6666666666666668E-6</v>
      </c>
      <c r="AP232" s="143">
        <f t="shared" si="524"/>
        <v>2.6666666666666668E-6</v>
      </c>
      <c r="AQ232" s="143">
        <f t="shared" si="524"/>
        <v>2.6666666666666668E-6</v>
      </c>
      <c r="AR232" s="143">
        <f t="shared" si="524"/>
        <v>2.6666666666666668E-6</v>
      </c>
      <c r="AS232" s="143">
        <f t="shared" si="524"/>
        <v>2.6666666666666668E-6</v>
      </c>
      <c r="AT232" s="143">
        <f t="shared" si="524"/>
        <v>2.6666666666666668E-6</v>
      </c>
      <c r="AU232" s="143">
        <f t="shared" si="524"/>
        <v>2.6666666666666668E-6</v>
      </c>
      <c r="AV232" s="143">
        <f t="shared" si="524"/>
        <v>2.6666666666666668E-6</v>
      </c>
      <c r="AW232" s="156">
        <f>0.008%/30</f>
        <v>2.6666666666666668E-6</v>
      </c>
      <c r="AX232" s="156">
        <f>AW232</f>
        <v>2.6666666666666668E-6</v>
      </c>
      <c r="AY232" s="156">
        <f t="shared" ref="AY232:BZ232" si="525">AX232</f>
        <v>2.6666666666666668E-6</v>
      </c>
      <c r="AZ232" s="156">
        <f t="shared" si="525"/>
        <v>2.6666666666666668E-6</v>
      </c>
      <c r="BA232" s="156">
        <f t="shared" si="525"/>
        <v>2.6666666666666668E-6</v>
      </c>
      <c r="BB232" s="156">
        <f t="shared" si="525"/>
        <v>2.6666666666666668E-6</v>
      </c>
      <c r="BC232" s="156">
        <f t="shared" si="525"/>
        <v>2.6666666666666668E-6</v>
      </c>
      <c r="BD232" s="156">
        <f t="shared" si="525"/>
        <v>2.6666666666666668E-6</v>
      </c>
      <c r="BE232" s="156">
        <f t="shared" si="525"/>
        <v>2.6666666666666668E-6</v>
      </c>
      <c r="BF232" s="156">
        <f t="shared" si="525"/>
        <v>2.6666666666666668E-6</v>
      </c>
      <c r="BG232" s="156">
        <f t="shared" si="525"/>
        <v>2.6666666666666668E-6</v>
      </c>
      <c r="BH232" s="156">
        <f t="shared" si="525"/>
        <v>2.6666666666666668E-6</v>
      </c>
      <c r="BI232" s="156">
        <f t="shared" si="525"/>
        <v>2.6666666666666668E-6</v>
      </c>
      <c r="BJ232" s="156">
        <f t="shared" si="525"/>
        <v>2.6666666666666668E-6</v>
      </c>
      <c r="BK232" s="156">
        <f t="shared" si="525"/>
        <v>2.6666666666666668E-6</v>
      </c>
      <c r="BL232" s="156">
        <f t="shared" si="525"/>
        <v>2.6666666666666668E-6</v>
      </c>
      <c r="BM232" s="156">
        <f t="shared" si="525"/>
        <v>2.6666666666666668E-6</v>
      </c>
      <c r="BN232" s="156">
        <f t="shared" si="525"/>
        <v>2.6666666666666668E-6</v>
      </c>
      <c r="BO232" s="156">
        <f t="shared" si="525"/>
        <v>2.6666666666666668E-6</v>
      </c>
      <c r="BP232" s="156">
        <f t="shared" si="525"/>
        <v>2.6666666666666668E-6</v>
      </c>
      <c r="BQ232" s="156">
        <f t="shared" si="525"/>
        <v>2.6666666666666668E-6</v>
      </c>
      <c r="BR232" s="156">
        <f t="shared" si="525"/>
        <v>2.6666666666666668E-6</v>
      </c>
      <c r="BS232" s="156">
        <f t="shared" si="525"/>
        <v>2.6666666666666668E-6</v>
      </c>
      <c r="BT232" s="156">
        <f t="shared" si="525"/>
        <v>2.6666666666666668E-6</v>
      </c>
      <c r="BU232" s="156">
        <f t="shared" si="525"/>
        <v>2.6666666666666668E-6</v>
      </c>
      <c r="BV232" s="156">
        <f t="shared" si="525"/>
        <v>2.6666666666666668E-6</v>
      </c>
      <c r="BW232" s="156">
        <f t="shared" si="525"/>
        <v>2.6666666666666668E-6</v>
      </c>
      <c r="BX232" s="156">
        <f t="shared" si="525"/>
        <v>2.6666666666666668E-6</v>
      </c>
      <c r="BY232" s="156">
        <f t="shared" si="525"/>
        <v>2.6666666666666668E-6</v>
      </c>
      <c r="BZ232" s="156">
        <f t="shared" si="525"/>
        <v>2.6666666666666668E-6</v>
      </c>
      <c r="CA232" s="156">
        <f>0.008%/30</f>
        <v>2.6666666666666668E-6</v>
      </c>
      <c r="CB232" s="156">
        <f>CA232</f>
        <v>2.6666666666666668E-6</v>
      </c>
      <c r="CC232" s="156">
        <f t="shared" ref="CC232:DD232" si="526">CB232</f>
        <v>2.6666666666666668E-6</v>
      </c>
      <c r="CD232" s="156">
        <f t="shared" si="526"/>
        <v>2.6666666666666668E-6</v>
      </c>
      <c r="CE232" s="156">
        <f t="shared" si="526"/>
        <v>2.6666666666666668E-6</v>
      </c>
      <c r="CF232" s="156">
        <f t="shared" si="526"/>
        <v>2.6666666666666668E-6</v>
      </c>
      <c r="CG232" s="156">
        <f t="shared" si="526"/>
        <v>2.6666666666666668E-6</v>
      </c>
      <c r="CH232" s="156">
        <f t="shared" si="526"/>
        <v>2.6666666666666668E-6</v>
      </c>
      <c r="CI232" s="156">
        <f t="shared" si="526"/>
        <v>2.6666666666666668E-6</v>
      </c>
      <c r="CJ232" s="156">
        <f t="shared" si="526"/>
        <v>2.6666666666666668E-6</v>
      </c>
      <c r="CK232" s="156">
        <f t="shared" si="526"/>
        <v>2.6666666666666668E-6</v>
      </c>
      <c r="CL232" s="156">
        <f t="shared" si="526"/>
        <v>2.6666666666666668E-6</v>
      </c>
      <c r="CM232" s="156">
        <f t="shared" si="526"/>
        <v>2.6666666666666668E-6</v>
      </c>
      <c r="CN232" s="156">
        <f t="shared" si="526"/>
        <v>2.6666666666666668E-6</v>
      </c>
      <c r="CO232" s="156">
        <f t="shared" si="526"/>
        <v>2.6666666666666668E-6</v>
      </c>
      <c r="CP232" s="156">
        <f t="shared" si="526"/>
        <v>2.6666666666666668E-6</v>
      </c>
      <c r="CQ232" s="156">
        <f t="shared" si="526"/>
        <v>2.6666666666666668E-6</v>
      </c>
      <c r="CR232" s="156">
        <f t="shared" si="526"/>
        <v>2.6666666666666668E-6</v>
      </c>
      <c r="CS232" s="156">
        <f t="shared" si="526"/>
        <v>2.6666666666666668E-6</v>
      </c>
      <c r="CT232" s="156">
        <f t="shared" si="526"/>
        <v>2.6666666666666668E-6</v>
      </c>
      <c r="CU232" s="156">
        <f t="shared" si="526"/>
        <v>2.6666666666666668E-6</v>
      </c>
      <c r="CV232" s="156">
        <f t="shared" si="526"/>
        <v>2.6666666666666668E-6</v>
      </c>
      <c r="CW232" s="156">
        <f t="shared" si="526"/>
        <v>2.6666666666666668E-6</v>
      </c>
      <c r="CX232" s="156">
        <f t="shared" si="526"/>
        <v>2.6666666666666668E-6</v>
      </c>
      <c r="CY232" s="156">
        <f t="shared" si="526"/>
        <v>2.6666666666666668E-6</v>
      </c>
      <c r="CZ232" s="156">
        <f t="shared" si="526"/>
        <v>2.6666666666666668E-6</v>
      </c>
      <c r="DA232" s="156">
        <f t="shared" si="526"/>
        <v>2.6666666666666668E-6</v>
      </c>
      <c r="DB232" s="156">
        <f t="shared" si="526"/>
        <v>2.6666666666666668E-6</v>
      </c>
      <c r="DC232" s="156">
        <f t="shared" si="526"/>
        <v>2.6666666666666668E-6</v>
      </c>
      <c r="DD232" s="156">
        <f t="shared" si="526"/>
        <v>2.6666666666666668E-6</v>
      </c>
      <c r="DE232" s="156">
        <f>0.008%/30</f>
        <v>2.6666666666666668E-6</v>
      </c>
      <c r="DF232" s="156">
        <f>DE232</f>
        <v>2.6666666666666668E-6</v>
      </c>
      <c r="DG232" s="156">
        <f t="shared" ref="DG232:EH232" si="527">DF232</f>
        <v>2.6666666666666668E-6</v>
      </c>
      <c r="DH232" s="156">
        <f t="shared" si="527"/>
        <v>2.6666666666666668E-6</v>
      </c>
      <c r="DI232" s="156">
        <f t="shared" si="527"/>
        <v>2.6666666666666668E-6</v>
      </c>
      <c r="DJ232" s="156">
        <f t="shared" si="527"/>
        <v>2.6666666666666668E-6</v>
      </c>
      <c r="DK232" s="156">
        <f t="shared" si="527"/>
        <v>2.6666666666666668E-6</v>
      </c>
      <c r="DL232" s="156">
        <f t="shared" si="527"/>
        <v>2.6666666666666668E-6</v>
      </c>
      <c r="DM232" s="156">
        <f t="shared" si="527"/>
        <v>2.6666666666666668E-6</v>
      </c>
      <c r="DN232" s="156">
        <f t="shared" si="527"/>
        <v>2.6666666666666668E-6</v>
      </c>
      <c r="DO232" s="156">
        <f t="shared" si="527"/>
        <v>2.6666666666666668E-6</v>
      </c>
      <c r="DP232" s="156">
        <f t="shared" si="527"/>
        <v>2.6666666666666668E-6</v>
      </c>
      <c r="DQ232" s="156">
        <f t="shared" si="527"/>
        <v>2.6666666666666668E-6</v>
      </c>
      <c r="DR232" s="156">
        <f t="shared" si="527"/>
        <v>2.6666666666666668E-6</v>
      </c>
      <c r="DS232" s="156">
        <f t="shared" si="527"/>
        <v>2.6666666666666668E-6</v>
      </c>
      <c r="DT232" s="156">
        <f t="shared" si="527"/>
        <v>2.6666666666666668E-6</v>
      </c>
      <c r="DU232" s="156">
        <f t="shared" si="527"/>
        <v>2.6666666666666668E-6</v>
      </c>
      <c r="DV232" s="156">
        <f t="shared" si="527"/>
        <v>2.6666666666666668E-6</v>
      </c>
      <c r="DW232" s="156">
        <f t="shared" si="527"/>
        <v>2.6666666666666668E-6</v>
      </c>
      <c r="DX232" s="156">
        <f t="shared" si="527"/>
        <v>2.6666666666666668E-6</v>
      </c>
      <c r="DY232" s="156">
        <f t="shared" si="527"/>
        <v>2.6666666666666668E-6</v>
      </c>
      <c r="DZ232" s="156">
        <f t="shared" si="527"/>
        <v>2.6666666666666668E-6</v>
      </c>
      <c r="EA232" s="156">
        <f t="shared" si="527"/>
        <v>2.6666666666666668E-6</v>
      </c>
      <c r="EB232" s="156">
        <f t="shared" si="527"/>
        <v>2.6666666666666668E-6</v>
      </c>
      <c r="EC232" s="156">
        <f t="shared" si="527"/>
        <v>2.6666666666666668E-6</v>
      </c>
      <c r="ED232" s="156">
        <f t="shared" si="527"/>
        <v>2.6666666666666668E-6</v>
      </c>
      <c r="EE232" s="156">
        <f t="shared" si="527"/>
        <v>2.6666666666666668E-6</v>
      </c>
      <c r="EF232" s="156">
        <f t="shared" si="527"/>
        <v>2.6666666666666668E-6</v>
      </c>
      <c r="EG232" s="156">
        <f t="shared" si="527"/>
        <v>2.6666666666666668E-6</v>
      </c>
      <c r="EH232" s="156">
        <f t="shared" si="527"/>
        <v>2.6666666666666668E-6</v>
      </c>
      <c r="EI232" s="156">
        <f>0.008%/30</f>
        <v>2.6666666666666668E-6</v>
      </c>
      <c r="EJ232" s="156">
        <f>EI232</f>
        <v>2.6666666666666668E-6</v>
      </c>
      <c r="EK232" s="156">
        <f t="shared" ref="EK232:FL232" si="528">EJ232</f>
        <v>2.6666666666666668E-6</v>
      </c>
      <c r="EL232" s="156">
        <f t="shared" si="528"/>
        <v>2.6666666666666668E-6</v>
      </c>
      <c r="EM232" s="156">
        <f t="shared" si="528"/>
        <v>2.6666666666666668E-6</v>
      </c>
      <c r="EN232" s="156">
        <f t="shared" si="528"/>
        <v>2.6666666666666668E-6</v>
      </c>
      <c r="EO232" s="156">
        <f t="shared" si="528"/>
        <v>2.6666666666666668E-6</v>
      </c>
      <c r="EP232" s="156">
        <f t="shared" si="528"/>
        <v>2.6666666666666668E-6</v>
      </c>
      <c r="EQ232" s="156">
        <f t="shared" si="528"/>
        <v>2.6666666666666668E-6</v>
      </c>
      <c r="ER232" s="156">
        <f t="shared" si="528"/>
        <v>2.6666666666666668E-6</v>
      </c>
      <c r="ES232" s="156">
        <f t="shared" si="528"/>
        <v>2.6666666666666668E-6</v>
      </c>
      <c r="ET232" s="156">
        <f t="shared" si="528"/>
        <v>2.6666666666666668E-6</v>
      </c>
      <c r="EU232" s="156">
        <f t="shared" si="528"/>
        <v>2.6666666666666668E-6</v>
      </c>
      <c r="EV232" s="156">
        <f t="shared" si="528"/>
        <v>2.6666666666666668E-6</v>
      </c>
      <c r="EW232" s="156">
        <f t="shared" si="528"/>
        <v>2.6666666666666668E-6</v>
      </c>
      <c r="EX232" s="156">
        <f t="shared" si="528"/>
        <v>2.6666666666666668E-6</v>
      </c>
      <c r="EY232" s="156">
        <f t="shared" si="528"/>
        <v>2.6666666666666668E-6</v>
      </c>
      <c r="EZ232" s="156">
        <f t="shared" si="528"/>
        <v>2.6666666666666668E-6</v>
      </c>
      <c r="FA232" s="156">
        <f t="shared" si="528"/>
        <v>2.6666666666666668E-6</v>
      </c>
      <c r="FB232" s="156">
        <f t="shared" si="528"/>
        <v>2.6666666666666668E-6</v>
      </c>
      <c r="FC232" s="156">
        <f t="shared" si="528"/>
        <v>2.6666666666666668E-6</v>
      </c>
      <c r="FD232" s="156">
        <f t="shared" si="528"/>
        <v>2.6666666666666668E-6</v>
      </c>
      <c r="FE232" s="156">
        <f t="shared" si="528"/>
        <v>2.6666666666666668E-6</v>
      </c>
      <c r="FF232" s="156">
        <f t="shared" si="528"/>
        <v>2.6666666666666668E-6</v>
      </c>
      <c r="FG232" s="156">
        <f t="shared" si="528"/>
        <v>2.6666666666666668E-6</v>
      </c>
      <c r="FH232" s="156">
        <f t="shared" si="528"/>
        <v>2.6666666666666668E-6</v>
      </c>
      <c r="FI232" s="156">
        <f t="shared" si="528"/>
        <v>2.6666666666666668E-6</v>
      </c>
      <c r="FJ232" s="156">
        <f t="shared" si="528"/>
        <v>2.6666666666666668E-6</v>
      </c>
      <c r="FK232" s="156">
        <f t="shared" si="528"/>
        <v>2.6666666666666668E-6</v>
      </c>
      <c r="FL232" s="156">
        <f t="shared" si="528"/>
        <v>2.6666666666666668E-6</v>
      </c>
      <c r="FM232" s="156">
        <f>0.008%/30</f>
        <v>2.6666666666666668E-6</v>
      </c>
      <c r="FN232" s="156">
        <f>FM232</f>
        <v>2.6666666666666668E-6</v>
      </c>
      <c r="FO232" s="156">
        <f t="shared" ref="FO232:GP232" si="529">FN232</f>
        <v>2.6666666666666668E-6</v>
      </c>
      <c r="FP232" s="156">
        <f t="shared" si="529"/>
        <v>2.6666666666666668E-6</v>
      </c>
      <c r="FQ232" s="156">
        <f t="shared" si="529"/>
        <v>2.6666666666666668E-6</v>
      </c>
      <c r="FR232" s="156">
        <f t="shared" si="529"/>
        <v>2.6666666666666668E-6</v>
      </c>
      <c r="FS232" s="156">
        <f t="shared" si="529"/>
        <v>2.6666666666666668E-6</v>
      </c>
      <c r="FT232" s="156">
        <f t="shared" si="529"/>
        <v>2.6666666666666668E-6</v>
      </c>
      <c r="FU232" s="156">
        <f t="shared" si="529"/>
        <v>2.6666666666666668E-6</v>
      </c>
      <c r="FV232" s="156">
        <f t="shared" si="529"/>
        <v>2.6666666666666668E-6</v>
      </c>
      <c r="FW232" s="156">
        <f t="shared" si="529"/>
        <v>2.6666666666666668E-6</v>
      </c>
      <c r="FX232" s="156">
        <f t="shared" si="529"/>
        <v>2.6666666666666668E-6</v>
      </c>
      <c r="FY232" s="156">
        <f t="shared" si="529"/>
        <v>2.6666666666666668E-6</v>
      </c>
      <c r="FZ232" s="156">
        <f t="shared" si="529"/>
        <v>2.6666666666666668E-6</v>
      </c>
      <c r="GA232" s="156">
        <f t="shared" si="529"/>
        <v>2.6666666666666668E-6</v>
      </c>
      <c r="GB232" s="156">
        <f t="shared" si="529"/>
        <v>2.6666666666666668E-6</v>
      </c>
      <c r="GC232" s="156">
        <f t="shared" si="529"/>
        <v>2.6666666666666668E-6</v>
      </c>
      <c r="GD232" s="156">
        <f t="shared" si="529"/>
        <v>2.6666666666666668E-6</v>
      </c>
      <c r="GE232" s="156">
        <f t="shared" si="529"/>
        <v>2.6666666666666668E-6</v>
      </c>
      <c r="GF232" s="156">
        <f t="shared" si="529"/>
        <v>2.6666666666666668E-6</v>
      </c>
      <c r="GG232" s="156">
        <f t="shared" si="529"/>
        <v>2.6666666666666668E-6</v>
      </c>
      <c r="GH232" s="156">
        <f t="shared" si="529"/>
        <v>2.6666666666666668E-6</v>
      </c>
      <c r="GI232" s="156">
        <f t="shared" si="529"/>
        <v>2.6666666666666668E-6</v>
      </c>
      <c r="GJ232" s="156">
        <f t="shared" si="529"/>
        <v>2.6666666666666668E-6</v>
      </c>
      <c r="GK232" s="156">
        <f t="shared" si="529"/>
        <v>2.6666666666666668E-6</v>
      </c>
      <c r="GL232" s="156">
        <f t="shared" si="529"/>
        <v>2.6666666666666668E-6</v>
      </c>
      <c r="GM232" s="156">
        <f t="shared" si="529"/>
        <v>2.6666666666666668E-6</v>
      </c>
      <c r="GN232" s="156">
        <f t="shared" si="529"/>
        <v>2.6666666666666668E-6</v>
      </c>
      <c r="GO232" s="156">
        <f t="shared" si="529"/>
        <v>2.6666666666666668E-6</v>
      </c>
      <c r="GP232" s="156">
        <f t="shared" si="529"/>
        <v>2.6666666666666668E-6</v>
      </c>
      <c r="GQ232" s="156">
        <f>0.008%/30</f>
        <v>2.6666666666666668E-6</v>
      </c>
      <c r="GR232" s="156">
        <f>GQ232</f>
        <v>2.6666666666666668E-6</v>
      </c>
      <c r="GS232" s="156">
        <f t="shared" ref="GS232:HT232" si="530">GR232</f>
        <v>2.6666666666666668E-6</v>
      </c>
      <c r="GT232" s="156">
        <f t="shared" si="530"/>
        <v>2.6666666666666668E-6</v>
      </c>
      <c r="GU232" s="156">
        <f t="shared" si="530"/>
        <v>2.6666666666666668E-6</v>
      </c>
      <c r="GV232" s="156">
        <f t="shared" si="530"/>
        <v>2.6666666666666668E-6</v>
      </c>
      <c r="GW232" s="156">
        <f t="shared" si="530"/>
        <v>2.6666666666666668E-6</v>
      </c>
      <c r="GX232" s="156">
        <f t="shared" si="530"/>
        <v>2.6666666666666668E-6</v>
      </c>
      <c r="GY232" s="156">
        <f t="shared" si="530"/>
        <v>2.6666666666666668E-6</v>
      </c>
      <c r="GZ232" s="156">
        <f t="shared" si="530"/>
        <v>2.6666666666666668E-6</v>
      </c>
      <c r="HA232" s="156">
        <f t="shared" si="530"/>
        <v>2.6666666666666668E-6</v>
      </c>
      <c r="HB232" s="156">
        <f t="shared" si="530"/>
        <v>2.6666666666666668E-6</v>
      </c>
      <c r="HC232" s="156">
        <f t="shared" si="530"/>
        <v>2.6666666666666668E-6</v>
      </c>
      <c r="HD232" s="156">
        <f t="shared" si="530"/>
        <v>2.6666666666666668E-6</v>
      </c>
      <c r="HE232" s="156">
        <f t="shared" si="530"/>
        <v>2.6666666666666668E-6</v>
      </c>
      <c r="HF232" s="156">
        <f t="shared" si="530"/>
        <v>2.6666666666666668E-6</v>
      </c>
      <c r="HG232" s="156">
        <f t="shared" si="530"/>
        <v>2.6666666666666668E-6</v>
      </c>
      <c r="HH232" s="156">
        <f t="shared" si="530"/>
        <v>2.6666666666666668E-6</v>
      </c>
      <c r="HI232" s="156">
        <f t="shared" si="530"/>
        <v>2.6666666666666668E-6</v>
      </c>
      <c r="HJ232" s="156">
        <f t="shared" si="530"/>
        <v>2.6666666666666668E-6</v>
      </c>
      <c r="HK232" s="156">
        <f t="shared" si="530"/>
        <v>2.6666666666666668E-6</v>
      </c>
      <c r="HL232" s="156">
        <f t="shared" si="530"/>
        <v>2.6666666666666668E-6</v>
      </c>
      <c r="HM232" s="156">
        <f t="shared" si="530"/>
        <v>2.6666666666666668E-6</v>
      </c>
      <c r="HN232" s="156">
        <f t="shared" si="530"/>
        <v>2.6666666666666668E-6</v>
      </c>
      <c r="HO232" s="156">
        <f t="shared" si="530"/>
        <v>2.6666666666666668E-6</v>
      </c>
      <c r="HP232" s="156">
        <f t="shared" si="530"/>
        <v>2.6666666666666668E-6</v>
      </c>
      <c r="HQ232" s="156">
        <f t="shared" si="530"/>
        <v>2.6666666666666668E-6</v>
      </c>
      <c r="HR232" s="156">
        <f t="shared" si="530"/>
        <v>2.6666666666666668E-6</v>
      </c>
      <c r="HS232" s="156">
        <f t="shared" si="530"/>
        <v>2.6666666666666668E-6</v>
      </c>
      <c r="HT232" s="156">
        <f t="shared" si="530"/>
        <v>2.6666666666666668E-6</v>
      </c>
      <c r="HU232" s="156">
        <f>0.008%/30</f>
        <v>2.6666666666666668E-6</v>
      </c>
      <c r="HV232" s="156">
        <f>HU232</f>
        <v>2.6666666666666668E-6</v>
      </c>
      <c r="HW232" s="156">
        <f t="shared" ref="HW232:IX232" si="531">HV232</f>
        <v>2.6666666666666668E-6</v>
      </c>
      <c r="HX232" s="156">
        <f t="shared" si="531"/>
        <v>2.6666666666666668E-6</v>
      </c>
      <c r="HY232" s="156">
        <f t="shared" si="531"/>
        <v>2.6666666666666668E-6</v>
      </c>
      <c r="HZ232" s="156">
        <f t="shared" si="531"/>
        <v>2.6666666666666668E-6</v>
      </c>
      <c r="IA232" s="156">
        <f t="shared" si="531"/>
        <v>2.6666666666666668E-6</v>
      </c>
      <c r="IB232" s="156">
        <f t="shared" si="531"/>
        <v>2.6666666666666668E-6</v>
      </c>
      <c r="IC232" s="156">
        <f t="shared" si="531"/>
        <v>2.6666666666666668E-6</v>
      </c>
      <c r="ID232" s="156">
        <f t="shared" si="531"/>
        <v>2.6666666666666668E-6</v>
      </c>
      <c r="IE232" s="156">
        <f t="shared" si="531"/>
        <v>2.6666666666666668E-6</v>
      </c>
      <c r="IF232" s="156">
        <f t="shared" si="531"/>
        <v>2.6666666666666668E-6</v>
      </c>
      <c r="IG232" s="156">
        <f t="shared" si="531"/>
        <v>2.6666666666666668E-6</v>
      </c>
      <c r="IH232" s="156">
        <f t="shared" si="531"/>
        <v>2.6666666666666668E-6</v>
      </c>
      <c r="II232" s="156">
        <f t="shared" si="531"/>
        <v>2.6666666666666668E-6</v>
      </c>
      <c r="IJ232" s="156">
        <f t="shared" si="531"/>
        <v>2.6666666666666668E-6</v>
      </c>
      <c r="IK232" s="156">
        <f t="shared" si="531"/>
        <v>2.6666666666666668E-6</v>
      </c>
      <c r="IL232" s="156">
        <f t="shared" si="531"/>
        <v>2.6666666666666668E-6</v>
      </c>
      <c r="IM232" s="156">
        <f t="shared" si="531"/>
        <v>2.6666666666666668E-6</v>
      </c>
      <c r="IN232" s="156">
        <f t="shared" si="531"/>
        <v>2.6666666666666668E-6</v>
      </c>
      <c r="IO232" s="156">
        <f t="shared" si="531"/>
        <v>2.6666666666666668E-6</v>
      </c>
      <c r="IP232" s="156">
        <f t="shared" si="531"/>
        <v>2.6666666666666668E-6</v>
      </c>
      <c r="IQ232" s="156">
        <f t="shared" si="531"/>
        <v>2.6666666666666668E-6</v>
      </c>
      <c r="IR232" s="156">
        <f t="shared" si="531"/>
        <v>2.6666666666666668E-6</v>
      </c>
      <c r="IS232" s="156">
        <f t="shared" si="531"/>
        <v>2.6666666666666668E-6</v>
      </c>
      <c r="IT232" s="156">
        <f t="shared" si="531"/>
        <v>2.6666666666666668E-6</v>
      </c>
      <c r="IU232" s="156">
        <f t="shared" si="531"/>
        <v>2.6666666666666668E-6</v>
      </c>
      <c r="IV232" s="156">
        <f t="shared" si="531"/>
        <v>2.6666666666666668E-6</v>
      </c>
      <c r="IW232" s="156">
        <f t="shared" si="531"/>
        <v>2.6666666666666668E-6</v>
      </c>
      <c r="IX232" s="156">
        <f t="shared" si="531"/>
        <v>2.6666666666666668E-6</v>
      </c>
      <c r="IY232" s="156">
        <f>0.008%/30</f>
        <v>2.6666666666666668E-6</v>
      </c>
      <c r="IZ232" s="156">
        <f>IY232</f>
        <v>2.6666666666666668E-6</v>
      </c>
      <c r="JA232" s="156">
        <f t="shared" ref="JA232:KB232" si="532">IZ232</f>
        <v>2.6666666666666668E-6</v>
      </c>
      <c r="JB232" s="156">
        <f t="shared" si="532"/>
        <v>2.6666666666666668E-6</v>
      </c>
      <c r="JC232" s="156">
        <f t="shared" si="532"/>
        <v>2.6666666666666668E-6</v>
      </c>
      <c r="JD232" s="156">
        <f t="shared" si="532"/>
        <v>2.6666666666666668E-6</v>
      </c>
      <c r="JE232" s="156">
        <f t="shared" si="532"/>
        <v>2.6666666666666668E-6</v>
      </c>
      <c r="JF232" s="156">
        <f t="shared" si="532"/>
        <v>2.6666666666666668E-6</v>
      </c>
      <c r="JG232" s="156">
        <f t="shared" si="532"/>
        <v>2.6666666666666668E-6</v>
      </c>
      <c r="JH232" s="156">
        <f t="shared" si="532"/>
        <v>2.6666666666666668E-6</v>
      </c>
      <c r="JI232" s="156">
        <f t="shared" si="532"/>
        <v>2.6666666666666668E-6</v>
      </c>
      <c r="JJ232" s="156">
        <f t="shared" si="532"/>
        <v>2.6666666666666668E-6</v>
      </c>
      <c r="JK232" s="156">
        <f t="shared" si="532"/>
        <v>2.6666666666666668E-6</v>
      </c>
      <c r="JL232" s="156">
        <f t="shared" si="532"/>
        <v>2.6666666666666668E-6</v>
      </c>
      <c r="JM232" s="156">
        <f t="shared" si="532"/>
        <v>2.6666666666666668E-6</v>
      </c>
      <c r="JN232" s="156">
        <f t="shared" si="532"/>
        <v>2.6666666666666668E-6</v>
      </c>
      <c r="JO232" s="156">
        <f t="shared" si="532"/>
        <v>2.6666666666666668E-6</v>
      </c>
      <c r="JP232" s="156">
        <f t="shared" si="532"/>
        <v>2.6666666666666668E-6</v>
      </c>
      <c r="JQ232" s="156">
        <f t="shared" si="532"/>
        <v>2.6666666666666668E-6</v>
      </c>
      <c r="JR232" s="156">
        <f t="shared" si="532"/>
        <v>2.6666666666666668E-6</v>
      </c>
      <c r="JS232" s="156">
        <f t="shared" si="532"/>
        <v>2.6666666666666668E-6</v>
      </c>
      <c r="JT232" s="156">
        <f t="shared" si="532"/>
        <v>2.6666666666666668E-6</v>
      </c>
      <c r="JU232" s="156">
        <f t="shared" si="532"/>
        <v>2.6666666666666668E-6</v>
      </c>
      <c r="JV232" s="156">
        <f t="shared" si="532"/>
        <v>2.6666666666666668E-6</v>
      </c>
      <c r="JW232" s="156">
        <f t="shared" si="532"/>
        <v>2.6666666666666668E-6</v>
      </c>
      <c r="JX232" s="156">
        <f t="shared" si="532"/>
        <v>2.6666666666666668E-6</v>
      </c>
      <c r="JY232" s="156">
        <f t="shared" si="532"/>
        <v>2.6666666666666668E-6</v>
      </c>
      <c r="JZ232" s="156">
        <f t="shared" si="532"/>
        <v>2.6666666666666668E-6</v>
      </c>
      <c r="KA232" s="156">
        <f t="shared" si="532"/>
        <v>2.6666666666666668E-6</v>
      </c>
      <c r="KB232" s="156">
        <f t="shared" si="532"/>
        <v>2.6666666666666668E-6</v>
      </c>
      <c r="KC232" s="212">
        <v>8.0000000000000007E-5</v>
      </c>
      <c r="KD232" s="212"/>
      <c r="KE232" s="212"/>
      <c r="KF232" s="212">
        <v>8.0000000000000007E-5</v>
      </c>
      <c r="KG232" s="212"/>
      <c r="KH232" s="212"/>
      <c r="KI232" s="212">
        <v>8.0000000000000007E-5</v>
      </c>
      <c r="KJ232" s="212"/>
      <c r="KK232" s="212"/>
      <c r="KL232" s="212">
        <v>8.0000000000000007E-5</v>
      </c>
      <c r="KM232" s="212"/>
      <c r="KN232" s="212"/>
      <c r="KO232" s="212">
        <v>8.0000000000000007E-5</v>
      </c>
      <c r="KP232" s="212"/>
      <c r="KQ232" s="212"/>
      <c r="KR232" s="212">
        <v>8.0000000000000007E-5</v>
      </c>
      <c r="KS232" s="212"/>
      <c r="KT232" s="212"/>
      <c r="KU232" s="212">
        <v>8.0000000000000007E-5</v>
      </c>
      <c r="KV232" s="212"/>
      <c r="KW232" s="212"/>
      <c r="KX232" s="212">
        <v>8.0000000000000007E-5</v>
      </c>
      <c r="KY232" s="212"/>
      <c r="KZ232" s="212"/>
      <c r="LA232" s="212">
        <v>8.0000000000000007E-5</v>
      </c>
      <c r="LB232" s="212"/>
      <c r="LC232" s="212"/>
      <c r="LD232" s="212">
        <v>8.0000000000000007E-5</v>
      </c>
      <c r="LE232" s="212"/>
      <c r="LF232" s="212"/>
      <c r="LG232" s="212">
        <v>8.0000000000000007E-5</v>
      </c>
      <c r="LH232" s="212"/>
      <c r="LI232" s="212"/>
      <c r="LJ232" s="212">
        <v>8.0000000000000007E-5</v>
      </c>
      <c r="LK232" s="212"/>
      <c r="LL232" s="212"/>
      <c r="LM232" s="212">
        <v>8.0000000000000007E-5</v>
      </c>
      <c r="LN232" s="212"/>
      <c r="LO232" s="212"/>
      <c r="LP232" s="212">
        <v>8.0000000000000007E-5</v>
      </c>
      <c r="LQ232" s="212"/>
      <c r="LR232" s="212"/>
      <c r="LS232" s="212">
        <v>8.0000000000000007E-5</v>
      </c>
      <c r="LT232" s="212"/>
      <c r="LU232" s="212"/>
      <c r="LV232" s="212">
        <v>6.9999999999999994E-5</v>
      </c>
      <c r="LW232" s="212"/>
      <c r="LX232" s="212"/>
      <c r="LY232" s="212">
        <v>6.9999999999999994E-5</v>
      </c>
      <c r="LZ232" s="212"/>
      <c r="MA232" s="212"/>
      <c r="MB232" s="212">
        <v>6.9999999999999994E-5</v>
      </c>
      <c r="MC232" s="212"/>
      <c r="MD232" s="212"/>
      <c r="ME232" s="212">
        <v>6.9999999999999994E-5</v>
      </c>
      <c r="MF232" s="212"/>
      <c r="MG232" s="212"/>
      <c r="MH232" s="212">
        <v>6.9999999999999994E-5</v>
      </c>
      <c r="MI232" s="212"/>
      <c r="MJ232" s="212"/>
      <c r="MK232" s="212">
        <v>6.9999999999999994E-5</v>
      </c>
      <c r="ML232" s="212"/>
      <c r="MM232" s="212"/>
      <c r="MN232" s="212">
        <v>6.9999999999999994E-5</v>
      </c>
      <c r="MO232" s="212"/>
      <c r="MP232" s="212"/>
      <c r="MQ232" s="212">
        <v>6.9999999999999994E-5</v>
      </c>
      <c r="MR232" s="212"/>
      <c r="MS232" s="212"/>
      <c r="MT232" s="212">
        <v>6.9999999999999994E-5</v>
      </c>
      <c r="MU232" s="212"/>
      <c r="MV232" s="212"/>
      <c r="MW232" s="212">
        <v>6.9999999999999994E-5</v>
      </c>
      <c r="MX232" s="212"/>
      <c r="MY232" s="212"/>
      <c r="MZ232" s="212">
        <v>1E-4</v>
      </c>
      <c r="NA232" s="212"/>
      <c r="NB232" s="212"/>
      <c r="NC232" s="219">
        <v>4.0000000000000003E-5</v>
      </c>
      <c r="ND232" s="219"/>
      <c r="NE232" s="413"/>
      <c r="NG232" s="275">
        <f>SUM(R232:NE232)</f>
        <v>2.7600000000000003E-3</v>
      </c>
      <c r="NH232" s="1"/>
      <c r="NI232" s="1"/>
      <c r="NJ232" s="1"/>
      <c r="NK232" s="1"/>
    </row>
    <row r="233" spans="4:375" s="6" customFormat="1" ht="6.95" customHeight="1">
      <c r="E233" s="80"/>
      <c r="F233" s="196"/>
      <c r="G233" s="197"/>
      <c r="H233" s="52">
        <v>2</v>
      </c>
      <c r="I233" s="80"/>
      <c r="J233" s="80"/>
      <c r="L233" s="340"/>
      <c r="M233" s="294"/>
      <c r="N233" s="357"/>
      <c r="O233" s="306"/>
      <c r="P233" s="308"/>
      <c r="Q233" s="237"/>
      <c r="R233" s="60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  <c r="BS233" s="62"/>
      <c r="BT233" s="62"/>
      <c r="BU233" s="62"/>
      <c r="BV233" s="62"/>
      <c r="BW233" s="62"/>
      <c r="BX233" s="62"/>
      <c r="BY233" s="62"/>
      <c r="BZ233" s="63"/>
      <c r="CA233" s="61"/>
      <c r="CB233" s="62"/>
      <c r="CC233" s="62"/>
      <c r="CD233" s="62"/>
      <c r="CE233" s="62"/>
      <c r="CF233" s="62"/>
      <c r="CG233" s="62"/>
      <c r="CH233" s="62"/>
      <c r="CI233" s="62"/>
      <c r="CJ233" s="62"/>
      <c r="CK233" s="62"/>
      <c r="CL233" s="62"/>
      <c r="CM233" s="62"/>
      <c r="CN233" s="62"/>
      <c r="CO233" s="62"/>
      <c r="CP233" s="62"/>
      <c r="CQ233" s="62"/>
      <c r="CR233" s="62"/>
      <c r="CS233" s="62"/>
      <c r="CT233" s="62"/>
      <c r="CU233" s="62"/>
      <c r="CV233" s="62"/>
      <c r="CW233" s="62"/>
      <c r="CX233" s="62"/>
      <c r="CY233" s="62"/>
      <c r="CZ233" s="62"/>
      <c r="DA233" s="62"/>
      <c r="DB233" s="62"/>
      <c r="DC233" s="62"/>
      <c r="DD233" s="62"/>
      <c r="DE233" s="61"/>
      <c r="DF233" s="62"/>
      <c r="DG233" s="62"/>
      <c r="DH233" s="62"/>
      <c r="DI233" s="62"/>
      <c r="DJ233" s="62"/>
      <c r="DK233" s="62"/>
      <c r="DL233" s="62"/>
      <c r="DM233" s="62"/>
      <c r="DN233" s="62"/>
      <c r="DO233" s="62"/>
      <c r="DP233" s="62"/>
      <c r="DQ233" s="62"/>
      <c r="DR233" s="62"/>
      <c r="DS233" s="62"/>
      <c r="DT233" s="62"/>
      <c r="DU233" s="62"/>
      <c r="DV233" s="62"/>
      <c r="DW233" s="62"/>
      <c r="DX233" s="62"/>
      <c r="DY233" s="62"/>
      <c r="DZ233" s="62"/>
      <c r="EA233" s="62"/>
      <c r="EB233" s="62"/>
      <c r="EC233" s="62"/>
      <c r="ED233" s="62"/>
      <c r="EE233" s="62"/>
      <c r="EF233" s="62"/>
      <c r="EG233" s="62"/>
      <c r="EH233" s="62"/>
      <c r="EI233" s="61"/>
      <c r="EJ233" s="62"/>
      <c r="EK233" s="62"/>
      <c r="EL233" s="62"/>
      <c r="EM233" s="62"/>
      <c r="EN233" s="62"/>
      <c r="EO233" s="62"/>
      <c r="EP233" s="62"/>
      <c r="EQ233" s="62"/>
      <c r="ER233" s="62"/>
      <c r="ES233" s="62"/>
      <c r="ET233" s="62"/>
      <c r="EU233" s="62"/>
      <c r="EV233" s="62"/>
      <c r="EW233" s="62"/>
      <c r="EX233" s="62"/>
      <c r="EY233" s="62"/>
      <c r="EZ233" s="62"/>
      <c r="FA233" s="62"/>
      <c r="FB233" s="62"/>
      <c r="FC233" s="62"/>
      <c r="FD233" s="62"/>
      <c r="FE233" s="62"/>
      <c r="FF233" s="62"/>
      <c r="FG233" s="62"/>
      <c r="FH233" s="62"/>
      <c r="FI233" s="62"/>
      <c r="FJ233" s="62"/>
      <c r="FK233" s="62"/>
      <c r="FL233" s="62"/>
      <c r="FM233" s="61"/>
      <c r="FN233" s="62"/>
      <c r="FO233" s="62"/>
      <c r="FP233" s="62"/>
      <c r="FQ233" s="62"/>
      <c r="FR233" s="62"/>
      <c r="FS233" s="62"/>
      <c r="FT233" s="62"/>
      <c r="FU233" s="62"/>
      <c r="FV233" s="62"/>
      <c r="FW233" s="62"/>
      <c r="FX233" s="62"/>
      <c r="FY233" s="62"/>
      <c r="FZ233" s="62"/>
      <c r="GA233" s="62"/>
      <c r="GB233" s="62"/>
      <c r="GC233" s="62"/>
      <c r="GD233" s="62"/>
      <c r="GE233" s="62"/>
      <c r="GF233" s="62"/>
      <c r="GG233" s="62"/>
      <c r="GH233" s="62"/>
      <c r="GI233" s="62"/>
      <c r="GJ233" s="62"/>
      <c r="GK233" s="62"/>
      <c r="GL233" s="62"/>
      <c r="GM233" s="62"/>
      <c r="GN233" s="62"/>
      <c r="GO233" s="62"/>
      <c r="GP233" s="62"/>
      <c r="GQ233" s="61"/>
      <c r="GR233" s="62"/>
      <c r="GS233" s="62"/>
      <c r="GT233" s="62"/>
      <c r="GU233" s="62"/>
      <c r="GV233" s="62"/>
      <c r="GW233" s="62"/>
      <c r="GX233" s="62"/>
      <c r="GY233" s="62"/>
      <c r="GZ233" s="62"/>
      <c r="HA233" s="62"/>
      <c r="HB233" s="62"/>
      <c r="HC233" s="62"/>
      <c r="HD233" s="62"/>
      <c r="HE233" s="62"/>
      <c r="HF233" s="62"/>
      <c r="HG233" s="62"/>
      <c r="HH233" s="62"/>
      <c r="HI233" s="62"/>
      <c r="HJ233" s="62"/>
      <c r="HK233" s="62"/>
      <c r="HL233" s="62"/>
      <c r="HM233" s="62"/>
      <c r="HN233" s="62"/>
      <c r="HO233" s="62"/>
      <c r="HP233" s="62"/>
      <c r="HQ233" s="62"/>
      <c r="HR233" s="62"/>
      <c r="HS233" s="62"/>
      <c r="HT233" s="62"/>
      <c r="HU233" s="61"/>
      <c r="HV233" s="62"/>
      <c r="HW233" s="62"/>
      <c r="HX233" s="62"/>
      <c r="HY233" s="62"/>
      <c r="HZ233" s="62"/>
      <c r="IA233" s="62"/>
      <c r="IB233" s="62"/>
      <c r="IC233" s="62"/>
      <c r="ID233" s="62"/>
      <c r="IE233" s="62"/>
      <c r="IF233" s="62"/>
      <c r="IG233" s="62"/>
      <c r="IH233" s="62"/>
      <c r="II233" s="62"/>
      <c r="IJ233" s="62"/>
      <c r="IK233" s="62"/>
      <c r="IL233" s="62"/>
      <c r="IM233" s="62"/>
      <c r="IN233" s="62"/>
      <c r="IO233" s="62"/>
      <c r="IP233" s="62"/>
      <c r="IQ233" s="62"/>
      <c r="IR233" s="62"/>
      <c r="IS233" s="62"/>
      <c r="IT233" s="62"/>
      <c r="IU233" s="62"/>
      <c r="IV233" s="62"/>
      <c r="IW233" s="62"/>
      <c r="IX233" s="62"/>
      <c r="IY233" s="61"/>
      <c r="IZ233" s="62"/>
      <c r="JA233" s="62"/>
      <c r="JB233" s="62"/>
      <c r="JC233" s="62"/>
      <c r="JD233" s="62"/>
      <c r="JE233" s="62"/>
      <c r="JF233" s="62"/>
      <c r="JG233" s="62"/>
      <c r="JH233" s="62"/>
      <c r="JI233" s="62"/>
      <c r="JJ233" s="62"/>
      <c r="JK233" s="62"/>
      <c r="JL233" s="62"/>
      <c r="JM233" s="62"/>
      <c r="JN233" s="62"/>
      <c r="JO233" s="62"/>
      <c r="JP233" s="62"/>
      <c r="JQ233" s="62"/>
      <c r="JR233" s="62"/>
      <c r="JS233" s="62"/>
      <c r="JT233" s="62"/>
      <c r="JU233" s="62"/>
      <c r="JV233" s="62"/>
      <c r="JW233" s="62"/>
      <c r="JX233" s="62"/>
      <c r="JY233" s="62"/>
      <c r="JZ233" s="62"/>
      <c r="KA233" s="62"/>
      <c r="KB233" s="62"/>
      <c r="KC233" s="61"/>
      <c r="KD233" s="62"/>
      <c r="KE233" s="63"/>
      <c r="KF233" s="61"/>
      <c r="KG233" s="62"/>
      <c r="KH233" s="63"/>
      <c r="KI233" s="61"/>
      <c r="KJ233" s="62"/>
      <c r="KK233" s="63"/>
      <c r="KL233" s="61"/>
      <c r="KM233" s="62"/>
      <c r="KN233" s="63"/>
      <c r="KO233" s="61"/>
      <c r="KP233" s="62"/>
      <c r="KQ233" s="63"/>
      <c r="KR233" s="61"/>
      <c r="KS233" s="62"/>
      <c r="KT233" s="63"/>
      <c r="KU233" s="61"/>
      <c r="KV233" s="62"/>
      <c r="KW233" s="63"/>
      <c r="KX233" s="61"/>
      <c r="KY233" s="62"/>
      <c r="KZ233" s="63"/>
      <c r="LA233" s="61"/>
      <c r="LB233" s="62"/>
      <c r="LC233" s="63"/>
      <c r="LD233" s="61"/>
      <c r="LE233" s="62"/>
      <c r="LF233" s="63"/>
      <c r="LG233" s="61"/>
      <c r="LH233" s="62"/>
      <c r="LI233" s="63"/>
      <c r="LJ233" s="61"/>
      <c r="LK233" s="62"/>
      <c r="LL233" s="63"/>
      <c r="LM233" s="61"/>
      <c r="LN233" s="62"/>
      <c r="LO233" s="63"/>
      <c r="LP233" s="61"/>
      <c r="LQ233" s="62"/>
      <c r="LR233" s="63"/>
      <c r="LS233" s="61"/>
      <c r="LT233" s="62"/>
      <c r="LU233" s="63"/>
      <c r="LV233" s="61"/>
      <c r="LW233" s="62"/>
      <c r="LX233" s="63"/>
      <c r="LY233" s="61"/>
      <c r="LZ233" s="62"/>
      <c r="MA233" s="63"/>
      <c r="MB233" s="61"/>
      <c r="MC233" s="62"/>
      <c r="MD233" s="63"/>
      <c r="ME233" s="61"/>
      <c r="MF233" s="62"/>
      <c r="MG233" s="63"/>
      <c r="MH233" s="61"/>
      <c r="MI233" s="62"/>
      <c r="MJ233" s="63"/>
      <c r="MK233" s="61"/>
      <c r="ML233" s="62"/>
      <c r="MM233" s="63"/>
      <c r="MN233" s="61"/>
      <c r="MO233" s="62"/>
      <c r="MP233" s="63"/>
      <c r="MQ233" s="61"/>
      <c r="MR233" s="62"/>
      <c r="MS233" s="63"/>
      <c r="MT233" s="61"/>
      <c r="MU233" s="62"/>
      <c r="MV233" s="63"/>
      <c r="MW233" s="61"/>
      <c r="MX233" s="62"/>
      <c r="MY233" s="63"/>
      <c r="MZ233" s="61"/>
      <c r="NA233" s="62"/>
      <c r="NB233" s="63"/>
      <c r="NC233" s="61"/>
      <c r="ND233" s="62"/>
      <c r="NE233" s="91"/>
      <c r="NG233" s="275"/>
      <c r="NH233" s="1"/>
      <c r="NI233" s="1"/>
      <c r="NJ233" s="1"/>
      <c r="NK233" s="1"/>
    </row>
    <row r="234" spans="4:375" s="6" customFormat="1" ht="9.9499999999999993" customHeight="1">
      <c r="E234" s="118"/>
      <c r="F234" s="196">
        <f t="shared" ref="F234" si="533">NG234</f>
        <v>1.1800000000000029E-3</v>
      </c>
      <c r="G234" s="197">
        <f>Q234-F234</f>
        <v>-2.8189256484623115E-18</v>
      </c>
      <c r="H234" s="27">
        <v>1</v>
      </c>
      <c r="I234" s="118"/>
      <c r="J234" s="118"/>
      <c r="L234" s="292"/>
      <c r="M234" s="300" t="s">
        <v>168</v>
      </c>
      <c r="N234" s="296">
        <v>1</v>
      </c>
      <c r="O234" s="310" t="s">
        <v>169</v>
      </c>
      <c r="P234" s="315">
        <v>245323</v>
      </c>
      <c r="Q234" s="236">
        <f>ROUND(P234/$P$256,5)</f>
        <v>1.1800000000000001E-3</v>
      </c>
      <c r="R234" s="73"/>
      <c r="S234" s="154">
        <f>0.013%/30</f>
        <v>4.3333333333333331E-6</v>
      </c>
      <c r="T234" s="154">
        <f t="shared" ref="T234:AV234" si="534">0.013%/30</f>
        <v>4.3333333333333331E-6</v>
      </c>
      <c r="U234" s="154">
        <f t="shared" si="534"/>
        <v>4.3333333333333331E-6</v>
      </c>
      <c r="V234" s="154">
        <f t="shared" si="534"/>
        <v>4.3333333333333331E-6</v>
      </c>
      <c r="W234" s="154">
        <f t="shared" si="534"/>
        <v>4.3333333333333331E-6</v>
      </c>
      <c r="X234" s="154">
        <f t="shared" si="534"/>
        <v>4.3333333333333331E-6</v>
      </c>
      <c r="Y234" s="154">
        <f t="shared" si="534"/>
        <v>4.3333333333333331E-6</v>
      </c>
      <c r="Z234" s="154">
        <f t="shared" si="534"/>
        <v>4.3333333333333331E-6</v>
      </c>
      <c r="AA234" s="154">
        <f t="shared" si="534"/>
        <v>4.3333333333333331E-6</v>
      </c>
      <c r="AB234" s="154">
        <f t="shared" si="534"/>
        <v>4.3333333333333331E-6</v>
      </c>
      <c r="AC234" s="154">
        <f t="shared" si="534"/>
        <v>4.3333333333333331E-6</v>
      </c>
      <c r="AD234" s="154">
        <f t="shared" si="534"/>
        <v>4.3333333333333331E-6</v>
      </c>
      <c r="AE234" s="154">
        <f t="shared" si="534"/>
        <v>4.3333333333333331E-6</v>
      </c>
      <c r="AF234" s="154">
        <f t="shared" si="534"/>
        <v>4.3333333333333331E-6</v>
      </c>
      <c r="AG234" s="154">
        <f t="shared" si="534"/>
        <v>4.3333333333333331E-6</v>
      </c>
      <c r="AH234" s="154">
        <f t="shared" si="534"/>
        <v>4.3333333333333331E-6</v>
      </c>
      <c r="AI234" s="154">
        <f t="shared" si="534"/>
        <v>4.3333333333333331E-6</v>
      </c>
      <c r="AJ234" s="154">
        <f t="shared" si="534"/>
        <v>4.3333333333333331E-6</v>
      </c>
      <c r="AK234" s="154">
        <f t="shared" si="534"/>
        <v>4.3333333333333331E-6</v>
      </c>
      <c r="AL234" s="154">
        <f t="shared" si="534"/>
        <v>4.3333333333333331E-6</v>
      </c>
      <c r="AM234" s="154">
        <f t="shared" si="534"/>
        <v>4.3333333333333331E-6</v>
      </c>
      <c r="AN234" s="154">
        <f t="shared" si="534"/>
        <v>4.3333333333333331E-6</v>
      </c>
      <c r="AO234" s="154">
        <f t="shared" si="534"/>
        <v>4.3333333333333331E-6</v>
      </c>
      <c r="AP234" s="154">
        <f t="shared" si="534"/>
        <v>4.3333333333333331E-6</v>
      </c>
      <c r="AQ234" s="154">
        <f t="shared" si="534"/>
        <v>4.3333333333333331E-6</v>
      </c>
      <c r="AR234" s="154">
        <f t="shared" si="534"/>
        <v>4.3333333333333331E-6</v>
      </c>
      <c r="AS234" s="154">
        <f t="shared" si="534"/>
        <v>4.3333333333333331E-6</v>
      </c>
      <c r="AT234" s="154">
        <f t="shared" si="534"/>
        <v>4.3333333333333331E-6</v>
      </c>
      <c r="AU234" s="154">
        <f t="shared" si="534"/>
        <v>4.3333333333333331E-6</v>
      </c>
      <c r="AV234" s="154">
        <f t="shared" si="534"/>
        <v>4.3333333333333331E-6</v>
      </c>
      <c r="AW234" s="179">
        <f>0.003%/30</f>
        <v>9.9999999999999995E-7</v>
      </c>
      <c r="AX234" s="156">
        <f>AW234</f>
        <v>9.9999999999999995E-7</v>
      </c>
      <c r="AY234" s="143">
        <f t="shared" ref="AY234:BZ234" si="535">AX234</f>
        <v>9.9999999999999995E-7</v>
      </c>
      <c r="AZ234" s="143">
        <f t="shared" si="535"/>
        <v>9.9999999999999995E-7</v>
      </c>
      <c r="BA234" s="143">
        <f t="shared" si="535"/>
        <v>9.9999999999999995E-7</v>
      </c>
      <c r="BB234" s="143">
        <f t="shared" si="535"/>
        <v>9.9999999999999995E-7</v>
      </c>
      <c r="BC234" s="143">
        <f t="shared" si="535"/>
        <v>9.9999999999999995E-7</v>
      </c>
      <c r="BD234" s="143">
        <f t="shared" si="535"/>
        <v>9.9999999999999995E-7</v>
      </c>
      <c r="BE234" s="143">
        <f t="shared" si="535"/>
        <v>9.9999999999999995E-7</v>
      </c>
      <c r="BF234" s="143">
        <f t="shared" si="535"/>
        <v>9.9999999999999995E-7</v>
      </c>
      <c r="BG234" s="143">
        <f t="shared" si="535"/>
        <v>9.9999999999999995E-7</v>
      </c>
      <c r="BH234" s="143">
        <f t="shared" si="535"/>
        <v>9.9999999999999995E-7</v>
      </c>
      <c r="BI234" s="143">
        <f t="shared" si="535"/>
        <v>9.9999999999999995E-7</v>
      </c>
      <c r="BJ234" s="143">
        <f t="shared" si="535"/>
        <v>9.9999999999999995E-7</v>
      </c>
      <c r="BK234" s="143">
        <f t="shared" si="535"/>
        <v>9.9999999999999995E-7</v>
      </c>
      <c r="BL234" s="143">
        <f t="shared" si="535"/>
        <v>9.9999999999999995E-7</v>
      </c>
      <c r="BM234" s="143">
        <f t="shared" si="535"/>
        <v>9.9999999999999995E-7</v>
      </c>
      <c r="BN234" s="143">
        <f t="shared" si="535"/>
        <v>9.9999999999999995E-7</v>
      </c>
      <c r="BO234" s="143">
        <f t="shared" si="535"/>
        <v>9.9999999999999995E-7</v>
      </c>
      <c r="BP234" s="143">
        <f t="shared" si="535"/>
        <v>9.9999999999999995E-7</v>
      </c>
      <c r="BQ234" s="143">
        <f t="shared" si="535"/>
        <v>9.9999999999999995E-7</v>
      </c>
      <c r="BR234" s="143">
        <f t="shared" si="535"/>
        <v>9.9999999999999995E-7</v>
      </c>
      <c r="BS234" s="143">
        <f t="shared" si="535"/>
        <v>9.9999999999999995E-7</v>
      </c>
      <c r="BT234" s="143">
        <f t="shared" si="535"/>
        <v>9.9999999999999995E-7</v>
      </c>
      <c r="BU234" s="143">
        <f t="shared" si="535"/>
        <v>9.9999999999999995E-7</v>
      </c>
      <c r="BV234" s="143">
        <f t="shared" si="535"/>
        <v>9.9999999999999995E-7</v>
      </c>
      <c r="BW234" s="143">
        <f t="shared" si="535"/>
        <v>9.9999999999999995E-7</v>
      </c>
      <c r="BX234" s="143">
        <f t="shared" si="535"/>
        <v>9.9999999999999995E-7</v>
      </c>
      <c r="BY234" s="143">
        <f t="shared" si="535"/>
        <v>9.9999999999999995E-7</v>
      </c>
      <c r="BZ234" s="155">
        <f t="shared" si="535"/>
        <v>9.9999999999999995E-7</v>
      </c>
      <c r="CA234" s="154">
        <f>0.003%/30</f>
        <v>9.9999999999999995E-7</v>
      </c>
      <c r="CB234" s="156">
        <f>CA234</f>
        <v>9.9999999999999995E-7</v>
      </c>
      <c r="CC234" s="156">
        <f t="shared" ref="CC234:DD234" si="536">CB234</f>
        <v>9.9999999999999995E-7</v>
      </c>
      <c r="CD234" s="156">
        <f t="shared" si="536"/>
        <v>9.9999999999999995E-7</v>
      </c>
      <c r="CE234" s="156">
        <f t="shared" si="536"/>
        <v>9.9999999999999995E-7</v>
      </c>
      <c r="CF234" s="156">
        <f t="shared" si="536"/>
        <v>9.9999999999999995E-7</v>
      </c>
      <c r="CG234" s="156">
        <f t="shared" si="536"/>
        <v>9.9999999999999995E-7</v>
      </c>
      <c r="CH234" s="156">
        <f t="shared" si="536"/>
        <v>9.9999999999999995E-7</v>
      </c>
      <c r="CI234" s="156">
        <f t="shared" si="536"/>
        <v>9.9999999999999995E-7</v>
      </c>
      <c r="CJ234" s="156">
        <f t="shared" si="536"/>
        <v>9.9999999999999995E-7</v>
      </c>
      <c r="CK234" s="156">
        <f t="shared" si="536"/>
        <v>9.9999999999999995E-7</v>
      </c>
      <c r="CL234" s="156">
        <f t="shared" si="536"/>
        <v>9.9999999999999995E-7</v>
      </c>
      <c r="CM234" s="156">
        <f t="shared" si="536"/>
        <v>9.9999999999999995E-7</v>
      </c>
      <c r="CN234" s="156">
        <f t="shared" si="536"/>
        <v>9.9999999999999995E-7</v>
      </c>
      <c r="CO234" s="156">
        <f t="shared" si="536"/>
        <v>9.9999999999999995E-7</v>
      </c>
      <c r="CP234" s="156">
        <f t="shared" si="536"/>
        <v>9.9999999999999995E-7</v>
      </c>
      <c r="CQ234" s="156">
        <f t="shared" si="536"/>
        <v>9.9999999999999995E-7</v>
      </c>
      <c r="CR234" s="156">
        <f t="shared" si="536"/>
        <v>9.9999999999999995E-7</v>
      </c>
      <c r="CS234" s="156">
        <f t="shared" si="536"/>
        <v>9.9999999999999995E-7</v>
      </c>
      <c r="CT234" s="156">
        <f t="shared" si="536"/>
        <v>9.9999999999999995E-7</v>
      </c>
      <c r="CU234" s="156">
        <f t="shared" si="536"/>
        <v>9.9999999999999995E-7</v>
      </c>
      <c r="CV234" s="156">
        <f t="shared" si="536"/>
        <v>9.9999999999999995E-7</v>
      </c>
      <c r="CW234" s="156">
        <f t="shared" si="536"/>
        <v>9.9999999999999995E-7</v>
      </c>
      <c r="CX234" s="156">
        <f t="shared" si="536"/>
        <v>9.9999999999999995E-7</v>
      </c>
      <c r="CY234" s="156">
        <f t="shared" si="536"/>
        <v>9.9999999999999995E-7</v>
      </c>
      <c r="CZ234" s="156">
        <f t="shared" si="536"/>
        <v>9.9999999999999995E-7</v>
      </c>
      <c r="DA234" s="156">
        <f t="shared" si="536"/>
        <v>9.9999999999999995E-7</v>
      </c>
      <c r="DB234" s="156">
        <f t="shared" si="536"/>
        <v>9.9999999999999995E-7</v>
      </c>
      <c r="DC234" s="156">
        <f t="shared" si="536"/>
        <v>9.9999999999999995E-7</v>
      </c>
      <c r="DD234" s="156">
        <f t="shared" si="536"/>
        <v>9.9999999999999995E-7</v>
      </c>
      <c r="DE234" s="154">
        <f>0.003%/30</f>
        <v>9.9999999999999995E-7</v>
      </c>
      <c r="DF234" s="156">
        <f>DE234</f>
        <v>9.9999999999999995E-7</v>
      </c>
      <c r="DG234" s="156">
        <f t="shared" ref="DG234:EH234" si="537">DF234</f>
        <v>9.9999999999999995E-7</v>
      </c>
      <c r="DH234" s="156">
        <f t="shared" si="537"/>
        <v>9.9999999999999995E-7</v>
      </c>
      <c r="DI234" s="156">
        <f t="shared" si="537"/>
        <v>9.9999999999999995E-7</v>
      </c>
      <c r="DJ234" s="156">
        <f t="shared" si="537"/>
        <v>9.9999999999999995E-7</v>
      </c>
      <c r="DK234" s="156">
        <f t="shared" si="537"/>
        <v>9.9999999999999995E-7</v>
      </c>
      <c r="DL234" s="156">
        <f t="shared" si="537"/>
        <v>9.9999999999999995E-7</v>
      </c>
      <c r="DM234" s="156">
        <f t="shared" si="537"/>
        <v>9.9999999999999995E-7</v>
      </c>
      <c r="DN234" s="156">
        <f t="shared" si="537"/>
        <v>9.9999999999999995E-7</v>
      </c>
      <c r="DO234" s="156">
        <f t="shared" si="537"/>
        <v>9.9999999999999995E-7</v>
      </c>
      <c r="DP234" s="156">
        <f t="shared" si="537"/>
        <v>9.9999999999999995E-7</v>
      </c>
      <c r="DQ234" s="156">
        <f t="shared" si="537"/>
        <v>9.9999999999999995E-7</v>
      </c>
      <c r="DR234" s="156">
        <f t="shared" si="537"/>
        <v>9.9999999999999995E-7</v>
      </c>
      <c r="DS234" s="156">
        <f t="shared" si="537"/>
        <v>9.9999999999999995E-7</v>
      </c>
      <c r="DT234" s="156">
        <f t="shared" si="537"/>
        <v>9.9999999999999995E-7</v>
      </c>
      <c r="DU234" s="156">
        <f t="shared" si="537"/>
        <v>9.9999999999999995E-7</v>
      </c>
      <c r="DV234" s="156">
        <f t="shared" si="537"/>
        <v>9.9999999999999995E-7</v>
      </c>
      <c r="DW234" s="156">
        <f t="shared" si="537"/>
        <v>9.9999999999999995E-7</v>
      </c>
      <c r="DX234" s="156">
        <f t="shared" si="537"/>
        <v>9.9999999999999995E-7</v>
      </c>
      <c r="DY234" s="156">
        <f t="shared" si="537"/>
        <v>9.9999999999999995E-7</v>
      </c>
      <c r="DZ234" s="156">
        <f t="shared" si="537"/>
        <v>9.9999999999999995E-7</v>
      </c>
      <c r="EA234" s="156">
        <f t="shared" si="537"/>
        <v>9.9999999999999995E-7</v>
      </c>
      <c r="EB234" s="156">
        <f t="shared" si="537"/>
        <v>9.9999999999999995E-7</v>
      </c>
      <c r="EC234" s="156">
        <f t="shared" si="537"/>
        <v>9.9999999999999995E-7</v>
      </c>
      <c r="ED234" s="156">
        <f t="shared" si="537"/>
        <v>9.9999999999999995E-7</v>
      </c>
      <c r="EE234" s="156">
        <f t="shared" si="537"/>
        <v>9.9999999999999995E-7</v>
      </c>
      <c r="EF234" s="156">
        <f t="shared" si="537"/>
        <v>9.9999999999999995E-7</v>
      </c>
      <c r="EG234" s="156">
        <f t="shared" si="537"/>
        <v>9.9999999999999995E-7</v>
      </c>
      <c r="EH234" s="156">
        <f t="shared" si="537"/>
        <v>9.9999999999999995E-7</v>
      </c>
      <c r="EI234" s="154">
        <f>0.003%/30</f>
        <v>9.9999999999999995E-7</v>
      </c>
      <c r="EJ234" s="156">
        <f>EI234</f>
        <v>9.9999999999999995E-7</v>
      </c>
      <c r="EK234" s="156">
        <f t="shared" ref="EK234:FL234" si="538">EJ234</f>
        <v>9.9999999999999995E-7</v>
      </c>
      <c r="EL234" s="156">
        <f t="shared" si="538"/>
        <v>9.9999999999999995E-7</v>
      </c>
      <c r="EM234" s="156">
        <f t="shared" si="538"/>
        <v>9.9999999999999995E-7</v>
      </c>
      <c r="EN234" s="156">
        <f t="shared" si="538"/>
        <v>9.9999999999999995E-7</v>
      </c>
      <c r="EO234" s="156">
        <f t="shared" si="538"/>
        <v>9.9999999999999995E-7</v>
      </c>
      <c r="EP234" s="156">
        <f t="shared" si="538"/>
        <v>9.9999999999999995E-7</v>
      </c>
      <c r="EQ234" s="156">
        <f t="shared" si="538"/>
        <v>9.9999999999999995E-7</v>
      </c>
      <c r="ER234" s="156">
        <f t="shared" si="538"/>
        <v>9.9999999999999995E-7</v>
      </c>
      <c r="ES234" s="156">
        <f t="shared" si="538"/>
        <v>9.9999999999999995E-7</v>
      </c>
      <c r="ET234" s="156">
        <f t="shared" si="538"/>
        <v>9.9999999999999995E-7</v>
      </c>
      <c r="EU234" s="156">
        <f t="shared" si="538"/>
        <v>9.9999999999999995E-7</v>
      </c>
      <c r="EV234" s="156">
        <f t="shared" si="538"/>
        <v>9.9999999999999995E-7</v>
      </c>
      <c r="EW234" s="156">
        <f t="shared" si="538"/>
        <v>9.9999999999999995E-7</v>
      </c>
      <c r="EX234" s="156">
        <f t="shared" si="538"/>
        <v>9.9999999999999995E-7</v>
      </c>
      <c r="EY234" s="156">
        <f t="shared" si="538"/>
        <v>9.9999999999999995E-7</v>
      </c>
      <c r="EZ234" s="156">
        <f t="shared" si="538"/>
        <v>9.9999999999999995E-7</v>
      </c>
      <c r="FA234" s="156">
        <f t="shared" si="538"/>
        <v>9.9999999999999995E-7</v>
      </c>
      <c r="FB234" s="156">
        <f t="shared" si="538"/>
        <v>9.9999999999999995E-7</v>
      </c>
      <c r="FC234" s="156">
        <f t="shared" si="538"/>
        <v>9.9999999999999995E-7</v>
      </c>
      <c r="FD234" s="156">
        <f t="shared" si="538"/>
        <v>9.9999999999999995E-7</v>
      </c>
      <c r="FE234" s="156">
        <f t="shared" si="538"/>
        <v>9.9999999999999995E-7</v>
      </c>
      <c r="FF234" s="156">
        <f t="shared" si="538"/>
        <v>9.9999999999999995E-7</v>
      </c>
      <c r="FG234" s="156">
        <f t="shared" si="538"/>
        <v>9.9999999999999995E-7</v>
      </c>
      <c r="FH234" s="156">
        <f t="shared" si="538"/>
        <v>9.9999999999999995E-7</v>
      </c>
      <c r="FI234" s="156">
        <f t="shared" si="538"/>
        <v>9.9999999999999995E-7</v>
      </c>
      <c r="FJ234" s="156">
        <f t="shared" si="538"/>
        <v>9.9999999999999995E-7</v>
      </c>
      <c r="FK234" s="156">
        <f t="shared" si="538"/>
        <v>9.9999999999999995E-7</v>
      </c>
      <c r="FL234" s="156">
        <f t="shared" si="538"/>
        <v>9.9999999999999995E-7</v>
      </c>
      <c r="FM234" s="154">
        <f>0.003%/30</f>
        <v>9.9999999999999995E-7</v>
      </c>
      <c r="FN234" s="156">
        <f>FM234</f>
        <v>9.9999999999999995E-7</v>
      </c>
      <c r="FO234" s="156">
        <f t="shared" ref="FO234:GP234" si="539">FN234</f>
        <v>9.9999999999999995E-7</v>
      </c>
      <c r="FP234" s="156">
        <f t="shared" si="539"/>
        <v>9.9999999999999995E-7</v>
      </c>
      <c r="FQ234" s="156">
        <f t="shared" si="539"/>
        <v>9.9999999999999995E-7</v>
      </c>
      <c r="FR234" s="156">
        <f t="shared" si="539"/>
        <v>9.9999999999999995E-7</v>
      </c>
      <c r="FS234" s="156">
        <f t="shared" si="539"/>
        <v>9.9999999999999995E-7</v>
      </c>
      <c r="FT234" s="156">
        <f t="shared" si="539"/>
        <v>9.9999999999999995E-7</v>
      </c>
      <c r="FU234" s="156">
        <f t="shared" si="539"/>
        <v>9.9999999999999995E-7</v>
      </c>
      <c r="FV234" s="156">
        <f t="shared" si="539"/>
        <v>9.9999999999999995E-7</v>
      </c>
      <c r="FW234" s="156">
        <f t="shared" si="539"/>
        <v>9.9999999999999995E-7</v>
      </c>
      <c r="FX234" s="156">
        <f t="shared" si="539"/>
        <v>9.9999999999999995E-7</v>
      </c>
      <c r="FY234" s="156">
        <f t="shared" si="539"/>
        <v>9.9999999999999995E-7</v>
      </c>
      <c r="FZ234" s="156">
        <f t="shared" si="539"/>
        <v>9.9999999999999995E-7</v>
      </c>
      <c r="GA234" s="156">
        <f t="shared" si="539"/>
        <v>9.9999999999999995E-7</v>
      </c>
      <c r="GB234" s="156">
        <f t="shared" si="539"/>
        <v>9.9999999999999995E-7</v>
      </c>
      <c r="GC234" s="156">
        <f t="shared" si="539"/>
        <v>9.9999999999999995E-7</v>
      </c>
      <c r="GD234" s="156">
        <f t="shared" si="539"/>
        <v>9.9999999999999995E-7</v>
      </c>
      <c r="GE234" s="156">
        <f t="shared" si="539"/>
        <v>9.9999999999999995E-7</v>
      </c>
      <c r="GF234" s="156">
        <f t="shared" si="539"/>
        <v>9.9999999999999995E-7</v>
      </c>
      <c r="GG234" s="156">
        <f t="shared" si="539"/>
        <v>9.9999999999999995E-7</v>
      </c>
      <c r="GH234" s="156">
        <f t="shared" si="539"/>
        <v>9.9999999999999995E-7</v>
      </c>
      <c r="GI234" s="156">
        <f t="shared" si="539"/>
        <v>9.9999999999999995E-7</v>
      </c>
      <c r="GJ234" s="156">
        <f t="shared" si="539"/>
        <v>9.9999999999999995E-7</v>
      </c>
      <c r="GK234" s="156">
        <f t="shared" si="539"/>
        <v>9.9999999999999995E-7</v>
      </c>
      <c r="GL234" s="156">
        <f t="shared" si="539"/>
        <v>9.9999999999999995E-7</v>
      </c>
      <c r="GM234" s="156">
        <f t="shared" si="539"/>
        <v>9.9999999999999995E-7</v>
      </c>
      <c r="GN234" s="156">
        <f t="shared" si="539"/>
        <v>9.9999999999999995E-7</v>
      </c>
      <c r="GO234" s="156">
        <f t="shared" si="539"/>
        <v>9.9999999999999995E-7</v>
      </c>
      <c r="GP234" s="156">
        <f t="shared" si="539"/>
        <v>9.9999999999999995E-7</v>
      </c>
      <c r="GQ234" s="154">
        <f>0.003%/30</f>
        <v>9.9999999999999995E-7</v>
      </c>
      <c r="GR234" s="156">
        <f>GQ234</f>
        <v>9.9999999999999995E-7</v>
      </c>
      <c r="GS234" s="156">
        <f t="shared" ref="GS234:HT234" si="540">GR234</f>
        <v>9.9999999999999995E-7</v>
      </c>
      <c r="GT234" s="156">
        <f t="shared" si="540"/>
        <v>9.9999999999999995E-7</v>
      </c>
      <c r="GU234" s="156">
        <f t="shared" si="540"/>
        <v>9.9999999999999995E-7</v>
      </c>
      <c r="GV234" s="156">
        <f t="shared" si="540"/>
        <v>9.9999999999999995E-7</v>
      </c>
      <c r="GW234" s="156">
        <f t="shared" si="540"/>
        <v>9.9999999999999995E-7</v>
      </c>
      <c r="GX234" s="156">
        <f t="shared" si="540"/>
        <v>9.9999999999999995E-7</v>
      </c>
      <c r="GY234" s="156">
        <f t="shared" si="540"/>
        <v>9.9999999999999995E-7</v>
      </c>
      <c r="GZ234" s="156">
        <f t="shared" si="540"/>
        <v>9.9999999999999995E-7</v>
      </c>
      <c r="HA234" s="156">
        <f t="shared" si="540"/>
        <v>9.9999999999999995E-7</v>
      </c>
      <c r="HB234" s="156">
        <f t="shared" si="540"/>
        <v>9.9999999999999995E-7</v>
      </c>
      <c r="HC234" s="156">
        <f t="shared" si="540"/>
        <v>9.9999999999999995E-7</v>
      </c>
      <c r="HD234" s="156">
        <f t="shared" si="540"/>
        <v>9.9999999999999995E-7</v>
      </c>
      <c r="HE234" s="156">
        <f t="shared" si="540"/>
        <v>9.9999999999999995E-7</v>
      </c>
      <c r="HF234" s="156">
        <f t="shared" si="540"/>
        <v>9.9999999999999995E-7</v>
      </c>
      <c r="HG234" s="156">
        <f t="shared" si="540"/>
        <v>9.9999999999999995E-7</v>
      </c>
      <c r="HH234" s="156">
        <f t="shared" si="540"/>
        <v>9.9999999999999995E-7</v>
      </c>
      <c r="HI234" s="156">
        <f t="shared" si="540"/>
        <v>9.9999999999999995E-7</v>
      </c>
      <c r="HJ234" s="156">
        <f t="shared" si="540"/>
        <v>9.9999999999999995E-7</v>
      </c>
      <c r="HK234" s="156">
        <f t="shared" si="540"/>
        <v>9.9999999999999995E-7</v>
      </c>
      <c r="HL234" s="156">
        <f t="shared" si="540"/>
        <v>9.9999999999999995E-7</v>
      </c>
      <c r="HM234" s="156">
        <f t="shared" si="540"/>
        <v>9.9999999999999995E-7</v>
      </c>
      <c r="HN234" s="156">
        <f t="shared" si="540"/>
        <v>9.9999999999999995E-7</v>
      </c>
      <c r="HO234" s="156">
        <f t="shared" si="540"/>
        <v>9.9999999999999995E-7</v>
      </c>
      <c r="HP234" s="156">
        <f t="shared" si="540"/>
        <v>9.9999999999999995E-7</v>
      </c>
      <c r="HQ234" s="156">
        <f t="shared" si="540"/>
        <v>9.9999999999999995E-7</v>
      </c>
      <c r="HR234" s="156">
        <f t="shared" si="540"/>
        <v>9.9999999999999995E-7</v>
      </c>
      <c r="HS234" s="156">
        <f t="shared" si="540"/>
        <v>9.9999999999999995E-7</v>
      </c>
      <c r="HT234" s="156">
        <f t="shared" si="540"/>
        <v>9.9999999999999995E-7</v>
      </c>
      <c r="HU234" s="154">
        <f>0.003%/30</f>
        <v>9.9999999999999995E-7</v>
      </c>
      <c r="HV234" s="156">
        <f>HU234</f>
        <v>9.9999999999999995E-7</v>
      </c>
      <c r="HW234" s="156">
        <f t="shared" ref="HW234:IX234" si="541">HV234</f>
        <v>9.9999999999999995E-7</v>
      </c>
      <c r="HX234" s="156">
        <f t="shared" si="541"/>
        <v>9.9999999999999995E-7</v>
      </c>
      <c r="HY234" s="156">
        <f t="shared" si="541"/>
        <v>9.9999999999999995E-7</v>
      </c>
      <c r="HZ234" s="156">
        <f t="shared" si="541"/>
        <v>9.9999999999999995E-7</v>
      </c>
      <c r="IA234" s="156">
        <f t="shared" si="541"/>
        <v>9.9999999999999995E-7</v>
      </c>
      <c r="IB234" s="156">
        <f t="shared" si="541"/>
        <v>9.9999999999999995E-7</v>
      </c>
      <c r="IC234" s="156">
        <f t="shared" si="541"/>
        <v>9.9999999999999995E-7</v>
      </c>
      <c r="ID234" s="156">
        <f t="shared" si="541"/>
        <v>9.9999999999999995E-7</v>
      </c>
      <c r="IE234" s="156">
        <f t="shared" si="541"/>
        <v>9.9999999999999995E-7</v>
      </c>
      <c r="IF234" s="156">
        <f t="shared" si="541"/>
        <v>9.9999999999999995E-7</v>
      </c>
      <c r="IG234" s="156">
        <f t="shared" si="541"/>
        <v>9.9999999999999995E-7</v>
      </c>
      <c r="IH234" s="156">
        <f t="shared" si="541"/>
        <v>9.9999999999999995E-7</v>
      </c>
      <c r="II234" s="156">
        <f t="shared" si="541"/>
        <v>9.9999999999999995E-7</v>
      </c>
      <c r="IJ234" s="156">
        <f t="shared" si="541"/>
        <v>9.9999999999999995E-7</v>
      </c>
      <c r="IK234" s="156">
        <f t="shared" si="541"/>
        <v>9.9999999999999995E-7</v>
      </c>
      <c r="IL234" s="156">
        <f t="shared" si="541"/>
        <v>9.9999999999999995E-7</v>
      </c>
      <c r="IM234" s="156">
        <f t="shared" si="541"/>
        <v>9.9999999999999995E-7</v>
      </c>
      <c r="IN234" s="156">
        <f t="shared" si="541"/>
        <v>9.9999999999999995E-7</v>
      </c>
      <c r="IO234" s="156">
        <f t="shared" si="541"/>
        <v>9.9999999999999995E-7</v>
      </c>
      <c r="IP234" s="156">
        <f t="shared" si="541"/>
        <v>9.9999999999999995E-7</v>
      </c>
      <c r="IQ234" s="156">
        <f t="shared" si="541"/>
        <v>9.9999999999999995E-7</v>
      </c>
      <c r="IR234" s="156">
        <f t="shared" si="541"/>
        <v>9.9999999999999995E-7</v>
      </c>
      <c r="IS234" s="156">
        <f t="shared" si="541"/>
        <v>9.9999999999999995E-7</v>
      </c>
      <c r="IT234" s="156">
        <f t="shared" si="541"/>
        <v>9.9999999999999995E-7</v>
      </c>
      <c r="IU234" s="156">
        <f t="shared" si="541"/>
        <v>9.9999999999999995E-7</v>
      </c>
      <c r="IV234" s="156">
        <f t="shared" si="541"/>
        <v>9.9999999999999995E-7</v>
      </c>
      <c r="IW234" s="156">
        <f t="shared" si="541"/>
        <v>9.9999999999999995E-7</v>
      </c>
      <c r="IX234" s="156">
        <f t="shared" si="541"/>
        <v>9.9999999999999995E-7</v>
      </c>
      <c r="IY234" s="154">
        <f>0.003%/30</f>
        <v>9.9999999999999995E-7</v>
      </c>
      <c r="IZ234" s="156">
        <f>IY234</f>
        <v>9.9999999999999995E-7</v>
      </c>
      <c r="JA234" s="156">
        <f t="shared" ref="JA234:KB234" si="542">IZ234</f>
        <v>9.9999999999999995E-7</v>
      </c>
      <c r="JB234" s="156">
        <f t="shared" si="542"/>
        <v>9.9999999999999995E-7</v>
      </c>
      <c r="JC234" s="156">
        <f t="shared" si="542"/>
        <v>9.9999999999999995E-7</v>
      </c>
      <c r="JD234" s="156">
        <f t="shared" si="542"/>
        <v>9.9999999999999995E-7</v>
      </c>
      <c r="JE234" s="156">
        <f t="shared" si="542"/>
        <v>9.9999999999999995E-7</v>
      </c>
      <c r="JF234" s="156">
        <f t="shared" si="542"/>
        <v>9.9999999999999995E-7</v>
      </c>
      <c r="JG234" s="156">
        <f t="shared" si="542"/>
        <v>9.9999999999999995E-7</v>
      </c>
      <c r="JH234" s="156">
        <f t="shared" si="542"/>
        <v>9.9999999999999995E-7</v>
      </c>
      <c r="JI234" s="156">
        <f t="shared" si="542"/>
        <v>9.9999999999999995E-7</v>
      </c>
      <c r="JJ234" s="156">
        <f t="shared" si="542"/>
        <v>9.9999999999999995E-7</v>
      </c>
      <c r="JK234" s="156">
        <f t="shared" si="542"/>
        <v>9.9999999999999995E-7</v>
      </c>
      <c r="JL234" s="156">
        <f t="shared" si="542"/>
        <v>9.9999999999999995E-7</v>
      </c>
      <c r="JM234" s="156">
        <f t="shared" si="542"/>
        <v>9.9999999999999995E-7</v>
      </c>
      <c r="JN234" s="156">
        <f t="shared" si="542"/>
        <v>9.9999999999999995E-7</v>
      </c>
      <c r="JO234" s="156">
        <f t="shared" si="542"/>
        <v>9.9999999999999995E-7</v>
      </c>
      <c r="JP234" s="156">
        <f t="shared" si="542"/>
        <v>9.9999999999999995E-7</v>
      </c>
      <c r="JQ234" s="156">
        <f t="shared" si="542"/>
        <v>9.9999999999999995E-7</v>
      </c>
      <c r="JR234" s="156">
        <f t="shared" si="542"/>
        <v>9.9999999999999995E-7</v>
      </c>
      <c r="JS234" s="156">
        <f t="shared" si="542"/>
        <v>9.9999999999999995E-7</v>
      </c>
      <c r="JT234" s="156">
        <f t="shared" si="542"/>
        <v>9.9999999999999995E-7</v>
      </c>
      <c r="JU234" s="156">
        <f t="shared" si="542"/>
        <v>9.9999999999999995E-7</v>
      </c>
      <c r="JV234" s="156">
        <f t="shared" si="542"/>
        <v>9.9999999999999995E-7</v>
      </c>
      <c r="JW234" s="156">
        <f t="shared" si="542"/>
        <v>9.9999999999999995E-7</v>
      </c>
      <c r="JX234" s="156">
        <f t="shared" si="542"/>
        <v>9.9999999999999995E-7</v>
      </c>
      <c r="JY234" s="156">
        <f t="shared" si="542"/>
        <v>9.9999999999999995E-7</v>
      </c>
      <c r="JZ234" s="156">
        <f t="shared" si="542"/>
        <v>9.9999999999999995E-7</v>
      </c>
      <c r="KA234" s="156">
        <f t="shared" si="542"/>
        <v>9.9999999999999995E-7</v>
      </c>
      <c r="KB234" s="156">
        <f t="shared" si="542"/>
        <v>9.9999999999999995E-7</v>
      </c>
      <c r="KC234" s="215">
        <v>3.0000000000000001E-5</v>
      </c>
      <c r="KD234" s="214"/>
      <c r="KE234" s="214"/>
      <c r="KF234" s="215">
        <v>3.0000000000000001E-5</v>
      </c>
      <c r="KG234" s="214"/>
      <c r="KH234" s="214"/>
      <c r="KI234" s="215">
        <v>3.0000000000000001E-5</v>
      </c>
      <c r="KJ234" s="214"/>
      <c r="KK234" s="214"/>
      <c r="KL234" s="215">
        <v>3.0000000000000001E-5</v>
      </c>
      <c r="KM234" s="214"/>
      <c r="KN234" s="214"/>
      <c r="KO234" s="215">
        <v>3.0000000000000001E-5</v>
      </c>
      <c r="KP234" s="214"/>
      <c r="KQ234" s="214"/>
      <c r="KR234" s="215">
        <v>3.0000000000000001E-5</v>
      </c>
      <c r="KS234" s="214"/>
      <c r="KT234" s="214"/>
      <c r="KU234" s="215">
        <v>3.0000000000000001E-5</v>
      </c>
      <c r="KV234" s="214"/>
      <c r="KW234" s="214"/>
      <c r="KX234" s="215">
        <v>3.0000000000000001E-5</v>
      </c>
      <c r="KY234" s="214"/>
      <c r="KZ234" s="216"/>
      <c r="LA234" s="233">
        <v>3.0000000000000001E-5</v>
      </c>
      <c r="LB234" s="214"/>
      <c r="LC234" s="234"/>
      <c r="LD234" s="215">
        <v>3.0000000000000001E-5</v>
      </c>
      <c r="LE234" s="214"/>
      <c r="LF234" s="214"/>
      <c r="LG234" s="215">
        <v>3.0000000000000001E-5</v>
      </c>
      <c r="LH234" s="214"/>
      <c r="LI234" s="214"/>
      <c r="LJ234" s="215">
        <v>3.0000000000000001E-5</v>
      </c>
      <c r="LK234" s="214"/>
      <c r="LL234" s="214"/>
      <c r="LM234" s="215">
        <v>3.0000000000000001E-5</v>
      </c>
      <c r="LN234" s="214"/>
      <c r="LO234" s="214"/>
      <c r="LP234" s="215">
        <v>3.0000000000000001E-5</v>
      </c>
      <c r="LQ234" s="214"/>
      <c r="LR234" s="214"/>
      <c r="LS234" s="215">
        <v>3.0000000000000001E-5</v>
      </c>
      <c r="LT234" s="214"/>
      <c r="LU234" s="214"/>
      <c r="LV234" s="215">
        <v>3.0000000000000001E-5</v>
      </c>
      <c r="LW234" s="214"/>
      <c r="LX234" s="214"/>
      <c r="LY234" s="215">
        <v>3.0000000000000001E-5</v>
      </c>
      <c r="LZ234" s="214"/>
      <c r="MA234" s="214"/>
      <c r="MB234" s="215">
        <v>3.0000000000000001E-5</v>
      </c>
      <c r="MC234" s="214"/>
      <c r="MD234" s="214"/>
      <c r="ME234" s="215">
        <v>3.0000000000000001E-5</v>
      </c>
      <c r="MF234" s="214"/>
      <c r="MG234" s="214"/>
      <c r="MH234" s="215">
        <v>3.0000000000000001E-5</v>
      </c>
      <c r="MI234" s="214"/>
      <c r="MJ234" s="214"/>
      <c r="MK234" s="215">
        <v>3.0000000000000001E-5</v>
      </c>
      <c r="ML234" s="214"/>
      <c r="MM234" s="214"/>
      <c r="MN234" s="215">
        <v>3.0000000000000001E-5</v>
      </c>
      <c r="MO234" s="214"/>
      <c r="MP234" s="214"/>
      <c r="MQ234" s="215">
        <v>3.0000000000000001E-5</v>
      </c>
      <c r="MR234" s="214"/>
      <c r="MS234" s="214"/>
      <c r="MT234" s="215">
        <v>3.0000000000000001E-5</v>
      </c>
      <c r="MU234" s="214"/>
      <c r="MV234" s="214"/>
      <c r="MW234" s="215">
        <v>3.0000000000000001E-5</v>
      </c>
      <c r="MX234" s="214"/>
      <c r="MY234" s="214"/>
      <c r="MZ234" s="215">
        <v>3.0000000000000001E-5</v>
      </c>
      <c r="NA234" s="214"/>
      <c r="NB234" s="214"/>
      <c r="NC234" s="214">
        <v>3.0000000000000001E-5</v>
      </c>
      <c r="ND234" s="214"/>
      <c r="NE234" s="258"/>
      <c r="NG234" s="275">
        <f>SUM(R234:NE234)</f>
        <v>1.1800000000000029E-3</v>
      </c>
      <c r="NH234" s="1"/>
      <c r="NI234" s="1"/>
      <c r="NJ234" s="1"/>
      <c r="NK234" s="1"/>
    </row>
    <row r="235" spans="4:375" s="6" customFormat="1" ht="6.95" customHeight="1">
      <c r="E235" s="118"/>
      <c r="F235" s="196"/>
      <c r="G235" s="197"/>
      <c r="H235" s="52">
        <v>2</v>
      </c>
      <c r="I235" s="118"/>
      <c r="J235" s="118"/>
      <c r="L235" s="292"/>
      <c r="M235" s="300"/>
      <c r="N235" s="296"/>
      <c r="O235" s="302"/>
      <c r="P235" s="315"/>
      <c r="Q235" s="237"/>
      <c r="R235" s="73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62"/>
      <c r="BS235" s="62"/>
      <c r="BT235" s="62"/>
      <c r="BU235" s="62"/>
      <c r="BV235" s="62"/>
      <c r="BW235" s="62"/>
      <c r="BX235" s="62"/>
      <c r="BY235" s="62"/>
      <c r="BZ235" s="63"/>
      <c r="CA235" s="61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62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1"/>
      <c r="DF235" s="62"/>
      <c r="DG235" s="62"/>
      <c r="DH235" s="62"/>
      <c r="DI235" s="62"/>
      <c r="DJ235" s="62"/>
      <c r="DK235" s="62"/>
      <c r="DL235" s="62"/>
      <c r="DM235" s="62"/>
      <c r="DN235" s="62"/>
      <c r="DO235" s="62"/>
      <c r="DP235" s="62"/>
      <c r="DQ235" s="62"/>
      <c r="DR235" s="62"/>
      <c r="DS235" s="62"/>
      <c r="DT235" s="62"/>
      <c r="DU235" s="62"/>
      <c r="DV235" s="62"/>
      <c r="DW235" s="62"/>
      <c r="DX235" s="62"/>
      <c r="DY235" s="62"/>
      <c r="DZ235" s="62"/>
      <c r="EA235" s="62"/>
      <c r="EB235" s="62"/>
      <c r="EC235" s="62"/>
      <c r="ED235" s="62"/>
      <c r="EE235" s="62"/>
      <c r="EF235" s="62"/>
      <c r="EG235" s="62"/>
      <c r="EH235" s="62"/>
      <c r="EI235" s="61"/>
      <c r="EJ235" s="62"/>
      <c r="EK235" s="62"/>
      <c r="EL235" s="62"/>
      <c r="EM235" s="62"/>
      <c r="EN235" s="62"/>
      <c r="EO235" s="62"/>
      <c r="EP235" s="62"/>
      <c r="EQ235" s="62"/>
      <c r="ER235" s="62"/>
      <c r="ES235" s="62"/>
      <c r="ET235" s="62"/>
      <c r="EU235" s="62"/>
      <c r="EV235" s="62"/>
      <c r="EW235" s="62"/>
      <c r="EX235" s="62"/>
      <c r="EY235" s="62"/>
      <c r="EZ235" s="62"/>
      <c r="FA235" s="62"/>
      <c r="FB235" s="62"/>
      <c r="FC235" s="62"/>
      <c r="FD235" s="62"/>
      <c r="FE235" s="62"/>
      <c r="FF235" s="62"/>
      <c r="FG235" s="62"/>
      <c r="FH235" s="62"/>
      <c r="FI235" s="62"/>
      <c r="FJ235" s="62"/>
      <c r="FK235" s="62"/>
      <c r="FL235" s="62"/>
      <c r="FM235" s="61"/>
      <c r="FN235" s="62"/>
      <c r="FO235" s="62"/>
      <c r="FP235" s="62"/>
      <c r="FQ235" s="62"/>
      <c r="FR235" s="62"/>
      <c r="FS235" s="62"/>
      <c r="FT235" s="62"/>
      <c r="FU235" s="62"/>
      <c r="FV235" s="62"/>
      <c r="FW235" s="62"/>
      <c r="FX235" s="62"/>
      <c r="FY235" s="62"/>
      <c r="FZ235" s="62"/>
      <c r="GA235" s="62"/>
      <c r="GB235" s="62"/>
      <c r="GC235" s="62"/>
      <c r="GD235" s="62"/>
      <c r="GE235" s="62"/>
      <c r="GF235" s="62"/>
      <c r="GG235" s="62"/>
      <c r="GH235" s="62"/>
      <c r="GI235" s="62"/>
      <c r="GJ235" s="62"/>
      <c r="GK235" s="62"/>
      <c r="GL235" s="62"/>
      <c r="GM235" s="62"/>
      <c r="GN235" s="62"/>
      <c r="GO235" s="62"/>
      <c r="GP235" s="62"/>
      <c r="GQ235" s="61"/>
      <c r="GR235" s="62"/>
      <c r="GS235" s="62"/>
      <c r="GT235" s="62"/>
      <c r="GU235" s="62"/>
      <c r="GV235" s="62"/>
      <c r="GW235" s="62"/>
      <c r="GX235" s="62"/>
      <c r="GY235" s="62"/>
      <c r="GZ235" s="62"/>
      <c r="HA235" s="62"/>
      <c r="HB235" s="62"/>
      <c r="HC235" s="62"/>
      <c r="HD235" s="62"/>
      <c r="HE235" s="62"/>
      <c r="HF235" s="62"/>
      <c r="HG235" s="62"/>
      <c r="HH235" s="62"/>
      <c r="HI235" s="62"/>
      <c r="HJ235" s="62"/>
      <c r="HK235" s="62"/>
      <c r="HL235" s="62"/>
      <c r="HM235" s="62"/>
      <c r="HN235" s="62"/>
      <c r="HO235" s="62"/>
      <c r="HP235" s="62"/>
      <c r="HQ235" s="62"/>
      <c r="HR235" s="62"/>
      <c r="HS235" s="62"/>
      <c r="HT235" s="62"/>
      <c r="HU235" s="61"/>
      <c r="HV235" s="62"/>
      <c r="HW235" s="62"/>
      <c r="HX235" s="62"/>
      <c r="HY235" s="62"/>
      <c r="HZ235" s="62"/>
      <c r="IA235" s="62"/>
      <c r="IB235" s="62"/>
      <c r="IC235" s="62"/>
      <c r="ID235" s="62"/>
      <c r="IE235" s="62"/>
      <c r="IF235" s="62"/>
      <c r="IG235" s="62"/>
      <c r="IH235" s="62"/>
      <c r="II235" s="62"/>
      <c r="IJ235" s="62"/>
      <c r="IK235" s="62"/>
      <c r="IL235" s="62"/>
      <c r="IM235" s="62"/>
      <c r="IN235" s="62"/>
      <c r="IO235" s="62"/>
      <c r="IP235" s="62"/>
      <c r="IQ235" s="62"/>
      <c r="IR235" s="62"/>
      <c r="IS235" s="62"/>
      <c r="IT235" s="62"/>
      <c r="IU235" s="62"/>
      <c r="IV235" s="62"/>
      <c r="IW235" s="62"/>
      <c r="IX235" s="62"/>
      <c r="IY235" s="61"/>
      <c r="IZ235" s="62"/>
      <c r="JA235" s="62"/>
      <c r="JB235" s="62"/>
      <c r="JC235" s="62"/>
      <c r="JD235" s="62"/>
      <c r="JE235" s="62"/>
      <c r="JF235" s="62"/>
      <c r="JG235" s="62"/>
      <c r="JH235" s="62"/>
      <c r="JI235" s="62"/>
      <c r="JJ235" s="62"/>
      <c r="JK235" s="62"/>
      <c r="JL235" s="62"/>
      <c r="JM235" s="62"/>
      <c r="JN235" s="62"/>
      <c r="JO235" s="62"/>
      <c r="JP235" s="62"/>
      <c r="JQ235" s="62"/>
      <c r="JR235" s="62"/>
      <c r="JS235" s="62"/>
      <c r="JT235" s="62"/>
      <c r="JU235" s="62"/>
      <c r="JV235" s="62"/>
      <c r="JW235" s="62"/>
      <c r="JX235" s="62"/>
      <c r="JY235" s="62"/>
      <c r="JZ235" s="62"/>
      <c r="KA235" s="62"/>
      <c r="KB235" s="62"/>
      <c r="KC235" s="61"/>
      <c r="KD235" s="62"/>
      <c r="KE235" s="63"/>
      <c r="KF235" s="61"/>
      <c r="KG235" s="62"/>
      <c r="KH235" s="63"/>
      <c r="KI235" s="61"/>
      <c r="KJ235" s="62"/>
      <c r="KK235" s="63"/>
      <c r="KL235" s="61"/>
      <c r="KM235" s="62"/>
      <c r="KN235" s="63"/>
      <c r="KO235" s="61"/>
      <c r="KP235" s="62"/>
      <c r="KQ235" s="63"/>
      <c r="KR235" s="61"/>
      <c r="KS235" s="62"/>
      <c r="KT235" s="63"/>
      <c r="KU235" s="61"/>
      <c r="KV235" s="62"/>
      <c r="KW235" s="63"/>
      <c r="KX235" s="61"/>
      <c r="KY235" s="62"/>
      <c r="KZ235" s="63"/>
      <c r="LA235" s="61"/>
      <c r="LB235" s="62"/>
      <c r="LC235" s="63"/>
      <c r="LD235" s="61"/>
      <c r="LE235" s="62"/>
      <c r="LF235" s="63"/>
      <c r="LG235" s="61"/>
      <c r="LH235" s="62"/>
      <c r="LI235" s="63"/>
      <c r="LJ235" s="61"/>
      <c r="LK235" s="62"/>
      <c r="LL235" s="63"/>
      <c r="LM235" s="61"/>
      <c r="LN235" s="62"/>
      <c r="LO235" s="63"/>
      <c r="LP235" s="61"/>
      <c r="LQ235" s="62"/>
      <c r="LR235" s="63"/>
      <c r="LS235" s="61"/>
      <c r="LT235" s="62"/>
      <c r="LU235" s="63"/>
      <c r="LV235" s="61"/>
      <c r="LW235" s="62"/>
      <c r="LX235" s="63"/>
      <c r="LY235" s="61"/>
      <c r="LZ235" s="62"/>
      <c r="MA235" s="63"/>
      <c r="MB235" s="61"/>
      <c r="MC235" s="62"/>
      <c r="MD235" s="63"/>
      <c r="ME235" s="61"/>
      <c r="MF235" s="62"/>
      <c r="MG235" s="63"/>
      <c r="MH235" s="61"/>
      <c r="MI235" s="62"/>
      <c r="MJ235" s="63"/>
      <c r="MK235" s="61"/>
      <c r="ML235" s="62"/>
      <c r="MM235" s="63"/>
      <c r="MN235" s="61"/>
      <c r="MO235" s="62"/>
      <c r="MP235" s="63"/>
      <c r="MQ235" s="61"/>
      <c r="MR235" s="62"/>
      <c r="MS235" s="63"/>
      <c r="MT235" s="61"/>
      <c r="MU235" s="62"/>
      <c r="MV235" s="63"/>
      <c r="MW235" s="61"/>
      <c r="MX235" s="62"/>
      <c r="MY235" s="63"/>
      <c r="MZ235" s="61"/>
      <c r="NA235" s="62"/>
      <c r="NB235" s="63"/>
      <c r="NC235" s="61"/>
      <c r="ND235" s="62"/>
      <c r="NE235" s="91"/>
      <c r="NG235" s="275"/>
      <c r="NH235" s="1"/>
      <c r="NI235" s="1"/>
      <c r="NJ235" s="1"/>
      <c r="NK235" s="1"/>
    </row>
    <row r="236" spans="4:375" s="6" customFormat="1" ht="9.9499999999999993" customHeight="1">
      <c r="E236" s="118"/>
      <c r="F236" s="196">
        <f t="shared" ref="F236" si="543">NG236</f>
        <v>8.0000000000000362E-4</v>
      </c>
      <c r="G236" s="197">
        <f>Q236-F236</f>
        <v>-3.5778671692021646E-18</v>
      </c>
      <c r="H236" s="27">
        <v>1</v>
      </c>
      <c r="I236" s="118"/>
      <c r="J236" s="118"/>
      <c r="L236" s="339"/>
      <c r="M236" s="293" t="s">
        <v>95</v>
      </c>
      <c r="N236" s="356">
        <v>1</v>
      </c>
      <c r="O236" s="312" t="s">
        <v>60</v>
      </c>
      <c r="P236" s="307">
        <v>167586</v>
      </c>
      <c r="Q236" s="236">
        <f>ROUND(P236/$P$256,5)</f>
        <v>8.0000000000000004E-4</v>
      </c>
      <c r="R236" s="76"/>
      <c r="S236" s="143">
        <f>0.048%/30</f>
        <v>1.5999999999999999E-5</v>
      </c>
      <c r="T236" s="143">
        <f t="shared" ref="T236:AV236" si="544">0.048%/30</f>
        <v>1.5999999999999999E-5</v>
      </c>
      <c r="U236" s="143">
        <f t="shared" si="544"/>
        <v>1.5999999999999999E-5</v>
      </c>
      <c r="V236" s="143">
        <f t="shared" si="544"/>
        <v>1.5999999999999999E-5</v>
      </c>
      <c r="W236" s="143">
        <f t="shared" si="544"/>
        <v>1.5999999999999999E-5</v>
      </c>
      <c r="X236" s="143">
        <f t="shared" si="544"/>
        <v>1.5999999999999999E-5</v>
      </c>
      <c r="Y236" s="143">
        <f t="shared" si="544"/>
        <v>1.5999999999999999E-5</v>
      </c>
      <c r="Z236" s="143">
        <f t="shared" si="544"/>
        <v>1.5999999999999999E-5</v>
      </c>
      <c r="AA236" s="143">
        <f t="shared" si="544"/>
        <v>1.5999999999999999E-5</v>
      </c>
      <c r="AB236" s="143">
        <f t="shared" si="544"/>
        <v>1.5999999999999999E-5</v>
      </c>
      <c r="AC236" s="143">
        <f t="shared" si="544"/>
        <v>1.5999999999999999E-5</v>
      </c>
      <c r="AD236" s="143">
        <f t="shared" si="544"/>
        <v>1.5999999999999999E-5</v>
      </c>
      <c r="AE236" s="143">
        <f t="shared" si="544"/>
        <v>1.5999999999999999E-5</v>
      </c>
      <c r="AF236" s="143">
        <f t="shared" si="544"/>
        <v>1.5999999999999999E-5</v>
      </c>
      <c r="AG236" s="143">
        <f t="shared" si="544"/>
        <v>1.5999999999999999E-5</v>
      </c>
      <c r="AH236" s="143">
        <f t="shared" si="544"/>
        <v>1.5999999999999999E-5</v>
      </c>
      <c r="AI236" s="143">
        <f t="shared" si="544"/>
        <v>1.5999999999999999E-5</v>
      </c>
      <c r="AJ236" s="143">
        <f t="shared" si="544"/>
        <v>1.5999999999999999E-5</v>
      </c>
      <c r="AK236" s="143">
        <f t="shared" si="544"/>
        <v>1.5999999999999999E-5</v>
      </c>
      <c r="AL236" s="143">
        <f t="shared" si="544"/>
        <v>1.5999999999999999E-5</v>
      </c>
      <c r="AM236" s="143">
        <f t="shared" si="544"/>
        <v>1.5999999999999999E-5</v>
      </c>
      <c r="AN236" s="143">
        <f t="shared" si="544"/>
        <v>1.5999999999999999E-5</v>
      </c>
      <c r="AO236" s="143">
        <f t="shared" si="544"/>
        <v>1.5999999999999999E-5</v>
      </c>
      <c r="AP236" s="143">
        <f t="shared" si="544"/>
        <v>1.5999999999999999E-5</v>
      </c>
      <c r="AQ236" s="143">
        <f t="shared" si="544"/>
        <v>1.5999999999999999E-5</v>
      </c>
      <c r="AR236" s="143">
        <f t="shared" si="544"/>
        <v>1.5999999999999999E-5</v>
      </c>
      <c r="AS236" s="143">
        <f t="shared" si="544"/>
        <v>1.5999999999999999E-5</v>
      </c>
      <c r="AT236" s="143">
        <f t="shared" si="544"/>
        <v>1.5999999999999999E-5</v>
      </c>
      <c r="AU236" s="143">
        <f t="shared" si="544"/>
        <v>1.5999999999999999E-5</v>
      </c>
      <c r="AV236" s="143">
        <f t="shared" si="544"/>
        <v>1.5999999999999999E-5</v>
      </c>
      <c r="AW236" s="155">
        <f>0.011%/30</f>
        <v>3.6666666666666661E-6</v>
      </c>
      <c r="AX236" s="156">
        <f>AW236</f>
        <v>3.6666666666666661E-6</v>
      </c>
      <c r="AY236" s="156">
        <f t="shared" ref="AY236:BZ236" si="545">AX236</f>
        <v>3.6666666666666661E-6</v>
      </c>
      <c r="AZ236" s="156">
        <f t="shared" si="545"/>
        <v>3.6666666666666661E-6</v>
      </c>
      <c r="BA236" s="156">
        <f t="shared" si="545"/>
        <v>3.6666666666666661E-6</v>
      </c>
      <c r="BB236" s="156">
        <f t="shared" si="545"/>
        <v>3.6666666666666661E-6</v>
      </c>
      <c r="BC236" s="156">
        <f t="shared" si="545"/>
        <v>3.6666666666666661E-6</v>
      </c>
      <c r="BD236" s="156">
        <f t="shared" si="545"/>
        <v>3.6666666666666661E-6</v>
      </c>
      <c r="BE236" s="156">
        <f t="shared" si="545"/>
        <v>3.6666666666666661E-6</v>
      </c>
      <c r="BF236" s="156">
        <f t="shared" si="545"/>
        <v>3.6666666666666661E-6</v>
      </c>
      <c r="BG236" s="156">
        <f t="shared" si="545"/>
        <v>3.6666666666666661E-6</v>
      </c>
      <c r="BH236" s="156">
        <f t="shared" si="545"/>
        <v>3.6666666666666661E-6</v>
      </c>
      <c r="BI236" s="156">
        <f t="shared" si="545"/>
        <v>3.6666666666666661E-6</v>
      </c>
      <c r="BJ236" s="156">
        <f t="shared" si="545"/>
        <v>3.6666666666666661E-6</v>
      </c>
      <c r="BK236" s="156">
        <f t="shared" si="545"/>
        <v>3.6666666666666661E-6</v>
      </c>
      <c r="BL236" s="156">
        <f t="shared" si="545"/>
        <v>3.6666666666666661E-6</v>
      </c>
      <c r="BM236" s="156">
        <f t="shared" si="545"/>
        <v>3.6666666666666661E-6</v>
      </c>
      <c r="BN236" s="156">
        <f t="shared" si="545"/>
        <v>3.6666666666666661E-6</v>
      </c>
      <c r="BO236" s="156">
        <f t="shared" si="545"/>
        <v>3.6666666666666661E-6</v>
      </c>
      <c r="BP236" s="156">
        <f t="shared" si="545"/>
        <v>3.6666666666666661E-6</v>
      </c>
      <c r="BQ236" s="156">
        <f t="shared" si="545"/>
        <v>3.6666666666666661E-6</v>
      </c>
      <c r="BR236" s="156">
        <f t="shared" si="545"/>
        <v>3.6666666666666661E-6</v>
      </c>
      <c r="BS236" s="156">
        <f t="shared" si="545"/>
        <v>3.6666666666666661E-6</v>
      </c>
      <c r="BT236" s="156">
        <f t="shared" si="545"/>
        <v>3.6666666666666661E-6</v>
      </c>
      <c r="BU236" s="156">
        <f t="shared" si="545"/>
        <v>3.6666666666666661E-6</v>
      </c>
      <c r="BV236" s="156">
        <f t="shared" si="545"/>
        <v>3.6666666666666661E-6</v>
      </c>
      <c r="BW236" s="156">
        <f t="shared" si="545"/>
        <v>3.6666666666666661E-6</v>
      </c>
      <c r="BX236" s="156">
        <f t="shared" si="545"/>
        <v>3.6666666666666661E-6</v>
      </c>
      <c r="BY236" s="156">
        <f t="shared" si="545"/>
        <v>3.6666666666666661E-6</v>
      </c>
      <c r="BZ236" s="156">
        <f t="shared" si="545"/>
        <v>3.6666666666666661E-6</v>
      </c>
      <c r="CA236" s="53"/>
      <c r="CB236" s="54"/>
      <c r="CC236" s="54"/>
      <c r="CD236" s="54"/>
      <c r="CE236" s="54"/>
      <c r="CF236" s="54"/>
      <c r="CG236" s="54"/>
      <c r="CH236" s="54"/>
      <c r="CI236" s="54"/>
      <c r="CJ236" s="54"/>
      <c r="CK236" s="54"/>
      <c r="CL236" s="54"/>
      <c r="CM236" s="54"/>
      <c r="CN236" s="54"/>
      <c r="CO236" s="54"/>
      <c r="CP236" s="54"/>
      <c r="CQ236" s="54"/>
      <c r="CR236" s="54"/>
      <c r="CS236" s="54"/>
      <c r="CT236" s="54"/>
      <c r="CU236" s="54"/>
      <c r="CV236" s="54"/>
      <c r="CW236" s="54"/>
      <c r="CX236" s="54"/>
      <c r="CY236" s="54"/>
      <c r="CZ236" s="54"/>
      <c r="DA236" s="54"/>
      <c r="DB236" s="54"/>
      <c r="DC236" s="54"/>
      <c r="DD236" s="54"/>
      <c r="DE236" s="156">
        <f>0.006%/30</f>
        <v>1.9999999999999999E-6</v>
      </c>
      <c r="DF236" s="156">
        <f>DE236</f>
        <v>1.9999999999999999E-6</v>
      </c>
      <c r="DG236" s="156">
        <f t="shared" ref="DG236:EH236" si="546">DF236</f>
        <v>1.9999999999999999E-6</v>
      </c>
      <c r="DH236" s="156">
        <f t="shared" si="546"/>
        <v>1.9999999999999999E-6</v>
      </c>
      <c r="DI236" s="156">
        <f t="shared" si="546"/>
        <v>1.9999999999999999E-6</v>
      </c>
      <c r="DJ236" s="156">
        <f t="shared" si="546"/>
        <v>1.9999999999999999E-6</v>
      </c>
      <c r="DK236" s="156">
        <f t="shared" si="546"/>
        <v>1.9999999999999999E-6</v>
      </c>
      <c r="DL236" s="156">
        <f t="shared" si="546"/>
        <v>1.9999999999999999E-6</v>
      </c>
      <c r="DM236" s="156">
        <f t="shared" si="546"/>
        <v>1.9999999999999999E-6</v>
      </c>
      <c r="DN236" s="156">
        <f t="shared" si="546"/>
        <v>1.9999999999999999E-6</v>
      </c>
      <c r="DO236" s="156">
        <f t="shared" si="546"/>
        <v>1.9999999999999999E-6</v>
      </c>
      <c r="DP236" s="156">
        <f t="shared" si="546"/>
        <v>1.9999999999999999E-6</v>
      </c>
      <c r="DQ236" s="156">
        <f t="shared" si="546"/>
        <v>1.9999999999999999E-6</v>
      </c>
      <c r="DR236" s="156">
        <f t="shared" si="546"/>
        <v>1.9999999999999999E-6</v>
      </c>
      <c r="DS236" s="156">
        <f t="shared" si="546"/>
        <v>1.9999999999999999E-6</v>
      </c>
      <c r="DT236" s="156">
        <f t="shared" si="546"/>
        <v>1.9999999999999999E-6</v>
      </c>
      <c r="DU236" s="156">
        <f t="shared" si="546"/>
        <v>1.9999999999999999E-6</v>
      </c>
      <c r="DV236" s="156">
        <f t="shared" si="546"/>
        <v>1.9999999999999999E-6</v>
      </c>
      <c r="DW236" s="156">
        <f t="shared" si="546"/>
        <v>1.9999999999999999E-6</v>
      </c>
      <c r="DX236" s="156">
        <f t="shared" si="546"/>
        <v>1.9999999999999999E-6</v>
      </c>
      <c r="DY236" s="156">
        <f t="shared" si="546"/>
        <v>1.9999999999999999E-6</v>
      </c>
      <c r="DZ236" s="156">
        <f t="shared" si="546"/>
        <v>1.9999999999999999E-6</v>
      </c>
      <c r="EA236" s="156">
        <f t="shared" si="546"/>
        <v>1.9999999999999999E-6</v>
      </c>
      <c r="EB236" s="156">
        <f t="shared" si="546"/>
        <v>1.9999999999999999E-6</v>
      </c>
      <c r="EC236" s="156">
        <f t="shared" si="546"/>
        <v>1.9999999999999999E-6</v>
      </c>
      <c r="ED236" s="156">
        <f t="shared" si="546"/>
        <v>1.9999999999999999E-6</v>
      </c>
      <c r="EE236" s="156">
        <f t="shared" si="546"/>
        <v>1.9999999999999999E-6</v>
      </c>
      <c r="EF236" s="156">
        <f t="shared" si="546"/>
        <v>1.9999999999999999E-6</v>
      </c>
      <c r="EG236" s="156">
        <f t="shared" si="546"/>
        <v>1.9999999999999999E-6</v>
      </c>
      <c r="EH236" s="156">
        <f t="shared" si="546"/>
        <v>1.9999999999999999E-6</v>
      </c>
      <c r="EI236" s="53"/>
      <c r="EJ236" s="54"/>
      <c r="EK236" s="54"/>
      <c r="EL236" s="54"/>
      <c r="EM236" s="54"/>
      <c r="EN236" s="54"/>
      <c r="EO236" s="54"/>
      <c r="EP236" s="54"/>
      <c r="EQ236" s="54"/>
      <c r="ER236" s="54"/>
      <c r="ES236" s="54"/>
      <c r="ET236" s="54"/>
      <c r="EU236" s="54"/>
      <c r="EV236" s="54"/>
      <c r="EW236" s="54"/>
      <c r="EX236" s="54"/>
      <c r="EY236" s="54"/>
      <c r="EZ236" s="54"/>
      <c r="FA236" s="54"/>
      <c r="FB236" s="54"/>
      <c r="FC236" s="54"/>
      <c r="FD236" s="54"/>
      <c r="FE236" s="54"/>
      <c r="FF236" s="54"/>
      <c r="FG236" s="54"/>
      <c r="FH236" s="54"/>
      <c r="FI236" s="54"/>
      <c r="FJ236" s="54"/>
      <c r="FK236" s="54"/>
      <c r="FL236" s="54"/>
      <c r="FM236" s="53"/>
      <c r="FN236" s="54"/>
      <c r="FO236" s="54"/>
      <c r="FP236" s="54"/>
      <c r="FQ236" s="54"/>
      <c r="FR236" s="54"/>
      <c r="FS236" s="54"/>
      <c r="FT236" s="54"/>
      <c r="FU236" s="54"/>
      <c r="FV236" s="54"/>
      <c r="FW236" s="54"/>
      <c r="FX236" s="54"/>
      <c r="FY236" s="54"/>
      <c r="FZ236" s="54"/>
      <c r="GA236" s="54"/>
      <c r="GB236" s="54"/>
      <c r="GC236" s="54"/>
      <c r="GD236" s="54"/>
      <c r="GE236" s="54"/>
      <c r="GF236" s="54"/>
      <c r="GG236" s="54"/>
      <c r="GH236" s="54"/>
      <c r="GI236" s="54"/>
      <c r="GJ236" s="54"/>
      <c r="GK236" s="54"/>
      <c r="GL236" s="54"/>
      <c r="GM236" s="54"/>
      <c r="GN236" s="54"/>
      <c r="GO236" s="54"/>
      <c r="GP236" s="54"/>
      <c r="GQ236" s="156">
        <f>0.006%/30</f>
        <v>1.9999999999999999E-6</v>
      </c>
      <c r="GR236" s="156">
        <f>GQ236</f>
        <v>1.9999999999999999E-6</v>
      </c>
      <c r="GS236" s="156">
        <f t="shared" ref="GS236:HT236" si="547">GR236</f>
        <v>1.9999999999999999E-6</v>
      </c>
      <c r="GT236" s="156">
        <f t="shared" si="547"/>
        <v>1.9999999999999999E-6</v>
      </c>
      <c r="GU236" s="156">
        <f t="shared" si="547"/>
        <v>1.9999999999999999E-6</v>
      </c>
      <c r="GV236" s="156">
        <f t="shared" si="547"/>
        <v>1.9999999999999999E-6</v>
      </c>
      <c r="GW236" s="156">
        <f t="shared" si="547"/>
        <v>1.9999999999999999E-6</v>
      </c>
      <c r="GX236" s="156">
        <f t="shared" si="547"/>
        <v>1.9999999999999999E-6</v>
      </c>
      <c r="GY236" s="156">
        <f t="shared" si="547"/>
        <v>1.9999999999999999E-6</v>
      </c>
      <c r="GZ236" s="156">
        <f t="shared" si="547"/>
        <v>1.9999999999999999E-6</v>
      </c>
      <c r="HA236" s="156">
        <f t="shared" si="547"/>
        <v>1.9999999999999999E-6</v>
      </c>
      <c r="HB236" s="156">
        <f t="shared" si="547"/>
        <v>1.9999999999999999E-6</v>
      </c>
      <c r="HC236" s="156">
        <f t="shared" si="547"/>
        <v>1.9999999999999999E-6</v>
      </c>
      <c r="HD236" s="156">
        <f t="shared" si="547"/>
        <v>1.9999999999999999E-6</v>
      </c>
      <c r="HE236" s="156">
        <f t="shared" si="547"/>
        <v>1.9999999999999999E-6</v>
      </c>
      <c r="HF236" s="156">
        <f t="shared" si="547"/>
        <v>1.9999999999999999E-6</v>
      </c>
      <c r="HG236" s="156">
        <f t="shared" si="547"/>
        <v>1.9999999999999999E-6</v>
      </c>
      <c r="HH236" s="156">
        <f t="shared" si="547"/>
        <v>1.9999999999999999E-6</v>
      </c>
      <c r="HI236" s="156">
        <f t="shared" si="547"/>
        <v>1.9999999999999999E-6</v>
      </c>
      <c r="HJ236" s="156">
        <f t="shared" si="547"/>
        <v>1.9999999999999999E-6</v>
      </c>
      <c r="HK236" s="156">
        <f t="shared" si="547"/>
        <v>1.9999999999999999E-6</v>
      </c>
      <c r="HL236" s="156">
        <f t="shared" si="547"/>
        <v>1.9999999999999999E-6</v>
      </c>
      <c r="HM236" s="156">
        <f t="shared" si="547"/>
        <v>1.9999999999999999E-6</v>
      </c>
      <c r="HN236" s="156">
        <f t="shared" si="547"/>
        <v>1.9999999999999999E-6</v>
      </c>
      <c r="HO236" s="156">
        <f t="shared" si="547"/>
        <v>1.9999999999999999E-6</v>
      </c>
      <c r="HP236" s="156">
        <f t="shared" si="547"/>
        <v>1.9999999999999999E-6</v>
      </c>
      <c r="HQ236" s="156">
        <f t="shared" si="547"/>
        <v>1.9999999999999999E-6</v>
      </c>
      <c r="HR236" s="156">
        <f t="shared" si="547"/>
        <v>1.9999999999999999E-6</v>
      </c>
      <c r="HS236" s="156">
        <f t="shared" si="547"/>
        <v>1.9999999999999999E-6</v>
      </c>
      <c r="HT236" s="156">
        <f t="shared" si="547"/>
        <v>1.9999999999999999E-6</v>
      </c>
      <c r="HU236" s="53"/>
      <c r="HV236" s="54"/>
      <c r="HW236" s="54"/>
      <c r="HX236" s="54"/>
      <c r="HY236" s="54"/>
      <c r="HZ236" s="54"/>
      <c r="IA236" s="54"/>
      <c r="IB236" s="54"/>
      <c r="IC236" s="54"/>
      <c r="ID236" s="54"/>
      <c r="IE236" s="54"/>
      <c r="IF236" s="54"/>
      <c r="IG236" s="54"/>
      <c r="IH236" s="54"/>
      <c r="II236" s="54"/>
      <c r="IJ236" s="54"/>
      <c r="IK236" s="54"/>
      <c r="IL236" s="54"/>
      <c r="IM236" s="54"/>
      <c r="IN236" s="54"/>
      <c r="IO236" s="54"/>
      <c r="IP236" s="54"/>
      <c r="IQ236" s="54"/>
      <c r="IR236" s="54"/>
      <c r="IS236" s="54"/>
      <c r="IT236" s="54"/>
      <c r="IU236" s="54"/>
      <c r="IV236" s="54"/>
      <c r="IW236" s="54"/>
      <c r="IX236" s="54"/>
      <c r="IY236" s="53"/>
      <c r="IZ236" s="54"/>
      <c r="JA236" s="54"/>
      <c r="JB236" s="54"/>
      <c r="JC236" s="54"/>
      <c r="JD236" s="54"/>
      <c r="JE236" s="54"/>
      <c r="JF236" s="54"/>
      <c r="JG236" s="54"/>
      <c r="JH236" s="54"/>
      <c r="JI236" s="54"/>
      <c r="JJ236" s="54"/>
      <c r="JK236" s="54"/>
      <c r="JL236" s="54"/>
      <c r="JM236" s="54"/>
      <c r="JN236" s="54"/>
      <c r="JO236" s="54"/>
      <c r="JP236" s="54"/>
      <c r="JQ236" s="54"/>
      <c r="JR236" s="54"/>
      <c r="JS236" s="54"/>
      <c r="JT236" s="54"/>
      <c r="JU236" s="54"/>
      <c r="JV236" s="54"/>
      <c r="JW236" s="54"/>
      <c r="JX236" s="54"/>
      <c r="JY236" s="54"/>
      <c r="JZ236" s="54"/>
      <c r="KA236" s="54"/>
      <c r="KB236" s="54"/>
      <c r="KC236" s="212">
        <v>6.0000000000000002E-5</v>
      </c>
      <c r="KD236" s="212"/>
      <c r="KE236" s="212"/>
      <c r="KF236" s="53"/>
      <c r="KG236" s="54"/>
      <c r="KH236" s="55"/>
      <c r="KI236" s="54"/>
      <c r="KJ236" s="54"/>
      <c r="KK236" s="54"/>
      <c r="KL236" s="212">
        <v>3.0000000000000001E-5</v>
      </c>
      <c r="KM236" s="212"/>
      <c r="KN236" s="212"/>
      <c r="KO236" s="53"/>
      <c r="KP236" s="54"/>
      <c r="KQ236" s="55"/>
      <c r="KR236" s="53"/>
      <c r="KS236" s="54"/>
      <c r="KT236" s="55"/>
      <c r="KU236" s="54"/>
      <c r="KV236" s="54"/>
      <c r="KW236" s="55"/>
      <c r="KX236" s="54"/>
      <c r="KY236" s="54"/>
      <c r="KZ236" s="54"/>
      <c r="LA236" s="57"/>
      <c r="LB236" s="54"/>
      <c r="LC236" s="58"/>
      <c r="LD236" s="54"/>
      <c r="LE236" s="54"/>
      <c r="LF236" s="54"/>
      <c r="LG236" s="53"/>
      <c r="LH236" s="54"/>
      <c r="LI236" s="55"/>
      <c r="LJ236" s="53"/>
      <c r="LK236" s="54"/>
      <c r="LL236" s="55"/>
      <c r="LM236" s="53"/>
      <c r="LN236" s="54"/>
      <c r="LO236" s="54"/>
      <c r="LP236" s="53"/>
      <c r="LQ236" s="54"/>
      <c r="LR236" s="55"/>
      <c r="LS236" s="53"/>
      <c r="LT236" s="54"/>
      <c r="LU236" s="55"/>
      <c r="LV236" s="54"/>
      <c r="LW236" s="54"/>
      <c r="LX236" s="54"/>
      <c r="LY236" s="53"/>
      <c r="LZ236" s="54"/>
      <c r="MA236" s="55"/>
      <c r="MB236" s="54"/>
      <c r="MC236" s="54"/>
      <c r="MD236" s="54"/>
      <c r="ME236" s="53"/>
      <c r="MF236" s="54"/>
      <c r="MG236" s="55"/>
      <c r="MH236" s="53"/>
      <c r="MI236" s="54"/>
      <c r="MJ236" s="55"/>
      <c r="MK236" s="54"/>
      <c r="ML236" s="54"/>
      <c r="MM236" s="54"/>
      <c r="MN236" s="53"/>
      <c r="MO236" s="54"/>
      <c r="MP236" s="55"/>
      <c r="MQ236" s="53"/>
      <c r="MR236" s="54"/>
      <c r="MS236" s="55"/>
      <c r="MT236" s="53"/>
      <c r="MU236" s="54"/>
      <c r="MV236" s="55"/>
      <c r="MW236" s="53"/>
      <c r="MX236" s="54"/>
      <c r="MY236" s="55"/>
      <c r="MZ236" s="53"/>
      <c r="NA236" s="54"/>
      <c r="NB236" s="55"/>
      <c r="NC236" s="54"/>
      <c r="ND236" s="54"/>
      <c r="NE236" s="59"/>
      <c r="NG236" s="275">
        <f>SUM(R236:NE236)</f>
        <v>8.0000000000000362E-4</v>
      </c>
      <c r="NH236" s="1"/>
      <c r="NI236" s="1"/>
      <c r="NJ236" s="1"/>
      <c r="NK236" s="1"/>
    </row>
    <row r="237" spans="4:375" s="6" customFormat="1" ht="6.95" customHeight="1">
      <c r="E237" s="118"/>
      <c r="F237" s="196"/>
      <c r="G237" s="197"/>
      <c r="H237" s="52">
        <v>2</v>
      </c>
      <c r="I237" s="118"/>
      <c r="J237" s="118"/>
      <c r="L237" s="340"/>
      <c r="M237" s="294"/>
      <c r="N237" s="357"/>
      <c r="O237" s="306"/>
      <c r="P237" s="308"/>
      <c r="Q237" s="237"/>
      <c r="R237" s="60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  <c r="BQ237" s="62"/>
      <c r="BR237" s="62"/>
      <c r="BS237" s="62"/>
      <c r="BT237" s="62"/>
      <c r="BU237" s="62"/>
      <c r="BV237" s="62"/>
      <c r="BW237" s="62"/>
      <c r="BX237" s="62"/>
      <c r="BY237" s="62"/>
      <c r="BZ237" s="63"/>
      <c r="CA237" s="39"/>
      <c r="CB237" s="40"/>
      <c r="CC237" s="40"/>
      <c r="CD237" s="40"/>
      <c r="CE237" s="40"/>
      <c r="CF237" s="40"/>
      <c r="CG237" s="40"/>
      <c r="CH237" s="40"/>
      <c r="CI237" s="40"/>
      <c r="CJ237" s="40"/>
      <c r="CK237" s="40"/>
      <c r="CL237" s="40"/>
      <c r="CM237" s="40"/>
      <c r="CN237" s="40"/>
      <c r="CO237" s="40"/>
      <c r="CP237" s="40"/>
      <c r="CQ237" s="40"/>
      <c r="CR237" s="40"/>
      <c r="CS237" s="40"/>
      <c r="CT237" s="40"/>
      <c r="CU237" s="40"/>
      <c r="CV237" s="40"/>
      <c r="CW237" s="40"/>
      <c r="CX237" s="40"/>
      <c r="CY237" s="40"/>
      <c r="CZ237" s="40"/>
      <c r="DA237" s="40"/>
      <c r="DB237" s="40"/>
      <c r="DC237" s="40"/>
      <c r="DD237" s="40"/>
      <c r="DE237" s="61"/>
      <c r="DF237" s="62"/>
      <c r="DG237" s="62"/>
      <c r="DH237" s="62"/>
      <c r="DI237" s="62"/>
      <c r="DJ237" s="62"/>
      <c r="DK237" s="62"/>
      <c r="DL237" s="62"/>
      <c r="DM237" s="62"/>
      <c r="DN237" s="62"/>
      <c r="DO237" s="62"/>
      <c r="DP237" s="62"/>
      <c r="DQ237" s="62"/>
      <c r="DR237" s="62"/>
      <c r="DS237" s="62"/>
      <c r="DT237" s="62"/>
      <c r="DU237" s="62"/>
      <c r="DV237" s="62"/>
      <c r="DW237" s="62"/>
      <c r="DX237" s="62"/>
      <c r="DY237" s="62"/>
      <c r="DZ237" s="62"/>
      <c r="EA237" s="62"/>
      <c r="EB237" s="62"/>
      <c r="EC237" s="62"/>
      <c r="ED237" s="62"/>
      <c r="EE237" s="62"/>
      <c r="EF237" s="62"/>
      <c r="EG237" s="62"/>
      <c r="EH237" s="62"/>
      <c r="EI237" s="39"/>
      <c r="EJ237" s="40"/>
      <c r="EK237" s="40"/>
      <c r="EL237" s="40"/>
      <c r="EM237" s="40"/>
      <c r="EN237" s="40"/>
      <c r="EO237" s="40"/>
      <c r="EP237" s="40"/>
      <c r="EQ237" s="40"/>
      <c r="ER237" s="40"/>
      <c r="ES237" s="40"/>
      <c r="ET237" s="40"/>
      <c r="EU237" s="40"/>
      <c r="EV237" s="40"/>
      <c r="EW237" s="40"/>
      <c r="EX237" s="40"/>
      <c r="EY237" s="40"/>
      <c r="EZ237" s="40"/>
      <c r="FA237" s="40"/>
      <c r="FB237" s="40"/>
      <c r="FC237" s="40"/>
      <c r="FD237" s="40"/>
      <c r="FE237" s="40"/>
      <c r="FF237" s="40"/>
      <c r="FG237" s="40"/>
      <c r="FH237" s="40"/>
      <c r="FI237" s="40"/>
      <c r="FJ237" s="40"/>
      <c r="FK237" s="40"/>
      <c r="FL237" s="40"/>
      <c r="FM237" s="39"/>
      <c r="FN237" s="40"/>
      <c r="FO237" s="40"/>
      <c r="FP237" s="40"/>
      <c r="FQ237" s="40"/>
      <c r="FR237" s="40"/>
      <c r="FS237" s="40"/>
      <c r="FT237" s="40"/>
      <c r="FU237" s="40"/>
      <c r="FV237" s="40"/>
      <c r="FW237" s="40"/>
      <c r="FX237" s="40"/>
      <c r="FY237" s="40"/>
      <c r="FZ237" s="40"/>
      <c r="GA237" s="40"/>
      <c r="GB237" s="40"/>
      <c r="GC237" s="40"/>
      <c r="GD237" s="40"/>
      <c r="GE237" s="40"/>
      <c r="GF237" s="40"/>
      <c r="GG237" s="40"/>
      <c r="GH237" s="40"/>
      <c r="GI237" s="40"/>
      <c r="GJ237" s="40"/>
      <c r="GK237" s="40"/>
      <c r="GL237" s="40"/>
      <c r="GM237" s="40"/>
      <c r="GN237" s="40"/>
      <c r="GO237" s="40"/>
      <c r="GP237" s="40"/>
      <c r="GQ237" s="61"/>
      <c r="GR237" s="62"/>
      <c r="GS237" s="62"/>
      <c r="GT237" s="62"/>
      <c r="GU237" s="62"/>
      <c r="GV237" s="62"/>
      <c r="GW237" s="62"/>
      <c r="GX237" s="62"/>
      <c r="GY237" s="62"/>
      <c r="GZ237" s="62"/>
      <c r="HA237" s="62"/>
      <c r="HB237" s="62"/>
      <c r="HC237" s="62"/>
      <c r="HD237" s="62"/>
      <c r="HE237" s="62"/>
      <c r="HF237" s="62"/>
      <c r="HG237" s="62"/>
      <c r="HH237" s="62"/>
      <c r="HI237" s="62"/>
      <c r="HJ237" s="62"/>
      <c r="HK237" s="62"/>
      <c r="HL237" s="62"/>
      <c r="HM237" s="62"/>
      <c r="HN237" s="62"/>
      <c r="HO237" s="62"/>
      <c r="HP237" s="62"/>
      <c r="HQ237" s="62"/>
      <c r="HR237" s="62"/>
      <c r="HS237" s="62"/>
      <c r="HT237" s="62"/>
      <c r="HU237" s="39"/>
      <c r="HV237" s="40"/>
      <c r="HW237" s="40"/>
      <c r="HX237" s="40"/>
      <c r="HY237" s="40"/>
      <c r="HZ237" s="40"/>
      <c r="IA237" s="40"/>
      <c r="IB237" s="40"/>
      <c r="IC237" s="40"/>
      <c r="ID237" s="40"/>
      <c r="IE237" s="40"/>
      <c r="IF237" s="40"/>
      <c r="IG237" s="40"/>
      <c r="IH237" s="40"/>
      <c r="II237" s="40"/>
      <c r="IJ237" s="40"/>
      <c r="IK237" s="40"/>
      <c r="IL237" s="40"/>
      <c r="IM237" s="40"/>
      <c r="IN237" s="40"/>
      <c r="IO237" s="40"/>
      <c r="IP237" s="40"/>
      <c r="IQ237" s="40"/>
      <c r="IR237" s="40"/>
      <c r="IS237" s="40"/>
      <c r="IT237" s="40"/>
      <c r="IU237" s="40"/>
      <c r="IV237" s="40"/>
      <c r="IW237" s="40"/>
      <c r="IX237" s="40"/>
      <c r="IY237" s="39"/>
      <c r="IZ237" s="40"/>
      <c r="JA237" s="40"/>
      <c r="JB237" s="40"/>
      <c r="JC237" s="40"/>
      <c r="JD237" s="40"/>
      <c r="JE237" s="40"/>
      <c r="JF237" s="40"/>
      <c r="JG237" s="40"/>
      <c r="JH237" s="40"/>
      <c r="JI237" s="40"/>
      <c r="JJ237" s="40"/>
      <c r="JK237" s="40"/>
      <c r="JL237" s="40"/>
      <c r="JM237" s="40"/>
      <c r="JN237" s="40"/>
      <c r="JO237" s="40"/>
      <c r="JP237" s="40"/>
      <c r="JQ237" s="40"/>
      <c r="JR237" s="40"/>
      <c r="JS237" s="40"/>
      <c r="JT237" s="40"/>
      <c r="JU237" s="40"/>
      <c r="JV237" s="40"/>
      <c r="JW237" s="40"/>
      <c r="JX237" s="40"/>
      <c r="JY237" s="40"/>
      <c r="JZ237" s="40"/>
      <c r="KA237" s="40"/>
      <c r="KB237" s="40"/>
      <c r="KC237" s="61"/>
      <c r="KD237" s="62"/>
      <c r="KE237" s="63"/>
      <c r="KF237" s="39"/>
      <c r="KG237" s="40"/>
      <c r="KH237" s="41"/>
      <c r="KI237" s="40"/>
      <c r="KJ237" s="40"/>
      <c r="KK237" s="40"/>
      <c r="KL237" s="61"/>
      <c r="KM237" s="62"/>
      <c r="KN237" s="63"/>
      <c r="KO237" s="39"/>
      <c r="KP237" s="40"/>
      <c r="KQ237" s="41"/>
      <c r="KR237" s="39"/>
      <c r="KS237" s="40"/>
      <c r="KT237" s="41"/>
      <c r="KU237" s="40"/>
      <c r="KV237" s="40"/>
      <c r="KW237" s="41"/>
      <c r="KX237" s="40"/>
      <c r="KY237" s="40"/>
      <c r="KZ237" s="40"/>
      <c r="LA237" s="64"/>
      <c r="LB237" s="40"/>
      <c r="LC237" s="65"/>
      <c r="LD237" s="40"/>
      <c r="LE237" s="40"/>
      <c r="LF237" s="40"/>
      <c r="LG237" s="39"/>
      <c r="LH237" s="40"/>
      <c r="LI237" s="41"/>
      <c r="LJ237" s="39"/>
      <c r="LK237" s="40"/>
      <c r="LL237" s="41"/>
      <c r="LM237" s="39"/>
      <c r="LN237" s="40"/>
      <c r="LO237" s="40"/>
      <c r="LP237" s="39"/>
      <c r="LQ237" s="40"/>
      <c r="LR237" s="41"/>
      <c r="LS237" s="39"/>
      <c r="LT237" s="40"/>
      <c r="LU237" s="41"/>
      <c r="LV237" s="40"/>
      <c r="LW237" s="40"/>
      <c r="LX237" s="40"/>
      <c r="LY237" s="39"/>
      <c r="LZ237" s="40"/>
      <c r="MA237" s="41"/>
      <c r="MB237" s="40"/>
      <c r="MC237" s="40"/>
      <c r="MD237" s="40"/>
      <c r="ME237" s="39"/>
      <c r="MF237" s="40"/>
      <c r="MG237" s="41"/>
      <c r="MH237" s="39"/>
      <c r="MI237" s="40"/>
      <c r="MJ237" s="41"/>
      <c r="MK237" s="40"/>
      <c r="ML237" s="40"/>
      <c r="MM237" s="40"/>
      <c r="MN237" s="39"/>
      <c r="MO237" s="40"/>
      <c r="MP237" s="41"/>
      <c r="MQ237" s="39"/>
      <c r="MR237" s="40"/>
      <c r="MS237" s="41"/>
      <c r="MT237" s="39"/>
      <c r="MU237" s="40"/>
      <c r="MV237" s="41"/>
      <c r="MW237" s="39"/>
      <c r="MX237" s="40"/>
      <c r="MY237" s="41"/>
      <c r="MZ237" s="39"/>
      <c r="NA237" s="40"/>
      <c r="NB237" s="41"/>
      <c r="NC237" s="40"/>
      <c r="ND237" s="40"/>
      <c r="NE237" s="42"/>
      <c r="NG237" s="275"/>
      <c r="NH237" s="1"/>
      <c r="NI237" s="1"/>
      <c r="NJ237" s="1"/>
      <c r="NK237" s="1"/>
    </row>
    <row r="238" spans="4:375" s="6" customFormat="1" ht="9.9499999999999993" customHeight="1">
      <c r="E238" s="10"/>
      <c r="F238" s="196">
        <f t="shared" ref="F238" si="548">NG238</f>
        <v>5.7199999999999985E-3</v>
      </c>
      <c r="G238" s="197">
        <f>Q238-F238</f>
        <v>0</v>
      </c>
      <c r="H238" s="27">
        <v>1</v>
      </c>
      <c r="L238" s="317"/>
      <c r="M238" s="319" t="s">
        <v>170</v>
      </c>
      <c r="N238" s="321">
        <v>1</v>
      </c>
      <c r="O238" s="323" t="s">
        <v>98</v>
      </c>
      <c r="P238" s="315">
        <v>1191682</v>
      </c>
      <c r="Q238" s="236">
        <f>ROUND(P238/$P$256,5)</f>
        <v>5.7200000000000003E-3</v>
      </c>
      <c r="R238" s="21"/>
      <c r="S238" s="141">
        <f>0.012%/30</f>
        <v>3.9999999999999998E-6</v>
      </c>
      <c r="T238" s="141">
        <f t="shared" ref="T238:AV238" si="549">0.012%/30</f>
        <v>3.9999999999999998E-6</v>
      </c>
      <c r="U238" s="141">
        <f t="shared" si="549"/>
        <v>3.9999999999999998E-6</v>
      </c>
      <c r="V238" s="141">
        <f t="shared" si="549"/>
        <v>3.9999999999999998E-6</v>
      </c>
      <c r="W238" s="141">
        <f t="shared" si="549"/>
        <v>3.9999999999999998E-6</v>
      </c>
      <c r="X238" s="141">
        <f t="shared" si="549"/>
        <v>3.9999999999999998E-6</v>
      </c>
      <c r="Y238" s="141">
        <f t="shared" si="549"/>
        <v>3.9999999999999998E-6</v>
      </c>
      <c r="Z238" s="141">
        <f t="shared" si="549"/>
        <v>3.9999999999999998E-6</v>
      </c>
      <c r="AA238" s="141">
        <f t="shared" si="549"/>
        <v>3.9999999999999998E-6</v>
      </c>
      <c r="AB238" s="141">
        <f t="shared" si="549"/>
        <v>3.9999999999999998E-6</v>
      </c>
      <c r="AC238" s="141">
        <f t="shared" si="549"/>
        <v>3.9999999999999998E-6</v>
      </c>
      <c r="AD238" s="141">
        <f t="shared" si="549"/>
        <v>3.9999999999999998E-6</v>
      </c>
      <c r="AE238" s="141">
        <f t="shared" si="549"/>
        <v>3.9999999999999998E-6</v>
      </c>
      <c r="AF238" s="141">
        <f t="shared" si="549"/>
        <v>3.9999999999999998E-6</v>
      </c>
      <c r="AG238" s="141">
        <f t="shared" si="549"/>
        <v>3.9999999999999998E-6</v>
      </c>
      <c r="AH238" s="141">
        <f t="shared" si="549"/>
        <v>3.9999999999999998E-6</v>
      </c>
      <c r="AI238" s="141">
        <f t="shared" si="549"/>
        <v>3.9999999999999998E-6</v>
      </c>
      <c r="AJ238" s="141">
        <f t="shared" si="549"/>
        <v>3.9999999999999998E-6</v>
      </c>
      <c r="AK238" s="141">
        <f t="shared" si="549"/>
        <v>3.9999999999999998E-6</v>
      </c>
      <c r="AL238" s="141">
        <f t="shared" si="549"/>
        <v>3.9999999999999998E-6</v>
      </c>
      <c r="AM238" s="141">
        <f t="shared" si="549"/>
        <v>3.9999999999999998E-6</v>
      </c>
      <c r="AN238" s="141">
        <f t="shared" si="549"/>
        <v>3.9999999999999998E-6</v>
      </c>
      <c r="AO238" s="141">
        <f t="shared" si="549"/>
        <v>3.9999999999999998E-6</v>
      </c>
      <c r="AP238" s="141">
        <f t="shared" si="549"/>
        <v>3.9999999999999998E-6</v>
      </c>
      <c r="AQ238" s="141">
        <f t="shared" si="549"/>
        <v>3.9999999999999998E-6</v>
      </c>
      <c r="AR238" s="141">
        <f t="shared" si="549"/>
        <v>3.9999999999999998E-6</v>
      </c>
      <c r="AS238" s="141">
        <f t="shared" si="549"/>
        <v>3.9999999999999998E-6</v>
      </c>
      <c r="AT238" s="141">
        <f t="shared" si="549"/>
        <v>3.9999999999999998E-6</v>
      </c>
      <c r="AU238" s="141">
        <f t="shared" si="549"/>
        <v>3.9999999999999998E-6</v>
      </c>
      <c r="AV238" s="141">
        <f t="shared" si="549"/>
        <v>3.9999999999999998E-6</v>
      </c>
      <c r="AW238" s="179">
        <f>0.012%/30</f>
        <v>3.9999999999999998E-6</v>
      </c>
      <c r="AX238" s="156">
        <f>AW238</f>
        <v>3.9999999999999998E-6</v>
      </c>
      <c r="AY238" s="143">
        <f t="shared" ref="AY238:BZ238" si="550">AX238</f>
        <v>3.9999999999999998E-6</v>
      </c>
      <c r="AZ238" s="143">
        <f t="shared" si="550"/>
        <v>3.9999999999999998E-6</v>
      </c>
      <c r="BA238" s="143">
        <f t="shared" si="550"/>
        <v>3.9999999999999998E-6</v>
      </c>
      <c r="BB238" s="143">
        <f t="shared" si="550"/>
        <v>3.9999999999999998E-6</v>
      </c>
      <c r="BC238" s="143">
        <f t="shared" si="550"/>
        <v>3.9999999999999998E-6</v>
      </c>
      <c r="BD238" s="143">
        <f t="shared" si="550"/>
        <v>3.9999999999999998E-6</v>
      </c>
      <c r="BE238" s="143">
        <f t="shared" si="550"/>
        <v>3.9999999999999998E-6</v>
      </c>
      <c r="BF238" s="143">
        <f t="shared" si="550"/>
        <v>3.9999999999999998E-6</v>
      </c>
      <c r="BG238" s="143">
        <f t="shared" si="550"/>
        <v>3.9999999999999998E-6</v>
      </c>
      <c r="BH238" s="143">
        <f t="shared" si="550"/>
        <v>3.9999999999999998E-6</v>
      </c>
      <c r="BI238" s="143">
        <f t="shared" si="550"/>
        <v>3.9999999999999998E-6</v>
      </c>
      <c r="BJ238" s="143">
        <f t="shared" si="550"/>
        <v>3.9999999999999998E-6</v>
      </c>
      <c r="BK238" s="143">
        <f t="shared" si="550"/>
        <v>3.9999999999999998E-6</v>
      </c>
      <c r="BL238" s="143">
        <f t="shared" si="550"/>
        <v>3.9999999999999998E-6</v>
      </c>
      <c r="BM238" s="143">
        <f t="shared" si="550"/>
        <v>3.9999999999999998E-6</v>
      </c>
      <c r="BN238" s="143">
        <f t="shared" si="550"/>
        <v>3.9999999999999998E-6</v>
      </c>
      <c r="BO238" s="143">
        <f t="shared" si="550"/>
        <v>3.9999999999999998E-6</v>
      </c>
      <c r="BP238" s="143">
        <f t="shared" si="550"/>
        <v>3.9999999999999998E-6</v>
      </c>
      <c r="BQ238" s="143">
        <f t="shared" si="550"/>
        <v>3.9999999999999998E-6</v>
      </c>
      <c r="BR238" s="143">
        <f t="shared" si="550"/>
        <v>3.9999999999999998E-6</v>
      </c>
      <c r="BS238" s="143">
        <f t="shared" si="550"/>
        <v>3.9999999999999998E-6</v>
      </c>
      <c r="BT238" s="143">
        <f t="shared" si="550"/>
        <v>3.9999999999999998E-6</v>
      </c>
      <c r="BU238" s="143">
        <f t="shared" si="550"/>
        <v>3.9999999999999998E-6</v>
      </c>
      <c r="BV238" s="143">
        <f t="shared" si="550"/>
        <v>3.9999999999999998E-6</v>
      </c>
      <c r="BW238" s="143">
        <f t="shared" si="550"/>
        <v>3.9999999999999998E-6</v>
      </c>
      <c r="BX238" s="143">
        <f t="shared" si="550"/>
        <v>3.9999999999999998E-6</v>
      </c>
      <c r="BY238" s="143">
        <f t="shared" si="550"/>
        <v>3.9999999999999998E-6</v>
      </c>
      <c r="BZ238" s="155">
        <f t="shared" si="550"/>
        <v>3.9999999999999998E-6</v>
      </c>
      <c r="CA238" s="179">
        <f>0.012%/30</f>
        <v>3.9999999999999998E-6</v>
      </c>
      <c r="CB238" s="156">
        <f>CA238</f>
        <v>3.9999999999999998E-6</v>
      </c>
      <c r="CC238" s="156">
        <f t="shared" ref="CC238:DD238" si="551">CB238</f>
        <v>3.9999999999999998E-6</v>
      </c>
      <c r="CD238" s="156">
        <f t="shared" si="551"/>
        <v>3.9999999999999998E-6</v>
      </c>
      <c r="CE238" s="156">
        <f t="shared" si="551"/>
        <v>3.9999999999999998E-6</v>
      </c>
      <c r="CF238" s="156">
        <f t="shared" si="551"/>
        <v>3.9999999999999998E-6</v>
      </c>
      <c r="CG238" s="156">
        <f t="shared" si="551"/>
        <v>3.9999999999999998E-6</v>
      </c>
      <c r="CH238" s="156">
        <f t="shared" si="551"/>
        <v>3.9999999999999998E-6</v>
      </c>
      <c r="CI238" s="156">
        <f t="shared" si="551"/>
        <v>3.9999999999999998E-6</v>
      </c>
      <c r="CJ238" s="156">
        <f t="shared" si="551"/>
        <v>3.9999999999999998E-6</v>
      </c>
      <c r="CK238" s="156">
        <f t="shared" si="551"/>
        <v>3.9999999999999998E-6</v>
      </c>
      <c r="CL238" s="156">
        <f t="shared" si="551"/>
        <v>3.9999999999999998E-6</v>
      </c>
      <c r="CM238" s="156">
        <f t="shared" si="551"/>
        <v>3.9999999999999998E-6</v>
      </c>
      <c r="CN238" s="156">
        <f t="shared" si="551"/>
        <v>3.9999999999999998E-6</v>
      </c>
      <c r="CO238" s="156">
        <f t="shared" si="551"/>
        <v>3.9999999999999998E-6</v>
      </c>
      <c r="CP238" s="156">
        <f t="shared" si="551"/>
        <v>3.9999999999999998E-6</v>
      </c>
      <c r="CQ238" s="156">
        <f t="shared" si="551"/>
        <v>3.9999999999999998E-6</v>
      </c>
      <c r="CR238" s="156">
        <f t="shared" si="551"/>
        <v>3.9999999999999998E-6</v>
      </c>
      <c r="CS238" s="156">
        <f t="shared" si="551"/>
        <v>3.9999999999999998E-6</v>
      </c>
      <c r="CT238" s="156">
        <f t="shared" si="551"/>
        <v>3.9999999999999998E-6</v>
      </c>
      <c r="CU238" s="156">
        <f t="shared" si="551"/>
        <v>3.9999999999999998E-6</v>
      </c>
      <c r="CV238" s="156">
        <f t="shared" si="551"/>
        <v>3.9999999999999998E-6</v>
      </c>
      <c r="CW238" s="156">
        <f t="shared" si="551"/>
        <v>3.9999999999999998E-6</v>
      </c>
      <c r="CX238" s="156">
        <f t="shared" si="551"/>
        <v>3.9999999999999998E-6</v>
      </c>
      <c r="CY238" s="156">
        <f t="shared" si="551"/>
        <v>3.9999999999999998E-6</v>
      </c>
      <c r="CZ238" s="156">
        <f t="shared" si="551"/>
        <v>3.9999999999999998E-6</v>
      </c>
      <c r="DA238" s="156">
        <f t="shared" si="551"/>
        <v>3.9999999999999998E-6</v>
      </c>
      <c r="DB238" s="156">
        <f t="shared" si="551"/>
        <v>3.9999999999999998E-6</v>
      </c>
      <c r="DC238" s="156">
        <f t="shared" si="551"/>
        <v>3.9999999999999998E-6</v>
      </c>
      <c r="DD238" s="156">
        <f t="shared" si="551"/>
        <v>3.9999999999999998E-6</v>
      </c>
      <c r="DE238" s="179">
        <f>0.012%/30</f>
        <v>3.9999999999999998E-6</v>
      </c>
      <c r="DF238" s="156">
        <f>DE238</f>
        <v>3.9999999999999998E-6</v>
      </c>
      <c r="DG238" s="156">
        <f t="shared" ref="DG238:EH238" si="552">DF238</f>
        <v>3.9999999999999998E-6</v>
      </c>
      <c r="DH238" s="156">
        <f t="shared" si="552"/>
        <v>3.9999999999999998E-6</v>
      </c>
      <c r="DI238" s="156">
        <f t="shared" si="552"/>
        <v>3.9999999999999998E-6</v>
      </c>
      <c r="DJ238" s="156">
        <f t="shared" si="552"/>
        <v>3.9999999999999998E-6</v>
      </c>
      <c r="DK238" s="156">
        <f t="shared" si="552"/>
        <v>3.9999999999999998E-6</v>
      </c>
      <c r="DL238" s="156">
        <f t="shared" si="552"/>
        <v>3.9999999999999998E-6</v>
      </c>
      <c r="DM238" s="156">
        <f t="shared" si="552"/>
        <v>3.9999999999999998E-6</v>
      </c>
      <c r="DN238" s="156">
        <f t="shared" si="552"/>
        <v>3.9999999999999998E-6</v>
      </c>
      <c r="DO238" s="156">
        <f t="shared" si="552"/>
        <v>3.9999999999999998E-6</v>
      </c>
      <c r="DP238" s="156">
        <f t="shared" si="552"/>
        <v>3.9999999999999998E-6</v>
      </c>
      <c r="DQ238" s="156">
        <f t="shared" si="552"/>
        <v>3.9999999999999998E-6</v>
      </c>
      <c r="DR238" s="156">
        <f t="shared" si="552"/>
        <v>3.9999999999999998E-6</v>
      </c>
      <c r="DS238" s="156">
        <f t="shared" si="552"/>
        <v>3.9999999999999998E-6</v>
      </c>
      <c r="DT238" s="156">
        <f t="shared" si="552"/>
        <v>3.9999999999999998E-6</v>
      </c>
      <c r="DU238" s="156">
        <f t="shared" si="552"/>
        <v>3.9999999999999998E-6</v>
      </c>
      <c r="DV238" s="156">
        <f t="shared" si="552"/>
        <v>3.9999999999999998E-6</v>
      </c>
      <c r="DW238" s="156">
        <f t="shared" si="552"/>
        <v>3.9999999999999998E-6</v>
      </c>
      <c r="DX238" s="156">
        <f t="shared" si="552"/>
        <v>3.9999999999999998E-6</v>
      </c>
      <c r="DY238" s="156">
        <f t="shared" si="552"/>
        <v>3.9999999999999998E-6</v>
      </c>
      <c r="DZ238" s="156">
        <f t="shared" si="552"/>
        <v>3.9999999999999998E-6</v>
      </c>
      <c r="EA238" s="156">
        <f t="shared" si="552"/>
        <v>3.9999999999999998E-6</v>
      </c>
      <c r="EB238" s="156">
        <f t="shared" si="552"/>
        <v>3.9999999999999998E-6</v>
      </c>
      <c r="EC238" s="156">
        <f t="shared" si="552"/>
        <v>3.9999999999999998E-6</v>
      </c>
      <c r="ED238" s="156">
        <f t="shared" si="552"/>
        <v>3.9999999999999998E-6</v>
      </c>
      <c r="EE238" s="156">
        <f t="shared" si="552"/>
        <v>3.9999999999999998E-6</v>
      </c>
      <c r="EF238" s="156">
        <f t="shared" si="552"/>
        <v>3.9999999999999998E-6</v>
      </c>
      <c r="EG238" s="156">
        <f t="shared" si="552"/>
        <v>3.9999999999999998E-6</v>
      </c>
      <c r="EH238" s="156">
        <f t="shared" si="552"/>
        <v>3.9999999999999998E-6</v>
      </c>
      <c r="EI238" s="179">
        <f>0.012%/30</f>
        <v>3.9999999999999998E-6</v>
      </c>
      <c r="EJ238" s="156">
        <f>EI238</f>
        <v>3.9999999999999998E-6</v>
      </c>
      <c r="EK238" s="156">
        <f t="shared" ref="EK238:FL238" si="553">EJ238</f>
        <v>3.9999999999999998E-6</v>
      </c>
      <c r="EL238" s="156">
        <f t="shared" si="553"/>
        <v>3.9999999999999998E-6</v>
      </c>
      <c r="EM238" s="156">
        <f t="shared" si="553"/>
        <v>3.9999999999999998E-6</v>
      </c>
      <c r="EN238" s="156">
        <f t="shared" si="553"/>
        <v>3.9999999999999998E-6</v>
      </c>
      <c r="EO238" s="156">
        <f t="shared" si="553"/>
        <v>3.9999999999999998E-6</v>
      </c>
      <c r="EP238" s="156">
        <f t="shared" si="553"/>
        <v>3.9999999999999998E-6</v>
      </c>
      <c r="EQ238" s="156">
        <f t="shared" si="553"/>
        <v>3.9999999999999998E-6</v>
      </c>
      <c r="ER238" s="156">
        <f t="shared" si="553"/>
        <v>3.9999999999999998E-6</v>
      </c>
      <c r="ES238" s="156">
        <f t="shared" si="553"/>
        <v>3.9999999999999998E-6</v>
      </c>
      <c r="ET238" s="156">
        <f t="shared" si="553"/>
        <v>3.9999999999999998E-6</v>
      </c>
      <c r="EU238" s="156">
        <f t="shared" si="553"/>
        <v>3.9999999999999998E-6</v>
      </c>
      <c r="EV238" s="156">
        <f t="shared" si="553"/>
        <v>3.9999999999999998E-6</v>
      </c>
      <c r="EW238" s="156">
        <f t="shared" si="553"/>
        <v>3.9999999999999998E-6</v>
      </c>
      <c r="EX238" s="156">
        <f t="shared" si="553"/>
        <v>3.9999999999999998E-6</v>
      </c>
      <c r="EY238" s="156">
        <f t="shared" si="553"/>
        <v>3.9999999999999998E-6</v>
      </c>
      <c r="EZ238" s="156">
        <f t="shared" si="553"/>
        <v>3.9999999999999998E-6</v>
      </c>
      <c r="FA238" s="156">
        <f t="shared" si="553"/>
        <v>3.9999999999999998E-6</v>
      </c>
      <c r="FB238" s="156">
        <f t="shared" si="553"/>
        <v>3.9999999999999998E-6</v>
      </c>
      <c r="FC238" s="156">
        <f t="shared" si="553"/>
        <v>3.9999999999999998E-6</v>
      </c>
      <c r="FD238" s="156">
        <f t="shared" si="553"/>
        <v>3.9999999999999998E-6</v>
      </c>
      <c r="FE238" s="156">
        <f t="shared" si="553"/>
        <v>3.9999999999999998E-6</v>
      </c>
      <c r="FF238" s="156">
        <f t="shared" si="553"/>
        <v>3.9999999999999998E-6</v>
      </c>
      <c r="FG238" s="156">
        <f t="shared" si="553"/>
        <v>3.9999999999999998E-6</v>
      </c>
      <c r="FH238" s="156">
        <f t="shared" si="553"/>
        <v>3.9999999999999998E-6</v>
      </c>
      <c r="FI238" s="156">
        <f t="shared" si="553"/>
        <v>3.9999999999999998E-6</v>
      </c>
      <c r="FJ238" s="156">
        <f t="shared" si="553"/>
        <v>3.9999999999999998E-6</v>
      </c>
      <c r="FK238" s="156">
        <f t="shared" si="553"/>
        <v>3.9999999999999998E-6</v>
      </c>
      <c r="FL238" s="156">
        <f t="shared" si="553"/>
        <v>3.9999999999999998E-6</v>
      </c>
      <c r="FM238" s="179">
        <f>0.012%/30</f>
        <v>3.9999999999999998E-6</v>
      </c>
      <c r="FN238" s="143">
        <f>FM238</f>
        <v>3.9999999999999998E-6</v>
      </c>
      <c r="FO238" s="143">
        <f t="shared" ref="FO238:GP238" si="554">FN238</f>
        <v>3.9999999999999998E-6</v>
      </c>
      <c r="FP238" s="143">
        <f t="shared" si="554"/>
        <v>3.9999999999999998E-6</v>
      </c>
      <c r="FQ238" s="143">
        <f t="shared" si="554"/>
        <v>3.9999999999999998E-6</v>
      </c>
      <c r="FR238" s="143">
        <f t="shared" si="554"/>
        <v>3.9999999999999998E-6</v>
      </c>
      <c r="FS238" s="143">
        <f t="shared" si="554"/>
        <v>3.9999999999999998E-6</v>
      </c>
      <c r="FT238" s="143">
        <f t="shared" si="554"/>
        <v>3.9999999999999998E-6</v>
      </c>
      <c r="FU238" s="143">
        <f t="shared" si="554"/>
        <v>3.9999999999999998E-6</v>
      </c>
      <c r="FV238" s="143">
        <f t="shared" si="554"/>
        <v>3.9999999999999998E-6</v>
      </c>
      <c r="FW238" s="143">
        <f t="shared" si="554"/>
        <v>3.9999999999999998E-6</v>
      </c>
      <c r="FX238" s="143">
        <f t="shared" si="554"/>
        <v>3.9999999999999998E-6</v>
      </c>
      <c r="FY238" s="143">
        <f t="shared" si="554"/>
        <v>3.9999999999999998E-6</v>
      </c>
      <c r="FZ238" s="143">
        <f t="shared" si="554"/>
        <v>3.9999999999999998E-6</v>
      </c>
      <c r="GA238" s="143">
        <f t="shared" si="554"/>
        <v>3.9999999999999998E-6</v>
      </c>
      <c r="GB238" s="143">
        <f t="shared" si="554"/>
        <v>3.9999999999999998E-6</v>
      </c>
      <c r="GC238" s="143">
        <f t="shared" si="554"/>
        <v>3.9999999999999998E-6</v>
      </c>
      <c r="GD238" s="143">
        <f t="shared" si="554"/>
        <v>3.9999999999999998E-6</v>
      </c>
      <c r="GE238" s="143">
        <f t="shared" si="554"/>
        <v>3.9999999999999998E-6</v>
      </c>
      <c r="GF238" s="143">
        <f t="shared" si="554"/>
        <v>3.9999999999999998E-6</v>
      </c>
      <c r="GG238" s="143">
        <f t="shared" si="554"/>
        <v>3.9999999999999998E-6</v>
      </c>
      <c r="GH238" s="143">
        <f t="shared" si="554"/>
        <v>3.9999999999999998E-6</v>
      </c>
      <c r="GI238" s="143">
        <f t="shared" si="554"/>
        <v>3.9999999999999998E-6</v>
      </c>
      <c r="GJ238" s="143">
        <f t="shared" si="554"/>
        <v>3.9999999999999998E-6</v>
      </c>
      <c r="GK238" s="143">
        <f t="shared" si="554"/>
        <v>3.9999999999999998E-6</v>
      </c>
      <c r="GL238" s="143">
        <f t="shared" si="554"/>
        <v>3.9999999999999998E-6</v>
      </c>
      <c r="GM238" s="143">
        <f t="shared" si="554"/>
        <v>3.9999999999999998E-6</v>
      </c>
      <c r="GN238" s="143">
        <f t="shared" si="554"/>
        <v>3.9999999999999998E-6</v>
      </c>
      <c r="GO238" s="143">
        <f t="shared" si="554"/>
        <v>3.9999999999999998E-6</v>
      </c>
      <c r="GP238" s="143">
        <f t="shared" si="554"/>
        <v>3.9999999999999998E-6</v>
      </c>
      <c r="GQ238" s="179">
        <f>0.012%/30</f>
        <v>3.9999999999999998E-6</v>
      </c>
      <c r="GR238" s="156">
        <f>GQ238</f>
        <v>3.9999999999999998E-6</v>
      </c>
      <c r="GS238" s="156">
        <f t="shared" ref="GS238:HT238" si="555">GR238</f>
        <v>3.9999999999999998E-6</v>
      </c>
      <c r="GT238" s="156">
        <f t="shared" si="555"/>
        <v>3.9999999999999998E-6</v>
      </c>
      <c r="GU238" s="156">
        <f t="shared" si="555"/>
        <v>3.9999999999999998E-6</v>
      </c>
      <c r="GV238" s="156">
        <f t="shared" si="555"/>
        <v>3.9999999999999998E-6</v>
      </c>
      <c r="GW238" s="156">
        <f t="shared" si="555"/>
        <v>3.9999999999999998E-6</v>
      </c>
      <c r="GX238" s="156">
        <f t="shared" si="555"/>
        <v>3.9999999999999998E-6</v>
      </c>
      <c r="GY238" s="156">
        <f t="shared" si="555"/>
        <v>3.9999999999999998E-6</v>
      </c>
      <c r="GZ238" s="156">
        <f t="shared" si="555"/>
        <v>3.9999999999999998E-6</v>
      </c>
      <c r="HA238" s="156">
        <f t="shared" si="555"/>
        <v>3.9999999999999998E-6</v>
      </c>
      <c r="HB238" s="156">
        <f t="shared" si="555"/>
        <v>3.9999999999999998E-6</v>
      </c>
      <c r="HC238" s="156">
        <f t="shared" si="555"/>
        <v>3.9999999999999998E-6</v>
      </c>
      <c r="HD238" s="156">
        <f t="shared" si="555"/>
        <v>3.9999999999999998E-6</v>
      </c>
      <c r="HE238" s="156">
        <f t="shared" si="555"/>
        <v>3.9999999999999998E-6</v>
      </c>
      <c r="HF238" s="156">
        <f t="shared" si="555"/>
        <v>3.9999999999999998E-6</v>
      </c>
      <c r="HG238" s="156">
        <f t="shared" si="555"/>
        <v>3.9999999999999998E-6</v>
      </c>
      <c r="HH238" s="156">
        <f t="shared" si="555"/>
        <v>3.9999999999999998E-6</v>
      </c>
      <c r="HI238" s="156">
        <f t="shared" si="555"/>
        <v>3.9999999999999998E-6</v>
      </c>
      <c r="HJ238" s="156">
        <f t="shared" si="555"/>
        <v>3.9999999999999998E-6</v>
      </c>
      <c r="HK238" s="156">
        <f t="shared" si="555"/>
        <v>3.9999999999999998E-6</v>
      </c>
      <c r="HL238" s="156">
        <f t="shared" si="555"/>
        <v>3.9999999999999998E-6</v>
      </c>
      <c r="HM238" s="156">
        <f t="shared" si="555"/>
        <v>3.9999999999999998E-6</v>
      </c>
      <c r="HN238" s="156">
        <f t="shared" si="555"/>
        <v>3.9999999999999998E-6</v>
      </c>
      <c r="HO238" s="156">
        <f t="shared" si="555"/>
        <v>3.9999999999999998E-6</v>
      </c>
      <c r="HP238" s="156">
        <f t="shared" si="555"/>
        <v>3.9999999999999998E-6</v>
      </c>
      <c r="HQ238" s="156">
        <f t="shared" si="555"/>
        <v>3.9999999999999998E-6</v>
      </c>
      <c r="HR238" s="156">
        <f t="shared" si="555"/>
        <v>3.9999999999999998E-6</v>
      </c>
      <c r="HS238" s="156">
        <f t="shared" si="555"/>
        <v>3.9999999999999998E-6</v>
      </c>
      <c r="HT238" s="156">
        <f t="shared" si="555"/>
        <v>3.9999999999999998E-6</v>
      </c>
      <c r="HU238" s="179">
        <f>0.012%/30</f>
        <v>3.9999999999999998E-6</v>
      </c>
      <c r="HV238" s="156">
        <f>HU238</f>
        <v>3.9999999999999998E-6</v>
      </c>
      <c r="HW238" s="156">
        <f t="shared" ref="HW238:IX238" si="556">HV238</f>
        <v>3.9999999999999998E-6</v>
      </c>
      <c r="HX238" s="156">
        <f t="shared" si="556"/>
        <v>3.9999999999999998E-6</v>
      </c>
      <c r="HY238" s="156">
        <f t="shared" si="556"/>
        <v>3.9999999999999998E-6</v>
      </c>
      <c r="HZ238" s="156">
        <f t="shared" si="556"/>
        <v>3.9999999999999998E-6</v>
      </c>
      <c r="IA238" s="156">
        <f t="shared" si="556"/>
        <v>3.9999999999999998E-6</v>
      </c>
      <c r="IB238" s="156">
        <f t="shared" si="556"/>
        <v>3.9999999999999998E-6</v>
      </c>
      <c r="IC238" s="156">
        <f t="shared" si="556"/>
        <v>3.9999999999999998E-6</v>
      </c>
      <c r="ID238" s="156">
        <f t="shared" si="556"/>
        <v>3.9999999999999998E-6</v>
      </c>
      <c r="IE238" s="156">
        <f t="shared" si="556"/>
        <v>3.9999999999999998E-6</v>
      </c>
      <c r="IF238" s="156">
        <f t="shared" si="556"/>
        <v>3.9999999999999998E-6</v>
      </c>
      <c r="IG238" s="156">
        <f t="shared" si="556"/>
        <v>3.9999999999999998E-6</v>
      </c>
      <c r="IH238" s="156">
        <f t="shared" si="556"/>
        <v>3.9999999999999998E-6</v>
      </c>
      <c r="II238" s="156">
        <f t="shared" si="556"/>
        <v>3.9999999999999998E-6</v>
      </c>
      <c r="IJ238" s="156">
        <f t="shared" si="556"/>
        <v>3.9999999999999998E-6</v>
      </c>
      <c r="IK238" s="156">
        <f t="shared" si="556"/>
        <v>3.9999999999999998E-6</v>
      </c>
      <c r="IL238" s="156">
        <f t="shared" si="556"/>
        <v>3.9999999999999998E-6</v>
      </c>
      <c r="IM238" s="156">
        <f t="shared" si="556"/>
        <v>3.9999999999999998E-6</v>
      </c>
      <c r="IN238" s="156">
        <f t="shared" si="556"/>
        <v>3.9999999999999998E-6</v>
      </c>
      <c r="IO238" s="156">
        <f t="shared" si="556"/>
        <v>3.9999999999999998E-6</v>
      </c>
      <c r="IP238" s="156">
        <f t="shared" si="556"/>
        <v>3.9999999999999998E-6</v>
      </c>
      <c r="IQ238" s="156">
        <f t="shared" si="556"/>
        <v>3.9999999999999998E-6</v>
      </c>
      <c r="IR238" s="156">
        <f t="shared" si="556"/>
        <v>3.9999999999999998E-6</v>
      </c>
      <c r="IS238" s="156">
        <f t="shared" si="556"/>
        <v>3.9999999999999998E-6</v>
      </c>
      <c r="IT238" s="156">
        <f t="shared" si="556"/>
        <v>3.9999999999999998E-6</v>
      </c>
      <c r="IU238" s="156">
        <f t="shared" si="556"/>
        <v>3.9999999999999998E-6</v>
      </c>
      <c r="IV238" s="156">
        <f t="shared" si="556"/>
        <v>3.9999999999999998E-6</v>
      </c>
      <c r="IW238" s="156">
        <f t="shared" si="556"/>
        <v>3.9999999999999998E-6</v>
      </c>
      <c r="IX238" s="156">
        <f t="shared" si="556"/>
        <v>3.9999999999999998E-6</v>
      </c>
      <c r="IY238" s="179">
        <f>0.012%/30</f>
        <v>3.9999999999999998E-6</v>
      </c>
      <c r="IZ238" s="156">
        <f>IY238</f>
        <v>3.9999999999999998E-6</v>
      </c>
      <c r="JA238" s="156">
        <f t="shared" ref="JA238:KB238" si="557">IZ238</f>
        <v>3.9999999999999998E-6</v>
      </c>
      <c r="JB238" s="156">
        <f t="shared" si="557"/>
        <v>3.9999999999999998E-6</v>
      </c>
      <c r="JC238" s="156">
        <f t="shared" si="557"/>
        <v>3.9999999999999998E-6</v>
      </c>
      <c r="JD238" s="156">
        <f t="shared" si="557"/>
        <v>3.9999999999999998E-6</v>
      </c>
      <c r="JE238" s="156">
        <f t="shared" si="557"/>
        <v>3.9999999999999998E-6</v>
      </c>
      <c r="JF238" s="156">
        <f t="shared" si="557"/>
        <v>3.9999999999999998E-6</v>
      </c>
      <c r="JG238" s="156">
        <f t="shared" si="557"/>
        <v>3.9999999999999998E-6</v>
      </c>
      <c r="JH238" s="156">
        <f t="shared" si="557"/>
        <v>3.9999999999999998E-6</v>
      </c>
      <c r="JI238" s="156">
        <f t="shared" si="557"/>
        <v>3.9999999999999998E-6</v>
      </c>
      <c r="JJ238" s="156">
        <f t="shared" si="557"/>
        <v>3.9999999999999998E-6</v>
      </c>
      <c r="JK238" s="156">
        <f t="shared" si="557"/>
        <v>3.9999999999999998E-6</v>
      </c>
      <c r="JL238" s="156">
        <f t="shared" si="557"/>
        <v>3.9999999999999998E-6</v>
      </c>
      <c r="JM238" s="156">
        <f t="shared" si="557"/>
        <v>3.9999999999999998E-6</v>
      </c>
      <c r="JN238" s="156">
        <f t="shared" si="557"/>
        <v>3.9999999999999998E-6</v>
      </c>
      <c r="JO238" s="156">
        <f t="shared" si="557"/>
        <v>3.9999999999999998E-6</v>
      </c>
      <c r="JP238" s="156">
        <f t="shared" si="557"/>
        <v>3.9999999999999998E-6</v>
      </c>
      <c r="JQ238" s="156">
        <f t="shared" si="557"/>
        <v>3.9999999999999998E-6</v>
      </c>
      <c r="JR238" s="156">
        <f t="shared" si="557"/>
        <v>3.9999999999999998E-6</v>
      </c>
      <c r="JS238" s="156">
        <f t="shared" si="557"/>
        <v>3.9999999999999998E-6</v>
      </c>
      <c r="JT238" s="156">
        <f t="shared" si="557"/>
        <v>3.9999999999999998E-6</v>
      </c>
      <c r="JU238" s="156">
        <f t="shared" si="557"/>
        <v>3.9999999999999998E-6</v>
      </c>
      <c r="JV238" s="156">
        <f t="shared" si="557"/>
        <v>3.9999999999999998E-6</v>
      </c>
      <c r="JW238" s="156">
        <f t="shared" si="557"/>
        <v>3.9999999999999998E-6</v>
      </c>
      <c r="JX238" s="156">
        <f t="shared" si="557"/>
        <v>3.9999999999999998E-6</v>
      </c>
      <c r="JY238" s="156">
        <f t="shared" si="557"/>
        <v>3.9999999999999998E-6</v>
      </c>
      <c r="JZ238" s="156">
        <f t="shared" si="557"/>
        <v>3.9999999999999998E-6</v>
      </c>
      <c r="KA238" s="156">
        <f t="shared" si="557"/>
        <v>3.9999999999999998E-6</v>
      </c>
      <c r="KB238" s="156">
        <f t="shared" si="557"/>
        <v>3.9999999999999998E-6</v>
      </c>
      <c r="KC238" s="218">
        <v>1.2E-4</v>
      </c>
      <c r="KD238" s="219"/>
      <c r="KE238" s="220"/>
      <c r="KF238" s="218">
        <v>1.2E-4</v>
      </c>
      <c r="KG238" s="219"/>
      <c r="KH238" s="220"/>
      <c r="KI238" s="218">
        <v>1.2E-4</v>
      </c>
      <c r="KJ238" s="219"/>
      <c r="KK238" s="220"/>
      <c r="KL238" s="218">
        <v>1.2E-4</v>
      </c>
      <c r="KM238" s="219"/>
      <c r="KN238" s="220"/>
      <c r="KO238" s="218">
        <v>1.2E-4</v>
      </c>
      <c r="KP238" s="219"/>
      <c r="KQ238" s="220"/>
      <c r="KR238" s="218">
        <v>1.2E-4</v>
      </c>
      <c r="KS238" s="219"/>
      <c r="KT238" s="220"/>
      <c r="KU238" s="218">
        <v>1.2E-4</v>
      </c>
      <c r="KV238" s="219"/>
      <c r="KW238" s="220"/>
      <c r="KX238" s="218">
        <v>1.2E-4</v>
      </c>
      <c r="KY238" s="219"/>
      <c r="KZ238" s="403"/>
      <c r="LA238" s="404">
        <v>1.2E-4</v>
      </c>
      <c r="LB238" s="219"/>
      <c r="LC238" s="403"/>
      <c r="LD238" s="404">
        <v>1.2E-4</v>
      </c>
      <c r="LE238" s="219"/>
      <c r="LF238" s="220"/>
      <c r="LG238" s="215">
        <v>1.2E-4</v>
      </c>
      <c r="LH238" s="214"/>
      <c r="LI238" s="214"/>
      <c r="LJ238" s="215">
        <v>1.2E-4</v>
      </c>
      <c r="LK238" s="214"/>
      <c r="LL238" s="214"/>
      <c r="LM238" s="215">
        <v>1.2E-4</v>
      </c>
      <c r="LN238" s="214"/>
      <c r="LO238" s="214"/>
      <c r="LP238" s="215">
        <v>1.2E-4</v>
      </c>
      <c r="LQ238" s="214"/>
      <c r="LR238" s="214"/>
      <c r="LS238" s="215">
        <v>1.2E-4</v>
      </c>
      <c r="LT238" s="214"/>
      <c r="LU238" s="214"/>
      <c r="LV238" s="215">
        <v>1.2E-4</v>
      </c>
      <c r="LW238" s="214"/>
      <c r="LX238" s="214"/>
      <c r="LY238" s="215">
        <v>1.2E-4</v>
      </c>
      <c r="LZ238" s="214"/>
      <c r="MA238" s="214"/>
      <c r="MB238" s="215">
        <v>1.2E-4</v>
      </c>
      <c r="MC238" s="214"/>
      <c r="MD238" s="214"/>
      <c r="ME238" s="215">
        <v>1.2E-4</v>
      </c>
      <c r="MF238" s="214"/>
      <c r="MG238" s="214"/>
      <c r="MH238" s="215">
        <v>1.2E-4</v>
      </c>
      <c r="MI238" s="214"/>
      <c r="MJ238" s="214"/>
      <c r="MK238" s="215">
        <v>1.2E-4</v>
      </c>
      <c r="ML238" s="214"/>
      <c r="MM238" s="214"/>
      <c r="MN238" s="215">
        <v>1.2E-4</v>
      </c>
      <c r="MO238" s="214"/>
      <c r="MP238" s="214"/>
      <c r="MQ238" s="215">
        <v>4.0999999999999999E-4</v>
      </c>
      <c r="MR238" s="214"/>
      <c r="MS238" s="214"/>
      <c r="MT238" s="215">
        <v>4.0999999999999999E-4</v>
      </c>
      <c r="MU238" s="214"/>
      <c r="MV238" s="214"/>
      <c r="MW238" s="215">
        <v>4.0999999999999999E-4</v>
      </c>
      <c r="MX238" s="214"/>
      <c r="MY238" s="214"/>
      <c r="MZ238" s="215">
        <v>4.4999999999999999E-4</v>
      </c>
      <c r="NA238" s="214"/>
      <c r="NB238" s="214"/>
      <c r="NC238" s="214">
        <v>3.2000000000000003E-4</v>
      </c>
      <c r="ND238" s="214"/>
      <c r="NE238" s="258"/>
      <c r="NG238" s="275">
        <f>SUM(R238:NE238)</f>
        <v>5.7199999999999985E-3</v>
      </c>
      <c r="NH238" s="1"/>
      <c r="NI238" s="1"/>
      <c r="NJ238" s="1"/>
      <c r="NK238" s="1"/>
    </row>
    <row r="239" spans="4:375" s="6" customFormat="1" ht="6.95" customHeight="1" thickBot="1">
      <c r="F239" s="196"/>
      <c r="G239" s="197"/>
      <c r="H239" s="52">
        <v>2</v>
      </c>
      <c r="L239" s="318"/>
      <c r="M239" s="320"/>
      <c r="N239" s="322"/>
      <c r="O239" s="324"/>
      <c r="P239" s="316"/>
      <c r="Q239" s="237"/>
      <c r="R239" s="82"/>
      <c r="S239" s="61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3"/>
      <c r="AW239" s="61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3"/>
      <c r="CA239" s="61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62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1"/>
      <c r="DF239" s="62"/>
      <c r="DG239" s="62"/>
      <c r="DH239" s="62"/>
      <c r="DI239" s="62"/>
      <c r="DJ239" s="62"/>
      <c r="DK239" s="62"/>
      <c r="DL239" s="62"/>
      <c r="DM239" s="62"/>
      <c r="DN239" s="62"/>
      <c r="DO239" s="62"/>
      <c r="DP239" s="62"/>
      <c r="DQ239" s="62"/>
      <c r="DR239" s="62"/>
      <c r="DS239" s="62"/>
      <c r="DT239" s="62"/>
      <c r="DU239" s="62"/>
      <c r="DV239" s="62"/>
      <c r="DW239" s="62"/>
      <c r="DX239" s="62"/>
      <c r="DY239" s="62"/>
      <c r="DZ239" s="62"/>
      <c r="EA239" s="62"/>
      <c r="EB239" s="62"/>
      <c r="EC239" s="62"/>
      <c r="ED239" s="62"/>
      <c r="EE239" s="62"/>
      <c r="EF239" s="62"/>
      <c r="EG239" s="62"/>
      <c r="EH239" s="62"/>
      <c r="EI239" s="61"/>
      <c r="EJ239" s="62"/>
      <c r="EK239" s="62"/>
      <c r="EL239" s="62"/>
      <c r="EM239" s="62"/>
      <c r="EN239" s="62"/>
      <c r="EO239" s="62"/>
      <c r="EP239" s="62"/>
      <c r="EQ239" s="62"/>
      <c r="ER239" s="62"/>
      <c r="ES239" s="62"/>
      <c r="ET239" s="62"/>
      <c r="EU239" s="62"/>
      <c r="EV239" s="62"/>
      <c r="EW239" s="62"/>
      <c r="EX239" s="62"/>
      <c r="EY239" s="62"/>
      <c r="EZ239" s="62"/>
      <c r="FA239" s="62"/>
      <c r="FB239" s="62"/>
      <c r="FC239" s="62"/>
      <c r="FD239" s="62"/>
      <c r="FE239" s="62"/>
      <c r="FF239" s="62"/>
      <c r="FG239" s="62"/>
      <c r="FH239" s="62"/>
      <c r="FI239" s="62"/>
      <c r="FJ239" s="62"/>
      <c r="FK239" s="62"/>
      <c r="FL239" s="62"/>
      <c r="FM239" s="61"/>
      <c r="FN239" s="62"/>
      <c r="FO239" s="62"/>
      <c r="FP239" s="62"/>
      <c r="FQ239" s="62"/>
      <c r="FR239" s="62"/>
      <c r="FS239" s="62"/>
      <c r="FT239" s="62"/>
      <c r="FU239" s="62"/>
      <c r="FV239" s="62"/>
      <c r="FW239" s="62"/>
      <c r="FX239" s="62"/>
      <c r="FY239" s="62"/>
      <c r="FZ239" s="62"/>
      <c r="GA239" s="62"/>
      <c r="GB239" s="62"/>
      <c r="GC239" s="62"/>
      <c r="GD239" s="62"/>
      <c r="GE239" s="62"/>
      <c r="GF239" s="62"/>
      <c r="GG239" s="62"/>
      <c r="GH239" s="62"/>
      <c r="GI239" s="62"/>
      <c r="GJ239" s="62"/>
      <c r="GK239" s="62"/>
      <c r="GL239" s="62"/>
      <c r="GM239" s="62"/>
      <c r="GN239" s="62"/>
      <c r="GO239" s="62"/>
      <c r="GP239" s="62"/>
      <c r="GQ239" s="61"/>
      <c r="GR239" s="62"/>
      <c r="GS239" s="62"/>
      <c r="GT239" s="62"/>
      <c r="GU239" s="62"/>
      <c r="GV239" s="62"/>
      <c r="GW239" s="62"/>
      <c r="GX239" s="62"/>
      <c r="GY239" s="62"/>
      <c r="GZ239" s="62"/>
      <c r="HA239" s="62"/>
      <c r="HB239" s="62"/>
      <c r="HC239" s="62"/>
      <c r="HD239" s="62"/>
      <c r="HE239" s="62"/>
      <c r="HF239" s="62"/>
      <c r="HG239" s="62"/>
      <c r="HH239" s="62"/>
      <c r="HI239" s="62"/>
      <c r="HJ239" s="62"/>
      <c r="HK239" s="62"/>
      <c r="HL239" s="62"/>
      <c r="HM239" s="62"/>
      <c r="HN239" s="62"/>
      <c r="HO239" s="62"/>
      <c r="HP239" s="62"/>
      <c r="HQ239" s="62"/>
      <c r="HR239" s="62"/>
      <c r="HS239" s="62"/>
      <c r="HT239" s="62"/>
      <c r="HU239" s="61"/>
      <c r="HV239" s="62"/>
      <c r="HW239" s="62"/>
      <c r="HX239" s="62"/>
      <c r="HY239" s="62"/>
      <c r="HZ239" s="62"/>
      <c r="IA239" s="62"/>
      <c r="IB239" s="62"/>
      <c r="IC239" s="62"/>
      <c r="ID239" s="62"/>
      <c r="IE239" s="62"/>
      <c r="IF239" s="62"/>
      <c r="IG239" s="62"/>
      <c r="IH239" s="62"/>
      <c r="II239" s="62"/>
      <c r="IJ239" s="62"/>
      <c r="IK239" s="62"/>
      <c r="IL239" s="62"/>
      <c r="IM239" s="62"/>
      <c r="IN239" s="62"/>
      <c r="IO239" s="62"/>
      <c r="IP239" s="62"/>
      <c r="IQ239" s="62"/>
      <c r="IR239" s="62"/>
      <c r="IS239" s="62"/>
      <c r="IT239" s="62"/>
      <c r="IU239" s="62"/>
      <c r="IV239" s="62"/>
      <c r="IW239" s="62"/>
      <c r="IX239" s="62"/>
      <c r="IY239" s="61"/>
      <c r="IZ239" s="62"/>
      <c r="JA239" s="62"/>
      <c r="JB239" s="62"/>
      <c r="JC239" s="62"/>
      <c r="JD239" s="62"/>
      <c r="JE239" s="62"/>
      <c r="JF239" s="62"/>
      <c r="JG239" s="62"/>
      <c r="JH239" s="62"/>
      <c r="JI239" s="62"/>
      <c r="JJ239" s="62"/>
      <c r="JK239" s="62"/>
      <c r="JL239" s="62"/>
      <c r="JM239" s="62"/>
      <c r="JN239" s="62"/>
      <c r="JO239" s="62"/>
      <c r="JP239" s="62"/>
      <c r="JQ239" s="62"/>
      <c r="JR239" s="62"/>
      <c r="JS239" s="62"/>
      <c r="JT239" s="62"/>
      <c r="JU239" s="62"/>
      <c r="JV239" s="62"/>
      <c r="JW239" s="62"/>
      <c r="JX239" s="62"/>
      <c r="JY239" s="62"/>
      <c r="JZ239" s="62"/>
      <c r="KA239" s="62"/>
      <c r="KB239" s="62"/>
      <c r="KC239" s="61"/>
      <c r="KD239" s="62"/>
      <c r="KE239" s="63"/>
      <c r="KF239" s="61"/>
      <c r="KG239" s="62"/>
      <c r="KH239" s="63"/>
      <c r="KI239" s="61"/>
      <c r="KJ239" s="62"/>
      <c r="KK239" s="63"/>
      <c r="KL239" s="61"/>
      <c r="KM239" s="62"/>
      <c r="KN239" s="63"/>
      <c r="KO239" s="61"/>
      <c r="KP239" s="62"/>
      <c r="KQ239" s="63"/>
      <c r="KR239" s="61"/>
      <c r="KS239" s="62"/>
      <c r="KT239" s="63"/>
      <c r="KU239" s="61"/>
      <c r="KV239" s="62"/>
      <c r="KW239" s="63"/>
      <c r="KX239" s="61"/>
      <c r="KY239" s="62"/>
      <c r="KZ239" s="63"/>
      <c r="LA239" s="61"/>
      <c r="LB239" s="62"/>
      <c r="LC239" s="63"/>
      <c r="LD239" s="61"/>
      <c r="LE239" s="62"/>
      <c r="LF239" s="63"/>
      <c r="LG239" s="61"/>
      <c r="LH239" s="62"/>
      <c r="LI239" s="63"/>
      <c r="LJ239" s="61"/>
      <c r="LK239" s="62"/>
      <c r="LL239" s="63"/>
      <c r="LM239" s="61"/>
      <c r="LN239" s="62"/>
      <c r="LO239" s="63"/>
      <c r="LP239" s="61"/>
      <c r="LQ239" s="62"/>
      <c r="LR239" s="63"/>
      <c r="LS239" s="61"/>
      <c r="LT239" s="62"/>
      <c r="LU239" s="63"/>
      <c r="LV239" s="61"/>
      <c r="LW239" s="62"/>
      <c r="LX239" s="63"/>
      <c r="LY239" s="61"/>
      <c r="LZ239" s="62"/>
      <c r="MA239" s="63"/>
      <c r="MB239" s="61"/>
      <c r="MC239" s="62"/>
      <c r="MD239" s="63"/>
      <c r="ME239" s="61"/>
      <c r="MF239" s="62"/>
      <c r="MG239" s="63"/>
      <c r="MH239" s="61"/>
      <c r="MI239" s="62"/>
      <c r="MJ239" s="63"/>
      <c r="MK239" s="61"/>
      <c r="ML239" s="62"/>
      <c r="MM239" s="63"/>
      <c r="MN239" s="61"/>
      <c r="MO239" s="62"/>
      <c r="MP239" s="63"/>
      <c r="MQ239" s="61"/>
      <c r="MR239" s="62"/>
      <c r="MS239" s="63"/>
      <c r="MT239" s="61"/>
      <c r="MU239" s="62"/>
      <c r="MV239" s="63"/>
      <c r="MW239" s="61"/>
      <c r="MX239" s="62"/>
      <c r="MY239" s="63"/>
      <c r="MZ239" s="61"/>
      <c r="NA239" s="62"/>
      <c r="NB239" s="63"/>
      <c r="NC239" s="61"/>
      <c r="ND239" s="62"/>
      <c r="NE239" s="91"/>
      <c r="NG239" s="275"/>
      <c r="NH239" s="1"/>
      <c r="NI239" s="1"/>
      <c r="NJ239" s="1"/>
      <c r="NK239" s="1"/>
    </row>
    <row r="240" spans="4:375" s="6" customFormat="1" ht="9.9499999999999993" customHeight="1">
      <c r="F240" s="196">
        <f t="shared" ref="F240" si="558">NG240</f>
        <v>2.14E-3</v>
      </c>
      <c r="G240" s="197">
        <f>Q240-F240</f>
        <v>3.2099999999999997E-3</v>
      </c>
      <c r="H240" s="27">
        <v>1</v>
      </c>
      <c r="L240" s="286" t="s">
        <v>100</v>
      </c>
      <c r="M240" s="287"/>
      <c r="N240" s="287"/>
      <c r="O240" s="288"/>
      <c r="P240" s="240">
        <f>SUM(P242)</f>
        <v>1113010</v>
      </c>
      <c r="Q240" s="238">
        <f>ROUND(SUM(Q242:Q243),5)</f>
        <v>5.3499999999999997E-3</v>
      </c>
      <c r="R240" s="331">
        <f>ROUND(SUM(R242:R243),5)</f>
        <v>0</v>
      </c>
      <c r="S240" s="163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8"/>
      <c r="AW240" s="176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7"/>
      <c r="BH240" s="137"/>
      <c r="BI240" s="137"/>
      <c r="BJ240" s="137"/>
      <c r="BK240" s="137"/>
      <c r="BL240" s="137"/>
      <c r="BM240" s="137"/>
      <c r="BN240" s="137"/>
      <c r="BO240" s="137"/>
      <c r="BP240" s="137"/>
      <c r="BQ240" s="137"/>
      <c r="BR240" s="137"/>
      <c r="BS240" s="137"/>
      <c r="BT240" s="137"/>
      <c r="BU240" s="137"/>
      <c r="BV240" s="137"/>
      <c r="BW240" s="137"/>
      <c r="BX240" s="137"/>
      <c r="BY240" s="137"/>
      <c r="BZ240" s="138"/>
      <c r="CA240" s="176"/>
      <c r="CB240" s="137"/>
      <c r="CC240" s="137"/>
      <c r="CD240" s="137"/>
      <c r="CE240" s="137"/>
      <c r="CF240" s="137"/>
      <c r="CG240" s="137"/>
      <c r="CH240" s="137"/>
      <c r="CI240" s="137"/>
      <c r="CJ240" s="137"/>
      <c r="CK240" s="137"/>
      <c r="CL240" s="137"/>
      <c r="CM240" s="137"/>
      <c r="CN240" s="137"/>
      <c r="CO240" s="137"/>
      <c r="CP240" s="137"/>
      <c r="CQ240" s="137"/>
      <c r="CR240" s="137"/>
      <c r="CS240" s="137"/>
      <c r="CT240" s="137"/>
      <c r="CU240" s="137"/>
      <c r="CV240" s="137"/>
      <c r="CW240" s="137"/>
      <c r="CX240" s="137"/>
      <c r="CY240" s="137"/>
      <c r="CZ240" s="137"/>
      <c r="DA240" s="137"/>
      <c r="DB240" s="137"/>
      <c r="DC240" s="137"/>
      <c r="DD240" s="137"/>
      <c r="DE240" s="176"/>
      <c r="DF240" s="137"/>
      <c r="DG240" s="137"/>
      <c r="DH240" s="137"/>
      <c r="DI240" s="137"/>
      <c r="DJ240" s="137"/>
      <c r="DK240" s="137"/>
      <c r="DL240" s="137"/>
      <c r="DM240" s="137"/>
      <c r="DN240" s="137"/>
      <c r="DO240" s="137"/>
      <c r="DP240" s="137"/>
      <c r="DQ240" s="137"/>
      <c r="DR240" s="137"/>
      <c r="DS240" s="137"/>
      <c r="DT240" s="137"/>
      <c r="DU240" s="137"/>
      <c r="DV240" s="137"/>
      <c r="DW240" s="137"/>
      <c r="DX240" s="137"/>
      <c r="DY240" s="137"/>
      <c r="DZ240" s="137"/>
      <c r="EA240" s="137"/>
      <c r="EB240" s="137"/>
      <c r="EC240" s="137"/>
      <c r="ED240" s="137"/>
      <c r="EE240" s="137"/>
      <c r="EF240" s="137"/>
      <c r="EG240" s="137"/>
      <c r="EH240" s="137"/>
      <c r="EI240" s="176"/>
      <c r="EJ240" s="137"/>
      <c r="EK240" s="137"/>
      <c r="EL240" s="137"/>
      <c r="EM240" s="137"/>
      <c r="EN240" s="137"/>
      <c r="EO240" s="137"/>
      <c r="EP240" s="137"/>
      <c r="EQ240" s="137"/>
      <c r="ER240" s="137"/>
      <c r="ES240" s="137"/>
      <c r="ET240" s="137"/>
      <c r="EU240" s="137"/>
      <c r="EV240" s="137"/>
      <c r="EW240" s="137"/>
      <c r="EX240" s="137"/>
      <c r="EY240" s="137"/>
      <c r="EZ240" s="137"/>
      <c r="FA240" s="137"/>
      <c r="FB240" s="137"/>
      <c r="FC240" s="137"/>
      <c r="FD240" s="137"/>
      <c r="FE240" s="137"/>
      <c r="FF240" s="137"/>
      <c r="FG240" s="137"/>
      <c r="FH240" s="137"/>
      <c r="FI240" s="137"/>
      <c r="FJ240" s="137"/>
      <c r="FK240" s="137"/>
      <c r="FL240" s="137"/>
      <c r="FM240" s="176"/>
      <c r="FN240" s="137"/>
      <c r="FO240" s="137"/>
      <c r="FP240" s="137"/>
      <c r="FQ240" s="137"/>
      <c r="FR240" s="137"/>
      <c r="FS240" s="137"/>
      <c r="FT240" s="137"/>
      <c r="FU240" s="137"/>
      <c r="FV240" s="137"/>
      <c r="FW240" s="137"/>
      <c r="FX240" s="137"/>
      <c r="FY240" s="137"/>
      <c r="FZ240" s="137"/>
      <c r="GA240" s="137"/>
      <c r="GB240" s="137"/>
      <c r="GC240" s="137"/>
      <c r="GD240" s="137"/>
      <c r="GE240" s="137"/>
      <c r="GF240" s="137"/>
      <c r="GG240" s="137"/>
      <c r="GH240" s="137"/>
      <c r="GI240" s="137"/>
      <c r="GJ240" s="137"/>
      <c r="GK240" s="137"/>
      <c r="GL240" s="137"/>
      <c r="GM240" s="137"/>
      <c r="GN240" s="137"/>
      <c r="GO240" s="137"/>
      <c r="GP240" s="137"/>
      <c r="GQ240" s="176"/>
      <c r="GR240" s="137"/>
      <c r="GS240" s="137"/>
      <c r="GT240" s="137"/>
      <c r="GU240" s="137"/>
      <c r="GV240" s="137"/>
      <c r="GW240" s="137"/>
      <c r="GX240" s="137"/>
      <c r="GY240" s="137"/>
      <c r="GZ240" s="137"/>
      <c r="HA240" s="137"/>
      <c r="HB240" s="137"/>
      <c r="HC240" s="137"/>
      <c r="HD240" s="137"/>
      <c r="HE240" s="137"/>
      <c r="HF240" s="137"/>
      <c r="HG240" s="137"/>
      <c r="HH240" s="137"/>
      <c r="HI240" s="137"/>
      <c r="HJ240" s="137"/>
      <c r="HK240" s="137"/>
      <c r="HL240" s="137"/>
      <c r="HM240" s="137"/>
      <c r="HN240" s="137"/>
      <c r="HO240" s="137"/>
      <c r="HP240" s="137"/>
      <c r="HQ240" s="137"/>
      <c r="HR240" s="137"/>
      <c r="HS240" s="137"/>
      <c r="HT240" s="137"/>
      <c r="HU240" s="176"/>
      <c r="HV240" s="137"/>
      <c r="HW240" s="137"/>
      <c r="HX240" s="137"/>
      <c r="HY240" s="137"/>
      <c r="HZ240" s="137"/>
      <c r="IA240" s="137"/>
      <c r="IB240" s="137"/>
      <c r="IC240" s="137"/>
      <c r="ID240" s="137"/>
      <c r="IE240" s="137"/>
      <c r="IF240" s="137"/>
      <c r="IG240" s="137"/>
      <c r="IH240" s="137"/>
      <c r="II240" s="137"/>
      <c r="IJ240" s="137"/>
      <c r="IK240" s="137"/>
      <c r="IL240" s="137"/>
      <c r="IM240" s="137"/>
      <c r="IN240" s="137"/>
      <c r="IO240" s="137"/>
      <c r="IP240" s="137"/>
      <c r="IQ240" s="137"/>
      <c r="IR240" s="137"/>
      <c r="IS240" s="137"/>
      <c r="IT240" s="137"/>
      <c r="IU240" s="137"/>
      <c r="IV240" s="137"/>
      <c r="IW240" s="137"/>
      <c r="IX240" s="137"/>
      <c r="IY240" s="176"/>
      <c r="IZ240" s="137"/>
      <c r="JA240" s="137"/>
      <c r="JB240" s="137"/>
      <c r="JC240" s="137"/>
      <c r="JD240" s="137"/>
      <c r="JE240" s="137"/>
      <c r="JF240" s="137"/>
      <c r="JG240" s="137"/>
      <c r="JH240" s="137"/>
      <c r="JI240" s="137"/>
      <c r="JJ240" s="137"/>
      <c r="JK240" s="137"/>
      <c r="JL240" s="137"/>
      <c r="JM240" s="137"/>
      <c r="JN240" s="137"/>
      <c r="JO240" s="137"/>
      <c r="JP240" s="137"/>
      <c r="JQ240" s="137"/>
      <c r="JR240" s="137"/>
      <c r="JS240" s="137"/>
      <c r="JT240" s="137"/>
      <c r="JU240" s="137"/>
      <c r="JV240" s="137"/>
      <c r="JW240" s="137"/>
      <c r="JX240" s="137"/>
      <c r="JY240" s="137"/>
      <c r="JZ240" s="137"/>
      <c r="KA240" s="137"/>
      <c r="KB240" s="137"/>
      <c r="KC240" s="205">
        <f t="shared" ref="KC240" si="559">ROUND(SUM(KC242:KE243),5)</f>
        <v>0</v>
      </c>
      <c r="KD240" s="206"/>
      <c r="KE240" s="207"/>
      <c r="KF240" s="205">
        <f t="shared" ref="KF240" si="560">ROUND(SUM(KF242:KH243),5)</f>
        <v>0</v>
      </c>
      <c r="KG240" s="206"/>
      <c r="KH240" s="207"/>
      <c r="KI240" s="205">
        <f t="shared" ref="KI240" si="561">ROUND(SUM(KI242:KK243),5)</f>
        <v>6.9999999999999999E-4</v>
      </c>
      <c r="KJ240" s="206"/>
      <c r="KK240" s="207"/>
      <c r="KL240" s="205">
        <f t="shared" ref="KL240" si="562">ROUND(SUM(KL242:KN243),5)</f>
        <v>0</v>
      </c>
      <c r="KM240" s="206"/>
      <c r="KN240" s="207"/>
      <c r="KO240" s="205">
        <f t="shared" ref="KO240" si="563">ROUND(SUM(KO242:KQ243),5)</f>
        <v>0</v>
      </c>
      <c r="KP240" s="206"/>
      <c r="KQ240" s="207"/>
      <c r="KR240" s="205">
        <f t="shared" ref="KR240" si="564">ROUND(SUM(KR242:KT243),5)</f>
        <v>6.9999999999999999E-4</v>
      </c>
      <c r="KS240" s="206"/>
      <c r="KT240" s="207"/>
      <c r="KU240" s="205">
        <f t="shared" ref="KU240" si="565">ROUND(SUM(KU242:KW243),5)</f>
        <v>0</v>
      </c>
      <c r="KV240" s="206"/>
      <c r="KW240" s="207"/>
      <c r="KX240" s="205">
        <f t="shared" ref="KX240" si="566">ROUND(SUM(KX242:KZ243),5)</f>
        <v>0</v>
      </c>
      <c r="KY240" s="206"/>
      <c r="KZ240" s="206"/>
      <c r="LA240" s="229">
        <f t="shared" ref="LA240" si="567">ROUND(SUM(LA242:LC243),5)</f>
        <v>0</v>
      </c>
      <c r="LB240" s="206"/>
      <c r="LC240" s="230"/>
      <c r="LD240" s="206">
        <f t="shared" ref="LD240" si="568">ROUND(SUM(LD242:LF243),5)</f>
        <v>0</v>
      </c>
      <c r="LE240" s="206"/>
      <c r="LF240" s="207"/>
      <c r="LG240" s="205">
        <f t="shared" ref="LG240" si="569">ROUND(SUM(LG242:LI243),5)</f>
        <v>0</v>
      </c>
      <c r="LH240" s="206"/>
      <c r="LI240" s="207"/>
      <c r="LJ240" s="205">
        <f t="shared" ref="LJ240" si="570">ROUND(SUM(LJ242:LL243),5)</f>
        <v>0</v>
      </c>
      <c r="LK240" s="206"/>
      <c r="LL240" s="207"/>
      <c r="LM240" s="205">
        <f t="shared" ref="LM240" si="571">ROUND(SUM(LM242:LO243),5)</f>
        <v>0</v>
      </c>
      <c r="LN240" s="206"/>
      <c r="LO240" s="207"/>
      <c r="LP240" s="205">
        <f t="shared" ref="LP240" si="572">ROUND(SUM(LP242:LR243),5)</f>
        <v>0</v>
      </c>
      <c r="LQ240" s="206"/>
      <c r="LR240" s="207"/>
      <c r="LS240" s="205">
        <f t="shared" ref="LS240" si="573">ROUND(SUM(LS242:LU243),5)</f>
        <v>0</v>
      </c>
      <c r="LT240" s="206"/>
      <c r="LU240" s="207"/>
      <c r="LV240" s="205">
        <f t="shared" ref="LV240" si="574">ROUND(SUM(LV242:LX243),5)</f>
        <v>0</v>
      </c>
      <c r="LW240" s="206"/>
      <c r="LX240" s="207"/>
      <c r="LY240" s="205">
        <f t="shared" ref="LY240" si="575">ROUND(SUM(LY242:MA243),5)</f>
        <v>0</v>
      </c>
      <c r="LZ240" s="206"/>
      <c r="MA240" s="207"/>
      <c r="MB240" s="205">
        <f t="shared" ref="MB240" si="576">ROUND(SUM(MB242:MD243),5)</f>
        <v>0</v>
      </c>
      <c r="MC240" s="206"/>
      <c r="MD240" s="207"/>
      <c r="ME240" s="205">
        <f t="shared" ref="ME240" si="577">ROUND(SUM(ME242:MG243),5)</f>
        <v>0</v>
      </c>
      <c r="MF240" s="206"/>
      <c r="MG240" s="207"/>
      <c r="MH240" s="205">
        <f t="shared" ref="MH240" si="578">ROUND(SUM(MH242:MJ243),5)</f>
        <v>0</v>
      </c>
      <c r="MI240" s="206"/>
      <c r="MJ240" s="207"/>
      <c r="MK240" s="205">
        <f t="shared" ref="MK240" si="579">ROUND(SUM(MK242:MM243),5)</f>
        <v>0</v>
      </c>
      <c r="ML240" s="206"/>
      <c r="MM240" s="207"/>
      <c r="MN240" s="205">
        <f t="shared" ref="MN240" si="580">ROUND(SUM(MN242:MP243),5)</f>
        <v>7.3999999999999999E-4</v>
      </c>
      <c r="MO240" s="206"/>
      <c r="MP240" s="207"/>
      <c r="MQ240" s="205">
        <f t="shared" ref="MQ240" si="581">ROUND(SUM(MQ242:MS243),5)</f>
        <v>0</v>
      </c>
      <c r="MR240" s="206"/>
      <c r="MS240" s="207"/>
      <c r="MT240" s="205">
        <f t="shared" ref="MT240" si="582">ROUND(SUM(MT242:MV243),5)</f>
        <v>0</v>
      </c>
      <c r="MU240" s="206"/>
      <c r="MV240" s="207"/>
      <c r="MW240" s="205">
        <f t="shared" ref="MW240" si="583">ROUND(SUM(MW242:MY243),5)</f>
        <v>0</v>
      </c>
      <c r="MX240" s="206"/>
      <c r="MY240" s="207"/>
      <c r="MZ240" s="205">
        <f t="shared" ref="MZ240" si="584">ROUND(SUM(MZ242:NB243),5)</f>
        <v>0</v>
      </c>
      <c r="NA240" s="206"/>
      <c r="NB240" s="207"/>
      <c r="NC240" s="205">
        <f>ROUND(SUM(NC242:NE243),5)</f>
        <v>0</v>
      </c>
      <c r="ND240" s="206"/>
      <c r="NE240" s="223"/>
      <c r="NG240" s="198">
        <f>SUM(R240:NE240)</f>
        <v>2.14E-3</v>
      </c>
      <c r="NH240" s="198">
        <f>SUM(NG242)</f>
        <v>5.349999999999998E-3</v>
      </c>
      <c r="NI240" s="1"/>
      <c r="NJ240" s="1"/>
      <c r="NK240" s="1"/>
    </row>
    <row r="241" spans="5:377" s="6" customFormat="1" ht="9.9499999999999993" customHeight="1">
      <c r="F241" s="196"/>
      <c r="G241" s="197"/>
      <c r="H241" s="52">
        <v>2</v>
      </c>
      <c r="L241" s="289"/>
      <c r="M241" s="290"/>
      <c r="N241" s="290"/>
      <c r="O241" s="291"/>
      <c r="P241" s="241"/>
      <c r="Q241" s="415"/>
      <c r="R241" s="393"/>
      <c r="S241" s="164"/>
      <c r="T241" s="165"/>
      <c r="U241" s="165"/>
      <c r="V241" s="165"/>
      <c r="W241" s="165"/>
      <c r="X241" s="165"/>
      <c r="Y241" s="165"/>
      <c r="Z241" s="165"/>
      <c r="AA241" s="165"/>
      <c r="AB241" s="165"/>
      <c r="AC241" s="165"/>
      <c r="AD241" s="165"/>
      <c r="AE241" s="165"/>
      <c r="AF241" s="165"/>
      <c r="AG241" s="165"/>
      <c r="AH241" s="165"/>
      <c r="AI241" s="165"/>
      <c r="AJ241" s="165"/>
      <c r="AK241" s="165"/>
      <c r="AL241" s="165"/>
      <c r="AM241" s="165"/>
      <c r="AN241" s="165"/>
      <c r="AO241" s="165"/>
      <c r="AP241" s="165"/>
      <c r="AQ241" s="165"/>
      <c r="AR241" s="165"/>
      <c r="AS241" s="165"/>
      <c r="AT241" s="165"/>
      <c r="AU241" s="165"/>
      <c r="AV241" s="166"/>
      <c r="AW241" s="180"/>
      <c r="AX241" s="165"/>
      <c r="AY241" s="165"/>
      <c r="AZ241" s="165"/>
      <c r="BA241" s="165"/>
      <c r="BB241" s="165"/>
      <c r="BC241" s="165"/>
      <c r="BD241" s="165"/>
      <c r="BE241" s="165"/>
      <c r="BF241" s="165"/>
      <c r="BG241" s="165"/>
      <c r="BH241" s="165"/>
      <c r="BI241" s="165"/>
      <c r="BJ241" s="165"/>
      <c r="BK241" s="165"/>
      <c r="BL241" s="165"/>
      <c r="BM241" s="165"/>
      <c r="BN241" s="165"/>
      <c r="BO241" s="165"/>
      <c r="BP241" s="165"/>
      <c r="BQ241" s="165"/>
      <c r="BR241" s="165"/>
      <c r="BS241" s="165"/>
      <c r="BT241" s="165"/>
      <c r="BU241" s="165"/>
      <c r="BV241" s="165"/>
      <c r="BW241" s="165"/>
      <c r="BX241" s="165"/>
      <c r="BY241" s="165"/>
      <c r="BZ241" s="166"/>
      <c r="CA241" s="180"/>
      <c r="CB241" s="165"/>
      <c r="CC241" s="165"/>
      <c r="CD241" s="165"/>
      <c r="CE241" s="165"/>
      <c r="CF241" s="165"/>
      <c r="CG241" s="165"/>
      <c r="CH241" s="165"/>
      <c r="CI241" s="165"/>
      <c r="CJ241" s="165"/>
      <c r="CK241" s="165"/>
      <c r="CL241" s="165"/>
      <c r="CM241" s="165"/>
      <c r="CN241" s="165"/>
      <c r="CO241" s="165"/>
      <c r="CP241" s="165"/>
      <c r="CQ241" s="165"/>
      <c r="CR241" s="165"/>
      <c r="CS241" s="165"/>
      <c r="CT241" s="165"/>
      <c r="CU241" s="165"/>
      <c r="CV241" s="165"/>
      <c r="CW241" s="165"/>
      <c r="CX241" s="165"/>
      <c r="CY241" s="165"/>
      <c r="CZ241" s="165"/>
      <c r="DA241" s="165"/>
      <c r="DB241" s="165"/>
      <c r="DC241" s="165"/>
      <c r="DD241" s="165"/>
      <c r="DE241" s="180"/>
      <c r="DF241" s="165"/>
      <c r="DG241" s="165"/>
      <c r="DH241" s="165"/>
      <c r="DI241" s="165"/>
      <c r="DJ241" s="165"/>
      <c r="DK241" s="165"/>
      <c r="DL241" s="165"/>
      <c r="DM241" s="165"/>
      <c r="DN241" s="165"/>
      <c r="DO241" s="165"/>
      <c r="DP241" s="165"/>
      <c r="DQ241" s="165"/>
      <c r="DR241" s="165"/>
      <c r="DS241" s="165"/>
      <c r="DT241" s="165"/>
      <c r="DU241" s="165"/>
      <c r="DV241" s="165"/>
      <c r="DW241" s="165"/>
      <c r="DX241" s="165"/>
      <c r="DY241" s="165"/>
      <c r="DZ241" s="165"/>
      <c r="EA241" s="165"/>
      <c r="EB241" s="165"/>
      <c r="EC241" s="165"/>
      <c r="ED241" s="165"/>
      <c r="EE241" s="165"/>
      <c r="EF241" s="165"/>
      <c r="EG241" s="165"/>
      <c r="EH241" s="165"/>
      <c r="EI241" s="180"/>
      <c r="EJ241" s="165"/>
      <c r="EK241" s="165"/>
      <c r="EL241" s="165"/>
      <c r="EM241" s="165"/>
      <c r="EN241" s="165"/>
      <c r="EO241" s="165"/>
      <c r="EP241" s="165"/>
      <c r="EQ241" s="165"/>
      <c r="ER241" s="165"/>
      <c r="ES241" s="165"/>
      <c r="ET241" s="165"/>
      <c r="EU241" s="165"/>
      <c r="EV241" s="165"/>
      <c r="EW241" s="165"/>
      <c r="EX241" s="165"/>
      <c r="EY241" s="165"/>
      <c r="EZ241" s="165"/>
      <c r="FA241" s="165"/>
      <c r="FB241" s="165"/>
      <c r="FC241" s="165"/>
      <c r="FD241" s="165"/>
      <c r="FE241" s="165"/>
      <c r="FF241" s="165"/>
      <c r="FG241" s="165"/>
      <c r="FH241" s="165"/>
      <c r="FI241" s="165"/>
      <c r="FJ241" s="165"/>
      <c r="FK241" s="165"/>
      <c r="FL241" s="165"/>
      <c r="FM241" s="180"/>
      <c r="FN241" s="165"/>
      <c r="FO241" s="165"/>
      <c r="FP241" s="165"/>
      <c r="FQ241" s="165"/>
      <c r="FR241" s="165"/>
      <c r="FS241" s="165"/>
      <c r="FT241" s="165"/>
      <c r="FU241" s="165"/>
      <c r="FV241" s="165"/>
      <c r="FW241" s="165"/>
      <c r="FX241" s="165"/>
      <c r="FY241" s="165"/>
      <c r="FZ241" s="165"/>
      <c r="GA241" s="165"/>
      <c r="GB241" s="165"/>
      <c r="GC241" s="165"/>
      <c r="GD241" s="165"/>
      <c r="GE241" s="165"/>
      <c r="GF241" s="165"/>
      <c r="GG241" s="165"/>
      <c r="GH241" s="165"/>
      <c r="GI241" s="165"/>
      <c r="GJ241" s="165"/>
      <c r="GK241" s="165"/>
      <c r="GL241" s="165"/>
      <c r="GM241" s="165"/>
      <c r="GN241" s="165"/>
      <c r="GO241" s="165"/>
      <c r="GP241" s="165"/>
      <c r="GQ241" s="180"/>
      <c r="GR241" s="165"/>
      <c r="GS241" s="165"/>
      <c r="GT241" s="165"/>
      <c r="GU241" s="165"/>
      <c r="GV241" s="165"/>
      <c r="GW241" s="165"/>
      <c r="GX241" s="165"/>
      <c r="GY241" s="165"/>
      <c r="GZ241" s="165"/>
      <c r="HA241" s="165"/>
      <c r="HB241" s="165"/>
      <c r="HC241" s="165"/>
      <c r="HD241" s="165"/>
      <c r="HE241" s="165"/>
      <c r="HF241" s="165"/>
      <c r="HG241" s="165"/>
      <c r="HH241" s="165"/>
      <c r="HI241" s="165"/>
      <c r="HJ241" s="165"/>
      <c r="HK241" s="165"/>
      <c r="HL241" s="165"/>
      <c r="HM241" s="165"/>
      <c r="HN241" s="165"/>
      <c r="HO241" s="165"/>
      <c r="HP241" s="165"/>
      <c r="HQ241" s="165"/>
      <c r="HR241" s="165"/>
      <c r="HS241" s="165"/>
      <c r="HT241" s="165"/>
      <c r="HU241" s="180"/>
      <c r="HV241" s="165"/>
      <c r="HW241" s="165"/>
      <c r="HX241" s="165"/>
      <c r="HY241" s="165"/>
      <c r="HZ241" s="165"/>
      <c r="IA241" s="165"/>
      <c r="IB241" s="165"/>
      <c r="IC241" s="165"/>
      <c r="ID241" s="165"/>
      <c r="IE241" s="165"/>
      <c r="IF241" s="165"/>
      <c r="IG241" s="165"/>
      <c r="IH241" s="165"/>
      <c r="II241" s="165"/>
      <c r="IJ241" s="165"/>
      <c r="IK241" s="165"/>
      <c r="IL241" s="165"/>
      <c r="IM241" s="165"/>
      <c r="IN241" s="165"/>
      <c r="IO241" s="165"/>
      <c r="IP241" s="165"/>
      <c r="IQ241" s="165"/>
      <c r="IR241" s="165"/>
      <c r="IS241" s="165"/>
      <c r="IT241" s="165"/>
      <c r="IU241" s="165"/>
      <c r="IV241" s="165"/>
      <c r="IW241" s="165"/>
      <c r="IX241" s="165"/>
      <c r="IY241" s="180"/>
      <c r="IZ241" s="165"/>
      <c r="JA241" s="165"/>
      <c r="JB241" s="165"/>
      <c r="JC241" s="165"/>
      <c r="JD241" s="165"/>
      <c r="JE241" s="165"/>
      <c r="JF241" s="165"/>
      <c r="JG241" s="165"/>
      <c r="JH241" s="165"/>
      <c r="JI241" s="165"/>
      <c r="JJ241" s="165"/>
      <c r="JK241" s="165"/>
      <c r="JL241" s="165"/>
      <c r="JM241" s="165"/>
      <c r="JN241" s="165"/>
      <c r="JO241" s="165"/>
      <c r="JP241" s="165"/>
      <c r="JQ241" s="165"/>
      <c r="JR241" s="165"/>
      <c r="JS241" s="165"/>
      <c r="JT241" s="165"/>
      <c r="JU241" s="165"/>
      <c r="JV241" s="165"/>
      <c r="JW241" s="165"/>
      <c r="JX241" s="165"/>
      <c r="JY241" s="165"/>
      <c r="JZ241" s="165"/>
      <c r="KA241" s="165"/>
      <c r="KB241" s="165"/>
      <c r="KC241" s="281"/>
      <c r="KD241" s="282"/>
      <c r="KE241" s="283"/>
      <c r="KF241" s="281"/>
      <c r="KG241" s="282"/>
      <c r="KH241" s="283"/>
      <c r="KI241" s="281"/>
      <c r="KJ241" s="282"/>
      <c r="KK241" s="283"/>
      <c r="KL241" s="281"/>
      <c r="KM241" s="282"/>
      <c r="KN241" s="283"/>
      <c r="KO241" s="281"/>
      <c r="KP241" s="282"/>
      <c r="KQ241" s="283"/>
      <c r="KR241" s="281"/>
      <c r="KS241" s="282"/>
      <c r="KT241" s="283"/>
      <c r="KU241" s="281"/>
      <c r="KV241" s="282"/>
      <c r="KW241" s="283"/>
      <c r="KX241" s="281"/>
      <c r="KY241" s="282"/>
      <c r="KZ241" s="282"/>
      <c r="LA241" s="435"/>
      <c r="LB241" s="282"/>
      <c r="LC241" s="436"/>
      <c r="LD241" s="282"/>
      <c r="LE241" s="282"/>
      <c r="LF241" s="283"/>
      <c r="LG241" s="281"/>
      <c r="LH241" s="282"/>
      <c r="LI241" s="283"/>
      <c r="LJ241" s="281"/>
      <c r="LK241" s="282"/>
      <c r="LL241" s="283"/>
      <c r="LM241" s="281"/>
      <c r="LN241" s="282"/>
      <c r="LO241" s="283"/>
      <c r="LP241" s="281"/>
      <c r="LQ241" s="282"/>
      <c r="LR241" s="283"/>
      <c r="LS241" s="281"/>
      <c r="LT241" s="282"/>
      <c r="LU241" s="283"/>
      <c r="LV241" s="281"/>
      <c r="LW241" s="282"/>
      <c r="LX241" s="283"/>
      <c r="LY241" s="281"/>
      <c r="LZ241" s="282"/>
      <c r="MA241" s="283"/>
      <c r="MB241" s="281"/>
      <c r="MC241" s="282"/>
      <c r="MD241" s="283"/>
      <c r="ME241" s="281"/>
      <c r="MF241" s="282"/>
      <c r="MG241" s="283"/>
      <c r="MH241" s="281"/>
      <c r="MI241" s="282"/>
      <c r="MJ241" s="283"/>
      <c r="MK241" s="281"/>
      <c r="ML241" s="282"/>
      <c r="MM241" s="283"/>
      <c r="MN241" s="281"/>
      <c r="MO241" s="282"/>
      <c r="MP241" s="283"/>
      <c r="MQ241" s="281"/>
      <c r="MR241" s="282"/>
      <c r="MS241" s="283"/>
      <c r="MT241" s="281"/>
      <c r="MU241" s="282"/>
      <c r="MV241" s="283"/>
      <c r="MW241" s="281"/>
      <c r="MX241" s="282"/>
      <c r="MY241" s="283"/>
      <c r="MZ241" s="281"/>
      <c r="NA241" s="282"/>
      <c r="NB241" s="283"/>
      <c r="NC241" s="281"/>
      <c r="ND241" s="282"/>
      <c r="NE241" s="419"/>
      <c r="NG241" s="198"/>
      <c r="NH241" s="198"/>
      <c r="NI241" s="1"/>
      <c r="NJ241" s="1"/>
      <c r="NK241" s="1"/>
    </row>
    <row r="242" spans="5:377" s="6" customFormat="1" ht="9.9499999999999993" customHeight="1">
      <c r="F242" s="196">
        <f t="shared" ref="F242" si="585">NG242</f>
        <v>5.349999999999998E-3</v>
      </c>
      <c r="G242" s="197">
        <f>Q242-F242</f>
        <v>0</v>
      </c>
      <c r="H242" s="27">
        <v>1</v>
      </c>
      <c r="L242" s="339"/>
      <c r="M242" s="293" t="s">
        <v>101</v>
      </c>
      <c r="N242" s="356">
        <v>1</v>
      </c>
      <c r="O242" s="350" t="s">
        <v>102</v>
      </c>
      <c r="P242" s="307">
        <v>1113010</v>
      </c>
      <c r="Q242" s="398">
        <f>ROUND(P242/$P$256,5)</f>
        <v>5.3499999999999997E-3</v>
      </c>
      <c r="R242" s="21"/>
      <c r="S242" s="143">
        <f>0.07%/30</f>
        <v>2.3333333333333336E-5</v>
      </c>
      <c r="T242" s="143">
        <f t="shared" ref="T242:AV242" si="586">0.07%/30</f>
        <v>2.3333333333333336E-5</v>
      </c>
      <c r="U242" s="143">
        <f t="shared" si="586"/>
        <v>2.3333333333333336E-5</v>
      </c>
      <c r="V242" s="143">
        <f t="shared" si="586"/>
        <v>2.3333333333333336E-5</v>
      </c>
      <c r="W242" s="143">
        <f t="shared" si="586"/>
        <v>2.3333333333333336E-5</v>
      </c>
      <c r="X242" s="143">
        <f t="shared" si="586"/>
        <v>2.3333333333333336E-5</v>
      </c>
      <c r="Y242" s="143">
        <f t="shared" si="586"/>
        <v>2.3333333333333336E-5</v>
      </c>
      <c r="Z242" s="143">
        <f t="shared" si="586"/>
        <v>2.3333333333333336E-5</v>
      </c>
      <c r="AA242" s="143">
        <f t="shared" si="586"/>
        <v>2.3333333333333336E-5</v>
      </c>
      <c r="AB242" s="143">
        <f t="shared" si="586"/>
        <v>2.3333333333333336E-5</v>
      </c>
      <c r="AC242" s="143">
        <f t="shared" si="586"/>
        <v>2.3333333333333336E-5</v>
      </c>
      <c r="AD242" s="143">
        <f t="shared" si="586"/>
        <v>2.3333333333333336E-5</v>
      </c>
      <c r="AE242" s="143">
        <f t="shared" si="586"/>
        <v>2.3333333333333336E-5</v>
      </c>
      <c r="AF242" s="143">
        <f t="shared" si="586"/>
        <v>2.3333333333333336E-5</v>
      </c>
      <c r="AG242" s="143">
        <f t="shared" si="586"/>
        <v>2.3333333333333336E-5</v>
      </c>
      <c r="AH242" s="143">
        <f t="shared" si="586"/>
        <v>2.3333333333333336E-5</v>
      </c>
      <c r="AI242" s="143">
        <f t="shared" si="586"/>
        <v>2.3333333333333336E-5</v>
      </c>
      <c r="AJ242" s="143">
        <f t="shared" si="586"/>
        <v>2.3333333333333336E-5</v>
      </c>
      <c r="AK242" s="143">
        <f t="shared" si="586"/>
        <v>2.3333333333333336E-5</v>
      </c>
      <c r="AL242" s="143">
        <f t="shared" si="586"/>
        <v>2.3333333333333336E-5</v>
      </c>
      <c r="AM242" s="143">
        <f t="shared" si="586"/>
        <v>2.3333333333333336E-5</v>
      </c>
      <c r="AN242" s="143">
        <f t="shared" si="586"/>
        <v>2.3333333333333336E-5</v>
      </c>
      <c r="AO242" s="143">
        <f t="shared" si="586"/>
        <v>2.3333333333333336E-5</v>
      </c>
      <c r="AP242" s="143">
        <f t="shared" si="586"/>
        <v>2.3333333333333336E-5</v>
      </c>
      <c r="AQ242" s="143">
        <f t="shared" si="586"/>
        <v>2.3333333333333336E-5</v>
      </c>
      <c r="AR242" s="143">
        <f t="shared" si="586"/>
        <v>2.3333333333333336E-5</v>
      </c>
      <c r="AS242" s="143">
        <f t="shared" si="586"/>
        <v>2.3333333333333336E-5</v>
      </c>
      <c r="AT242" s="143">
        <f t="shared" si="586"/>
        <v>2.3333333333333336E-5</v>
      </c>
      <c r="AU242" s="143">
        <f t="shared" si="586"/>
        <v>2.3333333333333336E-5</v>
      </c>
      <c r="AV242" s="143">
        <f t="shared" si="586"/>
        <v>2.3333333333333336E-5</v>
      </c>
      <c r="AW242" s="156"/>
      <c r="AX242" s="156"/>
      <c r="AY242" s="156"/>
      <c r="AZ242" s="156"/>
      <c r="BA242" s="156"/>
      <c r="BB242" s="156"/>
      <c r="BC242" s="156"/>
      <c r="BD242" s="156"/>
      <c r="BE242" s="156"/>
      <c r="BF242" s="156"/>
      <c r="BG242" s="156"/>
      <c r="BH242" s="156"/>
      <c r="BI242" s="156"/>
      <c r="BJ242" s="156"/>
      <c r="BK242" s="156"/>
      <c r="BL242" s="156"/>
      <c r="BM242" s="156"/>
      <c r="BN242" s="156"/>
      <c r="BO242" s="156"/>
      <c r="BP242" s="156"/>
      <c r="BQ242" s="156"/>
      <c r="BR242" s="156"/>
      <c r="BS242" s="156"/>
      <c r="BT242" s="156"/>
      <c r="BU242" s="156"/>
      <c r="BV242" s="156"/>
      <c r="BW242" s="156"/>
      <c r="BX242" s="156"/>
      <c r="BY242" s="156"/>
      <c r="BZ242" s="156"/>
      <c r="CA242" s="156">
        <f>0.081%/30</f>
        <v>2.7000000000000002E-5</v>
      </c>
      <c r="CB242" s="156">
        <f>CA242</f>
        <v>2.7000000000000002E-5</v>
      </c>
      <c r="CC242" s="156">
        <f t="shared" ref="CC242:DD242" si="587">CB242</f>
        <v>2.7000000000000002E-5</v>
      </c>
      <c r="CD242" s="156">
        <f t="shared" si="587"/>
        <v>2.7000000000000002E-5</v>
      </c>
      <c r="CE242" s="156">
        <f t="shared" si="587"/>
        <v>2.7000000000000002E-5</v>
      </c>
      <c r="CF242" s="156">
        <f t="shared" si="587"/>
        <v>2.7000000000000002E-5</v>
      </c>
      <c r="CG242" s="156">
        <f t="shared" si="587"/>
        <v>2.7000000000000002E-5</v>
      </c>
      <c r="CH242" s="156">
        <f t="shared" si="587"/>
        <v>2.7000000000000002E-5</v>
      </c>
      <c r="CI242" s="156">
        <f t="shared" si="587"/>
        <v>2.7000000000000002E-5</v>
      </c>
      <c r="CJ242" s="156">
        <f t="shared" si="587"/>
        <v>2.7000000000000002E-5</v>
      </c>
      <c r="CK242" s="156">
        <f t="shared" si="587"/>
        <v>2.7000000000000002E-5</v>
      </c>
      <c r="CL242" s="156">
        <f t="shared" si="587"/>
        <v>2.7000000000000002E-5</v>
      </c>
      <c r="CM242" s="156">
        <f t="shared" si="587"/>
        <v>2.7000000000000002E-5</v>
      </c>
      <c r="CN242" s="156">
        <f t="shared" si="587"/>
        <v>2.7000000000000002E-5</v>
      </c>
      <c r="CO242" s="156">
        <f t="shared" si="587"/>
        <v>2.7000000000000002E-5</v>
      </c>
      <c r="CP242" s="156">
        <f t="shared" si="587"/>
        <v>2.7000000000000002E-5</v>
      </c>
      <c r="CQ242" s="156">
        <f t="shared" si="587"/>
        <v>2.7000000000000002E-5</v>
      </c>
      <c r="CR242" s="156">
        <f t="shared" si="587"/>
        <v>2.7000000000000002E-5</v>
      </c>
      <c r="CS242" s="156">
        <f t="shared" si="587"/>
        <v>2.7000000000000002E-5</v>
      </c>
      <c r="CT242" s="156">
        <f t="shared" si="587"/>
        <v>2.7000000000000002E-5</v>
      </c>
      <c r="CU242" s="156">
        <f t="shared" si="587"/>
        <v>2.7000000000000002E-5</v>
      </c>
      <c r="CV242" s="156">
        <f t="shared" si="587"/>
        <v>2.7000000000000002E-5</v>
      </c>
      <c r="CW242" s="156">
        <f t="shared" si="587"/>
        <v>2.7000000000000002E-5</v>
      </c>
      <c r="CX242" s="156">
        <f t="shared" si="587"/>
        <v>2.7000000000000002E-5</v>
      </c>
      <c r="CY242" s="156">
        <f t="shared" si="587"/>
        <v>2.7000000000000002E-5</v>
      </c>
      <c r="CZ242" s="156">
        <f t="shared" si="587"/>
        <v>2.7000000000000002E-5</v>
      </c>
      <c r="DA242" s="156">
        <f t="shared" si="587"/>
        <v>2.7000000000000002E-5</v>
      </c>
      <c r="DB242" s="156">
        <f t="shared" si="587"/>
        <v>2.7000000000000002E-5</v>
      </c>
      <c r="DC242" s="156">
        <f t="shared" si="587"/>
        <v>2.7000000000000002E-5</v>
      </c>
      <c r="DD242" s="156">
        <f t="shared" si="587"/>
        <v>2.7000000000000002E-5</v>
      </c>
      <c r="DE242" s="53"/>
      <c r="DF242" s="54"/>
      <c r="DG242" s="54"/>
      <c r="DH242" s="54"/>
      <c r="DI242" s="54"/>
      <c r="DJ242" s="54"/>
      <c r="DK242" s="54"/>
      <c r="DL242" s="54"/>
      <c r="DM242" s="54"/>
      <c r="DN242" s="54"/>
      <c r="DO242" s="54"/>
      <c r="DP242" s="54"/>
      <c r="DQ242" s="54"/>
      <c r="DR242" s="54"/>
      <c r="DS242" s="54"/>
      <c r="DT242" s="54"/>
      <c r="DU242" s="54"/>
      <c r="DV242" s="54"/>
      <c r="DW242" s="54"/>
      <c r="DX242" s="54"/>
      <c r="DY242" s="54"/>
      <c r="DZ242" s="54"/>
      <c r="EA242" s="54"/>
      <c r="EB242" s="54"/>
      <c r="EC242" s="54"/>
      <c r="ED242" s="54"/>
      <c r="EE242" s="54"/>
      <c r="EF242" s="54"/>
      <c r="EG242" s="54"/>
      <c r="EH242" s="54"/>
      <c r="EI242" s="54"/>
      <c r="EJ242" s="54"/>
      <c r="EK242" s="54"/>
      <c r="EL242" s="54"/>
      <c r="EM242" s="54"/>
      <c r="EN242" s="54"/>
      <c r="EO242" s="54"/>
      <c r="EP242" s="54"/>
      <c r="EQ242" s="54"/>
      <c r="ER242" s="54"/>
      <c r="ES242" s="54"/>
      <c r="ET242" s="54"/>
      <c r="EU242" s="54"/>
      <c r="EV242" s="54"/>
      <c r="EW242" s="54"/>
      <c r="EX242" s="54"/>
      <c r="EY242" s="54"/>
      <c r="EZ242" s="54"/>
      <c r="FA242" s="54"/>
      <c r="FB242" s="54"/>
      <c r="FC242" s="54"/>
      <c r="FD242" s="54"/>
      <c r="FE242" s="54"/>
      <c r="FF242" s="54"/>
      <c r="FG242" s="54"/>
      <c r="FH242" s="54"/>
      <c r="FI242" s="54"/>
      <c r="FJ242" s="54"/>
      <c r="FK242" s="54"/>
      <c r="FL242" s="54"/>
      <c r="FM242" s="156">
        <f>0.09%/30</f>
        <v>3.0000000000000001E-5</v>
      </c>
      <c r="FN242" s="156">
        <f>FM242</f>
        <v>3.0000000000000001E-5</v>
      </c>
      <c r="FO242" s="156">
        <f t="shared" ref="FO242:GP242" si="588">FN242</f>
        <v>3.0000000000000001E-5</v>
      </c>
      <c r="FP242" s="156">
        <f t="shared" si="588"/>
        <v>3.0000000000000001E-5</v>
      </c>
      <c r="FQ242" s="156">
        <f t="shared" si="588"/>
        <v>3.0000000000000001E-5</v>
      </c>
      <c r="FR242" s="156">
        <f t="shared" si="588"/>
        <v>3.0000000000000001E-5</v>
      </c>
      <c r="FS242" s="156">
        <f t="shared" si="588"/>
        <v>3.0000000000000001E-5</v>
      </c>
      <c r="FT242" s="156">
        <f t="shared" si="588"/>
        <v>3.0000000000000001E-5</v>
      </c>
      <c r="FU242" s="156">
        <f t="shared" si="588"/>
        <v>3.0000000000000001E-5</v>
      </c>
      <c r="FV242" s="156">
        <f t="shared" si="588"/>
        <v>3.0000000000000001E-5</v>
      </c>
      <c r="FW242" s="156">
        <f t="shared" si="588"/>
        <v>3.0000000000000001E-5</v>
      </c>
      <c r="FX242" s="156">
        <f t="shared" si="588"/>
        <v>3.0000000000000001E-5</v>
      </c>
      <c r="FY242" s="156">
        <f t="shared" si="588"/>
        <v>3.0000000000000001E-5</v>
      </c>
      <c r="FZ242" s="156">
        <f t="shared" si="588"/>
        <v>3.0000000000000001E-5</v>
      </c>
      <c r="GA242" s="156">
        <f t="shared" si="588"/>
        <v>3.0000000000000001E-5</v>
      </c>
      <c r="GB242" s="156">
        <f t="shared" si="588"/>
        <v>3.0000000000000001E-5</v>
      </c>
      <c r="GC242" s="156">
        <f t="shared" si="588"/>
        <v>3.0000000000000001E-5</v>
      </c>
      <c r="GD242" s="156">
        <f t="shared" si="588"/>
        <v>3.0000000000000001E-5</v>
      </c>
      <c r="GE242" s="156">
        <f t="shared" si="588"/>
        <v>3.0000000000000001E-5</v>
      </c>
      <c r="GF242" s="156">
        <f t="shared" si="588"/>
        <v>3.0000000000000001E-5</v>
      </c>
      <c r="GG242" s="156">
        <f t="shared" si="588"/>
        <v>3.0000000000000001E-5</v>
      </c>
      <c r="GH242" s="156">
        <f t="shared" si="588"/>
        <v>3.0000000000000001E-5</v>
      </c>
      <c r="GI242" s="156">
        <f t="shared" si="588"/>
        <v>3.0000000000000001E-5</v>
      </c>
      <c r="GJ242" s="156">
        <f t="shared" si="588"/>
        <v>3.0000000000000001E-5</v>
      </c>
      <c r="GK242" s="156">
        <f t="shared" si="588"/>
        <v>3.0000000000000001E-5</v>
      </c>
      <c r="GL242" s="156">
        <f t="shared" si="588"/>
        <v>3.0000000000000001E-5</v>
      </c>
      <c r="GM242" s="156">
        <f t="shared" si="588"/>
        <v>3.0000000000000001E-5</v>
      </c>
      <c r="GN242" s="156">
        <f t="shared" si="588"/>
        <v>3.0000000000000001E-5</v>
      </c>
      <c r="GO242" s="156">
        <f t="shared" si="588"/>
        <v>3.0000000000000001E-5</v>
      </c>
      <c r="GP242" s="156">
        <f t="shared" si="588"/>
        <v>3.0000000000000001E-5</v>
      </c>
      <c r="GQ242" s="54"/>
      <c r="GR242" s="54"/>
      <c r="GS242" s="54"/>
      <c r="GT242" s="54"/>
      <c r="GU242" s="54"/>
      <c r="GV242" s="54"/>
      <c r="GW242" s="54"/>
      <c r="GX242" s="54"/>
      <c r="GY242" s="54"/>
      <c r="GZ242" s="54"/>
      <c r="HA242" s="54"/>
      <c r="HB242" s="54"/>
      <c r="HC242" s="54"/>
      <c r="HD242" s="54"/>
      <c r="HE242" s="54"/>
      <c r="HF242" s="54"/>
      <c r="HG242" s="54"/>
      <c r="HH242" s="54"/>
      <c r="HI242" s="54"/>
      <c r="HJ242" s="54"/>
      <c r="HK242" s="54"/>
      <c r="HL242" s="54"/>
      <c r="HM242" s="54"/>
      <c r="HN242" s="54"/>
      <c r="HO242" s="54"/>
      <c r="HP242" s="54"/>
      <c r="HQ242" s="54"/>
      <c r="HR242" s="54"/>
      <c r="HS242" s="54"/>
      <c r="HT242" s="54"/>
      <c r="HU242" s="53"/>
      <c r="HV242" s="54"/>
      <c r="HW242" s="54"/>
      <c r="HX242" s="54"/>
      <c r="HY242" s="54"/>
      <c r="HZ242" s="54"/>
      <c r="IA242" s="54"/>
      <c r="IB242" s="54"/>
      <c r="IC242" s="54"/>
      <c r="ID242" s="54"/>
      <c r="IE242" s="54"/>
      <c r="IF242" s="54"/>
      <c r="IG242" s="54"/>
      <c r="IH242" s="54"/>
      <c r="II242" s="54"/>
      <c r="IJ242" s="54"/>
      <c r="IK242" s="54"/>
      <c r="IL242" s="54"/>
      <c r="IM242" s="54"/>
      <c r="IN242" s="54"/>
      <c r="IO242" s="54"/>
      <c r="IP242" s="54"/>
      <c r="IQ242" s="54"/>
      <c r="IR242" s="54"/>
      <c r="IS242" s="54"/>
      <c r="IT242" s="54"/>
      <c r="IU242" s="54"/>
      <c r="IV242" s="54"/>
      <c r="IW242" s="54"/>
      <c r="IX242" s="54"/>
      <c r="IY242" s="156">
        <f>0.08%/30</f>
        <v>2.6666666666666667E-5</v>
      </c>
      <c r="IZ242" s="156">
        <f>IY242</f>
        <v>2.6666666666666667E-5</v>
      </c>
      <c r="JA242" s="156">
        <f t="shared" ref="JA242:KB242" si="589">IZ242</f>
        <v>2.6666666666666667E-5</v>
      </c>
      <c r="JB242" s="156">
        <f t="shared" si="589"/>
        <v>2.6666666666666667E-5</v>
      </c>
      <c r="JC242" s="156">
        <f t="shared" si="589"/>
        <v>2.6666666666666667E-5</v>
      </c>
      <c r="JD242" s="156">
        <f t="shared" si="589"/>
        <v>2.6666666666666667E-5</v>
      </c>
      <c r="JE242" s="156">
        <f t="shared" si="589"/>
        <v>2.6666666666666667E-5</v>
      </c>
      <c r="JF242" s="156">
        <f t="shared" si="589"/>
        <v>2.6666666666666667E-5</v>
      </c>
      <c r="JG242" s="156">
        <f t="shared" si="589"/>
        <v>2.6666666666666667E-5</v>
      </c>
      <c r="JH242" s="156">
        <f t="shared" si="589"/>
        <v>2.6666666666666667E-5</v>
      </c>
      <c r="JI242" s="156">
        <f t="shared" si="589"/>
        <v>2.6666666666666667E-5</v>
      </c>
      <c r="JJ242" s="156">
        <f t="shared" si="589"/>
        <v>2.6666666666666667E-5</v>
      </c>
      <c r="JK242" s="156">
        <f t="shared" si="589"/>
        <v>2.6666666666666667E-5</v>
      </c>
      <c r="JL242" s="156">
        <f t="shared" si="589"/>
        <v>2.6666666666666667E-5</v>
      </c>
      <c r="JM242" s="156">
        <f t="shared" si="589"/>
        <v>2.6666666666666667E-5</v>
      </c>
      <c r="JN242" s="156">
        <f t="shared" si="589"/>
        <v>2.6666666666666667E-5</v>
      </c>
      <c r="JO242" s="156">
        <f t="shared" si="589"/>
        <v>2.6666666666666667E-5</v>
      </c>
      <c r="JP242" s="156">
        <f t="shared" si="589"/>
        <v>2.6666666666666667E-5</v>
      </c>
      <c r="JQ242" s="156">
        <f t="shared" si="589"/>
        <v>2.6666666666666667E-5</v>
      </c>
      <c r="JR242" s="156">
        <f t="shared" si="589"/>
        <v>2.6666666666666667E-5</v>
      </c>
      <c r="JS242" s="156">
        <f t="shared" si="589"/>
        <v>2.6666666666666667E-5</v>
      </c>
      <c r="JT242" s="156">
        <f t="shared" si="589"/>
        <v>2.6666666666666667E-5</v>
      </c>
      <c r="JU242" s="156">
        <f t="shared" si="589"/>
        <v>2.6666666666666667E-5</v>
      </c>
      <c r="JV242" s="156">
        <f t="shared" si="589"/>
        <v>2.6666666666666667E-5</v>
      </c>
      <c r="JW242" s="156">
        <f t="shared" si="589"/>
        <v>2.6666666666666667E-5</v>
      </c>
      <c r="JX242" s="156">
        <f t="shared" si="589"/>
        <v>2.6666666666666667E-5</v>
      </c>
      <c r="JY242" s="156">
        <f t="shared" si="589"/>
        <v>2.6666666666666667E-5</v>
      </c>
      <c r="JZ242" s="156">
        <f t="shared" si="589"/>
        <v>2.6666666666666667E-5</v>
      </c>
      <c r="KA242" s="156">
        <f t="shared" si="589"/>
        <v>2.6666666666666667E-5</v>
      </c>
      <c r="KB242" s="156">
        <f t="shared" si="589"/>
        <v>2.6666666666666667E-5</v>
      </c>
      <c r="KC242" s="53"/>
      <c r="KD242" s="54"/>
      <c r="KE242" s="55"/>
      <c r="KF242" s="54"/>
      <c r="KG242" s="54"/>
      <c r="KH242" s="54"/>
      <c r="KI242" s="212">
        <v>6.9999999999999999E-4</v>
      </c>
      <c r="KJ242" s="212"/>
      <c r="KK242" s="212"/>
      <c r="KL242" s="54"/>
      <c r="KM242" s="54"/>
      <c r="KN242" s="54"/>
      <c r="KO242" s="53"/>
      <c r="KP242" s="54"/>
      <c r="KQ242" s="55"/>
      <c r="KR242" s="212">
        <v>6.9999999999999999E-4</v>
      </c>
      <c r="KS242" s="212"/>
      <c r="KT242" s="212"/>
      <c r="KU242" s="53"/>
      <c r="KV242" s="54"/>
      <c r="KW242" s="55"/>
      <c r="KX242" s="54"/>
      <c r="KY242" s="54"/>
      <c r="KZ242" s="54"/>
      <c r="LA242" s="57"/>
      <c r="LB242" s="54"/>
      <c r="LC242" s="58"/>
      <c r="LD242" s="54"/>
      <c r="LE242" s="54"/>
      <c r="LF242" s="54"/>
      <c r="LG242" s="53"/>
      <c r="LH242" s="54"/>
      <c r="LI242" s="55"/>
      <c r="LJ242" s="53"/>
      <c r="LK242" s="54"/>
      <c r="LL242" s="55"/>
      <c r="LM242" s="53"/>
      <c r="LN242" s="54"/>
      <c r="LO242" s="55"/>
      <c r="LP242" s="53"/>
      <c r="LQ242" s="54"/>
      <c r="LR242" s="55"/>
      <c r="LS242" s="53"/>
      <c r="LT242" s="54"/>
      <c r="LU242" s="55"/>
      <c r="LV242" s="54"/>
      <c r="LW242" s="54"/>
      <c r="LX242" s="54"/>
      <c r="LY242" s="53"/>
      <c r="LZ242" s="54"/>
      <c r="MA242" s="55"/>
      <c r="MB242" s="54"/>
      <c r="MC242" s="54"/>
      <c r="MD242" s="54"/>
      <c r="ME242" s="53"/>
      <c r="MF242" s="54"/>
      <c r="MG242" s="55"/>
      <c r="MH242" s="53"/>
      <c r="MI242" s="54"/>
      <c r="MJ242" s="55"/>
      <c r="MK242" s="212"/>
      <c r="ML242" s="212"/>
      <c r="MM242" s="212"/>
      <c r="MN242" s="212">
        <v>7.3999999999999999E-4</v>
      </c>
      <c r="MO242" s="212"/>
      <c r="MP242" s="212"/>
      <c r="MQ242" s="212"/>
      <c r="MR242" s="212"/>
      <c r="MS242" s="212"/>
      <c r="MT242" s="212"/>
      <c r="MU242" s="212"/>
      <c r="MV242" s="212"/>
      <c r="MW242" s="212"/>
      <c r="MX242" s="212"/>
      <c r="MY242" s="212"/>
      <c r="MZ242" s="212"/>
      <c r="NA242" s="212"/>
      <c r="NB242" s="212"/>
      <c r="NC242" s="54"/>
      <c r="ND242" s="54"/>
      <c r="NE242" s="59"/>
      <c r="NG242" s="275">
        <f>SUM(R242:NE242)</f>
        <v>5.349999999999998E-3</v>
      </c>
      <c r="NH242" s="1"/>
      <c r="NI242" s="1"/>
      <c r="NJ242" s="1"/>
      <c r="NK242" s="1"/>
    </row>
    <row r="243" spans="5:377" s="6" customFormat="1" ht="6.95" customHeight="1" thickBot="1">
      <c r="F243" s="196"/>
      <c r="G243" s="197"/>
      <c r="H243" s="52">
        <v>2</v>
      </c>
      <c r="L243" s="311"/>
      <c r="M243" s="362"/>
      <c r="N243" s="373"/>
      <c r="O243" s="351"/>
      <c r="P243" s="316"/>
      <c r="Q243" s="399"/>
      <c r="R243" s="82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84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5"/>
      <c r="CA243" s="61"/>
      <c r="CB243" s="61"/>
      <c r="CC243" s="61"/>
      <c r="CD243" s="61"/>
      <c r="CE243" s="61"/>
      <c r="CF243" s="61"/>
      <c r="CG243" s="61"/>
      <c r="CH243" s="61"/>
      <c r="CI243" s="61"/>
      <c r="CJ243" s="61"/>
      <c r="CK243" s="61"/>
      <c r="CL243" s="61"/>
      <c r="CM243" s="61"/>
      <c r="CN243" s="61"/>
      <c r="CO243" s="61"/>
      <c r="CP243" s="61"/>
      <c r="CQ243" s="61"/>
      <c r="CR243" s="61"/>
      <c r="CS243" s="61"/>
      <c r="CT243" s="61"/>
      <c r="CU243" s="61"/>
      <c r="CV243" s="61"/>
      <c r="CW243" s="61"/>
      <c r="CX243" s="61"/>
      <c r="CY243" s="61"/>
      <c r="CZ243" s="61"/>
      <c r="DA243" s="61"/>
      <c r="DB243" s="61"/>
      <c r="DC243" s="61"/>
      <c r="DD243" s="61"/>
      <c r="DE243" s="84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61"/>
      <c r="FN243" s="61"/>
      <c r="FO243" s="61"/>
      <c r="FP243" s="61"/>
      <c r="FQ243" s="61"/>
      <c r="FR243" s="61"/>
      <c r="FS243" s="61"/>
      <c r="FT243" s="61"/>
      <c r="FU243" s="61"/>
      <c r="FV243" s="61"/>
      <c r="FW243" s="61"/>
      <c r="FX243" s="61"/>
      <c r="FY243" s="61"/>
      <c r="FZ243" s="61"/>
      <c r="GA243" s="61"/>
      <c r="GB243" s="61"/>
      <c r="GC243" s="61"/>
      <c r="GD243" s="61"/>
      <c r="GE243" s="61"/>
      <c r="GF243" s="61"/>
      <c r="GG243" s="61"/>
      <c r="GH243" s="61"/>
      <c r="GI243" s="61"/>
      <c r="GJ243" s="61"/>
      <c r="GK243" s="61"/>
      <c r="GL243" s="61"/>
      <c r="GM243" s="61"/>
      <c r="GN243" s="61"/>
      <c r="GO243" s="61"/>
      <c r="GP243" s="61"/>
      <c r="GQ243" s="83"/>
      <c r="GR243" s="83"/>
      <c r="GS243" s="83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/>
      <c r="HN243" s="83"/>
      <c r="HO243" s="83"/>
      <c r="HP243" s="83"/>
      <c r="HQ243" s="83"/>
      <c r="HR243" s="83"/>
      <c r="HS243" s="83"/>
      <c r="HT243" s="83"/>
      <c r="HU243" s="84"/>
      <c r="HV243" s="83"/>
      <c r="HW243" s="83"/>
      <c r="HX243" s="83"/>
      <c r="HY243" s="83"/>
      <c r="HZ243" s="83"/>
      <c r="IA243" s="83"/>
      <c r="IB243" s="83"/>
      <c r="IC243" s="83"/>
      <c r="ID243" s="83"/>
      <c r="IE243" s="83"/>
      <c r="IF243" s="83"/>
      <c r="IG243" s="83"/>
      <c r="IH243" s="83"/>
      <c r="II243" s="83"/>
      <c r="IJ243" s="83"/>
      <c r="IK243" s="83"/>
      <c r="IL243" s="83"/>
      <c r="IM243" s="83"/>
      <c r="IN243" s="83"/>
      <c r="IO243" s="83"/>
      <c r="IP243" s="83"/>
      <c r="IQ243" s="83"/>
      <c r="IR243" s="83"/>
      <c r="IS243" s="83"/>
      <c r="IT243" s="83"/>
      <c r="IU243" s="83"/>
      <c r="IV243" s="83"/>
      <c r="IW243" s="83"/>
      <c r="IX243" s="83"/>
      <c r="IY243" s="61"/>
      <c r="IZ243" s="61"/>
      <c r="JA243" s="61"/>
      <c r="JB243" s="61"/>
      <c r="JC243" s="61"/>
      <c r="JD243" s="61"/>
      <c r="JE243" s="61"/>
      <c r="JF243" s="61"/>
      <c r="JG243" s="61"/>
      <c r="JH243" s="61"/>
      <c r="JI243" s="61"/>
      <c r="JJ243" s="61"/>
      <c r="JK243" s="61"/>
      <c r="JL243" s="61"/>
      <c r="JM243" s="61"/>
      <c r="JN243" s="61"/>
      <c r="JO243" s="61"/>
      <c r="JP243" s="61"/>
      <c r="JQ243" s="61"/>
      <c r="JR243" s="61"/>
      <c r="JS243" s="61"/>
      <c r="JT243" s="61"/>
      <c r="JU243" s="61"/>
      <c r="JV243" s="61"/>
      <c r="JW243" s="61"/>
      <c r="JX243" s="61"/>
      <c r="JY243" s="61"/>
      <c r="JZ243" s="61"/>
      <c r="KA243" s="61"/>
      <c r="KB243" s="61"/>
      <c r="KC243" s="84"/>
      <c r="KD243" s="83"/>
      <c r="KE243" s="85"/>
      <c r="KF243" s="83"/>
      <c r="KG243" s="83"/>
      <c r="KH243" s="83"/>
      <c r="KI243" s="84"/>
      <c r="KJ243" s="83"/>
      <c r="KK243" s="85"/>
      <c r="KL243" s="83"/>
      <c r="KM243" s="83"/>
      <c r="KN243" s="83"/>
      <c r="KO243" s="84"/>
      <c r="KP243" s="83"/>
      <c r="KQ243" s="85"/>
      <c r="KR243" s="84"/>
      <c r="KS243" s="83"/>
      <c r="KT243" s="85"/>
      <c r="KU243" s="84"/>
      <c r="KV243" s="83"/>
      <c r="KW243" s="85"/>
      <c r="KX243" s="83"/>
      <c r="KY243" s="83"/>
      <c r="KZ243" s="83"/>
      <c r="LA243" s="86"/>
      <c r="LB243" s="83"/>
      <c r="LC243" s="87"/>
      <c r="LD243" s="83"/>
      <c r="LE243" s="83"/>
      <c r="LF243" s="83"/>
      <c r="LG243" s="84"/>
      <c r="LH243" s="83"/>
      <c r="LI243" s="85"/>
      <c r="LJ243" s="84"/>
      <c r="LK243" s="83"/>
      <c r="LL243" s="85"/>
      <c r="LM243" s="84"/>
      <c r="LN243" s="83"/>
      <c r="LO243" s="85"/>
      <c r="LP243" s="84"/>
      <c r="LQ243" s="83"/>
      <c r="LR243" s="85"/>
      <c r="LS243" s="84"/>
      <c r="LT243" s="83"/>
      <c r="LU243" s="85"/>
      <c r="LV243" s="83"/>
      <c r="LW243" s="83"/>
      <c r="LX243" s="83"/>
      <c r="LY243" s="84"/>
      <c r="LZ243" s="83"/>
      <c r="MA243" s="85"/>
      <c r="MB243" s="83"/>
      <c r="MC243" s="83"/>
      <c r="MD243" s="83"/>
      <c r="ME243" s="84"/>
      <c r="MF243" s="83"/>
      <c r="MG243" s="85"/>
      <c r="MH243" s="84"/>
      <c r="MI243" s="83"/>
      <c r="MJ243" s="85"/>
      <c r="MK243" s="84"/>
      <c r="ML243" s="83"/>
      <c r="MM243" s="85"/>
      <c r="MN243" s="61"/>
      <c r="MO243" s="62"/>
      <c r="MP243" s="63"/>
      <c r="MQ243" s="84"/>
      <c r="MR243" s="83"/>
      <c r="MS243" s="85"/>
      <c r="MT243" s="84"/>
      <c r="MU243" s="83"/>
      <c r="MV243" s="85"/>
      <c r="MW243" s="84"/>
      <c r="MX243" s="83"/>
      <c r="MY243" s="85"/>
      <c r="MZ243" s="84"/>
      <c r="NA243" s="83"/>
      <c r="NB243" s="85"/>
      <c r="NC243" s="83"/>
      <c r="ND243" s="83"/>
      <c r="NE243" s="88"/>
      <c r="NG243" s="275"/>
      <c r="NH243" s="1"/>
      <c r="NI243" s="1"/>
      <c r="NJ243" s="1"/>
      <c r="NK243" s="1"/>
    </row>
    <row r="244" spans="5:377" s="6" customFormat="1" ht="9.9499999999999993" customHeight="1">
      <c r="E244" s="116"/>
      <c r="F244" s="194">
        <f t="shared" ref="F244" si="590">NG244</f>
        <v>0.22876000000000002</v>
      </c>
      <c r="G244" s="195">
        <f>Q244-F244</f>
        <v>1.5799999999999981E-2</v>
      </c>
      <c r="H244" s="27">
        <v>1</v>
      </c>
      <c r="I244" s="116"/>
      <c r="J244" s="116"/>
      <c r="L244" s="286" t="s">
        <v>280</v>
      </c>
      <c r="M244" s="287"/>
      <c r="N244" s="287"/>
      <c r="O244" s="288"/>
      <c r="P244" s="240">
        <f>SUM(P246:P251)</f>
        <v>50916191</v>
      </c>
      <c r="Q244" s="238">
        <f>ROUND(SUM(Q246:Q251),5)</f>
        <v>0.24456</v>
      </c>
      <c r="R244" s="331">
        <f>ROUND(SUM(R246:R251),5)</f>
        <v>0</v>
      </c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  <c r="AT244" s="137"/>
      <c r="AU244" s="137"/>
      <c r="AV244" s="138"/>
      <c r="AW244" s="176"/>
      <c r="AX244" s="137"/>
      <c r="AY244" s="137"/>
      <c r="AZ244" s="137"/>
      <c r="BA244" s="137"/>
      <c r="BB244" s="137"/>
      <c r="BC244" s="137"/>
      <c r="BD244" s="137"/>
      <c r="BE244" s="137"/>
      <c r="BF244" s="137"/>
      <c r="BG244" s="137"/>
      <c r="BH244" s="137"/>
      <c r="BI244" s="137"/>
      <c r="BJ244" s="137"/>
      <c r="BK244" s="137"/>
      <c r="BL244" s="137"/>
      <c r="BM244" s="137"/>
      <c r="BN244" s="137"/>
      <c r="BO244" s="137"/>
      <c r="BP244" s="137"/>
      <c r="BQ244" s="137"/>
      <c r="BR244" s="137"/>
      <c r="BS244" s="137"/>
      <c r="BT244" s="137"/>
      <c r="BU244" s="137"/>
      <c r="BV244" s="137"/>
      <c r="BW244" s="137"/>
      <c r="BX244" s="137"/>
      <c r="BY244" s="137"/>
      <c r="BZ244" s="138"/>
      <c r="CA244" s="176"/>
      <c r="CB244" s="137"/>
      <c r="CC244" s="137"/>
      <c r="CD244" s="137"/>
      <c r="CE244" s="137"/>
      <c r="CF244" s="137"/>
      <c r="CG244" s="137"/>
      <c r="CH244" s="137"/>
      <c r="CI244" s="137"/>
      <c r="CJ244" s="137"/>
      <c r="CK244" s="137"/>
      <c r="CL244" s="137"/>
      <c r="CM244" s="137"/>
      <c r="CN244" s="137"/>
      <c r="CO244" s="137"/>
      <c r="CP244" s="137"/>
      <c r="CQ244" s="137"/>
      <c r="CR244" s="137"/>
      <c r="CS244" s="137"/>
      <c r="CT244" s="137"/>
      <c r="CU244" s="137"/>
      <c r="CV244" s="137"/>
      <c r="CW244" s="137"/>
      <c r="CX244" s="137"/>
      <c r="CY244" s="137"/>
      <c r="CZ244" s="137"/>
      <c r="DA244" s="137"/>
      <c r="DB244" s="137"/>
      <c r="DC244" s="137"/>
      <c r="DD244" s="137"/>
      <c r="DE244" s="176"/>
      <c r="DF244" s="137"/>
      <c r="DG244" s="137"/>
      <c r="DH244" s="137"/>
      <c r="DI244" s="137"/>
      <c r="DJ244" s="137"/>
      <c r="DK244" s="137"/>
      <c r="DL244" s="137"/>
      <c r="DM244" s="137"/>
      <c r="DN244" s="137"/>
      <c r="DO244" s="137"/>
      <c r="DP244" s="137"/>
      <c r="DQ244" s="137"/>
      <c r="DR244" s="137"/>
      <c r="DS244" s="137"/>
      <c r="DT244" s="137"/>
      <c r="DU244" s="137"/>
      <c r="DV244" s="137"/>
      <c r="DW244" s="137"/>
      <c r="DX244" s="137"/>
      <c r="DY244" s="137"/>
      <c r="DZ244" s="137"/>
      <c r="EA244" s="137"/>
      <c r="EB244" s="137"/>
      <c r="EC244" s="137"/>
      <c r="ED244" s="137"/>
      <c r="EE244" s="137"/>
      <c r="EF244" s="137"/>
      <c r="EG244" s="137"/>
      <c r="EH244" s="137"/>
      <c r="EI244" s="176"/>
      <c r="EJ244" s="137"/>
      <c r="EK244" s="137"/>
      <c r="EL244" s="137"/>
      <c r="EM244" s="137"/>
      <c r="EN244" s="137"/>
      <c r="EO244" s="137"/>
      <c r="EP244" s="137"/>
      <c r="EQ244" s="137"/>
      <c r="ER244" s="137"/>
      <c r="ES244" s="137"/>
      <c r="ET244" s="137"/>
      <c r="EU244" s="137"/>
      <c r="EV244" s="137"/>
      <c r="EW244" s="137"/>
      <c r="EX244" s="137"/>
      <c r="EY244" s="137"/>
      <c r="EZ244" s="137"/>
      <c r="FA244" s="137"/>
      <c r="FB244" s="137"/>
      <c r="FC244" s="137"/>
      <c r="FD244" s="137"/>
      <c r="FE244" s="137"/>
      <c r="FF244" s="137"/>
      <c r="FG244" s="137"/>
      <c r="FH244" s="137"/>
      <c r="FI244" s="137"/>
      <c r="FJ244" s="137"/>
      <c r="FK244" s="137"/>
      <c r="FL244" s="137"/>
      <c r="FM244" s="176"/>
      <c r="FN244" s="137"/>
      <c r="FO244" s="137"/>
      <c r="FP244" s="137"/>
      <c r="FQ244" s="137"/>
      <c r="FR244" s="137"/>
      <c r="FS244" s="137"/>
      <c r="FT244" s="137"/>
      <c r="FU244" s="137"/>
      <c r="FV244" s="137"/>
      <c r="FW244" s="137"/>
      <c r="FX244" s="137"/>
      <c r="FY244" s="137"/>
      <c r="FZ244" s="137"/>
      <c r="GA244" s="137"/>
      <c r="GB244" s="137"/>
      <c r="GC244" s="137"/>
      <c r="GD244" s="137"/>
      <c r="GE244" s="137"/>
      <c r="GF244" s="137"/>
      <c r="GG244" s="137"/>
      <c r="GH244" s="137"/>
      <c r="GI244" s="137"/>
      <c r="GJ244" s="137"/>
      <c r="GK244" s="137"/>
      <c r="GL244" s="137"/>
      <c r="GM244" s="137"/>
      <c r="GN244" s="137"/>
      <c r="GO244" s="137"/>
      <c r="GP244" s="137"/>
      <c r="GQ244" s="176"/>
      <c r="GR244" s="137"/>
      <c r="GS244" s="137"/>
      <c r="GT244" s="137"/>
      <c r="GU244" s="137"/>
      <c r="GV244" s="137"/>
      <c r="GW244" s="137"/>
      <c r="GX244" s="137"/>
      <c r="GY244" s="137"/>
      <c r="GZ244" s="137"/>
      <c r="HA244" s="137"/>
      <c r="HB244" s="137"/>
      <c r="HC244" s="137"/>
      <c r="HD244" s="137"/>
      <c r="HE244" s="137"/>
      <c r="HF244" s="137"/>
      <c r="HG244" s="137"/>
      <c r="HH244" s="137"/>
      <c r="HI244" s="137"/>
      <c r="HJ244" s="137"/>
      <c r="HK244" s="137"/>
      <c r="HL244" s="137"/>
      <c r="HM244" s="137"/>
      <c r="HN244" s="137"/>
      <c r="HO244" s="137"/>
      <c r="HP244" s="137"/>
      <c r="HQ244" s="137"/>
      <c r="HR244" s="137"/>
      <c r="HS244" s="137"/>
      <c r="HT244" s="137"/>
      <c r="HU244" s="176"/>
      <c r="HV244" s="137"/>
      <c r="HW244" s="137"/>
      <c r="HX244" s="137"/>
      <c r="HY244" s="137"/>
      <c r="HZ244" s="137"/>
      <c r="IA244" s="137"/>
      <c r="IB244" s="137"/>
      <c r="IC244" s="137"/>
      <c r="ID244" s="137"/>
      <c r="IE244" s="137"/>
      <c r="IF244" s="137"/>
      <c r="IG244" s="137"/>
      <c r="IH244" s="137"/>
      <c r="II244" s="137"/>
      <c r="IJ244" s="137"/>
      <c r="IK244" s="137"/>
      <c r="IL244" s="137"/>
      <c r="IM244" s="137"/>
      <c r="IN244" s="137"/>
      <c r="IO244" s="137"/>
      <c r="IP244" s="137"/>
      <c r="IQ244" s="137"/>
      <c r="IR244" s="137"/>
      <c r="IS244" s="137"/>
      <c r="IT244" s="137"/>
      <c r="IU244" s="137"/>
      <c r="IV244" s="137"/>
      <c r="IW244" s="137"/>
      <c r="IX244" s="137"/>
      <c r="IY244" s="176"/>
      <c r="IZ244" s="137"/>
      <c r="JA244" s="137"/>
      <c r="JB244" s="137"/>
      <c r="JC244" s="137"/>
      <c r="JD244" s="137"/>
      <c r="JE244" s="137"/>
      <c r="JF244" s="137"/>
      <c r="JG244" s="137"/>
      <c r="JH244" s="137"/>
      <c r="JI244" s="137"/>
      <c r="JJ244" s="137"/>
      <c r="JK244" s="137"/>
      <c r="JL244" s="137"/>
      <c r="JM244" s="137"/>
      <c r="JN244" s="137"/>
      <c r="JO244" s="137"/>
      <c r="JP244" s="137"/>
      <c r="JQ244" s="137"/>
      <c r="JR244" s="137"/>
      <c r="JS244" s="137"/>
      <c r="JT244" s="137"/>
      <c r="JU244" s="137"/>
      <c r="JV244" s="137"/>
      <c r="JW244" s="137"/>
      <c r="JX244" s="137"/>
      <c r="JY244" s="137"/>
      <c r="JZ244" s="137"/>
      <c r="KA244" s="137"/>
      <c r="KB244" s="137"/>
      <c r="KC244" s="205">
        <f>ROUND(SUM(KC246:KE251),5)</f>
        <v>1.477E-2</v>
      </c>
      <c r="KD244" s="206"/>
      <c r="KE244" s="207"/>
      <c r="KF244" s="205">
        <f>ROUND(SUM(KF246:KH251),5)</f>
        <v>1.4880000000000001E-2</v>
      </c>
      <c r="KG244" s="206"/>
      <c r="KH244" s="207"/>
      <c r="KI244" s="205">
        <f>ROUND(SUM(KI246:KK251),5)</f>
        <v>1.4710000000000001E-2</v>
      </c>
      <c r="KJ244" s="206"/>
      <c r="KK244" s="207"/>
      <c r="KL244" s="205">
        <f>ROUND(SUM(KL246:KN251),5)</f>
        <v>1.278E-2</v>
      </c>
      <c r="KM244" s="206"/>
      <c r="KN244" s="207"/>
      <c r="KO244" s="205">
        <f>ROUND(SUM(KO246:KQ251),5)</f>
        <v>1.2999999999999999E-2</v>
      </c>
      <c r="KP244" s="206"/>
      <c r="KQ244" s="207"/>
      <c r="KR244" s="205">
        <f>ROUND(SUM(KR246:KT251),5)</f>
        <v>1.2880000000000001E-2</v>
      </c>
      <c r="KS244" s="206"/>
      <c r="KT244" s="207"/>
      <c r="KU244" s="205">
        <f>ROUND(SUM(KU246:KW251),5)</f>
        <v>1.187E-2</v>
      </c>
      <c r="KV244" s="206"/>
      <c r="KW244" s="207"/>
      <c r="KX244" s="205">
        <f>ROUND(SUM(KX246:KZ251),5)</f>
        <v>1.209E-2</v>
      </c>
      <c r="KY244" s="206"/>
      <c r="KZ244" s="206"/>
      <c r="LA244" s="229">
        <f>ROUND(SUM(LA246:LC251),5)</f>
        <v>1.2149999999999999E-2</v>
      </c>
      <c r="LB244" s="206"/>
      <c r="LC244" s="230"/>
      <c r="LD244" s="206">
        <f>ROUND(SUM(LD246:LF251),5)</f>
        <v>1.107E-2</v>
      </c>
      <c r="LE244" s="206"/>
      <c r="LF244" s="207"/>
      <c r="LG244" s="205">
        <f>ROUND(SUM(LG246:LI251),5)</f>
        <v>1.1299999999999999E-2</v>
      </c>
      <c r="LH244" s="206"/>
      <c r="LI244" s="207"/>
      <c r="LJ244" s="205">
        <f>ROUND(SUM(LJ246:LL251),5)</f>
        <v>9.6500000000000006E-3</v>
      </c>
      <c r="LK244" s="206"/>
      <c r="LL244" s="207"/>
      <c r="LM244" s="205">
        <f>ROUND(SUM(LM246:LO251),5)</f>
        <v>9.8700000000000003E-3</v>
      </c>
      <c r="LN244" s="206"/>
      <c r="LO244" s="207"/>
      <c r="LP244" s="205">
        <f>ROUND(SUM(LP246:LR251),5)</f>
        <v>9.6799999999999994E-3</v>
      </c>
      <c r="LQ244" s="206"/>
      <c r="LR244" s="207"/>
      <c r="LS244" s="205">
        <f>ROUND(SUM(LS246:LU251),5)</f>
        <v>7.92E-3</v>
      </c>
      <c r="LT244" s="206"/>
      <c r="LU244" s="207"/>
      <c r="LV244" s="205">
        <f>ROUND(SUM(LV246:LX251),5)</f>
        <v>7.28E-3</v>
      </c>
      <c r="LW244" s="206"/>
      <c r="LX244" s="207"/>
      <c r="LY244" s="205">
        <f>ROUND(SUM(LY246:MA251),5)</f>
        <v>5.7000000000000002E-3</v>
      </c>
      <c r="LZ244" s="206"/>
      <c r="MA244" s="207"/>
      <c r="MB244" s="205">
        <f>ROUND(SUM(MB246:MD251),5)</f>
        <v>6.0800000000000003E-3</v>
      </c>
      <c r="MC244" s="206"/>
      <c r="MD244" s="207"/>
      <c r="ME244" s="205">
        <f>ROUND(SUM(ME246:MG251),5)</f>
        <v>6.0499999999999998E-3</v>
      </c>
      <c r="MF244" s="206"/>
      <c r="MG244" s="207"/>
      <c r="MH244" s="205">
        <f>ROUND(SUM(MH246:MJ251),5)</f>
        <v>4.1099999999999999E-3</v>
      </c>
      <c r="MI244" s="206"/>
      <c r="MJ244" s="207"/>
      <c r="MK244" s="205">
        <f>ROUND(SUM(MK246:MM251),5)</f>
        <v>3.3999999999999998E-3</v>
      </c>
      <c r="ML244" s="206"/>
      <c r="MM244" s="207"/>
      <c r="MN244" s="205">
        <f>ROUND(SUM(MN246:MP251),5)</f>
        <v>4.45E-3</v>
      </c>
      <c r="MO244" s="206"/>
      <c r="MP244" s="207"/>
      <c r="MQ244" s="205">
        <f>ROUND(SUM(MQ246:MS251),5)</f>
        <v>4.0400000000000002E-3</v>
      </c>
      <c r="MR244" s="206"/>
      <c r="MS244" s="207"/>
      <c r="MT244" s="205">
        <f>ROUND(SUM(MT246:MV251),5)</f>
        <v>4.6699999999999997E-3</v>
      </c>
      <c r="MU244" s="206"/>
      <c r="MV244" s="207"/>
      <c r="MW244" s="205">
        <f>ROUND(SUM(MW246:MY251),5)</f>
        <v>3.4399999999999999E-3</v>
      </c>
      <c r="MX244" s="206"/>
      <c r="MY244" s="207"/>
      <c r="MZ244" s="205">
        <f>ROUND(SUM(MZ246:NB251),5)</f>
        <v>3.4000000000000002E-4</v>
      </c>
      <c r="NA244" s="206"/>
      <c r="NB244" s="207"/>
      <c r="NC244" s="448">
        <f>ROUND(SUM(NC246:NE251),5)</f>
        <v>5.8E-4</v>
      </c>
      <c r="ND244" s="409"/>
      <c r="NE244" s="449"/>
      <c r="NG244" s="198">
        <f>SUM(R244:NE244)</f>
        <v>0.22876000000000002</v>
      </c>
      <c r="NH244" s="198">
        <f>SUM(NG246:NG251)</f>
        <v>0.24456725896642301</v>
      </c>
      <c r="NI244" s="1"/>
      <c r="NJ244" s="1"/>
      <c r="NK244" s="1"/>
    </row>
    <row r="245" spans="5:377" s="6" customFormat="1" ht="9.9499999999999993" customHeight="1">
      <c r="F245" s="194"/>
      <c r="G245" s="195"/>
      <c r="H245" s="52">
        <v>2</v>
      </c>
      <c r="L245" s="289"/>
      <c r="M245" s="290"/>
      <c r="N245" s="290"/>
      <c r="O245" s="291"/>
      <c r="P245" s="241"/>
      <c r="Q245" s="239"/>
      <c r="R245" s="393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  <c r="AC245" s="139"/>
      <c r="AD245" s="139"/>
      <c r="AE245" s="139"/>
      <c r="AF245" s="139"/>
      <c r="AG245" s="139"/>
      <c r="AH245" s="139"/>
      <c r="AI245" s="139"/>
      <c r="AJ245" s="139"/>
      <c r="AK245" s="139"/>
      <c r="AL245" s="139"/>
      <c r="AM245" s="139"/>
      <c r="AN245" s="139"/>
      <c r="AO245" s="139"/>
      <c r="AP245" s="139"/>
      <c r="AQ245" s="139"/>
      <c r="AR245" s="139"/>
      <c r="AS245" s="139"/>
      <c r="AT245" s="139"/>
      <c r="AU245" s="139"/>
      <c r="AV245" s="140"/>
      <c r="AW245" s="177"/>
      <c r="AX245" s="139"/>
      <c r="AY245" s="139"/>
      <c r="AZ245" s="139"/>
      <c r="BA245" s="139"/>
      <c r="BB245" s="139"/>
      <c r="BC245" s="139"/>
      <c r="BD245" s="139"/>
      <c r="BE245" s="139"/>
      <c r="BF245" s="139"/>
      <c r="BG245" s="139"/>
      <c r="BH245" s="139"/>
      <c r="BI245" s="139"/>
      <c r="BJ245" s="139"/>
      <c r="BK245" s="139"/>
      <c r="BL245" s="139"/>
      <c r="BM245" s="139"/>
      <c r="BN245" s="139"/>
      <c r="BO245" s="139"/>
      <c r="BP245" s="139"/>
      <c r="BQ245" s="139"/>
      <c r="BR245" s="139"/>
      <c r="BS245" s="139"/>
      <c r="BT245" s="139"/>
      <c r="BU245" s="139"/>
      <c r="BV245" s="139"/>
      <c r="BW245" s="139"/>
      <c r="BX245" s="139"/>
      <c r="BY245" s="139"/>
      <c r="BZ245" s="140"/>
      <c r="CA245" s="177"/>
      <c r="CB245" s="139"/>
      <c r="CC245" s="139"/>
      <c r="CD245" s="139"/>
      <c r="CE245" s="139"/>
      <c r="CF245" s="139"/>
      <c r="CG245" s="139"/>
      <c r="CH245" s="139"/>
      <c r="CI245" s="139"/>
      <c r="CJ245" s="139"/>
      <c r="CK245" s="139"/>
      <c r="CL245" s="139"/>
      <c r="CM245" s="139"/>
      <c r="CN245" s="139"/>
      <c r="CO245" s="139"/>
      <c r="CP245" s="139"/>
      <c r="CQ245" s="139"/>
      <c r="CR245" s="139"/>
      <c r="CS245" s="139"/>
      <c r="CT245" s="139"/>
      <c r="CU245" s="139"/>
      <c r="CV245" s="139"/>
      <c r="CW245" s="139"/>
      <c r="CX245" s="139"/>
      <c r="CY245" s="139"/>
      <c r="CZ245" s="139"/>
      <c r="DA245" s="139"/>
      <c r="DB245" s="139"/>
      <c r="DC245" s="139"/>
      <c r="DD245" s="139"/>
      <c r="DE245" s="177"/>
      <c r="DF245" s="139"/>
      <c r="DG245" s="139"/>
      <c r="DH245" s="139"/>
      <c r="DI245" s="139"/>
      <c r="DJ245" s="139"/>
      <c r="DK245" s="139"/>
      <c r="DL245" s="139"/>
      <c r="DM245" s="139"/>
      <c r="DN245" s="139"/>
      <c r="DO245" s="139"/>
      <c r="DP245" s="139"/>
      <c r="DQ245" s="139"/>
      <c r="DR245" s="139"/>
      <c r="DS245" s="139"/>
      <c r="DT245" s="139"/>
      <c r="DU245" s="139"/>
      <c r="DV245" s="139"/>
      <c r="DW245" s="139"/>
      <c r="DX245" s="139"/>
      <c r="DY245" s="139"/>
      <c r="DZ245" s="139"/>
      <c r="EA245" s="139"/>
      <c r="EB245" s="139"/>
      <c r="EC245" s="139"/>
      <c r="ED245" s="139"/>
      <c r="EE245" s="139"/>
      <c r="EF245" s="139"/>
      <c r="EG245" s="139"/>
      <c r="EH245" s="139"/>
      <c r="EI245" s="177"/>
      <c r="EJ245" s="139"/>
      <c r="EK245" s="139"/>
      <c r="EL245" s="139"/>
      <c r="EM245" s="139"/>
      <c r="EN245" s="139"/>
      <c r="EO245" s="139"/>
      <c r="EP245" s="139"/>
      <c r="EQ245" s="139"/>
      <c r="ER245" s="139"/>
      <c r="ES245" s="139"/>
      <c r="ET245" s="139"/>
      <c r="EU245" s="139"/>
      <c r="EV245" s="139"/>
      <c r="EW245" s="139"/>
      <c r="EX245" s="139"/>
      <c r="EY245" s="139"/>
      <c r="EZ245" s="139"/>
      <c r="FA245" s="139"/>
      <c r="FB245" s="139"/>
      <c r="FC245" s="139"/>
      <c r="FD245" s="139"/>
      <c r="FE245" s="139"/>
      <c r="FF245" s="139"/>
      <c r="FG245" s="139"/>
      <c r="FH245" s="139"/>
      <c r="FI245" s="139"/>
      <c r="FJ245" s="139"/>
      <c r="FK245" s="139"/>
      <c r="FL245" s="139"/>
      <c r="FM245" s="177"/>
      <c r="FN245" s="139"/>
      <c r="FO245" s="139"/>
      <c r="FP245" s="139"/>
      <c r="FQ245" s="139"/>
      <c r="FR245" s="139"/>
      <c r="FS245" s="139"/>
      <c r="FT245" s="139"/>
      <c r="FU245" s="139"/>
      <c r="FV245" s="139"/>
      <c r="FW245" s="139"/>
      <c r="FX245" s="139"/>
      <c r="FY245" s="139"/>
      <c r="FZ245" s="139"/>
      <c r="GA245" s="139"/>
      <c r="GB245" s="139"/>
      <c r="GC245" s="139"/>
      <c r="GD245" s="139"/>
      <c r="GE245" s="139"/>
      <c r="GF245" s="139"/>
      <c r="GG245" s="139"/>
      <c r="GH245" s="139"/>
      <c r="GI245" s="139"/>
      <c r="GJ245" s="139"/>
      <c r="GK245" s="139"/>
      <c r="GL245" s="139"/>
      <c r="GM245" s="139"/>
      <c r="GN245" s="139"/>
      <c r="GO245" s="139"/>
      <c r="GP245" s="139"/>
      <c r="GQ245" s="177"/>
      <c r="GR245" s="139"/>
      <c r="GS245" s="139"/>
      <c r="GT245" s="139"/>
      <c r="GU245" s="139"/>
      <c r="GV245" s="139"/>
      <c r="GW245" s="139"/>
      <c r="GX245" s="139"/>
      <c r="GY245" s="139"/>
      <c r="GZ245" s="139"/>
      <c r="HA245" s="139"/>
      <c r="HB245" s="139"/>
      <c r="HC245" s="139"/>
      <c r="HD245" s="139"/>
      <c r="HE245" s="139"/>
      <c r="HF245" s="139"/>
      <c r="HG245" s="139"/>
      <c r="HH245" s="139"/>
      <c r="HI245" s="139"/>
      <c r="HJ245" s="139"/>
      <c r="HK245" s="139"/>
      <c r="HL245" s="139"/>
      <c r="HM245" s="139"/>
      <c r="HN245" s="139"/>
      <c r="HO245" s="139"/>
      <c r="HP245" s="139"/>
      <c r="HQ245" s="139"/>
      <c r="HR245" s="139"/>
      <c r="HS245" s="139"/>
      <c r="HT245" s="139"/>
      <c r="HU245" s="177"/>
      <c r="HV245" s="139"/>
      <c r="HW245" s="139"/>
      <c r="HX245" s="139"/>
      <c r="HY245" s="139"/>
      <c r="HZ245" s="139"/>
      <c r="IA245" s="139"/>
      <c r="IB245" s="139"/>
      <c r="IC245" s="139"/>
      <c r="ID245" s="139"/>
      <c r="IE245" s="139"/>
      <c r="IF245" s="139"/>
      <c r="IG245" s="139"/>
      <c r="IH245" s="139"/>
      <c r="II245" s="139"/>
      <c r="IJ245" s="139"/>
      <c r="IK245" s="139"/>
      <c r="IL245" s="139"/>
      <c r="IM245" s="139"/>
      <c r="IN245" s="139"/>
      <c r="IO245" s="139"/>
      <c r="IP245" s="139"/>
      <c r="IQ245" s="139"/>
      <c r="IR245" s="139"/>
      <c r="IS245" s="139"/>
      <c r="IT245" s="139"/>
      <c r="IU245" s="139"/>
      <c r="IV245" s="139"/>
      <c r="IW245" s="139"/>
      <c r="IX245" s="139"/>
      <c r="IY245" s="177"/>
      <c r="IZ245" s="139"/>
      <c r="JA245" s="139"/>
      <c r="JB245" s="139"/>
      <c r="JC245" s="139"/>
      <c r="JD245" s="139"/>
      <c r="JE245" s="139"/>
      <c r="JF245" s="139"/>
      <c r="JG245" s="139"/>
      <c r="JH245" s="139"/>
      <c r="JI245" s="139"/>
      <c r="JJ245" s="139"/>
      <c r="JK245" s="139"/>
      <c r="JL245" s="139"/>
      <c r="JM245" s="139"/>
      <c r="JN245" s="139"/>
      <c r="JO245" s="139"/>
      <c r="JP245" s="139"/>
      <c r="JQ245" s="139"/>
      <c r="JR245" s="139"/>
      <c r="JS245" s="139"/>
      <c r="JT245" s="139"/>
      <c r="JU245" s="139"/>
      <c r="JV245" s="139"/>
      <c r="JW245" s="139"/>
      <c r="JX245" s="139"/>
      <c r="JY245" s="139"/>
      <c r="JZ245" s="139"/>
      <c r="KA245" s="139"/>
      <c r="KB245" s="139"/>
      <c r="KC245" s="208"/>
      <c r="KD245" s="209"/>
      <c r="KE245" s="210"/>
      <c r="KF245" s="208"/>
      <c r="KG245" s="209"/>
      <c r="KH245" s="210"/>
      <c r="KI245" s="208"/>
      <c r="KJ245" s="209"/>
      <c r="KK245" s="210"/>
      <c r="KL245" s="208"/>
      <c r="KM245" s="209"/>
      <c r="KN245" s="210"/>
      <c r="KO245" s="208"/>
      <c r="KP245" s="209"/>
      <c r="KQ245" s="210"/>
      <c r="KR245" s="208"/>
      <c r="KS245" s="209"/>
      <c r="KT245" s="210"/>
      <c r="KU245" s="208"/>
      <c r="KV245" s="209"/>
      <c r="KW245" s="210"/>
      <c r="KX245" s="208"/>
      <c r="KY245" s="209"/>
      <c r="KZ245" s="209"/>
      <c r="LA245" s="231"/>
      <c r="LB245" s="209"/>
      <c r="LC245" s="232"/>
      <c r="LD245" s="209"/>
      <c r="LE245" s="209"/>
      <c r="LF245" s="210"/>
      <c r="LG245" s="208"/>
      <c r="LH245" s="209"/>
      <c r="LI245" s="210"/>
      <c r="LJ245" s="208"/>
      <c r="LK245" s="209"/>
      <c r="LL245" s="210"/>
      <c r="LM245" s="208"/>
      <c r="LN245" s="209"/>
      <c r="LO245" s="210"/>
      <c r="LP245" s="208"/>
      <c r="LQ245" s="209"/>
      <c r="LR245" s="210"/>
      <c r="LS245" s="208"/>
      <c r="LT245" s="209"/>
      <c r="LU245" s="210"/>
      <c r="LV245" s="208"/>
      <c r="LW245" s="209"/>
      <c r="LX245" s="210"/>
      <c r="LY245" s="208"/>
      <c r="LZ245" s="209"/>
      <c r="MA245" s="210"/>
      <c r="MB245" s="208"/>
      <c r="MC245" s="209"/>
      <c r="MD245" s="210"/>
      <c r="ME245" s="208"/>
      <c r="MF245" s="209"/>
      <c r="MG245" s="210"/>
      <c r="MH245" s="208"/>
      <c r="MI245" s="209"/>
      <c r="MJ245" s="210"/>
      <c r="MK245" s="208"/>
      <c r="ML245" s="209"/>
      <c r="MM245" s="210"/>
      <c r="MN245" s="208"/>
      <c r="MO245" s="209"/>
      <c r="MP245" s="210"/>
      <c r="MQ245" s="208"/>
      <c r="MR245" s="209"/>
      <c r="MS245" s="210"/>
      <c r="MT245" s="208"/>
      <c r="MU245" s="209"/>
      <c r="MV245" s="210"/>
      <c r="MW245" s="208"/>
      <c r="MX245" s="209"/>
      <c r="MY245" s="210"/>
      <c r="MZ245" s="208"/>
      <c r="NA245" s="209"/>
      <c r="NB245" s="210"/>
      <c r="NC245" s="450"/>
      <c r="ND245" s="411"/>
      <c r="NE245" s="451"/>
      <c r="NG245" s="198"/>
      <c r="NH245" s="198"/>
      <c r="NI245" s="1"/>
      <c r="NJ245" s="1"/>
      <c r="NK245" s="1"/>
    </row>
    <row r="246" spans="5:377" s="6" customFormat="1" ht="9.9499999999999993" customHeight="1">
      <c r="F246" s="196">
        <f t="shared" ref="F246" si="591">NG246</f>
        <v>2.1800000000000005E-3</v>
      </c>
      <c r="G246" s="197">
        <f>Q246-F246</f>
        <v>0</v>
      </c>
      <c r="H246" s="27">
        <v>1</v>
      </c>
      <c r="L246" s="394" t="s">
        <v>22</v>
      </c>
      <c r="M246" s="395"/>
      <c r="N246" s="334">
        <v>1</v>
      </c>
      <c r="O246" s="329" t="s">
        <v>24</v>
      </c>
      <c r="P246" s="307">
        <v>453609</v>
      </c>
      <c r="Q246" s="236">
        <f>ROUND(P246/$P$256,5)</f>
        <v>2.1800000000000001E-3</v>
      </c>
      <c r="R246" s="76"/>
      <c r="S246" s="156"/>
      <c r="T246" s="156"/>
      <c r="U246" s="156"/>
      <c r="V246" s="156"/>
      <c r="W246" s="156"/>
      <c r="X246" s="156"/>
      <c r="Y246" s="156"/>
      <c r="Z246" s="156"/>
      <c r="AA246" s="156"/>
      <c r="AB246" s="156"/>
      <c r="AC246" s="156"/>
      <c r="AD246" s="156"/>
      <c r="AE246" s="156"/>
      <c r="AF246" s="156"/>
      <c r="AG246" s="156"/>
      <c r="AH246" s="156"/>
      <c r="AI246" s="156"/>
      <c r="AJ246" s="156"/>
      <c r="AK246" s="156"/>
      <c r="AL246" s="156"/>
      <c r="AM246" s="156"/>
      <c r="AN246" s="156"/>
      <c r="AO246" s="156"/>
      <c r="AP246" s="156"/>
      <c r="AQ246" s="156"/>
      <c r="AR246" s="156"/>
      <c r="AS246" s="156"/>
      <c r="AT246" s="156"/>
      <c r="AU246" s="156"/>
      <c r="AV246" s="156"/>
      <c r="AW246" s="156"/>
      <c r="AX246" s="156"/>
      <c r="AY246" s="156"/>
      <c r="AZ246" s="156"/>
      <c r="BA246" s="156"/>
      <c r="BB246" s="156"/>
      <c r="BC246" s="156"/>
      <c r="BD246" s="156"/>
      <c r="BE246" s="156"/>
      <c r="BF246" s="156"/>
      <c r="BG246" s="156"/>
      <c r="BH246" s="156"/>
      <c r="BI246" s="156"/>
      <c r="BJ246" s="156"/>
      <c r="BK246" s="156"/>
      <c r="BL246" s="156"/>
      <c r="BM246" s="156"/>
      <c r="BN246" s="156"/>
      <c r="BO246" s="156"/>
      <c r="BP246" s="156"/>
      <c r="BQ246" s="156"/>
      <c r="BR246" s="156"/>
      <c r="BS246" s="156"/>
      <c r="BT246" s="156"/>
      <c r="BU246" s="156"/>
      <c r="BV246" s="156"/>
      <c r="BW246" s="156"/>
      <c r="BX246" s="156"/>
      <c r="BY246" s="156"/>
      <c r="BZ246" s="156"/>
      <c r="CA246" s="156"/>
      <c r="CB246" s="156"/>
      <c r="CC246" s="156"/>
      <c r="CD246" s="156"/>
      <c r="CE246" s="156"/>
      <c r="CF246" s="156"/>
      <c r="CG246" s="156"/>
      <c r="CH246" s="156"/>
      <c r="CI246" s="156"/>
      <c r="CJ246" s="156"/>
      <c r="CK246" s="156"/>
      <c r="CL246" s="156"/>
      <c r="CM246" s="156"/>
      <c r="CN246" s="156"/>
      <c r="CO246" s="156"/>
      <c r="CP246" s="156"/>
      <c r="CQ246" s="156"/>
      <c r="CR246" s="156"/>
      <c r="CS246" s="156"/>
      <c r="CT246" s="156"/>
      <c r="CU246" s="156"/>
      <c r="CV246" s="156"/>
      <c r="CW246" s="156"/>
      <c r="CX246" s="156"/>
      <c r="CY246" s="156"/>
      <c r="CZ246" s="156"/>
      <c r="DA246" s="156"/>
      <c r="DB246" s="156"/>
      <c r="DC246" s="156"/>
      <c r="DD246" s="156"/>
      <c r="DE246" s="156"/>
      <c r="DF246" s="156"/>
      <c r="DG246" s="156"/>
      <c r="DH246" s="156"/>
      <c r="DI246" s="156"/>
      <c r="DJ246" s="156"/>
      <c r="DK246" s="156"/>
      <c r="DL246" s="156"/>
      <c r="DM246" s="156"/>
      <c r="DN246" s="156"/>
      <c r="DO246" s="156"/>
      <c r="DP246" s="156"/>
      <c r="DQ246" s="156"/>
      <c r="DR246" s="156"/>
      <c r="DS246" s="156"/>
      <c r="DT246" s="156"/>
      <c r="DU246" s="156"/>
      <c r="DV246" s="156"/>
      <c r="DW246" s="156"/>
      <c r="DX246" s="156"/>
      <c r="DY246" s="156"/>
      <c r="DZ246" s="156"/>
      <c r="EA246" s="156"/>
      <c r="EB246" s="156"/>
      <c r="EC246" s="156"/>
      <c r="ED246" s="156"/>
      <c r="EE246" s="156"/>
      <c r="EF246" s="156"/>
      <c r="EG246" s="156"/>
      <c r="EH246" s="156"/>
      <c r="EI246" s="156"/>
      <c r="EJ246" s="156"/>
      <c r="EK246" s="156"/>
      <c r="EL246" s="156"/>
      <c r="EM246" s="156"/>
      <c r="EN246" s="156"/>
      <c r="EO246" s="156"/>
      <c r="EP246" s="156"/>
      <c r="EQ246" s="156"/>
      <c r="ER246" s="156"/>
      <c r="ES246" s="156"/>
      <c r="ET246" s="156"/>
      <c r="EU246" s="156"/>
      <c r="EV246" s="156"/>
      <c r="EW246" s="156"/>
      <c r="EX246" s="156"/>
      <c r="EY246" s="156"/>
      <c r="EZ246" s="156"/>
      <c r="FA246" s="156"/>
      <c r="FB246" s="156"/>
      <c r="FC246" s="156"/>
      <c r="FD246" s="156"/>
      <c r="FE246" s="156"/>
      <c r="FF246" s="156"/>
      <c r="FG246" s="156"/>
      <c r="FH246" s="156"/>
      <c r="FI246" s="156"/>
      <c r="FJ246" s="156"/>
      <c r="FK246" s="156"/>
      <c r="FL246" s="156"/>
      <c r="FM246" s="156"/>
      <c r="FN246" s="156"/>
      <c r="FO246" s="156"/>
      <c r="FP246" s="156"/>
      <c r="FQ246" s="156"/>
      <c r="FR246" s="156"/>
      <c r="FS246" s="156"/>
      <c r="FT246" s="156"/>
      <c r="FU246" s="156"/>
      <c r="FV246" s="156"/>
      <c r="FW246" s="156"/>
      <c r="FX246" s="156"/>
      <c r="FY246" s="156"/>
      <c r="FZ246" s="156"/>
      <c r="GA246" s="156"/>
      <c r="GB246" s="156"/>
      <c r="GC246" s="156"/>
      <c r="GD246" s="156"/>
      <c r="GE246" s="156"/>
      <c r="GF246" s="156"/>
      <c r="GG246" s="156"/>
      <c r="GH246" s="156"/>
      <c r="GI246" s="156"/>
      <c r="GJ246" s="156"/>
      <c r="GK246" s="156"/>
      <c r="GL246" s="156"/>
      <c r="GM246" s="156"/>
      <c r="GN246" s="156"/>
      <c r="GO246" s="156"/>
      <c r="GP246" s="156"/>
      <c r="GQ246" s="156"/>
      <c r="GR246" s="156"/>
      <c r="GS246" s="156"/>
      <c r="GT246" s="156"/>
      <c r="GU246" s="156"/>
      <c r="GV246" s="156"/>
      <c r="GW246" s="156"/>
      <c r="GX246" s="156"/>
      <c r="GY246" s="156"/>
      <c r="GZ246" s="156"/>
      <c r="HA246" s="156"/>
      <c r="HB246" s="156"/>
      <c r="HC246" s="156"/>
      <c r="HD246" s="156"/>
      <c r="HE246" s="156"/>
      <c r="HF246" s="156"/>
      <c r="HG246" s="156"/>
      <c r="HH246" s="156"/>
      <c r="HI246" s="156"/>
      <c r="HJ246" s="156"/>
      <c r="HK246" s="156"/>
      <c r="HL246" s="156"/>
      <c r="HM246" s="156"/>
      <c r="HN246" s="156"/>
      <c r="HO246" s="156"/>
      <c r="HP246" s="156"/>
      <c r="HQ246" s="156"/>
      <c r="HR246" s="156"/>
      <c r="HS246" s="156"/>
      <c r="HT246" s="156"/>
      <c r="HU246" s="156"/>
      <c r="HV246" s="156"/>
      <c r="HW246" s="156"/>
      <c r="HX246" s="156"/>
      <c r="HY246" s="156"/>
      <c r="HZ246" s="156"/>
      <c r="IA246" s="156"/>
      <c r="IB246" s="156"/>
      <c r="IC246" s="156"/>
      <c r="ID246" s="156"/>
      <c r="IE246" s="156"/>
      <c r="IF246" s="156"/>
      <c r="IG246" s="156"/>
      <c r="IH246" s="156"/>
      <c r="II246" s="156"/>
      <c r="IJ246" s="156"/>
      <c r="IK246" s="156"/>
      <c r="IL246" s="156"/>
      <c r="IM246" s="156"/>
      <c r="IN246" s="156"/>
      <c r="IO246" s="156"/>
      <c r="IP246" s="156"/>
      <c r="IQ246" s="156"/>
      <c r="IR246" s="156"/>
      <c r="IS246" s="156"/>
      <c r="IT246" s="156"/>
      <c r="IU246" s="156"/>
      <c r="IV246" s="156"/>
      <c r="IW246" s="156"/>
      <c r="IX246" s="156"/>
      <c r="IY246" s="156"/>
      <c r="IZ246" s="156"/>
      <c r="JA246" s="156"/>
      <c r="JB246" s="156"/>
      <c r="JC246" s="156"/>
      <c r="JD246" s="156"/>
      <c r="JE246" s="156"/>
      <c r="JF246" s="156"/>
      <c r="JG246" s="156"/>
      <c r="JH246" s="156"/>
      <c r="JI246" s="156"/>
      <c r="JJ246" s="156"/>
      <c r="JK246" s="156"/>
      <c r="JL246" s="156"/>
      <c r="JM246" s="156"/>
      <c r="JN246" s="156"/>
      <c r="JO246" s="156"/>
      <c r="JP246" s="156"/>
      <c r="JQ246" s="156"/>
      <c r="JR246" s="156"/>
      <c r="JS246" s="156"/>
      <c r="JT246" s="156"/>
      <c r="JU246" s="156"/>
      <c r="JV246" s="156"/>
      <c r="JW246" s="156"/>
      <c r="JX246" s="156"/>
      <c r="JY246" s="156"/>
      <c r="JZ246" s="156"/>
      <c r="KA246" s="156"/>
      <c r="KB246" s="156"/>
      <c r="KC246" s="212"/>
      <c r="KD246" s="212"/>
      <c r="KE246" s="212"/>
      <c r="KF246" s="212"/>
      <c r="KG246" s="212"/>
      <c r="KH246" s="212"/>
      <c r="KI246" s="212"/>
      <c r="KJ246" s="212"/>
      <c r="KK246" s="212"/>
      <c r="KL246" s="212"/>
      <c r="KM246" s="212"/>
      <c r="KN246" s="212"/>
      <c r="KO246" s="212"/>
      <c r="KP246" s="212"/>
      <c r="KQ246" s="212"/>
      <c r="KR246" s="212"/>
      <c r="KS246" s="212"/>
      <c r="KT246" s="212"/>
      <c r="KU246" s="212">
        <v>1.2E-4</v>
      </c>
      <c r="KV246" s="212"/>
      <c r="KW246" s="212"/>
      <c r="KX246" s="212">
        <v>1.9000000000000001E-4</v>
      </c>
      <c r="KY246" s="212"/>
      <c r="KZ246" s="218"/>
      <c r="LA246" s="211">
        <v>1.9000000000000001E-4</v>
      </c>
      <c r="LB246" s="212"/>
      <c r="LC246" s="213"/>
      <c r="LD246" s="220">
        <v>1.9000000000000001E-4</v>
      </c>
      <c r="LE246" s="212"/>
      <c r="LF246" s="212"/>
      <c r="LG246" s="212">
        <v>1.9000000000000001E-4</v>
      </c>
      <c r="LH246" s="212"/>
      <c r="LI246" s="212"/>
      <c r="LJ246" s="212">
        <v>1.9000000000000001E-4</v>
      </c>
      <c r="LK246" s="212"/>
      <c r="LL246" s="212"/>
      <c r="LM246" s="212">
        <v>1.9000000000000001E-4</v>
      </c>
      <c r="LN246" s="212"/>
      <c r="LO246" s="212"/>
      <c r="LP246" s="212">
        <v>1.9000000000000001E-4</v>
      </c>
      <c r="LQ246" s="212"/>
      <c r="LR246" s="212"/>
      <c r="LS246" s="212">
        <v>1.9000000000000001E-4</v>
      </c>
      <c r="LT246" s="212"/>
      <c r="LU246" s="212"/>
      <c r="LV246" s="212">
        <v>1.9000000000000001E-4</v>
      </c>
      <c r="LW246" s="212"/>
      <c r="LX246" s="212"/>
      <c r="LY246" s="212">
        <v>1.9000000000000001E-4</v>
      </c>
      <c r="LZ246" s="212"/>
      <c r="MA246" s="212"/>
      <c r="MB246" s="212">
        <v>1.6000000000000001E-4</v>
      </c>
      <c r="MC246" s="212"/>
      <c r="MD246" s="212"/>
      <c r="ME246" s="212"/>
      <c r="MF246" s="212"/>
      <c r="MG246" s="212"/>
      <c r="MH246" s="212"/>
      <c r="MI246" s="212"/>
      <c r="MJ246" s="212"/>
      <c r="MK246" s="212"/>
      <c r="ML246" s="212"/>
      <c r="MM246" s="212"/>
      <c r="MN246" s="212"/>
      <c r="MO246" s="212"/>
      <c r="MP246" s="212"/>
      <c r="MQ246" s="212"/>
      <c r="MR246" s="212"/>
      <c r="MS246" s="212"/>
      <c r="MT246" s="212"/>
      <c r="MU246" s="212"/>
      <c r="MV246" s="212"/>
      <c r="MW246" s="212"/>
      <c r="MX246" s="212"/>
      <c r="MY246" s="212"/>
      <c r="MZ246" s="212"/>
      <c r="NA246" s="212"/>
      <c r="NB246" s="212"/>
      <c r="NC246" s="219"/>
      <c r="ND246" s="219"/>
      <c r="NE246" s="413"/>
      <c r="NG246" s="275">
        <f>SUM(R246:NE246)</f>
        <v>2.1800000000000005E-3</v>
      </c>
      <c r="NH246" s="1"/>
      <c r="NI246" s="1"/>
      <c r="NJ246" s="1"/>
      <c r="NK246" s="1"/>
      <c r="NL246" s="7"/>
      <c r="NM246" s="7"/>
    </row>
    <row r="247" spans="5:377" s="6" customFormat="1" ht="6.95" customHeight="1">
      <c r="F247" s="196"/>
      <c r="G247" s="197"/>
      <c r="H247" s="52">
        <v>2</v>
      </c>
      <c r="L247" s="396"/>
      <c r="M247" s="397"/>
      <c r="N247" s="335"/>
      <c r="O247" s="330"/>
      <c r="P247" s="308"/>
      <c r="Q247" s="237"/>
      <c r="R247" s="6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39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1"/>
      <c r="CA247" s="39"/>
      <c r="CB247" s="40"/>
      <c r="CC247" s="40"/>
      <c r="CD247" s="40"/>
      <c r="CE247" s="40"/>
      <c r="CF247" s="40"/>
      <c r="CG247" s="40"/>
      <c r="CH247" s="40"/>
      <c r="CI247" s="40"/>
      <c r="CJ247" s="40"/>
      <c r="CK247" s="40"/>
      <c r="CL247" s="40"/>
      <c r="CM247" s="40"/>
      <c r="CN247" s="40"/>
      <c r="CO247" s="40"/>
      <c r="CP247" s="40"/>
      <c r="CQ247" s="40"/>
      <c r="CR247" s="40"/>
      <c r="CS247" s="40"/>
      <c r="CT247" s="40"/>
      <c r="CU247" s="40"/>
      <c r="CV247" s="40"/>
      <c r="CW247" s="40"/>
      <c r="CX247" s="40"/>
      <c r="CY247" s="40"/>
      <c r="CZ247" s="40"/>
      <c r="DA247" s="40"/>
      <c r="DB247" s="40"/>
      <c r="DC247" s="40"/>
      <c r="DD247" s="40"/>
      <c r="DE247" s="39"/>
      <c r="DF247" s="40"/>
      <c r="DG247" s="40"/>
      <c r="DH247" s="40"/>
      <c r="DI247" s="40"/>
      <c r="DJ247" s="40"/>
      <c r="DK247" s="40"/>
      <c r="DL247" s="40"/>
      <c r="DM247" s="40"/>
      <c r="DN247" s="40"/>
      <c r="DO247" s="40"/>
      <c r="DP247" s="40"/>
      <c r="DQ247" s="40"/>
      <c r="DR247" s="40"/>
      <c r="DS247" s="40"/>
      <c r="DT247" s="40"/>
      <c r="DU247" s="40"/>
      <c r="DV247" s="40"/>
      <c r="DW247" s="40"/>
      <c r="DX247" s="40"/>
      <c r="DY247" s="40"/>
      <c r="DZ247" s="40"/>
      <c r="EA247" s="40"/>
      <c r="EB247" s="40"/>
      <c r="EC247" s="40"/>
      <c r="ED247" s="40"/>
      <c r="EE247" s="40"/>
      <c r="EF247" s="40"/>
      <c r="EG247" s="40"/>
      <c r="EH247" s="40"/>
      <c r="EI247" s="39"/>
      <c r="EJ247" s="40"/>
      <c r="EK247" s="40"/>
      <c r="EL247" s="40"/>
      <c r="EM247" s="40"/>
      <c r="EN247" s="40"/>
      <c r="EO247" s="40"/>
      <c r="EP247" s="40"/>
      <c r="EQ247" s="40"/>
      <c r="ER247" s="40"/>
      <c r="ES247" s="40"/>
      <c r="ET247" s="40"/>
      <c r="EU247" s="40"/>
      <c r="EV247" s="40"/>
      <c r="EW247" s="40"/>
      <c r="EX247" s="40"/>
      <c r="EY247" s="40"/>
      <c r="EZ247" s="40"/>
      <c r="FA247" s="40"/>
      <c r="FB247" s="40"/>
      <c r="FC247" s="40"/>
      <c r="FD247" s="40"/>
      <c r="FE247" s="40"/>
      <c r="FF247" s="40"/>
      <c r="FG247" s="40"/>
      <c r="FH247" s="40"/>
      <c r="FI247" s="40"/>
      <c r="FJ247" s="40"/>
      <c r="FK247" s="40"/>
      <c r="FL247" s="40"/>
      <c r="FM247" s="39"/>
      <c r="FN247" s="40"/>
      <c r="FO247" s="40"/>
      <c r="FP247" s="40"/>
      <c r="FQ247" s="40"/>
      <c r="FR247" s="40"/>
      <c r="FS247" s="40"/>
      <c r="FT247" s="40"/>
      <c r="FU247" s="40"/>
      <c r="FV247" s="40"/>
      <c r="FW247" s="40"/>
      <c r="FX247" s="40"/>
      <c r="FY247" s="40"/>
      <c r="FZ247" s="40"/>
      <c r="GA247" s="40"/>
      <c r="GB247" s="40"/>
      <c r="GC247" s="40"/>
      <c r="GD247" s="40"/>
      <c r="GE247" s="40"/>
      <c r="GF247" s="40"/>
      <c r="GG247" s="40"/>
      <c r="GH247" s="40"/>
      <c r="GI247" s="40"/>
      <c r="GJ247" s="40"/>
      <c r="GK247" s="40"/>
      <c r="GL247" s="40"/>
      <c r="GM247" s="40"/>
      <c r="GN247" s="40"/>
      <c r="GO247" s="40"/>
      <c r="GP247" s="40"/>
      <c r="GQ247" s="39"/>
      <c r="GR247" s="40"/>
      <c r="GS247" s="40"/>
      <c r="GT247" s="40"/>
      <c r="GU247" s="40"/>
      <c r="GV247" s="40"/>
      <c r="GW247" s="40"/>
      <c r="GX247" s="40"/>
      <c r="GY247" s="40"/>
      <c r="GZ247" s="40"/>
      <c r="HA247" s="40"/>
      <c r="HB247" s="40"/>
      <c r="HC247" s="40"/>
      <c r="HD247" s="40"/>
      <c r="HE247" s="40"/>
      <c r="HF247" s="40"/>
      <c r="HG247" s="40"/>
      <c r="HH247" s="40"/>
      <c r="HI247" s="40"/>
      <c r="HJ247" s="40"/>
      <c r="HK247" s="40"/>
      <c r="HL247" s="40"/>
      <c r="HM247" s="40"/>
      <c r="HN247" s="40"/>
      <c r="HO247" s="40"/>
      <c r="HP247" s="40"/>
      <c r="HQ247" s="40"/>
      <c r="HR247" s="40"/>
      <c r="HS247" s="40"/>
      <c r="HT247" s="40"/>
      <c r="HU247" s="39"/>
      <c r="HV247" s="40"/>
      <c r="HW247" s="40"/>
      <c r="HX247" s="40"/>
      <c r="HY247" s="40"/>
      <c r="HZ247" s="40"/>
      <c r="IA247" s="40"/>
      <c r="IB247" s="40"/>
      <c r="IC247" s="40"/>
      <c r="ID247" s="40"/>
      <c r="IE247" s="40"/>
      <c r="IF247" s="40"/>
      <c r="IG247" s="40"/>
      <c r="IH247" s="40"/>
      <c r="II247" s="40"/>
      <c r="IJ247" s="40"/>
      <c r="IK247" s="40"/>
      <c r="IL247" s="40"/>
      <c r="IM247" s="40"/>
      <c r="IN247" s="40"/>
      <c r="IO247" s="40"/>
      <c r="IP247" s="40"/>
      <c r="IQ247" s="40"/>
      <c r="IR247" s="40"/>
      <c r="IS247" s="40"/>
      <c r="IT247" s="40"/>
      <c r="IU247" s="40"/>
      <c r="IV247" s="40"/>
      <c r="IW247" s="40"/>
      <c r="IX247" s="40"/>
      <c r="IY247" s="39"/>
      <c r="IZ247" s="40"/>
      <c r="JA247" s="40"/>
      <c r="JB247" s="40"/>
      <c r="JC247" s="40"/>
      <c r="JD247" s="40"/>
      <c r="JE247" s="40"/>
      <c r="JF247" s="40"/>
      <c r="JG247" s="40"/>
      <c r="JH247" s="40"/>
      <c r="JI247" s="40"/>
      <c r="JJ247" s="40"/>
      <c r="JK247" s="40"/>
      <c r="JL247" s="40"/>
      <c r="JM247" s="40"/>
      <c r="JN247" s="40"/>
      <c r="JO247" s="40"/>
      <c r="JP247" s="40"/>
      <c r="JQ247" s="40"/>
      <c r="JR247" s="40"/>
      <c r="JS247" s="40"/>
      <c r="JT247" s="40"/>
      <c r="JU247" s="40"/>
      <c r="JV247" s="40"/>
      <c r="JW247" s="40"/>
      <c r="JX247" s="40"/>
      <c r="JY247" s="40"/>
      <c r="JZ247" s="40"/>
      <c r="KA247" s="40"/>
      <c r="KB247" s="40"/>
      <c r="KC247" s="39"/>
      <c r="KD247" s="40"/>
      <c r="KE247" s="41"/>
      <c r="KF247" s="39"/>
      <c r="KG247" s="40"/>
      <c r="KH247" s="41"/>
      <c r="KI247" s="39"/>
      <c r="KJ247" s="40"/>
      <c r="KK247" s="41"/>
      <c r="KL247" s="39"/>
      <c r="KM247" s="40"/>
      <c r="KN247" s="41"/>
      <c r="KO247" s="39"/>
      <c r="KP247" s="40"/>
      <c r="KQ247" s="41"/>
      <c r="KR247" s="39"/>
      <c r="KS247" s="40"/>
      <c r="KT247" s="41"/>
      <c r="KU247" s="61"/>
      <c r="KV247" s="62"/>
      <c r="KW247" s="63"/>
      <c r="KX247" s="61"/>
      <c r="KY247" s="62"/>
      <c r="KZ247" s="63"/>
      <c r="LA247" s="61"/>
      <c r="LB247" s="62"/>
      <c r="LC247" s="63"/>
      <c r="LD247" s="61"/>
      <c r="LE247" s="62"/>
      <c r="LF247" s="63"/>
      <c r="LG247" s="61"/>
      <c r="LH247" s="62"/>
      <c r="LI247" s="63"/>
      <c r="LJ247" s="61"/>
      <c r="LK247" s="62"/>
      <c r="LL247" s="63"/>
      <c r="LM247" s="61"/>
      <c r="LN247" s="62"/>
      <c r="LO247" s="63"/>
      <c r="LP247" s="61"/>
      <c r="LQ247" s="62"/>
      <c r="LR247" s="63"/>
      <c r="LS247" s="61"/>
      <c r="LT247" s="62"/>
      <c r="LU247" s="63"/>
      <c r="LV247" s="61"/>
      <c r="LW247" s="62"/>
      <c r="LX247" s="63"/>
      <c r="LY247" s="61"/>
      <c r="LZ247" s="62"/>
      <c r="MA247" s="63"/>
      <c r="MB247" s="61"/>
      <c r="MC247" s="62"/>
      <c r="MD247" s="63"/>
      <c r="ME247" s="40"/>
      <c r="MF247" s="40"/>
      <c r="MG247" s="40"/>
      <c r="MH247" s="39"/>
      <c r="MI247" s="40"/>
      <c r="MJ247" s="41"/>
      <c r="MK247" s="40"/>
      <c r="ML247" s="40"/>
      <c r="MM247" s="40"/>
      <c r="MN247" s="39"/>
      <c r="MO247" s="40"/>
      <c r="MP247" s="41"/>
      <c r="MQ247" s="39"/>
      <c r="MR247" s="40"/>
      <c r="MS247" s="41"/>
      <c r="MT247" s="39"/>
      <c r="MU247" s="40"/>
      <c r="MV247" s="41"/>
      <c r="MW247" s="39"/>
      <c r="MX247" s="40"/>
      <c r="MY247" s="41"/>
      <c r="MZ247" s="39"/>
      <c r="NA247" s="40"/>
      <c r="NB247" s="41"/>
      <c r="NC247" s="40"/>
      <c r="ND247" s="40"/>
      <c r="NE247" s="42"/>
      <c r="NG247" s="275"/>
      <c r="NH247" s="1"/>
      <c r="NI247" s="1"/>
      <c r="NJ247" s="1"/>
      <c r="NK247" s="1"/>
      <c r="NL247" s="7"/>
      <c r="NM247" s="7"/>
    </row>
    <row r="248" spans="5:377" s="6" customFormat="1" ht="9.9499999999999993" customHeight="1">
      <c r="F248" s="196">
        <f t="shared" ref="F248" si="592">NG248</f>
        <v>6.8000000000000027E-4</v>
      </c>
      <c r="G248" s="197">
        <f>Q248-F248</f>
        <v>0</v>
      </c>
      <c r="H248" s="27">
        <v>1</v>
      </c>
      <c r="L248" s="394" t="s">
        <v>23</v>
      </c>
      <c r="M248" s="395"/>
      <c r="N248" s="334">
        <v>21</v>
      </c>
      <c r="O248" s="329" t="s">
        <v>25</v>
      </c>
      <c r="P248" s="307">
        <v>142023</v>
      </c>
      <c r="Q248" s="236">
        <f>ROUND(P248/$P$256,5)</f>
        <v>6.8000000000000005E-4</v>
      </c>
      <c r="R248" s="76"/>
      <c r="S248" s="143">
        <f>0.024%/30</f>
        <v>7.9999999999999996E-6</v>
      </c>
      <c r="T248" s="143">
        <f t="shared" ref="T248:AV248" si="593">0.024%/30</f>
        <v>7.9999999999999996E-6</v>
      </c>
      <c r="U248" s="143">
        <f t="shared" si="593"/>
        <v>7.9999999999999996E-6</v>
      </c>
      <c r="V248" s="143">
        <f t="shared" si="593"/>
        <v>7.9999999999999996E-6</v>
      </c>
      <c r="W248" s="143">
        <f t="shared" si="593"/>
        <v>7.9999999999999996E-6</v>
      </c>
      <c r="X248" s="143">
        <f t="shared" si="593"/>
        <v>7.9999999999999996E-6</v>
      </c>
      <c r="Y248" s="143">
        <f t="shared" si="593"/>
        <v>7.9999999999999996E-6</v>
      </c>
      <c r="Z248" s="143">
        <f t="shared" si="593"/>
        <v>7.9999999999999996E-6</v>
      </c>
      <c r="AA248" s="143">
        <f t="shared" si="593"/>
        <v>7.9999999999999996E-6</v>
      </c>
      <c r="AB248" s="143">
        <f t="shared" si="593"/>
        <v>7.9999999999999996E-6</v>
      </c>
      <c r="AC248" s="143">
        <f t="shared" si="593"/>
        <v>7.9999999999999996E-6</v>
      </c>
      <c r="AD248" s="143">
        <f t="shared" si="593"/>
        <v>7.9999999999999996E-6</v>
      </c>
      <c r="AE248" s="143">
        <f t="shared" si="593"/>
        <v>7.9999999999999996E-6</v>
      </c>
      <c r="AF248" s="143">
        <f t="shared" si="593"/>
        <v>7.9999999999999996E-6</v>
      </c>
      <c r="AG248" s="143">
        <f t="shared" si="593"/>
        <v>7.9999999999999996E-6</v>
      </c>
      <c r="AH248" s="143">
        <f t="shared" si="593"/>
        <v>7.9999999999999996E-6</v>
      </c>
      <c r="AI248" s="143">
        <f t="shared" si="593"/>
        <v>7.9999999999999996E-6</v>
      </c>
      <c r="AJ248" s="143">
        <f t="shared" si="593"/>
        <v>7.9999999999999996E-6</v>
      </c>
      <c r="AK248" s="143">
        <f t="shared" si="593"/>
        <v>7.9999999999999996E-6</v>
      </c>
      <c r="AL248" s="143">
        <f t="shared" si="593"/>
        <v>7.9999999999999996E-6</v>
      </c>
      <c r="AM248" s="143">
        <f t="shared" si="593"/>
        <v>7.9999999999999996E-6</v>
      </c>
      <c r="AN248" s="143">
        <f t="shared" si="593"/>
        <v>7.9999999999999996E-6</v>
      </c>
      <c r="AO248" s="143">
        <f t="shared" si="593"/>
        <v>7.9999999999999996E-6</v>
      </c>
      <c r="AP248" s="143">
        <f t="shared" si="593"/>
        <v>7.9999999999999996E-6</v>
      </c>
      <c r="AQ248" s="143">
        <f t="shared" si="593"/>
        <v>7.9999999999999996E-6</v>
      </c>
      <c r="AR248" s="143">
        <f t="shared" si="593"/>
        <v>7.9999999999999996E-6</v>
      </c>
      <c r="AS248" s="143">
        <f t="shared" si="593"/>
        <v>7.9999999999999996E-6</v>
      </c>
      <c r="AT248" s="143">
        <f t="shared" si="593"/>
        <v>7.9999999999999996E-6</v>
      </c>
      <c r="AU248" s="143">
        <f t="shared" si="593"/>
        <v>7.9999999999999996E-6</v>
      </c>
      <c r="AV248" s="143">
        <f t="shared" si="593"/>
        <v>7.9999999999999996E-6</v>
      </c>
      <c r="AW248" s="156">
        <f>0.022%/30</f>
        <v>7.3333333333333323E-6</v>
      </c>
      <c r="AX248" s="156">
        <f>AW248</f>
        <v>7.3333333333333323E-6</v>
      </c>
      <c r="AY248" s="156">
        <f t="shared" ref="AY248:BZ248" si="594">AX248</f>
        <v>7.3333333333333323E-6</v>
      </c>
      <c r="AZ248" s="156">
        <f t="shared" si="594"/>
        <v>7.3333333333333323E-6</v>
      </c>
      <c r="BA248" s="156">
        <f t="shared" si="594"/>
        <v>7.3333333333333323E-6</v>
      </c>
      <c r="BB248" s="156">
        <f t="shared" si="594"/>
        <v>7.3333333333333323E-6</v>
      </c>
      <c r="BC248" s="156">
        <f t="shared" si="594"/>
        <v>7.3333333333333323E-6</v>
      </c>
      <c r="BD248" s="156">
        <f t="shared" si="594"/>
        <v>7.3333333333333323E-6</v>
      </c>
      <c r="BE248" s="156">
        <f t="shared" si="594"/>
        <v>7.3333333333333323E-6</v>
      </c>
      <c r="BF248" s="156">
        <f t="shared" si="594"/>
        <v>7.3333333333333323E-6</v>
      </c>
      <c r="BG248" s="156">
        <f t="shared" si="594"/>
        <v>7.3333333333333323E-6</v>
      </c>
      <c r="BH248" s="156">
        <f t="shared" si="594"/>
        <v>7.3333333333333323E-6</v>
      </c>
      <c r="BI248" s="156">
        <f t="shared" si="594"/>
        <v>7.3333333333333323E-6</v>
      </c>
      <c r="BJ248" s="156">
        <f t="shared" si="594"/>
        <v>7.3333333333333323E-6</v>
      </c>
      <c r="BK248" s="156">
        <f t="shared" si="594"/>
        <v>7.3333333333333323E-6</v>
      </c>
      <c r="BL248" s="156">
        <f t="shared" si="594"/>
        <v>7.3333333333333323E-6</v>
      </c>
      <c r="BM248" s="156">
        <f t="shared" si="594"/>
        <v>7.3333333333333323E-6</v>
      </c>
      <c r="BN248" s="156">
        <f t="shared" si="594"/>
        <v>7.3333333333333323E-6</v>
      </c>
      <c r="BO248" s="156">
        <f t="shared" si="594"/>
        <v>7.3333333333333323E-6</v>
      </c>
      <c r="BP248" s="156">
        <f t="shared" si="594"/>
        <v>7.3333333333333323E-6</v>
      </c>
      <c r="BQ248" s="156">
        <f t="shared" si="594"/>
        <v>7.3333333333333323E-6</v>
      </c>
      <c r="BR248" s="156">
        <f t="shared" si="594"/>
        <v>7.3333333333333323E-6</v>
      </c>
      <c r="BS248" s="156">
        <f t="shared" si="594"/>
        <v>7.3333333333333323E-6</v>
      </c>
      <c r="BT248" s="156">
        <f t="shared" si="594"/>
        <v>7.3333333333333323E-6</v>
      </c>
      <c r="BU248" s="156">
        <f t="shared" si="594"/>
        <v>7.3333333333333323E-6</v>
      </c>
      <c r="BV248" s="156">
        <f t="shared" si="594"/>
        <v>7.3333333333333323E-6</v>
      </c>
      <c r="BW248" s="156">
        <f t="shared" si="594"/>
        <v>7.3333333333333323E-6</v>
      </c>
      <c r="BX248" s="156">
        <f t="shared" si="594"/>
        <v>7.3333333333333323E-6</v>
      </c>
      <c r="BY248" s="156">
        <f t="shared" si="594"/>
        <v>7.3333333333333323E-6</v>
      </c>
      <c r="BZ248" s="156">
        <f t="shared" si="594"/>
        <v>7.3333333333333323E-6</v>
      </c>
      <c r="CA248" s="179">
        <f>0.022%/30</f>
        <v>7.3333333333333323E-6</v>
      </c>
      <c r="CB248" s="156">
        <f>CA248</f>
        <v>7.3333333333333323E-6</v>
      </c>
      <c r="CC248" s="156">
        <f t="shared" ref="CC248:DD248" si="595">CB248</f>
        <v>7.3333333333333323E-6</v>
      </c>
      <c r="CD248" s="156">
        <f t="shared" si="595"/>
        <v>7.3333333333333323E-6</v>
      </c>
      <c r="CE248" s="156">
        <f t="shared" si="595"/>
        <v>7.3333333333333323E-6</v>
      </c>
      <c r="CF248" s="156">
        <f t="shared" si="595"/>
        <v>7.3333333333333323E-6</v>
      </c>
      <c r="CG248" s="156">
        <f t="shared" si="595"/>
        <v>7.3333333333333323E-6</v>
      </c>
      <c r="CH248" s="156">
        <f t="shared" si="595"/>
        <v>7.3333333333333323E-6</v>
      </c>
      <c r="CI248" s="156">
        <f t="shared" si="595"/>
        <v>7.3333333333333323E-6</v>
      </c>
      <c r="CJ248" s="156">
        <f t="shared" si="595"/>
        <v>7.3333333333333323E-6</v>
      </c>
      <c r="CK248" s="156">
        <f t="shared" si="595"/>
        <v>7.3333333333333323E-6</v>
      </c>
      <c r="CL248" s="156">
        <f t="shared" si="595"/>
        <v>7.3333333333333323E-6</v>
      </c>
      <c r="CM248" s="156">
        <f t="shared" si="595"/>
        <v>7.3333333333333323E-6</v>
      </c>
      <c r="CN248" s="156">
        <f t="shared" si="595"/>
        <v>7.3333333333333323E-6</v>
      </c>
      <c r="CO248" s="156">
        <f t="shared" si="595"/>
        <v>7.3333333333333323E-6</v>
      </c>
      <c r="CP248" s="156">
        <f t="shared" si="595"/>
        <v>7.3333333333333323E-6</v>
      </c>
      <c r="CQ248" s="156">
        <f t="shared" si="595"/>
        <v>7.3333333333333323E-6</v>
      </c>
      <c r="CR248" s="156">
        <f t="shared" si="595"/>
        <v>7.3333333333333323E-6</v>
      </c>
      <c r="CS248" s="156">
        <f t="shared" si="595"/>
        <v>7.3333333333333323E-6</v>
      </c>
      <c r="CT248" s="156">
        <f t="shared" si="595"/>
        <v>7.3333333333333323E-6</v>
      </c>
      <c r="CU248" s="156">
        <f t="shared" si="595"/>
        <v>7.3333333333333323E-6</v>
      </c>
      <c r="CV248" s="156">
        <f t="shared" si="595"/>
        <v>7.3333333333333323E-6</v>
      </c>
      <c r="CW248" s="156">
        <f t="shared" si="595"/>
        <v>7.3333333333333323E-6</v>
      </c>
      <c r="CX248" s="156">
        <f t="shared" si="595"/>
        <v>7.3333333333333323E-6</v>
      </c>
      <c r="CY248" s="156">
        <f t="shared" si="595"/>
        <v>7.3333333333333323E-6</v>
      </c>
      <c r="CZ248" s="156">
        <f t="shared" si="595"/>
        <v>7.3333333333333323E-6</v>
      </c>
      <c r="DA248" s="156">
        <f t="shared" si="595"/>
        <v>7.3333333333333323E-6</v>
      </c>
      <c r="DB248" s="156">
        <f t="shared" si="595"/>
        <v>7.3333333333333323E-6</v>
      </c>
      <c r="DC248" s="156">
        <f t="shared" si="595"/>
        <v>7.3333333333333323E-6</v>
      </c>
      <c r="DD248" s="156">
        <f t="shared" si="595"/>
        <v>7.3333333333333323E-6</v>
      </c>
      <c r="DE248" s="179"/>
      <c r="DF248" s="143"/>
      <c r="DG248" s="143"/>
      <c r="DH248" s="143"/>
      <c r="DI248" s="143"/>
      <c r="DJ248" s="143"/>
      <c r="DK248" s="143"/>
      <c r="DL248" s="143"/>
      <c r="DM248" s="143"/>
      <c r="DN248" s="143"/>
      <c r="DO248" s="143"/>
      <c r="DP248" s="143"/>
      <c r="DQ248" s="143"/>
      <c r="DR248" s="143"/>
      <c r="DS248" s="143"/>
      <c r="DT248" s="143"/>
      <c r="DU248" s="143"/>
      <c r="DV248" s="143"/>
      <c r="DW248" s="143"/>
      <c r="DX248" s="143"/>
      <c r="DY248" s="143"/>
      <c r="DZ248" s="143"/>
      <c r="EA248" s="143"/>
      <c r="EB248" s="143"/>
      <c r="EC248" s="143"/>
      <c r="ED248" s="143"/>
      <c r="EE248" s="143"/>
      <c r="EF248" s="143"/>
      <c r="EG248" s="143"/>
      <c r="EH248" s="143"/>
      <c r="EI248" s="179"/>
      <c r="EJ248" s="143"/>
      <c r="EK248" s="143"/>
      <c r="EL248" s="143"/>
      <c r="EM248" s="143"/>
      <c r="EN248" s="143"/>
      <c r="EO248" s="143"/>
      <c r="EP248" s="143"/>
      <c r="EQ248" s="143"/>
      <c r="ER248" s="143"/>
      <c r="ES248" s="143"/>
      <c r="ET248" s="143"/>
      <c r="EU248" s="143"/>
      <c r="EV248" s="143"/>
      <c r="EW248" s="143"/>
      <c r="EX248" s="143"/>
      <c r="EY248" s="143"/>
      <c r="EZ248" s="143"/>
      <c r="FA248" s="143"/>
      <c r="FB248" s="143"/>
      <c r="FC248" s="143"/>
      <c r="FD248" s="143"/>
      <c r="FE248" s="143"/>
      <c r="FF248" s="143"/>
      <c r="FG248" s="143"/>
      <c r="FH248" s="143"/>
      <c r="FI248" s="143"/>
      <c r="FJ248" s="143"/>
      <c r="FK248" s="143"/>
      <c r="FL248" s="143"/>
      <c r="FM248" s="179"/>
      <c r="FN248" s="143"/>
      <c r="FO248" s="143"/>
      <c r="FP248" s="143"/>
      <c r="FQ248" s="143"/>
      <c r="FR248" s="143"/>
      <c r="FS248" s="143"/>
      <c r="FT248" s="143"/>
      <c r="FU248" s="143"/>
      <c r="FV248" s="143"/>
      <c r="FW248" s="143"/>
      <c r="FX248" s="143"/>
      <c r="FY248" s="143"/>
      <c r="FZ248" s="143"/>
      <c r="GA248" s="143"/>
      <c r="GB248" s="143"/>
      <c r="GC248" s="143"/>
      <c r="GD248" s="143"/>
      <c r="GE248" s="143"/>
      <c r="GF248" s="143"/>
      <c r="GG248" s="143"/>
      <c r="GH248" s="143"/>
      <c r="GI248" s="143"/>
      <c r="GJ248" s="143"/>
      <c r="GK248" s="143"/>
      <c r="GL248" s="143"/>
      <c r="GM248" s="143"/>
      <c r="GN248" s="143"/>
      <c r="GO248" s="143"/>
      <c r="GP248" s="143"/>
      <c r="GQ248" s="179"/>
      <c r="GR248" s="143"/>
      <c r="GS248" s="143"/>
      <c r="GT248" s="143"/>
      <c r="GU248" s="143"/>
      <c r="GV248" s="143"/>
      <c r="GW248" s="143"/>
      <c r="GX248" s="143"/>
      <c r="GY248" s="143"/>
      <c r="GZ248" s="143"/>
      <c r="HA248" s="143"/>
      <c r="HB248" s="143"/>
      <c r="HC248" s="143"/>
      <c r="HD248" s="143"/>
      <c r="HE248" s="143"/>
      <c r="HF248" s="143"/>
      <c r="HG248" s="143"/>
      <c r="HH248" s="143"/>
      <c r="HI248" s="143"/>
      <c r="HJ248" s="143"/>
      <c r="HK248" s="143"/>
      <c r="HL248" s="143"/>
      <c r="HM248" s="143"/>
      <c r="HN248" s="143"/>
      <c r="HO248" s="143"/>
      <c r="HP248" s="143"/>
      <c r="HQ248" s="143"/>
      <c r="HR248" s="143"/>
      <c r="HS248" s="143"/>
      <c r="HT248" s="143"/>
      <c r="HU248" s="156"/>
      <c r="HV248" s="156"/>
      <c r="HW248" s="156"/>
      <c r="HX248" s="156"/>
      <c r="HY248" s="156"/>
      <c r="HZ248" s="156"/>
      <c r="IA248" s="156"/>
      <c r="IB248" s="156"/>
      <c r="IC248" s="156"/>
      <c r="ID248" s="156"/>
      <c r="IE248" s="156"/>
      <c r="IF248" s="156"/>
      <c r="IG248" s="156"/>
      <c r="IH248" s="156"/>
      <c r="II248" s="156"/>
      <c r="IJ248" s="156"/>
      <c r="IK248" s="156"/>
      <c r="IL248" s="156"/>
      <c r="IM248" s="156"/>
      <c r="IN248" s="156"/>
      <c r="IO248" s="156"/>
      <c r="IP248" s="156"/>
      <c r="IQ248" s="156"/>
      <c r="IR248" s="156"/>
      <c r="IS248" s="156"/>
      <c r="IT248" s="156"/>
      <c r="IU248" s="156"/>
      <c r="IV248" s="156"/>
      <c r="IW248" s="156"/>
      <c r="IX248" s="156"/>
      <c r="IY248" s="156"/>
      <c r="IZ248" s="156"/>
      <c r="JA248" s="156"/>
      <c r="JB248" s="156"/>
      <c r="JC248" s="156"/>
      <c r="JD248" s="156"/>
      <c r="JE248" s="156"/>
      <c r="JF248" s="156"/>
      <c r="JG248" s="156"/>
      <c r="JH248" s="156"/>
      <c r="JI248" s="156"/>
      <c r="JJ248" s="156"/>
      <c r="JK248" s="156"/>
      <c r="JL248" s="156"/>
      <c r="JM248" s="156"/>
      <c r="JN248" s="156"/>
      <c r="JO248" s="156"/>
      <c r="JP248" s="156"/>
      <c r="JQ248" s="156"/>
      <c r="JR248" s="156"/>
      <c r="JS248" s="156"/>
      <c r="JT248" s="156"/>
      <c r="JU248" s="156"/>
      <c r="JV248" s="156"/>
      <c r="JW248" s="156"/>
      <c r="JX248" s="156"/>
      <c r="JY248" s="156"/>
      <c r="JZ248" s="156"/>
      <c r="KA248" s="156"/>
      <c r="KB248" s="156"/>
      <c r="KC248" s="212"/>
      <c r="KD248" s="212"/>
      <c r="KE248" s="212"/>
      <c r="KF248" s="212"/>
      <c r="KG248" s="212"/>
      <c r="KH248" s="212"/>
      <c r="KI248" s="212"/>
      <c r="KJ248" s="212"/>
      <c r="KK248" s="212"/>
      <c r="KL248" s="212"/>
      <c r="KM248" s="212"/>
      <c r="KN248" s="212"/>
      <c r="KO248" s="212"/>
      <c r="KP248" s="212"/>
      <c r="KQ248" s="212"/>
      <c r="KR248" s="212"/>
      <c r="KS248" s="212"/>
      <c r="KT248" s="212"/>
      <c r="KU248" s="212"/>
      <c r="KV248" s="212"/>
      <c r="KW248" s="212"/>
      <c r="KX248" s="212"/>
      <c r="KY248" s="212"/>
      <c r="KZ248" s="218"/>
      <c r="LA248" s="211"/>
      <c r="LB248" s="212"/>
      <c r="LC248" s="213"/>
      <c r="LD248" s="220"/>
      <c r="LE248" s="212"/>
      <c r="LF248" s="212"/>
      <c r="LG248" s="212"/>
      <c r="LH248" s="212"/>
      <c r="LI248" s="212"/>
      <c r="LJ248" s="212"/>
      <c r="LK248" s="212"/>
      <c r="LL248" s="212"/>
      <c r="LM248" s="212"/>
      <c r="LN248" s="212"/>
      <c r="LO248" s="212"/>
      <c r="LP248" s="212"/>
      <c r="LQ248" s="212"/>
      <c r="LR248" s="212"/>
      <c r="LS248" s="212"/>
      <c r="LT248" s="212"/>
      <c r="LU248" s="212"/>
      <c r="LV248" s="212"/>
      <c r="LW248" s="212"/>
      <c r="LX248" s="212"/>
      <c r="LY248" s="212"/>
      <c r="LZ248" s="212"/>
      <c r="MA248" s="212"/>
      <c r="MB248" s="212"/>
      <c r="MC248" s="212"/>
      <c r="MD248" s="212"/>
      <c r="ME248" s="212"/>
      <c r="MF248" s="212"/>
      <c r="MG248" s="212"/>
      <c r="MH248" s="212"/>
      <c r="MI248" s="212"/>
      <c r="MJ248" s="212"/>
      <c r="MK248" s="212"/>
      <c r="ML248" s="212"/>
      <c r="MM248" s="212"/>
      <c r="MN248" s="212"/>
      <c r="MO248" s="212"/>
      <c r="MP248" s="212"/>
      <c r="MQ248" s="212"/>
      <c r="MR248" s="212"/>
      <c r="MS248" s="212"/>
      <c r="MT248" s="212"/>
      <c r="MU248" s="212"/>
      <c r="MV248" s="212"/>
      <c r="MW248" s="212"/>
      <c r="MX248" s="212"/>
      <c r="MY248" s="212"/>
      <c r="MZ248" s="212"/>
      <c r="NA248" s="212"/>
      <c r="NB248" s="212"/>
      <c r="NC248" s="212"/>
      <c r="ND248" s="212"/>
      <c r="NE248" s="276"/>
      <c r="NG248" s="275">
        <f>SUM(R248:NE248)</f>
        <v>6.8000000000000027E-4</v>
      </c>
      <c r="NH248" s="1"/>
      <c r="NI248" s="1"/>
      <c r="NJ248" s="1"/>
      <c r="NK248" s="1"/>
    </row>
    <row r="249" spans="5:377" s="6" customFormat="1" ht="6.95" customHeight="1">
      <c r="F249" s="196"/>
      <c r="G249" s="197"/>
      <c r="H249" s="52">
        <v>2</v>
      </c>
      <c r="L249" s="396"/>
      <c r="M249" s="397"/>
      <c r="N249" s="335"/>
      <c r="O249" s="330"/>
      <c r="P249" s="308"/>
      <c r="Q249" s="237"/>
      <c r="R249" s="60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2"/>
      <c r="AY249" s="62"/>
      <c r="AZ249" s="62"/>
      <c r="BA249" s="62"/>
      <c r="BB249" s="62"/>
      <c r="BC249" s="62"/>
      <c r="BD249" s="62"/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  <c r="BP249" s="62"/>
      <c r="BQ249" s="62"/>
      <c r="BR249" s="62"/>
      <c r="BS249" s="62"/>
      <c r="BT249" s="62"/>
      <c r="BU249" s="62"/>
      <c r="BV249" s="62"/>
      <c r="BW249" s="62"/>
      <c r="BX249" s="62"/>
      <c r="BY249" s="62"/>
      <c r="BZ249" s="63"/>
      <c r="CA249" s="61"/>
      <c r="CB249" s="62"/>
      <c r="CC249" s="62"/>
      <c r="CD249" s="62"/>
      <c r="CE249" s="62"/>
      <c r="CF249" s="62"/>
      <c r="CG249" s="62"/>
      <c r="CH249" s="62"/>
      <c r="CI249" s="62"/>
      <c r="CJ249" s="62"/>
      <c r="CK249" s="62"/>
      <c r="CL249" s="62"/>
      <c r="CM249" s="62"/>
      <c r="CN249" s="62"/>
      <c r="CO249" s="62"/>
      <c r="CP249" s="62"/>
      <c r="CQ249" s="62"/>
      <c r="CR249" s="62"/>
      <c r="CS249" s="62"/>
      <c r="CT249" s="62"/>
      <c r="CU249" s="62"/>
      <c r="CV249" s="62"/>
      <c r="CW249" s="62"/>
      <c r="CX249" s="62"/>
      <c r="CY249" s="62"/>
      <c r="CZ249" s="62"/>
      <c r="DA249" s="62"/>
      <c r="DB249" s="62"/>
      <c r="DC249" s="62"/>
      <c r="DD249" s="62"/>
      <c r="DE249" s="39"/>
      <c r="DF249" s="40"/>
      <c r="DG249" s="40"/>
      <c r="DH249" s="40"/>
      <c r="DI249" s="40"/>
      <c r="DJ249" s="40"/>
      <c r="DK249" s="40"/>
      <c r="DL249" s="40"/>
      <c r="DM249" s="40"/>
      <c r="DN249" s="40"/>
      <c r="DO249" s="40"/>
      <c r="DP249" s="40"/>
      <c r="DQ249" s="40"/>
      <c r="DR249" s="40"/>
      <c r="DS249" s="40"/>
      <c r="DT249" s="40"/>
      <c r="DU249" s="40"/>
      <c r="DV249" s="40"/>
      <c r="DW249" s="40"/>
      <c r="DX249" s="40"/>
      <c r="DY249" s="40"/>
      <c r="DZ249" s="40"/>
      <c r="EA249" s="40"/>
      <c r="EB249" s="40"/>
      <c r="EC249" s="40"/>
      <c r="ED249" s="40"/>
      <c r="EE249" s="40"/>
      <c r="EF249" s="40"/>
      <c r="EG249" s="40"/>
      <c r="EH249" s="40"/>
      <c r="EI249" s="39"/>
      <c r="EJ249" s="40"/>
      <c r="EK249" s="40"/>
      <c r="EL249" s="40"/>
      <c r="EM249" s="40"/>
      <c r="EN249" s="40"/>
      <c r="EO249" s="40"/>
      <c r="EP249" s="40"/>
      <c r="EQ249" s="40"/>
      <c r="ER249" s="40"/>
      <c r="ES249" s="40"/>
      <c r="ET249" s="40"/>
      <c r="EU249" s="40"/>
      <c r="EV249" s="40"/>
      <c r="EW249" s="40"/>
      <c r="EX249" s="40"/>
      <c r="EY249" s="40"/>
      <c r="EZ249" s="40"/>
      <c r="FA249" s="40"/>
      <c r="FB249" s="40"/>
      <c r="FC249" s="40"/>
      <c r="FD249" s="40"/>
      <c r="FE249" s="40"/>
      <c r="FF249" s="40"/>
      <c r="FG249" s="40"/>
      <c r="FH249" s="40"/>
      <c r="FI249" s="40"/>
      <c r="FJ249" s="40"/>
      <c r="FK249" s="40"/>
      <c r="FL249" s="40"/>
      <c r="FM249" s="39"/>
      <c r="FN249" s="40"/>
      <c r="FO249" s="40"/>
      <c r="FP249" s="40"/>
      <c r="FQ249" s="40"/>
      <c r="FR249" s="40"/>
      <c r="FS249" s="40"/>
      <c r="FT249" s="40"/>
      <c r="FU249" s="40"/>
      <c r="FV249" s="40"/>
      <c r="FW249" s="40"/>
      <c r="FX249" s="40"/>
      <c r="FY249" s="40"/>
      <c r="FZ249" s="40"/>
      <c r="GA249" s="40"/>
      <c r="GB249" s="40"/>
      <c r="GC249" s="40"/>
      <c r="GD249" s="40"/>
      <c r="GE249" s="40"/>
      <c r="GF249" s="40"/>
      <c r="GG249" s="40"/>
      <c r="GH249" s="40"/>
      <c r="GI249" s="40"/>
      <c r="GJ249" s="40"/>
      <c r="GK249" s="40"/>
      <c r="GL249" s="40"/>
      <c r="GM249" s="40"/>
      <c r="GN249" s="40"/>
      <c r="GO249" s="40"/>
      <c r="GP249" s="40"/>
      <c r="GQ249" s="39"/>
      <c r="GR249" s="40"/>
      <c r="GS249" s="40"/>
      <c r="GT249" s="40"/>
      <c r="GU249" s="40"/>
      <c r="GV249" s="40"/>
      <c r="GW249" s="40"/>
      <c r="GX249" s="40"/>
      <c r="GY249" s="40"/>
      <c r="GZ249" s="40"/>
      <c r="HA249" s="40"/>
      <c r="HB249" s="40"/>
      <c r="HC249" s="40"/>
      <c r="HD249" s="40"/>
      <c r="HE249" s="40"/>
      <c r="HF249" s="40"/>
      <c r="HG249" s="40"/>
      <c r="HH249" s="40"/>
      <c r="HI249" s="40"/>
      <c r="HJ249" s="40"/>
      <c r="HK249" s="40"/>
      <c r="HL249" s="40"/>
      <c r="HM249" s="40"/>
      <c r="HN249" s="40"/>
      <c r="HO249" s="40"/>
      <c r="HP249" s="40"/>
      <c r="HQ249" s="40"/>
      <c r="HR249" s="40"/>
      <c r="HS249" s="40"/>
      <c r="HT249" s="40"/>
      <c r="HU249" s="39"/>
      <c r="HV249" s="40"/>
      <c r="HW249" s="40"/>
      <c r="HX249" s="40"/>
      <c r="HY249" s="40"/>
      <c r="HZ249" s="40"/>
      <c r="IA249" s="40"/>
      <c r="IB249" s="40"/>
      <c r="IC249" s="40"/>
      <c r="ID249" s="40"/>
      <c r="IE249" s="40"/>
      <c r="IF249" s="40"/>
      <c r="IG249" s="40"/>
      <c r="IH249" s="40"/>
      <c r="II249" s="40"/>
      <c r="IJ249" s="40"/>
      <c r="IK249" s="40"/>
      <c r="IL249" s="40"/>
      <c r="IM249" s="40"/>
      <c r="IN249" s="40"/>
      <c r="IO249" s="40"/>
      <c r="IP249" s="40"/>
      <c r="IQ249" s="40"/>
      <c r="IR249" s="40"/>
      <c r="IS249" s="40"/>
      <c r="IT249" s="40"/>
      <c r="IU249" s="40"/>
      <c r="IV249" s="40"/>
      <c r="IW249" s="40"/>
      <c r="IX249" s="40"/>
      <c r="IY249" s="39"/>
      <c r="IZ249" s="40"/>
      <c r="JA249" s="40"/>
      <c r="JB249" s="40"/>
      <c r="JC249" s="40"/>
      <c r="JD249" s="40"/>
      <c r="JE249" s="40"/>
      <c r="JF249" s="40"/>
      <c r="JG249" s="40"/>
      <c r="JH249" s="40"/>
      <c r="JI249" s="40"/>
      <c r="JJ249" s="40"/>
      <c r="JK249" s="40"/>
      <c r="JL249" s="40"/>
      <c r="JM249" s="40"/>
      <c r="JN249" s="40"/>
      <c r="JO249" s="40"/>
      <c r="JP249" s="40"/>
      <c r="JQ249" s="40"/>
      <c r="JR249" s="40"/>
      <c r="JS249" s="40"/>
      <c r="JT249" s="40"/>
      <c r="JU249" s="40"/>
      <c r="JV249" s="40"/>
      <c r="JW249" s="40"/>
      <c r="JX249" s="40"/>
      <c r="JY249" s="40"/>
      <c r="JZ249" s="40"/>
      <c r="KA249" s="40"/>
      <c r="KB249" s="40"/>
      <c r="KC249" s="39"/>
      <c r="KD249" s="40"/>
      <c r="KE249" s="41"/>
      <c r="KF249" s="39"/>
      <c r="KG249" s="40"/>
      <c r="KH249" s="41"/>
      <c r="KI249" s="39"/>
      <c r="KJ249" s="40"/>
      <c r="KK249" s="41"/>
      <c r="KL249" s="39"/>
      <c r="KM249" s="40"/>
      <c r="KN249" s="41"/>
      <c r="KO249" s="39"/>
      <c r="KP249" s="40"/>
      <c r="KQ249" s="41"/>
      <c r="KR249" s="39"/>
      <c r="KS249" s="40"/>
      <c r="KT249" s="41"/>
      <c r="KU249" s="39"/>
      <c r="KV249" s="40"/>
      <c r="KW249" s="41"/>
      <c r="KX249" s="39"/>
      <c r="KY249" s="40"/>
      <c r="KZ249" s="40"/>
      <c r="LA249" s="64"/>
      <c r="LB249" s="40"/>
      <c r="LC249" s="65"/>
      <c r="LD249" s="40"/>
      <c r="LE249" s="40"/>
      <c r="LF249" s="41"/>
      <c r="LG249" s="39"/>
      <c r="LH249" s="40"/>
      <c r="LI249" s="41"/>
      <c r="LJ249" s="39"/>
      <c r="LK249" s="40"/>
      <c r="LL249" s="41"/>
      <c r="LM249" s="39"/>
      <c r="LN249" s="40"/>
      <c r="LO249" s="41"/>
      <c r="LP249" s="39"/>
      <c r="LQ249" s="40"/>
      <c r="LR249" s="41"/>
      <c r="LS249" s="39"/>
      <c r="LT249" s="40"/>
      <c r="LU249" s="41"/>
      <c r="LV249" s="39"/>
      <c r="LW249" s="40"/>
      <c r="LX249" s="41"/>
      <c r="LY249" s="39"/>
      <c r="LZ249" s="40"/>
      <c r="MA249" s="41"/>
      <c r="MB249" s="39"/>
      <c r="MC249" s="40"/>
      <c r="MD249" s="41"/>
      <c r="ME249" s="39"/>
      <c r="MF249" s="40"/>
      <c r="MG249" s="41"/>
      <c r="MH249" s="39"/>
      <c r="MI249" s="40"/>
      <c r="MJ249" s="41"/>
      <c r="MK249" s="39"/>
      <c r="ML249" s="40"/>
      <c r="MM249" s="41"/>
      <c r="MN249" s="39"/>
      <c r="MO249" s="40"/>
      <c r="MP249" s="41"/>
      <c r="MQ249" s="39"/>
      <c r="MR249" s="40"/>
      <c r="MS249" s="41"/>
      <c r="MT249" s="39"/>
      <c r="MU249" s="40"/>
      <c r="MV249" s="41"/>
      <c r="MW249" s="39"/>
      <c r="MX249" s="40"/>
      <c r="MY249" s="41"/>
      <c r="MZ249" s="39"/>
      <c r="NA249" s="40"/>
      <c r="NB249" s="41"/>
      <c r="NC249" s="39"/>
      <c r="ND249" s="40"/>
      <c r="NE249" s="42"/>
      <c r="NG249" s="275"/>
      <c r="NH249" s="1"/>
      <c r="NI249" s="1"/>
      <c r="NJ249" s="1"/>
      <c r="NK249" s="1"/>
    </row>
    <row r="250" spans="5:377" s="6" customFormat="1" ht="9.9499999999999993" customHeight="1">
      <c r="F250" s="196">
        <f t="shared" ref="F250" si="596">NG250</f>
        <v>0.24170725896642301</v>
      </c>
      <c r="G250" s="197">
        <f>Q250-F250</f>
        <v>-7.2589664230071627E-6</v>
      </c>
      <c r="H250" s="27">
        <v>1</v>
      </c>
      <c r="L250" s="325" t="s">
        <v>281</v>
      </c>
      <c r="M250" s="326"/>
      <c r="N250" s="336">
        <v>1</v>
      </c>
      <c r="O250" s="348" t="s">
        <v>24</v>
      </c>
      <c r="P250" s="315">
        <v>50320559</v>
      </c>
      <c r="Q250" s="236">
        <f>ROUND(P250/$P$256,5)</f>
        <v>0.2417</v>
      </c>
      <c r="R250" s="21"/>
      <c r="S250" s="170">
        <f>SUM(S26:S249)*$M$264-(0.008%/30)</f>
        <v>2.313719294844411E-5</v>
      </c>
      <c r="T250" s="170">
        <f t="shared" ref="T250:AV250" si="597">SUM(T26:T249)*$M$264-(0.008%/30)</f>
        <v>2.313719294844411E-5</v>
      </c>
      <c r="U250" s="170">
        <f t="shared" si="597"/>
        <v>2.313719294844411E-5</v>
      </c>
      <c r="V250" s="170">
        <f t="shared" si="597"/>
        <v>2.313719294844411E-5</v>
      </c>
      <c r="W250" s="170">
        <f t="shared" si="597"/>
        <v>2.313719294844411E-5</v>
      </c>
      <c r="X250" s="170">
        <f t="shared" si="597"/>
        <v>2.313719294844411E-5</v>
      </c>
      <c r="Y250" s="170">
        <f t="shared" si="597"/>
        <v>2.313719294844411E-5</v>
      </c>
      <c r="Z250" s="170">
        <f t="shared" si="597"/>
        <v>2.313719294844411E-5</v>
      </c>
      <c r="AA250" s="170">
        <f t="shared" si="597"/>
        <v>2.313719294844411E-5</v>
      </c>
      <c r="AB250" s="170">
        <f t="shared" si="597"/>
        <v>2.313719294844411E-5</v>
      </c>
      <c r="AC250" s="170">
        <f t="shared" si="597"/>
        <v>2.313719294844411E-5</v>
      </c>
      <c r="AD250" s="170">
        <f t="shared" si="597"/>
        <v>2.313719294844411E-5</v>
      </c>
      <c r="AE250" s="170">
        <f t="shared" si="597"/>
        <v>2.313719294844411E-5</v>
      </c>
      <c r="AF250" s="170">
        <f t="shared" si="597"/>
        <v>2.313719294844411E-5</v>
      </c>
      <c r="AG250" s="170">
        <f t="shared" si="597"/>
        <v>2.313719294844411E-5</v>
      </c>
      <c r="AH250" s="170">
        <f t="shared" si="597"/>
        <v>2.313719294844411E-5</v>
      </c>
      <c r="AI250" s="170">
        <f t="shared" si="597"/>
        <v>2.313719294844411E-5</v>
      </c>
      <c r="AJ250" s="170">
        <f t="shared" si="597"/>
        <v>2.313719294844411E-5</v>
      </c>
      <c r="AK250" s="170">
        <f t="shared" si="597"/>
        <v>2.313719294844411E-5</v>
      </c>
      <c r="AL250" s="170">
        <f t="shared" si="597"/>
        <v>2.313719294844411E-5</v>
      </c>
      <c r="AM250" s="170">
        <f t="shared" si="597"/>
        <v>2.313719294844411E-5</v>
      </c>
      <c r="AN250" s="170">
        <f t="shared" si="597"/>
        <v>2.313719294844411E-5</v>
      </c>
      <c r="AO250" s="170">
        <f t="shared" si="597"/>
        <v>2.313719294844411E-5</v>
      </c>
      <c r="AP250" s="170">
        <f t="shared" si="597"/>
        <v>2.313719294844411E-5</v>
      </c>
      <c r="AQ250" s="170">
        <f t="shared" si="597"/>
        <v>2.313719294844411E-5</v>
      </c>
      <c r="AR250" s="170">
        <f t="shared" si="597"/>
        <v>2.313719294844411E-5</v>
      </c>
      <c r="AS250" s="170">
        <f t="shared" si="597"/>
        <v>2.313719294844411E-5</v>
      </c>
      <c r="AT250" s="170">
        <f t="shared" si="597"/>
        <v>2.313719294844411E-5</v>
      </c>
      <c r="AU250" s="170">
        <f t="shared" si="597"/>
        <v>2.313719294844411E-5</v>
      </c>
      <c r="AV250" s="170">
        <f t="shared" si="597"/>
        <v>2.313719294844411E-5</v>
      </c>
      <c r="AW250" s="170">
        <f>SUM(AW26:AW249)*$M$264-(0.008%/30)</f>
        <v>2.1304312890203453E-5</v>
      </c>
      <c r="AX250" s="156">
        <f>AW250</f>
        <v>2.1304312890203453E-5</v>
      </c>
      <c r="AY250" s="143">
        <f t="shared" ref="AY250:BZ250" si="598">AX250</f>
        <v>2.1304312890203453E-5</v>
      </c>
      <c r="AZ250" s="143">
        <f t="shared" si="598"/>
        <v>2.1304312890203453E-5</v>
      </c>
      <c r="BA250" s="143">
        <f t="shared" si="598"/>
        <v>2.1304312890203453E-5</v>
      </c>
      <c r="BB250" s="143">
        <f t="shared" si="598"/>
        <v>2.1304312890203453E-5</v>
      </c>
      <c r="BC250" s="143">
        <f t="shared" si="598"/>
        <v>2.1304312890203453E-5</v>
      </c>
      <c r="BD250" s="143">
        <f t="shared" si="598"/>
        <v>2.1304312890203453E-5</v>
      </c>
      <c r="BE250" s="143">
        <f t="shared" si="598"/>
        <v>2.1304312890203453E-5</v>
      </c>
      <c r="BF250" s="143">
        <f t="shared" si="598"/>
        <v>2.1304312890203453E-5</v>
      </c>
      <c r="BG250" s="143">
        <f t="shared" si="598"/>
        <v>2.1304312890203453E-5</v>
      </c>
      <c r="BH250" s="143">
        <f t="shared" si="598"/>
        <v>2.1304312890203453E-5</v>
      </c>
      <c r="BI250" s="143">
        <f t="shared" si="598"/>
        <v>2.1304312890203453E-5</v>
      </c>
      <c r="BJ250" s="143">
        <f t="shared" si="598"/>
        <v>2.1304312890203453E-5</v>
      </c>
      <c r="BK250" s="143">
        <f t="shared" si="598"/>
        <v>2.1304312890203453E-5</v>
      </c>
      <c r="BL250" s="143">
        <f t="shared" si="598"/>
        <v>2.1304312890203453E-5</v>
      </c>
      <c r="BM250" s="143">
        <f t="shared" si="598"/>
        <v>2.1304312890203453E-5</v>
      </c>
      <c r="BN250" s="143">
        <f t="shared" si="598"/>
        <v>2.1304312890203453E-5</v>
      </c>
      <c r="BO250" s="143">
        <f t="shared" si="598"/>
        <v>2.1304312890203453E-5</v>
      </c>
      <c r="BP250" s="143">
        <f t="shared" si="598"/>
        <v>2.1304312890203453E-5</v>
      </c>
      <c r="BQ250" s="143">
        <f t="shared" si="598"/>
        <v>2.1304312890203453E-5</v>
      </c>
      <c r="BR250" s="143">
        <f t="shared" si="598"/>
        <v>2.1304312890203453E-5</v>
      </c>
      <c r="BS250" s="143">
        <f t="shared" si="598"/>
        <v>2.1304312890203453E-5</v>
      </c>
      <c r="BT250" s="143">
        <f t="shared" si="598"/>
        <v>2.1304312890203453E-5</v>
      </c>
      <c r="BU250" s="143">
        <f t="shared" si="598"/>
        <v>2.1304312890203453E-5</v>
      </c>
      <c r="BV250" s="143">
        <f t="shared" si="598"/>
        <v>2.1304312890203453E-5</v>
      </c>
      <c r="BW250" s="143">
        <f t="shared" si="598"/>
        <v>2.1304312890203453E-5</v>
      </c>
      <c r="BX250" s="143">
        <f t="shared" si="598"/>
        <v>2.1304312890203453E-5</v>
      </c>
      <c r="BY250" s="143">
        <f t="shared" si="598"/>
        <v>2.1304312890203453E-5</v>
      </c>
      <c r="BZ250" s="155">
        <f t="shared" si="598"/>
        <v>2.1304312890203453E-5</v>
      </c>
      <c r="CA250" s="170">
        <f>SUM(CA26:CA249)*$M$264-(0.008%/30)</f>
        <v>3.3074494469025921E-5</v>
      </c>
      <c r="CB250" s="156">
        <f>CA250</f>
        <v>3.3074494469025921E-5</v>
      </c>
      <c r="CC250" s="156">
        <f t="shared" ref="CC250:DD250" si="599">CB250</f>
        <v>3.3074494469025921E-5</v>
      </c>
      <c r="CD250" s="156">
        <f t="shared" si="599"/>
        <v>3.3074494469025921E-5</v>
      </c>
      <c r="CE250" s="156">
        <f t="shared" si="599"/>
        <v>3.3074494469025921E-5</v>
      </c>
      <c r="CF250" s="156">
        <f t="shared" si="599"/>
        <v>3.3074494469025921E-5</v>
      </c>
      <c r="CG250" s="156">
        <f t="shared" si="599"/>
        <v>3.3074494469025921E-5</v>
      </c>
      <c r="CH250" s="156">
        <f t="shared" si="599"/>
        <v>3.3074494469025921E-5</v>
      </c>
      <c r="CI250" s="156">
        <f t="shared" si="599"/>
        <v>3.3074494469025921E-5</v>
      </c>
      <c r="CJ250" s="156">
        <f t="shared" si="599"/>
        <v>3.3074494469025921E-5</v>
      </c>
      <c r="CK250" s="156">
        <f t="shared" si="599"/>
        <v>3.3074494469025921E-5</v>
      </c>
      <c r="CL250" s="156">
        <f t="shared" si="599"/>
        <v>3.3074494469025921E-5</v>
      </c>
      <c r="CM250" s="156">
        <f t="shared" si="599"/>
        <v>3.3074494469025921E-5</v>
      </c>
      <c r="CN250" s="156">
        <f t="shared" si="599"/>
        <v>3.3074494469025921E-5</v>
      </c>
      <c r="CO250" s="156">
        <f t="shared" si="599"/>
        <v>3.3074494469025921E-5</v>
      </c>
      <c r="CP250" s="156">
        <f t="shared" si="599"/>
        <v>3.3074494469025921E-5</v>
      </c>
      <c r="CQ250" s="156">
        <f t="shared" si="599"/>
        <v>3.3074494469025921E-5</v>
      </c>
      <c r="CR250" s="156">
        <f t="shared" si="599"/>
        <v>3.3074494469025921E-5</v>
      </c>
      <c r="CS250" s="156">
        <f t="shared" si="599"/>
        <v>3.3074494469025921E-5</v>
      </c>
      <c r="CT250" s="156">
        <f t="shared" si="599"/>
        <v>3.3074494469025921E-5</v>
      </c>
      <c r="CU250" s="156">
        <f t="shared" si="599"/>
        <v>3.3074494469025921E-5</v>
      </c>
      <c r="CV250" s="156">
        <f t="shared" si="599"/>
        <v>3.3074494469025921E-5</v>
      </c>
      <c r="CW250" s="156">
        <f t="shared" si="599"/>
        <v>3.3074494469025921E-5</v>
      </c>
      <c r="CX250" s="156">
        <f t="shared" si="599"/>
        <v>3.3074494469025921E-5</v>
      </c>
      <c r="CY250" s="156">
        <f t="shared" si="599"/>
        <v>3.3074494469025921E-5</v>
      </c>
      <c r="CZ250" s="156">
        <f t="shared" si="599"/>
        <v>3.3074494469025921E-5</v>
      </c>
      <c r="DA250" s="156">
        <f t="shared" si="599"/>
        <v>3.3074494469025921E-5</v>
      </c>
      <c r="DB250" s="156">
        <f t="shared" si="599"/>
        <v>3.3074494469025921E-5</v>
      </c>
      <c r="DC250" s="156">
        <f t="shared" si="599"/>
        <v>3.3074494469025921E-5</v>
      </c>
      <c r="DD250" s="156">
        <f t="shared" si="599"/>
        <v>3.3074494469025921E-5</v>
      </c>
      <c r="DE250" s="170">
        <f>SUM(DE26:DE249)*$M$264-(0.008%/30)</f>
        <v>3.657463289349751E-5</v>
      </c>
      <c r="DF250" s="156">
        <f>DE250</f>
        <v>3.657463289349751E-5</v>
      </c>
      <c r="DG250" s="156">
        <f t="shared" ref="DG250:EH250" si="600">DF250</f>
        <v>3.657463289349751E-5</v>
      </c>
      <c r="DH250" s="156">
        <f t="shared" si="600"/>
        <v>3.657463289349751E-5</v>
      </c>
      <c r="DI250" s="156">
        <f t="shared" si="600"/>
        <v>3.657463289349751E-5</v>
      </c>
      <c r="DJ250" s="156">
        <f t="shared" si="600"/>
        <v>3.657463289349751E-5</v>
      </c>
      <c r="DK250" s="156">
        <f t="shared" si="600"/>
        <v>3.657463289349751E-5</v>
      </c>
      <c r="DL250" s="156">
        <f t="shared" si="600"/>
        <v>3.657463289349751E-5</v>
      </c>
      <c r="DM250" s="156">
        <f t="shared" si="600"/>
        <v>3.657463289349751E-5</v>
      </c>
      <c r="DN250" s="156">
        <f t="shared" si="600"/>
        <v>3.657463289349751E-5</v>
      </c>
      <c r="DO250" s="156">
        <f t="shared" si="600"/>
        <v>3.657463289349751E-5</v>
      </c>
      <c r="DP250" s="156">
        <f t="shared" si="600"/>
        <v>3.657463289349751E-5</v>
      </c>
      <c r="DQ250" s="156">
        <f t="shared" si="600"/>
        <v>3.657463289349751E-5</v>
      </c>
      <c r="DR250" s="156">
        <f t="shared" si="600"/>
        <v>3.657463289349751E-5</v>
      </c>
      <c r="DS250" s="156">
        <f t="shared" si="600"/>
        <v>3.657463289349751E-5</v>
      </c>
      <c r="DT250" s="156">
        <f t="shared" si="600"/>
        <v>3.657463289349751E-5</v>
      </c>
      <c r="DU250" s="156">
        <f t="shared" si="600"/>
        <v>3.657463289349751E-5</v>
      </c>
      <c r="DV250" s="156">
        <f t="shared" si="600"/>
        <v>3.657463289349751E-5</v>
      </c>
      <c r="DW250" s="156">
        <f t="shared" si="600"/>
        <v>3.657463289349751E-5</v>
      </c>
      <c r="DX250" s="156">
        <f t="shared" si="600"/>
        <v>3.657463289349751E-5</v>
      </c>
      <c r="DY250" s="156">
        <f t="shared" si="600"/>
        <v>3.657463289349751E-5</v>
      </c>
      <c r="DZ250" s="156">
        <f t="shared" si="600"/>
        <v>3.657463289349751E-5</v>
      </c>
      <c r="EA250" s="156">
        <f t="shared" si="600"/>
        <v>3.657463289349751E-5</v>
      </c>
      <c r="EB250" s="156">
        <f t="shared" si="600"/>
        <v>3.657463289349751E-5</v>
      </c>
      <c r="EC250" s="156">
        <f t="shared" si="600"/>
        <v>3.657463289349751E-5</v>
      </c>
      <c r="ED250" s="156">
        <f t="shared" si="600"/>
        <v>3.657463289349751E-5</v>
      </c>
      <c r="EE250" s="156">
        <f t="shared" si="600"/>
        <v>3.657463289349751E-5</v>
      </c>
      <c r="EF250" s="156">
        <f t="shared" si="600"/>
        <v>3.657463289349751E-5</v>
      </c>
      <c r="EG250" s="156">
        <f t="shared" si="600"/>
        <v>3.657463289349751E-5</v>
      </c>
      <c r="EH250" s="156">
        <f t="shared" si="600"/>
        <v>3.657463289349751E-5</v>
      </c>
      <c r="EI250" s="170">
        <f>SUM(EI26:EI249)*$M$264-(0.008%/30)</f>
        <v>5.0122487299890712E-5</v>
      </c>
      <c r="EJ250" s="156">
        <f>EI250</f>
        <v>5.0122487299890712E-5</v>
      </c>
      <c r="EK250" s="156">
        <f t="shared" ref="EK250:FL250" si="601">EJ250</f>
        <v>5.0122487299890712E-5</v>
      </c>
      <c r="EL250" s="156">
        <f t="shared" si="601"/>
        <v>5.0122487299890712E-5</v>
      </c>
      <c r="EM250" s="156">
        <f t="shared" si="601"/>
        <v>5.0122487299890712E-5</v>
      </c>
      <c r="EN250" s="156">
        <f t="shared" si="601"/>
        <v>5.0122487299890712E-5</v>
      </c>
      <c r="EO250" s="156">
        <f t="shared" si="601"/>
        <v>5.0122487299890712E-5</v>
      </c>
      <c r="EP250" s="156">
        <f t="shared" si="601"/>
        <v>5.0122487299890712E-5</v>
      </c>
      <c r="EQ250" s="156">
        <f t="shared" si="601"/>
        <v>5.0122487299890712E-5</v>
      </c>
      <c r="ER250" s="156">
        <f t="shared" si="601"/>
        <v>5.0122487299890712E-5</v>
      </c>
      <c r="ES250" s="156">
        <f t="shared" si="601"/>
        <v>5.0122487299890712E-5</v>
      </c>
      <c r="ET250" s="156">
        <f t="shared" si="601"/>
        <v>5.0122487299890712E-5</v>
      </c>
      <c r="EU250" s="156">
        <f t="shared" si="601"/>
        <v>5.0122487299890712E-5</v>
      </c>
      <c r="EV250" s="156">
        <f t="shared" si="601"/>
        <v>5.0122487299890712E-5</v>
      </c>
      <c r="EW250" s="156">
        <f t="shared" si="601"/>
        <v>5.0122487299890712E-5</v>
      </c>
      <c r="EX250" s="156">
        <f t="shared" si="601"/>
        <v>5.0122487299890712E-5</v>
      </c>
      <c r="EY250" s="156">
        <f t="shared" si="601"/>
        <v>5.0122487299890712E-5</v>
      </c>
      <c r="EZ250" s="156">
        <f t="shared" si="601"/>
        <v>5.0122487299890712E-5</v>
      </c>
      <c r="FA250" s="156">
        <f t="shared" si="601"/>
        <v>5.0122487299890712E-5</v>
      </c>
      <c r="FB250" s="156">
        <f t="shared" si="601"/>
        <v>5.0122487299890712E-5</v>
      </c>
      <c r="FC250" s="156">
        <f t="shared" si="601"/>
        <v>5.0122487299890712E-5</v>
      </c>
      <c r="FD250" s="156">
        <f t="shared" si="601"/>
        <v>5.0122487299890712E-5</v>
      </c>
      <c r="FE250" s="156">
        <f t="shared" si="601"/>
        <v>5.0122487299890712E-5</v>
      </c>
      <c r="FF250" s="156">
        <f t="shared" si="601"/>
        <v>5.0122487299890712E-5</v>
      </c>
      <c r="FG250" s="156">
        <f t="shared" si="601"/>
        <v>5.0122487299890712E-5</v>
      </c>
      <c r="FH250" s="156">
        <f t="shared" si="601"/>
        <v>5.0122487299890712E-5</v>
      </c>
      <c r="FI250" s="156">
        <f t="shared" si="601"/>
        <v>5.0122487299890712E-5</v>
      </c>
      <c r="FJ250" s="156">
        <f t="shared" si="601"/>
        <v>5.0122487299890712E-5</v>
      </c>
      <c r="FK250" s="156">
        <f t="shared" si="601"/>
        <v>5.0122487299890712E-5</v>
      </c>
      <c r="FL250" s="156">
        <f t="shared" si="601"/>
        <v>5.0122487299890712E-5</v>
      </c>
      <c r="FM250" s="170">
        <f>SUM(FM26:FM249)*$M$264-(0.008%/30)</f>
        <v>8.3743690777859163E-5</v>
      </c>
      <c r="FN250" s="156">
        <f>FM250</f>
        <v>8.3743690777859163E-5</v>
      </c>
      <c r="FO250" s="156">
        <f t="shared" ref="FO250:GP250" si="602">FN250</f>
        <v>8.3743690777859163E-5</v>
      </c>
      <c r="FP250" s="156">
        <f t="shared" si="602"/>
        <v>8.3743690777859163E-5</v>
      </c>
      <c r="FQ250" s="156">
        <f t="shared" si="602"/>
        <v>8.3743690777859163E-5</v>
      </c>
      <c r="FR250" s="156">
        <f t="shared" si="602"/>
        <v>8.3743690777859163E-5</v>
      </c>
      <c r="FS250" s="156">
        <f t="shared" si="602"/>
        <v>8.3743690777859163E-5</v>
      </c>
      <c r="FT250" s="156">
        <f t="shared" si="602"/>
        <v>8.3743690777859163E-5</v>
      </c>
      <c r="FU250" s="156">
        <f t="shared" si="602"/>
        <v>8.3743690777859163E-5</v>
      </c>
      <c r="FV250" s="156">
        <f t="shared" si="602"/>
        <v>8.3743690777859163E-5</v>
      </c>
      <c r="FW250" s="156">
        <f t="shared" si="602"/>
        <v>8.3743690777859163E-5</v>
      </c>
      <c r="FX250" s="156">
        <f t="shared" si="602"/>
        <v>8.3743690777859163E-5</v>
      </c>
      <c r="FY250" s="156">
        <f t="shared" si="602"/>
        <v>8.3743690777859163E-5</v>
      </c>
      <c r="FZ250" s="156">
        <f t="shared" si="602"/>
        <v>8.3743690777859163E-5</v>
      </c>
      <c r="GA250" s="156">
        <f t="shared" si="602"/>
        <v>8.3743690777859163E-5</v>
      </c>
      <c r="GB250" s="156">
        <f t="shared" si="602"/>
        <v>8.3743690777859163E-5</v>
      </c>
      <c r="GC250" s="156">
        <f t="shared" si="602"/>
        <v>8.3743690777859163E-5</v>
      </c>
      <c r="GD250" s="156">
        <f t="shared" si="602"/>
        <v>8.3743690777859163E-5</v>
      </c>
      <c r="GE250" s="156">
        <f t="shared" si="602"/>
        <v>8.3743690777859163E-5</v>
      </c>
      <c r="GF250" s="156">
        <f t="shared" si="602"/>
        <v>8.3743690777859163E-5</v>
      </c>
      <c r="GG250" s="156">
        <f t="shared" si="602"/>
        <v>8.3743690777859163E-5</v>
      </c>
      <c r="GH250" s="156">
        <f t="shared" si="602"/>
        <v>8.3743690777859163E-5</v>
      </c>
      <c r="GI250" s="156">
        <f t="shared" si="602"/>
        <v>8.3743690777859163E-5</v>
      </c>
      <c r="GJ250" s="156">
        <f t="shared" si="602"/>
        <v>8.3743690777859163E-5</v>
      </c>
      <c r="GK250" s="156">
        <f t="shared" si="602"/>
        <v>8.3743690777859163E-5</v>
      </c>
      <c r="GL250" s="156">
        <f t="shared" si="602"/>
        <v>8.3743690777859163E-5</v>
      </c>
      <c r="GM250" s="156">
        <f t="shared" si="602"/>
        <v>8.3743690777859163E-5</v>
      </c>
      <c r="GN250" s="156">
        <f t="shared" si="602"/>
        <v>8.3743690777859163E-5</v>
      </c>
      <c r="GO250" s="156">
        <f t="shared" si="602"/>
        <v>8.3743690777859163E-5</v>
      </c>
      <c r="GP250" s="156">
        <f t="shared" si="602"/>
        <v>8.3743690777859163E-5</v>
      </c>
      <c r="GQ250" s="170">
        <f>SUM(GQ26:GQ249)*$M$264-(0.008%/30)</f>
        <v>6.2113497801392765E-5</v>
      </c>
      <c r="GR250" s="156">
        <f>GQ250</f>
        <v>6.2113497801392765E-5</v>
      </c>
      <c r="GS250" s="156">
        <f t="shared" ref="GS250:HT250" si="603">GR250</f>
        <v>6.2113497801392765E-5</v>
      </c>
      <c r="GT250" s="156">
        <f t="shared" si="603"/>
        <v>6.2113497801392765E-5</v>
      </c>
      <c r="GU250" s="156">
        <f t="shared" si="603"/>
        <v>6.2113497801392765E-5</v>
      </c>
      <c r="GV250" s="156">
        <f t="shared" si="603"/>
        <v>6.2113497801392765E-5</v>
      </c>
      <c r="GW250" s="156">
        <f t="shared" si="603"/>
        <v>6.2113497801392765E-5</v>
      </c>
      <c r="GX250" s="156">
        <f t="shared" si="603"/>
        <v>6.2113497801392765E-5</v>
      </c>
      <c r="GY250" s="156">
        <f t="shared" si="603"/>
        <v>6.2113497801392765E-5</v>
      </c>
      <c r="GZ250" s="156">
        <f t="shared" si="603"/>
        <v>6.2113497801392765E-5</v>
      </c>
      <c r="HA250" s="156">
        <f t="shared" si="603"/>
        <v>6.2113497801392765E-5</v>
      </c>
      <c r="HB250" s="156">
        <f t="shared" si="603"/>
        <v>6.2113497801392765E-5</v>
      </c>
      <c r="HC250" s="156">
        <f t="shared" si="603"/>
        <v>6.2113497801392765E-5</v>
      </c>
      <c r="HD250" s="156">
        <f t="shared" si="603"/>
        <v>6.2113497801392765E-5</v>
      </c>
      <c r="HE250" s="156">
        <f t="shared" si="603"/>
        <v>6.2113497801392765E-5</v>
      </c>
      <c r="HF250" s="156">
        <f t="shared" si="603"/>
        <v>6.2113497801392765E-5</v>
      </c>
      <c r="HG250" s="156">
        <f t="shared" si="603"/>
        <v>6.2113497801392765E-5</v>
      </c>
      <c r="HH250" s="156">
        <f t="shared" si="603"/>
        <v>6.2113497801392765E-5</v>
      </c>
      <c r="HI250" s="156">
        <f t="shared" si="603"/>
        <v>6.2113497801392765E-5</v>
      </c>
      <c r="HJ250" s="156">
        <f t="shared" si="603"/>
        <v>6.2113497801392765E-5</v>
      </c>
      <c r="HK250" s="156">
        <f t="shared" si="603"/>
        <v>6.2113497801392765E-5</v>
      </c>
      <c r="HL250" s="156">
        <f t="shared" si="603"/>
        <v>6.2113497801392765E-5</v>
      </c>
      <c r="HM250" s="156">
        <f t="shared" si="603"/>
        <v>6.2113497801392765E-5</v>
      </c>
      <c r="HN250" s="156">
        <f t="shared" si="603"/>
        <v>6.2113497801392765E-5</v>
      </c>
      <c r="HO250" s="156">
        <f t="shared" si="603"/>
        <v>6.2113497801392765E-5</v>
      </c>
      <c r="HP250" s="156">
        <f t="shared" si="603"/>
        <v>6.2113497801392765E-5</v>
      </c>
      <c r="HQ250" s="156">
        <f t="shared" si="603"/>
        <v>6.2113497801392765E-5</v>
      </c>
      <c r="HR250" s="156">
        <f t="shared" si="603"/>
        <v>6.2113497801392765E-5</v>
      </c>
      <c r="HS250" s="156">
        <f t="shared" si="603"/>
        <v>6.2113497801392765E-5</v>
      </c>
      <c r="HT250" s="156">
        <f t="shared" si="603"/>
        <v>6.2113497801392765E-5</v>
      </c>
      <c r="HU250" s="170">
        <f>SUM(HU26:HU249)*$M$264-(0.008%/30)</f>
        <v>8.6802171356971595E-5</v>
      </c>
      <c r="HV250" s="156">
        <f>HU250</f>
        <v>8.6802171356971595E-5</v>
      </c>
      <c r="HW250" s="156">
        <f t="shared" ref="HW250:IX250" si="604">HV250</f>
        <v>8.6802171356971595E-5</v>
      </c>
      <c r="HX250" s="156">
        <f t="shared" si="604"/>
        <v>8.6802171356971595E-5</v>
      </c>
      <c r="HY250" s="156">
        <f t="shared" si="604"/>
        <v>8.6802171356971595E-5</v>
      </c>
      <c r="HZ250" s="156">
        <f t="shared" si="604"/>
        <v>8.6802171356971595E-5</v>
      </c>
      <c r="IA250" s="156">
        <f t="shared" si="604"/>
        <v>8.6802171356971595E-5</v>
      </c>
      <c r="IB250" s="156">
        <f t="shared" si="604"/>
        <v>8.6802171356971595E-5</v>
      </c>
      <c r="IC250" s="156">
        <f t="shared" si="604"/>
        <v>8.6802171356971595E-5</v>
      </c>
      <c r="ID250" s="156">
        <f t="shared" si="604"/>
        <v>8.6802171356971595E-5</v>
      </c>
      <c r="IE250" s="156">
        <f t="shared" si="604"/>
        <v>8.6802171356971595E-5</v>
      </c>
      <c r="IF250" s="156">
        <f t="shared" si="604"/>
        <v>8.6802171356971595E-5</v>
      </c>
      <c r="IG250" s="156">
        <f t="shared" si="604"/>
        <v>8.6802171356971595E-5</v>
      </c>
      <c r="IH250" s="156">
        <f t="shared" si="604"/>
        <v>8.6802171356971595E-5</v>
      </c>
      <c r="II250" s="156">
        <f t="shared" si="604"/>
        <v>8.6802171356971595E-5</v>
      </c>
      <c r="IJ250" s="156">
        <f t="shared" si="604"/>
        <v>8.6802171356971595E-5</v>
      </c>
      <c r="IK250" s="156">
        <f t="shared" si="604"/>
        <v>8.6802171356971595E-5</v>
      </c>
      <c r="IL250" s="156">
        <f t="shared" si="604"/>
        <v>8.6802171356971595E-5</v>
      </c>
      <c r="IM250" s="156">
        <f t="shared" si="604"/>
        <v>8.6802171356971595E-5</v>
      </c>
      <c r="IN250" s="156">
        <f t="shared" si="604"/>
        <v>8.6802171356971595E-5</v>
      </c>
      <c r="IO250" s="156">
        <f t="shared" si="604"/>
        <v>8.6802171356971595E-5</v>
      </c>
      <c r="IP250" s="156">
        <f t="shared" si="604"/>
        <v>8.6802171356971595E-5</v>
      </c>
      <c r="IQ250" s="156">
        <f t="shared" si="604"/>
        <v>8.6802171356971595E-5</v>
      </c>
      <c r="IR250" s="156">
        <f t="shared" si="604"/>
        <v>8.6802171356971595E-5</v>
      </c>
      <c r="IS250" s="156">
        <f t="shared" si="604"/>
        <v>8.6802171356971595E-5</v>
      </c>
      <c r="IT250" s="156">
        <f t="shared" si="604"/>
        <v>8.6802171356971595E-5</v>
      </c>
      <c r="IU250" s="156">
        <f t="shared" si="604"/>
        <v>8.6802171356971595E-5</v>
      </c>
      <c r="IV250" s="156">
        <f t="shared" si="604"/>
        <v>8.6802171356971595E-5</v>
      </c>
      <c r="IW250" s="156">
        <f t="shared" si="604"/>
        <v>8.6802171356971595E-5</v>
      </c>
      <c r="IX250" s="156">
        <f t="shared" si="604"/>
        <v>8.6802171356971595E-5</v>
      </c>
      <c r="IY250" s="170">
        <f>SUM(IY26:IY249)*$M$264-(0.008%/30)</f>
        <v>1.0757113153498756E-4</v>
      </c>
      <c r="IZ250" s="156">
        <f>IY250</f>
        <v>1.0757113153498756E-4</v>
      </c>
      <c r="JA250" s="156">
        <f t="shared" ref="JA250:KB250" si="605">IZ250</f>
        <v>1.0757113153498756E-4</v>
      </c>
      <c r="JB250" s="156">
        <f t="shared" si="605"/>
        <v>1.0757113153498756E-4</v>
      </c>
      <c r="JC250" s="156">
        <f t="shared" si="605"/>
        <v>1.0757113153498756E-4</v>
      </c>
      <c r="JD250" s="156">
        <f t="shared" si="605"/>
        <v>1.0757113153498756E-4</v>
      </c>
      <c r="JE250" s="156">
        <f t="shared" si="605"/>
        <v>1.0757113153498756E-4</v>
      </c>
      <c r="JF250" s="156">
        <f t="shared" si="605"/>
        <v>1.0757113153498756E-4</v>
      </c>
      <c r="JG250" s="156">
        <f t="shared" si="605"/>
        <v>1.0757113153498756E-4</v>
      </c>
      <c r="JH250" s="156">
        <f t="shared" si="605"/>
        <v>1.0757113153498756E-4</v>
      </c>
      <c r="JI250" s="156">
        <f t="shared" si="605"/>
        <v>1.0757113153498756E-4</v>
      </c>
      <c r="JJ250" s="156">
        <f t="shared" si="605"/>
        <v>1.0757113153498756E-4</v>
      </c>
      <c r="JK250" s="156">
        <f t="shared" si="605"/>
        <v>1.0757113153498756E-4</v>
      </c>
      <c r="JL250" s="156">
        <f t="shared" si="605"/>
        <v>1.0757113153498756E-4</v>
      </c>
      <c r="JM250" s="156">
        <f t="shared" si="605"/>
        <v>1.0757113153498756E-4</v>
      </c>
      <c r="JN250" s="156">
        <f t="shared" si="605"/>
        <v>1.0757113153498756E-4</v>
      </c>
      <c r="JO250" s="156">
        <f t="shared" si="605"/>
        <v>1.0757113153498756E-4</v>
      </c>
      <c r="JP250" s="156">
        <f t="shared" si="605"/>
        <v>1.0757113153498756E-4</v>
      </c>
      <c r="JQ250" s="156">
        <f t="shared" si="605"/>
        <v>1.0757113153498756E-4</v>
      </c>
      <c r="JR250" s="156">
        <f t="shared" si="605"/>
        <v>1.0757113153498756E-4</v>
      </c>
      <c r="JS250" s="156">
        <f t="shared" si="605"/>
        <v>1.0757113153498756E-4</v>
      </c>
      <c r="JT250" s="156">
        <f t="shared" si="605"/>
        <v>1.0757113153498756E-4</v>
      </c>
      <c r="JU250" s="156">
        <f t="shared" si="605"/>
        <v>1.0757113153498756E-4</v>
      </c>
      <c r="JV250" s="156">
        <f t="shared" si="605"/>
        <v>1.0757113153498756E-4</v>
      </c>
      <c r="JW250" s="156">
        <f t="shared" si="605"/>
        <v>1.0757113153498756E-4</v>
      </c>
      <c r="JX250" s="156">
        <f t="shared" si="605"/>
        <v>1.0757113153498756E-4</v>
      </c>
      <c r="JY250" s="156">
        <f t="shared" si="605"/>
        <v>1.0757113153498756E-4</v>
      </c>
      <c r="JZ250" s="156">
        <f t="shared" si="605"/>
        <v>1.0757113153498756E-4</v>
      </c>
      <c r="KA250" s="156">
        <f t="shared" si="605"/>
        <v>1.0757113153498756E-4</v>
      </c>
      <c r="KB250" s="156">
        <f t="shared" si="605"/>
        <v>1.0757113153498756E-4</v>
      </c>
      <c r="KC250" s="218">
        <f>SUM(KC26+KC64+KC94+KC108+KC134+KC160+KC178+KC186+KC196+KC208+KC222+KC240+KC246+KC248)*$M$264-0.008%</f>
        <v>1.4769640905589422E-2</v>
      </c>
      <c r="KD250" s="219"/>
      <c r="KE250" s="220"/>
      <c r="KF250" s="218">
        <f>SUM(KF26+KF64+KF94+KF108+KF134+KF160+KF178+KF186+KF196+KF208+KF222+KF240+KF246+KF248)*$M$264-0.008%</f>
        <v>1.487895122231582E-2</v>
      </c>
      <c r="KG250" s="219"/>
      <c r="KH250" s="220"/>
      <c r="KI250" s="218">
        <f>SUM(KI26+KI64+KI94+KI108+KI134+KI160+KI178+KI186+KI196+KI208+KI222+KI240+KI246+KI248)*$M$264-0.008%</f>
        <v>1.4706704662625733E-2</v>
      </c>
      <c r="KJ250" s="219"/>
      <c r="KK250" s="220"/>
      <c r="KL250" s="218">
        <f>SUM(KL26+KL64+KL94+KL108+KL134+KL160+KL178+KL186+KL196+KL208+KL222+KL240+KL246+KL248)*$M$264-0.008%</f>
        <v>1.277555573379267E-2</v>
      </c>
      <c r="KM250" s="219"/>
      <c r="KN250" s="220"/>
      <c r="KO250" s="218">
        <f>SUM(KO26+KO64+KO94+KO108+KO134+KO160+KO178+KO186+KO196+KO208+KO222+KO240+KO246+KO248)*$M$264-0.008%</f>
        <v>1.3000801234925858E-2</v>
      </c>
      <c r="KP250" s="219"/>
      <c r="KQ250" s="220"/>
      <c r="KR250" s="218">
        <f>SUM(KR26+KR64+KR94+KR108+KR134+KR160+KR178+KR186+KR196+KR208+KR222+KR240+KR246+KR248)*$M$264-0.008%</f>
        <v>1.2878241182838684E-2</v>
      </c>
      <c r="KS250" s="219"/>
      <c r="KT250" s="220"/>
      <c r="KU250" s="218">
        <f>SUM(KU26+KU64+KU94+KU108+KU134+KU160+KU178+KU186+KU196+KU208+KU222+KU240+KU246+KU248)*$M$264-0.008%</f>
        <v>1.1745388809492358E-2</v>
      </c>
      <c r="KV250" s="219"/>
      <c r="KW250" s="220"/>
      <c r="KX250" s="218">
        <f>SUM(KX26+KX64+KX94+KX108+KX134+KX160+KX178+KX186+KX196+KX208+KX222+KX240+KX246+KX248)*$M$264-0.008%</f>
        <v>1.1901073199981472E-2</v>
      </c>
      <c r="KY250" s="219"/>
      <c r="KZ250" s="220"/>
      <c r="LA250" s="218">
        <f>SUM(LA26+LA64+LA94+LA108+LA134+LA160+LA178+LA186+LA196+LA208+LA222+LA240+LA246+LA248)*$M$264-0.008%</f>
        <v>1.1960697009104964E-2</v>
      </c>
      <c r="LB250" s="219"/>
      <c r="LC250" s="220"/>
      <c r="LD250" s="218">
        <f>SUM(LD26+LD64+LD94+LD108+LD134+LD160+LD178+LD186+LD196+LD208+LD222+LD240+LD246+LD248)*$M$264-0.008%</f>
        <v>1.0880843577201739E-2</v>
      </c>
      <c r="LE250" s="219"/>
      <c r="LF250" s="220"/>
      <c r="LG250" s="218">
        <f>SUM(LG26+LG64+LG94+LG108+LG134+LG160+LG178+LG186+LG196+LG208+LG222+LG240+LG246+LG248)*$M$264-0.008%</f>
        <v>1.1112713946015314E-2</v>
      </c>
      <c r="LH250" s="219"/>
      <c r="LI250" s="220"/>
      <c r="LJ250" s="218">
        <f>SUM(LJ26+LJ64+LJ94+LJ108+LJ134+LJ160+LJ178+LJ186+LJ196+LJ208+LJ222+LJ240+LJ246+LJ248)*$M$264-0.008%</f>
        <v>9.4631218935987312E-3</v>
      </c>
      <c r="LK250" s="219"/>
      <c r="LL250" s="220"/>
      <c r="LM250" s="218">
        <f>SUM(LM26+LM64+LM94+LM108+LM134+LM160+LM178+LM186+LM196+LM208+LM222+LM240+LM246+LM248)*$M$264-0.008%</f>
        <v>9.6751176593711449E-3</v>
      </c>
      <c r="LN250" s="219"/>
      <c r="LO250" s="220"/>
      <c r="LP250" s="218">
        <f>SUM(LP26+LP64+LP94+LP108+LP134+LP160+LP178+LP186+LP196+LP208+LP222+LP240+LP246+LP248)*$M$264-0.008%</f>
        <v>9.4863089304800911E-3</v>
      </c>
      <c r="LQ250" s="219"/>
      <c r="LR250" s="220"/>
      <c r="LS250" s="218">
        <f>SUM(LS26+LS64+LS94+LS108+LS134+LS160+LS178+LS186+LS196+LS208+LS222+LS240+LS246+LS248)*$M$264-0.008%</f>
        <v>7.7307189951773027E-3</v>
      </c>
      <c r="LT250" s="219"/>
      <c r="LU250" s="220"/>
      <c r="LV250" s="218">
        <f>SUM(LV26+LV64+LV94+LV108+LV134+LV160+LV178+LV186+LV196+LV208+LV222+LV240+LV246+LV248)*$M$264-0.008%</f>
        <v>7.0914192640198735E-3</v>
      </c>
      <c r="LW250" s="219"/>
      <c r="LX250" s="220"/>
      <c r="LY250" s="218">
        <f>SUM(LY26+LY64+LY94+LY108+LY134+LY160+LY178+LY186+LY196+LY208+LY222+LY240+LY246+LY248)*$M$264-0.008%</f>
        <v>5.5147007560875597E-3</v>
      </c>
      <c r="LZ250" s="219"/>
      <c r="MA250" s="220"/>
      <c r="MB250" s="218">
        <f>SUM(MB26+MB64+MB94+MB108+MB134+MB160+MB178+MB186+MB196+MB208+MB222+MB240+MB246+MB248)*$M$264-0.008%</f>
        <v>5.9221301184314134E-3</v>
      </c>
      <c r="MC250" s="219"/>
      <c r="MD250" s="220"/>
      <c r="ME250" s="218">
        <f>SUM(ME26+ME64+ME94+ME108+ME134+ME160+ME178+ME186+ME196+ME208+ME222+ME240+ME246+ME248)*$M$264-0.008%</f>
        <v>6.0513150381989777E-3</v>
      </c>
      <c r="MF250" s="219"/>
      <c r="MG250" s="220"/>
      <c r="MH250" s="218">
        <f>SUM(MH26+MH64+MH94+MH108+MH134+MH160+MH178+MH186+MH196+MH208+MH222+MH240+MH246+MH248)*$M$264-0.008%</f>
        <v>4.1069163740051371E-3</v>
      </c>
      <c r="MI250" s="219"/>
      <c r="MJ250" s="220"/>
      <c r="MK250" s="218">
        <f>SUM(MK26+MK64+MK94+MK108+MK134+MK160+MK178+MK186+MK196+MK208+MK222+MK240+MK246+MK248)*$M$264-0.008%</f>
        <v>3.401367966043828E-3</v>
      </c>
      <c r="ML250" s="219"/>
      <c r="MM250" s="220"/>
      <c r="MN250" s="218">
        <f>SUM(MN26+MN64+MN94+MN108+MN134+MN160+MN178+MN186+MN196+MN208+MN222+MN240+MN246+MN248)*$M$264-0.008%</f>
        <v>4.4480970595451117E-3</v>
      </c>
      <c r="MO250" s="219"/>
      <c r="MP250" s="220"/>
      <c r="MQ250" s="218">
        <f>SUM(MQ26+MQ64+MQ94+MQ108+MQ134+MQ160+MQ178+MQ186+MQ196+MQ208+MQ222+MQ240+MQ246+MQ248)*$M$264-0.008%</f>
        <v>4.0373552633610641E-3</v>
      </c>
      <c r="MR250" s="219"/>
      <c r="MS250" s="220"/>
      <c r="MT250" s="218">
        <f>SUM(MT26+MT64+MT94+MT108+MT134+MT160+MT178+MT186+MT196+MT208+MT222+MT240+MT246+MT248)*$M$264-0.008%</f>
        <v>4.6733425606783003E-3</v>
      </c>
      <c r="MU250" s="219"/>
      <c r="MV250" s="220"/>
      <c r="MW250" s="218">
        <f>SUM(MW26+MW64+MW94+MW108+MW134+MW160+MW178+MW186+MW196+MW208+MW222+MW240+MW246+MW248)*$M$264-0.008%</f>
        <v>3.4378047382859615E-3</v>
      </c>
      <c r="MX250" s="219"/>
      <c r="MY250" s="220"/>
      <c r="MZ250" s="218">
        <f>SUM(MZ26+MZ64+MZ94+MZ108+MZ134+MZ160+MZ178+MZ186+MZ196+MZ208+MZ222+MZ240+MZ246+MZ248)*$M$264-0.008%</f>
        <v>3.4399153154482398E-4</v>
      </c>
      <c r="NA250" s="219"/>
      <c r="NB250" s="220"/>
      <c r="NC250" s="218">
        <f>SUM(NC26+NC64+NC94+NC108+NC134+NC160+NC178+NC186+NC196+NC208+NC222+NC240+NC246+NC248)*$M$264-0.006%</f>
        <v>5.7963097454144931E-4</v>
      </c>
      <c r="ND250" s="219"/>
      <c r="NE250" s="413"/>
      <c r="NG250" s="275">
        <f>SUM(R250:NE250)</f>
        <v>0.24170725896642301</v>
      </c>
      <c r="NH250" s="1"/>
      <c r="NI250" s="1"/>
      <c r="NJ250" s="1"/>
      <c r="NK250" s="1"/>
      <c r="NL250" s="408"/>
      <c r="NM250" s="7"/>
    </row>
    <row r="251" spans="5:377" s="6" customFormat="1" ht="6.95" customHeight="1" thickBot="1">
      <c r="F251" s="196"/>
      <c r="G251" s="197"/>
      <c r="H251" s="52">
        <v>2</v>
      </c>
      <c r="L251" s="327"/>
      <c r="M251" s="328"/>
      <c r="N251" s="337"/>
      <c r="O251" s="349"/>
      <c r="P251" s="316"/>
      <c r="Q251" s="237"/>
      <c r="R251" s="82"/>
      <c r="S251" s="61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3"/>
      <c r="AW251" s="61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62"/>
      <c r="BS251" s="62"/>
      <c r="BT251" s="62"/>
      <c r="BU251" s="62"/>
      <c r="BV251" s="62"/>
      <c r="BW251" s="62"/>
      <c r="BX251" s="62"/>
      <c r="BY251" s="62"/>
      <c r="BZ251" s="63"/>
      <c r="CA251" s="61"/>
      <c r="CB251" s="62"/>
      <c r="CC251" s="62"/>
      <c r="CD251" s="62"/>
      <c r="CE251" s="62"/>
      <c r="CF251" s="62"/>
      <c r="CG251" s="62"/>
      <c r="CH251" s="62"/>
      <c r="CI251" s="62"/>
      <c r="CJ251" s="62"/>
      <c r="CK251" s="62"/>
      <c r="CL251" s="62"/>
      <c r="CM251" s="62"/>
      <c r="CN251" s="62"/>
      <c r="CO251" s="62"/>
      <c r="CP251" s="62"/>
      <c r="CQ251" s="62"/>
      <c r="CR251" s="62"/>
      <c r="CS251" s="62"/>
      <c r="CT251" s="62"/>
      <c r="CU251" s="62"/>
      <c r="CV251" s="62"/>
      <c r="CW251" s="62"/>
      <c r="CX251" s="62"/>
      <c r="CY251" s="62"/>
      <c r="CZ251" s="62"/>
      <c r="DA251" s="62"/>
      <c r="DB251" s="62"/>
      <c r="DC251" s="62"/>
      <c r="DD251" s="63"/>
      <c r="DE251" s="61"/>
      <c r="DF251" s="62"/>
      <c r="DG251" s="62"/>
      <c r="DH251" s="62"/>
      <c r="DI251" s="62"/>
      <c r="DJ251" s="62"/>
      <c r="DK251" s="62"/>
      <c r="DL251" s="62"/>
      <c r="DM251" s="62"/>
      <c r="DN251" s="62"/>
      <c r="DO251" s="62"/>
      <c r="DP251" s="62"/>
      <c r="DQ251" s="62"/>
      <c r="DR251" s="62"/>
      <c r="DS251" s="62"/>
      <c r="DT251" s="62"/>
      <c r="DU251" s="62"/>
      <c r="DV251" s="62"/>
      <c r="DW251" s="62"/>
      <c r="DX251" s="62"/>
      <c r="DY251" s="62"/>
      <c r="DZ251" s="62"/>
      <c r="EA251" s="62"/>
      <c r="EB251" s="62"/>
      <c r="EC251" s="62"/>
      <c r="ED251" s="62"/>
      <c r="EE251" s="62"/>
      <c r="EF251" s="62"/>
      <c r="EG251" s="62"/>
      <c r="EH251" s="63"/>
      <c r="EI251" s="61"/>
      <c r="EJ251" s="62"/>
      <c r="EK251" s="62"/>
      <c r="EL251" s="62"/>
      <c r="EM251" s="62"/>
      <c r="EN251" s="62"/>
      <c r="EO251" s="62"/>
      <c r="EP251" s="62"/>
      <c r="EQ251" s="62"/>
      <c r="ER251" s="62"/>
      <c r="ES251" s="62"/>
      <c r="ET251" s="62"/>
      <c r="EU251" s="62"/>
      <c r="EV251" s="62"/>
      <c r="EW251" s="62"/>
      <c r="EX251" s="62"/>
      <c r="EY251" s="62"/>
      <c r="EZ251" s="62"/>
      <c r="FA251" s="62"/>
      <c r="FB251" s="62"/>
      <c r="FC251" s="62"/>
      <c r="FD251" s="62"/>
      <c r="FE251" s="62"/>
      <c r="FF251" s="62"/>
      <c r="FG251" s="62"/>
      <c r="FH251" s="62"/>
      <c r="FI251" s="62"/>
      <c r="FJ251" s="62"/>
      <c r="FK251" s="62"/>
      <c r="FL251" s="63"/>
      <c r="FM251" s="61"/>
      <c r="FN251" s="62"/>
      <c r="FO251" s="62"/>
      <c r="FP251" s="62"/>
      <c r="FQ251" s="62"/>
      <c r="FR251" s="62"/>
      <c r="FS251" s="62"/>
      <c r="FT251" s="62"/>
      <c r="FU251" s="62"/>
      <c r="FV251" s="62"/>
      <c r="FW251" s="62"/>
      <c r="FX251" s="62"/>
      <c r="FY251" s="62"/>
      <c r="FZ251" s="62"/>
      <c r="GA251" s="62"/>
      <c r="GB251" s="62"/>
      <c r="GC251" s="62"/>
      <c r="GD251" s="62"/>
      <c r="GE251" s="62"/>
      <c r="GF251" s="62"/>
      <c r="GG251" s="62"/>
      <c r="GH251" s="62"/>
      <c r="GI251" s="62"/>
      <c r="GJ251" s="62"/>
      <c r="GK251" s="62"/>
      <c r="GL251" s="62"/>
      <c r="GM251" s="62"/>
      <c r="GN251" s="62"/>
      <c r="GO251" s="62"/>
      <c r="GP251" s="63"/>
      <c r="GQ251" s="61"/>
      <c r="GR251" s="62"/>
      <c r="GS251" s="62"/>
      <c r="GT251" s="62"/>
      <c r="GU251" s="62"/>
      <c r="GV251" s="62"/>
      <c r="GW251" s="62"/>
      <c r="GX251" s="62"/>
      <c r="GY251" s="62"/>
      <c r="GZ251" s="62"/>
      <c r="HA251" s="62"/>
      <c r="HB251" s="62"/>
      <c r="HC251" s="62"/>
      <c r="HD251" s="62"/>
      <c r="HE251" s="62"/>
      <c r="HF251" s="62"/>
      <c r="HG251" s="62"/>
      <c r="HH251" s="62"/>
      <c r="HI251" s="62"/>
      <c r="HJ251" s="62"/>
      <c r="HK251" s="62"/>
      <c r="HL251" s="62"/>
      <c r="HM251" s="62"/>
      <c r="HN251" s="62"/>
      <c r="HO251" s="62"/>
      <c r="HP251" s="62"/>
      <c r="HQ251" s="62"/>
      <c r="HR251" s="62"/>
      <c r="HS251" s="62"/>
      <c r="HT251" s="63"/>
      <c r="HU251" s="61"/>
      <c r="HV251" s="62"/>
      <c r="HW251" s="62"/>
      <c r="HX251" s="62"/>
      <c r="HY251" s="62"/>
      <c r="HZ251" s="62"/>
      <c r="IA251" s="62"/>
      <c r="IB251" s="62"/>
      <c r="IC251" s="62"/>
      <c r="ID251" s="62"/>
      <c r="IE251" s="62"/>
      <c r="IF251" s="62"/>
      <c r="IG251" s="62"/>
      <c r="IH251" s="62"/>
      <c r="II251" s="62"/>
      <c r="IJ251" s="62"/>
      <c r="IK251" s="62"/>
      <c r="IL251" s="62"/>
      <c r="IM251" s="62"/>
      <c r="IN251" s="62"/>
      <c r="IO251" s="62"/>
      <c r="IP251" s="62"/>
      <c r="IQ251" s="62"/>
      <c r="IR251" s="62"/>
      <c r="IS251" s="62"/>
      <c r="IT251" s="62"/>
      <c r="IU251" s="62"/>
      <c r="IV251" s="62"/>
      <c r="IW251" s="62"/>
      <c r="IX251" s="62"/>
      <c r="IY251" s="61"/>
      <c r="IZ251" s="62"/>
      <c r="JA251" s="62"/>
      <c r="JB251" s="62"/>
      <c r="JC251" s="62"/>
      <c r="JD251" s="62"/>
      <c r="JE251" s="62"/>
      <c r="JF251" s="62"/>
      <c r="JG251" s="62"/>
      <c r="JH251" s="62"/>
      <c r="JI251" s="62"/>
      <c r="JJ251" s="62"/>
      <c r="JK251" s="62"/>
      <c r="JL251" s="62"/>
      <c r="JM251" s="62"/>
      <c r="JN251" s="62"/>
      <c r="JO251" s="62"/>
      <c r="JP251" s="62"/>
      <c r="JQ251" s="62"/>
      <c r="JR251" s="62"/>
      <c r="JS251" s="62"/>
      <c r="JT251" s="62"/>
      <c r="JU251" s="62"/>
      <c r="JV251" s="62"/>
      <c r="JW251" s="62"/>
      <c r="JX251" s="62"/>
      <c r="JY251" s="62"/>
      <c r="JZ251" s="62"/>
      <c r="KA251" s="62"/>
      <c r="KB251" s="63"/>
      <c r="KC251" s="61"/>
      <c r="KD251" s="62"/>
      <c r="KE251" s="63"/>
      <c r="KF251" s="61"/>
      <c r="KG251" s="62"/>
      <c r="KH251" s="63"/>
      <c r="KI251" s="61"/>
      <c r="KJ251" s="62"/>
      <c r="KK251" s="63"/>
      <c r="KL251" s="61"/>
      <c r="KM251" s="62"/>
      <c r="KN251" s="63"/>
      <c r="KO251" s="61"/>
      <c r="KP251" s="62"/>
      <c r="KQ251" s="63"/>
      <c r="KR251" s="61"/>
      <c r="KS251" s="62"/>
      <c r="KT251" s="63"/>
      <c r="KU251" s="61"/>
      <c r="KV251" s="62"/>
      <c r="KW251" s="63"/>
      <c r="KX251" s="61"/>
      <c r="KY251" s="62"/>
      <c r="KZ251" s="63"/>
      <c r="LA251" s="61"/>
      <c r="LB251" s="62"/>
      <c r="LC251" s="63"/>
      <c r="LD251" s="61"/>
      <c r="LE251" s="62"/>
      <c r="LF251" s="63"/>
      <c r="LG251" s="61"/>
      <c r="LH251" s="62"/>
      <c r="LI251" s="63"/>
      <c r="LJ251" s="61"/>
      <c r="LK251" s="62"/>
      <c r="LL251" s="63"/>
      <c r="LM251" s="61"/>
      <c r="LN251" s="62"/>
      <c r="LO251" s="63"/>
      <c r="LP251" s="61"/>
      <c r="LQ251" s="62"/>
      <c r="LR251" s="63"/>
      <c r="LS251" s="61"/>
      <c r="LT251" s="62"/>
      <c r="LU251" s="63"/>
      <c r="LV251" s="61"/>
      <c r="LW251" s="62"/>
      <c r="LX251" s="63"/>
      <c r="LY251" s="61"/>
      <c r="LZ251" s="62"/>
      <c r="MA251" s="63"/>
      <c r="MB251" s="61"/>
      <c r="MC251" s="62"/>
      <c r="MD251" s="63"/>
      <c r="ME251" s="61"/>
      <c r="MF251" s="62"/>
      <c r="MG251" s="63"/>
      <c r="MH251" s="61"/>
      <c r="MI251" s="62"/>
      <c r="MJ251" s="63"/>
      <c r="MK251" s="61"/>
      <c r="ML251" s="62"/>
      <c r="MM251" s="63"/>
      <c r="MN251" s="61"/>
      <c r="MO251" s="62"/>
      <c r="MP251" s="63"/>
      <c r="MQ251" s="61"/>
      <c r="MR251" s="62"/>
      <c r="MS251" s="63"/>
      <c r="MT251" s="61"/>
      <c r="MU251" s="62"/>
      <c r="MV251" s="63"/>
      <c r="MW251" s="61"/>
      <c r="MX251" s="62"/>
      <c r="MY251" s="63"/>
      <c r="MZ251" s="61"/>
      <c r="NA251" s="62"/>
      <c r="NB251" s="63"/>
      <c r="NC251" s="61"/>
      <c r="ND251" s="62"/>
      <c r="NE251" s="91"/>
      <c r="NG251" s="275"/>
      <c r="NH251" s="1"/>
      <c r="NI251" s="1"/>
      <c r="NJ251" s="1"/>
      <c r="NK251" s="1"/>
      <c r="NL251" s="408"/>
      <c r="NM251" s="7"/>
    </row>
    <row r="252" spans="5:377" s="6" customFormat="1" ht="9.9499999999999993" customHeight="1">
      <c r="F252" s="196">
        <f t="shared" ref="F252" si="606">NG252</f>
        <v>1.9959999999999999E-2</v>
      </c>
      <c r="G252" s="197">
        <f>Q252-F252</f>
        <v>0</v>
      </c>
      <c r="H252" s="38"/>
      <c r="L252" s="286" t="s">
        <v>277</v>
      </c>
      <c r="M252" s="346"/>
      <c r="N252" s="442">
        <v>1</v>
      </c>
      <c r="O252" s="443" t="s">
        <v>1</v>
      </c>
      <c r="P252" s="240">
        <v>4155176</v>
      </c>
      <c r="Q252" s="238">
        <f>ROUND(P252/$P$256,5)</f>
        <v>1.9959999999999999E-2</v>
      </c>
      <c r="R252" s="331">
        <v>0</v>
      </c>
      <c r="S252" s="150"/>
      <c r="T252" s="151"/>
      <c r="U252" s="151"/>
      <c r="V252" s="151"/>
      <c r="W252" s="151"/>
      <c r="X252" s="151"/>
      <c r="Y252" s="151"/>
      <c r="Z252" s="151"/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  <c r="AK252" s="151"/>
      <c r="AL252" s="151"/>
      <c r="AM252" s="151"/>
      <c r="AN252" s="151"/>
      <c r="AO252" s="151"/>
      <c r="AP252" s="151"/>
      <c r="AQ252" s="151"/>
      <c r="AR252" s="151"/>
      <c r="AS252" s="151"/>
      <c r="AT252" s="151"/>
      <c r="AU252" s="151"/>
      <c r="AV252" s="151"/>
      <c r="AW252" s="151"/>
      <c r="AX252" s="151"/>
      <c r="AY252" s="151"/>
      <c r="AZ252" s="151"/>
      <c r="BA252" s="151"/>
      <c r="BB252" s="151"/>
      <c r="BC252" s="151"/>
      <c r="BD252" s="151"/>
      <c r="BE252" s="151"/>
      <c r="BF252" s="151"/>
      <c r="BG252" s="151"/>
      <c r="BH252" s="151"/>
      <c r="BI252" s="151"/>
      <c r="BJ252" s="151"/>
      <c r="BK252" s="151"/>
      <c r="BL252" s="151"/>
      <c r="BM252" s="151"/>
      <c r="BN252" s="151"/>
      <c r="BO252" s="151"/>
      <c r="BP252" s="151"/>
      <c r="BQ252" s="151"/>
      <c r="BR252" s="151"/>
      <c r="BS252" s="151"/>
      <c r="BT252" s="151"/>
      <c r="BU252" s="151"/>
      <c r="BV252" s="151"/>
      <c r="BW252" s="151"/>
      <c r="BX252" s="151"/>
      <c r="BY252" s="151"/>
      <c r="BZ252" s="151"/>
      <c r="CA252" s="151"/>
      <c r="CB252" s="151"/>
      <c r="CC252" s="151"/>
      <c r="CD252" s="151"/>
      <c r="CE252" s="151"/>
      <c r="CF252" s="151"/>
      <c r="CG252" s="151"/>
      <c r="CH252" s="151"/>
      <c r="CI252" s="151"/>
      <c r="CJ252" s="151"/>
      <c r="CK252" s="151"/>
      <c r="CL252" s="151"/>
      <c r="CM252" s="151"/>
      <c r="CN252" s="151"/>
      <c r="CO252" s="151"/>
      <c r="CP252" s="151"/>
      <c r="CQ252" s="151"/>
      <c r="CR252" s="151"/>
      <c r="CS252" s="151"/>
      <c r="CT252" s="151"/>
      <c r="CU252" s="151"/>
      <c r="CV252" s="151"/>
      <c r="CW252" s="151"/>
      <c r="CX252" s="151"/>
      <c r="CY252" s="151"/>
      <c r="CZ252" s="151"/>
      <c r="DA252" s="151"/>
      <c r="DB252" s="151"/>
      <c r="DC252" s="151"/>
      <c r="DD252" s="151"/>
      <c r="DE252" s="151"/>
      <c r="DF252" s="151"/>
      <c r="DG252" s="151"/>
      <c r="DH252" s="151"/>
      <c r="DI252" s="151"/>
      <c r="DJ252" s="151"/>
      <c r="DK252" s="151"/>
      <c r="DL252" s="151"/>
      <c r="DM252" s="151"/>
      <c r="DN252" s="151"/>
      <c r="DO252" s="151"/>
      <c r="DP252" s="151"/>
      <c r="DQ252" s="151"/>
      <c r="DR252" s="151"/>
      <c r="DS252" s="151"/>
      <c r="DT252" s="151"/>
      <c r="DU252" s="151"/>
      <c r="DV252" s="151"/>
      <c r="DW252" s="151"/>
      <c r="DX252" s="151"/>
      <c r="DY252" s="151"/>
      <c r="DZ252" s="151"/>
      <c r="EA252" s="151"/>
      <c r="EB252" s="151"/>
      <c r="EC252" s="151"/>
      <c r="ED252" s="151"/>
      <c r="EE252" s="151"/>
      <c r="EF252" s="151"/>
      <c r="EG252" s="151"/>
      <c r="EH252" s="151"/>
      <c r="EI252" s="151"/>
      <c r="EJ252" s="151"/>
      <c r="EK252" s="151"/>
      <c r="EL252" s="151"/>
      <c r="EM252" s="151"/>
      <c r="EN252" s="151"/>
      <c r="EO252" s="151"/>
      <c r="EP252" s="151"/>
      <c r="EQ252" s="151"/>
      <c r="ER252" s="151"/>
      <c r="ES252" s="151"/>
      <c r="ET252" s="151"/>
      <c r="EU252" s="151"/>
      <c r="EV252" s="151"/>
      <c r="EW252" s="151"/>
      <c r="EX252" s="151"/>
      <c r="EY252" s="151"/>
      <c r="EZ252" s="151"/>
      <c r="FA252" s="151"/>
      <c r="FB252" s="151"/>
      <c r="FC252" s="151"/>
      <c r="FD252" s="151"/>
      <c r="FE252" s="151"/>
      <c r="FF252" s="151"/>
      <c r="FG252" s="151"/>
      <c r="FH252" s="151"/>
      <c r="FI252" s="151"/>
      <c r="FJ252" s="151"/>
      <c r="FK252" s="151"/>
      <c r="FL252" s="151"/>
      <c r="FM252" s="151"/>
      <c r="FN252" s="151"/>
      <c r="FO252" s="151"/>
      <c r="FP252" s="151"/>
      <c r="FQ252" s="151"/>
      <c r="FR252" s="151"/>
      <c r="FS252" s="151"/>
      <c r="FT252" s="151"/>
      <c r="FU252" s="151"/>
      <c r="FV252" s="151"/>
      <c r="FW252" s="151"/>
      <c r="FX252" s="151"/>
      <c r="FY252" s="151"/>
      <c r="FZ252" s="151"/>
      <c r="GA252" s="151"/>
      <c r="GB252" s="151"/>
      <c r="GC252" s="151"/>
      <c r="GD252" s="151"/>
      <c r="GE252" s="151"/>
      <c r="GF252" s="151"/>
      <c r="GG252" s="151"/>
      <c r="GH252" s="151"/>
      <c r="GI252" s="151"/>
      <c r="GJ252" s="151"/>
      <c r="GK252" s="151"/>
      <c r="GL252" s="151"/>
      <c r="GM252" s="151"/>
      <c r="GN252" s="151"/>
      <c r="GO252" s="151"/>
      <c r="GP252" s="151"/>
      <c r="GQ252" s="151"/>
      <c r="GR252" s="151"/>
      <c r="GS252" s="151"/>
      <c r="GT252" s="151"/>
      <c r="GU252" s="151"/>
      <c r="GV252" s="151"/>
      <c r="GW252" s="151"/>
      <c r="GX252" s="151"/>
      <c r="GY252" s="151"/>
      <c r="GZ252" s="151"/>
      <c r="HA252" s="151"/>
      <c r="HB252" s="151"/>
      <c r="HC252" s="151"/>
      <c r="HD252" s="151"/>
      <c r="HE252" s="151"/>
      <c r="HF252" s="151"/>
      <c r="HG252" s="151"/>
      <c r="HH252" s="151"/>
      <c r="HI252" s="151"/>
      <c r="HJ252" s="151"/>
      <c r="HK252" s="151"/>
      <c r="HL252" s="151"/>
      <c r="HM252" s="151"/>
      <c r="HN252" s="151"/>
      <c r="HO252" s="151"/>
      <c r="HP252" s="151"/>
      <c r="HQ252" s="151"/>
      <c r="HR252" s="151"/>
      <c r="HS252" s="151"/>
      <c r="HT252" s="151"/>
      <c r="HU252" s="151"/>
      <c r="HV252" s="151"/>
      <c r="HW252" s="151"/>
      <c r="HX252" s="151"/>
      <c r="HY252" s="151"/>
      <c r="HZ252" s="151"/>
      <c r="IA252" s="151"/>
      <c r="IB252" s="151"/>
      <c r="IC252" s="151"/>
      <c r="ID252" s="151"/>
      <c r="IE252" s="151"/>
      <c r="IF252" s="151"/>
      <c r="IG252" s="151"/>
      <c r="IH252" s="151"/>
      <c r="II252" s="151"/>
      <c r="IJ252" s="151"/>
      <c r="IK252" s="151"/>
      <c r="IL252" s="151"/>
      <c r="IM252" s="151"/>
      <c r="IN252" s="151"/>
      <c r="IO252" s="151"/>
      <c r="IP252" s="151"/>
      <c r="IQ252" s="151"/>
      <c r="IR252" s="151"/>
      <c r="IS252" s="151"/>
      <c r="IT252" s="151"/>
      <c r="IU252" s="151"/>
      <c r="IV252" s="151"/>
      <c r="IW252" s="151"/>
      <c r="IX252" s="151"/>
      <c r="IY252" s="151"/>
      <c r="IZ252" s="151"/>
      <c r="JA252" s="151"/>
      <c r="JB252" s="151"/>
      <c r="JC252" s="151"/>
      <c r="JD252" s="151"/>
      <c r="JE252" s="151"/>
      <c r="JF252" s="151"/>
      <c r="JG252" s="151"/>
      <c r="JH252" s="151"/>
      <c r="JI252" s="151"/>
      <c r="JJ252" s="151"/>
      <c r="JK252" s="151"/>
      <c r="JL252" s="151"/>
      <c r="JM252" s="151"/>
      <c r="JN252" s="151"/>
      <c r="JO252" s="151"/>
      <c r="JP252" s="151"/>
      <c r="JQ252" s="151"/>
      <c r="JR252" s="151"/>
      <c r="JS252" s="151"/>
      <c r="JT252" s="151"/>
      <c r="JU252" s="151"/>
      <c r="JV252" s="151"/>
      <c r="JW252" s="151"/>
      <c r="JX252" s="151"/>
      <c r="JY252" s="151"/>
      <c r="JZ252" s="151"/>
      <c r="KA252" s="151"/>
      <c r="KB252" s="151"/>
      <c r="KC252" s="437">
        <f t="shared" ref="KC252" si="607">ROUND(SUM(KC254:KE255),5)</f>
        <v>0</v>
      </c>
      <c r="KD252" s="437"/>
      <c r="KE252" s="437"/>
      <c r="KF252" s="437">
        <f t="shared" ref="KF252" si="608">ROUND(SUM(KF254:KH255),5)</f>
        <v>0</v>
      </c>
      <c r="KG252" s="437"/>
      <c r="KH252" s="437"/>
      <c r="KI252" s="437">
        <f t="shared" ref="KI252" si="609">ROUND(SUM(KI254:KK255),5)</f>
        <v>0</v>
      </c>
      <c r="KJ252" s="437"/>
      <c r="KK252" s="437"/>
      <c r="KL252" s="437">
        <f t="shared" ref="KL252" si="610">ROUND(SUM(KL254:KN255),5)</f>
        <v>0</v>
      </c>
      <c r="KM252" s="437"/>
      <c r="KN252" s="437"/>
      <c r="KO252" s="437">
        <f t="shared" ref="KO252" si="611">ROUND(SUM(KO254:KQ255),5)</f>
        <v>0</v>
      </c>
      <c r="KP252" s="437"/>
      <c r="KQ252" s="437"/>
      <c r="KR252" s="437">
        <f t="shared" ref="KR252" si="612">ROUND(SUM(KR254:KT255),5)</f>
        <v>0</v>
      </c>
      <c r="KS252" s="437"/>
      <c r="KT252" s="437"/>
      <c r="KU252" s="437">
        <f t="shared" ref="KU252" si="613">ROUND(SUM(KU254:KW255),5)</f>
        <v>0</v>
      </c>
      <c r="KV252" s="437"/>
      <c r="KW252" s="437"/>
      <c r="KX252" s="437">
        <f t="shared" ref="KX252" si="614">ROUND(SUM(KX254:KZ255),5)</f>
        <v>0</v>
      </c>
      <c r="KY252" s="437"/>
      <c r="KZ252" s="437"/>
      <c r="LA252" s="437">
        <f t="shared" ref="LA252" si="615">ROUND(SUM(LA254:LC255),5)</f>
        <v>0</v>
      </c>
      <c r="LB252" s="437"/>
      <c r="LC252" s="437"/>
      <c r="LD252" s="437">
        <f t="shared" ref="LD252" si="616">ROUND(SUM(LD254:LF255),5)</f>
        <v>0</v>
      </c>
      <c r="LE252" s="437"/>
      <c r="LF252" s="437"/>
      <c r="LG252" s="437">
        <f t="shared" ref="LG252" si="617">ROUND(SUM(LG254:LI255),5)</f>
        <v>0</v>
      </c>
      <c r="LH252" s="437"/>
      <c r="LI252" s="437"/>
      <c r="LJ252" s="437">
        <f t="shared" ref="LJ252" si="618">ROUND(SUM(LJ254:LL255),5)</f>
        <v>0</v>
      </c>
      <c r="LK252" s="437"/>
      <c r="LL252" s="437"/>
      <c r="LM252" s="437">
        <f t="shared" ref="LM252" si="619">ROUND(SUM(LM254:LO255),5)</f>
        <v>0</v>
      </c>
      <c r="LN252" s="437"/>
      <c r="LO252" s="437"/>
      <c r="LP252" s="437">
        <f t="shared" ref="LP252" si="620">ROUND(SUM(LP254:LR255),5)</f>
        <v>0</v>
      </c>
      <c r="LQ252" s="437"/>
      <c r="LR252" s="437"/>
      <c r="LS252" s="437">
        <f t="shared" ref="LS252" si="621">ROUND(SUM(LS254:LU255),5)</f>
        <v>0</v>
      </c>
      <c r="LT252" s="437"/>
      <c r="LU252" s="437"/>
      <c r="LV252" s="409">
        <f t="shared" ref="LV252" si="622">ROUND(SUM(LV254:LX255),5)</f>
        <v>2.0799999999999998E-3</v>
      </c>
      <c r="LW252" s="409"/>
      <c r="LX252" s="410"/>
      <c r="LY252" s="409">
        <f t="shared" ref="LY252" si="623">ROUND(SUM(LY254:MA255),5)</f>
        <v>2.7399999999999998E-3</v>
      </c>
      <c r="LZ252" s="409"/>
      <c r="MA252" s="410"/>
      <c r="MB252" s="409">
        <f t="shared" ref="MB252" si="624">ROUND(SUM(MB254:MD255),5)</f>
        <v>2.7399999999999998E-3</v>
      </c>
      <c r="MC252" s="409"/>
      <c r="MD252" s="410"/>
      <c r="ME252" s="409">
        <f t="shared" ref="ME252" si="625">ROUND(SUM(ME254:MG255),5)</f>
        <v>2.7399999999999998E-3</v>
      </c>
      <c r="MF252" s="409"/>
      <c r="MG252" s="410"/>
      <c r="MH252" s="409">
        <f t="shared" ref="MH252" si="626">ROUND(SUM(MH254:MJ255),5)</f>
        <v>2.7399999999999998E-3</v>
      </c>
      <c r="MI252" s="409"/>
      <c r="MJ252" s="410"/>
      <c r="MK252" s="409">
        <f t="shared" ref="MK252" si="627">ROUND(SUM(MK254:MM255),5)</f>
        <v>2.7399999999999998E-3</v>
      </c>
      <c r="ML252" s="409"/>
      <c r="MM252" s="410"/>
      <c r="MN252" s="409">
        <f t="shared" ref="MN252" si="628">ROUND(SUM(MN254:MP255),5)</f>
        <v>2.7399999999999998E-3</v>
      </c>
      <c r="MO252" s="409"/>
      <c r="MP252" s="410"/>
      <c r="MQ252" s="437">
        <f t="shared" ref="MQ252" si="629">ROUND(SUM(MQ254:MS255),5)</f>
        <v>0</v>
      </c>
      <c r="MR252" s="437"/>
      <c r="MS252" s="437"/>
      <c r="MT252" s="437">
        <f t="shared" ref="MT252" si="630">ROUND(SUM(MT254:MV255),5)</f>
        <v>0</v>
      </c>
      <c r="MU252" s="437"/>
      <c r="MV252" s="437"/>
      <c r="MW252" s="437">
        <f t="shared" ref="MW252" si="631">ROUND(SUM(MW254:MY255),5)</f>
        <v>0</v>
      </c>
      <c r="MX252" s="437"/>
      <c r="MY252" s="437"/>
      <c r="MZ252" s="437">
        <f t="shared" ref="MZ252" si="632">ROUND(SUM(MZ254:NB255),5)</f>
        <v>9.3999999999999997E-4</v>
      </c>
      <c r="NA252" s="437"/>
      <c r="NB252" s="437"/>
      <c r="NC252" s="205">
        <f>ROUND(SUM(NC254:NE255),5)</f>
        <v>5.0000000000000001E-4</v>
      </c>
      <c r="ND252" s="206"/>
      <c r="NE252" s="223"/>
      <c r="NG252" s="198">
        <f>SUM(R252:NE252)</f>
        <v>1.9959999999999999E-2</v>
      </c>
      <c r="NH252" s="198">
        <f>NG252</f>
        <v>1.9959999999999999E-2</v>
      </c>
      <c r="NI252" s="1"/>
      <c r="NJ252" s="1"/>
      <c r="NK252" s="1"/>
      <c r="NL252" s="36"/>
      <c r="NM252" s="7"/>
    </row>
    <row r="253" spans="5:377" s="6" customFormat="1" ht="9.9499999999999993" customHeight="1">
      <c r="F253" s="196"/>
      <c r="G253" s="197"/>
      <c r="H253" s="38"/>
      <c r="L253" s="289"/>
      <c r="M253" s="347"/>
      <c r="N253" s="442"/>
      <c r="O253" s="443"/>
      <c r="P253" s="241"/>
      <c r="Q253" s="239"/>
      <c r="R253" s="332"/>
      <c r="S253" s="152"/>
      <c r="T253" s="153"/>
      <c r="U253" s="153"/>
      <c r="V253" s="153"/>
      <c r="W253" s="153"/>
      <c r="X253" s="153"/>
      <c r="Y253" s="153"/>
      <c r="Z253" s="153"/>
      <c r="AA253" s="153"/>
      <c r="AB253" s="153"/>
      <c r="AC253" s="153"/>
      <c r="AD253" s="153"/>
      <c r="AE253" s="153"/>
      <c r="AF253" s="153"/>
      <c r="AG253" s="153"/>
      <c r="AH253" s="153"/>
      <c r="AI253" s="153"/>
      <c r="AJ253" s="153"/>
      <c r="AK253" s="153"/>
      <c r="AL253" s="153"/>
      <c r="AM253" s="153"/>
      <c r="AN253" s="153"/>
      <c r="AO253" s="153"/>
      <c r="AP253" s="153"/>
      <c r="AQ253" s="153"/>
      <c r="AR253" s="153"/>
      <c r="AS253" s="153"/>
      <c r="AT253" s="153"/>
      <c r="AU253" s="153"/>
      <c r="AV253" s="153"/>
      <c r="AW253" s="153"/>
      <c r="AX253" s="153"/>
      <c r="AY253" s="153"/>
      <c r="AZ253" s="153"/>
      <c r="BA253" s="153"/>
      <c r="BB253" s="153"/>
      <c r="BC253" s="153"/>
      <c r="BD253" s="153"/>
      <c r="BE253" s="153"/>
      <c r="BF253" s="153"/>
      <c r="BG253" s="153"/>
      <c r="BH253" s="153"/>
      <c r="BI253" s="153"/>
      <c r="BJ253" s="153"/>
      <c r="BK253" s="153"/>
      <c r="BL253" s="153"/>
      <c r="BM253" s="153"/>
      <c r="BN253" s="153"/>
      <c r="BO253" s="153"/>
      <c r="BP253" s="153"/>
      <c r="BQ253" s="153"/>
      <c r="BR253" s="153"/>
      <c r="BS253" s="153"/>
      <c r="BT253" s="153"/>
      <c r="BU253" s="153"/>
      <c r="BV253" s="153"/>
      <c r="BW253" s="153"/>
      <c r="BX253" s="153"/>
      <c r="BY253" s="153"/>
      <c r="BZ253" s="153"/>
      <c r="CA253" s="153"/>
      <c r="CB253" s="153"/>
      <c r="CC253" s="153"/>
      <c r="CD253" s="153"/>
      <c r="CE253" s="153"/>
      <c r="CF253" s="153"/>
      <c r="CG253" s="153"/>
      <c r="CH253" s="153"/>
      <c r="CI253" s="153"/>
      <c r="CJ253" s="153"/>
      <c r="CK253" s="153"/>
      <c r="CL253" s="153"/>
      <c r="CM253" s="153"/>
      <c r="CN253" s="153"/>
      <c r="CO253" s="153"/>
      <c r="CP253" s="153"/>
      <c r="CQ253" s="153"/>
      <c r="CR253" s="153"/>
      <c r="CS253" s="153"/>
      <c r="CT253" s="153"/>
      <c r="CU253" s="153"/>
      <c r="CV253" s="153"/>
      <c r="CW253" s="153"/>
      <c r="CX253" s="153"/>
      <c r="CY253" s="153"/>
      <c r="CZ253" s="153"/>
      <c r="DA253" s="153"/>
      <c r="DB253" s="153"/>
      <c r="DC253" s="153"/>
      <c r="DD253" s="153"/>
      <c r="DE253" s="153"/>
      <c r="DF253" s="153"/>
      <c r="DG253" s="153"/>
      <c r="DH253" s="153"/>
      <c r="DI253" s="153"/>
      <c r="DJ253" s="153"/>
      <c r="DK253" s="153"/>
      <c r="DL253" s="153"/>
      <c r="DM253" s="153"/>
      <c r="DN253" s="153"/>
      <c r="DO253" s="153"/>
      <c r="DP253" s="153"/>
      <c r="DQ253" s="153"/>
      <c r="DR253" s="153"/>
      <c r="DS253" s="153"/>
      <c r="DT253" s="153"/>
      <c r="DU253" s="153"/>
      <c r="DV253" s="153"/>
      <c r="DW253" s="153"/>
      <c r="DX253" s="153"/>
      <c r="DY253" s="153"/>
      <c r="DZ253" s="153"/>
      <c r="EA253" s="153"/>
      <c r="EB253" s="153"/>
      <c r="EC253" s="153"/>
      <c r="ED253" s="153"/>
      <c r="EE253" s="153"/>
      <c r="EF253" s="153"/>
      <c r="EG253" s="153"/>
      <c r="EH253" s="153"/>
      <c r="EI253" s="153"/>
      <c r="EJ253" s="153"/>
      <c r="EK253" s="153"/>
      <c r="EL253" s="153"/>
      <c r="EM253" s="153"/>
      <c r="EN253" s="153"/>
      <c r="EO253" s="153"/>
      <c r="EP253" s="153"/>
      <c r="EQ253" s="153"/>
      <c r="ER253" s="153"/>
      <c r="ES253" s="153"/>
      <c r="ET253" s="153"/>
      <c r="EU253" s="153"/>
      <c r="EV253" s="153"/>
      <c r="EW253" s="153"/>
      <c r="EX253" s="153"/>
      <c r="EY253" s="153"/>
      <c r="EZ253" s="153"/>
      <c r="FA253" s="153"/>
      <c r="FB253" s="153"/>
      <c r="FC253" s="153"/>
      <c r="FD253" s="153"/>
      <c r="FE253" s="153"/>
      <c r="FF253" s="153"/>
      <c r="FG253" s="153"/>
      <c r="FH253" s="153"/>
      <c r="FI253" s="153"/>
      <c r="FJ253" s="153"/>
      <c r="FK253" s="153"/>
      <c r="FL253" s="153"/>
      <c r="FM253" s="153"/>
      <c r="FN253" s="153"/>
      <c r="FO253" s="153"/>
      <c r="FP253" s="153"/>
      <c r="FQ253" s="153"/>
      <c r="FR253" s="153"/>
      <c r="FS253" s="153"/>
      <c r="FT253" s="153"/>
      <c r="FU253" s="153"/>
      <c r="FV253" s="153"/>
      <c r="FW253" s="153"/>
      <c r="FX253" s="153"/>
      <c r="FY253" s="153"/>
      <c r="FZ253" s="153"/>
      <c r="GA253" s="153"/>
      <c r="GB253" s="153"/>
      <c r="GC253" s="153"/>
      <c r="GD253" s="153"/>
      <c r="GE253" s="153"/>
      <c r="GF253" s="153"/>
      <c r="GG253" s="153"/>
      <c r="GH253" s="153"/>
      <c r="GI253" s="153"/>
      <c r="GJ253" s="153"/>
      <c r="GK253" s="153"/>
      <c r="GL253" s="153"/>
      <c r="GM253" s="153"/>
      <c r="GN253" s="153"/>
      <c r="GO253" s="153"/>
      <c r="GP253" s="153"/>
      <c r="GQ253" s="153"/>
      <c r="GR253" s="153"/>
      <c r="GS253" s="153"/>
      <c r="GT253" s="153"/>
      <c r="GU253" s="153"/>
      <c r="GV253" s="153"/>
      <c r="GW253" s="153"/>
      <c r="GX253" s="153"/>
      <c r="GY253" s="153"/>
      <c r="GZ253" s="153"/>
      <c r="HA253" s="153"/>
      <c r="HB253" s="153"/>
      <c r="HC253" s="153"/>
      <c r="HD253" s="153"/>
      <c r="HE253" s="153"/>
      <c r="HF253" s="153"/>
      <c r="HG253" s="153"/>
      <c r="HH253" s="153"/>
      <c r="HI253" s="153"/>
      <c r="HJ253" s="153"/>
      <c r="HK253" s="153"/>
      <c r="HL253" s="153"/>
      <c r="HM253" s="153"/>
      <c r="HN253" s="153"/>
      <c r="HO253" s="153"/>
      <c r="HP253" s="153"/>
      <c r="HQ253" s="153"/>
      <c r="HR253" s="153"/>
      <c r="HS253" s="153"/>
      <c r="HT253" s="153"/>
      <c r="HU253" s="153"/>
      <c r="HV253" s="153"/>
      <c r="HW253" s="153"/>
      <c r="HX253" s="153"/>
      <c r="HY253" s="153"/>
      <c r="HZ253" s="153"/>
      <c r="IA253" s="153"/>
      <c r="IB253" s="153"/>
      <c r="IC253" s="153"/>
      <c r="ID253" s="153"/>
      <c r="IE253" s="153"/>
      <c r="IF253" s="153"/>
      <c r="IG253" s="153"/>
      <c r="IH253" s="153"/>
      <c r="II253" s="153"/>
      <c r="IJ253" s="153"/>
      <c r="IK253" s="153"/>
      <c r="IL253" s="153"/>
      <c r="IM253" s="153"/>
      <c r="IN253" s="153"/>
      <c r="IO253" s="153"/>
      <c r="IP253" s="153"/>
      <c r="IQ253" s="153"/>
      <c r="IR253" s="153"/>
      <c r="IS253" s="153"/>
      <c r="IT253" s="153"/>
      <c r="IU253" s="153"/>
      <c r="IV253" s="153"/>
      <c r="IW253" s="153"/>
      <c r="IX253" s="153"/>
      <c r="IY253" s="153"/>
      <c r="IZ253" s="153"/>
      <c r="JA253" s="153"/>
      <c r="JB253" s="153"/>
      <c r="JC253" s="153"/>
      <c r="JD253" s="153"/>
      <c r="JE253" s="153"/>
      <c r="JF253" s="153"/>
      <c r="JG253" s="153"/>
      <c r="JH253" s="153"/>
      <c r="JI253" s="153"/>
      <c r="JJ253" s="153"/>
      <c r="JK253" s="153"/>
      <c r="JL253" s="153"/>
      <c r="JM253" s="153"/>
      <c r="JN253" s="153"/>
      <c r="JO253" s="153"/>
      <c r="JP253" s="153"/>
      <c r="JQ253" s="153"/>
      <c r="JR253" s="153"/>
      <c r="JS253" s="153"/>
      <c r="JT253" s="153"/>
      <c r="JU253" s="153"/>
      <c r="JV253" s="153"/>
      <c r="JW253" s="153"/>
      <c r="JX253" s="153"/>
      <c r="JY253" s="153"/>
      <c r="JZ253" s="153"/>
      <c r="KA253" s="153"/>
      <c r="KB253" s="153"/>
      <c r="KC253" s="438"/>
      <c r="KD253" s="438"/>
      <c r="KE253" s="438"/>
      <c r="KF253" s="438"/>
      <c r="KG253" s="438"/>
      <c r="KH253" s="438"/>
      <c r="KI253" s="438"/>
      <c r="KJ253" s="438"/>
      <c r="KK253" s="438"/>
      <c r="KL253" s="438"/>
      <c r="KM253" s="438"/>
      <c r="KN253" s="438"/>
      <c r="KO253" s="438"/>
      <c r="KP253" s="438"/>
      <c r="KQ253" s="438"/>
      <c r="KR253" s="438"/>
      <c r="KS253" s="438"/>
      <c r="KT253" s="438"/>
      <c r="KU253" s="438"/>
      <c r="KV253" s="438"/>
      <c r="KW253" s="438"/>
      <c r="KX253" s="438"/>
      <c r="KY253" s="438"/>
      <c r="KZ253" s="438"/>
      <c r="LA253" s="438"/>
      <c r="LB253" s="438"/>
      <c r="LC253" s="438"/>
      <c r="LD253" s="438"/>
      <c r="LE253" s="438"/>
      <c r="LF253" s="438"/>
      <c r="LG253" s="438"/>
      <c r="LH253" s="438"/>
      <c r="LI253" s="438"/>
      <c r="LJ253" s="438"/>
      <c r="LK253" s="438"/>
      <c r="LL253" s="438"/>
      <c r="LM253" s="438"/>
      <c r="LN253" s="438"/>
      <c r="LO253" s="438"/>
      <c r="LP253" s="438"/>
      <c r="LQ253" s="438"/>
      <c r="LR253" s="438"/>
      <c r="LS253" s="438"/>
      <c r="LT253" s="438"/>
      <c r="LU253" s="438"/>
      <c r="LV253" s="411"/>
      <c r="LW253" s="411"/>
      <c r="LX253" s="412"/>
      <c r="LY253" s="411"/>
      <c r="LZ253" s="411"/>
      <c r="MA253" s="412"/>
      <c r="MB253" s="411"/>
      <c r="MC253" s="411"/>
      <c r="MD253" s="412"/>
      <c r="ME253" s="411"/>
      <c r="MF253" s="411"/>
      <c r="MG253" s="412"/>
      <c r="MH253" s="411"/>
      <c r="MI253" s="411"/>
      <c r="MJ253" s="412"/>
      <c r="MK253" s="411"/>
      <c r="ML253" s="411"/>
      <c r="MM253" s="412"/>
      <c r="MN253" s="411"/>
      <c r="MO253" s="411"/>
      <c r="MP253" s="412"/>
      <c r="MQ253" s="438"/>
      <c r="MR253" s="438"/>
      <c r="MS253" s="438"/>
      <c r="MT253" s="438"/>
      <c r="MU253" s="438"/>
      <c r="MV253" s="438"/>
      <c r="MW253" s="438"/>
      <c r="MX253" s="438"/>
      <c r="MY253" s="438"/>
      <c r="MZ253" s="438"/>
      <c r="NA253" s="438"/>
      <c r="NB253" s="438"/>
      <c r="NC253" s="281"/>
      <c r="ND253" s="282"/>
      <c r="NE253" s="419"/>
      <c r="NG253" s="198"/>
      <c r="NH253" s="198"/>
      <c r="NI253" s="1"/>
      <c r="NJ253" s="1"/>
      <c r="NK253" s="1"/>
      <c r="NL253" s="36"/>
      <c r="NM253" s="7"/>
    </row>
    <row r="254" spans="5:377" s="6" customFormat="1" ht="9.9499999999999993" customHeight="1">
      <c r="F254" s="119"/>
      <c r="G254" s="38"/>
      <c r="H254" s="38"/>
      <c r="L254" s="339"/>
      <c r="M254" s="293" t="s">
        <v>291</v>
      </c>
      <c r="N254" s="356">
        <v>1</v>
      </c>
      <c r="O254" s="350" t="s">
        <v>1</v>
      </c>
      <c r="P254" s="307">
        <v>1113010</v>
      </c>
      <c r="Q254" s="236">
        <f>ROUND(P252/$P$256,5)</f>
        <v>1.9959999999999999E-2</v>
      </c>
      <c r="R254" s="21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56"/>
      <c r="AX254" s="156"/>
      <c r="AY254" s="156"/>
      <c r="AZ254" s="156"/>
      <c r="BA254" s="156"/>
      <c r="BB254" s="156"/>
      <c r="BC254" s="156"/>
      <c r="BD254" s="156"/>
      <c r="BE254" s="156"/>
      <c r="BF254" s="156"/>
      <c r="BG254" s="156"/>
      <c r="BH254" s="156"/>
      <c r="BI254" s="156"/>
      <c r="BJ254" s="156"/>
      <c r="BK254" s="156"/>
      <c r="BL254" s="156"/>
      <c r="BM254" s="156"/>
      <c r="BN254" s="156"/>
      <c r="BO254" s="156"/>
      <c r="BP254" s="156"/>
      <c r="BQ254" s="156"/>
      <c r="BR254" s="156"/>
      <c r="BS254" s="156"/>
      <c r="BT254" s="156"/>
      <c r="BU254" s="156"/>
      <c r="BV254" s="156"/>
      <c r="BW254" s="156"/>
      <c r="BX254" s="156"/>
      <c r="BY254" s="156"/>
      <c r="BZ254" s="156"/>
      <c r="CA254" s="156"/>
      <c r="CB254" s="156"/>
      <c r="CC254" s="156"/>
      <c r="CD254" s="156"/>
      <c r="CE254" s="156"/>
      <c r="CF254" s="156"/>
      <c r="CG254" s="156"/>
      <c r="CH254" s="156"/>
      <c r="CI254" s="156"/>
      <c r="CJ254" s="156"/>
      <c r="CK254" s="156"/>
      <c r="CL254" s="156"/>
      <c r="CM254" s="156"/>
      <c r="CN254" s="156"/>
      <c r="CO254" s="156"/>
      <c r="CP254" s="156"/>
      <c r="CQ254" s="156"/>
      <c r="CR254" s="156"/>
      <c r="CS254" s="156"/>
      <c r="CT254" s="156"/>
      <c r="CU254" s="156"/>
      <c r="CV254" s="156"/>
      <c r="CW254" s="156"/>
      <c r="CX254" s="156"/>
      <c r="CY254" s="156"/>
      <c r="CZ254" s="156"/>
      <c r="DA254" s="156"/>
      <c r="DB254" s="156"/>
      <c r="DC254" s="156"/>
      <c r="DD254" s="156"/>
      <c r="DE254" s="53"/>
      <c r="DF254" s="54"/>
      <c r="DG254" s="54"/>
      <c r="DH254" s="54"/>
      <c r="DI254" s="54"/>
      <c r="DJ254" s="54"/>
      <c r="DK254" s="54"/>
      <c r="DL254" s="54"/>
      <c r="DM254" s="54"/>
      <c r="DN254" s="54"/>
      <c r="DO254" s="54"/>
      <c r="DP254" s="54"/>
      <c r="DQ254" s="54"/>
      <c r="DR254" s="54"/>
      <c r="DS254" s="54"/>
      <c r="DT254" s="54"/>
      <c r="DU254" s="54"/>
      <c r="DV254" s="54"/>
      <c r="DW254" s="54"/>
      <c r="DX254" s="54"/>
      <c r="DY254" s="54"/>
      <c r="DZ254" s="54"/>
      <c r="EA254" s="54"/>
      <c r="EB254" s="54"/>
      <c r="EC254" s="54"/>
      <c r="ED254" s="54"/>
      <c r="EE254" s="54"/>
      <c r="EF254" s="54"/>
      <c r="EG254" s="54"/>
      <c r="EH254" s="55"/>
      <c r="EI254" s="54"/>
      <c r="EJ254" s="54"/>
      <c r="EK254" s="54"/>
      <c r="EL254" s="54"/>
      <c r="EM254" s="54"/>
      <c r="EN254" s="54"/>
      <c r="EO254" s="54"/>
      <c r="EP254" s="54"/>
      <c r="EQ254" s="54"/>
      <c r="ER254" s="54"/>
      <c r="ES254" s="54"/>
      <c r="ET254" s="54"/>
      <c r="EU254" s="54"/>
      <c r="EV254" s="54"/>
      <c r="EW254" s="54"/>
      <c r="EX254" s="54"/>
      <c r="EY254" s="54"/>
      <c r="EZ254" s="54"/>
      <c r="FA254" s="54"/>
      <c r="FB254" s="54"/>
      <c r="FC254" s="54"/>
      <c r="FD254" s="54"/>
      <c r="FE254" s="54"/>
      <c r="FF254" s="54"/>
      <c r="FG254" s="54"/>
      <c r="FH254" s="54"/>
      <c r="FI254" s="54"/>
      <c r="FJ254" s="54"/>
      <c r="FK254" s="54"/>
      <c r="FL254" s="54"/>
      <c r="FM254" s="156"/>
      <c r="FN254" s="156"/>
      <c r="FO254" s="156"/>
      <c r="FP254" s="156"/>
      <c r="FQ254" s="156"/>
      <c r="FR254" s="156"/>
      <c r="FS254" s="156"/>
      <c r="FT254" s="156"/>
      <c r="FU254" s="156"/>
      <c r="FV254" s="156"/>
      <c r="FW254" s="156"/>
      <c r="FX254" s="156"/>
      <c r="FY254" s="156"/>
      <c r="FZ254" s="156"/>
      <c r="GA254" s="156"/>
      <c r="GB254" s="156"/>
      <c r="GC254" s="156"/>
      <c r="GD254" s="156"/>
      <c r="GE254" s="156"/>
      <c r="GF254" s="156"/>
      <c r="GG254" s="156"/>
      <c r="GH254" s="156"/>
      <c r="GI254" s="156"/>
      <c r="GJ254" s="156"/>
      <c r="GK254" s="156"/>
      <c r="GL254" s="156"/>
      <c r="GM254" s="156"/>
      <c r="GN254" s="156"/>
      <c r="GO254" s="156"/>
      <c r="GP254" s="156"/>
      <c r="GQ254" s="54"/>
      <c r="GR254" s="54"/>
      <c r="GS254" s="54"/>
      <c r="GT254" s="54"/>
      <c r="GU254" s="54"/>
      <c r="GV254" s="54"/>
      <c r="GW254" s="54"/>
      <c r="GX254" s="54"/>
      <c r="GY254" s="54"/>
      <c r="GZ254" s="54"/>
      <c r="HA254" s="54"/>
      <c r="HB254" s="54"/>
      <c r="HC254" s="54"/>
      <c r="HD254" s="54"/>
      <c r="HE254" s="54"/>
      <c r="HF254" s="54"/>
      <c r="HG254" s="54"/>
      <c r="HH254" s="54"/>
      <c r="HI254" s="54"/>
      <c r="HJ254" s="54"/>
      <c r="HK254" s="54"/>
      <c r="HL254" s="54"/>
      <c r="HM254" s="54"/>
      <c r="HN254" s="54"/>
      <c r="HO254" s="54"/>
      <c r="HP254" s="54"/>
      <c r="HQ254" s="54"/>
      <c r="HR254" s="54"/>
      <c r="HS254" s="54"/>
      <c r="HT254" s="54"/>
      <c r="HU254" s="53"/>
      <c r="HV254" s="54"/>
      <c r="HW254" s="54"/>
      <c r="HX254" s="54"/>
      <c r="HY254" s="54"/>
      <c r="HZ254" s="54"/>
      <c r="IA254" s="54"/>
      <c r="IB254" s="54"/>
      <c r="IC254" s="54"/>
      <c r="ID254" s="54"/>
      <c r="IE254" s="54"/>
      <c r="IF254" s="54"/>
      <c r="IG254" s="54"/>
      <c r="IH254" s="54"/>
      <c r="II254" s="54"/>
      <c r="IJ254" s="54"/>
      <c r="IK254" s="54"/>
      <c r="IL254" s="54"/>
      <c r="IM254" s="54"/>
      <c r="IN254" s="54"/>
      <c r="IO254" s="54"/>
      <c r="IP254" s="54"/>
      <c r="IQ254" s="54"/>
      <c r="IR254" s="54"/>
      <c r="IS254" s="54"/>
      <c r="IT254" s="54"/>
      <c r="IU254" s="54"/>
      <c r="IV254" s="54"/>
      <c r="IW254" s="54"/>
      <c r="IX254" s="54"/>
      <c r="IY254" s="156"/>
      <c r="IZ254" s="156"/>
      <c r="JA254" s="156"/>
      <c r="JB254" s="156"/>
      <c r="JC254" s="156"/>
      <c r="JD254" s="156"/>
      <c r="JE254" s="156"/>
      <c r="JF254" s="156"/>
      <c r="JG254" s="156"/>
      <c r="JH254" s="156"/>
      <c r="JI254" s="156"/>
      <c r="JJ254" s="156"/>
      <c r="JK254" s="156"/>
      <c r="JL254" s="156"/>
      <c r="JM254" s="156"/>
      <c r="JN254" s="156"/>
      <c r="JO254" s="156"/>
      <c r="JP254" s="156"/>
      <c r="JQ254" s="156"/>
      <c r="JR254" s="156"/>
      <c r="JS254" s="156"/>
      <c r="JT254" s="156"/>
      <c r="JU254" s="156"/>
      <c r="JV254" s="156"/>
      <c r="JW254" s="156"/>
      <c r="JX254" s="156"/>
      <c r="JY254" s="156"/>
      <c r="JZ254" s="156"/>
      <c r="KA254" s="156"/>
      <c r="KB254" s="156"/>
      <c r="KC254" s="53"/>
      <c r="KD254" s="54"/>
      <c r="KE254" s="55"/>
      <c r="KF254" s="54"/>
      <c r="KG254" s="54"/>
      <c r="KH254" s="54"/>
      <c r="KI254" s="212"/>
      <c r="KJ254" s="212"/>
      <c r="KK254" s="212"/>
      <c r="KL254" s="54"/>
      <c r="KM254" s="54"/>
      <c r="KN254" s="54"/>
      <c r="KO254" s="53"/>
      <c r="KP254" s="54"/>
      <c r="KQ254" s="55"/>
      <c r="KR254" s="212"/>
      <c r="KS254" s="212"/>
      <c r="KT254" s="212"/>
      <c r="KU254" s="53"/>
      <c r="KV254" s="54"/>
      <c r="KW254" s="55"/>
      <c r="KX254" s="54"/>
      <c r="KY254" s="54"/>
      <c r="KZ254" s="54"/>
      <c r="LA254" s="57"/>
      <c r="LB254" s="54"/>
      <c r="LC254" s="58"/>
      <c r="LD254" s="54"/>
      <c r="LE254" s="54"/>
      <c r="LF254" s="54"/>
      <c r="LG254" s="53"/>
      <c r="LH254" s="54"/>
      <c r="LI254" s="55"/>
      <c r="LJ254" s="53"/>
      <c r="LK254" s="54"/>
      <c r="LL254" s="55"/>
      <c r="LM254" s="53"/>
      <c r="LN254" s="54"/>
      <c r="LO254" s="55"/>
      <c r="LP254" s="53"/>
      <c r="LQ254" s="54"/>
      <c r="LR254" s="55"/>
      <c r="LS254" s="53"/>
      <c r="LT254" s="54"/>
      <c r="LU254" s="55"/>
      <c r="LV254" s="212">
        <v>2.0799999999999998E-3</v>
      </c>
      <c r="LW254" s="212"/>
      <c r="LX254" s="212"/>
      <c r="LY254" s="212">
        <v>2.7399999999999998E-3</v>
      </c>
      <c r="LZ254" s="212"/>
      <c r="MA254" s="212"/>
      <c r="MB254" s="212">
        <v>2.7399999999999998E-3</v>
      </c>
      <c r="MC254" s="212"/>
      <c r="MD254" s="212"/>
      <c r="ME254" s="212">
        <v>2.7399999999999998E-3</v>
      </c>
      <c r="MF254" s="212"/>
      <c r="MG254" s="212"/>
      <c r="MH254" s="212">
        <v>2.7399999999999998E-3</v>
      </c>
      <c r="MI254" s="212"/>
      <c r="MJ254" s="212"/>
      <c r="MK254" s="212">
        <v>2.7399999999999998E-3</v>
      </c>
      <c r="ML254" s="212"/>
      <c r="MM254" s="212"/>
      <c r="MN254" s="212">
        <v>2.7399999999999998E-3</v>
      </c>
      <c r="MO254" s="212"/>
      <c r="MP254" s="212"/>
      <c r="MQ254" s="212"/>
      <c r="MR254" s="212"/>
      <c r="MS254" s="212"/>
      <c r="MT254" s="212"/>
      <c r="MU254" s="212"/>
      <c r="MV254" s="212"/>
      <c r="MW254" s="212"/>
      <c r="MX254" s="212"/>
      <c r="MY254" s="212"/>
      <c r="MZ254" s="212">
        <v>9.3999999999999997E-4</v>
      </c>
      <c r="NA254" s="212"/>
      <c r="NB254" s="212"/>
      <c r="NC254" s="212">
        <v>5.0000000000000001E-4</v>
      </c>
      <c r="ND254" s="212"/>
      <c r="NE254" s="276"/>
      <c r="NG254" s="275">
        <f>SUM(R254:NE254)</f>
        <v>1.9959999999999999E-2</v>
      </c>
      <c r="NH254" s="1"/>
      <c r="NI254" s="1"/>
      <c r="NJ254" s="1"/>
      <c r="NK254" s="1"/>
      <c r="NL254" s="36"/>
      <c r="NM254" s="7"/>
    </row>
    <row r="255" spans="5:377" s="6" customFormat="1" ht="6.95" customHeight="1" thickBot="1">
      <c r="F255" s="119"/>
      <c r="G255" s="38"/>
      <c r="H255" s="38"/>
      <c r="L255" s="311"/>
      <c r="M255" s="362"/>
      <c r="N255" s="373"/>
      <c r="O255" s="351"/>
      <c r="P255" s="316"/>
      <c r="Q255" s="399"/>
      <c r="R255" s="82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  <c r="AC255" s="120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  <c r="AO255" s="120"/>
      <c r="AP255" s="120"/>
      <c r="AQ255" s="120"/>
      <c r="AR255" s="120"/>
      <c r="AS255" s="120"/>
      <c r="AT255" s="120"/>
      <c r="AU255" s="120"/>
      <c r="AV255" s="120"/>
      <c r="AW255" s="121"/>
      <c r="AX255" s="120"/>
      <c r="AY255" s="120"/>
      <c r="AZ255" s="120"/>
      <c r="BA255" s="120"/>
      <c r="BB255" s="120"/>
      <c r="BC255" s="120"/>
      <c r="BD255" s="120"/>
      <c r="BE255" s="120"/>
      <c r="BF255" s="120"/>
      <c r="BG255" s="120"/>
      <c r="BH255" s="120"/>
      <c r="BI255" s="120"/>
      <c r="BJ255" s="120"/>
      <c r="BK255" s="120"/>
      <c r="BL255" s="120"/>
      <c r="BM255" s="120"/>
      <c r="BN255" s="120"/>
      <c r="BO255" s="120"/>
      <c r="BP255" s="120"/>
      <c r="BQ255" s="120"/>
      <c r="BR255" s="120"/>
      <c r="BS255" s="120"/>
      <c r="BT255" s="120"/>
      <c r="BU255" s="120"/>
      <c r="BV255" s="120"/>
      <c r="BW255" s="120"/>
      <c r="BX255" s="120"/>
      <c r="BY255" s="120"/>
      <c r="BZ255" s="122"/>
      <c r="CA255" s="121"/>
      <c r="CB255" s="120"/>
      <c r="CC255" s="120"/>
      <c r="CD255" s="120"/>
      <c r="CE255" s="120"/>
      <c r="CF255" s="120"/>
      <c r="CG255" s="120"/>
      <c r="CH255" s="120"/>
      <c r="CI255" s="120"/>
      <c r="CJ255" s="120"/>
      <c r="CK255" s="120"/>
      <c r="CL255" s="120"/>
      <c r="CM255" s="120"/>
      <c r="CN255" s="120"/>
      <c r="CO255" s="120"/>
      <c r="CP255" s="120"/>
      <c r="CQ255" s="120"/>
      <c r="CR255" s="120"/>
      <c r="CS255" s="120"/>
      <c r="CT255" s="120"/>
      <c r="CU255" s="120"/>
      <c r="CV255" s="120"/>
      <c r="CW255" s="120"/>
      <c r="CX255" s="120"/>
      <c r="CY255" s="120"/>
      <c r="CZ255" s="120"/>
      <c r="DA255" s="120"/>
      <c r="DB255" s="120"/>
      <c r="DC255" s="120"/>
      <c r="DD255" s="122"/>
      <c r="DE255" s="121"/>
      <c r="DF255" s="120"/>
      <c r="DG255" s="120"/>
      <c r="DH255" s="120"/>
      <c r="DI255" s="120"/>
      <c r="DJ255" s="120"/>
      <c r="DK255" s="120"/>
      <c r="DL255" s="120"/>
      <c r="DM255" s="120"/>
      <c r="DN255" s="120"/>
      <c r="DO255" s="120"/>
      <c r="DP255" s="120"/>
      <c r="DQ255" s="120"/>
      <c r="DR255" s="120"/>
      <c r="DS255" s="120"/>
      <c r="DT255" s="120"/>
      <c r="DU255" s="120"/>
      <c r="DV255" s="120"/>
      <c r="DW255" s="120"/>
      <c r="DX255" s="120"/>
      <c r="DY255" s="120"/>
      <c r="DZ255" s="120"/>
      <c r="EA255" s="120"/>
      <c r="EB255" s="120"/>
      <c r="EC255" s="120"/>
      <c r="ED255" s="120"/>
      <c r="EE255" s="120"/>
      <c r="EF255" s="120"/>
      <c r="EG255" s="120"/>
      <c r="EH255" s="122"/>
      <c r="EI255" s="120"/>
      <c r="EJ255" s="120"/>
      <c r="EK255" s="120"/>
      <c r="EL255" s="120"/>
      <c r="EM255" s="120"/>
      <c r="EN255" s="120"/>
      <c r="EO255" s="120"/>
      <c r="EP255" s="120"/>
      <c r="EQ255" s="120"/>
      <c r="ER255" s="120"/>
      <c r="ES255" s="120"/>
      <c r="ET255" s="120"/>
      <c r="EU255" s="120"/>
      <c r="EV255" s="120"/>
      <c r="EW255" s="120"/>
      <c r="EX255" s="120"/>
      <c r="EY255" s="120"/>
      <c r="EZ255" s="120"/>
      <c r="FA255" s="120"/>
      <c r="FB255" s="120"/>
      <c r="FC255" s="120"/>
      <c r="FD255" s="120"/>
      <c r="FE255" s="120"/>
      <c r="FF255" s="120"/>
      <c r="FG255" s="120"/>
      <c r="FH255" s="120"/>
      <c r="FI255" s="120"/>
      <c r="FJ255" s="120"/>
      <c r="FK255" s="120"/>
      <c r="FL255" s="120"/>
      <c r="FM255" s="121"/>
      <c r="FN255" s="120"/>
      <c r="FO255" s="120"/>
      <c r="FP255" s="120"/>
      <c r="FQ255" s="120"/>
      <c r="FR255" s="120"/>
      <c r="FS255" s="120"/>
      <c r="FT255" s="120"/>
      <c r="FU255" s="120"/>
      <c r="FV255" s="120"/>
      <c r="FW255" s="120"/>
      <c r="FX255" s="120"/>
      <c r="FY255" s="120"/>
      <c r="FZ255" s="120"/>
      <c r="GA255" s="120"/>
      <c r="GB255" s="120"/>
      <c r="GC255" s="120"/>
      <c r="GD255" s="120"/>
      <c r="GE255" s="120"/>
      <c r="GF255" s="120"/>
      <c r="GG255" s="120"/>
      <c r="GH255" s="120"/>
      <c r="GI255" s="120"/>
      <c r="GJ255" s="120"/>
      <c r="GK255" s="120"/>
      <c r="GL255" s="120"/>
      <c r="GM255" s="120"/>
      <c r="GN255" s="120"/>
      <c r="GO255" s="120"/>
      <c r="GP255" s="122"/>
      <c r="GQ255" s="120"/>
      <c r="GR255" s="120"/>
      <c r="GS255" s="120"/>
      <c r="GT255" s="120"/>
      <c r="GU255" s="120"/>
      <c r="GV255" s="120"/>
      <c r="GW255" s="120"/>
      <c r="GX255" s="120"/>
      <c r="GY255" s="120"/>
      <c r="GZ255" s="120"/>
      <c r="HA255" s="120"/>
      <c r="HB255" s="120"/>
      <c r="HC255" s="120"/>
      <c r="HD255" s="120"/>
      <c r="HE255" s="120"/>
      <c r="HF255" s="120"/>
      <c r="HG255" s="120"/>
      <c r="HH255" s="120"/>
      <c r="HI255" s="120"/>
      <c r="HJ255" s="120"/>
      <c r="HK255" s="120"/>
      <c r="HL255" s="120"/>
      <c r="HM255" s="120"/>
      <c r="HN255" s="120"/>
      <c r="HO255" s="120"/>
      <c r="HP255" s="120"/>
      <c r="HQ255" s="120"/>
      <c r="HR255" s="120"/>
      <c r="HS255" s="120"/>
      <c r="HT255" s="120"/>
      <c r="HU255" s="121"/>
      <c r="HV255" s="120"/>
      <c r="HW255" s="120"/>
      <c r="HX255" s="120"/>
      <c r="HY255" s="120"/>
      <c r="HZ255" s="120"/>
      <c r="IA255" s="120"/>
      <c r="IB255" s="120"/>
      <c r="IC255" s="120"/>
      <c r="ID255" s="120"/>
      <c r="IE255" s="120"/>
      <c r="IF255" s="120"/>
      <c r="IG255" s="120"/>
      <c r="IH255" s="120"/>
      <c r="II255" s="120"/>
      <c r="IJ255" s="120"/>
      <c r="IK255" s="120"/>
      <c r="IL255" s="120"/>
      <c r="IM255" s="120"/>
      <c r="IN255" s="120"/>
      <c r="IO255" s="120"/>
      <c r="IP255" s="120"/>
      <c r="IQ255" s="120"/>
      <c r="IR255" s="120"/>
      <c r="IS255" s="120"/>
      <c r="IT255" s="120"/>
      <c r="IU255" s="120"/>
      <c r="IV255" s="120"/>
      <c r="IW255" s="120"/>
      <c r="IX255" s="120"/>
      <c r="IY255" s="121"/>
      <c r="IZ255" s="120"/>
      <c r="JA255" s="120"/>
      <c r="JB255" s="120"/>
      <c r="JC255" s="120"/>
      <c r="JD255" s="120"/>
      <c r="JE255" s="120"/>
      <c r="JF255" s="120"/>
      <c r="JG255" s="120"/>
      <c r="JH255" s="120"/>
      <c r="JI255" s="120"/>
      <c r="JJ255" s="120"/>
      <c r="JK255" s="120"/>
      <c r="JL255" s="120"/>
      <c r="JM255" s="120"/>
      <c r="JN255" s="120"/>
      <c r="JO255" s="120"/>
      <c r="JP255" s="120"/>
      <c r="JQ255" s="120"/>
      <c r="JR255" s="120"/>
      <c r="JS255" s="120"/>
      <c r="JT255" s="120"/>
      <c r="JU255" s="120"/>
      <c r="JV255" s="120"/>
      <c r="JW255" s="120"/>
      <c r="JX255" s="120"/>
      <c r="JY255" s="120"/>
      <c r="JZ255" s="120"/>
      <c r="KA255" s="120"/>
      <c r="KB255" s="122"/>
      <c r="KC255" s="121"/>
      <c r="KD255" s="120"/>
      <c r="KE255" s="122"/>
      <c r="KF255" s="120"/>
      <c r="KG255" s="120"/>
      <c r="KH255" s="120"/>
      <c r="KI255" s="121"/>
      <c r="KJ255" s="120"/>
      <c r="KK255" s="122"/>
      <c r="KL255" s="120"/>
      <c r="KM255" s="120"/>
      <c r="KN255" s="120"/>
      <c r="KO255" s="121"/>
      <c r="KP255" s="120"/>
      <c r="KQ255" s="122"/>
      <c r="KR255" s="121"/>
      <c r="KS255" s="120"/>
      <c r="KT255" s="122"/>
      <c r="KU255" s="121"/>
      <c r="KV255" s="120"/>
      <c r="KW255" s="122"/>
      <c r="KX255" s="120"/>
      <c r="KY255" s="120"/>
      <c r="KZ255" s="120"/>
      <c r="LA255" s="123"/>
      <c r="LB255" s="120"/>
      <c r="LC255" s="124"/>
      <c r="LD255" s="120"/>
      <c r="LE255" s="120"/>
      <c r="LF255" s="120"/>
      <c r="LG255" s="121"/>
      <c r="LH255" s="120"/>
      <c r="LI255" s="122"/>
      <c r="LJ255" s="121"/>
      <c r="LK255" s="120"/>
      <c r="LL255" s="122"/>
      <c r="LM255" s="121"/>
      <c r="LN255" s="120"/>
      <c r="LO255" s="122"/>
      <c r="LP255" s="121"/>
      <c r="LQ255" s="120"/>
      <c r="LR255" s="122"/>
      <c r="LS255" s="121"/>
      <c r="LT255" s="120"/>
      <c r="LU255" s="122"/>
      <c r="LV255" s="125"/>
      <c r="LW255" s="126"/>
      <c r="LX255" s="127"/>
      <c r="LY255" s="125"/>
      <c r="LZ255" s="126"/>
      <c r="MA255" s="127"/>
      <c r="MB255" s="125"/>
      <c r="MC255" s="126"/>
      <c r="MD255" s="127"/>
      <c r="ME255" s="125"/>
      <c r="MF255" s="126"/>
      <c r="MG255" s="127"/>
      <c r="MH255" s="125"/>
      <c r="MI255" s="126"/>
      <c r="MJ255" s="127"/>
      <c r="MK255" s="125"/>
      <c r="ML255" s="126"/>
      <c r="MM255" s="127"/>
      <c r="MN255" s="125"/>
      <c r="MO255" s="126"/>
      <c r="MP255" s="127"/>
      <c r="MQ255" s="121"/>
      <c r="MR255" s="120"/>
      <c r="MS255" s="122"/>
      <c r="MT255" s="121"/>
      <c r="MU255" s="120"/>
      <c r="MV255" s="122"/>
      <c r="MW255" s="121"/>
      <c r="MX255" s="120"/>
      <c r="MY255" s="122"/>
      <c r="MZ255" s="125"/>
      <c r="NA255" s="126"/>
      <c r="NB255" s="127"/>
      <c r="NC255" s="125"/>
      <c r="ND255" s="126"/>
      <c r="NE255" s="128"/>
      <c r="NG255" s="275"/>
      <c r="NH255" s="1"/>
      <c r="NI255" s="1"/>
      <c r="NJ255" s="1"/>
      <c r="NK255" s="1"/>
      <c r="NL255" s="36"/>
      <c r="NM255" s="7"/>
    </row>
    <row r="256" spans="5:377" s="6" customFormat="1" ht="9.9499999999999993" customHeight="1" thickBot="1">
      <c r="G256" s="26"/>
      <c r="H256" s="26"/>
      <c r="J256" s="439" t="s">
        <v>288</v>
      </c>
      <c r="K256" s="440"/>
      <c r="L256" s="333" t="s">
        <v>282</v>
      </c>
      <c r="M256" s="333"/>
      <c r="N256" s="333"/>
      <c r="O256" s="333"/>
      <c r="P256" s="344">
        <f>O24+P240+P244+P252</f>
        <v>208195454</v>
      </c>
      <c r="Q256" s="345">
        <f>Q24+Q240+Q244+Q252</f>
        <v>0.99999999999999989</v>
      </c>
      <c r="R256" s="342">
        <f>ROUND(R24+R240+R244+R252,5)</f>
        <v>0</v>
      </c>
      <c r="S256" s="144">
        <f>ROUND(S24+S240+S244+S252,5)</f>
        <v>0</v>
      </c>
      <c r="T256" s="145"/>
      <c r="U256" s="145"/>
      <c r="V256" s="145"/>
      <c r="W256" s="145"/>
      <c r="X256" s="145"/>
      <c r="Y256" s="145"/>
      <c r="Z256" s="145"/>
      <c r="AA256" s="145"/>
      <c r="AB256" s="145"/>
      <c r="AC256" s="145"/>
      <c r="AD256" s="145"/>
      <c r="AE256" s="145"/>
      <c r="AF256" s="145"/>
      <c r="AG256" s="145"/>
      <c r="AH256" s="145"/>
      <c r="AI256" s="145"/>
      <c r="AJ256" s="145"/>
      <c r="AK256" s="145"/>
      <c r="AL256" s="145"/>
      <c r="AM256" s="145"/>
      <c r="AN256" s="145"/>
      <c r="AO256" s="145"/>
      <c r="AP256" s="145"/>
      <c r="AQ256" s="145"/>
      <c r="AR256" s="145"/>
      <c r="AS256" s="145"/>
      <c r="AT256" s="145"/>
      <c r="AU256" s="145"/>
      <c r="AV256" s="146"/>
      <c r="AW256" s="181">
        <f>ROUND(AW24+AW240+AW244+AW252,5)</f>
        <v>0</v>
      </c>
      <c r="AX256" s="182"/>
      <c r="AY256" s="182"/>
      <c r="AZ256" s="182"/>
      <c r="BA256" s="182"/>
      <c r="BB256" s="182"/>
      <c r="BC256" s="182"/>
      <c r="BD256" s="182"/>
      <c r="BE256" s="182"/>
      <c r="BF256" s="182"/>
      <c r="BG256" s="182"/>
      <c r="BH256" s="182"/>
      <c r="BI256" s="182"/>
      <c r="BJ256" s="182"/>
      <c r="BK256" s="182"/>
      <c r="BL256" s="182"/>
      <c r="BM256" s="182"/>
      <c r="BN256" s="182"/>
      <c r="BO256" s="182"/>
      <c r="BP256" s="182"/>
      <c r="BQ256" s="182"/>
      <c r="BR256" s="182"/>
      <c r="BS256" s="182"/>
      <c r="BT256" s="182"/>
      <c r="BU256" s="182"/>
      <c r="BV256" s="182"/>
      <c r="BW256" s="182"/>
      <c r="BX256" s="182"/>
      <c r="BY256" s="182"/>
      <c r="BZ256" s="182"/>
      <c r="CA256" s="181">
        <f>ROUND(CA24+CA240+CA244+CA252,5)</f>
        <v>0</v>
      </c>
      <c r="CB256" s="182"/>
      <c r="CC256" s="182"/>
      <c r="CD256" s="182"/>
      <c r="CE256" s="182"/>
      <c r="CF256" s="182"/>
      <c r="CG256" s="182"/>
      <c r="CH256" s="182"/>
      <c r="CI256" s="182"/>
      <c r="CJ256" s="182"/>
      <c r="CK256" s="182"/>
      <c r="CL256" s="182"/>
      <c r="CM256" s="182"/>
      <c r="CN256" s="182"/>
      <c r="CO256" s="182"/>
      <c r="CP256" s="182"/>
      <c r="CQ256" s="182"/>
      <c r="CR256" s="182"/>
      <c r="CS256" s="182"/>
      <c r="CT256" s="182"/>
      <c r="CU256" s="182"/>
      <c r="CV256" s="182"/>
      <c r="CW256" s="182"/>
      <c r="CX256" s="182"/>
      <c r="CY256" s="182"/>
      <c r="CZ256" s="182"/>
      <c r="DA256" s="182"/>
      <c r="DB256" s="182"/>
      <c r="DC256" s="182"/>
      <c r="DD256" s="182"/>
      <c r="DE256" s="181">
        <f>ROUND(DE24+DE240+DE244+DE252,5)</f>
        <v>0</v>
      </c>
      <c r="DF256" s="182"/>
      <c r="DG256" s="182"/>
      <c r="DH256" s="182"/>
      <c r="DI256" s="182"/>
      <c r="DJ256" s="182"/>
      <c r="DK256" s="182"/>
      <c r="DL256" s="182"/>
      <c r="DM256" s="182"/>
      <c r="DN256" s="182"/>
      <c r="DO256" s="182"/>
      <c r="DP256" s="182"/>
      <c r="DQ256" s="182"/>
      <c r="DR256" s="182"/>
      <c r="DS256" s="182"/>
      <c r="DT256" s="182"/>
      <c r="DU256" s="182"/>
      <c r="DV256" s="182"/>
      <c r="DW256" s="182"/>
      <c r="DX256" s="182"/>
      <c r="DY256" s="182"/>
      <c r="DZ256" s="182"/>
      <c r="EA256" s="182"/>
      <c r="EB256" s="182"/>
      <c r="EC256" s="182"/>
      <c r="ED256" s="182"/>
      <c r="EE256" s="182"/>
      <c r="EF256" s="182"/>
      <c r="EG256" s="182"/>
      <c r="EH256" s="182"/>
      <c r="EI256" s="181">
        <f>ROUND(EI24+EI240+EI244+EI252,5)</f>
        <v>0</v>
      </c>
      <c r="EJ256" s="182"/>
      <c r="EK256" s="182"/>
      <c r="EL256" s="182"/>
      <c r="EM256" s="182"/>
      <c r="EN256" s="182"/>
      <c r="EO256" s="182"/>
      <c r="EP256" s="182"/>
      <c r="EQ256" s="182"/>
      <c r="ER256" s="182"/>
      <c r="ES256" s="182"/>
      <c r="ET256" s="182"/>
      <c r="EU256" s="182"/>
      <c r="EV256" s="182"/>
      <c r="EW256" s="182"/>
      <c r="EX256" s="182"/>
      <c r="EY256" s="182"/>
      <c r="EZ256" s="182"/>
      <c r="FA256" s="182"/>
      <c r="FB256" s="182"/>
      <c r="FC256" s="182"/>
      <c r="FD256" s="182"/>
      <c r="FE256" s="182"/>
      <c r="FF256" s="182"/>
      <c r="FG256" s="182"/>
      <c r="FH256" s="182"/>
      <c r="FI256" s="182"/>
      <c r="FJ256" s="182"/>
      <c r="FK256" s="182"/>
      <c r="FL256" s="182"/>
      <c r="FM256" s="181">
        <f>ROUND(FM24+FM240+FM244+FM252,5)</f>
        <v>0</v>
      </c>
      <c r="FN256" s="182"/>
      <c r="FO256" s="182"/>
      <c r="FP256" s="182"/>
      <c r="FQ256" s="182"/>
      <c r="FR256" s="182"/>
      <c r="FS256" s="182"/>
      <c r="FT256" s="182"/>
      <c r="FU256" s="182"/>
      <c r="FV256" s="182"/>
      <c r="FW256" s="182"/>
      <c r="FX256" s="182"/>
      <c r="FY256" s="182"/>
      <c r="FZ256" s="182"/>
      <c r="GA256" s="182"/>
      <c r="GB256" s="182"/>
      <c r="GC256" s="182"/>
      <c r="GD256" s="182"/>
      <c r="GE256" s="182"/>
      <c r="GF256" s="182"/>
      <c r="GG256" s="182"/>
      <c r="GH256" s="182"/>
      <c r="GI256" s="182"/>
      <c r="GJ256" s="182"/>
      <c r="GK256" s="182"/>
      <c r="GL256" s="182"/>
      <c r="GM256" s="182"/>
      <c r="GN256" s="182"/>
      <c r="GO256" s="182"/>
      <c r="GP256" s="182"/>
      <c r="GQ256" s="181">
        <f>ROUND(GQ24+GQ240+GQ244+GQ252,5)</f>
        <v>0</v>
      </c>
      <c r="GR256" s="182"/>
      <c r="GS256" s="182"/>
      <c r="GT256" s="182"/>
      <c r="GU256" s="182"/>
      <c r="GV256" s="182"/>
      <c r="GW256" s="182"/>
      <c r="GX256" s="182"/>
      <c r="GY256" s="182"/>
      <c r="GZ256" s="182"/>
      <c r="HA256" s="182"/>
      <c r="HB256" s="182"/>
      <c r="HC256" s="182"/>
      <c r="HD256" s="182"/>
      <c r="HE256" s="182"/>
      <c r="HF256" s="182"/>
      <c r="HG256" s="182"/>
      <c r="HH256" s="182"/>
      <c r="HI256" s="182"/>
      <c r="HJ256" s="182"/>
      <c r="HK256" s="182"/>
      <c r="HL256" s="182"/>
      <c r="HM256" s="182"/>
      <c r="HN256" s="182"/>
      <c r="HO256" s="182"/>
      <c r="HP256" s="182"/>
      <c r="HQ256" s="182"/>
      <c r="HR256" s="182"/>
      <c r="HS256" s="182"/>
      <c r="HT256" s="182"/>
      <c r="HU256" s="181">
        <f>ROUND(HU24+HU240+HU244+HU252,5)</f>
        <v>0</v>
      </c>
      <c r="HV256" s="182"/>
      <c r="HW256" s="182"/>
      <c r="HX256" s="182"/>
      <c r="HY256" s="182"/>
      <c r="HZ256" s="182"/>
      <c r="IA256" s="182"/>
      <c r="IB256" s="182"/>
      <c r="IC256" s="182"/>
      <c r="ID256" s="182"/>
      <c r="IE256" s="182"/>
      <c r="IF256" s="182"/>
      <c r="IG256" s="182"/>
      <c r="IH256" s="182"/>
      <c r="II256" s="182"/>
      <c r="IJ256" s="182"/>
      <c r="IK256" s="182"/>
      <c r="IL256" s="182"/>
      <c r="IM256" s="182"/>
      <c r="IN256" s="182"/>
      <c r="IO256" s="182"/>
      <c r="IP256" s="182"/>
      <c r="IQ256" s="182"/>
      <c r="IR256" s="182"/>
      <c r="IS256" s="182"/>
      <c r="IT256" s="182"/>
      <c r="IU256" s="182"/>
      <c r="IV256" s="182"/>
      <c r="IW256" s="182"/>
      <c r="IX256" s="182"/>
      <c r="IY256" s="181">
        <f>ROUND(IY24+IY240+IY244+IY252,5)</f>
        <v>0</v>
      </c>
      <c r="IZ256" s="182"/>
      <c r="JA256" s="182"/>
      <c r="JB256" s="182"/>
      <c r="JC256" s="182"/>
      <c r="JD256" s="182"/>
      <c r="JE256" s="182"/>
      <c r="JF256" s="182"/>
      <c r="JG256" s="182"/>
      <c r="JH256" s="182"/>
      <c r="JI256" s="182"/>
      <c r="JJ256" s="182"/>
      <c r="JK256" s="182"/>
      <c r="JL256" s="182"/>
      <c r="JM256" s="182"/>
      <c r="JN256" s="182"/>
      <c r="JO256" s="182"/>
      <c r="JP256" s="182"/>
      <c r="JQ256" s="182"/>
      <c r="JR256" s="182"/>
      <c r="JS256" s="182"/>
      <c r="JT256" s="182"/>
      <c r="JU256" s="182"/>
      <c r="JV256" s="182"/>
      <c r="JW256" s="182"/>
      <c r="JX256" s="182"/>
      <c r="JY256" s="182"/>
      <c r="JZ256" s="182"/>
      <c r="KA256" s="182"/>
      <c r="KB256" s="182"/>
      <c r="KC256" s="278">
        <f>ROUND(KC24+KC240+KC244+KC252,5)</f>
        <v>5.96E-2</v>
      </c>
      <c r="KD256" s="279"/>
      <c r="KE256" s="279"/>
      <c r="KF256" s="278">
        <f>ROUND(KF24+KF240+KF244+KF252,5)</f>
        <v>6.0040000000000003E-2</v>
      </c>
      <c r="KG256" s="279"/>
      <c r="KH256" s="279"/>
      <c r="KI256" s="278">
        <f>ROUND(KI24+KI240+KI244+KI252,5)</f>
        <v>5.935E-2</v>
      </c>
      <c r="KJ256" s="279"/>
      <c r="KK256" s="279"/>
      <c r="KL256" s="278">
        <f>ROUND(KL24+KL240+KL244+KL252,5)</f>
        <v>5.1589999999999997E-2</v>
      </c>
      <c r="KM256" s="279"/>
      <c r="KN256" s="279"/>
      <c r="KO256" s="278">
        <f>ROUND(KO24+KO240+KO244+KO252,5)</f>
        <v>5.2490000000000002E-2</v>
      </c>
      <c r="KP256" s="279"/>
      <c r="KQ256" s="279"/>
      <c r="KR256" s="278">
        <f>ROUND(KR24+KR240+KR244+KR252,5)</f>
        <v>5.1999999999999998E-2</v>
      </c>
      <c r="KS256" s="279"/>
      <c r="KT256" s="279"/>
      <c r="KU256" s="278">
        <f>ROUND(KU24+KU240+KU244+KU252,5)</f>
        <v>4.7449999999999999E-2</v>
      </c>
      <c r="KV256" s="279"/>
      <c r="KW256" s="279"/>
      <c r="KX256" s="278">
        <f>ROUND(KX24+KX240+KX244+KX252,5)</f>
        <v>4.8070000000000002E-2</v>
      </c>
      <c r="KY256" s="279"/>
      <c r="KZ256" s="392"/>
      <c r="LA256" s="390">
        <f>ROUND(LA24+LA240+LA244+LA252,5)</f>
        <v>4.8309999999999999E-2</v>
      </c>
      <c r="LB256" s="279"/>
      <c r="LC256" s="391"/>
      <c r="LD256" s="278">
        <f>ROUND(LD24+LD240+LD244+LD252,5)</f>
        <v>4.3970000000000002E-2</v>
      </c>
      <c r="LE256" s="279"/>
      <c r="LF256" s="279"/>
      <c r="LG256" s="278">
        <f>ROUND(LG24+LG240+LG244+LG252,5)</f>
        <v>4.4900000000000002E-2</v>
      </c>
      <c r="LH256" s="279"/>
      <c r="LI256" s="279"/>
      <c r="LJ256" s="278">
        <f>ROUND(LJ24+LJ240+LJ244+LJ252,5)</f>
        <v>3.8269999999999998E-2</v>
      </c>
      <c r="LK256" s="279"/>
      <c r="LL256" s="279"/>
      <c r="LM256" s="278">
        <f>ROUND(LM24+LM240+LM244+LM252,5)</f>
        <v>3.9129999999999998E-2</v>
      </c>
      <c r="LN256" s="279"/>
      <c r="LO256" s="279"/>
      <c r="LP256" s="278">
        <f>ROUND(LP24+LP240+LP244+LP252,5)</f>
        <v>3.8370000000000001E-2</v>
      </c>
      <c r="LQ256" s="279"/>
      <c r="LR256" s="279"/>
      <c r="LS256" s="278">
        <f>ROUND(LS24+LS240+LS244+LS252,5)</f>
        <v>3.1309999999999998E-2</v>
      </c>
      <c r="LT256" s="279"/>
      <c r="LU256" s="279"/>
      <c r="LV256" s="278">
        <f>ROUND(LV24+LV240+LV244+LV252,5)</f>
        <v>3.082E-2</v>
      </c>
      <c r="LW256" s="279"/>
      <c r="LX256" s="279"/>
      <c r="LY256" s="278">
        <f>ROUND(LY24+LY240+LY244+LY252,5)</f>
        <v>2.5139999999999999E-2</v>
      </c>
      <c r="LZ256" s="279"/>
      <c r="MA256" s="279"/>
      <c r="MB256" s="278">
        <f>ROUND(MB24+MB240+MB244+MB252,5)</f>
        <v>2.6780000000000002E-2</v>
      </c>
      <c r="MC256" s="279"/>
      <c r="MD256" s="279"/>
      <c r="ME256" s="278">
        <f>ROUND(ME24+ME240+ME244+ME252,5)</f>
        <v>2.7300000000000001E-2</v>
      </c>
      <c r="MF256" s="279"/>
      <c r="MG256" s="279"/>
      <c r="MH256" s="278">
        <f>ROUND(MH24+MH240+MH244+MH252,5)</f>
        <v>1.949E-2</v>
      </c>
      <c r="MI256" s="279"/>
      <c r="MJ256" s="279"/>
      <c r="MK256" s="278">
        <f>ROUND(MK24+MK240+MK244+MK252,5)</f>
        <v>1.6650000000000002E-2</v>
      </c>
      <c r="ML256" s="279"/>
      <c r="MM256" s="279"/>
      <c r="MN256" s="278">
        <f>ROUND(MN24+MN240+MN244+MN252,5)</f>
        <v>2.086E-2</v>
      </c>
      <c r="MO256" s="279"/>
      <c r="MP256" s="279"/>
      <c r="MQ256" s="278">
        <f>ROUND(MQ24+MQ240+MQ244+MQ252,5)</f>
        <v>1.6469999999999999E-2</v>
      </c>
      <c r="MR256" s="279"/>
      <c r="MS256" s="279"/>
      <c r="MT256" s="278">
        <f>ROUND(MT24+MT240+MT244+MT252,5)</f>
        <v>1.9019999999999999E-2</v>
      </c>
      <c r="MU256" s="279"/>
      <c r="MV256" s="279"/>
      <c r="MW256" s="278">
        <f>ROUND(MW24+MW240+MW244+MW252,5)</f>
        <v>1.406E-2</v>
      </c>
      <c r="MX256" s="279"/>
      <c r="MY256" s="279"/>
      <c r="MZ256" s="279">
        <f>ROUND(MZ24+MZ240+MZ244+MZ252,5)</f>
        <v>2.5600000000000002E-3</v>
      </c>
      <c r="NA256" s="279"/>
      <c r="NB256" s="279"/>
      <c r="NC256" s="279">
        <f>ROUND(NC24+NC240+NC244+NC252,5)</f>
        <v>3.0100000000000001E-3</v>
      </c>
      <c r="ND256" s="279"/>
      <c r="NE256" s="280"/>
      <c r="NG256" s="198">
        <f>SUM(R256:NE256)</f>
        <v>0.93701000000000001</v>
      </c>
      <c r="NH256" s="198">
        <f>SUM(NH24,NH240,NH244,NH252)</f>
        <v>1.0000084289664231</v>
      </c>
      <c r="NI256" s="1"/>
      <c r="NJ256" s="1"/>
      <c r="NK256" s="1"/>
      <c r="NL256" s="7"/>
      <c r="NM256" s="7"/>
    </row>
    <row r="257" spans="7:377" s="6" customFormat="1" ht="9.9499999999999993" customHeight="1" thickBot="1">
      <c r="G257" s="26"/>
      <c r="H257" s="26"/>
      <c r="J257" s="441"/>
      <c r="K257" s="440"/>
      <c r="L257" s="333"/>
      <c r="M257" s="333"/>
      <c r="N257" s="333"/>
      <c r="O257" s="333"/>
      <c r="P257" s="344"/>
      <c r="Q257" s="345"/>
      <c r="R257" s="343"/>
      <c r="S257" s="147"/>
      <c r="T257" s="148"/>
      <c r="U257" s="148"/>
      <c r="V257" s="148"/>
      <c r="W257" s="148"/>
      <c r="X257" s="148"/>
      <c r="Y257" s="148"/>
      <c r="Z257" s="148"/>
      <c r="AA257" s="148"/>
      <c r="AB257" s="148"/>
      <c r="AC257" s="148"/>
      <c r="AD257" s="148"/>
      <c r="AE257" s="148"/>
      <c r="AF257" s="148"/>
      <c r="AG257" s="148"/>
      <c r="AH257" s="148"/>
      <c r="AI257" s="148"/>
      <c r="AJ257" s="148"/>
      <c r="AK257" s="148"/>
      <c r="AL257" s="148"/>
      <c r="AM257" s="148"/>
      <c r="AN257" s="148"/>
      <c r="AO257" s="148"/>
      <c r="AP257" s="148"/>
      <c r="AQ257" s="148"/>
      <c r="AR257" s="148"/>
      <c r="AS257" s="148"/>
      <c r="AT257" s="148"/>
      <c r="AU257" s="148"/>
      <c r="AV257" s="149"/>
      <c r="AW257" s="181"/>
      <c r="AX257" s="182"/>
      <c r="AY257" s="182"/>
      <c r="AZ257" s="182"/>
      <c r="BA257" s="182"/>
      <c r="BB257" s="182"/>
      <c r="BC257" s="182"/>
      <c r="BD257" s="182"/>
      <c r="BE257" s="182"/>
      <c r="BF257" s="182"/>
      <c r="BG257" s="182"/>
      <c r="BH257" s="182"/>
      <c r="BI257" s="182"/>
      <c r="BJ257" s="182"/>
      <c r="BK257" s="182"/>
      <c r="BL257" s="182"/>
      <c r="BM257" s="182"/>
      <c r="BN257" s="182"/>
      <c r="BO257" s="182"/>
      <c r="BP257" s="182"/>
      <c r="BQ257" s="182"/>
      <c r="BR257" s="182"/>
      <c r="BS257" s="182"/>
      <c r="BT257" s="182"/>
      <c r="BU257" s="182"/>
      <c r="BV257" s="182"/>
      <c r="BW257" s="182"/>
      <c r="BX257" s="182"/>
      <c r="BY257" s="182"/>
      <c r="BZ257" s="182"/>
      <c r="CA257" s="181"/>
      <c r="CB257" s="182"/>
      <c r="CC257" s="182"/>
      <c r="CD257" s="182"/>
      <c r="CE257" s="182"/>
      <c r="CF257" s="182"/>
      <c r="CG257" s="182"/>
      <c r="CH257" s="182"/>
      <c r="CI257" s="182"/>
      <c r="CJ257" s="182"/>
      <c r="CK257" s="182"/>
      <c r="CL257" s="182"/>
      <c r="CM257" s="182"/>
      <c r="CN257" s="182"/>
      <c r="CO257" s="182"/>
      <c r="CP257" s="182"/>
      <c r="CQ257" s="182"/>
      <c r="CR257" s="182"/>
      <c r="CS257" s="182"/>
      <c r="CT257" s="182"/>
      <c r="CU257" s="182"/>
      <c r="CV257" s="182"/>
      <c r="CW257" s="182"/>
      <c r="CX257" s="182"/>
      <c r="CY257" s="182"/>
      <c r="CZ257" s="182"/>
      <c r="DA257" s="182"/>
      <c r="DB257" s="182"/>
      <c r="DC257" s="182"/>
      <c r="DD257" s="182"/>
      <c r="DE257" s="181"/>
      <c r="DF257" s="182"/>
      <c r="DG257" s="182"/>
      <c r="DH257" s="182"/>
      <c r="DI257" s="182"/>
      <c r="DJ257" s="182"/>
      <c r="DK257" s="182"/>
      <c r="DL257" s="182"/>
      <c r="DM257" s="182"/>
      <c r="DN257" s="182"/>
      <c r="DO257" s="182"/>
      <c r="DP257" s="182"/>
      <c r="DQ257" s="182"/>
      <c r="DR257" s="182"/>
      <c r="DS257" s="182"/>
      <c r="DT257" s="182"/>
      <c r="DU257" s="182"/>
      <c r="DV257" s="182"/>
      <c r="DW257" s="182"/>
      <c r="DX257" s="182"/>
      <c r="DY257" s="182"/>
      <c r="DZ257" s="182"/>
      <c r="EA257" s="182"/>
      <c r="EB257" s="182"/>
      <c r="EC257" s="182"/>
      <c r="ED257" s="182"/>
      <c r="EE257" s="182"/>
      <c r="EF257" s="182"/>
      <c r="EG257" s="182"/>
      <c r="EH257" s="182"/>
      <c r="EI257" s="181"/>
      <c r="EJ257" s="182"/>
      <c r="EK257" s="182"/>
      <c r="EL257" s="182"/>
      <c r="EM257" s="182"/>
      <c r="EN257" s="182"/>
      <c r="EO257" s="182"/>
      <c r="EP257" s="182"/>
      <c r="EQ257" s="182"/>
      <c r="ER257" s="182"/>
      <c r="ES257" s="182"/>
      <c r="ET257" s="182"/>
      <c r="EU257" s="182"/>
      <c r="EV257" s="182"/>
      <c r="EW257" s="182"/>
      <c r="EX257" s="182"/>
      <c r="EY257" s="182"/>
      <c r="EZ257" s="182"/>
      <c r="FA257" s="182"/>
      <c r="FB257" s="182"/>
      <c r="FC257" s="182"/>
      <c r="FD257" s="182"/>
      <c r="FE257" s="182"/>
      <c r="FF257" s="182"/>
      <c r="FG257" s="182"/>
      <c r="FH257" s="182"/>
      <c r="FI257" s="182"/>
      <c r="FJ257" s="182"/>
      <c r="FK257" s="182"/>
      <c r="FL257" s="182"/>
      <c r="FM257" s="181"/>
      <c r="FN257" s="182"/>
      <c r="FO257" s="182"/>
      <c r="FP257" s="182"/>
      <c r="FQ257" s="182"/>
      <c r="FR257" s="182"/>
      <c r="FS257" s="182"/>
      <c r="FT257" s="182"/>
      <c r="FU257" s="182"/>
      <c r="FV257" s="182"/>
      <c r="FW257" s="182"/>
      <c r="FX257" s="182"/>
      <c r="FY257" s="182"/>
      <c r="FZ257" s="182"/>
      <c r="GA257" s="182"/>
      <c r="GB257" s="182"/>
      <c r="GC257" s="182"/>
      <c r="GD257" s="182"/>
      <c r="GE257" s="182"/>
      <c r="GF257" s="182"/>
      <c r="GG257" s="182"/>
      <c r="GH257" s="182"/>
      <c r="GI257" s="182"/>
      <c r="GJ257" s="182"/>
      <c r="GK257" s="182"/>
      <c r="GL257" s="182"/>
      <c r="GM257" s="182"/>
      <c r="GN257" s="182"/>
      <c r="GO257" s="182"/>
      <c r="GP257" s="182"/>
      <c r="GQ257" s="181"/>
      <c r="GR257" s="182"/>
      <c r="GS257" s="182"/>
      <c r="GT257" s="182"/>
      <c r="GU257" s="182"/>
      <c r="GV257" s="182"/>
      <c r="GW257" s="182"/>
      <c r="GX257" s="182"/>
      <c r="GY257" s="182"/>
      <c r="GZ257" s="182"/>
      <c r="HA257" s="182"/>
      <c r="HB257" s="182"/>
      <c r="HC257" s="182"/>
      <c r="HD257" s="182"/>
      <c r="HE257" s="182"/>
      <c r="HF257" s="182"/>
      <c r="HG257" s="182"/>
      <c r="HH257" s="182"/>
      <c r="HI257" s="182"/>
      <c r="HJ257" s="182"/>
      <c r="HK257" s="182"/>
      <c r="HL257" s="182"/>
      <c r="HM257" s="182"/>
      <c r="HN257" s="182"/>
      <c r="HO257" s="182"/>
      <c r="HP257" s="182"/>
      <c r="HQ257" s="182"/>
      <c r="HR257" s="182"/>
      <c r="HS257" s="182"/>
      <c r="HT257" s="182"/>
      <c r="HU257" s="181"/>
      <c r="HV257" s="182"/>
      <c r="HW257" s="182"/>
      <c r="HX257" s="182"/>
      <c r="HY257" s="182"/>
      <c r="HZ257" s="182"/>
      <c r="IA257" s="182"/>
      <c r="IB257" s="182"/>
      <c r="IC257" s="182"/>
      <c r="ID257" s="182"/>
      <c r="IE257" s="182"/>
      <c r="IF257" s="182"/>
      <c r="IG257" s="182"/>
      <c r="IH257" s="182"/>
      <c r="II257" s="182"/>
      <c r="IJ257" s="182"/>
      <c r="IK257" s="182"/>
      <c r="IL257" s="182"/>
      <c r="IM257" s="182"/>
      <c r="IN257" s="182"/>
      <c r="IO257" s="182"/>
      <c r="IP257" s="182"/>
      <c r="IQ257" s="182"/>
      <c r="IR257" s="182"/>
      <c r="IS257" s="182"/>
      <c r="IT257" s="182"/>
      <c r="IU257" s="182"/>
      <c r="IV257" s="182"/>
      <c r="IW257" s="182"/>
      <c r="IX257" s="182"/>
      <c r="IY257" s="181"/>
      <c r="IZ257" s="182"/>
      <c r="JA257" s="182"/>
      <c r="JB257" s="182"/>
      <c r="JC257" s="182"/>
      <c r="JD257" s="182"/>
      <c r="JE257" s="182"/>
      <c r="JF257" s="182"/>
      <c r="JG257" s="182"/>
      <c r="JH257" s="182"/>
      <c r="JI257" s="182"/>
      <c r="JJ257" s="182"/>
      <c r="JK257" s="182"/>
      <c r="JL257" s="182"/>
      <c r="JM257" s="182"/>
      <c r="JN257" s="182"/>
      <c r="JO257" s="182"/>
      <c r="JP257" s="182"/>
      <c r="JQ257" s="182"/>
      <c r="JR257" s="182"/>
      <c r="JS257" s="182"/>
      <c r="JT257" s="182"/>
      <c r="JU257" s="182"/>
      <c r="JV257" s="182"/>
      <c r="JW257" s="182"/>
      <c r="JX257" s="182"/>
      <c r="JY257" s="182"/>
      <c r="JZ257" s="182"/>
      <c r="KA257" s="182"/>
      <c r="KB257" s="182"/>
      <c r="KC257" s="278"/>
      <c r="KD257" s="279"/>
      <c r="KE257" s="279"/>
      <c r="KF257" s="278"/>
      <c r="KG257" s="279"/>
      <c r="KH257" s="279"/>
      <c r="KI257" s="278"/>
      <c r="KJ257" s="279"/>
      <c r="KK257" s="279"/>
      <c r="KL257" s="278"/>
      <c r="KM257" s="279"/>
      <c r="KN257" s="279"/>
      <c r="KO257" s="278"/>
      <c r="KP257" s="279"/>
      <c r="KQ257" s="279"/>
      <c r="KR257" s="278"/>
      <c r="KS257" s="279"/>
      <c r="KT257" s="279"/>
      <c r="KU257" s="278"/>
      <c r="KV257" s="279"/>
      <c r="KW257" s="279"/>
      <c r="KX257" s="278"/>
      <c r="KY257" s="279"/>
      <c r="KZ257" s="392"/>
      <c r="LA257" s="390"/>
      <c r="LB257" s="279"/>
      <c r="LC257" s="391"/>
      <c r="LD257" s="278"/>
      <c r="LE257" s="279"/>
      <c r="LF257" s="279"/>
      <c r="LG257" s="278"/>
      <c r="LH257" s="279"/>
      <c r="LI257" s="279"/>
      <c r="LJ257" s="278"/>
      <c r="LK257" s="279"/>
      <c r="LL257" s="279"/>
      <c r="LM257" s="278"/>
      <c r="LN257" s="279"/>
      <c r="LO257" s="279"/>
      <c r="LP257" s="278"/>
      <c r="LQ257" s="279"/>
      <c r="LR257" s="279"/>
      <c r="LS257" s="278"/>
      <c r="LT257" s="279"/>
      <c r="LU257" s="279"/>
      <c r="LV257" s="278"/>
      <c r="LW257" s="279"/>
      <c r="LX257" s="279"/>
      <c r="LY257" s="278"/>
      <c r="LZ257" s="279"/>
      <c r="MA257" s="279"/>
      <c r="MB257" s="278"/>
      <c r="MC257" s="279"/>
      <c r="MD257" s="279"/>
      <c r="ME257" s="278"/>
      <c r="MF257" s="279"/>
      <c r="MG257" s="279"/>
      <c r="MH257" s="278"/>
      <c r="MI257" s="279"/>
      <c r="MJ257" s="279"/>
      <c r="MK257" s="278"/>
      <c r="ML257" s="279"/>
      <c r="MM257" s="279"/>
      <c r="MN257" s="278"/>
      <c r="MO257" s="279"/>
      <c r="MP257" s="279"/>
      <c r="MQ257" s="278"/>
      <c r="MR257" s="279"/>
      <c r="MS257" s="279"/>
      <c r="MT257" s="278"/>
      <c r="MU257" s="279"/>
      <c r="MV257" s="279"/>
      <c r="MW257" s="278"/>
      <c r="MX257" s="279"/>
      <c r="MY257" s="279"/>
      <c r="MZ257" s="279"/>
      <c r="NA257" s="279"/>
      <c r="NB257" s="279"/>
      <c r="NC257" s="279"/>
      <c r="ND257" s="279"/>
      <c r="NE257" s="280"/>
      <c r="NG257" s="198"/>
      <c r="NH257" s="198"/>
      <c r="NI257" s="1"/>
      <c r="NJ257" s="1"/>
      <c r="NK257" s="1"/>
      <c r="NL257" s="7"/>
      <c r="NM257" s="7"/>
    </row>
    <row r="258" spans="7:377" s="6" customFormat="1" ht="20.100000000000001" customHeight="1" thickBot="1">
      <c r="G258" s="26"/>
      <c r="H258" s="26"/>
      <c r="J258" s="441"/>
      <c r="K258" s="440"/>
      <c r="L258" s="333" t="s">
        <v>14</v>
      </c>
      <c r="M258" s="333"/>
      <c r="N258" s="333"/>
      <c r="O258" s="333"/>
      <c r="P258" s="333"/>
      <c r="Q258" s="333"/>
      <c r="R258" s="129">
        <f>R256</f>
        <v>0</v>
      </c>
      <c r="S258" s="158">
        <f>R258+S256</f>
        <v>0</v>
      </c>
      <c r="T258" s="159"/>
      <c r="U258" s="159"/>
      <c r="V258" s="159"/>
      <c r="W258" s="159"/>
      <c r="X258" s="159"/>
      <c r="Y258" s="159"/>
      <c r="Z258" s="159"/>
      <c r="AA258" s="159"/>
      <c r="AB258" s="159"/>
      <c r="AC258" s="159"/>
      <c r="AD258" s="159"/>
      <c r="AE258" s="159"/>
      <c r="AF258" s="159"/>
      <c r="AG258" s="159"/>
      <c r="AH258" s="159"/>
      <c r="AI258" s="159"/>
      <c r="AJ258" s="159"/>
      <c r="AK258" s="159"/>
      <c r="AL258" s="159"/>
      <c r="AM258" s="159"/>
      <c r="AN258" s="159"/>
      <c r="AO258" s="159"/>
      <c r="AP258" s="159"/>
      <c r="AQ258" s="159"/>
      <c r="AR258" s="159"/>
      <c r="AS258" s="159"/>
      <c r="AT258" s="159"/>
      <c r="AU258" s="159"/>
      <c r="AV258" s="160"/>
      <c r="AW258" s="181">
        <f>S258+AW256</f>
        <v>0</v>
      </c>
      <c r="AX258" s="182"/>
      <c r="AY258" s="182"/>
      <c r="AZ258" s="182"/>
      <c r="BA258" s="182"/>
      <c r="BB258" s="182"/>
      <c r="BC258" s="182"/>
      <c r="BD258" s="182"/>
      <c r="BE258" s="182"/>
      <c r="BF258" s="182"/>
      <c r="BG258" s="182"/>
      <c r="BH258" s="182"/>
      <c r="BI258" s="182"/>
      <c r="BJ258" s="182"/>
      <c r="BK258" s="182"/>
      <c r="BL258" s="182"/>
      <c r="BM258" s="182"/>
      <c r="BN258" s="182"/>
      <c r="BO258" s="182"/>
      <c r="BP258" s="182"/>
      <c r="BQ258" s="182"/>
      <c r="BR258" s="182"/>
      <c r="BS258" s="182"/>
      <c r="BT258" s="182"/>
      <c r="BU258" s="182"/>
      <c r="BV258" s="182"/>
      <c r="BW258" s="182"/>
      <c r="BX258" s="182"/>
      <c r="BY258" s="182"/>
      <c r="BZ258" s="182"/>
      <c r="CA258" s="181">
        <f t="shared" ref="CA258" si="633">AW258+CA256</f>
        <v>0</v>
      </c>
      <c r="CB258" s="182"/>
      <c r="CC258" s="182"/>
      <c r="CD258" s="182"/>
      <c r="CE258" s="182"/>
      <c r="CF258" s="182"/>
      <c r="CG258" s="182"/>
      <c r="CH258" s="182"/>
      <c r="CI258" s="182"/>
      <c r="CJ258" s="182"/>
      <c r="CK258" s="182"/>
      <c r="CL258" s="182"/>
      <c r="CM258" s="182"/>
      <c r="CN258" s="182"/>
      <c r="CO258" s="182"/>
      <c r="CP258" s="182"/>
      <c r="CQ258" s="182"/>
      <c r="CR258" s="182"/>
      <c r="CS258" s="182"/>
      <c r="CT258" s="182"/>
      <c r="CU258" s="182"/>
      <c r="CV258" s="182"/>
      <c r="CW258" s="182"/>
      <c r="CX258" s="182"/>
      <c r="CY258" s="182"/>
      <c r="CZ258" s="182"/>
      <c r="DA258" s="182"/>
      <c r="DB258" s="182"/>
      <c r="DC258" s="182"/>
      <c r="DD258" s="182"/>
      <c r="DE258" s="181">
        <f t="shared" ref="DE258" si="634">CA258+DE256</f>
        <v>0</v>
      </c>
      <c r="DF258" s="182"/>
      <c r="DG258" s="182"/>
      <c r="DH258" s="182"/>
      <c r="DI258" s="182"/>
      <c r="DJ258" s="182"/>
      <c r="DK258" s="182"/>
      <c r="DL258" s="182"/>
      <c r="DM258" s="182"/>
      <c r="DN258" s="182"/>
      <c r="DO258" s="182"/>
      <c r="DP258" s="182"/>
      <c r="DQ258" s="182"/>
      <c r="DR258" s="182"/>
      <c r="DS258" s="182"/>
      <c r="DT258" s="182"/>
      <c r="DU258" s="182"/>
      <c r="DV258" s="182"/>
      <c r="DW258" s="182"/>
      <c r="DX258" s="182"/>
      <c r="DY258" s="182"/>
      <c r="DZ258" s="182"/>
      <c r="EA258" s="182"/>
      <c r="EB258" s="182"/>
      <c r="EC258" s="182"/>
      <c r="ED258" s="182"/>
      <c r="EE258" s="182"/>
      <c r="EF258" s="182"/>
      <c r="EG258" s="182"/>
      <c r="EH258" s="182"/>
      <c r="EI258" s="181">
        <f t="shared" ref="EI258" si="635">DE258+EI256</f>
        <v>0</v>
      </c>
      <c r="EJ258" s="182"/>
      <c r="EK258" s="182"/>
      <c r="EL258" s="182"/>
      <c r="EM258" s="182"/>
      <c r="EN258" s="182"/>
      <c r="EO258" s="182"/>
      <c r="EP258" s="182"/>
      <c r="EQ258" s="182"/>
      <c r="ER258" s="182"/>
      <c r="ES258" s="182"/>
      <c r="ET258" s="182"/>
      <c r="EU258" s="182"/>
      <c r="EV258" s="182"/>
      <c r="EW258" s="182"/>
      <c r="EX258" s="182"/>
      <c r="EY258" s="182"/>
      <c r="EZ258" s="182"/>
      <c r="FA258" s="182"/>
      <c r="FB258" s="182"/>
      <c r="FC258" s="182"/>
      <c r="FD258" s="182"/>
      <c r="FE258" s="182"/>
      <c r="FF258" s="182"/>
      <c r="FG258" s="182"/>
      <c r="FH258" s="182"/>
      <c r="FI258" s="182"/>
      <c r="FJ258" s="182"/>
      <c r="FK258" s="182"/>
      <c r="FL258" s="182"/>
      <c r="FM258" s="181">
        <f t="shared" ref="FM258" si="636">EI258+FM256</f>
        <v>0</v>
      </c>
      <c r="FN258" s="182"/>
      <c r="FO258" s="182"/>
      <c r="FP258" s="182"/>
      <c r="FQ258" s="182"/>
      <c r="FR258" s="182"/>
      <c r="FS258" s="182"/>
      <c r="FT258" s="182"/>
      <c r="FU258" s="182"/>
      <c r="FV258" s="182"/>
      <c r="FW258" s="182"/>
      <c r="FX258" s="182"/>
      <c r="FY258" s="182"/>
      <c r="FZ258" s="182"/>
      <c r="GA258" s="182"/>
      <c r="GB258" s="182"/>
      <c r="GC258" s="182"/>
      <c r="GD258" s="182"/>
      <c r="GE258" s="182"/>
      <c r="GF258" s="182"/>
      <c r="GG258" s="182"/>
      <c r="GH258" s="182"/>
      <c r="GI258" s="182"/>
      <c r="GJ258" s="182"/>
      <c r="GK258" s="182"/>
      <c r="GL258" s="182"/>
      <c r="GM258" s="182"/>
      <c r="GN258" s="182"/>
      <c r="GO258" s="182"/>
      <c r="GP258" s="182"/>
      <c r="GQ258" s="181">
        <f t="shared" ref="GQ258" si="637">FM258+GQ256</f>
        <v>0</v>
      </c>
      <c r="GR258" s="182"/>
      <c r="GS258" s="182"/>
      <c r="GT258" s="182"/>
      <c r="GU258" s="182"/>
      <c r="GV258" s="182"/>
      <c r="GW258" s="182"/>
      <c r="GX258" s="182"/>
      <c r="GY258" s="182"/>
      <c r="GZ258" s="182"/>
      <c r="HA258" s="182"/>
      <c r="HB258" s="182"/>
      <c r="HC258" s="182"/>
      <c r="HD258" s="182"/>
      <c r="HE258" s="182"/>
      <c r="HF258" s="182"/>
      <c r="HG258" s="182"/>
      <c r="HH258" s="182"/>
      <c r="HI258" s="182"/>
      <c r="HJ258" s="182"/>
      <c r="HK258" s="182"/>
      <c r="HL258" s="182"/>
      <c r="HM258" s="182"/>
      <c r="HN258" s="182"/>
      <c r="HO258" s="182"/>
      <c r="HP258" s="182"/>
      <c r="HQ258" s="182"/>
      <c r="HR258" s="182"/>
      <c r="HS258" s="182"/>
      <c r="HT258" s="182"/>
      <c r="HU258" s="181">
        <f t="shared" ref="HU258" si="638">GQ258+HU256</f>
        <v>0</v>
      </c>
      <c r="HV258" s="182"/>
      <c r="HW258" s="182"/>
      <c r="HX258" s="182"/>
      <c r="HY258" s="182"/>
      <c r="HZ258" s="182"/>
      <c r="IA258" s="182"/>
      <c r="IB258" s="182"/>
      <c r="IC258" s="182"/>
      <c r="ID258" s="182"/>
      <c r="IE258" s="182"/>
      <c r="IF258" s="182"/>
      <c r="IG258" s="182"/>
      <c r="IH258" s="182"/>
      <c r="II258" s="182"/>
      <c r="IJ258" s="182"/>
      <c r="IK258" s="182"/>
      <c r="IL258" s="182"/>
      <c r="IM258" s="182"/>
      <c r="IN258" s="182"/>
      <c r="IO258" s="182"/>
      <c r="IP258" s="182"/>
      <c r="IQ258" s="182"/>
      <c r="IR258" s="182"/>
      <c r="IS258" s="182"/>
      <c r="IT258" s="182"/>
      <c r="IU258" s="182"/>
      <c r="IV258" s="182"/>
      <c r="IW258" s="182"/>
      <c r="IX258" s="182"/>
      <c r="IY258" s="181">
        <f t="shared" ref="IY258" si="639">HU258+IY256</f>
        <v>0</v>
      </c>
      <c r="IZ258" s="182"/>
      <c r="JA258" s="182"/>
      <c r="JB258" s="182"/>
      <c r="JC258" s="182"/>
      <c r="JD258" s="182"/>
      <c r="JE258" s="182"/>
      <c r="JF258" s="182"/>
      <c r="JG258" s="182"/>
      <c r="JH258" s="182"/>
      <c r="JI258" s="182"/>
      <c r="JJ258" s="182"/>
      <c r="JK258" s="182"/>
      <c r="JL258" s="182"/>
      <c r="JM258" s="182"/>
      <c r="JN258" s="182"/>
      <c r="JO258" s="182"/>
      <c r="JP258" s="182"/>
      <c r="JQ258" s="182"/>
      <c r="JR258" s="182"/>
      <c r="JS258" s="182"/>
      <c r="JT258" s="182"/>
      <c r="JU258" s="182"/>
      <c r="JV258" s="182"/>
      <c r="JW258" s="182"/>
      <c r="JX258" s="182"/>
      <c r="JY258" s="182"/>
      <c r="JZ258" s="182"/>
      <c r="KA258" s="182"/>
      <c r="KB258" s="182"/>
      <c r="KC258" s="278">
        <f t="shared" ref="KC258" si="640">IY258+KC256</f>
        <v>5.96E-2</v>
      </c>
      <c r="KD258" s="279"/>
      <c r="KE258" s="279"/>
      <c r="KF258" s="278">
        <f t="shared" ref="KF258" si="641">KC258+KF256</f>
        <v>0.11964</v>
      </c>
      <c r="KG258" s="279"/>
      <c r="KH258" s="279"/>
      <c r="KI258" s="278">
        <f t="shared" ref="KI258" si="642">KF258+KI256</f>
        <v>0.17898999999999998</v>
      </c>
      <c r="KJ258" s="279"/>
      <c r="KK258" s="279"/>
      <c r="KL258" s="278">
        <f t="shared" ref="KL258" si="643">KI258+KL256</f>
        <v>0.23057999999999998</v>
      </c>
      <c r="KM258" s="279"/>
      <c r="KN258" s="279"/>
      <c r="KO258" s="278">
        <f t="shared" ref="KO258" si="644">KL258+KO256</f>
        <v>0.28306999999999999</v>
      </c>
      <c r="KP258" s="279"/>
      <c r="KQ258" s="279"/>
      <c r="KR258" s="278">
        <f t="shared" ref="KR258" si="645">KO258+KR256</f>
        <v>0.33506999999999998</v>
      </c>
      <c r="KS258" s="279"/>
      <c r="KT258" s="279"/>
      <c r="KU258" s="278">
        <f t="shared" ref="KU258" si="646">KR258+KU256</f>
        <v>0.38251999999999997</v>
      </c>
      <c r="KV258" s="279"/>
      <c r="KW258" s="279"/>
      <c r="KX258" s="278">
        <f t="shared" ref="KX258" si="647">KU258+KX256</f>
        <v>0.43058999999999997</v>
      </c>
      <c r="KY258" s="279"/>
      <c r="KZ258" s="392"/>
      <c r="LA258" s="390">
        <f t="shared" ref="LA258" si="648">KX258+LA256</f>
        <v>0.47889999999999999</v>
      </c>
      <c r="LB258" s="279"/>
      <c r="LC258" s="391"/>
      <c r="LD258" s="278">
        <f t="shared" ref="LD258" si="649">LA258+LD256</f>
        <v>0.52286999999999995</v>
      </c>
      <c r="LE258" s="279"/>
      <c r="LF258" s="279"/>
      <c r="LG258" s="278">
        <f t="shared" ref="LG258" si="650">LD258+LG256</f>
        <v>0.56777</v>
      </c>
      <c r="LH258" s="279"/>
      <c r="LI258" s="279"/>
      <c r="LJ258" s="278">
        <f t="shared" ref="LJ258" si="651">LG258+LJ256</f>
        <v>0.60604000000000002</v>
      </c>
      <c r="LK258" s="279"/>
      <c r="LL258" s="279"/>
      <c r="LM258" s="278">
        <f t="shared" ref="LM258" si="652">LJ258+LM256</f>
        <v>0.64517000000000002</v>
      </c>
      <c r="LN258" s="279"/>
      <c r="LO258" s="279"/>
      <c r="LP258" s="278">
        <f t="shared" ref="LP258" si="653">LM258+LP256</f>
        <v>0.68354000000000004</v>
      </c>
      <c r="LQ258" s="279"/>
      <c r="LR258" s="279"/>
      <c r="LS258" s="278">
        <f t="shared" ref="LS258" si="654">LP258+LS256</f>
        <v>0.71484999999999999</v>
      </c>
      <c r="LT258" s="279"/>
      <c r="LU258" s="279"/>
      <c r="LV258" s="278">
        <f t="shared" ref="LV258" si="655">LS258+LV256</f>
        <v>0.74566999999999994</v>
      </c>
      <c r="LW258" s="279"/>
      <c r="LX258" s="279"/>
      <c r="LY258" s="278">
        <f t="shared" ref="LY258" si="656">LV258+LY256</f>
        <v>0.77081</v>
      </c>
      <c r="LZ258" s="279"/>
      <c r="MA258" s="279"/>
      <c r="MB258" s="278">
        <f t="shared" ref="MB258" si="657">LY258+MB256</f>
        <v>0.79759000000000002</v>
      </c>
      <c r="MC258" s="279"/>
      <c r="MD258" s="279"/>
      <c r="ME258" s="278">
        <f t="shared" ref="ME258" si="658">MB258+ME256</f>
        <v>0.82489000000000001</v>
      </c>
      <c r="MF258" s="279"/>
      <c r="MG258" s="279"/>
      <c r="MH258" s="278">
        <f t="shared" ref="MH258" si="659">ME258+MH256</f>
        <v>0.84438000000000002</v>
      </c>
      <c r="MI258" s="279"/>
      <c r="MJ258" s="279"/>
      <c r="MK258" s="278">
        <f t="shared" ref="MK258" si="660">MH258+MK256</f>
        <v>0.86103000000000007</v>
      </c>
      <c r="ML258" s="279"/>
      <c r="MM258" s="279"/>
      <c r="MN258" s="278">
        <f t="shared" ref="MN258" si="661">MK258+MN256</f>
        <v>0.88189000000000006</v>
      </c>
      <c r="MO258" s="279"/>
      <c r="MP258" s="279"/>
      <c r="MQ258" s="278">
        <f t="shared" ref="MQ258" si="662">MN258+MQ256</f>
        <v>0.89836000000000005</v>
      </c>
      <c r="MR258" s="279"/>
      <c r="MS258" s="279"/>
      <c r="MT258" s="278">
        <f t="shared" ref="MT258" si="663">MQ258+MT256</f>
        <v>0.91738000000000008</v>
      </c>
      <c r="MU258" s="279"/>
      <c r="MV258" s="279"/>
      <c r="MW258" s="278">
        <f t="shared" ref="MW258" si="664">MT258+MW256</f>
        <v>0.93144000000000005</v>
      </c>
      <c r="MX258" s="279"/>
      <c r="MY258" s="279"/>
      <c r="MZ258" s="278">
        <f t="shared" ref="MZ258" si="665">MW258+MZ256</f>
        <v>0.93400000000000005</v>
      </c>
      <c r="NA258" s="279"/>
      <c r="NB258" s="279"/>
      <c r="NC258" s="279">
        <f t="shared" ref="NC258" si="666">MZ258+NC256</f>
        <v>0.93701000000000001</v>
      </c>
      <c r="ND258" s="279"/>
      <c r="NE258" s="280"/>
      <c r="NG258" s="34">
        <f>NG24+NG240+NG244+NG252</f>
        <v>0.93701000000000012</v>
      </c>
      <c r="NH258" s="1"/>
      <c r="NI258" s="1"/>
      <c r="NJ258" s="1"/>
      <c r="NK258" s="1"/>
      <c r="NL258" s="7"/>
      <c r="NM258" s="7"/>
    </row>
    <row r="259" spans="7:377" s="6" customFormat="1" ht="20.100000000000001" customHeight="1" thickBot="1">
      <c r="G259" s="26"/>
      <c r="H259" s="26"/>
      <c r="J259" s="35"/>
      <c r="K259" s="28"/>
      <c r="L259" s="333" t="s">
        <v>289</v>
      </c>
      <c r="M259" s="333"/>
      <c r="N259" s="333"/>
      <c r="O259" s="333"/>
      <c r="P259" s="333"/>
      <c r="Q259" s="333"/>
      <c r="R259" s="33"/>
      <c r="S259" s="167">
        <f>TRUNC(S256*$P$256)</f>
        <v>0</v>
      </c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  <c r="AS259" s="168"/>
      <c r="AT259" s="168"/>
      <c r="AU259" s="168"/>
      <c r="AV259" s="169"/>
      <c r="AW259" s="167">
        <f>TRUNC(AW256*$P$256)</f>
        <v>0</v>
      </c>
      <c r="AX259" s="168"/>
      <c r="AY259" s="168"/>
      <c r="AZ259" s="168"/>
      <c r="BA259" s="168"/>
      <c r="BB259" s="168"/>
      <c r="BC259" s="168"/>
      <c r="BD259" s="168"/>
      <c r="BE259" s="168"/>
      <c r="BF259" s="168"/>
      <c r="BG259" s="168"/>
      <c r="BH259" s="168"/>
      <c r="BI259" s="168"/>
      <c r="BJ259" s="168"/>
      <c r="BK259" s="168"/>
      <c r="BL259" s="168"/>
      <c r="BM259" s="168"/>
      <c r="BN259" s="168"/>
      <c r="BO259" s="168"/>
      <c r="BP259" s="168"/>
      <c r="BQ259" s="168"/>
      <c r="BR259" s="168"/>
      <c r="BS259" s="168"/>
      <c r="BT259" s="168"/>
      <c r="BU259" s="168"/>
      <c r="BV259" s="168"/>
      <c r="BW259" s="168"/>
      <c r="BX259" s="168"/>
      <c r="BY259" s="168"/>
      <c r="BZ259" s="169"/>
      <c r="CA259" s="167">
        <f t="shared" ref="CA259" si="667">TRUNC(CA256*$P$256)</f>
        <v>0</v>
      </c>
      <c r="CB259" s="168"/>
      <c r="CC259" s="168"/>
      <c r="CD259" s="168"/>
      <c r="CE259" s="168"/>
      <c r="CF259" s="168"/>
      <c r="CG259" s="168"/>
      <c r="CH259" s="168"/>
      <c r="CI259" s="168"/>
      <c r="CJ259" s="168"/>
      <c r="CK259" s="168"/>
      <c r="CL259" s="168"/>
      <c r="CM259" s="168"/>
      <c r="CN259" s="168"/>
      <c r="CO259" s="168"/>
      <c r="CP259" s="168"/>
      <c r="CQ259" s="168"/>
      <c r="CR259" s="168"/>
      <c r="CS259" s="168"/>
      <c r="CT259" s="168"/>
      <c r="CU259" s="168"/>
      <c r="CV259" s="168"/>
      <c r="CW259" s="168"/>
      <c r="CX259" s="168"/>
      <c r="CY259" s="168"/>
      <c r="CZ259" s="168"/>
      <c r="DA259" s="168"/>
      <c r="DB259" s="168"/>
      <c r="DC259" s="168"/>
      <c r="DD259" s="169"/>
      <c r="DE259" s="167">
        <f t="shared" ref="DE259" si="668">TRUNC(DE256*$P$256)</f>
        <v>0</v>
      </c>
      <c r="DF259" s="168"/>
      <c r="DG259" s="168"/>
      <c r="DH259" s="168"/>
      <c r="DI259" s="168"/>
      <c r="DJ259" s="168"/>
      <c r="DK259" s="168"/>
      <c r="DL259" s="168"/>
      <c r="DM259" s="168"/>
      <c r="DN259" s="168"/>
      <c r="DO259" s="168"/>
      <c r="DP259" s="168"/>
      <c r="DQ259" s="168"/>
      <c r="DR259" s="168"/>
      <c r="DS259" s="168"/>
      <c r="DT259" s="168"/>
      <c r="DU259" s="168"/>
      <c r="DV259" s="168"/>
      <c r="DW259" s="168"/>
      <c r="DX259" s="168"/>
      <c r="DY259" s="168"/>
      <c r="DZ259" s="168"/>
      <c r="EA259" s="168"/>
      <c r="EB259" s="168"/>
      <c r="EC259" s="168"/>
      <c r="ED259" s="168"/>
      <c r="EE259" s="168"/>
      <c r="EF259" s="168"/>
      <c r="EG259" s="168"/>
      <c r="EH259" s="169"/>
      <c r="EI259" s="167">
        <f t="shared" ref="EI259" si="669">TRUNC(EI256*$P$256)</f>
        <v>0</v>
      </c>
      <c r="EJ259" s="168"/>
      <c r="EK259" s="168"/>
      <c r="EL259" s="168"/>
      <c r="EM259" s="168"/>
      <c r="EN259" s="168"/>
      <c r="EO259" s="168"/>
      <c r="EP259" s="168"/>
      <c r="EQ259" s="168"/>
      <c r="ER259" s="168"/>
      <c r="ES259" s="168"/>
      <c r="ET259" s="168"/>
      <c r="EU259" s="168"/>
      <c r="EV259" s="168"/>
      <c r="EW259" s="168"/>
      <c r="EX259" s="168"/>
      <c r="EY259" s="168"/>
      <c r="EZ259" s="168"/>
      <c r="FA259" s="168"/>
      <c r="FB259" s="168"/>
      <c r="FC259" s="168"/>
      <c r="FD259" s="168"/>
      <c r="FE259" s="168"/>
      <c r="FF259" s="168"/>
      <c r="FG259" s="168"/>
      <c r="FH259" s="168"/>
      <c r="FI259" s="168"/>
      <c r="FJ259" s="168"/>
      <c r="FK259" s="168"/>
      <c r="FL259" s="169"/>
      <c r="FM259" s="167">
        <f t="shared" ref="FM259" si="670">TRUNC(FM256*$P$256)</f>
        <v>0</v>
      </c>
      <c r="FN259" s="168"/>
      <c r="FO259" s="168"/>
      <c r="FP259" s="168"/>
      <c r="FQ259" s="168"/>
      <c r="FR259" s="168"/>
      <c r="FS259" s="168"/>
      <c r="FT259" s="168"/>
      <c r="FU259" s="168"/>
      <c r="FV259" s="168"/>
      <c r="FW259" s="168"/>
      <c r="FX259" s="168"/>
      <c r="FY259" s="168"/>
      <c r="FZ259" s="168"/>
      <c r="GA259" s="168"/>
      <c r="GB259" s="168"/>
      <c r="GC259" s="168"/>
      <c r="GD259" s="168"/>
      <c r="GE259" s="168"/>
      <c r="GF259" s="168"/>
      <c r="GG259" s="168"/>
      <c r="GH259" s="168"/>
      <c r="GI259" s="168"/>
      <c r="GJ259" s="168"/>
      <c r="GK259" s="168"/>
      <c r="GL259" s="168"/>
      <c r="GM259" s="168"/>
      <c r="GN259" s="168"/>
      <c r="GO259" s="168"/>
      <c r="GP259" s="169"/>
      <c r="GQ259" s="167">
        <f t="shared" ref="GQ259" si="671">TRUNC(GQ256*$P$256)</f>
        <v>0</v>
      </c>
      <c r="GR259" s="168"/>
      <c r="GS259" s="168"/>
      <c r="GT259" s="168"/>
      <c r="GU259" s="168"/>
      <c r="GV259" s="168"/>
      <c r="GW259" s="168"/>
      <c r="GX259" s="168"/>
      <c r="GY259" s="168"/>
      <c r="GZ259" s="168"/>
      <c r="HA259" s="168"/>
      <c r="HB259" s="168"/>
      <c r="HC259" s="168"/>
      <c r="HD259" s="168"/>
      <c r="HE259" s="168"/>
      <c r="HF259" s="168"/>
      <c r="HG259" s="168"/>
      <c r="HH259" s="168"/>
      <c r="HI259" s="168"/>
      <c r="HJ259" s="168"/>
      <c r="HK259" s="168"/>
      <c r="HL259" s="168"/>
      <c r="HM259" s="168"/>
      <c r="HN259" s="168"/>
      <c r="HO259" s="168"/>
      <c r="HP259" s="168"/>
      <c r="HQ259" s="168"/>
      <c r="HR259" s="168"/>
      <c r="HS259" s="168"/>
      <c r="HT259" s="169"/>
      <c r="HU259" s="167">
        <f t="shared" ref="HU259" si="672">TRUNC(HU256*$P$256)</f>
        <v>0</v>
      </c>
      <c r="HV259" s="168"/>
      <c r="HW259" s="168"/>
      <c r="HX259" s="168"/>
      <c r="HY259" s="168"/>
      <c r="HZ259" s="168"/>
      <c r="IA259" s="168"/>
      <c r="IB259" s="168"/>
      <c r="IC259" s="168"/>
      <c r="ID259" s="168"/>
      <c r="IE259" s="168"/>
      <c r="IF259" s="168"/>
      <c r="IG259" s="168"/>
      <c r="IH259" s="168"/>
      <c r="II259" s="168"/>
      <c r="IJ259" s="168"/>
      <c r="IK259" s="168"/>
      <c r="IL259" s="168"/>
      <c r="IM259" s="168"/>
      <c r="IN259" s="168"/>
      <c r="IO259" s="168"/>
      <c r="IP259" s="168"/>
      <c r="IQ259" s="168"/>
      <c r="IR259" s="168"/>
      <c r="IS259" s="168"/>
      <c r="IT259" s="168"/>
      <c r="IU259" s="168"/>
      <c r="IV259" s="168"/>
      <c r="IW259" s="168"/>
      <c r="IX259" s="169"/>
      <c r="IY259" s="167">
        <f t="shared" ref="IY259" si="673">TRUNC(IY256*$P$256)</f>
        <v>0</v>
      </c>
      <c r="IZ259" s="168"/>
      <c r="JA259" s="168"/>
      <c r="JB259" s="168"/>
      <c r="JC259" s="168"/>
      <c r="JD259" s="168"/>
      <c r="JE259" s="168"/>
      <c r="JF259" s="168"/>
      <c r="JG259" s="168"/>
      <c r="JH259" s="168"/>
      <c r="JI259" s="168"/>
      <c r="JJ259" s="168"/>
      <c r="JK259" s="168"/>
      <c r="JL259" s="168"/>
      <c r="JM259" s="168"/>
      <c r="JN259" s="168"/>
      <c r="JO259" s="168"/>
      <c r="JP259" s="168"/>
      <c r="JQ259" s="168"/>
      <c r="JR259" s="168"/>
      <c r="JS259" s="168"/>
      <c r="JT259" s="168"/>
      <c r="JU259" s="168"/>
      <c r="JV259" s="168"/>
      <c r="JW259" s="168"/>
      <c r="JX259" s="168"/>
      <c r="JY259" s="168"/>
      <c r="JZ259" s="168"/>
      <c r="KA259" s="168"/>
      <c r="KB259" s="169"/>
      <c r="KC259" s="452">
        <f t="shared" ref="KC259" si="674">TRUNC(KC256*$P$256)</f>
        <v>12408449</v>
      </c>
      <c r="KD259" s="453"/>
      <c r="KE259" s="454"/>
      <c r="KF259" s="452">
        <f t="shared" ref="KF259" si="675">TRUNC(KF256*$P$256)</f>
        <v>12500055</v>
      </c>
      <c r="KG259" s="453"/>
      <c r="KH259" s="454"/>
      <c r="KI259" s="452">
        <f t="shared" ref="KI259" si="676">TRUNC(KI256*$P$256)</f>
        <v>12356400</v>
      </c>
      <c r="KJ259" s="453"/>
      <c r="KK259" s="454"/>
      <c r="KL259" s="452">
        <f t="shared" ref="KL259" si="677">TRUNC(KL256*$P$256)</f>
        <v>10740803</v>
      </c>
      <c r="KM259" s="453"/>
      <c r="KN259" s="454"/>
      <c r="KO259" s="452">
        <f t="shared" ref="KO259" si="678">TRUNC(KO256*$P$256)</f>
        <v>10928179</v>
      </c>
      <c r="KP259" s="453"/>
      <c r="KQ259" s="454"/>
      <c r="KR259" s="452">
        <f t="shared" ref="KR259" si="679">TRUNC(KR256*$P$256)</f>
        <v>10826163</v>
      </c>
      <c r="KS259" s="453"/>
      <c r="KT259" s="454"/>
      <c r="KU259" s="452">
        <f t="shared" ref="KU259" si="680">TRUNC(KU256*$P$256)</f>
        <v>9878874</v>
      </c>
      <c r="KV259" s="453"/>
      <c r="KW259" s="454"/>
      <c r="KX259" s="452">
        <f t="shared" ref="KX259" si="681">TRUNC(KX256*$P$256)</f>
        <v>10007955</v>
      </c>
      <c r="KY259" s="453"/>
      <c r="KZ259" s="454"/>
      <c r="LA259" s="452">
        <f t="shared" ref="LA259" si="682">TRUNC(LA256*$P$256)</f>
        <v>10057922</v>
      </c>
      <c r="LB259" s="453"/>
      <c r="LC259" s="454"/>
      <c r="LD259" s="452">
        <f t="shared" ref="LD259" si="683">TRUNC(LD256*$P$256)</f>
        <v>9154354</v>
      </c>
      <c r="LE259" s="453"/>
      <c r="LF259" s="454"/>
      <c r="LG259" s="452">
        <f t="shared" ref="LG259" si="684">TRUNC(LG256*$P$256)</f>
        <v>9347975</v>
      </c>
      <c r="LH259" s="453"/>
      <c r="LI259" s="454"/>
      <c r="LJ259" s="452">
        <f t="shared" ref="LJ259" si="685">TRUNC(LJ256*$P$256)</f>
        <v>7967640</v>
      </c>
      <c r="LK259" s="453"/>
      <c r="LL259" s="454"/>
      <c r="LM259" s="452">
        <f t="shared" ref="LM259" si="686">TRUNC(LM256*$P$256)</f>
        <v>8146688</v>
      </c>
      <c r="LN259" s="453"/>
      <c r="LO259" s="454"/>
      <c r="LP259" s="452">
        <f t="shared" ref="LP259" si="687">TRUNC(LP256*$P$256)</f>
        <v>7988459</v>
      </c>
      <c r="LQ259" s="453"/>
      <c r="LR259" s="454"/>
      <c r="LS259" s="452">
        <f t="shared" ref="LS259" si="688">TRUNC(LS256*$P$256)</f>
        <v>6518599</v>
      </c>
      <c r="LT259" s="453"/>
      <c r="LU259" s="454"/>
      <c r="LV259" s="452">
        <f t="shared" ref="LV259" si="689">TRUNC(LV256*$P$256)</f>
        <v>6416583</v>
      </c>
      <c r="LW259" s="453"/>
      <c r="LX259" s="454"/>
      <c r="LY259" s="452">
        <f t="shared" ref="LY259" si="690">TRUNC(LY256*$P$256)</f>
        <v>5234033</v>
      </c>
      <c r="LZ259" s="453"/>
      <c r="MA259" s="454"/>
      <c r="MB259" s="452">
        <f t="shared" ref="MB259" si="691">TRUNC(MB256*$P$256)</f>
        <v>5575474</v>
      </c>
      <c r="MC259" s="453"/>
      <c r="MD259" s="454"/>
      <c r="ME259" s="452">
        <f t="shared" ref="ME259" si="692">TRUNC(ME256*$P$256)</f>
        <v>5683735</v>
      </c>
      <c r="MF259" s="453"/>
      <c r="MG259" s="454"/>
      <c r="MH259" s="452">
        <f t="shared" ref="MH259" si="693">TRUNC(MH256*$P$256)</f>
        <v>4057729</v>
      </c>
      <c r="MI259" s="453"/>
      <c r="MJ259" s="454"/>
      <c r="MK259" s="452">
        <f t="shared" ref="MK259" si="694">TRUNC(MK256*$P$256)</f>
        <v>3466454</v>
      </c>
      <c r="ML259" s="453"/>
      <c r="MM259" s="454"/>
      <c r="MN259" s="452">
        <f t="shared" ref="MN259" si="695">TRUNC(MN256*$P$256)</f>
        <v>4342957</v>
      </c>
      <c r="MO259" s="453"/>
      <c r="MP259" s="454"/>
      <c r="MQ259" s="452">
        <f t="shared" ref="MQ259" si="696">TRUNC(MQ256*$P$256)</f>
        <v>3428979</v>
      </c>
      <c r="MR259" s="453"/>
      <c r="MS259" s="454"/>
      <c r="MT259" s="452">
        <f t="shared" ref="MT259" si="697">TRUNC(MT256*$P$256)</f>
        <v>3959877</v>
      </c>
      <c r="MU259" s="453"/>
      <c r="MV259" s="454"/>
      <c r="MW259" s="452">
        <f t="shared" ref="MW259" si="698">TRUNC(MW256*$P$256)</f>
        <v>2927228</v>
      </c>
      <c r="MX259" s="453"/>
      <c r="MY259" s="454"/>
      <c r="MZ259" s="452">
        <f t="shared" ref="MZ259" si="699">TRUNC(MZ256*$P$256)</f>
        <v>532980</v>
      </c>
      <c r="NA259" s="453"/>
      <c r="NB259" s="454"/>
      <c r="NC259" s="452">
        <f>TRUNC(NC256*$P$256)+16</f>
        <v>626684</v>
      </c>
      <c r="ND259" s="453"/>
      <c r="NE259" s="455"/>
      <c r="NG259" s="34"/>
      <c r="NH259" s="1"/>
      <c r="NI259" s="1"/>
      <c r="NJ259" s="1"/>
      <c r="NK259" s="1"/>
      <c r="NL259" s="7"/>
      <c r="NM259" s="7"/>
    </row>
    <row r="260" spans="7:377" s="6" customFormat="1" ht="20.100000000000001" customHeight="1" thickBot="1">
      <c r="G260" s="26"/>
      <c r="H260" s="26"/>
      <c r="J260" s="35"/>
      <c r="K260" s="28"/>
      <c r="L260" s="333" t="s">
        <v>290</v>
      </c>
      <c r="M260" s="333"/>
      <c r="N260" s="333"/>
      <c r="O260" s="333"/>
      <c r="P260" s="333"/>
      <c r="Q260" s="333"/>
      <c r="R260" s="37"/>
      <c r="S260" s="167">
        <f>S259</f>
        <v>0</v>
      </c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  <c r="AS260" s="168"/>
      <c r="AT260" s="168"/>
      <c r="AU260" s="168"/>
      <c r="AV260" s="169"/>
      <c r="AW260" s="167">
        <f>S260+AW259</f>
        <v>0</v>
      </c>
      <c r="AX260" s="168"/>
      <c r="AY260" s="168"/>
      <c r="AZ260" s="168"/>
      <c r="BA260" s="168"/>
      <c r="BB260" s="168"/>
      <c r="BC260" s="168"/>
      <c r="BD260" s="168"/>
      <c r="BE260" s="168"/>
      <c r="BF260" s="168"/>
      <c r="BG260" s="168"/>
      <c r="BH260" s="168"/>
      <c r="BI260" s="168"/>
      <c r="BJ260" s="168"/>
      <c r="BK260" s="168"/>
      <c r="BL260" s="168"/>
      <c r="BM260" s="168"/>
      <c r="BN260" s="168"/>
      <c r="BO260" s="168"/>
      <c r="BP260" s="168"/>
      <c r="BQ260" s="168"/>
      <c r="BR260" s="168"/>
      <c r="BS260" s="168"/>
      <c r="BT260" s="168"/>
      <c r="BU260" s="168"/>
      <c r="BV260" s="168"/>
      <c r="BW260" s="168"/>
      <c r="BX260" s="168"/>
      <c r="BY260" s="168"/>
      <c r="BZ260" s="169"/>
      <c r="CA260" s="167">
        <f t="shared" ref="CA260" si="700">AW260+CA259</f>
        <v>0</v>
      </c>
      <c r="CB260" s="168"/>
      <c r="CC260" s="168"/>
      <c r="CD260" s="168"/>
      <c r="CE260" s="168"/>
      <c r="CF260" s="168"/>
      <c r="CG260" s="168"/>
      <c r="CH260" s="168"/>
      <c r="CI260" s="168"/>
      <c r="CJ260" s="168"/>
      <c r="CK260" s="168"/>
      <c r="CL260" s="168"/>
      <c r="CM260" s="168"/>
      <c r="CN260" s="168"/>
      <c r="CO260" s="168"/>
      <c r="CP260" s="168"/>
      <c r="CQ260" s="168"/>
      <c r="CR260" s="168"/>
      <c r="CS260" s="168"/>
      <c r="CT260" s="168"/>
      <c r="CU260" s="168"/>
      <c r="CV260" s="168"/>
      <c r="CW260" s="168"/>
      <c r="CX260" s="168"/>
      <c r="CY260" s="168"/>
      <c r="CZ260" s="168"/>
      <c r="DA260" s="168"/>
      <c r="DB260" s="168"/>
      <c r="DC260" s="168"/>
      <c r="DD260" s="169"/>
      <c r="DE260" s="167">
        <f t="shared" ref="DE260" si="701">CA260+DE259</f>
        <v>0</v>
      </c>
      <c r="DF260" s="168"/>
      <c r="DG260" s="168"/>
      <c r="DH260" s="168"/>
      <c r="DI260" s="168"/>
      <c r="DJ260" s="168"/>
      <c r="DK260" s="168"/>
      <c r="DL260" s="168"/>
      <c r="DM260" s="168"/>
      <c r="DN260" s="168"/>
      <c r="DO260" s="168"/>
      <c r="DP260" s="168"/>
      <c r="DQ260" s="168"/>
      <c r="DR260" s="168"/>
      <c r="DS260" s="168"/>
      <c r="DT260" s="168"/>
      <c r="DU260" s="168"/>
      <c r="DV260" s="168"/>
      <c r="DW260" s="168"/>
      <c r="DX260" s="168"/>
      <c r="DY260" s="168"/>
      <c r="DZ260" s="168"/>
      <c r="EA260" s="168"/>
      <c r="EB260" s="168"/>
      <c r="EC260" s="168"/>
      <c r="ED260" s="168"/>
      <c r="EE260" s="168"/>
      <c r="EF260" s="168"/>
      <c r="EG260" s="168"/>
      <c r="EH260" s="169"/>
      <c r="EI260" s="167">
        <f t="shared" ref="EI260" si="702">DE260+EI259</f>
        <v>0</v>
      </c>
      <c r="EJ260" s="168"/>
      <c r="EK260" s="168"/>
      <c r="EL260" s="168"/>
      <c r="EM260" s="168"/>
      <c r="EN260" s="168"/>
      <c r="EO260" s="168"/>
      <c r="EP260" s="168"/>
      <c r="EQ260" s="168"/>
      <c r="ER260" s="168"/>
      <c r="ES260" s="168"/>
      <c r="ET260" s="168"/>
      <c r="EU260" s="168"/>
      <c r="EV260" s="168"/>
      <c r="EW260" s="168"/>
      <c r="EX260" s="168"/>
      <c r="EY260" s="168"/>
      <c r="EZ260" s="168"/>
      <c r="FA260" s="168"/>
      <c r="FB260" s="168"/>
      <c r="FC260" s="168"/>
      <c r="FD260" s="168"/>
      <c r="FE260" s="168"/>
      <c r="FF260" s="168"/>
      <c r="FG260" s="168"/>
      <c r="FH260" s="168"/>
      <c r="FI260" s="168"/>
      <c r="FJ260" s="168"/>
      <c r="FK260" s="168"/>
      <c r="FL260" s="169"/>
      <c r="FM260" s="167">
        <f t="shared" ref="FM260" si="703">EI260+FM259</f>
        <v>0</v>
      </c>
      <c r="FN260" s="168"/>
      <c r="FO260" s="168"/>
      <c r="FP260" s="168"/>
      <c r="FQ260" s="168"/>
      <c r="FR260" s="168"/>
      <c r="FS260" s="168"/>
      <c r="FT260" s="168"/>
      <c r="FU260" s="168"/>
      <c r="FV260" s="168"/>
      <c r="FW260" s="168"/>
      <c r="FX260" s="168"/>
      <c r="FY260" s="168"/>
      <c r="FZ260" s="168"/>
      <c r="GA260" s="168"/>
      <c r="GB260" s="168"/>
      <c r="GC260" s="168"/>
      <c r="GD260" s="168"/>
      <c r="GE260" s="168"/>
      <c r="GF260" s="168"/>
      <c r="GG260" s="168"/>
      <c r="GH260" s="168"/>
      <c r="GI260" s="168"/>
      <c r="GJ260" s="168"/>
      <c r="GK260" s="168"/>
      <c r="GL260" s="168"/>
      <c r="GM260" s="168"/>
      <c r="GN260" s="168"/>
      <c r="GO260" s="168"/>
      <c r="GP260" s="169"/>
      <c r="GQ260" s="167">
        <f t="shared" ref="GQ260" si="704">FM260+GQ259</f>
        <v>0</v>
      </c>
      <c r="GR260" s="168"/>
      <c r="GS260" s="168"/>
      <c r="GT260" s="168"/>
      <c r="GU260" s="168"/>
      <c r="GV260" s="168"/>
      <c r="GW260" s="168"/>
      <c r="GX260" s="168"/>
      <c r="GY260" s="168"/>
      <c r="GZ260" s="168"/>
      <c r="HA260" s="168"/>
      <c r="HB260" s="168"/>
      <c r="HC260" s="168"/>
      <c r="HD260" s="168"/>
      <c r="HE260" s="168"/>
      <c r="HF260" s="168"/>
      <c r="HG260" s="168"/>
      <c r="HH260" s="168"/>
      <c r="HI260" s="168"/>
      <c r="HJ260" s="168"/>
      <c r="HK260" s="168"/>
      <c r="HL260" s="168"/>
      <c r="HM260" s="168"/>
      <c r="HN260" s="168"/>
      <c r="HO260" s="168"/>
      <c r="HP260" s="168"/>
      <c r="HQ260" s="168"/>
      <c r="HR260" s="168"/>
      <c r="HS260" s="168"/>
      <c r="HT260" s="169"/>
      <c r="HU260" s="167">
        <f t="shared" ref="HU260" si="705">GQ260+HU259</f>
        <v>0</v>
      </c>
      <c r="HV260" s="168"/>
      <c r="HW260" s="168"/>
      <c r="HX260" s="168"/>
      <c r="HY260" s="168"/>
      <c r="HZ260" s="168"/>
      <c r="IA260" s="168"/>
      <c r="IB260" s="168"/>
      <c r="IC260" s="168"/>
      <c r="ID260" s="168"/>
      <c r="IE260" s="168"/>
      <c r="IF260" s="168"/>
      <c r="IG260" s="168"/>
      <c r="IH260" s="168"/>
      <c r="II260" s="168"/>
      <c r="IJ260" s="168"/>
      <c r="IK260" s="168"/>
      <c r="IL260" s="168"/>
      <c r="IM260" s="168"/>
      <c r="IN260" s="168"/>
      <c r="IO260" s="168"/>
      <c r="IP260" s="168"/>
      <c r="IQ260" s="168"/>
      <c r="IR260" s="168"/>
      <c r="IS260" s="168"/>
      <c r="IT260" s="168"/>
      <c r="IU260" s="168"/>
      <c r="IV260" s="168"/>
      <c r="IW260" s="168"/>
      <c r="IX260" s="169"/>
      <c r="IY260" s="167">
        <f t="shared" ref="IY260" si="706">HU260+IY259</f>
        <v>0</v>
      </c>
      <c r="IZ260" s="168"/>
      <c r="JA260" s="168"/>
      <c r="JB260" s="168"/>
      <c r="JC260" s="168"/>
      <c r="JD260" s="168"/>
      <c r="JE260" s="168"/>
      <c r="JF260" s="168"/>
      <c r="JG260" s="168"/>
      <c r="JH260" s="168"/>
      <c r="JI260" s="168"/>
      <c r="JJ260" s="168"/>
      <c r="JK260" s="168"/>
      <c r="JL260" s="168"/>
      <c r="JM260" s="168"/>
      <c r="JN260" s="168"/>
      <c r="JO260" s="168"/>
      <c r="JP260" s="168"/>
      <c r="JQ260" s="168"/>
      <c r="JR260" s="168"/>
      <c r="JS260" s="168"/>
      <c r="JT260" s="168"/>
      <c r="JU260" s="168"/>
      <c r="JV260" s="168"/>
      <c r="JW260" s="168"/>
      <c r="JX260" s="168"/>
      <c r="JY260" s="168"/>
      <c r="JZ260" s="168"/>
      <c r="KA260" s="168"/>
      <c r="KB260" s="169"/>
      <c r="KC260" s="452">
        <f t="shared" ref="KC260" si="707">IY260+KC259</f>
        <v>12408449</v>
      </c>
      <c r="KD260" s="453"/>
      <c r="KE260" s="454"/>
      <c r="KF260" s="452">
        <f t="shared" ref="KF260" si="708">KC260+KF259</f>
        <v>24908504</v>
      </c>
      <c r="KG260" s="453"/>
      <c r="KH260" s="454"/>
      <c r="KI260" s="452">
        <f t="shared" ref="KI260" si="709">KF260+KI259</f>
        <v>37264904</v>
      </c>
      <c r="KJ260" s="453"/>
      <c r="KK260" s="454"/>
      <c r="KL260" s="452">
        <f t="shared" ref="KL260" si="710">KI260+KL259</f>
        <v>48005707</v>
      </c>
      <c r="KM260" s="453"/>
      <c r="KN260" s="454"/>
      <c r="KO260" s="452">
        <f t="shared" ref="KO260" si="711">KL260+KO259</f>
        <v>58933886</v>
      </c>
      <c r="KP260" s="453"/>
      <c r="KQ260" s="454"/>
      <c r="KR260" s="452">
        <f t="shared" ref="KR260" si="712">KO260+KR259</f>
        <v>69760049</v>
      </c>
      <c r="KS260" s="453"/>
      <c r="KT260" s="454"/>
      <c r="KU260" s="452">
        <f t="shared" ref="KU260" si="713">KR260+KU259</f>
        <v>79638923</v>
      </c>
      <c r="KV260" s="453"/>
      <c r="KW260" s="454"/>
      <c r="KX260" s="452">
        <f t="shared" ref="KX260" si="714">KU260+KX259</f>
        <v>89646878</v>
      </c>
      <c r="KY260" s="453"/>
      <c r="KZ260" s="454"/>
      <c r="LA260" s="452">
        <f t="shared" ref="LA260" si="715">KX260+LA259</f>
        <v>99704800</v>
      </c>
      <c r="LB260" s="453"/>
      <c r="LC260" s="454"/>
      <c r="LD260" s="452">
        <f t="shared" ref="LD260" si="716">LA260+LD259</f>
        <v>108859154</v>
      </c>
      <c r="LE260" s="453"/>
      <c r="LF260" s="454"/>
      <c r="LG260" s="452">
        <f t="shared" ref="LG260" si="717">LD260+LG259</f>
        <v>118207129</v>
      </c>
      <c r="LH260" s="453"/>
      <c r="LI260" s="454"/>
      <c r="LJ260" s="452">
        <f t="shared" ref="LJ260" si="718">LG260+LJ259</f>
        <v>126174769</v>
      </c>
      <c r="LK260" s="453"/>
      <c r="LL260" s="454"/>
      <c r="LM260" s="452">
        <f t="shared" ref="LM260" si="719">LJ260+LM259</f>
        <v>134321457</v>
      </c>
      <c r="LN260" s="453"/>
      <c r="LO260" s="454"/>
      <c r="LP260" s="452">
        <f t="shared" ref="LP260" si="720">LM260+LP259</f>
        <v>142309916</v>
      </c>
      <c r="LQ260" s="453"/>
      <c r="LR260" s="454"/>
      <c r="LS260" s="452">
        <f t="shared" ref="LS260" si="721">LP260+LS259</f>
        <v>148828515</v>
      </c>
      <c r="LT260" s="453"/>
      <c r="LU260" s="454"/>
      <c r="LV260" s="452">
        <f t="shared" ref="LV260" si="722">LS260+LV259</f>
        <v>155245098</v>
      </c>
      <c r="LW260" s="453"/>
      <c r="LX260" s="454"/>
      <c r="LY260" s="452">
        <f t="shared" ref="LY260" si="723">LV260+LY259</f>
        <v>160479131</v>
      </c>
      <c r="LZ260" s="453"/>
      <c r="MA260" s="454"/>
      <c r="MB260" s="452">
        <f t="shared" ref="MB260" si="724">LY260+MB259</f>
        <v>166054605</v>
      </c>
      <c r="MC260" s="453"/>
      <c r="MD260" s="454"/>
      <c r="ME260" s="452">
        <f t="shared" ref="ME260" si="725">MB260+ME259</f>
        <v>171738340</v>
      </c>
      <c r="MF260" s="453"/>
      <c r="MG260" s="454"/>
      <c r="MH260" s="452">
        <f t="shared" ref="MH260" si="726">ME260+MH259</f>
        <v>175796069</v>
      </c>
      <c r="MI260" s="453"/>
      <c r="MJ260" s="454"/>
      <c r="MK260" s="452">
        <f t="shared" ref="MK260" si="727">MH260+MK259</f>
        <v>179262523</v>
      </c>
      <c r="ML260" s="453"/>
      <c r="MM260" s="454"/>
      <c r="MN260" s="452">
        <f t="shared" ref="MN260" si="728">MK260+MN259</f>
        <v>183605480</v>
      </c>
      <c r="MO260" s="453"/>
      <c r="MP260" s="454"/>
      <c r="MQ260" s="452">
        <f t="shared" ref="MQ260" si="729">MN260+MQ259</f>
        <v>187034459</v>
      </c>
      <c r="MR260" s="453"/>
      <c r="MS260" s="454"/>
      <c r="MT260" s="452">
        <f t="shared" ref="MT260" si="730">MQ260+MT259</f>
        <v>190994336</v>
      </c>
      <c r="MU260" s="453"/>
      <c r="MV260" s="454"/>
      <c r="MW260" s="452">
        <f t="shared" ref="MW260" si="731">MT260+MW259</f>
        <v>193921564</v>
      </c>
      <c r="MX260" s="453"/>
      <c r="MY260" s="454"/>
      <c r="MZ260" s="452">
        <f t="shared" ref="MZ260" si="732">MW260+MZ259</f>
        <v>194454544</v>
      </c>
      <c r="NA260" s="453"/>
      <c r="NB260" s="454"/>
      <c r="NC260" s="452">
        <f t="shared" ref="NC260" si="733">MZ260+NC259</f>
        <v>195081228</v>
      </c>
      <c r="ND260" s="453"/>
      <c r="NE260" s="455"/>
      <c r="NG260" s="34"/>
      <c r="NH260" s="1"/>
      <c r="NI260" s="1"/>
      <c r="NJ260" s="1"/>
      <c r="NK260" s="1"/>
      <c r="NL260" s="7"/>
      <c r="NM260" s="7"/>
    </row>
    <row r="261" spans="7:377" s="6" customFormat="1" ht="23.1" customHeight="1">
      <c r="G261" s="26"/>
      <c r="H261" s="26"/>
      <c r="L261" s="6" t="s">
        <v>297</v>
      </c>
      <c r="M261" s="10"/>
      <c r="Q261" s="130"/>
      <c r="S261" s="134"/>
      <c r="T261" s="135"/>
      <c r="U261" s="135"/>
      <c r="V261" s="135"/>
      <c r="W261" s="135"/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  <c r="AM261" s="135"/>
      <c r="AN261" s="135"/>
      <c r="AO261" s="135"/>
      <c r="AP261" s="135"/>
      <c r="AQ261" s="135"/>
      <c r="AR261" s="135"/>
      <c r="AS261" s="135"/>
      <c r="AT261" s="135"/>
      <c r="AU261" s="135"/>
      <c r="AV261" s="135"/>
      <c r="AW261" s="135"/>
      <c r="AX261" s="135"/>
      <c r="AY261" s="135"/>
      <c r="AZ261" s="135"/>
      <c r="BA261" s="135"/>
      <c r="BB261" s="135"/>
      <c r="BC261" s="135"/>
      <c r="BD261" s="135"/>
      <c r="BE261" s="135"/>
      <c r="BF261" s="135"/>
      <c r="BG261" s="135"/>
      <c r="BH261" s="135"/>
      <c r="BI261" s="135"/>
      <c r="BJ261" s="135"/>
      <c r="BK261" s="135"/>
      <c r="BL261" s="135"/>
      <c r="BM261" s="135"/>
      <c r="BN261" s="135"/>
      <c r="BO261" s="135"/>
      <c r="BP261" s="135"/>
      <c r="BQ261" s="135"/>
      <c r="BR261" s="135"/>
      <c r="BS261" s="135"/>
      <c r="BT261" s="135"/>
      <c r="BU261" s="135"/>
      <c r="BV261" s="135"/>
      <c r="BW261" s="135"/>
      <c r="BX261" s="135"/>
      <c r="BY261" s="135"/>
      <c r="BZ261" s="135"/>
      <c r="CA261" s="135"/>
      <c r="CB261" s="135"/>
      <c r="CC261" s="135"/>
      <c r="CD261" s="135"/>
      <c r="CE261" s="135"/>
      <c r="CF261" s="135"/>
      <c r="CG261" s="135"/>
      <c r="CH261" s="135"/>
      <c r="CI261" s="135"/>
      <c r="CJ261" s="135"/>
      <c r="CK261" s="135"/>
      <c r="CL261" s="135"/>
      <c r="CM261" s="135"/>
      <c r="CN261" s="135"/>
      <c r="CO261" s="135"/>
      <c r="CP261" s="135"/>
      <c r="CQ261" s="135"/>
      <c r="CR261" s="135"/>
      <c r="CS261" s="135"/>
      <c r="CT261" s="135"/>
      <c r="CU261" s="135"/>
      <c r="CV261" s="135"/>
      <c r="CW261" s="135"/>
      <c r="CX261" s="135"/>
      <c r="CY261" s="135"/>
      <c r="CZ261" s="135"/>
      <c r="DA261" s="135"/>
      <c r="DB261" s="135"/>
      <c r="DC261" s="135"/>
      <c r="DD261" s="135"/>
      <c r="DE261" s="135"/>
      <c r="DF261" s="135"/>
      <c r="DG261" s="135"/>
      <c r="DH261" s="135"/>
      <c r="DI261" s="135"/>
      <c r="DJ261" s="135"/>
      <c r="DK261" s="135"/>
      <c r="DL261" s="135"/>
      <c r="DM261" s="135"/>
      <c r="DN261" s="135"/>
      <c r="DO261" s="135"/>
      <c r="DP261" s="135"/>
      <c r="DQ261" s="135"/>
      <c r="DR261" s="135"/>
      <c r="DS261" s="135"/>
      <c r="DT261" s="135"/>
      <c r="DU261" s="135"/>
      <c r="DV261" s="135"/>
      <c r="DW261" s="135"/>
      <c r="DX261" s="135"/>
      <c r="DY261" s="135"/>
      <c r="DZ261" s="135"/>
      <c r="EA261" s="135"/>
      <c r="EB261" s="135"/>
      <c r="EC261" s="135"/>
      <c r="ED261" s="135"/>
      <c r="EE261" s="135"/>
      <c r="EF261" s="135"/>
      <c r="EG261" s="135"/>
      <c r="EH261" s="135"/>
      <c r="EI261" s="135"/>
      <c r="EJ261" s="135"/>
      <c r="EK261" s="135"/>
      <c r="EL261" s="135"/>
      <c r="EM261" s="135"/>
      <c r="EN261" s="135"/>
      <c r="EO261" s="135"/>
      <c r="EP261" s="135"/>
      <c r="EQ261" s="135"/>
      <c r="ER261" s="135"/>
      <c r="ES261" s="135"/>
      <c r="ET261" s="135"/>
      <c r="EU261" s="135"/>
      <c r="EV261" s="135"/>
      <c r="EW261" s="135"/>
      <c r="EX261" s="135"/>
      <c r="EY261" s="135"/>
      <c r="EZ261" s="135"/>
      <c r="FA261" s="135"/>
      <c r="FB261" s="135"/>
      <c r="FC261" s="135"/>
      <c r="FD261" s="135"/>
      <c r="FE261" s="135"/>
      <c r="FF261" s="135"/>
      <c r="FG261" s="135"/>
      <c r="FH261" s="135"/>
      <c r="FI261" s="135"/>
      <c r="FJ261" s="135"/>
      <c r="FK261" s="135"/>
      <c r="FL261" s="135"/>
      <c r="FM261" s="135"/>
      <c r="FN261" s="135"/>
      <c r="FO261" s="135"/>
      <c r="FP261" s="135"/>
      <c r="FQ261" s="135"/>
      <c r="FR261" s="135"/>
      <c r="FS261" s="135"/>
      <c r="FT261" s="135"/>
      <c r="FU261" s="135"/>
      <c r="FV261" s="135"/>
      <c r="FW261" s="135"/>
      <c r="FX261" s="135"/>
      <c r="FY261" s="135"/>
      <c r="FZ261" s="135"/>
      <c r="GA261" s="135"/>
      <c r="GB261" s="135"/>
      <c r="GC261" s="135"/>
      <c r="GD261" s="135"/>
      <c r="GE261" s="135"/>
      <c r="GF261" s="135"/>
      <c r="GG261" s="135"/>
      <c r="GH261" s="135"/>
      <c r="GI261" s="135"/>
      <c r="GJ261" s="135"/>
      <c r="GK261" s="135"/>
      <c r="GL261" s="135"/>
      <c r="GM261" s="135"/>
      <c r="GN261" s="135"/>
      <c r="GO261" s="135"/>
      <c r="GP261" s="135"/>
      <c r="GQ261" s="135"/>
      <c r="GR261" s="135"/>
      <c r="GS261" s="135"/>
      <c r="GT261" s="135"/>
      <c r="GU261" s="135"/>
      <c r="GV261" s="135"/>
      <c r="GW261" s="135"/>
      <c r="GX261" s="135"/>
      <c r="GY261" s="135"/>
      <c r="GZ261" s="135"/>
      <c r="HA261" s="135"/>
      <c r="HB261" s="135"/>
      <c r="HC261" s="135"/>
      <c r="HD261" s="135"/>
      <c r="HE261" s="135"/>
      <c r="HF261" s="135"/>
      <c r="HG261" s="135"/>
      <c r="HH261" s="135"/>
      <c r="HI261" s="135"/>
      <c r="HJ261" s="135"/>
      <c r="HK261" s="135"/>
      <c r="HL261" s="135"/>
      <c r="HM261" s="135"/>
      <c r="HN261" s="135"/>
      <c r="HO261" s="135"/>
      <c r="HP261" s="135"/>
      <c r="HQ261" s="135"/>
      <c r="HR261" s="135"/>
      <c r="HS261" s="135"/>
      <c r="HT261" s="135"/>
      <c r="HU261" s="402"/>
      <c r="HV261" s="402"/>
      <c r="HW261" s="402"/>
      <c r="HX261" s="402"/>
      <c r="HY261" s="402"/>
      <c r="HZ261" s="402"/>
      <c r="IA261" s="402"/>
      <c r="IB261" s="402"/>
      <c r="IC261" s="402"/>
      <c r="ID261" s="402"/>
      <c r="IE261" s="402"/>
      <c r="IF261" s="402"/>
      <c r="IG261" s="402"/>
      <c r="IH261" s="402"/>
      <c r="II261" s="402"/>
      <c r="IJ261" s="402"/>
      <c r="IK261" s="402"/>
      <c r="IL261" s="402"/>
      <c r="IM261" s="402"/>
      <c r="IN261" s="402"/>
      <c r="IO261" s="402"/>
      <c r="IP261" s="402"/>
      <c r="IQ261" s="402"/>
      <c r="IR261" s="402"/>
      <c r="IS261" s="402"/>
      <c r="IT261" s="402"/>
      <c r="IU261" s="402"/>
      <c r="IV261" s="402"/>
      <c r="IW261" s="402"/>
      <c r="IX261" s="402"/>
      <c r="IY261" s="402"/>
      <c r="IZ261" s="402"/>
      <c r="JA261" s="402"/>
      <c r="JB261" s="402"/>
      <c r="JC261" s="402"/>
      <c r="JD261" s="402"/>
      <c r="JE261" s="402"/>
      <c r="JF261" s="402"/>
      <c r="JG261" s="402"/>
      <c r="JH261" s="402"/>
      <c r="JI261" s="402"/>
      <c r="JJ261" s="402"/>
      <c r="JK261" s="402"/>
      <c r="JL261" s="402"/>
      <c r="JM261" s="402"/>
      <c r="JN261" s="402"/>
      <c r="JO261" s="402"/>
      <c r="JP261" s="402"/>
      <c r="JQ261" s="402"/>
      <c r="JR261" s="402"/>
      <c r="JS261" s="402"/>
      <c r="JT261" s="402"/>
      <c r="JU261" s="402"/>
      <c r="JV261" s="402"/>
      <c r="JW261" s="402"/>
      <c r="JX261" s="402"/>
      <c r="JY261" s="402"/>
      <c r="JZ261" s="402"/>
      <c r="KA261" s="402"/>
      <c r="KB261" s="402"/>
      <c r="KC261" s="402"/>
      <c r="KD261" s="402"/>
      <c r="KE261" s="402"/>
      <c r="KF261" s="402"/>
      <c r="KG261" s="402"/>
      <c r="KH261" s="402"/>
      <c r="KI261" s="402"/>
      <c r="KJ261" s="402"/>
      <c r="KK261" s="402"/>
      <c r="KL261" s="402"/>
      <c r="KM261" s="402"/>
      <c r="KN261" s="402"/>
      <c r="KO261" s="402"/>
      <c r="KP261" s="402"/>
      <c r="KQ261" s="402"/>
      <c r="KR261" s="402"/>
      <c r="KS261" s="402"/>
      <c r="KT261" s="402"/>
      <c r="KU261" s="402"/>
      <c r="KV261" s="402"/>
      <c r="KW261" s="402"/>
      <c r="KX261" s="402"/>
      <c r="KY261" s="402"/>
      <c r="KZ261" s="402"/>
      <c r="LA261" s="402"/>
      <c r="LB261" s="402"/>
      <c r="LC261" s="402"/>
      <c r="LD261" s="402"/>
      <c r="LE261" s="402"/>
      <c r="LF261" s="402"/>
      <c r="LG261" s="402"/>
      <c r="LH261" s="402"/>
      <c r="LI261" s="402"/>
      <c r="LJ261" s="402"/>
      <c r="LK261" s="402"/>
      <c r="LL261" s="402"/>
      <c r="LM261" s="402"/>
      <c r="LN261" s="402"/>
      <c r="LO261" s="402"/>
      <c r="LP261" s="402"/>
      <c r="LQ261" s="402"/>
      <c r="LR261" s="402"/>
      <c r="LS261" s="29"/>
      <c r="LT261" s="29"/>
      <c r="LU261" s="29"/>
      <c r="LV261" s="29"/>
      <c r="LW261" s="29"/>
      <c r="LX261" s="29"/>
      <c r="LY261" s="29"/>
      <c r="LZ261" s="29"/>
      <c r="MA261" s="29"/>
      <c r="MB261" s="29"/>
      <c r="MC261" s="29"/>
      <c r="MD261" s="29"/>
      <c r="ME261" s="29"/>
      <c r="MF261" s="29"/>
      <c r="MG261" s="29"/>
      <c r="MH261" s="29"/>
      <c r="MI261" s="29"/>
      <c r="MJ261" s="29"/>
      <c r="MK261" s="29"/>
      <c r="ML261" s="29"/>
      <c r="MM261" s="29"/>
      <c r="MN261" s="29"/>
      <c r="MO261" s="29"/>
      <c r="MP261" s="29"/>
      <c r="MQ261" s="29"/>
      <c r="MR261" s="29"/>
      <c r="MS261" s="29"/>
      <c r="MT261" s="29"/>
      <c r="MU261" s="29"/>
      <c r="MV261" s="29"/>
      <c r="MW261" s="29"/>
      <c r="MX261" s="29"/>
      <c r="MY261" s="29"/>
      <c r="MZ261" s="29"/>
      <c r="NA261" s="29"/>
      <c r="NB261" s="29"/>
      <c r="NC261" s="29"/>
      <c r="ND261" s="29"/>
      <c r="NE261" s="29"/>
      <c r="NG261" s="43"/>
      <c r="NH261" s="1"/>
      <c r="NI261" s="1"/>
      <c r="NJ261" s="1"/>
      <c r="NK261" s="1"/>
      <c r="NL261" s="7"/>
      <c r="NM261" s="7"/>
    </row>
    <row r="262" spans="7:377" s="6" customFormat="1" ht="13.5">
      <c r="G262" s="26"/>
      <c r="H262" s="26"/>
      <c r="M262" s="131">
        <v>155043154</v>
      </c>
      <c r="N262" s="17"/>
      <c r="O262" s="35"/>
      <c r="P262" s="31"/>
      <c r="Q262" s="35"/>
      <c r="R262" s="35"/>
      <c r="S262" s="172">
        <f>ROUND(S256/3,8)</f>
        <v>0</v>
      </c>
      <c r="T262" s="172">
        <f>ROUND(S256/3,8)</f>
        <v>0</v>
      </c>
      <c r="U262" s="172"/>
      <c r="V262" s="172"/>
      <c r="W262" s="172"/>
      <c r="X262" s="172"/>
      <c r="Y262" s="172"/>
      <c r="Z262" s="172"/>
      <c r="AA262" s="172"/>
      <c r="AB262" s="172"/>
      <c r="AC262" s="172"/>
      <c r="AD262" s="172"/>
      <c r="AE262" s="172"/>
      <c r="AF262" s="172"/>
      <c r="AG262" s="172"/>
      <c r="AH262" s="172"/>
      <c r="AI262" s="172"/>
      <c r="AJ262" s="172"/>
      <c r="AK262" s="172"/>
      <c r="AL262" s="172"/>
      <c r="AM262" s="172"/>
      <c r="AN262" s="172"/>
      <c r="AO262" s="172"/>
      <c r="AP262" s="172"/>
      <c r="AQ262" s="172"/>
      <c r="AR262" s="172"/>
      <c r="AS262" s="172"/>
      <c r="AT262" s="172"/>
      <c r="AU262" s="172"/>
      <c r="AV262" s="172">
        <f>ROUND(S256/3,8)</f>
        <v>0</v>
      </c>
      <c r="AW262" s="172">
        <f>ROUND(AW256/3,8)</f>
        <v>0</v>
      </c>
      <c r="AX262" s="172">
        <f>ROUND(AW256/3,8)</f>
        <v>0</v>
      </c>
      <c r="AY262" s="172"/>
      <c r="AZ262" s="172"/>
      <c r="BA262" s="172"/>
      <c r="BB262" s="172"/>
      <c r="BC262" s="172"/>
      <c r="BD262" s="172"/>
      <c r="BE262" s="172"/>
      <c r="BF262" s="172"/>
      <c r="BG262" s="172"/>
      <c r="BH262" s="172"/>
      <c r="BI262" s="172"/>
      <c r="BJ262" s="172"/>
      <c r="BK262" s="172"/>
      <c r="BL262" s="172"/>
      <c r="BM262" s="172"/>
      <c r="BN262" s="172"/>
      <c r="BO262" s="172"/>
      <c r="BP262" s="172"/>
      <c r="BQ262" s="172"/>
      <c r="BR262" s="172"/>
      <c r="BS262" s="172"/>
      <c r="BT262" s="172"/>
      <c r="BU262" s="172"/>
      <c r="BV262" s="172"/>
      <c r="BW262" s="172"/>
      <c r="BX262" s="172"/>
      <c r="BY262" s="172"/>
      <c r="BZ262" s="172">
        <f>ROUND(AW256/3,8)</f>
        <v>0</v>
      </c>
      <c r="CA262" s="172">
        <f>ROUND(CA256/3,8)</f>
        <v>0</v>
      </c>
      <c r="CB262" s="172">
        <f>ROUND(CA256/3,8)</f>
        <v>0</v>
      </c>
      <c r="CC262" s="172"/>
      <c r="CD262" s="172"/>
      <c r="CE262" s="172"/>
      <c r="CF262" s="172"/>
      <c r="CG262" s="172"/>
      <c r="CH262" s="172"/>
      <c r="CI262" s="172"/>
      <c r="CJ262" s="172"/>
      <c r="CK262" s="172"/>
      <c r="CL262" s="172"/>
      <c r="CM262" s="172"/>
      <c r="CN262" s="172"/>
      <c r="CO262" s="172"/>
      <c r="CP262" s="172"/>
      <c r="CQ262" s="172"/>
      <c r="CR262" s="172"/>
      <c r="CS262" s="172"/>
      <c r="CT262" s="172"/>
      <c r="CU262" s="172"/>
      <c r="CV262" s="172"/>
      <c r="CW262" s="172"/>
      <c r="CX262" s="172"/>
      <c r="CY262" s="172"/>
      <c r="CZ262" s="172"/>
      <c r="DA262" s="172"/>
      <c r="DB262" s="172"/>
      <c r="DC262" s="172"/>
      <c r="DD262" s="172">
        <f>ROUND(CA256/3,8)</f>
        <v>0</v>
      </c>
      <c r="DE262" s="172">
        <f t="shared" ref="DE262" si="734">ROUND(DE256/3,8)</f>
        <v>0</v>
      </c>
      <c r="DF262" s="172">
        <f t="shared" ref="DF262" si="735">ROUND(DE256/3,8)</f>
        <v>0</v>
      </c>
      <c r="DG262" s="172"/>
      <c r="DH262" s="172"/>
      <c r="DI262" s="172"/>
      <c r="DJ262" s="172"/>
      <c r="DK262" s="172"/>
      <c r="DL262" s="172"/>
      <c r="DM262" s="172"/>
      <c r="DN262" s="172"/>
      <c r="DO262" s="172"/>
      <c r="DP262" s="172"/>
      <c r="DQ262" s="172"/>
      <c r="DR262" s="172"/>
      <c r="DS262" s="172"/>
      <c r="DT262" s="172"/>
      <c r="DU262" s="172"/>
      <c r="DV262" s="172"/>
      <c r="DW262" s="172"/>
      <c r="DX262" s="172"/>
      <c r="DY262" s="172"/>
      <c r="DZ262" s="172"/>
      <c r="EA262" s="172"/>
      <c r="EB262" s="172"/>
      <c r="EC262" s="172"/>
      <c r="ED262" s="172"/>
      <c r="EE262" s="172"/>
      <c r="EF262" s="172"/>
      <c r="EG262" s="172"/>
      <c r="EH262" s="172">
        <f t="shared" ref="EH262" si="736">ROUND(DE256/3,8)</f>
        <v>0</v>
      </c>
      <c r="EI262" s="172">
        <f t="shared" ref="EI262" si="737">ROUND(EI256/3,8)</f>
        <v>0</v>
      </c>
      <c r="EJ262" s="172">
        <f t="shared" ref="EJ262" si="738">ROUND(EI256/3,8)</f>
        <v>0</v>
      </c>
      <c r="EK262" s="172"/>
      <c r="EL262" s="172"/>
      <c r="EM262" s="172"/>
      <c r="EN262" s="172"/>
      <c r="EO262" s="172"/>
      <c r="EP262" s="172"/>
      <c r="EQ262" s="172"/>
      <c r="ER262" s="172"/>
      <c r="ES262" s="172"/>
      <c r="ET262" s="172"/>
      <c r="EU262" s="172"/>
      <c r="EV262" s="172"/>
      <c r="EW262" s="172"/>
      <c r="EX262" s="172"/>
      <c r="EY262" s="172"/>
      <c r="EZ262" s="172"/>
      <c r="FA262" s="172"/>
      <c r="FB262" s="172"/>
      <c r="FC262" s="172"/>
      <c r="FD262" s="172"/>
      <c r="FE262" s="172"/>
      <c r="FF262" s="172"/>
      <c r="FG262" s="172"/>
      <c r="FH262" s="172"/>
      <c r="FI262" s="172"/>
      <c r="FJ262" s="172"/>
      <c r="FK262" s="172"/>
      <c r="FL262" s="172">
        <f t="shared" ref="FL262" si="739">ROUND(EI256/3,8)</f>
        <v>0</v>
      </c>
      <c r="FM262" s="172">
        <f t="shared" ref="FM262" si="740">ROUND(FM256/3,8)</f>
        <v>0</v>
      </c>
      <c r="FN262" s="172">
        <f t="shared" ref="FN262" si="741">ROUND(FM256/3,8)</f>
        <v>0</v>
      </c>
      <c r="FO262" s="172"/>
      <c r="FP262" s="172"/>
      <c r="FQ262" s="172"/>
      <c r="FR262" s="172"/>
      <c r="FS262" s="172"/>
      <c r="FT262" s="172"/>
      <c r="FU262" s="172"/>
      <c r="FV262" s="172"/>
      <c r="FW262" s="172"/>
      <c r="FX262" s="172"/>
      <c r="FY262" s="172"/>
      <c r="FZ262" s="172"/>
      <c r="GA262" s="172"/>
      <c r="GB262" s="172"/>
      <c r="GC262" s="172"/>
      <c r="GD262" s="172"/>
      <c r="GE262" s="172"/>
      <c r="GF262" s="172"/>
      <c r="GG262" s="172"/>
      <c r="GH262" s="172"/>
      <c r="GI262" s="172"/>
      <c r="GJ262" s="172"/>
      <c r="GK262" s="172"/>
      <c r="GL262" s="172"/>
      <c r="GM262" s="172"/>
      <c r="GN262" s="172"/>
      <c r="GO262" s="172"/>
      <c r="GP262" s="172">
        <f t="shared" ref="GP262" si="742">ROUND(FM256/3,8)</f>
        <v>0</v>
      </c>
      <c r="GQ262" s="172">
        <f t="shared" ref="GQ262" si="743">ROUND(GQ256/3,8)</f>
        <v>0</v>
      </c>
      <c r="GR262" s="172">
        <f t="shared" ref="GR262" si="744">ROUND(GQ256/3,8)</f>
        <v>0</v>
      </c>
      <c r="GS262" s="172"/>
      <c r="GT262" s="172"/>
      <c r="GU262" s="172"/>
      <c r="GV262" s="172"/>
      <c r="GW262" s="172"/>
      <c r="GX262" s="172"/>
      <c r="GY262" s="172"/>
      <c r="GZ262" s="172"/>
      <c r="HA262" s="172"/>
      <c r="HB262" s="172"/>
      <c r="HC262" s="172"/>
      <c r="HD262" s="172"/>
      <c r="HE262" s="172"/>
      <c r="HF262" s="172"/>
      <c r="HG262" s="172"/>
      <c r="HH262" s="172"/>
      <c r="HI262" s="172"/>
      <c r="HJ262" s="172"/>
      <c r="HK262" s="172"/>
      <c r="HL262" s="172"/>
      <c r="HM262" s="172"/>
      <c r="HN262" s="172"/>
      <c r="HO262" s="172"/>
      <c r="HP262" s="172"/>
      <c r="HQ262" s="172"/>
      <c r="HR262" s="172"/>
      <c r="HS262" s="172"/>
      <c r="HT262" s="172">
        <f t="shared" ref="HT262" si="745">ROUND(GQ256/3,8)</f>
        <v>0</v>
      </c>
      <c r="HU262" s="172">
        <f t="shared" ref="HU262" si="746">ROUND(HU256/3,8)</f>
        <v>0</v>
      </c>
      <c r="HV262" s="172">
        <f t="shared" ref="HV262" si="747">ROUND(HU256/3,8)</f>
        <v>0</v>
      </c>
      <c r="HW262" s="172"/>
      <c r="HX262" s="172"/>
      <c r="HY262" s="172"/>
      <c r="HZ262" s="172"/>
      <c r="IA262" s="172"/>
      <c r="IB262" s="172"/>
      <c r="IC262" s="172"/>
      <c r="ID262" s="172"/>
      <c r="IE262" s="172"/>
      <c r="IF262" s="172"/>
      <c r="IG262" s="172"/>
      <c r="IH262" s="172"/>
      <c r="II262" s="172"/>
      <c r="IJ262" s="172"/>
      <c r="IK262" s="172"/>
      <c r="IL262" s="172"/>
      <c r="IM262" s="172"/>
      <c r="IN262" s="172"/>
      <c r="IO262" s="172"/>
      <c r="IP262" s="172"/>
      <c r="IQ262" s="172"/>
      <c r="IR262" s="172"/>
      <c r="IS262" s="172"/>
      <c r="IT262" s="172"/>
      <c r="IU262" s="172"/>
      <c r="IV262" s="172"/>
      <c r="IW262" s="172"/>
      <c r="IX262" s="172">
        <f t="shared" ref="IX262" si="748">ROUND(HU256/3,8)</f>
        <v>0</v>
      </c>
      <c r="IY262" s="172">
        <f t="shared" ref="IY262" si="749">ROUND(IY256/3,8)</f>
        <v>0</v>
      </c>
      <c r="IZ262" s="172">
        <f t="shared" ref="IZ262" si="750">ROUND(IY256/3,8)</f>
        <v>0</v>
      </c>
      <c r="JA262" s="172"/>
      <c r="JB262" s="172"/>
      <c r="JC262" s="172"/>
      <c r="JD262" s="172"/>
      <c r="JE262" s="172"/>
      <c r="JF262" s="172"/>
      <c r="JG262" s="172"/>
      <c r="JH262" s="172"/>
      <c r="JI262" s="172"/>
      <c r="JJ262" s="172"/>
      <c r="JK262" s="172"/>
      <c r="JL262" s="172"/>
      <c r="JM262" s="172"/>
      <c r="JN262" s="172"/>
      <c r="JO262" s="172"/>
      <c r="JP262" s="172"/>
      <c r="JQ262" s="172"/>
      <c r="JR262" s="172"/>
      <c r="JS262" s="172"/>
      <c r="JT262" s="172"/>
      <c r="JU262" s="172"/>
      <c r="JV262" s="172"/>
      <c r="JW262" s="172"/>
      <c r="JX262" s="172"/>
      <c r="JY262" s="172"/>
      <c r="JZ262" s="172"/>
      <c r="KA262" s="172"/>
      <c r="KB262" s="172">
        <f t="shared" ref="KB262" si="751">ROUND(IY256/3,8)</f>
        <v>0</v>
      </c>
      <c r="KC262" s="172">
        <f t="shared" ref="KC262" si="752">ROUND(KC256/3,8)</f>
        <v>1.9866669999999999E-2</v>
      </c>
      <c r="KD262" s="172">
        <f t="shared" ref="KD262" si="753">ROUND(KC256/3,8)</f>
        <v>1.9866669999999999E-2</v>
      </c>
      <c r="KE262" s="172">
        <f t="shared" ref="KE262" si="754">ROUND(KC256/3,8)</f>
        <v>1.9866669999999999E-2</v>
      </c>
      <c r="KF262" s="172">
        <f t="shared" ref="KF262" si="755">ROUND(KF256/3,8)</f>
        <v>2.0013329999999999E-2</v>
      </c>
      <c r="KG262" s="172">
        <f t="shared" ref="KG262" si="756">ROUND(KF256/3,8)</f>
        <v>2.0013329999999999E-2</v>
      </c>
      <c r="KH262" s="172">
        <f t="shared" ref="KH262" si="757">ROUND(KF256/3,8)</f>
        <v>2.0013329999999999E-2</v>
      </c>
      <c r="KI262" s="172">
        <f t="shared" ref="KI262" si="758">ROUND(KI256/3,8)</f>
        <v>1.9783329999999998E-2</v>
      </c>
      <c r="KJ262" s="172">
        <f t="shared" ref="KJ262" si="759">ROUND(KI256/3,8)</f>
        <v>1.9783329999999998E-2</v>
      </c>
      <c r="KK262" s="172">
        <f t="shared" ref="KK262" si="760">ROUND(KI256/3,8)</f>
        <v>1.9783329999999998E-2</v>
      </c>
      <c r="KL262" s="172">
        <f t="shared" ref="KL262" si="761">ROUND(KL256/3,8)</f>
        <v>1.7196670000000001E-2</v>
      </c>
      <c r="KM262" s="172">
        <f t="shared" ref="KM262" si="762">ROUND(KL256/3,8)</f>
        <v>1.7196670000000001E-2</v>
      </c>
      <c r="KN262" s="172">
        <f t="shared" ref="KN262" si="763">ROUND(KL256/3,8)</f>
        <v>1.7196670000000001E-2</v>
      </c>
      <c r="KO262" s="172">
        <f t="shared" ref="KO262" si="764">ROUND(KO256/3,8)</f>
        <v>1.7496669999999999E-2</v>
      </c>
      <c r="KP262" s="172">
        <f t="shared" ref="KP262" si="765">ROUND(KO256/3,8)</f>
        <v>1.7496669999999999E-2</v>
      </c>
      <c r="KQ262" s="172">
        <f t="shared" ref="KQ262" si="766">ROUND(KO256/3,8)</f>
        <v>1.7496669999999999E-2</v>
      </c>
      <c r="KR262" s="172">
        <f t="shared" ref="KR262" si="767">ROUND(KR256/3,8)</f>
        <v>1.7333330000000001E-2</v>
      </c>
      <c r="KS262" s="172">
        <f t="shared" ref="KS262" si="768">ROUND(KR256/3,8)</f>
        <v>1.7333330000000001E-2</v>
      </c>
      <c r="KT262" s="172">
        <f t="shared" ref="KT262" si="769">ROUND(KR256/3,8)</f>
        <v>1.7333330000000001E-2</v>
      </c>
      <c r="KU262" s="172">
        <f t="shared" ref="KU262" si="770">ROUND(KU256/3,8)</f>
        <v>1.5816670000000001E-2</v>
      </c>
      <c r="KV262" s="172">
        <f t="shared" ref="KV262" si="771">ROUND(KU256/3,8)</f>
        <v>1.5816670000000001E-2</v>
      </c>
      <c r="KW262" s="172">
        <f t="shared" ref="KW262" si="772">ROUND(KU256/3,8)</f>
        <v>1.5816670000000001E-2</v>
      </c>
      <c r="KX262" s="172">
        <f t="shared" ref="KX262" si="773">ROUND(KX256/3,8)</f>
        <v>1.6023329999999999E-2</v>
      </c>
      <c r="KY262" s="172">
        <f t="shared" ref="KY262" si="774">ROUND(KX256/3,8)</f>
        <v>1.6023329999999999E-2</v>
      </c>
      <c r="KZ262" s="172">
        <f t="shared" ref="KZ262" si="775">ROUND(KX256/3,8)</f>
        <v>1.6023329999999999E-2</v>
      </c>
      <c r="LA262" s="172">
        <f t="shared" ref="LA262" si="776">ROUND(LA256/3,8)</f>
        <v>1.6103329999999999E-2</v>
      </c>
      <c r="LB262" s="172">
        <f t="shared" ref="LB262" si="777">ROUND(LA256/3,8)</f>
        <v>1.6103329999999999E-2</v>
      </c>
      <c r="LC262" s="172">
        <f t="shared" ref="LC262" si="778">ROUND(LA256/3,8)</f>
        <v>1.6103329999999999E-2</v>
      </c>
      <c r="LD262" s="172">
        <f t="shared" ref="LD262" si="779">ROUND(LD256/3,8)</f>
        <v>1.465667E-2</v>
      </c>
      <c r="LE262" s="172">
        <f t="shared" ref="LE262" si="780">ROUND(LD256/3,8)</f>
        <v>1.465667E-2</v>
      </c>
      <c r="LF262" s="172">
        <f t="shared" ref="LF262" si="781">ROUND(LD256/3,8)</f>
        <v>1.465667E-2</v>
      </c>
      <c r="LG262" s="172">
        <f t="shared" ref="LG262" si="782">ROUND(LG256/3,8)</f>
        <v>1.496667E-2</v>
      </c>
      <c r="LH262" s="172">
        <f t="shared" ref="LH262" si="783">ROUND(LG256/3,8)</f>
        <v>1.496667E-2</v>
      </c>
      <c r="LI262" s="172">
        <f t="shared" ref="LI262" si="784">ROUND(LG256/3,8)</f>
        <v>1.496667E-2</v>
      </c>
      <c r="LJ262" s="172">
        <f t="shared" ref="LJ262" si="785">ROUND(LJ256/3,8)</f>
        <v>1.2756669999999999E-2</v>
      </c>
      <c r="LK262" s="172">
        <f t="shared" ref="LK262" si="786">ROUND(LJ256/3,8)</f>
        <v>1.2756669999999999E-2</v>
      </c>
      <c r="LL262" s="172">
        <f t="shared" ref="LL262" si="787">ROUND(LJ256/3,8)</f>
        <v>1.2756669999999999E-2</v>
      </c>
      <c r="LM262" s="172">
        <f t="shared" ref="LM262" si="788">ROUND(LM256/3,8)</f>
        <v>1.3043330000000001E-2</v>
      </c>
      <c r="LN262" s="172">
        <f t="shared" ref="LN262" si="789">ROUND(LM256/3,8)</f>
        <v>1.3043330000000001E-2</v>
      </c>
      <c r="LO262" s="172">
        <f t="shared" ref="LO262" si="790">ROUND(LM256/3,8)</f>
        <v>1.3043330000000001E-2</v>
      </c>
      <c r="LP262" s="172">
        <f t="shared" ref="LP262" si="791">ROUND(LP256/3,8)</f>
        <v>1.2789999999999999E-2</v>
      </c>
      <c r="LQ262" s="172">
        <f t="shared" ref="LQ262" si="792">ROUND(LP256/3,8)</f>
        <v>1.2789999999999999E-2</v>
      </c>
      <c r="LR262" s="172">
        <f t="shared" ref="LR262" si="793">ROUND(LP256/3,8)</f>
        <v>1.2789999999999999E-2</v>
      </c>
      <c r="LS262" s="172">
        <f t="shared" ref="LS262" si="794">ROUND(LS256/3,8)</f>
        <v>1.043667E-2</v>
      </c>
      <c r="LT262" s="172">
        <f t="shared" ref="LT262" si="795">ROUND(LS256/3,8)</f>
        <v>1.043667E-2</v>
      </c>
      <c r="LU262" s="172">
        <f t="shared" ref="LU262" si="796">ROUND(LS256/3,8)</f>
        <v>1.043667E-2</v>
      </c>
      <c r="LV262" s="172">
        <f t="shared" ref="LV262" si="797">ROUND(LV256/3,8)</f>
        <v>1.0273330000000001E-2</v>
      </c>
      <c r="LW262" s="172">
        <f t="shared" ref="LW262" si="798">ROUND(LV256/3,8)</f>
        <v>1.0273330000000001E-2</v>
      </c>
      <c r="LX262" s="172">
        <f t="shared" ref="LX262" si="799">ROUND(LV256/3,8)</f>
        <v>1.0273330000000001E-2</v>
      </c>
      <c r="LY262" s="172">
        <f t="shared" ref="LY262" si="800">ROUND(LY256/3,8)</f>
        <v>8.3800000000000003E-3</v>
      </c>
      <c r="LZ262" s="172">
        <f t="shared" ref="LZ262" si="801">ROUND(LY256/3,8)</f>
        <v>8.3800000000000003E-3</v>
      </c>
      <c r="MA262" s="172">
        <f t="shared" ref="MA262" si="802">ROUND(LY256/3,8)</f>
        <v>8.3800000000000003E-3</v>
      </c>
      <c r="MB262" s="172">
        <f t="shared" ref="MB262" si="803">ROUND(MB256/3,8)</f>
        <v>8.9266699999999994E-3</v>
      </c>
      <c r="MC262" s="172">
        <f t="shared" ref="MC262" si="804">ROUND(MB256/3,8)</f>
        <v>8.9266699999999994E-3</v>
      </c>
      <c r="MD262" s="172">
        <f t="shared" ref="MD262" si="805">ROUND(MB256/3,8)</f>
        <v>8.9266699999999994E-3</v>
      </c>
      <c r="ME262" s="172">
        <f t="shared" ref="ME262" si="806">ROUND(ME256/3,8)</f>
        <v>9.1000000000000004E-3</v>
      </c>
      <c r="MF262" s="172">
        <f t="shared" ref="MF262" si="807">ROUND(ME256/3,8)</f>
        <v>9.1000000000000004E-3</v>
      </c>
      <c r="MG262" s="172">
        <f t="shared" ref="MG262" si="808">ROUND(ME256/3,8)</f>
        <v>9.1000000000000004E-3</v>
      </c>
      <c r="MH262" s="172">
        <f t="shared" ref="MH262" si="809">ROUND(MH256/3,8)</f>
        <v>6.4966700000000004E-3</v>
      </c>
      <c r="MI262" s="172">
        <f t="shared" ref="MI262" si="810">ROUND(MH256/3,8)</f>
        <v>6.4966700000000004E-3</v>
      </c>
      <c r="MJ262" s="172">
        <f t="shared" ref="MJ262" si="811">ROUND(MH256/3,8)</f>
        <v>6.4966700000000004E-3</v>
      </c>
      <c r="MK262" s="172">
        <f t="shared" ref="MK262" si="812">ROUND(MK256/3,8)</f>
        <v>5.5500000000000002E-3</v>
      </c>
      <c r="ML262" s="172">
        <f t="shared" ref="ML262" si="813">ROUND(MK256/3,8)</f>
        <v>5.5500000000000002E-3</v>
      </c>
      <c r="MM262" s="172">
        <f t="shared" ref="MM262" si="814">ROUND(MK256/3,8)</f>
        <v>5.5500000000000002E-3</v>
      </c>
      <c r="MN262" s="172">
        <f t="shared" ref="MN262" si="815">ROUND(MN256/3,8)</f>
        <v>6.9533299999999998E-3</v>
      </c>
      <c r="MO262" s="172">
        <f t="shared" ref="MO262" si="816">ROUND(MN256/3,8)</f>
        <v>6.9533299999999998E-3</v>
      </c>
      <c r="MP262" s="172">
        <f t="shared" ref="MP262" si="817">ROUND(MN256/3,8)</f>
        <v>6.9533299999999998E-3</v>
      </c>
      <c r="MQ262" s="172">
        <f t="shared" ref="MQ262" si="818">ROUND(MQ256/3,8)</f>
        <v>5.4900000000000001E-3</v>
      </c>
      <c r="MR262" s="172">
        <f t="shared" ref="MR262" si="819">ROUND(MQ256/3,8)</f>
        <v>5.4900000000000001E-3</v>
      </c>
      <c r="MS262" s="172">
        <f t="shared" ref="MS262" si="820">ROUND(MQ256/3,8)</f>
        <v>5.4900000000000001E-3</v>
      </c>
      <c r="MT262" s="172">
        <f t="shared" ref="MT262" si="821">ROUND(MT256/3,8)</f>
        <v>6.3400000000000001E-3</v>
      </c>
      <c r="MU262" s="172">
        <f t="shared" ref="MU262" si="822">ROUND(MT256/3,8)</f>
        <v>6.3400000000000001E-3</v>
      </c>
      <c r="MV262" s="172">
        <f t="shared" ref="MV262" si="823">ROUND(MT256/3,8)</f>
        <v>6.3400000000000001E-3</v>
      </c>
      <c r="MW262" s="172">
        <f t="shared" ref="MW262" si="824">ROUND(MW256/3,8)</f>
        <v>4.6866700000000004E-3</v>
      </c>
      <c r="MX262" s="172">
        <f t="shared" ref="MX262" si="825">ROUND(MW256/3,8)</f>
        <v>4.6866700000000004E-3</v>
      </c>
      <c r="MY262" s="172">
        <f t="shared" ref="MY262" si="826">ROUND(MW256/3,8)</f>
        <v>4.6866700000000004E-3</v>
      </c>
      <c r="MZ262" s="172">
        <f t="shared" ref="MZ262" si="827">ROUND(MZ256/3,8)</f>
        <v>8.5333000000000002E-4</v>
      </c>
      <c r="NA262" s="172">
        <f t="shared" ref="NA262" si="828">ROUND(MZ256/3,8)</f>
        <v>8.5333000000000002E-4</v>
      </c>
      <c r="NB262" s="172">
        <f t="shared" ref="NB262" si="829">ROUND(MZ256/3,8)</f>
        <v>8.5333000000000002E-4</v>
      </c>
      <c r="NC262" s="172">
        <f t="shared" ref="NC262" si="830">ROUND(NC256/3,8)</f>
        <v>1.00333E-3</v>
      </c>
      <c r="ND262" s="172">
        <f t="shared" ref="ND262" si="831">ROUND(NC256/3,8)</f>
        <v>1.00333E-3</v>
      </c>
      <c r="NE262" s="172">
        <f t="shared" ref="NE262" si="832">ROUND(NC256/3,8)</f>
        <v>1.00333E-3</v>
      </c>
      <c r="NG262" s="1"/>
      <c r="NH262" s="1"/>
      <c r="NI262" s="1"/>
      <c r="NJ262" s="1"/>
      <c r="NK262" s="1"/>
      <c r="NL262" s="7"/>
      <c r="NM262" s="7"/>
    </row>
    <row r="263" spans="7:377" s="6" customFormat="1" ht="13.5">
      <c r="G263" s="26"/>
      <c r="H263" s="26"/>
      <c r="M263" s="132">
        <v>51357019</v>
      </c>
      <c r="N263" s="17"/>
      <c r="O263" s="35"/>
      <c r="P263" s="30" t="s">
        <v>292</v>
      </c>
      <c r="Q263" s="35"/>
      <c r="R263" s="35"/>
      <c r="S263" s="173">
        <f>S262</f>
        <v>0</v>
      </c>
      <c r="T263" s="173">
        <f>S263+T262</f>
        <v>0</v>
      </c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73"/>
      <c r="AF263" s="173"/>
      <c r="AG263" s="173"/>
      <c r="AH263" s="173"/>
      <c r="AI263" s="173"/>
      <c r="AJ263" s="173"/>
      <c r="AK263" s="173"/>
      <c r="AL263" s="173"/>
      <c r="AM263" s="173"/>
      <c r="AN263" s="173"/>
      <c r="AO263" s="173"/>
      <c r="AP263" s="173"/>
      <c r="AQ263" s="173"/>
      <c r="AR263" s="173"/>
      <c r="AS263" s="173"/>
      <c r="AT263" s="173"/>
      <c r="AU263" s="173"/>
      <c r="AV263" s="173">
        <f t="shared" ref="AV263" si="833">T263+AV262</f>
        <v>0</v>
      </c>
      <c r="AW263" s="173">
        <f>AV263+AW262</f>
        <v>0</v>
      </c>
      <c r="AX263" s="173">
        <f>AW263+AX262</f>
        <v>0</v>
      </c>
      <c r="AY263" s="173"/>
      <c r="AZ263" s="173"/>
      <c r="BA263" s="173"/>
      <c r="BB263" s="173"/>
      <c r="BC263" s="173"/>
      <c r="BD263" s="173"/>
      <c r="BE263" s="173"/>
      <c r="BF263" s="173"/>
      <c r="BG263" s="173"/>
      <c r="BH263" s="173"/>
      <c r="BI263" s="173"/>
      <c r="BJ263" s="173"/>
      <c r="BK263" s="173"/>
      <c r="BL263" s="173"/>
      <c r="BM263" s="173"/>
      <c r="BN263" s="173"/>
      <c r="BO263" s="173"/>
      <c r="BP263" s="173"/>
      <c r="BQ263" s="173"/>
      <c r="BR263" s="173"/>
      <c r="BS263" s="173"/>
      <c r="BT263" s="173"/>
      <c r="BU263" s="173"/>
      <c r="BV263" s="173"/>
      <c r="BW263" s="173"/>
      <c r="BX263" s="173"/>
      <c r="BY263" s="173"/>
      <c r="BZ263" s="173">
        <f t="shared" ref="BZ263" si="834">AX263+BZ262</f>
        <v>0</v>
      </c>
      <c r="CA263" s="173">
        <f>BZ263+CA262</f>
        <v>0</v>
      </c>
      <c r="CB263" s="173">
        <f>CA263+CB262</f>
        <v>0</v>
      </c>
      <c r="CC263" s="173"/>
      <c r="CD263" s="173"/>
      <c r="CE263" s="173"/>
      <c r="CF263" s="173"/>
      <c r="CG263" s="173"/>
      <c r="CH263" s="173"/>
      <c r="CI263" s="173"/>
      <c r="CJ263" s="173"/>
      <c r="CK263" s="173"/>
      <c r="CL263" s="173"/>
      <c r="CM263" s="173"/>
      <c r="CN263" s="173"/>
      <c r="CO263" s="173"/>
      <c r="CP263" s="173"/>
      <c r="CQ263" s="173"/>
      <c r="CR263" s="173"/>
      <c r="CS263" s="173"/>
      <c r="CT263" s="173"/>
      <c r="CU263" s="173"/>
      <c r="CV263" s="173"/>
      <c r="CW263" s="173"/>
      <c r="CX263" s="173"/>
      <c r="CY263" s="173"/>
      <c r="CZ263" s="173"/>
      <c r="DA263" s="173"/>
      <c r="DB263" s="173"/>
      <c r="DC263" s="173"/>
      <c r="DD263" s="173">
        <f>CB263+DD262</f>
        <v>0</v>
      </c>
      <c r="DE263" s="173">
        <f t="shared" ref="DE263:DF263" si="835">DD263+DE262</f>
        <v>0</v>
      </c>
      <c r="DF263" s="173">
        <f t="shared" si="835"/>
        <v>0</v>
      </c>
      <c r="DG263" s="173"/>
      <c r="DH263" s="173"/>
      <c r="DI263" s="173"/>
      <c r="DJ263" s="173"/>
      <c r="DK263" s="173"/>
      <c r="DL263" s="173"/>
      <c r="DM263" s="173"/>
      <c r="DN263" s="173"/>
      <c r="DO263" s="173"/>
      <c r="DP263" s="173"/>
      <c r="DQ263" s="173"/>
      <c r="DR263" s="173"/>
      <c r="DS263" s="173"/>
      <c r="DT263" s="173"/>
      <c r="DU263" s="173"/>
      <c r="DV263" s="173"/>
      <c r="DW263" s="173"/>
      <c r="DX263" s="173"/>
      <c r="DY263" s="173"/>
      <c r="DZ263" s="173"/>
      <c r="EA263" s="173"/>
      <c r="EB263" s="173"/>
      <c r="EC263" s="173"/>
      <c r="ED263" s="173"/>
      <c r="EE263" s="173"/>
      <c r="EF263" s="173"/>
      <c r="EG263" s="173"/>
      <c r="EH263" s="173">
        <f>DF263+EH262</f>
        <v>0</v>
      </c>
      <c r="EI263" s="173">
        <f t="shared" ref="EI263:EJ263" si="836">EH263+EI262</f>
        <v>0</v>
      </c>
      <c r="EJ263" s="173">
        <f t="shared" si="836"/>
        <v>0</v>
      </c>
      <c r="EK263" s="173"/>
      <c r="EL263" s="173"/>
      <c r="EM263" s="173"/>
      <c r="EN263" s="173"/>
      <c r="EO263" s="173"/>
      <c r="EP263" s="173"/>
      <c r="EQ263" s="173"/>
      <c r="ER263" s="173"/>
      <c r="ES263" s="173"/>
      <c r="ET263" s="173"/>
      <c r="EU263" s="173"/>
      <c r="EV263" s="173"/>
      <c r="EW263" s="173"/>
      <c r="EX263" s="173"/>
      <c r="EY263" s="173"/>
      <c r="EZ263" s="173"/>
      <c r="FA263" s="173"/>
      <c r="FB263" s="173"/>
      <c r="FC263" s="173"/>
      <c r="FD263" s="173"/>
      <c r="FE263" s="173"/>
      <c r="FF263" s="173"/>
      <c r="FG263" s="173"/>
      <c r="FH263" s="173"/>
      <c r="FI263" s="173"/>
      <c r="FJ263" s="173"/>
      <c r="FK263" s="173"/>
      <c r="FL263" s="173">
        <f>EJ263+FL262</f>
        <v>0</v>
      </c>
      <c r="FM263" s="173">
        <f t="shared" ref="FM263:FN263" si="837">FL263+FM262</f>
        <v>0</v>
      </c>
      <c r="FN263" s="173">
        <f t="shared" si="837"/>
        <v>0</v>
      </c>
      <c r="FO263" s="173"/>
      <c r="FP263" s="173"/>
      <c r="FQ263" s="173"/>
      <c r="FR263" s="173"/>
      <c r="FS263" s="173"/>
      <c r="FT263" s="173"/>
      <c r="FU263" s="173"/>
      <c r="FV263" s="173"/>
      <c r="FW263" s="173"/>
      <c r="FX263" s="173"/>
      <c r="FY263" s="173"/>
      <c r="FZ263" s="173"/>
      <c r="GA263" s="173"/>
      <c r="GB263" s="173"/>
      <c r="GC263" s="173"/>
      <c r="GD263" s="173"/>
      <c r="GE263" s="173"/>
      <c r="GF263" s="173"/>
      <c r="GG263" s="173"/>
      <c r="GH263" s="173"/>
      <c r="GI263" s="173"/>
      <c r="GJ263" s="173"/>
      <c r="GK263" s="173"/>
      <c r="GL263" s="173"/>
      <c r="GM263" s="173"/>
      <c r="GN263" s="173"/>
      <c r="GO263" s="173"/>
      <c r="GP263" s="173">
        <f>FN263+GP262</f>
        <v>0</v>
      </c>
      <c r="GQ263" s="173">
        <f t="shared" ref="GQ263:GR263" si="838">GP263+GQ262</f>
        <v>0</v>
      </c>
      <c r="GR263" s="173">
        <f t="shared" si="838"/>
        <v>0</v>
      </c>
      <c r="GS263" s="173"/>
      <c r="GT263" s="173"/>
      <c r="GU263" s="173"/>
      <c r="GV263" s="173"/>
      <c r="GW263" s="173"/>
      <c r="GX263" s="173"/>
      <c r="GY263" s="173"/>
      <c r="GZ263" s="173"/>
      <c r="HA263" s="173"/>
      <c r="HB263" s="173"/>
      <c r="HC263" s="173"/>
      <c r="HD263" s="173"/>
      <c r="HE263" s="173"/>
      <c r="HF263" s="173"/>
      <c r="HG263" s="173"/>
      <c r="HH263" s="173"/>
      <c r="HI263" s="173"/>
      <c r="HJ263" s="173"/>
      <c r="HK263" s="173"/>
      <c r="HL263" s="173"/>
      <c r="HM263" s="173"/>
      <c r="HN263" s="173"/>
      <c r="HO263" s="173"/>
      <c r="HP263" s="173"/>
      <c r="HQ263" s="173"/>
      <c r="HR263" s="173"/>
      <c r="HS263" s="173"/>
      <c r="HT263" s="173">
        <f>GR263+HT262</f>
        <v>0</v>
      </c>
      <c r="HU263" s="173">
        <f t="shared" ref="HU263:HV263" si="839">HT263+HU262</f>
        <v>0</v>
      </c>
      <c r="HV263" s="173">
        <f t="shared" si="839"/>
        <v>0</v>
      </c>
      <c r="HW263" s="173"/>
      <c r="HX263" s="173"/>
      <c r="HY263" s="173"/>
      <c r="HZ263" s="173"/>
      <c r="IA263" s="173"/>
      <c r="IB263" s="173"/>
      <c r="IC263" s="173"/>
      <c r="ID263" s="173"/>
      <c r="IE263" s="173"/>
      <c r="IF263" s="173"/>
      <c r="IG263" s="173"/>
      <c r="IH263" s="173"/>
      <c r="II263" s="173"/>
      <c r="IJ263" s="173"/>
      <c r="IK263" s="173"/>
      <c r="IL263" s="173"/>
      <c r="IM263" s="173"/>
      <c r="IN263" s="173"/>
      <c r="IO263" s="173"/>
      <c r="IP263" s="173"/>
      <c r="IQ263" s="173"/>
      <c r="IR263" s="173"/>
      <c r="IS263" s="173"/>
      <c r="IT263" s="173"/>
      <c r="IU263" s="173"/>
      <c r="IV263" s="173"/>
      <c r="IW263" s="173"/>
      <c r="IX263" s="173">
        <f>HV263+IX262</f>
        <v>0</v>
      </c>
      <c r="IY263" s="173">
        <f t="shared" ref="IY263:IZ263" si="840">IX263+IY262</f>
        <v>0</v>
      </c>
      <c r="IZ263" s="173">
        <f t="shared" si="840"/>
        <v>0</v>
      </c>
      <c r="JA263" s="173"/>
      <c r="JB263" s="173"/>
      <c r="JC263" s="173"/>
      <c r="JD263" s="173"/>
      <c r="JE263" s="173"/>
      <c r="JF263" s="173"/>
      <c r="JG263" s="173"/>
      <c r="JH263" s="173"/>
      <c r="JI263" s="173"/>
      <c r="JJ263" s="173"/>
      <c r="JK263" s="173"/>
      <c r="JL263" s="173"/>
      <c r="JM263" s="173"/>
      <c r="JN263" s="173"/>
      <c r="JO263" s="173"/>
      <c r="JP263" s="173"/>
      <c r="JQ263" s="173"/>
      <c r="JR263" s="173"/>
      <c r="JS263" s="173"/>
      <c r="JT263" s="173"/>
      <c r="JU263" s="173"/>
      <c r="JV263" s="173"/>
      <c r="JW263" s="173"/>
      <c r="JX263" s="173"/>
      <c r="JY263" s="173"/>
      <c r="JZ263" s="173"/>
      <c r="KA263" s="173"/>
      <c r="KB263" s="173">
        <f>IZ263+KB262</f>
        <v>0</v>
      </c>
      <c r="KC263" s="173">
        <f t="shared" ref="KC263:KD263" si="841">KB263+KC262</f>
        <v>1.9866669999999999E-2</v>
      </c>
      <c r="KD263" s="173">
        <f t="shared" si="841"/>
        <v>3.9733339999999999E-2</v>
      </c>
      <c r="KE263" s="173">
        <f t="shared" ref="KE263:KG263" si="842">KD263+KE262</f>
        <v>5.9600009999999995E-2</v>
      </c>
      <c r="KF263" s="173">
        <f t="shared" si="842"/>
        <v>7.9613339999999991E-2</v>
      </c>
      <c r="KG263" s="173">
        <f t="shared" si="842"/>
        <v>9.9626669999999987E-2</v>
      </c>
      <c r="KH263" s="173">
        <f t="shared" ref="KH263:KJ263" si="843">KG263+KH262</f>
        <v>0.11963999999999998</v>
      </c>
      <c r="KI263" s="173">
        <f t="shared" si="843"/>
        <v>0.13942332999999998</v>
      </c>
      <c r="KJ263" s="173">
        <f t="shared" si="843"/>
        <v>0.15920665999999997</v>
      </c>
      <c r="KK263" s="173">
        <f t="shared" ref="KK263:KM263" si="844">KJ263+KK262</f>
        <v>0.17898998999999996</v>
      </c>
      <c r="KL263" s="173">
        <f t="shared" si="844"/>
        <v>0.19618665999999996</v>
      </c>
      <c r="KM263" s="173">
        <f t="shared" si="844"/>
        <v>0.21338332999999995</v>
      </c>
      <c r="KN263" s="173">
        <f t="shared" ref="KN263:KP263" si="845">KM263+KN262</f>
        <v>0.23057999999999995</v>
      </c>
      <c r="KO263" s="173">
        <f t="shared" si="845"/>
        <v>0.24807666999999994</v>
      </c>
      <c r="KP263" s="173">
        <f t="shared" si="845"/>
        <v>0.26557333999999994</v>
      </c>
      <c r="KQ263" s="173">
        <f t="shared" ref="KQ263:KS263" si="846">KP263+KQ262</f>
        <v>0.28307000999999993</v>
      </c>
      <c r="KR263" s="173">
        <f t="shared" si="846"/>
        <v>0.30040333999999991</v>
      </c>
      <c r="KS263" s="173">
        <f t="shared" si="846"/>
        <v>0.31773666999999989</v>
      </c>
      <c r="KT263" s="173">
        <f t="shared" ref="KT263:KV263" si="847">KS263+KT262</f>
        <v>0.33506999999999987</v>
      </c>
      <c r="KU263" s="173">
        <f t="shared" si="847"/>
        <v>0.35088666999999985</v>
      </c>
      <c r="KV263" s="173">
        <f t="shared" si="847"/>
        <v>0.36670333999999982</v>
      </c>
      <c r="KW263" s="173">
        <f t="shared" ref="KW263:KY263" si="848">KV263+KW262</f>
        <v>0.3825200099999998</v>
      </c>
      <c r="KX263" s="173">
        <f t="shared" si="848"/>
        <v>0.3985433399999998</v>
      </c>
      <c r="KY263" s="173">
        <f t="shared" si="848"/>
        <v>0.4145666699999998</v>
      </c>
      <c r="KZ263" s="173">
        <f t="shared" ref="KZ263:LB263" si="849">KY263+KZ262</f>
        <v>0.43058999999999981</v>
      </c>
      <c r="LA263" s="173">
        <f t="shared" si="849"/>
        <v>0.44669332999999978</v>
      </c>
      <c r="LB263" s="173">
        <f t="shared" si="849"/>
        <v>0.46279665999999975</v>
      </c>
      <c r="LC263" s="173">
        <f t="shared" ref="LC263:LE263" si="850">LB263+LC262</f>
        <v>0.47889998999999972</v>
      </c>
      <c r="LD263" s="173">
        <f t="shared" si="850"/>
        <v>0.4935566599999997</v>
      </c>
      <c r="LE263" s="173">
        <f t="shared" si="850"/>
        <v>0.50821332999999969</v>
      </c>
      <c r="LF263" s="173">
        <f t="shared" ref="LF263" si="851">LE263+LF262</f>
        <v>0.52286999999999972</v>
      </c>
      <c r="LG263" s="173">
        <f t="shared" ref="LG263" si="852">LF263+LG262</f>
        <v>0.53783666999999968</v>
      </c>
      <c r="LH263" s="173">
        <f t="shared" ref="LH263" si="853">LG263+LH262</f>
        <v>0.55280333999999964</v>
      </c>
      <c r="LI263" s="173">
        <f t="shared" ref="LI263" si="854">LH263+LI262</f>
        <v>0.5677700099999996</v>
      </c>
      <c r="LJ263" s="173">
        <f t="shared" ref="LJ263" si="855">LI263+LJ262</f>
        <v>0.58052667999999963</v>
      </c>
      <c r="LK263" s="173">
        <f t="shared" ref="LK263" si="856">LJ263+LK262</f>
        <v>0.59328334999999965</v>
      </c>
      <c r="LL263" s="173">
        <f t="shared" ref="LL263" si="857">LK263+LL262</f>
        <v>0.60604001999999968</v>
      </c>
      <c r="LM263" s="173">
        <f t="shared" ref="LM263" si="858">LL263+LM262</f>
        <v>0.6190833499999997</v>
      </c>
      <c r="LN263" s="173">
        <f t="shared" ref="LN263" si="859">LM263+LN262</f>
        <v>0.63212667999999972</v>
      </c>
      <c r="LO263" s="173">
        <f t="shared" ref="LO263" si="860">LN263+LO262</f>
        <v>0.64517000999999974</v>
      </c>
      <c r="LP263" s="173">
        <f t="shared" ref="LP263" si="861">LO263+LP262</f>
        <v>0.65796000999999971</v>
      </c>
      <c r="LQ263" s="173">
        <f t="shared" ref="LQ263" si="862">LP263+LQ262</f>
        <v>0.67075000999999967</v>
      </c>
      <c r="LR263" s="173">
        <f t="shared" ref="LR263" si="863">LQ263+LR262</f>
        <v>0.68354000999999964</v>
      </c>
      <c r="LS263" s="173">
        <f t="shared" ref="LS263" si="864">LR263+LS262</f>
        <v>0.69397667999999968</v>
      </c>
      <c r="LT263" s="173">
        <f t="shared" ref="LT263" si="865">LS263+LT262</f>
        <v>0.70441334999999972</v>
      </c>
      <c r="LU263" s="173">
        <f t="shared" ref="LU263" si="866">LT263+LU262</f>
        <v>0.71485001999999975</v>
      </c>
      <c r="LV263" s="173">
        <f t="shared" ref="LV263" si="867">LU263+LV262</f>
        <v>0.72512334999999972</v>
      </c>
      <c r="LW263" s="173">
        <f t="shared" ref="LW263" si="868">LV263+LW262</f>
        <v>0.73539667999999969</v>
      </c>
      <c r="LX263" s="173">
        <f t="shared" ref="LX263" si="869">LW263+LX262</f>
        <v>0.74567000999999966</v>
      </c>
      <c r="LY263" s="173">
        <f t="shared" ref="LY263" si="870">LX263+LY262</f>
        <v>0.75405000999999972</v>
      </c>
      <c r="LZ263" s="173">
        <f t="shared" ref="LZ263" si="871">LY263+LZ262</f>
        <v>0.76243000999999977</v>
      </c>
      <c r="MA263" s="173">
        <f t="shared" ref="MA263" si="872">LZ263+MA262</f>
        <v>0.77081000999999982</v>
      </c>
      <c r="MB263" s="173">
        <f t="shared" ref="MB263" si="873">MA263+MB262</f>
        <v>0.77973667999999985</v>
      </c>
      <c r="MC263" s="173">
        <f t="shared" ref="MC263" si="874">MB263+MC262</f>
        <v>0.78866334999999987</v>
      </c>
      <c r="MD263" s="173">
        <f t="shared" ref="MD263" si="875">MC263+MD262</f>
        <v>0.7975900199999999</v>
      </c>
      <c r="ME263" s="173">
        <f t="shared" ref="ME263" si="876">MD263+ME262</f>
        <v>0.8066900199999999</v>
      </c>
      <c r="MF263" s="173">
        <f t="shared" ref="MF263" si="877">ME263+MF262</f>
        <v>0.81579001999999989</v>
      </c>
      <c r="MG263" s="173">
        <f t="shared" ref="MG263" si="878">MF263+MG262</f>
        <v>0.82489001999999989</v>
      </c>
      <c r="MH263" s="173">
        <f t="shared" ref="MH263" si="879">MG263+MH262</f>
        <v>0.83138668999999987</v>
      </c>
      <c r="MI263" s="173">
        <f t="shared" ref="MI263" si="880">MH263+MI262</f>
        <v>0.83788335999999985</v>
      </c>
      <c r="MJ263" s="173">
        <f t="shared" ref="MJ263" si="881">MI263+MJ262</f>
        <v>0.84438002999999984</v>
      </c>
      <c r="MK263" s="173">
        <f t="shared" ref="MK263" si="882">MJ263+MK262</f>
        <v>0.84993002999999989</v>
      </c>
      <c r="ML263" s="173">
        <f t="shared" ref="ML263" si="883">MK263+ML262</f>
        <v>0.85548002999999995</v>
      </c>
      <c r="MM263" s="173">
        <f t="shared" ref="MM263" si="884">ML263+MM262</f>
        <v>0.86103003</v>
      </c>
      <c r="MN263" s="173">
        <f t="shared" ref="MN263" si="885">MM263+MN262</f>
        <v>0.86798335999999998</v>
      </c>
      <c r="MO263" s="173">
        <f t="shared" ref="MO263" si="886">MN263+MO262</f>
        <v>0.87493668999999996</v>
      </c>
      <c r="MP263" s="173">
        <f t="shared" ref="MP263" si="887">MO263+MP262</f>
        <v>0.88189001999999994</v>
      </c>
      <c r="MQ263" s="173">
        <f t="shared" ref="MQ263" si="888">MP263+MQ262</f>
        <v>0.88738001999999994</v>
      </c>
      <c r="MR263" s="173">
        <f t="shared" ref="MR263" si="889">MQ263+MR262</f>
        <v>0.89287001999999993</v>
      </c>
      <c r="MS263" s="173">
        <f t="shared" ref="MS263" si="890">MR263+MS262</f>
        <v>0.89836001999999993</v>
      </c>
      <c r="MT263" s="173">
        <f t="shared" ref="MT263" si="891">MS263+MT262</f>
        <v>0.90470001999999994</v>
      </c>
      <c r="MU263" s="173">
        <f t="shared" ref="MU263" si="892">MT263+MU262</f>
        <v>0.91104001999999995</v>
      </c>
      <c r="MV263" s="173">
        <f t="shared" ref="MV263" si="893">MU263+MV262</f>
        <v>0.91738001999999996</v>
      </c>
      <c r="MW263" s="173">
        <f t="shared" ref="MW263" si="894">MV263+MW262</f>
        <v>0.92206668999999997</v>
      </c>
      <c r="MX263" s="173">
        <f t="shared" ref="MX263" si="895">MW263+MX262</f>
        <v>0.92675335999999997</v>
      </c>
      <c r="MY263" s="173">
        <f t="shared" ref="MY263" si="896">MX263+MY262</f>
        <v>0.93144002999999997</v>
      </c>
      <c r="MZ263" s="173">
        <f t="shared" ref="MZ263" si="897">MY263+MZ262</f>
        <v>0.93229335999999996</v>
      </c>
      <c r="NA263" s="173">
        <f t="shared" ref="NA263" si="898">MZ263+NA262</f>
        <v>0.93314668999999995</v>
      </c>
      <c r="NB263" s="173">
        <f t="shared" ref="NB263" si="899">NA263+NB262</f>
        <v>0.93400001999999993</v>
      </c>
      <c r="NC263" s="173">
        <f t="shared" ref="NC263" si="900">NB263+NC262</f>
        <v>0.9350033499999999</v>
      </c>
      <c r="ND263" s="173">
        <f t="shared" ref="ND263" si="901">NC263+ND262</f>
        <v>0.93600667999999987</v>
      </c>
      <c r="NE263" s="173">
        <f t="shared" ref="NE263" si="902">ND263+NE262</f>
        <v>0.93701000999999984</v>
      </c>
      <c r="NG263" s="1"/>
      <c r="NH263" s="1"/>
      <c r="NI263" s="1"/>
      <c r="NJ263" s="1"/>
      <c r="NK263" s="1"/>
      <c r="NL263" s="7"/>
      <c r="NM263" s="7"/>
    </row>
    <row r="264" spans="7:377" s="6" customFormat="1" ht="13.5">
      <c r="G264" s="26"/>
      <c r="H264" s="26"/>
      <c r="M264" s="133">
        <f>M263/M262</f>
        <v>0.33124338401939374</v>
      </c>
      <c r="N264" s="17"/>
      <c r="O264" s="35"/>
      <c r="P264" s="35"/>
      <c r="Q264" s="35"/>
      <c r="R264" s="35"/>
      <c r="S264" s="171">
        <f>SUM(S26:S255)</f>
        <v>1.0103719294844412E-4</v>
      </c>
      <c r="T264" s="171">
        <f t="shared" ref="T264:AV264" si="903">SUM(T26:T255)</f>
        <v>1.0103719294844412E-4</v>
      </c>
      <c r="U264" s="171">
        <f t="shared" si="903"/>
        <v>1.0103719294844412E-4</v>
      </c>
      <c r="V264" s="171">
        <f t="shared" si="903"/>
        <v>1.0103719294844412E-4</v>
      </c>
      <c r="W264" s="171">
        <f t="shared" si="903"/>
        <v>1.0103719294844412E-4</v>
      </c>
      <c r="X264" s="171">
        <f t="shared" si="903"/>
        <v>1.0103719294844412E-4</v>
      </c>
      <c r="Y264" s="171">
        <f t="shared" si="903"/>
        <v>1.0103719294844412E-4</v>
      </c>
      <c r="Z264" s="171">
        <f t="shared" si="903"/>
        <v>1.0103719294844412E-4</v>
      </c>
      <c r="AA264" s="171">
        <f t="shared" si="903"/>
        <v>1.0103719294844412E-4</v>
      </c>
      <c r="AB264" s="171">
        <f t="shared" si="903"/>
        <v>1.0103719294844412E-4</v>
      </c>
      <c r="AC264" s="171">
        <f t="shared" si="903"/>
        <v>1.0103719294844412E-4</v>
      </c>
      <c r="AD264" s="171">
        <f t="shared" si="903"/>
        <v>1.0103719294844412E-4</v>
      </c>
      <c r="AE264" s="171">
        <f t="shared" si="903"/>
        <v>1.0103719294844412E-4</v>
      </c>
      <c r="AF264" s="171">
        <f t="shared" si="903"/>
        <v>1.0103719294844412E-4</v>
      </c>
      <c r="AG264" s="171">
        <f t="shared" si="903"/>
        <v>1.0103719294844412E-4</v>
      </c>
      <c r="AH264" s="171">
        <f t="shared" si="903"/>
        <v>1.0103719294844412E-4</v>
      </c>
      <c r="AI264" s="171">
        <f t="shared" si="903"/>
        <v>1.0103719294844412E-4</v>
      </c>
      <c r="AJ264" s="171">
        <f t="shared" si="903"/>
        <v>1.0103719294844412E-4</v>
      </c>
      <c r="AK264" s="171">
        <f t="shared" si="903"/>
        <v>1.0103719294844412E-4</v>
      </c>
      <c r="AL264" s="171">
        <f t="shared" si="903"/>
        <v>1.0103719294844412E-4</v>
      </c>
      <c r="AM264" s="171">
        <f t="shared" si="903"/>
        <v>1.0103719294844412E-4</v>
      </c>
      <c r="AN264" s="171">
        <f t="shared" si="903"/>
        <v>1.0103719294844412E-4</v>
      </c>
      <c r="AO264" s="171">
        <f t="shared" si="903"/>
        <v>1.0103719294844412E-4</v>
      </c>
      <c r="AP264" s="171">
        <f t="shared" si="903"/>
        <v>1.0103719294844412E-4</v>
      </c>
      <c r="AQ264" s="171">
        <f t="shared" si="903"/>
        <v>1.0103719294844412E-4</v>
      </c>
      <c r="AR264" s="171">
        <f t="shared" si="903"/>
        <v>1.0103719294844412E-4</v>
      </c>
      <c r="AS264" s="171">
        <f t="shared" si="903"/>
        <v>1.0103719294844412E-4</v>
      </c>
      <c r="AT264" s="171">
        <f t="shared" si="903"/>
        <v>1.0103719294844412E-4</v>
      </c>
      <c r="AU264" s="171">
        <f t="shared" si="903"/>
        <v>1.0103719294844412E-4</v>
      </c>
      <c r="AV264" s="171">
        <f t="shared" si="903"/>
        <v>1.0103719294844412E-4</v>
      </c>
      <c r="AW264" s="171">
        <f t="shared" ref="AW264:BZ264" si="904">SUM(AW26:AW255)</f>
        <v>9.3670979556870096E-5</v>
      </c>
      <c r="AX264" s="171">
        <f t="shared" si="904"/>
        <v>9.3670979556870096E-5</v>
      </c>
      <c r="AY264" s="171">
        <f t="shared" si="904"/>
        <v>9.3670979556870096E-5</v>
      </c>
      <c r="AZ264" s="171">
        <f t="shared" si="904"/>
        <v>9.3670979556870096E-5</v>
      </c>
      <c r="BA264" s="171">
        <f t="shared" si="904"/>
        <v>9.3670979556870096E-5</v>
      </c>
      <c r="BB264" s="171">
        <f t="shared" si="904"/>
        <v>9.3670979556870096E-5</v>
      </c>
      <c r="BC264" s="171">
        <f t="shared" si="904"/>
        <v>9.3670979556870096E-5</v>
      </c>
      <c r="BD264" s="171">
        <f t="shared" si="904"/>
        <v>9.3670979556870096E-5</v>
      </c>
      <c r="BE264" s="171">
        <f t="shared" si="904"/>
        <v>9.3670979556870096E-5</v>
      </c>
      <c r="BF264" s="171">
        <f t="shared" si="904"/>
        <v>9.3670979556870096E-5</v>
      </c>
      <c r="BG264" s="171">
        <f t="shared" si="904"/>
        <v>9.3670979556870096E-5</v>
      </c>
      <c r="BH264" s="171">
        <f t="shared" si="904"/>
        <v>9.3670979556870096E-5</v>
      </c>
      <c r="BI264" s="171">
        <f t="shared" si="904"/>
        <v>9.3670979556870096E-5</v>
      </c>
      <c r="BJ264" s="171">
        <f t="shared" si="904"/>
        <v>9.3670979556870096E-5</v>
      </c>
      <c r="BK264" s="171">
        <f t="shared" si="904"/>
        <v>9.3670979556870096E-5</v>
      </c>
      <c r="BL264" s="171">
        <f t="shared" si="904"/>
        <v>9.3670979556870096E-5</v>
      </c>
      <c r="BM264" s="171">
        <f t="shared" si="904"/>
        <v>9.3670979556870096E-5</v>
      </c>
      <c r="BN264" s="171">
        <f t="shared" si="904"/>
        <v>9.3670979556870096E-5</v>
      </c>
      <c r="BO264" s="171">
        <f t="shared" si="904"/>
        <v>9.3670979556870096E-5</v>
      </c>
      <c r="BP264" s="171">
        <f t="shared" si="904"/>
        <v>9.3670979556870096E-5</v>
      </c>
      <c r="BQ264" s="171">
        <f t="shared" si="904"/>
        <v>9.3670979556870096E-5</v>
      </c>
      <c r="BR264" s="171">
        <f t="shared" si="904"/>
        <v>9.3670979556870096E-5</v>
      </c>
      <c r="BS264" s="171">
        <f t="shared" si="904"/>
        <v>9.3670979556870096E-5</v>
      </c>
      <c r="BT264" s="171">
        <f t="shared" si="904"/>
        <v>9.3670979556870096E-5</v>
      </c>
      <c r="BU264" s="171">
        <f t="shared" si="904"/>
        <v>9.3670979556870096E-5</v>
      </c>
      <c r="BV264" s="171">
        <f t="shared" si="904"/>
        <v>9.3670979556870096E-5</v>
      </c>
      <c r="BW264" s="171">
        <f t="shared" si="904"/>
        <v>9.3670979556870096E-5</v>
      </c>
      <c r="BX264" s="171">
        <f t="shared" si="904"/>
        <v>9.3670979556870096E-5</v>
      </c>
      <c r="BY264" s="171">
        <f t="shared" si="904"/>
        <v>9.3670979556870096E-5</v>
      </c>
      <c r="BZ264" s="171">
        <f t="shared" si="904"/>
        <v>9.3670979556870096E-5</v>
      </c>
      <c r="CA264" s="171">
        <f t="shared" ref="CA264:DD264" si="905">SUM(CA26:CA255)</f>
        <v>1.4097449446902593E-4</v>
      </c>
      <c r="CB264" s="171">
        <f t="shared" si="905"/>
        <v>1.4097449446902593E-4</v>
      </c>
      <c r="CC264" s="171">
        <f t="shared" si="905"/>
        <v>1.4097449446902593E-4</v>
      </c>
      <c r="CD264" s="171">
        <f t="shared" si="905"/>
        <v>1.4097449446902593E-4</v>
      </c>
      <c r="CE264" s="171">
        <f t="shared" si="905"/>
        <v>1.4097449446902593E-4</v>
      </c>
      <c r="CF264" s="171">
        <f t="shared" si="905"/>
        <v>1.4097449446902593E-4</v>
      </c>
      <c r="CG264" s="171">
        <f t="shared" si="905"/>
        <v>1.4097449446902593E-4</v>
      </c>
      <c r="CH264" s="171">
        <f t="shared" si="905"/>
        <v>1.4097449446902593E-4</v>
      </c>
      <c r="CI264" s="171">
        <f t="shared" si="905"/>
        <v>1.4097449446902593E-4</v>
      </c>
      <c r="CJ264" s="171">
        <f t="shared" si="905"/>
        <v>1.4097449446902593E-4</v>
      </c>
      <c r="CK264" s="171">
        <f t="shared" si="905"/>
        <v>1.4097449446902593E-4</v>
      </c>
      <c r="CL264" s="171">
        <f t="shared" si="905"/>
        <v>1.4097449446902593E-4</v>
      </c>
      <c r="CM264" s="171">
        <f t="shared" si="905"/>
        <v>1.4097449446902593E-4</v>
      </c>
      <c r="CN264" s="171">
        <f t="shared" si="905"/>
        <v>1.4097449446902593E-4</v>
      </c>
      <c r="CO264" s="171">
        <f t="shared" si="905"/>
        <v>1.4097449446902593E-4</v>
      </c>
      <c r="CP264" s="171">
        <f t="shared" si="905"/>
        <v>1.4097449446902593E-4</v>
      </c>
      <c r="CQ264" s="171">
        <f t="shared" si="905"/>
        <v>1.4097449446902593E-4</v>
      </c>
      <c r="CR264" s="171">
        <f t="shared" si="905"/>
        <v>1.4097449446902593E-4</v>
      </c>
      <c r="CS264" s="171">
        <f t="shared" si="905"/>
        <v>1.4097449446902593E-4</v>
      </c>
      <c r="CT264" s="171">
        <f t="shared" si="905"/>
        <v>1.4097449446902593E-4</v>
      </c>
      <c r="CU264" s="171">
        <f t="shared" si="905"/>
        <v>1.4097449446902593E-4</v>
      </c>
      <c r="CV264" s="171">
        <f t="shared" si="905"/>
        <v>1.4097449446902593E-4</v>
      </c>
      <c r="CW264" s="171">
        <f t="shared" si="905"/>
        <v>1.4097449446902593E-4</v>
      </c>
      <c r="CX264" s="171">
        <f t="shared" si="905"/>
        <v>1.4097449446902593E-4</v>
      </c>
      <c r="CY264" s="171">
        <f t="shared" si="905"/>
        <v>1.4097449446902593E-4</v>
      </c>
      <c r="CZ264" s="171">
        <f t="shared" si="905"/>
        <v>1.4097449446902593E-4</v>
      </c>
      <c r="DA264" s="171">
        <f t="shared" si="905"/>
        <v>1.4097449446902593E-4</v>
      </c>
      <c r="DB264" s="171">
        <f t="shared" si="905"/>
        <v>1.4097449446902593E-4</v>
      </c>
      <c r="DC264" s="171">
        <f t="shared" si="905"/>
        <v>1.4097449446902593E-4</v>
      </c>
      <c r="DD264" s="171">
        <f t="shared" si="905"/>
        <v>1.4097449446902593E-4</v>
      </c>
      <c r="DE264" s="171">
        <f t="shared" ref="DE264:EH264" si="906">SUM(DE26:DE255)</f>
        <v>1.5504129956016416E-4</v>
      </c>
      <c r="DF264" s="171">
        <f t="shared" si="906"/>
        <v>1.5504129956016416E-4</v>
      </c>
      <c r="DG264" s="171">
        <f t="shared" si="906"/>
        <v>1.5504129956016416E-4</v>
      </c>
      <c r="DH264" s="171">
        <f t="shared" si="906"/>
        <v>1.5504129956016416E-4</v>
      </c>
      <c r="DI264" s="171">
        <f t="shared" si="906"/>
        <v>1.5504129956016416E-4</v>
      </c>
      <c r="DJ264" s="171">
        <f t="shared" si="906"/>
        <v>1.5504129956016416E-4</v>
      </c>
      <c r="DK264" s="171">
        <f t="shared" si="906"/>
        <v>1.5504129956016416E-4</v>
      </c>
      <c r="DL264" s="171">
        <f t="shared" si="906"/>
        <v>1.5504129956016416E-4</v>
      </c>
      <c r="DM264" s="171">
        <f t="shared" si="906"/>
        <v>1.5504129956016416E-4</v>
      </c>
      <c r="DN264" s="171">
        <f t="shared" si="906"/>
        <v>1.5504129956016416E-4</v>
      </c>
      <c r="DO264" s="171">
        <f t="shared" si="906"/>
        <v>1.5504129956016416E-4</v>
      </c>
      <c r="DP264" s="171">
        <f t="shared" si="906"/>
        <v>1.5504129956016416E-4</v>
      </c>
      <c r="DQ264" s="171">
        <f t="shared" si="906"/>
        <v>1.5504129956016416E-4</v>
      </c>
      <c r="DR264" s="171">
        <f t="shared" si="906"/>
        <v>1.5504129956016416E-4</v>
      </c>
      <c r="DS264" s="171">
        <f t="shared" si="906"/>
        <v>1.5504129956016416E-4</v>
      </c>
      <c r="DT264" s="171">
        <f t="shared" si="906"/>
        <v>1.5504129956016416E-4</v>
      </c>
      <c r="DU264" s="171">
        <f t="shared" si="906"/>
        <v>1.5504129956016416E-4</v>
      </c>
      <c r="DV264" s="171">
        <f t="shared" si="906"/>
        <v>1.5504129956016416E-4</v>
      </c>
      <c r="DW264" s="171">
        <f t="shared" si="906"/>
        <v>1.5504129956016416E-4</v>
      </c>
      <c r="DX264" s="171">
        <f t="shared" si="906"/>
        <v>1.5504129956016416E-4</v>
      </c>
      <c r="DY264" s="171">
        <f t="shared" si="906"/>
        <v>1.5504129956016416E-4</v>
      </c>
      <c r="DZ264" s="171">
        <f t="shared" si="906"/>
        <v>1.5504129956016416E-4</v>
      </c>
      <c r="EA264" s="171">
        <f t="shared" si="906"/>
        <v>1.5504129956016416E-4</v>
      </c>
      <c r="EB264" s="171">
        <f t="shared" si="906"/>
        <v>1.5504129956016416E-4</v>
      </c>
      <c r="EC264" s="171">
        <f t="shared" si="906"/>
        <v>1.5504129956016416E-4</v>
      </c>
      <c r="ED264" s="171">
        <f t="shared" si="906"/>
        <v>1.5504129956016416E-4</v>
      </c>
      <c r="EE264" s="171">
        <f t="shared" si="906"/>
        <v>1.5504129956016416E-4</v>
      </c>
      <c r="EF264" s="171">
        <f t="shared" si="906"/>
        <v>1.5504129956016416E-4</v>
      </c>
      <c r="EG264" s="171">
        <f t="shared" si="906"/>
        <v>1.5504129956016416E-4</v>
      </c>
      <c r="EH264" s="171">
        <f t="shared" si="906"/>
        <v>1.5504129956016416E-4</v>
      </c>
      <c r="EI264" s="171">
        <f t="shared" ref="EI264:FL264" si="907">SUM(EI26:EI255)</f>
        <v>2.0948915396655737E-4</v>
      </c>
      <c r="EJ264" s="171">
        <f t="shared" si="907"/>
        <v>2.0948915396655737E-4</v>
      </c>
      <c r="EK264" s="171">
        <f t="shared" si="907"/>
        <v>2.0948915396655737E-4</v>
      </c>
      <c r="EL264" s="171">
        <f t="shared" si="907"/>
        <v>2.0948915396655737E-4</v>
      </c>
      <c r="EM264" s="171">
        <f t="shared" si="907"/>
        <v>2.0948915396655737E-4</v>
      </c>
      <c r="EN264" s="171">
        <f t="shared" si="907"/>
        <v>2.0948915396655737E-4</v>
      </c>
      <c r="EO264" s="171">
        <f t="shared" si="907"/>
        <v>2.0948915396655737E-4</v>
      </c>
      <c r="EP264" s="171">
        <f t="shared" si="907"/>
        <v>2.0948915396655737E-4</v>
      </c>
      <c r="EQ264" s="171">
        <f t="shared" si="907"/>
        <v>2.0948915396655737E-4</v>
      </c>
      <c r="ER264" s="171">
        <f t="shared" si="907"/>
        <v>2.0948915396655737E-4</v>
      </c>
      <c r="ES264" s="171">
        <f t="shared" si="907"/>
        <v>2.0948915396655737E-4</v>
      </c>
      <c r="ET264" s="171">
        <f t="shared" si="907"/>
        <v>2.0948915396655737E-4</v>
      </c>
      <c r="EU264" s="171">
        <f t="shared" si="907"/>
        <v>2.0948915396655737E-4</v>
      </c>
      <c r="EV264" s="171">
        <f t="shared" si="907"/>
        <v>2.0948915396655737E-4</v>
      </c>
      <c r="EW264" s="171">
        <f t="shared" si="907"/>
        <v>2.0948915396655737E-4</v>
      </c>
      <c r="EX264" s="171">
        <f t="shared" si="907"/>
        <v>2.0948915396655737E-4</v>
      </c>
      <c r="EY264" s="171">
        <f t="shared" si="907"/>
        <v>2.0948915396655737E-4</v>
      </c>
      <c r="EZ264" s="171">
        <f t="shared" si="907"/>
        <v>2.0948915396655737E-4</v>
      </c>
      <c r="FA264" s="171">
        <f t="shared" si="907"/>
        <v>2.0948915396655737E-4</v>
      </c>
      <c r="FB264" s="171">
        <f t="shared" si="907"/>
        <v>2.0948915396655737E-4</v>
      </c>
      <c r="FC264" s="171">
        <f t="shared" si="907"/>
        <v>2.0948915396655737E-4</v>
      </c>
      <c r="FD264" s="171">
        <f t="shared" si="907"/>
        <v>2.0948915396655737E-4</v>
      </c>
      <c r="FE264" s="171">
        <f t="shared" si="907"/>
        <v>2.0948915396655737E-4</v>
      </c>
      <c r="FF264" s="171">
        <f t="shared" si="907"/>
        <v>2.0948915396655737E-4</v>
      </c>
      <c r="FG264" s="171">
        <f t="shared" si="907"/>
        <v>2.0948915396655737E-4</v>
      </c>
      <c r="FH264" s="171">
        <f t="shared" si="907"/>
        <v>2.0948915396655737E-4</v>
      </c>
      <c r="FI264" s="171">
        <f t="shared" si="907"/>
        <v>2.0948915396655737E-4</v>
      </c>
      <c r="FJ264" s="171">
        <f t="shared" si="907"/>
        <v>2.0948915396655737E-4</v>
      </c>
      <c r="FK264" s="171">
        <f t="shared" si="907"/>
        <v>2.0948915396655737E-4</v>
      </c>
      <c r="FL264" s="171">
        <f t="shared" si="907"/>
        <v>2.0948915396655737E-4</v>
      </c>
      <c r="FM264" s="171">
        <f t="shared" ref="FM264:GP264" si="908">SUM(FM26:FM255)</f>
        <v>3.4461035744452582E-4</v>
      </c>
      <c r="FN264" s="171">
        <f t="shared" si="908"/>
        <v>3.4461035744452582E-4</v>
      </c>
      <c r="FO264" s="171">
        <f t="shared" si="908"/>
        <v>3.4461035744452582E-4</v>
      </c>
      <c r="FP264" s="171">
        <f t="shared" si="908"/>
        <v>3.4461035744452582E-4</v>
      </c>
      <c r="FQ264" s="171">
        <f t="shared" si="908"/>
        <v>3.4461035744452582E-4</v>
      </c>
      <c r="FR264" s="171">
        <f t="shared" si="908"/>
        <v>3.4461035744452582E-4</v>
      </c>
      <c r="FS264" s="171">
        <f t="shared" si="908"/>
        <v>3.4461035744452582E-4</v>
      </c>
      <c r="FT264" s="171">
        <f t="shared" si="908"/>
        <v>3.4461035744452582E-4</v>
      </c>
      <c r="FU264" s="171">
        <f t="shared" si="908"/>
        <v>3.4461035744452582E-4</v>
      </c>
      <c r="FV264" s="171">
        <f t="shared" si="908"/>
        <v>3.4461035744452582E-4</v>
      </c>
      <c r="FW264" s="171">
        <f t="shared" si="908"/>
        <v>3.4461035744452582E-4</v>
      </c>
      <c r="FX264" s="171">
        <f t="shared" si="908"/>
        <v>3.4461035744452582E-4</v>
      </c>
      <c r="FY264" s="171">
        <f t="shared" si="908"/>
        <v>3.4461035744452582E-4</v>
      </c>
      <c r="FZ264" s="171">
        <f t="shared" si="908"/>
        <v>3.4461035744452582E-4</v>
      </c>
      <c r="GA264" s="171">
        <f t="shared" si="908"/>
        <v>3.4461035744452582E-4</v>
      </c>
      <c r="GB264" s="171">
        <f t="shared" si="908"/>
        <v>3.4461035744452582E-4</v>
      </c>
      <c r="GC264" s="171">
        <f t="shared" si="908"/>
        <v>3.4461035744452582E-4</v>
      </c>
      <c r="GD264" s="171">
        <f t="shared" si="908"/>
        <v>3.4461035744452582E-4</v>
      </c>
      <c r="GE264" s="171">
        <f t="shared" si="908"/>
        <v>3.4461035744452582E-4</v>
      </c>
      <c r="GF264" s="171">
        <f t="shared" si="908"/>
        <v>3.4461035744452582E-4</v>
      </c>
      <c r="GG264" s="171">
        <f t="shared" si="908"/>
        <v>3.4461035744452582E-4</v>
      </c>
      <c r="GH264" s="171">
        <f t="shared" si="908"/>
        <v>3.4461035744452582E-4</v>
      </c>
      <c r="GI264" s="171">
        <f t="shared" si="908"/>
        <v>3.4461035744452582E-4</v>
      </c>
      <c r="GJ264" s="171">
        <f t="shared" si="908"/>
        <v>3.4461035744452582E-4</v>
      </c>
      <c r="GK264" s="171">
        <f t="shared" si="908"/>
        <v>3.4461035744452582E-4</v>
      </c>
      <c r="GL264" s="171">
        <f t="shared" si="908"/>
        <v>3.4461035744452582E-4</v>
      </c>
      <c r="GM264" s="171">
        <f t="shared" si="908"/>
        <v>3.4461035744452582E-4</v>
      </c>
      <c r="GN264" s="171">
        <f t="shared" si="908"/>
        <v>3.4461035744452582E-4</v>
      </c>
      <c r="GO264" s="171">
        <f t="shared" si="908"/>
        <v>3.4461035744452582E-4</v>
      </c>
      <c r="GP264" s="171">
        <f t="shared" si="908"/>
        <v>3.4461035744452582E-4</v>
      </c>
      <c r="GQ264" s="171">
        <f t="shared" ref="GQ264:HT264" si="909">SUM(GQ26:GQ255)</f>
        <v>2.5768016446805944E-4</v>
      </c>
      <c r="GR264" s="171">
        <f t="shared" si="909"/>
        <v>2.5768016446805944E-4</v>
      </c>
      <c r="GS264" s="171">
        <f t="shared" si="909"/>
        <v>2.5768016446805944E-4</v>
      </c>
      <c r="GT264" s="171">
        <f t="shared" si="909"/>
        <v>2.5768016446805944E-4</v>
      </c>
      <c r="GU264" s="171">
        <f t="shared" si="909"/>
        <v>2.5768016446805944E-4</v>
      </c>
      <c r="GV264" s="171">
        <f t="shared" si="909"/>
        <v>2.5768016446805944E-4</v>
      </c>
      <c r="GW264" s="171">
        <f t="shared" si="909"/>
        <v>2.5768016446805944E-4</v>
      </c>
      <c r="GX264" s="171">
        <f t="shared" si="909"/>
        <v>2.5768016446805944E-4</v>
      </c>
      <c r="GY264" s="171">
        <f t="shared" si="909"/>
        <v>2.5768016446805944E-4</v>
      </c>
      <c r="GZ264" s="171">
        <f t="shared" si="909"/>
        <v>2.5768016446805944E-4</v>
      </c>
      <c r="HA264" s="171">
        <f t="shared" si="909"/>
        <v>2.5768016446805944E-4</v>
      </c>
      <c r="HB264" s="171">
        <f t="shared" si="909"/>
        <v>2.5768016446805944E-4</v>
      </c>
      <c r="HC264" s="171">
        <f t="shared" si="909"/>
        <v>2.5768016446805944E-4</v>
      </c>
      <c r="HD264" s="171">
        <f t="shared" si="909"/>
        <v>2.5768016446805944E-4</v>
      </c>
      <c r="HE264" s="171">
        <f t="shared" si="909"/>
        <v>2.5768016446805944E-4</v>
      </c>
      <c r="HF264" s="171">
        <f t="shared" si="909"/>
        <v>2.5768016446805944E-4</v>
      </c>
      <c r="HG264" s="171">
        <f t="shared" si="909"/>
        <v>2.5768016446805944E-4</v>
      </c>
      <c r="HH264" s="171">
        <f t="shared" si="909"/>
        <v>2.5768016446805944E-4</v>
      </c>
      <c r="HI264" s="171">
        <f t="shared" si="909"/>
        <v>2.5768016446805944E-4</v>
      </c>
      <c r="HJ264" s="171">
        <f t="shared" si="909"/>
        <v>2.5768016446805944E-4</v>
      </c>
      <c r="HK264" s="171">
        <f t="shared" si="909"/>
        <v>2.5768016446805944E-4</v>
      </c>
      <c r="HL264" s="171">
        <f t="shared" si="909"/>
        <v>2.5768016446805944E-4</v>
      </c>
      <c r="HM264" s="171">
        <f t="shared" si="909"/>
        <v>2.5768016446805944E-4</v>
      </c>
      <c r="HN264" s="171">
        <f t="shared" si="909"/>
        <v>2.5768016446805944E-4</v>
      </c>
      <c r="HO264" s="171">
        <f t="shared" si="909"/>
        <v>2.5768016446805944E-4</v>
      </c>
      <c r="HP264" s="171">
        <f t="shared" si="909"/>
        <v>2.5768016446805944E-4</v>
      </c>
      <c r="HQ264" s="171">
        <f t="shared" si="909"/>
        <v>2.5768016446805944E-4</v>
      </c>
      <c r="HR264" s="171">
        <f t="shared" si="909"/>
        <v>2.5768016446805944E-4</v>
      </c>
      <c r="HS264" s="171">
        <f t="shared" si="909"/>
        <v>2.5768016446805944E-4</v>
      </c>
      <c r="HT264" s="171">
        <f t="shared" si="909"/>
        <v>2.5768016446805944E-4</v>
      </c>
      <c r="HU264" s="171">
        <f t="shared" ref="HU264:IX264" si="910">SUM(HU26:HU255)</f>
        <v>3.5690217135697167E-4</v>
      </c>
      <c r="HV264" s="171">
        <f t="shared" si="910"/>
        <v>3.5690217135697167E-4</v>
      </c>
      <c r="HW264" s="171">
        <f t="shared" si="910"/>
        <v>3.5690217135697167E-4</v>
      </c>
      <c r="HX264" s="171">
        <f t="shared" si="910"/>
        <v>3.5690217135697167E-4</v>
      </c>
      <c r="HY264" s="171">
        <f t="shared" si="910"/>
        <v>3.5690217135697167E-4</v>
      </c>
      <c r="HZ264" s="171">
        <f t="shared" si="910"/>
        <v>3.5690217135697167E-4</v>
      </c>
      <c r="IA264" s="171">
        <f t="shared" si="910"/>
        <v>3.5690217135697167E-4</v>
      </c>
      <c r="IB264" s="171">
        <f t="shared" si="910"/>
        <v>3.5690217135697167E-4</v>
      </c>
      <c r="IC264" s="171">
        <f t="shared" si="910"/>
        <v>3.5690217135697167E-4</v>
      </c>
      <c r="ID264" s="171">
        <f t="shared" si="910"/>
        <v>3.5690217135697167E-4</v>
      </c>
      <c r="IE264" s="171">
        <f t="shared" si="910"/>
        <v>3.5690217135697167E-4</v>
      </c>
      <c r="IF264" s="171">
        <f t="shared" si="910"/>
        <v>3.5690217135697167E-4</v>
      </c>
      <c r="IG264" s="171">
        <f t="shared" si="910"/>
        <v>3.5690217135697167E-4</v>
      </c>
      <c r="IH264" s="171">
        <f t="shared" si="910"/>
        <v>3.5690217135697167E-4</v>
      </c>
      <c r="II264" s="171">
        <f t="shared" si="910"/>
        <v>3.5690217135697167E-4</v>
      </c>
      <c r="IJ264" s="171">
        <f t="shared" si="910"/>
        <v>3.5690217135697167E-4</v>
      </c>
      <c r="IK264" s="171">
        <f t="shared" si="910"/>
        <v>3.5690217135697167E-4</v>
      </c>
      <c r="IL264" s="171">
        <f t="shared" si="910"/>
        <v>3.5690217135697167E-4</v>
      </c>
      <c r="IM264" s="171">
        <f t="shared" si="910"/>
        <v>3.5690217135697167E-4</v>
      </c>
      <c r="IN264" s="171">
        <f t="shared" si="910"/>
        <v>3.5690217135697167E-4</v>
      </c>
      <c r="IO264" s="171">
        <f t="shared" si="910"/>
        <v>3.5690217135697167E-4</v>
      </c>
      <c r="IP264" s="171">
        <f t="shared" si="910"/>
        <v>3.5690217135697167E-4</v>
      </c>
      <c r="IQ264" s="171">
        <f t="shared" si="910"/>
        <v>3.5690217135697167E-4</v>
      </c>
      <c r="IR264" s="171">
        <f t="shared" si="910"/>
        <v>3.5690217135697167E-4</v>
      </c>
      <c r="IS264" s="171">
        <f t="shared" si="910"/>
        <v>3.5690217135697167E-4</v>
      </c>
      <c r="IT264" s="171">
        <f t="shared" si="910"/>
        <v>3.5690217135697167E-4</v>
      </c>
      <c r="IU264" s="171">
        <f t="shared" si="910"/>
        <v>3.5690217135697167E-4</v>
      </c>
      <c r="IV264" s="171">
        <f t="shared" si="910"/>
        <v>3.5690217135697167E-4</v>
      </c>
      <c r="IW264" s="171">
        <f t="shared" si="910"/>
        <v>3.5690217135697167E-4</v>
      </c>
      <c r="IX264" s="171">
        <f t="shared" si="910"/>
        <v>3.5690217135697167E-4</v>
      </c>
      <c r="IY264" s="171">
        <f t="shared" ref="IY264:KB264" si="911">SUM(IY26:IY255)</f>
        <v>4.403711315349876E-4</v>
      </c>
      <c r="IZ264" s="171">
        <f t="shared" si="911"/>
        <v>4.403711315349876E-4</v>
      </c>
      <c r="JA264" s="171">
        <f t="shared" si="911"/>
        <v>4.403711315349876E-4</v>
      </c>
      <c r="JB264" s="171">
        <f t="shared" si="911"/>
        <v>4.403711315349876E-4</v>
      </c>
      <c r="JC264" s="171">
        <f t="shared" si="911"/>
        <v>4.403711315349876E-4</v>
      </c>
      <c r="JD264" s="171">
        <f t="shared" si="911"/>
        <v>4.403711315349876E-4</v>
      </c>
      <c r="JE264" s="171">
        <f t="shared" si="911"/>
        <v>4.403711315349876E-4</v>
      </c>
      <c r="JF264" s="171">
        <f t="shared" si="911"/>
        <v>4.403711315349876E-4</v>
      </c>
      <c r="JG264" s="171">
        <f t="shared" si="911"/>
        <v>4.403711315349876E-4</v>
      </c>
      <c r="JH264" s="171">
        <f t="shared" si="911"/>
        <v>4.403711315349876E-4</v>
      </c>
      <c r="JI264" s="171">
        <f t="shared" si="911"/>
        <v>4.403711315349876E-4</v>
      </c>
      <c r="JJ264" s="171">
        <f t="shared" si="911"/>
        <v>4.403711315349876E-4</v>
      </c>
      <c r="JK264" s="171">
        <f t="shared" si="911"/>
        <v>4.403711315349876E-4</v>
      </c>
      <c r="JL264" s="171">
        <f t="shared" si="911"/>
        <v>4.403711315349876E-4</v>
      </c>
      <c r="JM264" s="171">
        <f t="shared" si="911"/>
        <v>4.403711315349876E-4</v>
      </c>
      <c r="JN264" s="171">
        <f t="shared" si="911"/>
        <v>4.403711315349876E-4</v>
      </c>
      <c r="JO264" s="171">
        <f t="shared" si="911"/>
        <v>4.403711315349876E-4</v>
      </c>
      <c r="JP264" s="171">
        <f t="shared" si="911"/>
        <v>4.403711315349876E-4</v>
      </c>
      <c r="JQ264" s="171">
        <f t="shared" si="911"/>
        <v>4.403711315349876E-4</v>
      </c>
      <c r="JR264" s="171">
        <f t="shared" si="911"/>
        <v>4.403711315349876E-4</v>
      </c>
      <c r="JS264" s="171">
        <f t="shared" si="911"/>
        <v>4.403711315349876E-4</v>
      </c>
      <c r="JT264" s="171">
        <f t="shared" si="911"/>
        <v>4.403711315349876E-4</v>
      </c>
      <c r="JU264" s="171">
        <f t="shared" si="911"/>
        <v>4.403711315349876E-4</v>
      </c>
      <c r="JV264" s="171">
        <f t="shared" si="911"/>
        <v>4.403711315349876E-4</v>
      </c>
      <c r="JW264" s="171">
        <f t="shared" si="911"/>
        <v>4.403711315349876E-4</v>
      </c>
      <c r="JX264" s="171">
        <f t="shared" si="911"/>
        <v>4.403711315349876E-4</v>
      </c>
      <c r="JY264" s="171">
        <f t="shared" si="911"/>
        <v>4.403711315349876E-4</v>
      </c>
      <c r="JZ264" s="171">
        <f t="shared" si="911"/>
        <v>4.403711315349876E-4</v>
      </c>
      <c r="KA264" s="171">
        <f t="shared" si="911"/>
        <v>4.403711315349876E-4</v>
      </c>
      <c r="KB264" s="171">
        <f t="shared" si="911"/>
        <v>4.403711315349876E-4</v>
      </c>
      <c r="LN264" s="32"/>
      <c r="LO264" s="32"/>
      <c r="LP264" s="32"/>
      <c r="LQ264" s="32"/>
      <c r="LR264" s="32"/>
      <c r="NG264" s="1"/>
      <c r="NH264" s="1"/>
      <c r="NI264" s="1"/>
      <c r="NJ264" s="1"/>
      <c r="NK264" s="1"/>
      <c r="NL264" s="7"/>
      <c r="NM264" s="7"/>
    </row>
    <row r="265" spans="7:377" s="6" customFormat="1" ht="13.5">
      <c r="G265" s="26"/>
      <c r="H265" s="26"/>
      <c r="N265" s="16"/>
      <c r="O265" s="35"/>
      <c r="P265" s="35"/>
      <c r="Q265" s="35"/>
      <c r="R265" s="35"/>
      <c r="S265" s="171">
        <f>S264</f>
        <v>1.0103719294844412E-4</v>
      </c>
      <c r="T265" s="171">
        <f>T264+S265</f>
        <v>2.0207438589688823E-4</v>
      </c>
      <c r="U265" s="171">
        <f t="shared" ref="U265:AV265" si="912">U264+T265</f>
        <v>3.0311157884533235E-4</v>
      </c>
      <c r="V265" s="171">
        <f t="shared" si="912"/>
        <v>4.0414877179377647E-4</v>
      </c>
      <c r="W265" s="171">
        <f t="shared" si="912"/>
        <v>5.0518596474222058E-4</v>
      </c>
      <c r="X265" s="171">
        <f t="shared" si="912"/>
        <v>6.062231576906647E-4</v>
      </c>
      <c r="Y265" s="171">
        <f t="shared" si="912"/>
        <v>7.0726035063910881E-4</v>
      </c>
      <c r="Z265" s="171">
        <f t="shared" si="912"/>
        <v>8.0829754358755293E-4</v>
      </c>
      <c r="AA265" s="171">
        <f t="shared" si="912"/>
        <v>9.0933473653599705E-4</v>
      </c>
      <c r="AB265" s="171">
        <f t="shared" si="912"/>
        <v>1.0103719294844412E-3</v>
      </c>
      <c r="AC265" s="171">
        <f t="shared" si="912"/>
        <v>1.1114091224328853E-3</v>
      </c>
      <c r="AD265" s="171">
        <f t="shared" si="912"/>
        <v>1.2124463153813294E-3</v>
      </c>
      <c r="AE265" s="171">
        <f t="shared" si="912"/>
        <v>1.3134835083297735E-3</v>
      </c>
      <c r="AF265" s="171">
        <f t="shared" si="912"/>
        <v>1.4145207012782176E-3</v>
      </c>
      <c r="AG265" s="171">
        <f t="shared" si="912"/>
        <v>1.5155578942266617E-3</v>
      </c>
      <c r="AH265" s="171">
        <f t="shared" si="912"/>
        <v>1.6165950871751059E-3</v>
      </c>
      <c r="AI265" s="171">
        <f t="shared" si="912"/>
        <v>1.71763228012355E-3</v>
      </c>
      <c r="AJ265" s="171">
        <f t="shared" si="912"/>
        <v>1.8186694730719941E-3</v>
      </c>
      <c r="AK265" s="171">
        <f t="shared" si="912"/>
        <v>1.9197066660204382E-3</v>
      </c>
      <c r="AL265" s="171">
        <f t="shared" si="912"/>
        <v>2.0207438589688823E-3</v>
      </c>
      <c r="AM265" s="171">
        <f t="shared" si="912"/>
        <v>2.1217810519173264E-3</v>
      </c>
      <c r="AN265" s="171">
        <f t="shared" si="912"/>
        <v>2.2228182448657706E-3</v>
      </c>
      <c r="AO265" s="171">
        <f t="shared" si="912"/>
        <v>2.3238554378142147E-3</v>
      </c>
      <c r="AP265" s="171">
        <f t="shared" si="912"/>
        <v>2.4248926307626588E-3</v>
      </c>
      <c r="AQ265" s="171">
        <f t="shared" si="912"/>
        <v>2.5259298237111029E-3</v>
      </c>
      <c r="AR265" s="171">
        <f t="shared" si="912"/>
        <v>2.626967016659547E-3</v>
      </c>
      <c r="AS265" s="171">
        <f t="shared" si="912"/>
        <v>2.7280042096079911E-3</v>
      </c>
      <c r="AT265" s="171">
        <f t="shared" si="912"/>
        <v>2.8290414025564353E-3</v>
      </c>
      <c r="AU265" s="171">
        <f t="shared" si="912"/>
        <v>2.9300785955048794E-3</v>
      </c>
      <c r="AV265" s="171">
        <f t="shared" si="912"/>
        <v>3.0311157884533235E-3</v>
      </c>
      <c r="AW265" s="171">
        <f t="shared" ref="AW265" si="913">AW264+AV265</f>
        <v>3.1247867680101937E-3</v>
      </c>
      <c r="AX265" s="171">
        <f t="shared" ref="AX265" si="914">AX264+AW265</f>
        <v>3.2184577475670639E-3</v>
      </c>
      <c r="AY265" s="171">
        <f t="shared" ref="AY265" si="915">AY264+AX265</f>
        <v>3.3121287271239341E-3</v>
      </c>
      <c r="AZ265" s="171">
        <f t="shared" ref="AZ265" si="916">AZ264+AY265</f>
        <v>3.4057997066808043E-3</v>
      </c>
      <c r="BA265" s="171">
        <f t="shared" ref="BA265" si="917">BA264+AZ265</f>
        <v>3.4994706862376745E-3</v>
      </c>
      <c r="BB265" s="171">
        <f t="shared" ref="BB265" si="918">BB264+BA265</f>
        <v>3.5931416657945447E-3</v>
      </c>
      <c r="BC265" s="171">
        <f t="shared" ref="BC265" si="919">BC264+BB265</f>
        <v>3.6868126453514149E-3</v>
      </c>
      <c r="BD265" s="171">
        <f t="shared" ref="BD265" si="920">BD264+BC265</f>
        <v>3.7804836249082851E-3</v>
      </c>
      <c r="BE265" s="171">
        <f t="shared" ref="BE265" si="921">BE264+BD265</f>
        <v>3.8741546044651553E-3</v>
      </c>
      <c r="BF265" s="171">
        <f t="shared" ref="BF265" si="922">BF264+BE265</f>
        <v>3.9678255840220255E-3</v>
      </c>
      <c r="BG265" s="171">
        <f t="shared" ref="BG265" si="923">BG264+BF265</f>
        <v>4.0614965635788957E-3</v>
      </c>
      <c r="BH265" s="171">
        <f t="shared" ref="BH265" si="924">BH264+BG265</f>
        <v>4.1551675431357659E-3</v>
      </c>
      <c r="BI265" s="171">
        <f t="shared" ref="BI265" si="925">BI264+BH265</f>
        <v>4.2488385226926361E-3</v>
      </c>
      <c r="BJ265" s="171">
        <f t="shared" ref="BJ265" si="926">BJ264+BI265</f>
        <v>4.3425095022495063E-3</v>
      </c>
      <c r="BK265" s="171">
        <f t="shared" ref="BK265" si="927">BK264+BJ265</f>
        <v>4.4361804818063766E-3</v>
      </c>
      <c r="BL265" s="171">
        <f t="shared" ref="BL265" si="928">BL264+BK265</f>
        <v>4.5298514613632468E-3</v>
      </c>
      <c r="BM265" s="171">
        <f t="shared" ref="BM265" si="929">BM264+BL265</f>
        <v>4.623522440920117E-3</v>
      </c>
      <c r="BN265" s="171">
        <f t="shared" ref="BN265" si="930">BN264+BM265</f>
        <v>4.7171934204769872E-3</v>
      </c>
      <c r="BO265" s="171">
        <f t="shared" ref="BO265" si="931">BO264+BN265</f>
        <v>4.8108644000338574E-3</v>
      </c>
      <c r="BP265" s="171">
        <f t="shared" ref="BP265" si="932">BP264+BO265</f>
        <v>4.9045353795907276E-3</v>
      </c>
      <c r="BQ265" s="171">
        <f t="shared" ref="BQ265" si="933">BQ264+BP265</f>
        <v>4.9982063591475978E-3</v>
      </c>
      <c r="BR265" s="171">
        <f t="shared" ref="BR265" si="934">BR264+BQ265</f>
        <v>5.091877338704468E-3</v>
      </c>
      <c r="BS265" s="171">
        <f t="shared" ref="BS265" si="935">BS264+BR265</f>
        <v>5.1855483182613382E-3</v>
      </c>
      <c r="BT265" s="171">
        <f t="shared" ref="BT265" si="936">BT264+BS265</f>
        <v>5.2792192978182084E-3</v>
      </c>
      <c r="BU265" s="171">
        <f t="shared" ref="BU265" si="937">BU264+BT265</f>
        <v>5.3728902773750786E-3</v>
      </c>
      <c r="BV265" s="171">
        <f t="shared" ref="BV265" si="938">BV264+BU265</f>
        <v>5.4665612569319488E-3</v>
      </c>
      <c r="BW265" s="171">
        <f t="shared" ref="BW265" si="939">BW264+BV265</f>
        <v>5.560232236488819E-3</v>
      </c>
      <c r="BX265" s="171">
        <f t="shared" ref="BX265" si="940">BX264+BW265</f>
        <v>5.6539032160456892E-3</v>
      </c>
      <c r="BY265" s="171">
        <f t="shared" ref="BY265" si="941">BY264+BX265</f>
        <v>5.7475741956025594E-3</v>
      </c>
      <c r="BZ265" s="171">
        <f t="shared" ref="BZ265:CA265" si="942">BZ264+BY265</f>
        <v>5.8412451751594296E-3</v>
      </c>
      <c r="CA265" s="171">
        <f t="shared" si="942"/>
        <v>5.9822196696284555E-3</v>
      </c>
      <c r="CB265" s="171">
        <f t="shared" ref="CB265" si="943">CB264+CA265</f>
        <v>6.1231941640974815E-3</v>
      </c>
      <c r="CC265" s="171">
        <f t="shared" ref="CC265" si="944">CC264+CB265</f>
        <v>6.2641686585665074E-3</v>
      </c>
      <c r="CD265" s="171">
        <f t="shared" ref="CD265" si="945">CD264+CC265</f>
        <v>6.4051431530355333E-3</v>
      </c>
      <c r="CE265" s="171">
        <f t="shared" ref="CE265" si="946">CE264+CD265</f>
        <v>6.5461176475045593E-3</v>
      </c>
      <c r="CF265" s="171">
        <f t="shared" ref="CF265" si="947">CF264+CE265</f>
        <v>6.6870921419735852E-3</v>
      </c>
      <c r="CG265" s="171">
        <f t="shared" ref="CG265" si="948">CG264+CF265</f>
        <v>6.8280666364426111E-3</v>
      </c>
      <c r="CH265" s="171">
        <f t="shared" ref="CH265" si="949">CH264+CG265</f>
        <v>6.969041130911637E-3</v>
      </c>
      <c r="CI265" s="171">
        <f t="shared" ref="CI265" si="950">CI264+CH265</f>
        <v>7.110015625380663E-3</v>
      </c>
      <c r="CJ265" s="171">
        <f t="shared" ref="CJ265" si="951">CJ264+CI265</f>
        <v>7.2509901198496889E-3</v>
      </c>
      <c r="CK265" s="171">
        <f t="shared" ref="CK265" si="952">CK264+CJ265</f>
        <v>7.3919646143187148E-3</v>
      </c>
      <c r="CL265" s="171">
        <f t="shared" ref="CL265" si="953">CL264+CK265</f>
        <v>7.5329391087877407E-3</v>
      </c>
      <c r="CM265" s="171">
        <f t="shared" ref="CM265" si="954">CM264+CL265</f>
        <v>7.6739136032567667E-3</v>
      </c>
      <c r="CN265" s="171">
        <f t="shared" ref="CN265" si="955">CN264+CM265</f>
        <v>7.8148880977257917E-3</v>
      </c>
      <c r="CO265" s="171">
        <f t="shared" ref="CO265" si="956">CO264+CN265</f>
        <v>7.9558625921948185E-3</v>
      </c>
      <c r="CP265" s="171">
        <f t="shared" ref="CP265" si="957">CP264+CO265</f>
        <v>8.0968370866638453E-3</v>
      </c>
      <c r="CQ265" s="171">
        <f t="shared" ref="CQ265" si="958">CQ264+CP265</f>
        <v>8.2378115811328721E-3</v>
      </c>
      <c r="CR265" s="171">
        <f t="shared" ref="CR265" si="959">CR264+CQ265</f>
        <v>8.3787860756018989E-3</v>
      </c>
      <c r="CS265" s="171">
        <f t="shared" ref="CS265" si="960">CS264+CR265</f>
        <v>8.5197605700709257E-3</v>
      </c>
      <c r="CT265" s="171">
        <f t="shared" ref="CT265" si="961">CT264+CS265</f>
        <v>8.6607350645399525E-3</v>
      </c>
      <c r="CU265" s="171">
        <f t="shared" ref="CU265" si="962">CU264+CT265</f>
        <v>8.8017095590089793E-3</v>
      </c>
      <c r="CV265" s="171">
        <f t="shared" ref="CV265" si="963">CV264+CU265</f>
        <v>8.9426840534780061E-3</v>
      </c>
      <c r="CW265" s="171">
        <f t="shared" ref="CW265" si="964">CW264+CV265</f>
        <v>9.0836585479470329E-3</v>
      </c>
      <c r="CX265" s="171">
        <f t="shared" ref="CX265" si="965">CX264+CW265</f>
        <v>9.2246330424160597E-3</v>
      </c>
      <c r="CY265" s="171">
        <f t="shared" ref="CY265" si="966">CY264+CX265</f>
        <v>9.3656075368850865E-3</v>
      </c>
      <c r="CZ265" s="171">
        <f t="shared" ref="CZ265" si="967">CZ264+CY265</f>
        <v>9.5065820313541133E-3</v>
      </c>
      <c r="DA265" s="171">
        <f t="shared" ref="DA265" si="968">DA264+CZ265</f>
        <v>9.6475565258231401E-3</v>
      </c>
      <c r="DB265" s="171">
        <f t="shared" ref="DB265" si="969">DB264+DA265</f>
        <v>9.7885310202921669E-3</v>
      </c>
      <c r="DC265" s="171">
        <f t="shared" ref="DC265" si="970">DC264+DB265</f>
        <v>9.9295055147611937E-3</v>
      </c>
      <c r="DD265" s="171">
        <f t="shared" ref="DD265" si="971">DD264+DC265</f>
        <v>1.007048000923022E-2</v>
      </c>
      <c r="DE265" s="171">
        <f t="shared" ref="DE265" si="972">DE264+DD265</f>
        <v>1.0225521308790385E-2</v>
      </c>
      <c r="DF265" s="171">
        <f t="shared" ref="DF265" si="973">DF264+DE265</f>
        <v>1.038056260835055E-2</v>
      </c>
      <c r="DG265" s="171">
        <f t="shared" ref="DG265" si="974">DG264+DF265</f>
        <v>1.0535603907910715E-2</v>
      </c>
      <c r="DH265" s="171">
        <f t="shared" ref="DH265" si="975">DH264+DG265</f>
        <v>1.0690645207470879E-2</v>
      </c>
      <c r="DI265" s="171">
        <f t="shared" ref="DI265" si="976">DI264+DH265</f>
        <v>1.0845686507031044E-2</v>
      </c>
      <c r="DJ265" s="171">
        <f t="shared" ref="DJ265" si="977">DJ264+DI265</f>
        <v>1.1000727806591209E-2</v>
      </c>
      <c r="DK265" s="171">
        <f t="shared" ref="DK265" si="978">DK264+DJ265</f>
        <v>1.1155769106151374E-2</v>
      </c>
      <c r="DL265" s="171">
        <f t="shared" ref="DL265" si="979">DL264+DK265</f>
        <v>1.1310810405711538E-2</v>
      </c>
      <c r="DM265" s="171">
        <f t="shared" ref="DM265" si="980">DM264+DL265</f>
        <v>1.1465851705271703E-2</v>
      </c>
      <c r="DN265" s="171">
        <f t="shared" ref="DN265" si="981">DN264+DM265</f>
        <v>1.1620893004831868E-2</v>
      </c>
      <c r="DO265" s="171">
        <f t="shared" ref="DO265" si="982">DO264+DN265</f>
        <v>1.1775934304392032E-2</v>
      </c>
      <c r="DP265" s="171">
        <f t="shared" ref="DP265" si="983">DP264+DO265</f>
        <v>1.1930975603952197E-2</v>
      </c>
      <c r="DQ265" s="171">
        <f t="shared" ref="DQ265" si="984">DQ264+DP265</f>
        <v>1.2086016903512362E-2</v>
      </c>
      <c r="DR265" s="171">
        <f t="shared" ref="DR265" si="985">DR264+DQ265</f>
        <v>1.2241058203072527E-2</v>
      </c>
      <c r="DS265" s="171">
        <f t="shared" ref="DS265" si="986">DS264+DR265</f>
        <v>1.2396099502632691E-2</v>
      </c>
      <c r="DT265" s="171">
        <f t="shared" ref="DT265" si="987">DT264+DS265</f>
        <v>1.2551140802192856E-2</v>
      </c>
      <c r="DU265" s="171">
        <f t="shared" ref="DU265" si="988">DU264+DT265</f>
        <v>1.2706182101753021E-2</v>
      </c>
      <c r="DV265" s="171">
        <f t="shared" ref="DV265" si="989">DV264+DU265</f>
        <v>1.2861223401313186E-2</v>
      </c>
      <c r="DW265" s="171">
        <f t="shared" ref="DW265" si="990">DW264+DV265</f>
        <v>1.301626470087335E-2</v>
      </c>
      <c r="DX265" s="171">
        <f t="shared" ref="DX265" si="991">DX264+DW265</f>
        <v>1.3171306000433515E-2</v>
      </c>
      <c r="DY265" s="171">
        <f t="shared" ref="DY265" si="992">DY264+DX265</f>
        <v>1.332634729999368E-2</v>
      </c>
      <c r="DZ265" s="171">
        <f t="shared" ref="DZ265" si="993">DZ264+DY265</f>
        <v>1.3481388599553844E-2</v>
      </c>
      <c r="EA265" s="171">
        <f t="shared" ref="EA265" si="994">EA264+DZ265</f>
        <v>1.3636429899114009E-2</v>
      </c>
      <c r="EB265" s="171">
        <f t="shared" ref="EB265" si="995">EB264+EA265</f>
        <v>1.3791471198674174E-2</v>
      </c>
      <c r="EC265" s="171">
        <f t="shared" ref="EC265" si="996">EC264+EB265</f>
        <v>1.3946512498234339E-2</v>
      </c>
      <c r="ED265" s="171">
        <f t="shared" ref="ED265" si="997">ED264+EC265</f>
        <v>1.4101553797794503E-2</v>
      </c>
      <c r="EE265" s="171">
        <f t="shared" ref="EE265" si="998">EE264+ED265</f>
        <v>1.4256595097354668E-2</v>
      </c>
      <c r="EF265" s="171">
        <f t="shared" ref="EF265" si="999">EF264+EE265</f>
        <v>1.4411636396914833E-2</v>
      </c>
      <c r="EG265" s="171">
        <f t="shared" ref="EG265" si="1000">EG264+EF265</f>
        <v>1.4566677696474998E-2</v>
      </c>
      <c r="EH265" s="171">
        <f t="shared" ref="EH265" si="1001">EH264+EG265</f>
        <v>1.4721718996035162E-2</v>
      </c>
      <c r="EI265" s="171">
        <f t="shared" ref="EI265" si="1002">EI264+EH265</f>
        <v>1.4931208150001719E-2</v>
      </c>
      <c r="EJ265" s="171">
        <f t="shared" ref="EJ265" si="1003">EJ264+EI265</f>
        <v>1.5140697303968276E-2</v>
      </c>
      <c r="EK265" s="171">
        <f t="shared" ref="EK265" si="1004">EK264+EJ265</f>
        <v>1.5350186457934832E-2</v>
      </c>
      <c r="EL265" s="171">
        <f t="shared" ref="EL265" si="1005">EL264+EK265</f>
        <v>1.5559675611901389E-2</v>
      </c>
      <c r="EM265" s="171">
        <f t="shared" ref="EM265" si="1006">EM264+EL265</f>
        <v>1.5769164765867948E-2</v>
      </c>
      <c r="EN265" s="171">
        <f t="shared" ref="EN265" si="1007">EN264+EM265</f>
        <v>1.5978653919834506E-2</v>
      </c>
      <c r="EO265" s="171">
        <f t="shared" ref="EO265" si="1008">EO264+EN265</f>
        <v>1.6188143073801065E-2</v>
      </c>
      <c r="EP265" s="171">
        <f t="shared" ref="EP265" si="1009">EP264+EO265</f>
        <v>1.6397632227767623E-2</v>
      </c>
      <c r="EQ265" s="171">
        <f t="shared" ref="EQ265" si="1010">EQ264+EP265</f>
        <v>1.6607121381734181E-2</v>
      </c>
      <c r="ER265" s="171">
        <f t="shared" ref="ER265" si="1011">ER264+EQ265</f>
        <v>1.681661053570074E-2</v>
      </c>
      <c r="ES265" s="171">
        <f t="shared" ref="ES265" si="1012">ES264+ER265</f>
        <v>1.7026099689667298E-2</v>
      </c>
      <c r="ET265" s="171">
        <f t="shared" ref="ET265" si="1013">ET264+ES265</f>
        <v>1.7235588843633857E-2</v>
      </c>
      <c r="EU265" s="171">
        <f t="shared" ref="EU265" si="1014">EU264+ET265</f>
        <v>1.7445077997600415E-2</v>
      </c>
      <c r="EV265" s="171">
        <f t="shared" ref="EV265" si="1015">EV264+EU265</f>
        <v>1.7654567151566974E-2</v>
      </c>
      <c r="EW265" s="171">
        <f t="shared" ref="EW265" si="1016">EW264+EV265</f>
        <v>1.7864056305533532E-2</v>
      </c>
      <c r="EX265" s="171">
        <f t="shared" ref="EX265" si="1017">EX264+EW265</f>
        <v>1.8073545459500091E-2</v>
      </c>
      <c r="EY265" s="171">
        <f t="shared" ref="EY265" si="1018">EY264+EX265</f>
        <v>1.8283034613466649E-2</v>
      </c>
      <c r="EZ265" s="171">
        <f t="shared" ref="EZ265" si="1019">EZ264+EY265</f>
        <v>1.8492523767433208E-2</v>
      </c>
      <c r="FA265" s="171">
        <f t="shared" ref="FA265" si="1020">FA264+EZ265</f>
        <v>1.8702012921399766E-2</v>
      </c>
      <c r="FB265" s="171">
        <f t="shared" ref="FB265" si="1021">FB264+FA265</f>
        <v>1.8911502075366324E-2</v>
      </c>
      <c r="FC265" s="171">
        <f t="shared" ref="FC265" si="1022">FC264+FB265</f>
        <v>1.9120991229332883E-2</v>
      </c>
      <c r="FD265" s="171">
        <f t="shared" ref="FD265" si="1023">FD264+FC265</f>
        <v>1.9330480383299441E-2</v>
      </c>
      <c r="FE265" s="171">
        <f t="shared" ref="FE265" si="1024">FE264+FD265</f>
        <v>1.9539969537266E-2</v>
      </c>
      <c r="FF265" s="171">
        <f t="shared" ref="FF265" si="1025">FF264+FE265</f>
        <v>1.9749458691232558E-2</v>
      </c>
      <c r="FG265" s="171">
        <f t="shared" ref="FG265" si="1026">FG264+FF265</f>
        <v>1.9958947845199117E-2</v>
      </c>
      <c r="FH265" s="171">
        <f t="shared" ref="FH265" si="1027">FH264+FG265</f>
        <v>2.0168436999165675E-2</v>
      </c>
      <c r="FI265" s="171">
        <f t="shared" ref="FI265" si="1028">FI264+FH265</f>
        <v>2.0377926153132234E-2</v>
      </c>
      <c r="FJ265" s="171">
        <f t="shared" ref="FJ265" si="1029">FJ264+FI265</f>
        <v>2.0587415307098792E-2</v>
      </c>
      <c r="FK265" s="171">
        <f t="shared" ref="FK265" si="1030">FK264+FJ265</f>
        <v>2.0796904461065351E-2</v>
      </c>
      <c r="FL265" s="171">
        <f t="shared" ref="FL265" si="1031">FL264+FK265</f>
        <v>2.1006393615031909E-2</v>
      </c>
      <c r="FM265" s="171">
        <f t="shared" ref="FM265" si="1032">FM264+FL265</f>
        <v>2.1351003972476437E-2</v>
      </c>
      <c r="FN265" s="171">
        <f t="shared" ref="FN265" si="1033">FN264+FM265</f>
        <v>2.1695614329920964E-2</v>
      </c>
      <c r="FO265" s="171">
        <f t="shared" ref="FO265" si="1034">FO264+FN265</f>
        <v>2.2040224687365492E-2</v>
      </c>
      <c r="FP265" s="171">
        <f t="shared" ref="FP265" si="1035">FP264+FO265</f>
        <v>2.2384835044810019E-2</v>
      </c>
      <c r="FQ265" s="171">
        <f t="shared" ref="FQ265" si="1036">FQ264+FP265</f>
        <v>2.2729445402254547E-2</v>
      </c>
      <c r="FR265" s="171">
        <f t="shared" ref="FR265" si="1037">FR264+FQ265</f>
        <v>2.3074055759699074E-2</v>
      </c>
      <c r="FS265" s="171">
        <f t="shared" ref="FS265" si="1038">FS264+FR265</f>
        <v>2.3418666117143602E-2</v>
      </c>
      <c r="FT265" s="171">
        <f t="shared" ref="FT265" si="1039">FT264+FS265</f>
        <v>2.3763276474588129E-2</v>
      </c>
      <c r="FU265" s="171">
        <f t="shared" ref="FU265" si="1040">FU264+FT265</f>
        <v>2.4107886832032657E-2</v>
      </c>
      <c r="FV265" s="171">
        <f t="shared" ref="FV265" si="1041">FV264+FU265</f>
        <v>2.4452497189477184E-2</v>
      </c>
      <c r="FW265" s="171">
        <f t="shared" ref="FW265" si="1042">FW264+FV265</f>
        <v>2.4797107546921712E-2</v>
      </c>
      <c r="FX265" s="171">
        <f t="shared" ref="FX265" si="1043">FX264+FW265</f>
        <v>2.5141717904366239E-2</v>
      </c>
      <c r="FY265" s="171">
        <f t="shared" ref="FY265" si="1044">FY264+FX265</f>
        <v>2.5486328261810767E-2</v>
      </c>
      <c r="FZ265" s="171">
        <f t="shared" ref="FZ265" si="1045">FZ264+FY265</f>
        <v>2.5830938619255294E-2</v>
      </c>
      <c r="GA265" s="171">
        <f t="shared" ref="GA265" si="1046">GA264+FZ265</f>
        <v>2.6175548976699822E-2</v>
      </c>
      <c r="GB265" s="171">
        <f t="shared" ref="GB265" si="1047">GB264+GA265</f>
        <v>2.6520159334144349E-2</v>
      </c>
      <c r="GC265" s="171">
        <f t="shared" ref="GC265" si="1048">GC264+GB265</f>
        <v>2.6864769691588877E-2</v>
      </c>
      <c r="GD265" s="171">
        <f t="shared" ref="GD265" si="1049">GD264+GC265</f>
        <v>2.7209380049033404E-2</v>
      </c>
      <c r="GE265" s="171">
        <f t="shared" ref="GE265" si="1050">GE264+GD265</f>
        <v>2.7553990406477932E-2</v>
      </c>
      <c r="GF265" s="171">
        <f t="shared" ref="GF265" si="1051">GF264+GE265</f>
        <v>2.7898600763922459E-2</v>
      </c>
      <c r="GG265" s="171">
        <f t="shared" ref="GG265" si="1052">GG264+GF265</f>
        <v>2.8243211121366987E-2</v>
      </c>
      <c r="GH265" s="171">
        <f t="shared" ref="GH265" si="1053">GH264+GG265</f>
        <v>2.8587821478811514E-2</v>
      </c>
      <c r="GI265" s="171">
        <f t="shared" ref="GI265" si="1054">GI264+GH265</f>
        <v>2.8932431836256042E-2</v>
      </c>
      <c r="GJ265" s="171">
        <f t="shared" ref="GJ265" si="1055">GJ264+GI265</f>
        <v>2.9277042193700569E-2</v>
      </c>
      <c r="GK265" s="171">
        <f t="shared" ref="GK265" si="1056">GK264+GJ265</f>
        <v>2.9621652551145097E-2</v>
      </c>
      <c r="GL265" s="171">
        <f t="shared" ref="GL265" si="1057">GL264+GK265</f>
        <v>2.9966262908589624E-2</v>
      </c>
      <c r="GM265" s="171">
        <f t="shared" ref="GM265" si="1058">GM264+GL265</f>
        <v>3.0310873266034152E-2</v>
      </c>
      <c r="GN265" s="171">
        <f t="shared" ref="GN265" si="1059">GN264+GM265</f>
        <v>3.0655483623478679E-2</v>
      </c>
      <c r="GO265" s="171">
        <f t="shared" ref="GO265" si="1060">GO264+GN265</f>
        <v>3.1000093980923207E-2</v>
      </c>
      <c r="GP265" s="171">
        <f t="shared" ref="GP265" si="1061">GP264+GO265</f>
        <v>3.1344704338367731E-2</v>
      </c>
      <c r="GQ265" s="171">
        <f t="shared" ref="GQ265" si="1062">GQ264+GP265</f>
        <v>3.1602384502835791E-2</v>
      </c>
      <c r="GR265" s="171">
        <f t="shared" ref="GR265" si="1063">GR264+GQ265</f>
        <v>3.1860064667303852E-2</v>
      </c>
      <c r="GS265" s="171">
        <f t="shared" ref="GS265" si="1064">GS264+GR265</f>
        <v>3.2117744831771912E-2</v>
      </c>
      <c r="GT265" s="171">
        <f t="shared" ref="GT265" si="1065">GT264+GS265</f>
        <v>3.2375424996239972E-2</v>
      </c>
      <c r="GU265" s="171">
        <f t="shared" ref="GU265" si="1066">GU264+GT265</f>
        <v>3.2633105160708033E-2</v>
      </c>
      <c r="GV265" s="171">
        <f t="shared" ref="GV265" si="1067">GV264+GU265</f>
        <v>3.2890785325176093E-2</v>
      </c>
      <c r="GW265" s="171">
        <f t="shared" ref="GW265" si="1068">GW264+GV265</f>
        <v>3.3148465489644154E-2</v>
      </c>
      <c r="GX265" s="171">
        <f t="shared" ref="GX265" si="1069">GX264+GW265</f>
        <v>3.3406145654112214E-2</v>
      </c>
      <c r="GY265" s="171">
        <f t="shared" ref="GY265" si="1070">GY264+GX265</f>
        <v>3.3663825818580274E-2</v>
      </c>
      <c r="GZ265" s="171">
        <f t="shared" ref="GZ265" si="1071">GZ264+GY265</f>
        <v>3.3921505983048335E-2</v>
      </c>
      <c r="HA265" s="171">
        <f t="shared" ref="HA265" si="1072">HA264+GZ265</f>
        <v>3.4179186147516395E-2</v>
      </c>
      <c r="HB265" s="171">
        <f t="shared" ref="HB265" si="1073">HB264+HA265</f>
        <v>3.4436866311984456E-2</v>
      </c>
      <c r="HC265" s="171">
        <f t="shared" ref="HC265" si="1074">HC264+HB265</f>
        <v>3.4694546476452516E-2</v>
      </c>
      <c r="HD265" s="171">
        <f t="shared" ref="HD265" si="1075">HD264+HC265</f>
        <v>3.4952226640920576E-2</v>
      </c>
      <c r="HE265" s="171">
        <f t="shared" ref="HE265" si="1076">HE264+HD265</f>
        <v>3.5209906805388637E-2</v>
      </c>
      <c r="HF265" s="171">
        <f t="shared" ref="HF265" si="1077">HF264+HE265</f>
        <v>3.5467586969856697E-2</v>
      </c>
      <c r="HG265" s="171">
        <f t="shared" ref="HG265" si="1078">HG264+HF265</f>
        <v>3.5725267134324758E-2</v>
      </c>
      <c r="HH265" s="171">
        <f t="shared" ref="HH265" si="1079">HH264+HG265</f>
        <v>3.5982947298792818E-2</v>
      </c>
      <c r="HI265" s="171">
        <f t="shared" ref="HI265" si="1080">HI264+HH265</f>
        <v>3.6240627463260879E-2</v>
      </c>
      <c r="HJ265" s="171">
        <f t="shared" ref="HJ265" si="1081">HJ264+HI265</f>
        <v>3.6498307627728939E-2</v>
      </c>
      <c r="HK265" s="171">
        <f t="shared" ref="HK265" si="1082">HK264+HJ265</f>
        <v>3.6755987792196999E-2</v>
      </c>
      <c r="HL265" s="171">
        <f t="shared" ref="HL265" si="1083">HL264+HK265</f>
        <v>3.701366795666506E-2</v>
      </c>
      <c r="HM265" s="171">
        <f t="shared" ref="HM265" si="1084">HM264+HL265</f>
        <v>3.727134812113312E-2</v>
      </c>
      <c r="HN265" s="171">
        <f t="shared" ref="HN265" si="1085">HN264+HM265</f>
        <v>3.7529028285601181E-2</v>
      </c>
      <c r="HO265" s="171">
        <f t="shared" ref="HO265" si="1086">HO264+HN265</f>
        <v>3.7786708450069241E-2</v>
      </c>
      <c r="HP265" s="171">
        <f t="shared" ref="HP265" si="1087">HP264+HO265</f>
        <v>3.8044388614537301E-2</v>
      </c>
      <c r="HQ265" s="171">
        <f t="shared" ref="HQ265" si="1088">HQ264+HP265</f>
        <v>3.8302068779005362E-2</v>
      </c>
      <c r="HR265" s="171">
        <f t="shared" ref="HR265" si="1089">HR264+HQ265</f>
        <v>3.8559748943473422E-2</v>
      </c>
      <c r="HS265" s="171">
        <f t="shared" ref="HS265" si="1090">HS264+HR265</f>
        <v>3.8817429107941483E-2</v>
      </c>
      <c r="HT265" s="171">
        <f t="shared" ref="HT265" si="1091">HT264+HS265</f>
        <v>3.9075109272409543E-2</v>
      </c>
      <c r="HU265" s="171">
        <f t="shared" ref="HU265" si="1092">HU264+HT265</f>
        <v>3.9432011443766513E-2</v>
      </c>
      <c r="HV265" s="171">
        <f t="shared" ref="HV265" si="1093">HV264+HU265</f>
        <v>3.9788913615123482E-2</v>
      </c>
      <c r="HW265" s="171">
        <f t="shared" ref="HW265" si="1094">HW264+HV265</f>
        <v>4.0145815786480452E-2</v>
      </c>
      <c r="HX265" s="171">
        <f t="shared" ref="HX265" si="1095">HX264+HW265</f>
        <v>4.0502717957837421E-2</v>
      </c>
      <c r="HY265" s="171">
        <f t="shared" ref="HY265" si="1096">HY264+HX265</f>
        <v>4.0859620129194391E-2</v>
      </c>
      <c r="HZ265" s="171">
        <f t="shared" ref="HZ265" si="1097">HZ264+HY265</f>
        <v>4.121652230055136E-2</v>
      </c>
      <c r="IA265" s="171">
        <f t="shared" ref="IA265" si="1098">IA264+HZ265</f>
        <v>4.157342447190833E-2</v>
      </c>
      <c r="IB265" s="171">
        <f t="shared" ref="IB265" si="1099">IB264+IA265</f>
        <v>4.1930326643265299E-2</v>
      </c>
      <c r="IC265" s="171">
        <f t="shared" ref="IC265" si="1100">IC264+IB265</f>
        <v>4.2287228814622269E-2</v>
      </c>
      <c r="ID265" s="171">
        <f t="shared" ref="ID265" si="1101">ID264+IC265</f>
        <v>4.2644130985979238E-2</v>
      </c>
      <c r="IE265" s="171">
        <f t="shared" ref="IE265" si="1102">IE264+ID265</f>
        <v>4.3001033157336208E-2</v>
      </c>
      <c r="IF265" s="171">
        <f t="shared" ref="IF265" si="1103">IF264+IE265</f>
        <v>4.3357935328693177E-2</v>
      </c>
      <c r="IG265" s="171">
        <f t="shared" ref="IG265" si="1104">IG264+IF265</f>
        <v>4.3714837500050147E-2</v>
      </c>
      <c r="IH265" s="171">
        <f t="shared" ref="IH265" si="1105">IH264+IG265</f>
        <v>4.4071739671407116E-2</v>
      </c>
      <c r="II265" s="171">
        <f t="shared" ref="II265" si="1106">II264+IH265</f>
        <v>4.4428641842764086E-2</v>
      </c>
      <c r="IJ265" s="171">
        <f t="shared" ref="IJ265" si="1107">IJ264+II265</f>
        <v>4.4785544014121055E-2</v>
      </c>
      <c r="IK265" s="171">
        <f t="shared" ref="IK265" si="1108">IK264+IJ265</f>
        <v>4.5142446185478025E-2</v>
      </c>
      <c r="IL265" s="171">
        <f t="shared" ref="IL265" si="1109">IL264+IK265</f>
        <v>4.5499348356834994E-2</v>
      </c>
      <c r="IM265" s="171">
        <f t="shared" ref="IM265" si="1110">IM264+IL265</f>
        <v>4.5856250528191964E-2</v>
      </c>
      <c r="IN265" s="171">
        <f t="shared" ref="IN265" si="1111">IN264+IM265</f>
        <v>4.6213152699548933E-2</v>
      </c>
      <c r="IO265" s="171">
        <f t="shared" ref="IO265" si="1112">IO264+IN265</f>
        <v>4.6570054870905903E-2</v>
      </c>
      <c r="IP265" s="171">
        <f t="shared" ref="IP265" si="1113">IP264+IO265</f>
        <v>4.6926957042262872E-2</v>
      </c>
      <c r="IQ265" s="171">
        <f t="shared" ref="IQ265" si="1114">IQ264+IP265</f>
        <v>4.7283859213619842E-2</v>
      </c>
      <c r="IR265" s="171">
        <f t="shared" ref="IR265" si="1115">IR264+IQ265</f>
        <v>4.7640761384976811E-2</v>
      </c>
      <c r="IS265" s="171">
        <f t="shared" ref="IS265" si="1116">IS264+IR265</f>
        <v>4.7997663556333781E-2</v>
      </c>
      <c r="IT265" s="171">
        <f t="shared" ref="IT265" si="1117">IT264+IS265</f>
        <v>4.835456572769075E-2</v>
      </c>
      <c r="IU265" s="171">
        <f t="shared" ref="IU265" si="1118">IU264+IT265</f>
        <v>4.871146789904772E-2</v>
      </c>
      <c r="IV265" s="171">
        <f t="shared" ref="IV265" si="1119">IV264+IU265</f>
        <v>4.9068370070404689E-2</v>
      </c>
      <c r="IW265" s="171">
        <f t="shared" ref="IW265" si="1120">IW264+IV265</f>
        <v>4.9425272241761659E-2</v>
      </c>
      <c r="IX265" s="171">
        <f t="shared" ref="IX265" si="1121">IX264+IW265</f>
        <v>4.9782174413118628E-2</v>
      </c>
      <c r="IY265" s="171">
        <f t="shared" ref="IY265" si="1122">IY264+IX265</f>
        <v>5.0222545544653614E-2</v>
      </c>
      <c r="IZ265" s="171">
        <f t="shared" ref="IZ265" si="1123">IZ264+IY265</f>
        <v>5.06629166761886E-2</v>
      </c>
      <c r="JA265" s="171">
        <f t="shared" ref="JA265" si="1124">JA264+IZ265</f>
        <v>5.1103287807723587E-2</v>
      </c>
      <c r="JB265" s="171">
        <f t="shared" ref="JB265" si="1125">JB264+JA265</f>
        <v>5.1543658939258573E-2</v>
      </c>
      <c r="JC265" s="171">
        <f t="shared" ref="JC265" si="1126">JC264+JB265</f>
        <v>5.1984030070793559E-2</v>
      </c>
      <c r="JD265" s="171">
        <f t="shared" ref="JD265" si="1127">JD264+JC265</f>
        <v>5.2424401202328545E-2</v>
      </c>
      <c r="JE265" s="171">
        <f t="shared" ref="JE265" si="1128">JE264+JD265</f>
        <v>5.2864772333863531E-2</v>
      </c>
      <c r="JF265" s="171">
        <f t="shared" ref="JF265" si="1129">JF264+JE265</f>
        <v>5.3305143465398518E-2</v>
      </c>
      <c r="JG265" s="171">
        <f t="shared" ref="JG265" si="1130">JG264+JF265</f>
        <v>5.3745514596933504E-2</v>
      </c>
      <c r="JH265" s="171">
        <f t="shared" ref="JH265" si="1131">JH264+JG265</f>
        <v>5.418588572846849E-2</v>
      </c>
      <c r="JI265" s="171">
        <f t="shared" ref="JI265" si="1132">JI264+JH265</f>
        <v>5.4626256860003476E-2</v>
      </c>
      <c r="JJ265" s="171">
        <f t="shared" ref="JJ265" si="1133">JJ264+JI265</f>
        <v>5.5066627991538462E-2</v>
      </c>
      <c r="JK265" s="171">
        <f t="shared" ref="JK265" si="1134">JK264+JJ265</f>
        <v>5.5506999123073449E-2</v>
      </c>
      <c r="JL265" s="171">
        <f t="shared" ref="JL265" si="1135">JL264+JK265</f>
        <v>5.5947370254608435E-2</v>
      </c>
      <c r="JM265" s="171">
        <f t="shared" ref="JM265" si="1136">JM264+JL265</f>
        <v>5.6387741386143421E-2</v>
      </c>
      <c r="JN265" s="171">
        <f t="shared" ref="JN265" si="1137">JN264+JM265</f>
        <v>5.6828112517678407E-2</v>
      </c>
      <c r="JO265" s="171">
        <f t="shared" ref="JO265" si="1138">JO264+JN265</f>
        <v>5.7268483649213393E-2</v>
      </c>
      <c r="JP265" s="171">
        <f t="shared" ref="JP265" si="1139">JP264+JO265</f>
        <v>5.770885478074838E-2</v>
      </c>
      <c r="JQ265" s="171">
        <f t="shared" ref="JQ265" si="1140">JQ264+JP265</f>
        <v>5.8149225912283366E-2</v>
      </c>
      <c r="JR265" s="171">
        <f t="shared" ref="JR265" si="1141">JR264+JQ265</f>
        <v>5.8589597043818352E-2</v>
      </c>
      <c r="JS265" s="171">
        <f t="shared" ref="JS265" si="1142">JS264+JR265</f>
        <v>5.9029968175353338E-2</v>
      </c>
      <c r="JT265" s="171">
        <f t="shared" ref="JT265" si="1143">JT264+JS265</f>
        <v>5.9470339306888324E-2</v>
      </c>
      <c r="JU265" s="171">
        <f t="shared" ref="JU265" si="1144">JU264+JT265</f>
        <v>5.9910710438423311E-2</v>
      </c>
      <c r="JV265" s="171">
        <f t="shared" ref="JV265" si="1145">JV264+JU265</f>
        <v>6.0351081569958297E-2</v>
      </c>
      <c r="JW265" s="171">
        <f t="shared" ref="JW265" si="1146">JW264+JV265</f>
        <v>6.0791452701493283E-2</v>
      </c>
      <c r="JX265" s="171">
        <f t="shared" ref="JX265" si="1147">JX264+JW265</f>
        <v>6.1231823833028269E-2</v>
      </c>
      <c r="JY265" s="171">
        <f t="shared" ref="JY265" si="1148">JY264+JX265</f>
        <v>6.1672194964563255E-2</v>
      </c>
      <c r="JZ265" s="171">
        <f t="shared" ref="JZ265" si="1149">JZ264+JY265</f>
        <v>6.2112566096098241E-2</v>
      </c>
      <c r="KA265" s="171">
        <f t="shared" ref="KA265" si="1150">KA264+JZ265</f>
        <v>6.2552937227633235E-2</v>
      </c>
      <c r="KB265" s="171">
        <f t="shared" ref="KB265" si="1151">KB264+KA265</f>
        <v>6.2993308359168221E-2</v>
      </c>
      <c r="NG265" s="1"/>
      <c r="NH265" s="1"/>
      <c r="NI265" s="1"/>
      <c r="NJ265" s="1"/>
      <c r="NK265" s="1"/>
      <c r="NL265" s="7"/>
      <c r="NM265" s="7"/>
    </row>
    <row r="266" spans="7:377" s="6" customFormat="1" ht="13.5">
      <c r="G266" s="26"/>
      <c r="H266" s="26"/>
      <c r="N266" s="16"/>
      <c r="O266" s="35"/>
      <c r="P266" s="35"/>
      <c r="Q266" s="35"/>
      <c r="R266" s="35"/>
      <c r="NG266" s="1"/>
      <c r="NH266" s="1"/>
      <c r="NI266" s="1"/>
      <c r="NJ266" s="1"/>
      <c r="NK266" s="1"/>
      <c r="NL266" s="7"/>
      <c r="NM266" s="7"/>
    </row>
    <row r="267" spans="7:377" s="6" customFormat="1" ht="13.5">
      <c r="G267" s="26"/>
      <c r="H267" s="26"/>
      <c r="N267" s="16"/>
      <c r="O267" s="35"/>
      <c r="P267" s="35"/>
      <c r="Q267" s="35"/>
      <c r="R267" s="35"/>
      <c r="NG267" s="1"/>
      <c r="NH267" s="1"/>
      <c r="NI267" s="1"/>
      <c r="NJ267" s="1"/>
      <c r="NK267" s="1"/>
      <c r="NL267" s="7"/>
      <c r="NM267" s="7"/>
    </row>
    <row r="268" spans="7:377" s="6" customFormat="1" ht="13.5">
      <c r="G268" s="26"/>
      <c r="H268" s="26"/>
      <c r="N268" s="16"/>
      <c r="O268" s="35"/>
      <c r="P268" s="35"/>
      <c r="Q268" s="35"/>
      <c r="R268" s="35"/>
      <c r="NG268" s="1"/>
      <c r="NH268" s="1"/>
      <c r="NI268" s="1"/>
      <c r="NJ268" s="1"/>
      <c r="NK268" s="1"/>
      <c r="NL268" s="7"/>
      <c r="NM268" s="7"/>
    </row>
    <row r="269" spans="7:377" s="6" customFormat="1" ht="13.5">
      <c r="G269" s="26"/>
      <c r="H269" s="26"/>
      <c r="N269" s="16"/>
      <c r="O269" s="35"/>
      <c r="P269" s="35"/>
      <c r="Q269" s="35"/>
      <c r="R269" s="35"/>
      <c r="NG269" s="1"/>
      <c r="NH269" s="1"/>
      <c r="NI269" s="1"/>
      <c r="NJ269" s="1"/>
      <c r="NK269" s="1"/>
      <c r="NL269" s="7"/>
      <c r="NM269" s="7"/>
    </row>
    <row r="270" spans="7:377" s="6" customFormat="1" ht="13.5">
      <c r="G270" s="26"/>
      <c r="H270" s="26"/>
      <c r="N270" s="16"/>
      <c r="O270" s="35"/>
      <c r="P270" s="35"/>
      <c r="Q270" s="35"/>
      <c r="R270" s="35"/>
      <c r="NG270" s="1"/>
      <c r="NH270" s="1"/>
      <c r="NI270" s="1"/>
      <c r="NJ270" s="1"/>
      <c r="NK270" s="1"/>
      <c r="NL270" s="7"/>
      <c r="NM270" s="7"/>
    </row>
    <row r="271" spans="7:377" s="6" customFormat="1" ht="13.5">
      <c r="G271" s="26"/>
      <c r="H271" s="26"/>
      <c r="N271" s="16"/>
      <c r="O271" s="35"/>
      <c r="P271" s="35"/>
      <c r="Q271" s="35"/>
      <c r="R271" s="35"/>
      <c r="NG271" s="1"/>
      <c r="NH271" s="1"/>
      <c r="NI271" s="1"/>
      <c r="NJ271" s="1"/>
      <c r="NK271" s="1"/>
      <c r="NL271" s="7"/>
      <c r="NM271" s="7"/>
    </row>
    <row r="272" spans="7:377" s="6" customFormat="1" ht="13.5">
      <c r="G272" s="26"/>
      <c r="H272" s="26"/>
      <c r="N272" s="16"/>
      <c r="O272" s="35"/>
      <c r="P272" s="35"/>
      <c r="Q272" s="35"/>
      <c r="R272" s="35"/>
      <c r="NG272" s="1"/>
      <c r="NH272" s="1"/>
      <c r="NI272" s="1"/>
      <c r="NJ272" s="1"/>
      <c r="NK272" s="1"/>
      <c r="NL272" s="7"/>
      <c r="NM272" s="7"/>
    </row>
    <row r="273" spans="7:377" s="6" customFormat="1" ht="13.5">
      <c r="G273" s="26"/>
      <c r="H273" s="26"/>
      <c r="N273" s="16"/>
      <c r="O273" s="35"/>
      <c r="P273" s="35"/>
      <c r="Q273" s="35"/>
      <c r="R273" s="35"/>
      <c r="NG273" s="1"/>
      <c r="NH273" s="1"/>
      <c r="NI273" s="1"/>
      <c r="NJ273" s="1"/>
      <c r="NK273" s="1"/>
      <c r="NL273" s="7"/>
      <c r="NM273" s="7"/>
    </row>
    <row r="274" spans="7:377" s="6" customFormat="1" ht="13.5">
      <c r="G274" s="26"/>
      <c r="H274" s="26"/>
      <c r="N274" s="16"/>
      <c r="O274" s="35"/>
      <c r="P274" s="35"/>
      <c r="Q274" s="35"/>
      <c r="R274" s="35"/>
      <c r="NG274" s="1"/>
      <c r="NH274" s="1"/>
      <c r="NI274" s="1"/>
      <c r="NJ274" s="1"/>
      <c r="NK274" s="1"/>
      <c r="NL274" s="7"/>
      <c r="NM274" s="7"/>
    </row>
    <row r="275" spans="7:377" s="6" customFormat="1" ht="13.5">
      <c r="G275" s="26"/>
      <c r="H275" s="26"/>
      <c r="N275" s="16"/>
      <c r="O275" s="35"/>
      <c r="P275" s="35"/>
      <c r="Q275" s="35"/>
      <c r="R275" s="35"/>
      <c r="NG275" s="1"/>
      <c r="NH275" s="1"/>
      <c r="NI275" s="1"/>
      <c r="NJ275" s="1"/>
      <c r="NK275" s="1"/>
      <c r="NL275" s="7"/>
      <c r="NM275" s="7"/>
    </row>
    <row r="276" spans="7:377" s="6" customFormat="1" ht="13.5">
      <c r="G276" s="26"/>
      <c r="H276" s="26"/>
      <c r="N276" s="16"/>
      <c r="O276" s="35"/>
      <c r="P276" s="35"/>
      <c r="Q276" s="35"/>
      <c r="R276" s="35"/>
      <c r="NG276" s="1"/>
      <c r="NH276" s="1"/>
      <c r="NI276" s="1"/>
      <c r="NJ276" s="1"/>
      <c r="NK276" s="1"/>
      <c r="NL276" s="7"/>
      <c r="NM276" s="7"/>
    </row>
    <row r="277" spans="7:377" s="6" customFormat="1" ht="13.5">
      <c r="G277" s="26"/>
      <c r="H277" s="26"/>
      <c r="N277" s="16"/>
      <c r="O277" s="35"/>
      <c r="P277" s="35"/>
      <c r="Q277" s="35"/>
      <c r="R277" s="35"/>
      <c r="NG277" s="1"/>
      <c r="NH277" s="1"/>
      <c r="NI277" s="1"/>
      <c r="NJ277" s="1"/>
      <c r="NK277" s="1"/>
      <c r="NL277" s="7"/>
      <c r="NM277" s="7"/>
    </row>
    <row r="278" spans="7:377" s="6" customFormat="1" ht="13.5">
      <c r="G278" s="26"/>
      <c r="H278" s="26"/>
      <c r="N278" s="16"/>
      <c r="O278" s="35"/>
      <c r="P278" s="35"/>
      <c r="Q278" s="35"/>
      <c r="R278" s="35"/>
      <c r="NG278" s="1"/>
      <c r="NH278" s="1"/>
      <c r="NI278" s="1"/>
      <c r="NJ278" s="1"/>
      <c r="NK278" s="1"/>
      <c r="NL278" s="7"/>
      <c r="NM278" s="7"/>
    </row>
    <row r="279" spans="7:377" s="6" customFormat="1" ht="13.5">
      <c r="G279" s="26"/>
      <c r="H279" s="26"/>
      <c r="N279" s="16"/>
      <c r="O279" s="35"/>
      <c r="P279" s="35"/>
      <c r="Q279" s="35"/>
      <c r="R279" s="35"/>
      <c r="NG279" s="1"/>
      <c r="NH279" s="1"/>
      <c r="NI279" s="1"/>
      <c r="NJ279" s="1"/>
      <c r="NK279" s="1"/>
      <c r="NL279" s="7"/>
      <c r="NM279" s="7"/>
    </row>
    <row r="280" spans="7:377" s="6" customFormat="1" ht="13.5">
      <c r="G280" s="26"/>
      <c r="H280" s="26"/>
      <c r="N280" s="16"/>
      <c r="O280" s="35"/>
      <c r="P280" s="35"/>
      <c r="Q280" s="35"/>
      <c r="R280" s="35"/>
      <c r="NG280" s="1"/>
      <c r="NH280" s="1"/>
      <c r="NI280" s="1"/>
      <c r="NJ280" s="1"/>
      <c r="NK280" s="1"/>
      <c r="NL280" s="7"/>
      <c r="NM280" s="7"/>
    </row>
    <row r="281" spans="7:377" s="6" customFormat="1" ht="13.5">
      <c r="G281" s="26"/>
      <c r="H281" s="26"/>
      <c r="N281" s="16"/>
      <c r="O281" s="35"/>
      <c r="P281" s="35"/>
      <c r="Q281" s="35"/>
      <c r="R281" s="35"/>
      <c r="NG281" s="1"/>
      <c r="NH281" s="1"/>
      <c r="NI281" s="1"/>
      <c r="NJ281" s="1"/>
      <c r="NK281" s="1"/>
      <c r="NL281" s="7"/>
      <c r="NM281" s="7"/>
    </row>
    <row r="282" spans="7:377" s="6" customFormat="1" ht="13.5">
      <c r="G282" s="26"/>
      <c r="H282" s="26"/>
      <c r="N282" s="16"/>
      <c r="O282" s="35"/>
      <c r="P282" s="35"/>
      <c r="Q282" s="35"/>
      <c r="R282" s="35"/>
      <c r="NG282" s="1"/>
      <c r="NH282" s="1"/>
      <c r="NI282" s="1"/>
      <c r="NJ282" s="1"/>
      <c r="NK282" s="1"/>
      <c r="NL282" s="7"/>
      <c r="NM282" s="7"/>
    </row>
    <row r="283" spans="7:377" s="6" customFormat="1" ht="13.5">
      <c r="G283" s="26"/>
      <c r="H283" s="26"/>
      <c r="N283" s="16"/>
      <c r="O283" s="35"/>
      <c r="P283" s="35"/>
      <c r="Q283" s="35"/>
      <c r="R283" s="35"/>
      <c r="NG283" s="1"/>
      <c r="NH283" s="1"/>
      <c r="NI283" s="1"/>
      <c r="NJ283" s="1"/>
      <c r="NK283" s="1"/>
      <c r="NL283" s="7"/>
      <c r="NM283" s="7"/>
    </row>
    <row r="284" spans="7:377" s="6" customFormat="1" ht="13.5">
      <c r="G284" s="26"/>
      <c r="H284" s="26"/>
      <c r="N284" s="16"/>
      <c r="O284" s="35"/>
      <c r="P284" s="35"/>
      <c r="Q284" s="35"/>
      <c r="R284" s="35"/>
      <c r="NG284" s="1"/>
      <c r="NH284" s="1"/>
      <c r="NI284" s="1"/>
      <c r="NJ284" s="1"/>
      <c r="NK284" s="1"/>
      <c r="NL284" s="7"/>
      <c r="NM284" s="7"/>
    </row>
    <row r="285" spans="7:377" s="6" customFormat="1" ht="13.5">
      <c r="G285" s="26"/>
      <c r="H285" s="26"/>
      <c r="N285" s="16"/>
      <c r="O285" s="35"/>
      <c r="P285" s="35"/>
      <c r="Q285" s="35"/>
      <c r="R285" s="35"/>
      <c r="NG285" s="1"/>
      <c r="NH285" s="1"/>
      <c r="NI285" s="1"/>
      <c r="NJ285" s="1"/>
      <c r="NK285" s="1"/>
      <c r="NL285" s="7"/>
      <c r="NM285" s="7"/>
    </row>
    <row r="286" spans="7:377" s="6" customFormat="1" ht="13.5">
      <c r="G286" s="26"/>
      <c r="H286" s="26"/>
      <c r="N286" s="16"/>
      <c r="O286" s="35"/>
      <c r="P286" s="35"/>
      <c r="Q286" s="35"/>
      <c r="R286" s="35"/>
      <c r="NI286" s="12"/>
      <c r="NJ286" s="12"/>
      <c r="NL286" s="7"/>
      <c r="NM286" s="7"/>
    </row>
    <row r="287" spans="7:377" s="6" customFormat="1" ht="13.5">
      <c r="G287" s="26"/>
      <c r="H287" s="26"/>
      <c r="N287" s="16"/>
      <c r="O287" s="35"/>
      <c r="P287" s="35"/>
      <c r="Q287" s="35"/>
      <c r="R287" s="35"/>
      <c r="NI287" s="12"/>
      <c r="NJ287" s="12"/>
      <c r="NL287" s="7"/>
      <c r="NM287" s="7"/>
    </row>
    <row r="288" spans="7:377" s="6" customFormat="1" ht="13.5">
      <c r="G288" s="26"/>
      <c r="H288" s="26"/>
      <c r="N288" s="16"/>
      <c r="O288" s="35"/>
      <c r="P288" s="35"/>
      <c r="Q288" s="35"/>
      <c r="R288" s="35"/>
      <c r="NI288" s="12"/>
      <c r="NJ288" s="12"/>
      <c r="NL288" s="7"/>
      <c r="NM288" s="7"/>
    </row>
    <row r="289" spans="7:377" s="6" customFormat="1" ht="13.5">
      <c r="G289" s="26"/>
      <c r="H289" s="26"/>
      <c r="N289" s="16"/>
      <c r="O289" s="35"/>
      <c r="P289" s="35"/>
      <c r="Q289" s="35"/>
      <c r="R289" s="35"/>
      <c r="NI289" s="12"/>
      <c r="NJ289" s="12"/>
      <c r="NL289" s="7"/>
      <c r="NM289" s="7"/>
    </row>
    <row r="290" spans="7:377" s="6" customFormat="1" ht="13.5">
      <c r="G290" s="26"/>
      <c r="H290" s="26"/>
      <c r="N290" s="16"/>
      <c r="O290" s="35"/>
      <c r="P290" s="35"/>
      <c r="Q290" s="35"/>
      <c r="R290" s="35"/>
      <c r="NI290" s="12"/>
      <c r="NJ290" s="12"/>
      <c r="NL290" s="7"/>
      <c r="NM290" s="7"/>
    </row>
    <row r="291" spans="7:377" s="6" customFormat="1" ht="13.5">
      <c r="G291" s="26"/>
      <c r="H291" s="26"/>
      <c r="N291" s="16"/>
      <c r="O291" s="35"/>
      <c r="P291" s="35"/>
      <c r="Q291" s="35"/>
      <c r="R291" s="35"/>
      <c r="NI291" s="12"/>
      <c r="NJ291" s="12"/>
      <c r="NL291" s="7"/>
      <c r="NM291" s="7"/>
    </row>
    <row r="292" spans="7:377" s="6" customFormat="1" ht="13.5">
      <c r="G292" s="26"/>
      <c r="H292" s="26"/>
      <c r="N292" s="16"/>
      <c r="O292" s="35"/>
      <c r="P292" s="35"/>
      <c r="Q292" s="35"/>
      <c r="R292" s="35"/>
      <c r="NI292" s="12"/>
      <c r="NJ292" s="12"/>
      <c r="NL292" s="7"/>
      <c r="NM292" s="7"/>
    </row>
    <row r="293" spans="7:377" s="6" customFormat="1" ht="13.5">
      <c r="G293" s="26"/>
      <c r="H293" s="26"/>
      <c r="N293" s="16"/>
      <c r="O293" s="35"/>
      <c r="P293" s="35"/>
      <c r="Q293" s="35"/>
      <c r="R293" s="35"/>
      <c r="NI293" s="12"/>
      <c r="NJ293" s="12"/>
      <c r="NL293" s="7"/>
      <c r="NM293" s="7"/>
    </row>
    <row r="294" spans="7:377" s="6" customFormat="1" ht="13.5">
      <c r="G294" s="26"/>
      <c r="H294" s="26"/>
      <c r="N294" s="16"/>
      <c r="O294" s="35"/>
      <c r="P294" s="35"/>
      <c r="Q294" s="35"/>
      <c r="R294" s="35"/>
      <c r="NI294" s="12"/>
      <c r="NJ294" s="12"/>
      <c r="NL294" s="7"/>
      <c r="NM294" s="7"/>
    </row>
    <row r="295" spans="7:377" s="6" customFormat="1" ht="13.5">
      <c r="G295" s="26"/>
      <c r="H295" s="26"/>
      <c r="N295" s="16"/>
      <c r="O295" s="35"/>
      <c r="P295" s="35"/>
      <c r="Q295" s="35"/>
      <c r="R295" s="35"/>
      <c r="NI295" s="12"/>
      <c r="NJ295" s="12"/>
      <c r="NL295" s="7"/>
      <c r="NM295" s="7"/>
    </row>
    <row r="296" spans="7:377" s="6" customFormat="1" ht="13.5">
      <c r="G296" s="26"/>
      <c r="H296" s="26"/>
      <c r="N296" s="16"/>
      <c r="O296" s="35"/>
      <c r="P296" s="35"/>
      <c r="Q296" s="35"/>
      <c r="R296" s="35"/>
      <c r="NI296" s="12"/>
      <c r="NJ296" s="12"/>
      <c r="NL296" s="7"/>
      <c r="NM296" s="7"/>
    </row>
    <row r="297" spans="7:377" s="6" customFormat="1" ht="13.5">
      <c r="G297" s="26"/>
      <c r="H297" s="26"/>
      <c r="N297" s="16"/>
      <c r="O297" s="35"/>
      <c r="P297" s="35"/>
      <c r="Q297" s="35"/>
      <c r="R297" s="35"/>
      <c r="NI297" s="12"/>
      <c r="NJ297" s="12"/>
      <c r="NL297" s="7"/>
      <c r="NM297" s="7"/>
    </row>
    <row r="298" spans="7:377" s="6" customFormat="1" ht="13.5">
      <c r="G298" s="26"/>
      <c r="H298" s="26"/>
      <c r="N298" s="16"/>
      <c r="O298" s="35"/>
      <c r="P298" s="35"/>
      <c r="Q298" s="35"/>
      <c r="R298" s="35"/>
      <c r="NI298" s="12"/>
      <c r="NJ298" s="12"/>
      <c r="NL298" s="7"/>
      <c r="NM298" s="7"/>
    </row>
    <row r="299" spans="7:377" s="6" customFormat="1" ht="13.5">
      <c r="G299" s="26"/>
      <c r="H299" s="26"/>
      <c r="N299" s="16"/>
      <c r="O299" s="35"/>
      <c r="P299" s="35"/>
      <c r="Q299" s="35"/>
      <c r="R299" s="35"/>
      <c r="NI299" s="12"/>
      <c r="NJ299" s="12"/>
      <c r="NL299" s="7"/>
      <c r="NM299" s="7"/>
    </row>
    <row r="300" spans="7:377" s="6" customFormat="1">
      <c r="G300" s="26"/>
      <c r="H300" s="26"/>
      <c r="N300" s="16"/>
      <c r="O300" s="35"/>
      <c r="P300" s="35"/>
      <c r="Q300" s="35"/>
      <c r="R300" s="35"/>
      <c r="NI300" s="13"/>
      <c r="NJ300" s="13"/>
      <c r="NL300" s="7"/>
      <c r="NM300" s="7"/>
    </row>
    <row r="301" spans="7:377" s="6" customFormat="1">
      <c r="G301" s="26"/>
      <c r="H301" s="26"/>
      <c r="N301" s="16"/>
      <c r="O301" s="35"/>
      <c r="P301" s="35"/>
      <c r="Q301" s="35"/>
      <c r="R301" s="35"/>
      <c r="NI301" s="13"/>
      <c r="NJ301" s="13"/>
      <c r="NL301" s="7"/>
      <c r="NM301" s="7"/>
    </row>
    <row r="302" spans="7:377" s="6" customFormat="1">
      <c r="G302" s="26"/>
      <c r="H302" s="26"/>
      <c r="N302" s="16"/>
      <c r="O302" s="35"/>
      <c r="P302" s="35"/>
      <c r="Q302" s="35"/>
      <c r="R302" s="35"/>
      <c r="NI302" s="13"/>
      <c r="NJ302" s="13"/>
      <c r="NL302" s="7"/>
      <c r="NM302" s="7"/>
    </row>
    <row r="303" spans="7:377" s="6" customFormat="1">
      <c r="G303" s="26"/>
      <c r="H303" s="26"/>
      <c r="N303" s="16"/>
      <c r="O303" s="35"/>
      <c r="P303" s="35"/>
      <c r="Q303" s="35"/>
      <c r="R303" s="35"/>
      <c r="NI303" s="13"/>
      <c r="NJ303" s="13"/>
      <c r="NL303" s="7"/>
      <c r="NM303" s="7"/>
    </row>
    <row r="304" spans="7:377" s="6" customFormat="1">
      <c r="G304" s="26"/>
      <c r="H304" s="26"/>
      <c r="N304" s="16"/>
      <c r="O304" s="35"/>
      <c r="P304" s="35"/>
      <c r="Q304" s="35"/>
      <c r="R304" s="35"/>
      <c r="NI304" s="13"/>
      <c r="NJ304" s="13"/>
      <c r="NL304" s="7"/>
      <c r="NM304" s="7"/>
    </row>
    <row r="305" spans="7:377" s="6" customFormat="1">
      <c r="G305" s="26"/>
      <c r="H305" s="26"/>
      <c r="N305" s="16"/>
      <c r="O305" s="35"/>
      <c r="P305" s="35"/>
      <c r="Q305" s="35"/>
      <c r="R305" s="35"/>
      <c r="NI305" s="13"/>
      <c r="NJ305" s="13"/>
      <c r="NL305" s="7"/>
      <c r="NM305" s="7"/>
    </row>
    <row r="306" spans="7:377" s="6" customFormat="1">
      <c r="G306" s="26"/>
      <c r="H306" s="26"/>
      <c r="N306" s="16"/>
      <c r="O306" s="35"/>
      <c r="P306" s="35"/>
      <c r="Q306" s="35"/>
      <c r="R306" s="35"/>
      <c r="NI306" s="13"/>
      <c r="NJ306" s="13"/>
      <c r="NL306" s="7"/>
      <c r="NM306" s="7"/>
    </row>
    <row r="307" spans="7:377" s="6" customFormat="1">
      <c r="G307" s="26"/>
      <c r="H307" s="26"/>
      <c r="N307" s="16"/>
      <c r="O307" s="35"/>
      <c r="P307" s="35"/>
      <c r="Q307" s="35"/>
      <c r="R307" s="35"/>
      <c r="NI307" s="13"/>
      <c r="NJ307" s="13"/>
      <c r="NL307" s="7"/>
      <c r="NM307" s="7"/>
    </row>
    <row r="308" spans="7:377" s="6" customFormat="1">
      <c r="G308" s="26"/>
      <c r="H308" s="26"/>
      <c r="N308" s="16"/>
      <c r="O308" s="35"/>
      <c r="P308" s="35"/>
      <c r="Q308" s="35"/>
      <c r="R308" s="35"/>
      <c r="NI308" s="13"/>
      <c r="NJ308" s="13"/>
      <c r="NL308" s="7"/>
      <c r="NM308" s="7"/>
    </row>
    <row r="309" spans="7:377" s="6" customFormat="1">
      <c r="G309" s="26"/>
      <c r="H309" s="26"/>
      <c r="N309" s="16"/>
      <c r="O309" s="35"/>
      <c r="P309" s="35"/>
      <c r="Q309" s="35"/>
      <c r="R309" s="35"/>
      <c r="NI309" s="13"/>
      <c r="NJ309" s="13"/>
      <c r="NL309" s="7"/>
      <c r="NM309" s="7"/>
    </row>
    <row r="310" spans="7:377">
      <c r="AV310" s="1"/>
      <c r="BZ310" s="1"/>
      <c r="LJ310" s="6"/>
      <c r="LK310" s="6"/>
      <c r="LL310" s="6"/>
      <c r="LM310" s="6"/>
      <c r="LN310" s="6"/>
      <c r="LO310" s="6"/>
      <c r="NF310" s="2"/>
      <c r="NG310" s="2"/>
      <c r="NH310" s="2"/>
      <c r="NI310" s="13"/>
      <c r="NJ310" s="13"/>
      <c r="NK310" s="2"/>
      <c r="NL310" s="3"/>
      <c r="NM310" s="3"/>
    </row>
    <row r="311" spans="7:377">
      <c r="AV311" s="1"/>
      <c r="BZ311" s="1"/>
      <c r="LJ311" s="6"/>
      <c r="LK311" s="6"/>
      <c r="LL311" s="6"/>
      <c r="LM311" s="6"/>
      <c r="LN311" s="6"/>
      <c r="LO311" s="6"/>
      <c r="NF311" s="2"/>
      <c r="NG311" s="2"/>
      <c r="NH311" s="2"/>
      <c r="NI311" s="13"/>
      <c r="NJ311" s="13"/>
      <c r="NK311" s="2"/>
      <c r="NL311" s="3"/>
      <c r="NM311" s="3"/>
    </row>
    <row r="312" spans="7:377">
      <c r="AV312" s="1"/>
      <c r="BZ312" s="1"/>
      <c r="NF312" s="2"/>
      <c r="NG312" s="2"/>
      <c r="NH312" s="2"/>
      <c r="NI312" s="13"/>
      <c r="NJ312" s="13"/>
      <c r="NK312" s="2"/>
      <c r="NL312" s="3"/>
      <c r="NM312" s="3"/>
    </row>
    <row r="313" spans="7:377">
      <c r="AV313" s="1"/>
      <c r="BZ313" s="1"/>
      <c r="NF313" s="2"/>
      <c r="NG313" s="2"/>
      <c r="NH313" s="2"/>
      <c r="NI313" s="13"/>
      <c r="NJ313" s="13"/>
      <c r="NK313" s="2"/>
      <c r="NL313" s="3"/>
      <c r="NM313" s="3"/>
    </row>
    <row r="314" spans="7:377">
      <c r="AV314" s="1"/>
      <c r="BZ314" s="1"/>
      <c r="NF314" s="2"/>
      <c r="NG314" s="2"/>
      <c r="NH314" s="2"/>
      <c r="NI314" s="13"/>
      <c r="NJ314" s="13"/>
      <c r="NK314" s="2"/>
      <c r="NL314" s="3"/>
      <c r="NM314" s="3"/>
    </row>
    <row r="315" spans="7:377">
      <c r="AV315" s="1"/>
      <c r="BZ315" s="1"/>
      <c r="NF315" s="2"/>
      <c r="NG315" s="2"/>
      <c r="NH315" s="2"/>
      <c r="NI315" s="13"/>
      <c r="NJ315" s="13"/>
      <c r="NK315" s="2"/>
      <c r="NL315" s="3"/>
      <c r="NM315" s="3"/>
    </row>
    <row r="316" spans="7:377">
      <c r="AV316" s="1"/>
      <c r="BZ316" s="1"/>
      <c r="NF316" s="2"/>
      <c r="NG316" s="2"/>
      <c r="NH316" s="2"/>
      <c r="NI316" s="13"/>
      <c r="NJ316" s="13"/>
      <c r="NK316" s="2"/>
      <c r="NL316" s="3"/>
      <c r="NM316" s="3"/>
    </row>
    <row r="317" spans="7:377">
      <c r="AV317" s="1"/>
      <c r="BZ317" s="1"/>
      <c r="NF317" s="2"/>
      <c r="NG317" s="2"/>
      <c r="NH317" s="2"/>
      <c r="NI317" s="13"/>
      <c r="NJ317" s="13"/>
      <c r="NK317" s="2"/>
      <c r="NL317" s="3"/>
      <c r="NM317" s="3"/>
    </row>
    <row r="318" spans="7:377">
      <c r="AV318" s="1"/>
      <c r="BZ318" s="1"/>
      <c r="NF318" s="2"/>
      <c r="NG318" s="2"/>
      <c r="NH318" s="2"/>
      <c r="NI318" s="13"/>
      <c r="NJ318" s="13"/>
      <c r="NK318" s="2"/>
      <c r="NL318" s="3"/>
      <c r="NM318" s="3"/>
    </row>
    <row r="319" spans="7:377">
      <c r="AV319" s="1"/>
      <c r="BZ319" s="1"/>
      <c r="NF319" s="2"/>
      <c r="NG319" s="2"/>
      <c r="NH319" s="2"/>
      <c r="NI319" s="13"/>
      <c r="NJ319" s="13"/>
      <c r="NK319" s="2"/>
      <c r="NL319" s="3"/>
      <c r="NM319" s="3"/>
    </row>
    <row r="320" spans="7:377">
      <c r="AV320" s="1"/>
      <c r="BZ320" s="1"/>
      <c r="NF320" s="2"/>
      <c r="NG320" s="2"/>
      <c r="NH320" s="2"/>
      <c r="NI320" s="13"/>
      <c r="NJ320" s="13"/>
      <c r="NK320" s="2"/>
      <c r="NL320" s="3"/>
      <c r="NM320" s="3"/>
    </row>
    <row r="321" spans="48:377">
      <c r="AV321" s="1"/>
      <c r="BZ321" s="1"/>
      <c r="NF321" s="2"/>
      <c r="NG321" s="2"/>
      <c r="NH321" s="2"/>
      <c r="NI321" s="13"/>
      <c r="NJ321" s="13"/>
      <c r="NK321" s="2"/>
      <c r="NL321" s="3"/>
      <c r="NM321" s="3"/>
    </row>
    <row r="322" spans="48:377">
      <c r="AV322" s="1"/>
      <c r="BZ322" s="1"/>
      <c r="NF322" s="2"/>
      <c r="NG322" s="2"/>
      <c r="NH322" s="2"/>
      <c r="NI322" s="13"/>
      <c r="NJ322" s="13"/>
      <c r="NK322" s="2"/>
      <c r="NL322" s="3"/>
      <c r="NM322" s="3"/>
    </row>
    <row r="323" spans="48:377">
      <c r="AV323" s="1"/>
      <c r="BZ323" s="1"/>
      <c r="NF323" s="2"/>
      <c r="NG323" s="2"/>
      <c r="NH323" s="2"/>
      <c r="NI323" s="13"/>
      <c r="NJ323" s="13"/>
      <c r="NK323" s="2"/>
      <c r="NL323" s="3"/>
      <c r="NM323" s="3"/>
    </row>
    <row r="324" spans="48:377">
      <c r="AV324" s="1"/>
      <c r="BZ324" s="1"/>
      <c r="NF324" s="2"/>
      <c r="NG324" s="2"/>
      <c r="NH324" s="2"/>
      <c r="NI324" s="13"/>
      <c r="NJ324" s="13"/>
      <c r="NK324" s="2"/>
      <c r="NL324" s="3"/>
      <c r="NM324" s="3"/>
    </row>
    <row r="325" spans="48:377">
      <c r="AV325" s="1"/>
      <c r="BZ325" s="1"/>
      <c r="NF325" s="2"/>
      <c r="NG325" s="2"/>
      <c r="NH325" s="2"/>
      <c r="NI325" s="13"/>
      <c r="NJ325" s="13"/>
      <c r="NK325" s="2"/>
      <c r="NL325" s="3"/>
      <c r="NM325" s="3"/>
    </row>
    <row r="326" spans="48:377">
      <c r="AV326" s="1"/>
      <c r="BZ326" s="1"/>
      <c r="NF326" s="2"/>
      <c r="NG326" s="2"/>
      <c r="NH326" s="2"/>
      <c r="NI326" s="13"/>
      <c r="NJ326" s="13"/>
      <c r="NK326" s="2"/>
      <c r="NL326" s="3"/>
      <c r="NM326" s="3"/>
    </row>
    <row r="327" spans="48:377">
      <c r="AV327" s="1"/>
      <c r="BZ327" s="1"/>
      <c r="NF327" s="2"/>
      <c r="NG327" s="2"/>
      <c r="NH327" s="2"/>
      <c r="NI327" s="13"/>
      <c r="NJ327" s="13"/>
      <c r="NK327" s="2"/>
      <c r="NL327" s="3"/>
      <c r="NM327" s="3"/>
    </row>
    <row r="328" spans="48:377">
      <c r="AV328" s="1"/>
      <c r="BZ328" s="1"/>
      <c r="NF328" s="2"/>
      <c r="NG328" s="2"/>
      <c r="NH328" s="2"/>
      <c r="NI328" s="13"/>
      <c r="NJ328" s="13"/>
      <c r="NK328" s="2"/>
      <c r="NL328" s="3"/>
      <c r="NM328" s="3"/>
    </row>
    <row r="329" spans="48:377">
      <c r="AV329" s="1"/>
      <c r="BZ329" s="1"/>
      <c r="NF329" s="2"/>
      <c r="NG329" s="2"/>
      <c r="NH329" s="2"/>
      <c r="NI329" s="13"/>
      <c r="NJ329" s="13"/>
      <c r="NK329" s="2"/>
      <c r="NL329" s="3"/>
      <c r="NM329" s="3"/>
    </row>
    <row r="330" spans="48:377">
      <c r="AV330" s="1"/>
      <c r="BZ330" s="1"/>
      <c r="NF330" s="2"/>
      <c r="NG330" s="2"/>
      <c r="NH330" s="2"/>
      <c r="NI330" s="13"/>
      <c r="NJ330" s="13"/>
      <c r="NK330" s="2"/>
      <c r="NL330" s="3"/>
      <c r="NM330" s="3"/>
    </row>
    <row r="331" spans="48:377">
      <c r="AV331" s="1"/>
      <c r="BZ331" s="1"/>
      <c r="NF331" s="2"/>
      <c r="NG331" s="2"/>
      <c r="NH331" s="2"/>
      <c r="NK331" s="2"/>
      <c r="NL331" s="3"/>
      <c r="NM331" s="3"/>
    </row>
    <row r="332" spans="48:377">
      <c r="AV332" s="1"/>
      <c r="BZ332" s="1"/>
      <c r="NF332" s="2"/>
      <c r="NG332" s="2"/>
      <c r="NH332" s="2"/>
      <c r="NK332" s="2"/>
      <c r="NL332" s="3"/>
      <c r="NM332" s="3"/>
    </row>
    <row r="333" spans="48:377">
      <c r="AV333" s="1"/>
      <c r="BZ333" s="1"/>
      <c r="NF333" s="2"/>
      <c r="NG333" s="2"/>
      <c r="NH333" s="2"/>
      <c r="NK333" s="2"/>
      <c r="NL333" s="3"/>
      <c r="NM333" s="3"/>
    </row>
    <row r="334" spans="48:377">
      <c r="AV334" s="1"/>
      <c r="BZ334" s="1"/>
      <c r="NF334" s="2"/>
      <c r="NG334" s="2"/>
      <c r="NH334" s="2"/>
      <c r="NK334" s="2"/>
      <c r="NL334" s="3"/>
      <c r="NM334" s="3"/>
    </row>
    <row r="335" spans="48:377">
      <c r="AV335" s="1"/>
      <c r="BZ335" s="1"/>
      <c r="NF335" s="2"/>
      <c r="NG335" s="2"/>
      <c r="NH335" s="2"/>
      <c r="NK335" s="2"/>
      <c r="NL335" s="3"/>
      <c r="NM335" s="3"/>
    </row>
    <row r="336" spans="48:377">
      <c r="AV336" s="1"/>
      <c r="BZ336" s="1"/>
      <c r="NF336" s="2"/>
      <c r="NG336" s="2"/>
      <c r="NH336" s="2"/>
      <c r="NK336" s="2"/>
      <c r="NL336" s="3"/>
      <c r="NM336" s="3"/>
    </row>
    <row r="337" spans="48:377">
      <c r="AV337" s="1"/>
      <c r="BZ337" s="1"/>
      <c r="NF337" s="2"/>
      <c r="NG337" s="2"/>
      <c r="NH337" s="2"/>
      <c r="NK337" s="2"/>
      <c r="NL337" s="3"/>
      <c r="NM337" s="3"/>
    </row>
    <row r="338" spans="48:377">
      <c r="AV338" s="1"/>
      <c r="BZ338" s="1"/>
      <c r="NF338" s="2"/>
      <c r="NG338" s="2"/>
      <c r="NH338" s="2"/>
      <c r="NK338" s="2"/>
      <c r="NL338" s="3"/>
      <c r="NM338" s="3"/>
    </row>
    <row r="339" spans="48:377">
      <c r="AV339" s="1"/>
      <c r="BZ339" s="1"/>
      <c r="NF339" s="2"/>
      <c r="NG339" s="2"/>
      <c r="NH339" s="2"/>
      <c r="NK339" s="2"/>
      <c r="NL339" s="3"/>
      <c r="NM339" s="3"/>
    </row>
    <row r="340" spans="48:377">
      <c r="AV340" s="1"/>
      <c r="BZ340" s="1"/>
      <c r="NF340" s="2"/>
      <c r="NG340" s="2"/>
      <c r="NH340" s="2"/>
      <c r="NK340" s="2"/>
      <c r="NL340" s="3"/>
      <c r="NM340" s="3"/>
    </row>
  </sheetData>
  <autoFilter ref="H26:H261" xr:uid="{00000000-0001-0000-0000-000000000000}"/>
  <mergeCells count="2635">
    <mergeCell ref="FM19:GP19"/>
    <mergeCell ref="GQ19:HT19"/>
    <mergeCell ref="HU19:IX19"/>
    <mergeCell ref="IY19:KB19"/>
    <mergeCell ref="KC28:KE28"/>
    <mergeCell ref="KF28:KH28"/>
    <mergeCell ref="KI28:KK28"/>
    <mergeCell ref="KL28:KN28"/>
    <mergeCell ref="KC30:KE30"/>
    <mergeCell ref="KF30:KH30"/>
    <mergeCell ref="KI30:KK30"/>
    <mergeCell ref="KL30:KN30"/>
    <mergeCell ref="KC32:KE32"/>
    <mergeCell ref="KF32:KH32"/>
    <mergeCell ref="KL36:KN36"/>
    <mergeCell ref="KO26:KQ27"/>
    <mergeCell ref="NG254:NG255"/>
    <mergeCell ref="LV254:LX254"/>
    <mergeCell ref="LY254:MA254"/>
    <mergeCell ref="MB254:MD254"/>
    <mergeCell ref="ME254:MG254"/>
    <mergeCell ref="MH254:MJ254"/>
    <mergeCell ref="NC254:NE254"/>
    <mergeCell ref="L254:L255"/>
    <mergeCell ref="M254:M255"/>
    <mergeCell ref="N254:N255"/>
    <mergeCell ref="O254:O255"/>
    <mergeCell ref="P254:P255"/>
    <mergeCell ref="Q254:Q255"/>
    <mergeCell ref="KI254:KK254"/>
    <mergeCell ref="KR254:KT254"/>
    <mergeCell ref="MK254:MM254"/>
    <mergeCell ref="MN254:MP254"/>
    <mergeCell ref="MQ254:MS254"/>
    <mergeCell ref="MT254:MV254"/>
    <mergeCell ref="MZ254:NB254"/>
    <mergeCell ref="NC260:NE260"/>
    <mergeCell ref="MN259:MP259"/>
    <mergeCell ref="MQ259:MS259"/>
    <mergeCell ref="MT259:MV259"/>
    <mergeCell ref="MW259:MY259"/>
    <mergeCell ref="MZ259:NB259"/>
    <mergeCell ref="NC259:NE259"/>
    <mergeCell ref="KC260:KE260"/>
    <mergeCell ref="KF260:KH260"/>
    <mergeCell ref="KI260:KK260"/>
    <mergeCell ref="KL260:KN260"/>
    <mergeCell ref="KO260:KQ260"/>
    <mergeCell ref="KR260:KT260"/>
    <mergeCell ref="KU260:KW260"/>
    <mergeCell ref="KX260:KZ260"/>
    <mergeCell ref="LA260:LC260"/>
    <mergeCell ref="LD260:LF260"/>
    <mergeCell ref="LG260:LI260"/>
    <mergeCell ref="LD259:LF259"/>
    <mergeCell ref="LG259:LI259"/>
    <mergeCell ref="LJ259:LL259"/>
    <mergeCell ref="LM259:LO259"/>
    <mergeCell ref="LP259:LR259"/>
    <mergeCell ref="LS259:LU259"/>
    <mergeCell ref="LV259:LX259"/>
    <mergeCell ref="MH260:MJ260"/>
    <mergeCell ref="MK260:MM260"/>
    <mergeCell ref="MN260:MP260"/>
    <mergeCell ref="MQ260:MS260"/>
    <mergeCell ref="MT260:MV260"/>
    <mergeCell ref="MW260:MY260"/>
    <mergeCell ref="MZ260:NB260"/>
    <mergeCell ref="MH259:MJ259"/>
    <mergeCell ref="MK259:MM259"/>
    <mergeCell ref="L259:Q259"/>
    <mergeCell ref="L260:Q260"/>
    <mergeCell ref="KC259:KE259"/>
    <mergeCell ref="KF259:KH259"/>
    <mergeCell ref="KI259:KK259"/>
    <mergeCell ref="KL259:KN259"/>
    <mergeCell ref="LJ260:LL260"/>
    <mergeCell ref="LM260:LO260"/>
    <mergeCell ref="LP260:LR260"/>
    <mergeCell ref="KX259:KZ259"/>
    <mergeCell ref="LA259:LC259"/>
    <mergeCell ref="F26:F27"/>
    <mergeCell ref="G26:G27"/>
    <mergeCell ref="MQ234:MS234"/>
    <mergeCell ref="MT234:MV234"/>
    <mergeCell ref="ME144:MG144"/>
    <mergeCell ref="MW234:MY234"/>
    <mergeCell ref="ME164:MG164"/>
    <mergeCell ref="MB160:MD161"/>
    <mergeCell ref="MQ238:MS238"/>
    <mergeCell ref="LJ188:LL188"/>
    <mergeCell ref="MN176:MP176"/>
    <mergeCell ref="MN64:MP65"/>
    <mergeCell ref="MW148:MY148"/>
    <mergeCell ref="MN160:MP161"/>
    <mergeCell ref="MQ162:MS162"/>
    <mergeCell ref="MT162:MV162"/>
    <mergeCell ref="MW162:MY162"/>
    <mergeCell ref="KX44:KZ44"/>
    <mergeCell ref="LA44:LC44"/>
    <mergeCell ref="LY46:MA46"/>
    <mergeCell ref="LY48:MA48"/>
    <mergeCell ref="LJ54:LL54"/>
    <mergeCell ref="LY259:MA259"/>
    <mergeCell ref="MB259:MD259"/>
    <mergeCell ref="ME259:MG259"/>
    <mergeCell ref="KO36:KQ36"/>
    <mergeCell ref="KF40:KH40"/>
    <mergeCell ref="KI40:KK40"/>
    <mergeCell ref="KC60:KE60"/>
    <mergeCell ref="KF60:KH60"/>
    <mergeCell ref="NH244:NH245"/>
    <mergeCell ref="NH252:NH253"/>
    <mergeCell ref="MN140:MP140"/>
    <mergeCell ref="MQ140:MS140"/>
    <mergeCell ref="MT140:MV140"/>
    <mergeCell ref="MN142:MP142"/>
    <mergeCell ref="MQ142:MS142"/>
    <mergeCell ref="MT142:MV142"/>
    <mergeCell ref="MK144:MM144"/>
    <mergeCell ref="MN144:MP144"/>
    <mergeCell ref="MQ144:MS144"/>
    <mergeCell ref="MK150:MM150"/>
    <mergeCell ref="MN150:MP150"/>
    <mergeCell ref="MK154:MM154"/>
    <mergeCell ref="MK156:MM156"/>
    <mergeCell ref="MN156:MP156"/>
    <mergeCell ref="MQ156:MS156"/>
    <mergeCell ref="MZ240:NB241"/>
    <mergeCell ref="MQ220:MS220"/>
    <mergeCell ref="MT220:MV220"/>
    <mergeCell ref="MW220:MY220"/>
    <mergeCell ref="MZ220:NB220"/>
    <mergeCell ref="MQ240:MS241"/>
    <mergeCell ref="MT240:MV241"/>
    <mergeCell ref="MW240:MY241"/>
    <mergeCell ref="MT196:MV197"/>
    <mergeCell ref="MW196:MY197"/>
    <mergeCell ref="NC248:NE248"/>
    <mergeCell ref="NC244:NE245"/>
    <mergeCell ref="MZ232:NB232"/>
    <mergeCell ref="MZ234:NB234"/>
    <mergeCell ref="NC238:NE238"/>
    <mergeCell ref="NH178:NH179"/>
    <mergeCell ref="NH186:NH187"/>
    <mergeCell ref="MN138:MP138"/>
    <mergeCell ref="ME76:MG76"/>
    <mergeCell ref="LV66:LX66"/>
    <mergeCell ref="LS120:LU120"/>
    <mergeCell ref="LS122:LU122"/>
    <mergeCell ref="MB66:MD66"/>
    <mergeCell ref="ME66:MG66"/>
    <mergeCell ref="ME92:MG92"/>
    <mergeCell ref="NG106:NG107"/>
    <mergeCell ref="LY182:MA182"/>
    <mergeCell ref="MQ160:MS161"/>
    <mergeCell ref="ME104:MG104"/>
    <mergeCell ref="MK142:MM142"/>
    <mergeCell ref="LV68:LX68"/>
    <mergeCell ref="NG76:NG77"/>
    <mergeCell ref="NG78:NG79"/>
    <mergeCell ref="NG80:NG81"/>
    <mergeCell ref="NG82:NG83"/>
    <mergeCell ref="NG84:NG85"/>
    <mergeCell ref="NG86:NG87"/>
    <mergeCell ref="NG88:NG89"/>
    <mergeCell ref="NG146:NG147"/>
    <mergeCell ref="NG94:NG95"/>
    <mergeCell ref="NG110:NG111"/>
    <mergeCell ref="LY180:MA180"/>
    <mergeCell ref="LY186:MA187"/>
    <mergeCell ref="NG176:NG177"/>
    <mergeCell ref="NG128:NG129"/>
    <mergeCell ref="NG138:NG139"/>
    <mergeCell ref="NG140:NG141"/>
    <mergeCell ref="MQ164:MS164"/>
    <mergeCell ref="NH26:NH27"/>
    <mergeCell ref="NH108:NH109"/>
    <mergeCell ref="MZ160:NB161"/>
    <mergeCell ref="MZ162:NB162"/>
    <mergeCell ref="MT222:MV223"/>
    <mergeCell ref="MW222:MY223"/>
    <mergeCell ref="MZ222:NB223"/>
    <mergeCell ref="NH134:NH135"/>
    <mergeCell ref="NH160:NH161"/>
    <mergeCell ref="NH94:NH95"/>
    <mergeCell ref="NH196:NH197"/>
    <mergeCell ref="NH208:NH209"/>
    <mergeCell ref="NH222:NH223"/>
    <mergeCell ref="NG30:NG31"/>
    <mergeCell ref="NG32:NG33"/>
    <mergeCell ref="NG36:NG37"/>
    <mergeCell ref="NG38:NG39"/>
    <mergeCell ref="NG40:NG41"/>
    <mergeCell ref="NG42:NG43"/>
    <mergeCell ref="NG46:NG47"/>
    <mergeCell ref="MW186:MY187"/>
    <mergeCell ref="MT160:MV161"/>
    <mergeCell ref="MW160:MY161"/>
    <mergeCell ref="NG62:NG63"/>
    <mergeCell ref="NG102:NG103"/>
    <mergeCell ref="NC174:NE174"/>
    <mergeCell ref="MZ178:NB179"/>
    <mergeCell ref="MZ214:NB214"/>
    <mergeCell ref="NG60:NG61"/>
    <mergeCell ref="NG58:NG59"/>
    <mergeCell ref="NG112:NG113"/>
    <mergeCell ref="NH240:NH241"/>
    <mergeCell ref="MQ226:MS226"/>
    <mergeCell ref="MT226:MV226"/>
    <mergeCell ref="MW226:MY226"/>
    <mergeCell ref="MZ226:NB226"/>
    <mergeCell ref="MQ228:MS228"/>
    <mergeCell ref="MT228:MV228"/>
    <mergeCell ref="MW228:MY228"/>
    <mergeCell ref="MZ228:NB228"/>
    <mergeCell ref="MQ230:MS230"/>
    <mergeCell ref="MT230:MV230"/>
    <mergeCell ref="MW230:MY230"/>
    <mergeCell ref="MZ230:NB230"/>
    <mergeCell ref="MQ232:MS232"/>
    <mergeCell ref="MT54:MV54"/>
    <mergeCell ref="MW54:MY54"/>
    <mergeCell ref="MZ152:NB152"/>
    <mergeCell ref="MZ186:NB187"/>
    <mergeCell ref="MQ196:MS197"/>
    <mergeCell ref="MZ196:NB197"/>
    <mergeCell ref="MQ208:MS209"/>
    <mergeCell ref="MT208:MV209"/>
    <mergeCell ref="MW208:MY209"/>
    <mergeCell ref="MZ208:NB209"/>
    <mergeCell ref="MQ186:MS187"/>
    <mergeCell ref="MT186:MV187"/>
    <mergeCell ref="NH64:NH65"/>
    <mergeCell ref="MW174:MY174"/>
    <mergeCell ref="MZ174:NB174"/>
    <mergeCell ref="MQ176:MS176"/>
    <mergeCell ref="MW178:MY179"/>
    <mergeCell ref="MQ158:MS158"/>
    <mergeCell ref="MN54:MP54"/>
    <mergeCell ref="MH186:MJ187"/>
    <mergeCell ref="MQ258:MS258"/>
    <mergeCell ref="MT258:MV258"/>
    <mergeCell ref="MW258:MY258"/>
    <mergeCell ref="MZ258:NB258"/>
    <mergeCell ref="MQ242:MS242"/>
    <mergeCell ref="MT242:MV242"/>
    <mergeCell ref="MW242:MY242"/>
    <mergeCell ref="MZ242:NB242"/>
    <mergeCell ref="MQ244:MS245"/>
    <mergeCell ref="MT244:MV245"/>
    <mergeCell ref="MW244:MY245"/>
    <mergeCell ref="MZ244:NB245"/>
    <mergeCell ref="MQ246:MS246"/>
    <mergeCell ref="MT246:MV246"/>
    <mergeCell ref="MW246:MY246"/>
    <mergeCell ref="MZ246:NB246"/>
    <mergeCell ref="MQ248:MS248"/>
    <mergeCell ref="MT248:MV248"/>
    <mergeCell ref="MW248:MY248"/>
    <mergeCell ref="MZ248:NB248"/>
    <mergeCell ref="MQ250:MS250"/>
    <mergeCell ref="MT250:MV250"/>
    <mergeCell ref="MW250:MY250"/>
    <mergeCell ref="MZ250:NB250"/>
    <mergeCell ref="MQ252:MS253"/>
    <mergeCell ref="MQ256:MS257"/>
    <mergeCell ref="MT256:MV257"/>
    <mergeCell ref="MW256:MY257"/>
    <mergeCell ref="MZ256:NB257"/>
    <mergeCell ref="MW254:MY254"/>
    <mergeCell ref="MQ22:MS22"/>
    <mergeCell ref="MT22:MV22"/>
    <mergeCell ref="MW22:MY22"/>
    <mergeCell ref="MZ22:NB22"/>
    <mergeCell ref="MQ24:MS25"/>
    <mergeCell ref="MT24:MV25"/>
    <mergeCell ref="MW24:MY25"/>
    <mergeCell ref="MZ24:NB25"/>
    <mergeCell ref="MQ26:MS27"/>
    <mergeCell ref="MT26:MV27"/>
    <mergeCell ref="MW26:MY27"/>
    <mergeCell ref="MZ26:NB27"/>
    <mergeCell ref="MQ64:MS65"/>
    <mergeCell ref="MT64:MV65"/>
    <mergeCell ref="MW64:MY65"/>
    <mergeCell ref="MZ64:NB65"/>
    <mergeCell ref="MZ148:NB148"/>
    <mergeCell ref="MT134:MV135"/>
    <mergeCell ref="MW134:MY135"/>
    <mergeCell ref="MQ54:MS54"/>
    <mergeCell ref="MZ146:NB146"/>
    <mergeCell ref="MW146:MY146"/>
    <mergeCell ref="MZ94:NB95"/>
    <mergeCell ref="MQ108:MS109"/>
    <mergeCell ref="MT108:MV109"/>
    <mergeCell ref="MW108:MY109"/>
    <mergeCell ref="MT146:MV146"/>
    <mergeCell ref="MT158:MV158"/>
    <mergeCell ref="MW158:MY158"/>
    <mergeCell ref="MZ158:NB158"/>
    <mergeCell ref="KU206:KW206"/>
    <mergeCell ref="LM184:LO184"/>
    <mergeCell ref="LP184:LR184"/>
    <mergeCell ref="LV196:LX197"/>
    <mergeCell ref="ME208:MG209"/>
    <mergeCell ref="LA200:LC200"/>
    <mergeCell ref="MH178:MJ179"/>
    <mergeCell ref="MK178:MM179"/>
    <mergeCell ref="MN178:MP179"/>
    <mergeCell ref="LJ184:LL184"/>
    <mergeCell ref="LM120:LO120"/>
    <mergeCell ref="LY114:MA114"/>
    <mergeCell ref="LP120:LR120"/>
    <mergeCell ref="LD178:LF179"/>
    <mergeCell ref="LV134:LX135"/>
    <mergeCell ref="MH160:MJ161"/>
    <mergeCell ref="MN164:MP164"/>
    <mergeCell ref="MH166:MJ166"/>
    <mergeCell ref="MH144:MJ144"/>
    <mergeCell ref="LV208:LX209"/>
    <mergeCell ref="LV186:LX187"/>
    <mergeCell ref="ME186:MG187"/>
    <mergeCell ref="LP114:LR114"/>
    <mergeCell ref="LS114:LU114"/>
    <mergeCell ref="LM160:LO161"/>
    <mergeCell ref="LM174:LO174"/>
    <mergeCell ref="LM158:LO158"/>
    <mergeCell ref="LP158:LR158"/>
    <mergeCell ref="LV178:LX179"/>
    <mergeCell ref="LY76:MA76"/>
    <mergeCell ref="ME138:MG138"/>
    <mergeCell ref="MH138:MJ138"/>
    <mergeCell ref="MH156:MJ156"/>
    <mergeCell ref="LV156:LX156"/>
    <mergeCell ref="LP132:LR132"/>
    <mergeCell ref="LM114:LO114"/>
    <mergeCell ref="LS90:LU90"/>
    <mergeCell ref="LS144:LU144"/>
    <mergeCell ref="LG114:LI114"/>
    <mergeCell ref="LG120:LI120"/>
    <mergeCell ref="LG94:LI95"/>
    <mergeCell ref="LS92:LU92"/>
    <mergeCell ref="LV158:LX158"/>
    <mergeCell ref="LV112:LX112"/>
    <mergeCell ref="LM138:LO138"/>
    <mergeCell ref="LP138:LR138"/>
    <mergeCell ref="MB138:MD138"/>
    <mergeCell ref="LV116:LX116"/>
    <mergeCell ref="MB144:MD144"/>
    <mergeCell ref="LS158:LU158"/>
    <mergeCell ref="LY116:MA116"/>
    <mergeCell ref="LV118:LX118"/>
    <mergeCell ref="LY144:MA144"/>
    <mergeCell ref="LS126:LU126"/>
    <mergeCell ref="LS130:LU130"/>
    <mergeCell ref="MH134:MJ135"/>
    <mergeCell ref="MH90:MJ90"/>
    <mergeCell ref="LS138:LU138"/>
    <mergeCell ref="LG80:LI80"/>
    <mergeCell ref="MK54:MM54"/>
    <mergeCell ref="LV54:LX54"/>
    <mergeCell ref="LY68:MA68"/>
    <mergeCell ref="LY66:MA66"/>
    <mergeCell ref="MH54:MJ54"/>
    <mergeCell ref="LP76:LR76"/>
    <mergeCell ref="LP88:LR88"/>
    <mergeCell ref="LP144:LR144"/>
    <mergeCell ref="KU56:KW56"/>
    <mergeCell ref="LP128:LR128"/>
    <mergeCell ref="LV128:LX128"/>
    <mergeCell ref="LS132:LU132"/>
    <mergeCell ref="LP98:LR98"/>
    <mergeCell ref="LP96:LR96"/>
    <mergeCell ref="LD88:LF88"/>
    <mergeCell ref="LD90:LF90"/>
    <mergeCell ref="LV126:LX126"/>
    <mergeCell ref="LP90:LR90"/>
    <mergeCell ref="LM76:LO76"/>
    <mergeCell ref="LP92:LR92"/>
    <mergeCell ref="LG90:LI90"/>
    <mergeCell ref="LV130:LX130"/>
    <mergeCell ref="LV132:LX132"/>
    <mergeCell ref="MB76:MD76"/>
    <mergeCell ref="MB80:MD80"/>
    <mergeCell ref="LM100:LO100"/>
    <mergeCell ref="MH142:MJ142"/>
    <mergeCell ref="LA92:LC92"/>
    <mergeCell ref="KU80:KW80"/>
    <mergeCell ref="ME80:MG80"/>
    <mergeCell ref="MH140:MJ140"/>
    <mergeCell ref="ME134:MG135"/>
    <mergeCell ref="LP54:LR54"/>
    <mergeCell ref="LM26:LO27"/>
    <mergeCell ref="LP42:LR42"/>
    <mergeCell ref="LS42:LU42"/>
    <mergeCell ref="KX178:KZ179"/>
    <mergeCell ref="LV142:LX142"/>
    <mergeCell ref="LS98:LU98"/>
    <mergeCell ref="LS100:LU100"/>
    <mergeCell ref="LS104:LU104"/>
    <mergeCell ref="LS128:LU128"/>
    <mergeCell ref="LM134:LO135"/>
    <mergeCell ref="LV160:LX161"/>
    <mergeCell ref="LA90:LC90"/>
    <mergeCell ref="KU74:KW74"/>
    <mergeCell ref="KX74:KZ74"/>
    <mergeCell ref="LA74:LC74"/>
    <mergeCell ref="LJ48:LL48"/>
    <mergeCell ref="LS48:LU48"/>
    <mergeCell ref="LS54:LU54"/>
    <mergeCell ref="KU50:KW50"/>
    <mergeCell ref="LM124:LO124"/>
    <mergeCell ref="LP106:LR106"/>
    <mergeCell ref="LV144:LX144"/>
    <mergeCell ref="KX70:KZ70"/>
    <mergeCell ref="KU26:KW27"/>
    <mergeCell ref="NG48:NG49"/>
    <mergeCell ref="NG50:NG51"/>
    <mergeCell ref="MB46:MD46"/>
    <mergeCell ref="LS34:LU34"/>
    <mergeCell ref="LM46:LO46"/>
    <mergeCell ref="LY228:MA228"/>
    <mergeCell ref="NG26:NG27"/>
    <mergeCell ref="MB54:MD54"/>
    <mergeCell ref="KX56:KZ56"/>
    <mergeCell ref="LA56:LC56"/>
    <mergeCell ref="LD56:LF56"/>
    <mergeCell ref="LM56:LO56"/>
    <mergeCell ref="LP56:LR56"/>
    <mergeCell ref="LS56:LU56"/>
    <mergeCell ref="LG56:LI56"/>
    <mergeCell ref="LJ56:LL56"/>
    <mergeCell ref="LV56:LX56"/>
    <mergeCell ref="LY56:MA56"/>
    <mergeCell ref="MB56:MD56"/>
    <mergeCell ref="ME56:MG56"/>
    <mergeCell ref="NC172:NE172"/>
    <mergeCell ref="NC170:NE170"/>
    <mergeCell ref="LS160:LU161"/>
    <mergeCell ref="NG126:NG127"/>
    <mergeCell ref="MQ134:MS135"/>
    <mergeCell ref="LY142:MA142"/>
    <mergeCell ref="LV46:LX46"/>
    <mergeCell ref="LJ190:LL190"/>
    <mergeCell ref="LM190:LO190"/>
    <mergeCell ref="LD92:LF92"/>
    <mergeCell ref="LG110:LI110"/>
    <mergeCell ref="LG112:LI112"/>
    <mergeCell ref="NG28:NG29"/>
    <mergeCell ref="LV26:LX27"/>
    <mergeCell ref="MH42:MJ42"/>
    <mergeCell ref="MK42:MM42"/>
    <mergeCell ref="LD44:LF44"/>
    <mergeCell ref="NG34:NG35"/>
    <mergeCell ref="LS38:LU38"/>
    <mergeCell ref="NG44:NG45"/>
    <mergeCell ref="ME46:MG46"/>
    <mergeCell ref="LV42:LX42"/>
    <mergeCell ref="LY42:MA42"/>
    <mergeCell ref="LS46:LU46"/>
    <mergeCell ref="LG44:LI44"/>
    <mergeCell ref="LJ44:LL44"/>
    <mergeCell ref="LP34:LR34"/>
    <mergeCell ref="LJ34:LL34"/>
    <mergeCell ref="ME26:MG27"/>
    <mergeCell ref="LP26:LR27"/>
    <mergeCell ref="LM44:LO44"/>
    <mergeCell ref="LM42:LO42"/>
    <mergeCell ref="LS26:LU27"/>
    <mergeCell ref="LY26:MA27"/>
    <mergeCell ref="LP46:LR46"/>
    <mergeCell ref="MB42:MD42"/>
    <mergeCell ref="ME42:MG42"/>
    <mergeCell ref="LS32:LU32"/>
    <mergeCell ref="LJ26:LL27"/>
    <mergeCell ref="LD26:LF27"/>
    <mergeCell ref="MH46:MJ46"/>
    <mergeCell ref="KR232:KT232"/>
    <mergeCell ref="KU232:KW232"/>
    <mergeCell ref="KF58:KH58"/>
    <mergeCell ref="KL228:KN228"/>
    <mergeCell ref="LG224:LI224"/>
    <mergeCell ref="LD226:LF226"/>
    <mergeCell ref="LV228:LX228"/>
    <mergeCell ref="KL234:KN234"/>
    <mergeCell ref="LG222:LI223"/>
    <mergeCell ref="LD208:LF209"/>
    <mergeCell ref="LJ226:LL226"/>
    <mergeCell ref="LJ232:LL232"/>
    <mergeCell ref="LA224:LC224"/>
    <mergeCell ref="KF160:KH161"/>
    <mergeCell ref="KO226:KQ226"/>
    <mergeCell ref="KX208:KZ209"/>
    <mergeCell ref="KU180:KW180"/>
    <mergeCell ref="LP228:LR228"/>
    <mergeCell ref="LM188:LO188"/>
    <mergeCell ref="LJ88:LL88"/>
    <mergeCell ref="KO230:KQ230"/>
    <mergeCell ref="KR230:KT230"/>
    <mergeCell ref="KO206:KQ206"/>
    <mergeCell ref="LS178:LU179"/>
    <mergeCell ref="LG178:LI179"/>
    <mergeCell ref="LM178:LO179"/>
    <mergeCell ref="LD174:LF174"/>
    <mergeCell ref="LJ112:LL112"/>
    <mergeCell ref="KX108:KZ109"/>
    <mergeCell ref="J256:K258"/>
    <mergeCell ref="MK234:MM234"/>
    <mergeCell ref="MN234:MP234"/>
    <mergeCell ref="LD248:LF248"/>
    <mergeCell ref="LG248:LI248"/>
    <mergeCell ref="LJ248:LL248"/>
    <mergeCell ref="LM248:LO248"/>
    <mergeCell ref="LP248:LR248"/>
    <mergeCell ref="LS248:LU248"/>
    <mergeCell ref="LP246:LR246"/>
    <mergeCell ref="LS246:LU246"/>
    <mergeCell ref="LV246:LX246"/>
    <mergeCell ref="LY244:MA245"/>
    <mergeCell ref="LJ244:LL245"/>
    <mergeCell ref="ME244:MG245"/>
    <mergeCell ref="MH244:MJ245"/>
    <mergeCell ref="MN244:MP245"/>
    <mergeCell ref="KU248:KW248"/>
    <mergeCell ref="LY248:MA248"/>
    <mergeCell ref="MB248:MD248"/>
    <mergeCell ref="ME248:MG248"/>
    <mergeCell ref="LG252:LI253"/>
    <mergeCell ref="N252:N253"/>
    <mergeCell ref="O252:O253"/>
    <mergeCell ref="LV248:LX248"/>
    <mergeCell ref="MH248:MJ248"/>
    <mergeCell ref="KF246:KH246"/>
    <mergeCell ref="KI246:KK246"/>
    <mergeCell ref="LV244:LX245"/>
    <mergeCell ref="MB244:MD245"/>
    <mergeCell ref="MK242:MM242"/>
    <mergeCell ref="KC244:KE245"/>
    <mergeCell ref="KR242:KT242"/>
    <mergeCell ref="LJ246:LL246"/>
    <mergeCell ref="KI242:KK242"/>
    <mergeCell ref="LD244:LF245"/>
    <mergeCell ref="MH246:MJ246"/>
    <mergeCell ref="MK246:MM246"/>
    <mergeCell ref="MN246:MP246"/>
    <mergeCell ref="KC250:KE250"/>
    <mergeCell ref="KF250:KH250"/>
    <mergeCell ref="KI250:KK250"/>
    <mergeCell ref="KR246:KT246"/>
    <mergeCell ref="KU246:KW246"/>
    <mergeCell ref="KX246:KZ246"/>
    <mergeCell ref="LA246:LC246"/>
    <mergeCell ref="LD246:LF246"/>
    <mergeCell ref="KL246:KN246"/>
    <mergeCell ref="KC246:KE246"/>
    <mergeCell ref="KX248:KZ248"/>
    <mergeCell ref="LA248:LC248"/>
    <mergeCell ref="MN248:MP248"/>
    <mergeCell ref="MK248:MM248"/>
    <mergeCell ref="MK244:MM245"/>
    <mergeCell ref="KF244:KH245"/>
    <mergeCell ref="KC248:KE248"/>
    <mergeCell ref="KF248:KH248"/>
    <mergeCell ref="KI248:KK248"/>
    <mergeCell ref="KL248:KN248"/>
    <mergeCell ref="KO248:KQ248"/>
    <mergeCell ref="KR248:KT248"/>
    <mergeCell ref="MW252:MY253"/>
    <mergeCell ref="MZ252:NB253"/>
    <mergeCell ref="LG250:LI250"/>
    <mergeCell ref="MH252:MJ253"/>
    <mergeCell ref="MN250:MP250"/>
    <mergeCell ref="LJ252:LL253"/>
    <mergeCell ref="LM252:LO253"/>
    <mergeCell ref="LP252:LR253"/>
    <mergeCell ref="LJ250:LL250"/>
    <mergeCell ref="LM250:LO250"/>
    <mergeCell ref="LA252:LC253"/>
    <mergeCell ref="LD252:LF253"/>
    <mergeCell ref="KI252:KK253"/>
    <mergeCell ref="KL252:KN253"/>
    <mergeCell ref="KO252:KQ253"/>
    <mergeCell ref="KR252:KT253"/>
    <mergeCell ref="KU252:KW253"/>
    <mergeCell ref="KX252:KZ253"/>
    <mergeCell ref="LM246:LO246"/>
    <mergeCell ref="LJ192:LL192"/>
    <mergeCell ref="LM192:LO192"/>
    <mergeCell ref="LP202:LR202"/>
    <mergeCell ref="LM208:LO209"/>
    <mergeCell ref="KR196:KT197"/>
    <mergeCell ref="KU196:KW197"/>
    <mergeCell ref="KX196:KZ197"/>
    <mergeCell ref="LA196:LC197"/>
    <mergeCell ref="KF230:KH230"/>
    <mergeCell ref="KI230:KK230"/>
    <mergeCell ref="KL230:KN230"/>
    <mergeCell ref="LM230:LO230"/>
    <mergeCell ref="KF234:KH234"/>
    <mergeCell ref="NC252:NE253"/>
    <mergeCell ref="NC246:NE246"/>
    <mergeCell ref="LS252:LU253"/>
    <mergeCell ref="LV252:LX253"/>
    <mergeCell ref="LY252:MA253"/>
    <mergeCell ref="MB252:MD253"/>
    <mergeCell ref="ME252:MG253"/>
    <mergeCell ref="KC252:KE253"/>
    <mergeCell ref="KF252:KH253"/>
    <mergeCell ref="LS250:LU250"/>
    <mergeCell ref="LV250:LX250"/>
    <mergeCell ref="LY250:MA250"/>
    <mergeCell ref="NC250:NE250"/>
    <mergeCell ref="MT252:MV253"/>
    <mergeCell ref="LP198:LR198"/>
    <mergeCell ref="LP208:LR209"/>
    <mergeCell ref="LP206:LR206"/>
    <mergeCell ref="LP108:LR109"/>
    <mergeCell ref="LJ110:LL110"/>
    <mergeCell ref="LJ104:LL104"/>
    <mergeCell ref="LA206:LC206"/>
    <mergeCell ref="KX190:KZ190"/>
    <mergeCell ref="LA190:LC190"/>
    <mergeCell ref="KX192:KZ192"/>
    <mergeCell ref="LA192:LC192"/>
    <mergeCell ref="KX194:KZ194"/>
    <mergeCell ref="KI204:KK204"/>
    <mergeCell ref="KR222:KT223"/>
    <mergeCell ref="KR208:KT209"/>
    <mergeCell ref="KL224:KN224"/>
    <mergeCell ref="KL198:KN198"/>
    <mergeCell ref="KO192:KQ192"/>
    <mergeCell ref="LA194:LC194"/>
    <mergeCell ref="KO198:KQ198"/>
    <mergeCell ref="LD196:LF197"/>
    <mergeCell ref="LG196:LI197"/>
    <mergeCell ref="KX222:KZ223"/>
    <mergeCell ref="LA222:LC223"/>
    <mergeCell ref="LJ202:LL202"/>
    <mergeCell ref="LM202:LO202"/>
    <mergeCell ref="LJ200:LL200"/>
    <mergeCell ref="KU184:KW184"/>
    <mergeCell ref="KX186:KZ187"/>
    <mergeCell ref="KI206:KK206"/>
    <mergeCell ref="KL188:KN188"/>
    <mergeCell ref="KO190:KQ190"/>
    <mergeCell ref="LA96:LC96"/>
    <mergeCell ref="KU228:KW228"/>
    <mergeCell ref="LD222:LF223"/>
    <mergeCell ref="LG206:LI206"/>
    <mergeCell ref="LG200:LI200"/>
    <mergeCell ref="LD206:LF206"/>
    <mergeCell ref="KR226:KT226"/>
    <mergeCell ref="KX228:KZ228"/>
    <mergeCell ref="LD200:LF200"/>
    <mergeCell ref="LM222:LO223"/>
    <mergeCell ref="LJ224:LL224"/>
    <mergeCell ref="LM224:LO224"/>
    <mergeCell ref="LJ174:LL174"/>
    <mergeCell ref="LM228:LO228"/>
    <mergeCell ref="KU208:KW209"/>
    <mergeCell ref="LM200:LO200"/>
    <mergeCell ref="LM122:LO122"/>
    <mergeCell ref="LA134:LC135"/>
    <mergeCell ref="LA186:LC187"/>
    <mergeCell ref="LA178:LC179"/>
    <mergeCell ref="KX174:KZ174"/>
    <mergeCell ref="KR180:KT180"/>
    <mergeCell ref="KO224:KQ224"/>
    <mergeCell ref="KC236:KE236"/>
    <mergeCell ref="KL236:KN236"/>
    <mergeCell ref="LG244:LI245"/>
    <mergeCell ref="KX244:KZ245"/>
    <mergeCell ref="KX240:KZ241"/>
    <mergeCell ref="LP244:LR245"/>
    <mergeCell ref="LS244:LU245"/>
    <mergeCell ref="LA244:LC245"/>
    <mergeCell ref="KI244:KK245"/>
    <mergeCell ref="KL244:KN245"/>
    <mergeCell ref="LS230:LU230"/>
    <mergeCell ref="LA240:LC241"/>
    <mergeCell ref="LM244:LO245"/>
    <mergeCell ref="LS240:LU241"/>
    <mergeCell ref="LG180:LI180"/>
    <mergeCell ref="KR200:KT200"/>
    <mergeCell ref="KU200:KW200"/>
    <mergeCell ref="KX198:KZ198"/>
    <mergeCell ref="LA198:LC198"/>
    <mergeCell ref="LJ196:LL197"/>
    <mergeCell ref="LJ198:LL198"/>
    <mergeCell ref="LM198:LO198"/>
    <mergeCell ref="KI234:KK234"/>
    <mergeCell ref="LA232:LC232"/>
    <mergeCell ref="KU230:KW230"/>
    <mergeCell ref="KX230:KZ230"/>
    <mergeCell ref="LA230:LC230"/>
    <mergeCell ref="LD230:LF230"/>
    <mergeCell ref="LJ194:LL194"/>
    <mergeCell ref="LM194:LO194"/>
    <mergeCell ref="KR206:KT206"/>
    <mergeCell ref="LP200:LR200"/>
    <mergeCell ref="KO210:KQ210"/>
    <mergeCell ref="KL186:KN187"/>
    <mergeCell ref="KO234:KQ234"/>
    <mergeCell ref="KR234:KT234"/>
    <mergeCell ref="KU234:KW234"/>
    <mergeCell ref="R64:R65"/>
    <mergeCell ref="Q136:Q137"/>
    <mergeCell ref="Q178:Q179"/>
    <mergeCell ref="O200:O201"/>
    <mergeCell ref="P200:P201"/>
    <mergeCell ref="Q200:Q201"/>
    <mergeCell ref="N180:N181"/>
    <mergeCell ref="O180:O181"/>
    <mergeCell ref="R94:R95"/>
    <mergeCell ref="R108:R109"/>
    <mergeCell ref="R134:R135"/>
    <mergeCell ref="R178:R179"/>
    <mergeCell ref="P172:P173"/>
    <mergeCell ref="Q172:Q173"/>
    <mergeCell ref="P174:P175"/>
    <mergeCell ref="Q174:Q175"/>
    <mergeCell ref="P160:P161"/>
    <mergeCell ref="N182:N183"/>
    <mergeCell ref="O182:O183"/>
    <mergeCell ref="P182:P183"/>
    <mergeCell ref="KF228:KH228"/>
    <mergeCell ref="KR198:KT198"/>
    <mergeCell ref="KU198:KW198"/>
    <mergeCell ref="LA160:LC161"/>
    <mergeCell ref="LA234:LC234"/>
    <mergeCell ref="LD234:LF234"/>
    <mergeCell ref="N28:N29"/>
    <mergeCell ref="L30:L31"/>
    <mergeCell ref="M30:M31"/>
    <mergeCell ref="N30:N31"/>
    <mergeCell ref="M34:M35"/>
    <mergeCell ref="N34:N35"/>
    <mergeCell ref="L28:L29"/>
    <mergeCell ref="L36:L37"/>
    <mergeCell ref="M36:M37"/>
    <mergeCell ref="N36:N37"/>
    <mergeCell ref="L34:L35"/>
    <mergeCell ref="O36:O37"/>
    <mergeCell ref="O28:O29"/>
    <mergeCell ref="O30:O31"/>
    <mergeCell ref="L32:L33"/>
    <mergeCell ref="M32:M33"/>
    <mergeCell ref="R24:R25"/>
    <mergeCell ref="Q24:Q25"/>
    <mergeCell ref="R26:R27"/>
    <mergeCell ref="Q28:Q29"/>
    <mergeCell ref="Q30:Q31"/>
    <mergeCell ref="Q32:Q33"/>
    <mergeCell ref="O34:O35"/>
    <mergeCell ref="KC208:KE209"/>
    <mergeCell ref="P122:P123"/>
    <mergeCell ref="Q122:Q123"/>
    <mergeCell ref="KF180:KH180"/>
    <mergeCell ref="KI200:KK200"/>
    <mergeCell ref="KC198:KE198"/>
    <mergeCell ref="KC200:KE200"/>
    <mergeCell ref="KO200:KQ200"/>
    <mergeCell ref="P108:P109"/>
    <mergeCell ref="Q108:Q109"/>
    <mergeCell ref="R160:R161"/>
    <mergeCell ref="R186:R187"/>
    <mergeCell ref="R196:R197"/>
    <mergeCell ref="KL192:KN192"/>
    <mergeCell ref="KO188:KQ188"/>
    <mergeCell ref="KO194:KQ194"/>
    <mergeCell ref="KL160:KN161"/>
    <mergeCell ref="KL194:KN194"/>
    <mergeCell ref="KF200:KH200"/>
    <mergeCell ref="P104:P105"/>
    <mergeCell ref="P106:P107"/>
    <mergeCell ref="Q106:Q107"/>
    <mergeCell ref="P144:P145"/>
    <mergeCell ref="P164:P165"/>
    <mergeCell ref="Q164:Q165"/>
    <mergeCell ref="P166:P167"/>
    <mergeCell ref="Q110:Q111"/>
    <mergeCell ref="Q168:Q169"/>
    <mergeCell ref="Q166:Q167"/>
    <mergeCell ref="Q140:Q141"/>
    <mergeCell ref="P128:P129"/>
    <mergeCell ref="Q128:Q129"/>
    <mergeCell ref="Q126:Q127"/>
    <mergeCell ref="P158:P159"/>
    <mergeCell ref="Q158:Q159"/>
    <mergeCell ref="P140:P141"/>
    <mergeCell ref="P142:P143"/>
    <mergeCell ref="Q142:Q143"/>
    <mergeCell ref="Q112:Q113"/>
    <mergeCell ref="P114:P115"/>
    <mergeCell ref="Q114:Q115"/>
    <mergeCell ref="P116:P117"/>
    <mergeCell ref="Q116:Q117"/>
    <mergeCell ref="E123:E124"/>
    <mergeCell ref="NC240:NE241"/>
    <mergeCell ref="MB222:MD223"/>
    <mergeCell ref="ME222:MG223"/>
    <mergeCell ref="MH222:MJ223"/>
    <mergeCell ref="MK222:MM223"/>
    <mergeCell ref="MN222:MP223"/>
    <mergeCell ref="NC222:NE223"/>
    <mergeCell ref="MH162:MJ162"/>
    <mergeCell ref="MK162:MM162"/>
    <mergeCell ref="MN162:MP162"/>
    <mergeCell ref="NC162:NE162"/>
    <mergeCell ref="LV164:LX164"/>
    <mergeCell ref="LP174:LR174"/>
    <mergeCell ref="LS174:LU174"/>
    <mergeCell ref="LV174:LX174"/>
    <mergeCell ref="LY174:MA174"/>
    <mergeCell ref="LY164:MA164"/>
    <mergeCell ref="MK164:MM164"/>
    <mergeCell ref="LV166:LX166"/>
    <mergeCell ref="LS196:LU197"/>
    <mergeCell ref="P136:P137"/>
    <mergeCell ref="P126:P127"/>
    <mergeCell ref="Q186:Q187"/>
    <mergeCell ref="MB230:MD230"/>
    <mergeCell ref="NC234:NE234"/>
    <mergeCell ref="LS228:LU228"/>
    <mergeCell ref="LS186:LU187"/>
    <mergeCell ref="KF224:KH224"/>
    <mergeCell ref="LA226:LC226"/>
    <mergeCell ref="L240:O241"/>
    <mergeCell ref="P240:P241"/>
    <mergeCell ref="KX226:KZ226"/>
    <mergeCell ref="KC224:KE224"/>
    <mergeCell ref="KU224:KW224"/>
    <mergeCell ref="MT232:MV232"/>
    <mergeCell ref="LG238:LI238"/>
    <mergeCell ref="LP238:LR238"/>
    <mergeCell ref="LJ238:LL238"/>
    <mergeCell ref="LS238:LU238"/>
    <mergeCell ref="LV238:LX238"/>
    <mergeCell ref="LY238:MA238"/>
    <mergeCell ref="MB238:MD238"/>
    <mergeCell ref="LD232:LF232"/>
    <mergeCell ref="MQ214:MS214"/>
    <mergeCell ref="MT214:MV214"/>
    <mergeCell ref="MQ218:MS218"/>
    <mergeCell ref="LY212:MA212"/>
    <mergeCell ref="LM240:LO241"/>
    <mergeCell ref="LG240:LI241"/>
    <mergeCell ref="LP196:LR197"/>
    <mergeCell ref="KC206:KE206"/>
    <mergeCell ref="KF206:KH206"/>
    <mergeCell ref="KO208:KQ209"/>
    <mergeCell ref="KL200:KN200"/>
    <mergeCell ref="MW232:MY232"/>
    <mergeCell ref="MB226:MD226"/>
    <mergeCell ref="LP230:LR230"/>
    <mergeCell ref="LY220:MA220"/>
    <mergeCell ref="MT218:MV218"/>
    <mergeCell ref="LP222:LR223"/>
    <mergeCell ref="NC228:NE228"/>
    <mergeCell ref="MN232:MP232"/>
    <mergeCell ref="Q240:Q241"/>
    <mergeCell ref="LV240:LX241"/>
    <mergeCell ref="LJ222:LL223"/>
    <mergeCell ref="KR240:KT241"/>
    <mergeCell ref="KU240:KW241"/>
    <mergeCell ref="KX234:KZ234"/>
    <mergeCell ref="KX232:KZ232"/>
    <mergeCell ref="KR228:KT228"/>
    <mergeCell ref="MB228:MD228"/>
    <mergeCell ref="ME228:MG228"/>
    <mergeCell ref="MN230:MP230"/>
    <mergeCell ref="KC234:KE234"/>
    <mergeCell ref="KU222:KW223"/>
    <mergeCell ref="KC230:KE230"/>
    <mergeCell ref="KC228:KE228"/>
    <mergeCell ref="ME240:MG241"/>
    <mergeCell ref="LV234:LX234"/>
    <mergeCell ref="LJ234:LL234"/>
    <mergeCell ref="MN238:MP238"/>
    <mergeCell ref="MB232:MD232"/>
    <mergeCell ref="LY230:MA230"/>
    <mergeCell ref="KC196:KE197"/>
    <mergeCell ref="KF196:KH197"/>
    <mergeCell ref="KI196:KK197"/>
    <mergeCell ref="KL196:KN197"/>
    <mergeCell ref="KO196:KQ197"/>
    <mergeCell ref="KC210:KE210"/>
    <mergeCell ref="KL206:KN206"/>
    <mergeCell ref="MM19:NE19"/>
    <mergeCell ref="LY108:MA109"/>
    <mergeCell ref="LY94:MA95"/>
    <mergeCell ref="LY64:MA65"/>
    <mergeCell ref="MB64:MD65"/>
    <mergeCell ref="ME64:MG65"/>
    <mergeCell ref="MB94:MD95"/>
    <mergeCell ref="ME94:MG95"/>
    <mergeCell ref="MH94:MJ95"/>
    <mergeCell ref="MB108:MD109"/>
    <mergeCell ref="ME108:MG109"/>
    <mergeCell ref="MH108:MJ109"/>
    <mergeCell ref="MN22:MP22"/>
    <mergeCell ref="MK174:MM174"/>
    <mergeCell ref="MN174:MP174"/>
    <mergeCell ref="KI178:KK179"/>
    <mergeCell ref="KI160:KK161"/>
    <mergeCell ref="KR50:KT50"/>
    <mergeCell ref="KO90:KQ90"/>
    <mergeCell ref="KO56:KQ56"/>
    <mergeCell ref="KL174:KN174"/>
    <mergeCell ref="KI240:KK241"/>
    <mergeCell ref="KL240:KN241"/>
    <mergeCell ref="KC240:KE241"/>
    <mergeCell ref="KO240:KQ241"/>
    <mergeCell ref="KI232:KK232"/>
    <mergeCell ref="KL232:KN232"/>
    <mergeCell ref="KO232:KQ232"/>
    <mergeCell ref="KF222:KH223"/>
    <mergeCell ref="LP240:LR241"/>
    <mergeCell ref="LA238:LC238"/>
    <mergeCell ref="KX206:KZ206"/>
    <mergeCell ref="LD240:LF241"/>
    <mergeCell ref="KI222:KK223"/>
    <mergeCell ref="KL222:KN223"/>
    <mergeCell ref="LJ230:LL230"/>
    <mergeCell ref="LM232:LO232"/>
    <mergeCell ref="LA210:LC210"/>
    <mergeCell ref="LJ228:LL228"/>
    <mergeCell ref="KF240:KH241"/>
    <mergeCell ref="LJ206:LL206"/>
    <mergeCell ref="LM206:LO206"/>
    <mergeCell ref="KC232:KE232"/>
    <mergeCell ref="KF232:KH232"/>
    <mergeCell ref="LA208:LC209"/>
    <mergeCell ref="LG230:LI230"/>
    <mergeCell ref="LM226:LO226"/>
    <mergeCell ref="LG234:LI234"/>
    <mergeCell ref="LG232:LI232"/>
    <mergeCell ref="LP232:LR232"/>
    <mergeCell ref="MW214:MY214"/>
    <mergeCell ref="ME238:MG238"/>
    <mergeCell ref="MH238:MJ238"/>
    <mergeCell ref="LY232:MA232"/>
    <mergeCell ref="LP226:LR226"/>
    <mergeCell ref="LS226:LU226"/>
    <mergeCell ref="LV230:LX230"/>
    <mergeCell ref="ME230:MG230"/>
    <mergeCell ref="MH230:MJ230"/>
    <mergeCell ref="LS222:LU223"/>
    <mergeCell ref="MT238:MV238"/>
    <mergeCell ref="MW238:MY238"/>
    <mergeCell ref="LG208:LI209"/>
    <mergeCell ref="NC232:NE232"/>
    <mergeCell ref="MK230:MM230"/>
    <mergeCell ref="MK226:MM226"/>
    <mergeCell ref="MN226:MP226"/>
    <mergeCell ref="NC226:NE226"/>
    <mergeCell ref="LV226:LX226"/>
    <mergeCell ref="MW218:MY218"/>
    <mergeCell ref="MZ218:NB218"/>
    <mergeCell ref="ME232:MG232"/>
    <mergeCell ref="MH232:MJ232"/>
    <mergeCell ref="MK232:MM232"/>
    <mergeCell ref="LY234:MA234"/>
    <mergeCell ref="MB234:MD234"/>
    <mergeCell ref="ME234:MG234"/>
    <mergeCell ref="MH234:MJ234"/>
    <mergeCell ref="MB212:MD212"/>
    <mergeCell ref="LP261:LR261"/>
    <mergeCell ref="LA261:LC261"/>
    <mergeCell ref="LD261:LF261"/>
    <mergeCell ref="LP256:LR257"/>
    <mergeCell ref="KO250:KQ250"/>
    <mergeCell ref="KR250:KT250"/>
    <mergeCell ref="KU250:KW250"/>
    <mergeCell ref="KX250:KZ250"/>
    <mergeCell ref="LA250:LC250"/>
    <mergeCell ref="LY240:MA241"/>
    <mergeCell ref="MB240:MD241"/>
    <mergeCell ref="MK240:MM241"/>
    <mergeCell ref="MN240:MP241"/>
    <mergeCell ref="MK252:MM253"/>
    <mergeCell ref="MN252:MP253"/>
    <mergeCell ref="KU244:KW245"/>
    <mergeCell ref="LJ261:LL261"/>
    <mergeCell ref="LG261:LI261"/>
    <mergeCell ref="KU261:KW261"/>
    <mergeCell ref="KX261:KZ261"/>
    <mergeCell ref="KR244:KT245"/>
    <mergeCell ref="LM256:LO257"/>
    <mergeCell ref="MH240:MJ241"/>
    <mergeCell ref="LP250:LR250"/>
    <mergeCell ref="LS260:LU260"/>
    <mergeCell ref="LV260:LX260"/>
    <mergeCell ref="LY260:MA260"/>
    <mergeCell ref="MB260:MD260"/>
    <mergeCell ref="ME260:MG260"/>
    <mergeCell ref="KO259:KQ259"/>
    <mergeCell ref="KR259:KT259"/>
    <mergeCell ref="KU259:KW259"/>
    <mergeCell ref="NG54:NG55"/>
    <mergeCell ref="LV222:LX223"/>
    <mergeCell ref="LV224:LX224"/>
    <mergeCell ref="LJ240:LL241"/>
    <mergeCell ref="LS232:LU232"/>
    <mergeCell ref="LP234:LR234"/>
    <mergeCell ref="LS234:LU234"/>
    <mergeCell ref="KX224:KZ224"/>
    <mergeCell ref="LD224:LF224"/>
    <mergeCell ref="NG236:NG237"/>
    <mergeCell ref="MK258:MM258"/>
    <mergeCell ref="KX256:KZ257"/>
    <mergeCell ref="LG246:LI246"/>
    <mergeCell ref="LM238:LO238"/>
    <mergeCell ref="KU256:KW257"/>
    <mergeCell ref="KO246:KQ246"/>
    <mergeCell ref="LG256:LI257"/>
    <mergeCell ref="LY258:MA258"/>
    <mergeCell ref="MB250:MD250"/>
    <mergeCell ref="ME250:MG250"/>
    <mergeCell ref="MH250:MJ250"/>
    <mergeCell ref="MK250:MM250"/>
    <mergeCell ref="MN258:MP258"/>
    <mergeCell ref="LD256:LF257"/>
    <mergeCell ref="MH212:MJ212"/>
    <mergeCell ref="MN216:MP216"/>
    <mergeCell ref="MH220:MJ220"/>
    <mergeCell ref="NC208:NE209"/>
    <mergeCell ref="MN208:MP209"/>
    <mergeCell ref="MH208:MJ209"/>
    <mergeCell ref="MK224:MM224"/>
    <mergeCell ref="LV232:LX232"/>
    <mergeCell ref="Q198:Q199"/>
    <mergeCell ref="M224:M225"/>
    <mergeCell ref="M128:M129"/>
    <mergeCell ref="N128:N129"/>
    <mergeCell ref="Q216:Q217"/>
    <mergeCell ref="P196:P197"/>
    <mergeCell ref="Q204:Q205"/>
    <mergeCell ref="Q196:Q197"/>
    <mergeCell ref="P204:P205"/>
    <mergeCell ref="LS96:LU96"/>
    <mergeCell ref="LM261:LO261"/>
    <mergeCell ref="NL22:NL23"/>
    <mergeCell ref="NM22:NM23"/>
    <mergeCell ref="NL250:NL251"/>
    <mergeCell ref="KR174:KT174"/>
    <mergeCell ref="LG226:LI226"/>
    <mergeCell ref="LJ100:LL100"/>
    <mergeCell ref="LA228:LC228"/>
    <mergeCell ref="LD228:LF228"/>
    <mergeCell ref="LG228:LI228"/>
    <mergeCell ref="KO228:KQ228"/>
    <mergeCell ref="KI228:KK228"/>
    <mergeCell ref="LM234:LO234"/>
    <mergeCell ref="KU186:KW187"/>
    <mergeCell ref="KR94:KT95"/>
    <mergeCell ref="KU94:KW95"/>
    <mergeCell ref="KR90:KT90"/>
    <mergeCell ref="KR92:KT92"/>
    <mergeCell ref="KU90:KW90"/>
    <mergeCell ref="KU92:KW92"/>
    <mergeCell ref="KR64:KT65"/>
    <mergeCell ref="NG52:NG53"/>
    <mergeCell ref="KC226:KE226"/>
    <mergeCell ref="MH164:MJ164"/>
    <mergeCell ref="MK176:MM176"/>
    <mergeCell ref="LM196:LO197"/>
    <mergeCell ref="MH80:MJ80"/>
    <mergeCell ref="MH64:MJ65"/>
    <mergeCell ref="MK64:MM65"/>
    <mergeCell ref="MB220:MD220"/>
    <mergeCell ref="ME220:MG220"/>
    <mergeCell ref="ME226:MG226"/>
    <mergeCell ref="NC64:NE65"/>
    <mergeCell ref="NG142:NG143"/>
    <mergeCell ref="NG148:NG149"/>
    <mergeCell ref="NG134:NG135"/>
    <mergeCell ref="NG100:NG101"/>
    <mergeCell ref="L234:L235"/>
    <mergeCell ref="M234:M235"/>
    <mergeCell ref="Q188:Q189"/>
    <mergeCell ref="Q214:Q215"/>
    <mergeCell ref="P228:P229"/>
    <mergeCell ref="Q228:Q229"/>
    <mergeCell ref="P206:P207"/>
    <mergeCell ref="M190:M191"/>
    <mergeCell ref="N190:N191"/>
    <mergeCell ref="L184:L185"/>
    <mergeCell ref="M184:M185"/>
    <mergeCell ref="N184:N185"/>
    <mergeCell ref="O184:O185"/>
    <mergeCell ref="Q230:Q231"/>
    <mergeCell ref="L192:L193"/>
    <mergeCell ref="Q192:Q193"/>
    <mergeCell ref="P198:P199"/>
    <mergeCell ref="NG56:NG57"/>
    <mergeCell ref="NG64:NG65"/>
    <mergeCell ref="NG224:NG225"/>
    <mergeCell ref="NG226:NG227"/>
    <mergeCell ref="NG180:NG181"/>
    <mergeCell ref="NG184:NG185"/>
    <mergeCell ref="NG186:NG187"/>
    <mergeCell ref="NG144:NG145"/>
    <mergeCell ref="NG72:NG73"/>
    <mergeCell ref="NG74:NG75"/>
    <mergeCell ref="KF198:KH198"/>
    <mergeCell ref="KI198:KK198"/>
    <mergeCell ref="KF208:KH209"/>
    <mergeCell ref="KI208:KK209"/>
    <mergeCell ref="KI186:KK187"/>
    <mergeCell ref="KF174:KH174"/>
    <mergeCell ref="NG182:NG183"/>
    <mergeCell ref="NG192:NG193"/>
    <mergeCell ref="NG68:NG69"/>
    <mergeCell ref="LA174:LC174"/>
    <mergeCell ref="LJ178:LL179"/>
    <mergeCell ref="ME212:MG212"/>
    <mergeCell ref="MN220:MP220"/>
    <mergeCell ref="LP224:LR224"/>
    <mergeCell ref="LY224:MA224"/>
    <mergeCell ref="MB224:MD224"/>
    <mergeCell ref="ME224:MG224"/>
    <mergeCell ref="LY226:MA226"/>
    <mergeCell ref="KF108:KH109"/>
    <mergeCell ref="KO174:KQ174"/>
    <mergeCell ref="KI184:KK184"/>
    <mergeCell ref="LS180:LU180"/>
    <mergeCell ref="LY256:MA257"/>
    <mergeCell ref="MB256:MD257"/>
    <mergeCell ref="ME256:MG257"/>
    <mergeCell ref="MH256:MJ257"/>
    <mergeCell ref="MK256:MM257"/>
    <mergeCell ref="LJ46:LL46"/>
    <mergeCell ref="LM112:LO112"/>
    <mergeCell ref="LP112:LR112"/>
    <mergeCell ref="LS112:LU112"/>
    <mergeCell ref="LJ96:LL96"/>
    <mergeCell ref="LA104:LC104"/>
    <mergeCell ref="KX238:KZ238"/>
    <mergeCell ref="LS208:LU209"/>
    <mergeCell ref="LJ208:LL209"/>
    <mergeCell ref="KO244:KQ245"/>
    <mergeCell ref="KL256:KN257"/>
    <mergeCell ref="KO256:KQ257"/>
    <mergeCell ref="KR256:KT257"/>
    <mergeCell ref="LS256:LU257"/>
    <mergeCell ref="LV256:LX257"/>
    <mergeCell ref="LS224:LU224"/>
    <mergeCell ref="LD250:LF250"/>
    <mergeCell ref="KL250:KN250"/>
    <mergeCell ref="LY222:MA223"/>
    <mergeCell ref="MH224:MJ224"/>
    <mergeCell ref="MK238:MM238"/>
    <mergeCell ref="LD238:LF238"/>
    <mergeCell ref="LD198:LF198"/>
    <mergeCell ref="LG198:LI198"/>
    <mergeCell ref="KX200:KZ200"/>
    <mergeCell ref="KU178:KW179"/>
    <mergeCell ref="KX90:KZ90"/>
    <mergeCell ref="HU261:IX261"/>
    <mergeCell ref="IY261:KB261"/>
    <mergeCell ref="KC261:KE261"/>
    <mergeCell ref="KF261:KH261"/>
    <mergeCell ref="KI261:KK261"/>
    <mergeCell ref="KL261:KN261"/>
    <mergeCell ref="KO261:KQ261"/>
    <mergeCell ref="KR261:KT261"/>
    <mergeCell ref="KC160:KE161"/>
    <mergeCell ref="KL94:KN95"/>
    <mergeCell ref="KL100:KN100"/>
    <mergeCell ref="KO178:KQ179"/>
    <mergeCell ref="KO222:KQ223"/>
    <mergeCell ref="KF226:KH226"/>
    <mergeCell ref="KI226:KK226"/>
    <mergeCell ref="KL226:KN226"/>
    <mergeCell ref="KL208:KN209"/>
    <mergeCell ref="KC222:KE223"/>
    <mergeCell ref="KC190:KE190"/>
    <mergeCell ref="KC134:KE135"/>
    <mergeCell ref="KF134:KH135"/>
    <mergeCell ref="KI134:KK135"/>
    <mergeCell ref="KL190:KN190"/>
    <mergeCell ref="N198:N199"/>
    <mergeCell ref="N200:N201"/>
    <mergeCell ref="L202:L203"/>
    <mergeCell ref="P224:P225"/>
    <mergeCell ref="N192:N193"/>
    <mergeCell ref="M216:M217"/>
    <mergeCell ref="ME54:MG54"/>
    <mergeCell ref="KR66:KT66"/>
    <mergeCell ref="KR68:KT68"/>
    <mergeCell ref="KX64:KZ65"/>
    <mergeCell ref="LJ64:LL65"/>
    <mergeCell ref="LJ74:LL74"/>
    <mergeCell ref="LM74:LO74"/>
    <mergeCell ref="LP74:LR74"/>
    <mergeCell ref="LS74:LU74"/>
    <mergeCell ref="LA72:LC72"/>
    <mergeCell ref="LD74:LF74"/>
    <mergeCell ref="LD70:LF70"/>
    <mergeCell ref="LY140:MA140"/>
    <mergeCell ref="LV120:LX120"/>
    <mergeCell ref="LY120:MA120"/>
    <mergeCell ref="LV122:LX122"/>
    <mergeCell ref="LV124:LX124"/>
    <mergeCell ref="LY132:MA132"/>
    <mergeCell ref="LP124:LR124"/>
    <mergeCell ref="LS124:LU124"/>
    <mergeCell ref="LV110:LX110"/>
    <mergeCell ref="LD104:LF104"/>
    <mergeCell ref="LA106:LC106"/>
    <mergeCell ref="LD106:LF106"/>
    <mergeCell ref="LJ114:LL114"/>
    <mergeCell ref="LJ134:LL135"/>
    <mergeCell ref="L244:O245"/>
    <mergeCell ref="P236:P237"/>
    <mergeCell ref="Q236:Q237"/>
    <mergeCell ref="Q222:Q223"/>
    <mergeCell ref="Q224:Q225"/>
    <mergeCell ref="P232:P233"/>
    <mergeCell ref="Q232:Q233"/>
    <mergeCell ref="Q218:Q219"/>
    <mergeCell ref="P202:P203"/>
    <mergeCell ref="M210:M211"/>
    <mergeCell ref="N210:N211"/>
    <mergeCell ref="O210:O211"/>
    <mergeCell ref="L218:L219"/>
    <mergeCell ref="O204:O205"/>
    <mergeCell ref="O190:O191"/>
    <mergeCell ref="L194:L195"/>
    <mergeCell ref="M194:M195"/>
    <mergeCell ref="M206:M207"/>
    <mergeCell ref="L206:L207"/>
    <mergeCell ref="N206:N207"/>
    <mergeCell ref="O206:O207"/>
    <mergeCell ref="L190:L191"/>
    <mergeCell ref="N220:N221"/>
    <mergeCell ref="M192:M193"/>
    <mergeCell ref="P190:P191"/>
    <mergeCell ref="P230:P231"/>
    <mergeCell ref="Q202:Q203"/>
    <mergeCell ref="Q212:Q213"/>
    <mergeCell ref="P194:P195"/>
    <mergeCell ref="Q194:Q195"/>
    <mergeCell ref="L198:L199"/>
    <mergeCell ref="M198:M199"/>
    <mergeCell ref="R222:R223"/>
    <mergeCell ref="O220:O221"/>
    <mergeCell ref="P216:P217"/>
    <mergeCell ref="Q206:Q207"/>
    <mergeCell ref="O218:O219"/>
    <mergeCell ref="N216:N217"/>
    <mergeCell ref="O214:O215"/>
    <mergeCell ref="M230:M231"/>
    <mergeCell ref="N230:N231"/>
    <mergeCell ref="Q238:Q239"/>
    <mergeCell ref="L242:L243"/>
    <mergeCell ref="M242:M243"/>
    <mergeCell ref="N242:N243"/>
    <mergeCell ref="O242:O243"/>
    <mergeCell ref="P242:P243"/>
    <mergeCell ref="Q242:Q243"/>
    <mergeCell ref="P208:P209"/>
    <mergeCell ref="Q208:Q209"/>
    <mergeCell ref="P210:P211"/>
    <mergeCell ref="Q210:Q211"/>
    <mergeCell ref="P212:P213"/>
    <mergeCell ref="P226:P227"/>
    <mergeCell ref="Q226:Q227"/>
    <mergeCell ref="L210:L211"/>
    <mergeCell ref="P218:P219"/>
    <mergeCell ref="O216:O217"/>
    <mergeCell ref="L232:L233"/>
    <mergeCell ref="L224:L225"/>
    <mergeCell ref="M218:M219"/>
    <mergeCell ref="P234:P235"/>
    <mergeCell ref="N234:N235"/>
    <mergeCell ref="O234:O235"/>
    <mergeCell ref="KU238:KW238"/>
    <mergeCell ref="Q234:Q235"/>
    <mergeCell ref="M214:M215"/>
    <mergeCell ref="N214:N215"/>
    <mergeCell ref="M220:M221"/>
    <mergeCell ref="R208:R209"/>
    <mergeCell ref="MH258:MJ258"/>
    <mergeCell ref="R240:R241"/>
    <mergeCell ref="R244:R245"/>
    <mergeCell ref="M232:M233"/>
    <mergeCell ref="N232:N233"/>
    <mergeCell ref="O232:O233"/>
    <mergeCell ref="N218:N219"/>
    <mergeCell ref="O226:O227"/>
    <mergeCell ref="O230:O231"/>
    <mergeCell ref="L222:O223"/>
    <mergeCell ref="L214:L215"/>
    <mergeCell ref="L212:L213"/>
    <mergeCell ref="O212:O213"/>
    <mergeCell ref="L220:L221"/>
    <mergeCell ref="L228:L229"/>
    <mergeCell ref="M228:M229"/>
    <mergeCell ref="N228:N229"/>
    <mergeCell ref="L236:L237"/>
    <mergeCell ref="M236:M237"/>
    <mergeCell ref="L246:M247"/>
    <mergeCell ref="L248:M249"/>
    <mergeCell ref="N236:N237"/>
    <mergeCell ref="O236:O237"/>
    <mergeCell ref="P214:P215"/>
    <mergeCell ref="Q160:Q161"/>
    <mergeCell ref="P176:P177"/>
    <mergeCell ref="Q176:Q177"/>
    <mergeCell ref="P186:P187"/>
    <mergeCell ref="P222:P223"/>
    <mergeCell ref="P188:P189"/>
    <mergeCell ref="Q190:Q191"/>
    <mergeCell ref="P192:P193"/>
    <mergeCell ref="P184:P185"/>
    <mergeCell ref="Q184:Q185"/>
    <mergeCell ref="P220:P221"/>
    <mergeCell ref="Q220:Q221"/>
    <mergeCell ref="NC258:NE258"/>
    <mergeCell ref="ME258:MG258"/>
    <mergeCell ref="LA258:LC258"/>
    <mergeCell ref="LG258:LI258"/>
    <mergeCell ref="LJ256:LL257"/>
    <mergeCell ref="LA256:LC257"/>
    <mergeCell ref="KL258:KN258"/>
    <mergeCell ref="KO258:KQ258"/>
    <mergeCell ref="KR258:KT258"/>
    <mergeCell ref="KU258:KW258"/>
    <mergeCell ref="KX258:KZ258"/>
    <mergeCell ref="LD258:LF258"/>
    <mergeCell ref="KC256:KE257"/>
    <mergeCell ref="KF256:KH257"/>
    <mergeCell ref="MB258:MD258"/>
    <mergeCell ref="KR238:KT238"/>
    <mergeCell ref="P178:P179"/>
    <mergeCell ref="P168:P169"/>
    <mergeCell ref="P156:P157"/>
    <mergeCell ref="Q144:Q145"/>
    <mergeCell ref="P146:P147"/>
    <mergeCell ref="P180:P181"/>
    <mergeCell ref="Q180:Q181"/>
    <mergeCell ref="P170:P171"/>
    <mergeCell ref="Q170:Q171"/>
    <mergeCell ref="Q182:Q183"/>
    <mergeCell ref="P154:P155"/>
    <mergeCell ref="Q154:Q155"/>
    <mergeCell ref="Q146:Q147"/>
    <mergeCell ref="N168:N169"/>
    <mergeCell ref="P148:P149"/>
    <mergeCell ref="Q148:Q149"/>
    <mergeCell ref="P150:P151"/>
    <mergeCell ref="O172:O173"/>
    <mergeCell ref="Q156:Q157"/>
    <mergeCell ref="P162:P163"/>
    <mergeCell ref="Q162:Q163"/>
    <mergeCell ref="N154:N155"/>
    <mergeCell ref="O154:O155"/>
    <mergeCell ref="O176:O177"/>
    <mergeCell ref="N130:N131"/>
    <mergeCell ref="N132:N133"/>
    <mergeCell ref="O130:O131"/>
    <mergeCell ref="O132:O133"/>
    <mergeCell ref="O136:O137"/>
    <mergeCell ref="N150:N151"/>
    <mergeCell ref="P138:P139"/>
    <mergeCell ref="Q138:Q139"/>
    <mergeCell ref="P118:P119"/>
    <mergeCell ref="P130:P131"/>
    <mergeCell ref="M150:M151"/>
    <mergeCell ref="O128:O129"/>
    <mergeCell ref="P134:P135"/>
    <mergeCell ref="Q134:Q135"/>
    <mergeCell ref="Q132:Q133"/>
    <mergeCell ref="P120:P121"/>
    <mergeCell ref="Q120:Q121"/>
    <mergeCell ref="M140:M141"/>
    <mergeCell ref="P132:P133"/>
    <mergeCell ref="O150:O151"/>
    <mergeCell ref="N140:N141"/>
    <mergeCell ref="O140:O141"/>
    <mergeCell ref="M146:M147"/>
    <mergeCell ref="N146:N147"/>
    <mergeCell ref="M142:M143"/>
    <mergeCell ref="N142:N143"/>
    <mergeCell ref="N124:N125"/>
    <mergeCell ref="O124:O125"/>
    <mergeCell ref="M122:M123"/>
    <mergeCell ref="N122:N123"/>
    <mergeCell ref="O122:O123"/>
    <mergeCell ref="Q118:Q119"/>
    <mergeCell ref="Q76:Q77"/>
    <mergeCell ref="P78:P79"/>
    <mergeCell ref="Q78:Q79"/>
    <mergeCell ref="P80:P81"/>
    <mergeCell ref="Q80:Q81"/>
    <mergeCell ref="P82:P83"/>
    <mergeCell ref="Q82:Q83"/>
    <mergeCell ref="P84:P85"/>
    <mergeCell ref="Q84:Q85"/>
    <mergeCell ref="L108:O109"/>
    <mergeCell ref="M116:M117"/>
    <mergeCell ref="N116:N117"/>
    <mergeCell ref="M114:M115"/>
    <mergeCell ref="N114:N115"/>
    <mergeCell ref="O114:O115"/>
    <mergeCell ref="L156:L157"/>
    <mergeCell ref="M156:M157"/>
    <mergeCell ref="O146:O147"/>
    <mergeCell ref="L138:L139"/>
    <mergeCell ref="M138:M139"/>
    <mergeCell ref="N138:N139"/>
    <mergeCell ref="O138:O139"/>
    <mergeCell ref="L134:O135"/>
    <mergeCell ref="P124:P125"/>
    <mergeCell ref="Q124:Q125"/>
    <mergeCell ref="M126:M127"/>
    <mergeCell ref="N126:N127"/>
    <mergeCell ref="O126:O127"/>
    <mergeCell ref="Q150:Q151"/>
    <mergeCell ref="P152:P153"/>
    <mergeCell ref="Q152:Q153"/>
    <mergeCell ref="P112:P113"/>
    <mergeCell ref="Q96:Q97"/>
    <mergeCell ref="P98:P99"/>
    <mergeCell ref="Q98:Q99"/>
    <mergeCell ref="P100:P101"/>
    <mergeCell ref="Q100:Q101"/>
    <mergeCell ref="P102:P103"/>
    <mergeCell ref="Q102:Q103"/>
    <mergeCell ref="P110:P111"/>
    <mergeCell ref="Q104:Q105"/>
    <mergeCell ref="P58:P59"/>
    <mergeCell ref="Q58:Q59"/>
    <mergeCell ref="P62:P63"/>
    <mergeCell ref="Q62:Q63"/>
    <mergeCell ref="P64:P65"/>
    <mergeCell ref="Q64:Q65"/>
    <mergeCell ref="P66:P67"/>
    <mergeCell ref="Q66:Q67"/>
    <mergeCell ref="P68:P69"/>
    <mergeCell ref="Q68:Q69"/>
    <mergeCell ref="P86:P87"/>
    <mergeCell ref="Q86:Q87"/>
    <mergeCell ref="P88:P89"/>
    <mergeCell ref="Q88:Q89"/>
    <mergeCell ref="Q60:Q61"/>
    <mergeCell ref="P90:P91"/>
    <mergeCell ref="Q90:Q91"/>
    <mergeCell ref="P70:P71"/>
    <mergeCell ref="Q70:Q71"/>
    <mergeCell ref="P72:P73"/>
    <mergeCell ref="Q72:Q73"/>
    <mergeCell ref="P74:P75"/>
    <mergeCell ref="Q74:Q75"/>
    <mergeCell ref="Q44:Q45"/>
    <mergeCell ref="P60:P61"/>
    <mergeCell ref="Q38:Q39"/>
    <mergeCell ref="P40:P41"/>
    <mergeCell ref="Q40:Q41"/>
    <mergeCell ref="P42:P43"/>
    <mergeCell ref="Q42:Q43"/>
    <mergeCell ref="P46:P47"/>
    <mergeCell ref="P32:P33"/>
    <mergeCell ref="M40:M41"/>
    <mergeCell ref="N40:N41"/>
    <mergeCell ref="O40:O41"/>
    <mergeCell ref="Q46:Q47"/>
    <mergeCell ref="P48:P49"/>
    <mergeCell ref="Q48:Q49"/>
    <mergeCell ref="P50:P51"/>
    <mergeCell ref="Q50:Q51"/>
    <mergeCell ref="P52:P53"/>
    <mergeCell ref="Q52:Q53"/>
    <mergeCell ref="P54:P55"/>
    <mergeCell ref="Q54:Q55"/>
    <mergeCell ref="P56:P57"/>
    <mergeCell ref="Q56:Q57"/>
    <mergeCell ref="N32:N33"/>
    <mergeCell ref="O32:O33"/>
    <mergeCell ref="M60:M61"/>
    <mergeCell ref="N60:N61"/>
    <mergeCell ref="O60:O61"/>
    <mergeCell ref="O50:O51"/>
    <mergeCell ref="Q34:Q35"/>
    <mergeCell ref="Q36:Q37"/>
    <mergeCell ref="L18:NE18"/>
    <mergeCell ref="L21:M23"/>
    <mergeCell ref="N21:N23"/>
    <mergeCell ref="O21:O23"/>
    <mergeCell ref="LV20:LX20"/>
    <mergeCell ref="LY20:MA20"/>
    <mergeCell ref="MB20:MD20"/>
    <mergeCell ref="ME20:MG20"/>
    <mergeCell ref="MH20:MJ20"/>
    <mergeCell ref="MK20:MM20"/>
    <mergeCell ref="MN20:MP20"/>
    <mergeCell ref="NC20:NE20"/>
    <mergeCell ref="LG42:LI42"/>
    <mergeCell ref="LJ42:LL42"/>
    <mergeCell ref="LJ22:LL22"/>
    <mergeCell ref="R21:R23"/>
    <mergeCell ref="LM38:LO38"/>
    <mergeCell ref="LP38:LR38"/>
    <mergeCell ref="KO40:KQ40"/>
    <mergeCell ref="P21:P23"/>
    <mergeCell ref="Q21:Q23"/>
    <mergeCell ref="L26:O27"/>
    <mergeCell ref="P26:P27"/>
    <mergeCell ref="Q26:Q27"/>
    <mergeCell ref="P28:P29"/>
    <mergeCell ref="P30:P31"/>
    <mergeCell ref="P36:P37"/>
    <mergeCell ref="P34:P35"/>
    <mergeCell ref="L19:O19"/>
    <mergeCell ref="L24:N25"/>
    <mergeCell ref="O24:P25"/>
    <mergeCell ref="M28:M29"/>
    <mergeCell ref="L86:L87"/>
    <mergeCell ref="N98:N99"/>
    <mergeCell ref="O98:O99"/>
    <mergeCell ref="L42:L43"/>
    <mergeCell ref="M42:M43"/>
    <mergeCell ref="L58:L59"/>
    <mergeCell ref="N42:N43"/>
    <mergeCell ref="O42:O43"/>
    <mergeCell ref="L46:L47"/>
    <mergeCell ref="M46:M47"/>
    <mergeCell ref="N46:N47"/>
    <mergeCell ref="O46:O47"/>
    <mergeCell ref="L40:L41"/>
    <mergeCell ref="N38:N39"/>
    <mergeCell ref="O38:O39"/>
    <mergeCell ref="P38:P39"/>
    <mergeCell ref="M52:M53"/>
    <mergeCell ref="N52:N53"/>
    <mergeCell ref="O52:O53"/>
    <mergeCell ref="M54:M55"/>
    <mergeCell ref="N54:N55"/>
    <mergeCell ref="L38:L39"/>
    <mergeCell ref="M38:M39"/>
    <mergeCell ref="L44:L45"/>
    <mergeCell ref="M44:M45"/>
    <mergeCell ref="N44:N45"/>
    <mergeCell ref="O44:O45"/>
    <mergeCell ref="P44:P45"/>
    <mergeCell ref="O54:O55"/>
    <mergeCell ref="M48:M49"/>
    <mergeCell ref="N48:N49"/>
    <mergeCell ref="O48:O49"/>
    <mergeCell ref="L104:L105"/>
    <mergeCell ref="M104:M105"/>
    <mergeCell ref="N104:N105"/>
    <mergeCell ref="O104:O105"/>
    <mergeCell ref="M98:M99"/>
    <mergeCell ref="M102:M103"/>
    <mergeCell ref="N102:N103"/>
    <mergeCell ref="O102:O103"/>
    <mergeCell ref="M100:M101"/>
    <mergeCell ref="O100:O101"/>
    <mergeCell ref="O78:O79"/>
    <mergeCell ref="L98:L99"/>
    <mergeCell ref="M68:M69"/>
    <mergeCell ref="N68:N69"/>
    <mergeCell ref="L90:L91"/>
    <mergeCell ref="M90:M91"/>
    <mergeCell ref="N90:N91"/>
    <mergeCell ref="O90:O91"/>
    <mergeCell ref="L78:L79"/>
    <mergeCell ref="M78:M79"/>
    <mergeCell ref="N78:N79"/>
    <mergeCell ref="M92:M93"/>
    <mergeCell ref="N92:N93"/>
    <mergeCell ref="O92:O93"/>
    <mergeCell ref="M70:M71"/>
    <mergeCell ref="N70:N71"/>
    <mergeCell ref="O70:O71"/>
    <mergeCell ref="L76:L77"/>
    <mergeCell ref="M76:M77"/>
    <mergeCell ref="N76:N77"/>
    <mergeCell ref="O76:O77"/>
    <mergeCell ref="L68:L69"/>
    <mergeCell ref="L48:L49"/>
    <mergeCell ref="L52:L53"/>
    <mergeCell ref="L62:L63"/>
    <mergeCell ref="N66:N67"/>
    <mergeCell ref="O66:O67"/>
    <mergeCell ref="O62:O63"/>
    <mergeCell ref="L56:L57"/>
    <mergeCell ref="M56:M57"/>
    <mergeCell ref="N56:N57"/>
    <mergeCell ref="O56:O57"/>
    <mergeCell ref="L60:L61"/>
    <mergeCell ref="N74:N75"/>
    <mergeCell ref="N84:N85"/>
    <mergeCell ref="O84:O85"/>
    <mergeCell ref="L80:L81"/>
    <mergeCell ref="M62:M63"/>
    <mergeCell ref="N62:N63"/>
    <mergeCell ref="M84:M85"/>
    <mergeCell ref="L74:L75"/>
    <mergeCell ref="L66:L67"/>
    <mergeCell ref="L82:L83"/>
    <mergeCell ref="M82:M83"/>
    <mergeCell ref="N82:N83"/>
    <mergeCell ref="O82:O83"/>
    <mergeCell ref="M72:M73"/>
    <mergeCell ref="N72:N73"/>
    <mergeCell ref="O72:O73"/>
    <mergeCell ref="L72:L73"/>
    <mergeCell ref="L50:L51"/>
    <mergeCell ref="M50:M51"/>
    <mergeCell ref="N50:N51"/>
    <mergeCell ref="L100:L101"/>
    <mergeCell ref="N100:N101"/>
    <mergeCell ref="L96:L97"/>
    <mergeCell ref="M96:M97"/>
    <mergeCell ref="N96:N97"/>
    <mergeCell ref="O96:O97"/>
    <mergeCell ref="L102:L103"/>
    <mergeCell ref="O142:O143"/>
    <mergeCell ref="L142:L143"/>
    <mergeCell ref="M110:M111"/>
    <mergeCell ref="N110:N111"/>
    <mergeCell ref="M130:M131"/>
    <mergeCell ref="O106:O107"/>
    <mergeCell ref="L106:L107"/>
    <mergeCell ref="M106:M107"/>
    <mergeCell ref="N106:N107"/>
    <mergeCell ref="O110:O111"/>
    <mergeCell ref="O116:O117"/>
    <mergeCell ref="M112:M113"/>
    <mergeCell ref="N112:N113"/>
    <mergeCell ref="O112:O113"/>
    <mergeCell ref="M118:M119"/>
    <mergeCell ref="N118:N119"/>
    <mergeCell ref="O118:O119"/>
    <mergeCell ref="M124:M125"/>
    <mergeCell ref="L140:L141"/>
    <mergeCell ref="L136:L137"/>
    <mergeCell ref="M136:M137"/>
    <mergeCell ref="N136:N137"/>
    <mergeCell ref="L110:L121"/>
    <mergeCell ref="L122:L133"/>
    <mergeCell ref="M132:M133"/>
    <mergeCell ref="L168:L169"/>
    <mergeCell ref="M168:M169"/>
    <mergeCell ref="O168:O169"/>
    <mergeCell ref="M158:M159"/>
    <mergeCell ref="N158:N159"/>
    <mergeCell ref="L152:L153"/>
    <mergeCell ref="M152:M153"/>
    <mergeCell ref="N152:N153"/>
    <mergeCell ref="O152:O153"/>
    <mergeCell ref="L164:L165"/>
    <mergeCell ref="L170:L171"/>
    <mergeCell ref="L148:L149"/>
    <mergeCell ref="M148:M149"/>
    <mergeCell ref="N170:N171"/>
    <mergeCell ref="N162:N163"/>
    <mergeCell ref="O162:O163"/>
    <mergeCell ref="O148:O149"/>
    <mergeCell ref="L158:L159"/>
    <mergeCell ref="M164:M165"/>
    <mergeCell ref="N164:N165"/>
    <mergeCell ref="O164:O165"/>
    <mergeCell ref="N148:N149"/>
    <mergeCell ref="O170:O171"/>
    <mergeCell ref="P252:P253"/>
    <mergeCell ref="L180:L181"/>
    <mergeCell ref="Q244:Q245"/>
    <mergeCell ref="O198:O199"/>
    <mergeCell ref="N188:N189"/>
    <mergeCell ref="L200:L201"/>
    <mergeCell ref="M170:M171"/>
    <mergeCell ref="L150:L151"/>
    <mergeCell ref="M180:M181"/>
    <mergeCell ref="L174:L175"/>
    <mergeCell ref="M174:M175"/>
    <mergeCell ref="N174:N175"/>
    <mergeCell ref="O174:O175"/>
    <mergeCell ref="O194:O195"/>
    <mergeCell ref="L188:L189"/>
    <mergeCell ref="M212:M213"/>
    <mergeCell ref="N212:N213"/>
    <mergeCell ref="N204:N205"/>
    <mergeCell ref="M182:M183"/>
    <mergeCell ref="N156:N157"/>
    <mergeCell ref="O156:O157"/>
    <mergeCell ref="M188:M189"/>
    <mergeCell ref="O188:O189"/>
    <mergeCell ref="N194:N195"/>
    <mergeCell ref="O202:O203"/>
    <mergeCell ref="L196:O197"/>
    <mergeCell ref="L208:O209"/>
    <mergeCell ref="N202:N203"/>
    <mergeCell ref="L154:L155"/>
    <mergeCell ref="M154:M155"/>
    <mergeCell ref="O192:O193"/>
    <mergeCell ref="L162:L163"/>
    <mergeCell ref="Q248:Q249"/>
    <mergeCell ref="O246:O247"/>
    <mergeCell ref="LI16:LK16"/>
    <mergeCell ref="KC258:KE258"/>
    <mergeCell ref="KF258:KH258"/>
    <mergeCell ref="KI258:KK258"/>
    <mergeCell ref="LJ258:LL258"/>
    <mergeCell ref="L70:L71"/>
    <mergeCell ref="M86:M87"/>
    <mergeCell ref="N86:N87"/>
    <mergeCell ref="M80:M81"/>
    <mergeCell ref="P76:P77"/>
    <mergeCell ref="LL16:LN16"/>
    <mergeCell ref="L160:O161"/>
    <mergeCell ref="L178:O179"/>
    <mergeCell ref="L186:O187"/>
    <mergeCell ref="L166:L167"/>
    <mergeCell ref="M166:M167"/>
    <mergeCell ref="N166:N167"/>
    <mergeCell ref="L182:L183"/>
    <mergeCell ref="L204:L205"/>
    <mergeCell ref="M204:M205"/>
    <mergeCell ref="L216:L217"/>
    <mergeCell ref="R256:R257"/>
    <mergeCell ref="L258:Q258"/>
    <mergeCell ref="P256:P257"/>
    <mergeCell ref="Q256:Q257"/>
    <mergeCell ref="P248:P249"/>
    <mergeCell ref="L252:M253"/>
    <mergeCell ref="O250:O251"/>
    <mergeCell ref="P244:P245"/>
    <mergeCell ref="LM258:LO258"/>
    <mergeCell ref="LP258:LR258"/>
    <mergeCell ref="LS258:LU258"/>
    <mergeCell ref="LV258:LX258"/>
    <mergeCell ref="L238:L239"/>
    <mergeCell ref="M238:M239"/>
    <mergeCell ref="N238:N239"/>
    <mergeCell ref="O238:O239"/>
    <mergeCell ref="P238:P239"/>
    <mergeCell ref="L250:M251"/>
    <mergeCell ref="O248:O249"/>
    <mergeCell ref="KC238:KE238"/>
    <mergeCell ref="KF238:KH238"/>
    <mergeCell ref="KI238:KK238"/>
    <mergeCell ref="KL238:KN238"/>
    <mergeCell ref="KO238:KQ238"/>
    <mergeCell ref="KI256:KK257"/>
    <mergeCell ref="P250:P251"/>
    <mergeCell ref="Q250:Q251"/>
    <mergeCell ref="P246:P247"/>
    <mergeCell ref="R252:R253"/>
    <mergeCell ref="L256:O257"/>
    <mergeCell ref="N246:N247"/>
    <mergeCell ref="N248:N249"/>
    <mergeCell ref="N250:N251"/>
    <mergeCell ref="Q252:Q253"/>
    <mergeCell ref="Q246:Q247"/>
    <mergeCell ref="KX20:KZ20"/>
    <mergeCell ref="M120:M121"/>
    <mergeCell ref="N120:N121"/>
    <mergeCell ref="O120:O121"/>
    <mergeCell ref="L92:L93"/>
    <mergeCell ref="O228:O229"/>
    <mergeCell ref="N224:N225"/>
    <mergeCell ref="O224:O225"/>
    <mergeCell ref="L226:L227"/>
    <mergeCell ref="M226:M227"/>
    <mergeCell ref="N226:N227"/>
    <mergeCell ref="L230:L231"/>
    <mergeCell ref="Q130:Q131"/>
    <mergeCell ref="KU226:KW226"/>
    <mergeCell ref="KL66:KN66"/>
    <mergeCell ref="P92:P93"/>
    <mergeCell ref="KC52:KE52"/>
    <mergeCell ref="KI52:KK52"/>
    <mergeCell ref="KL52:KN52"/>
    <mergeCell ref="O158:O159"/>
    <mergeCell ref="N172:N173"/>
    <mergeCell ref="L144:L145"/>
    <mergeCell ref="M144:M145"/>
    <mergeCell ref="N144:N145"/>
    <mergeCell ref="O144:O145"/>
    <mergeCell ref="L146:L147"/>
    <mergeCell ref="L176:L177"/>
    <mergeCell ref="L172:L173"/>
    <mergeCell ref="M172:M173"/>
    <mergeCell ref="M176:M177"/>
    <mergeCell ref="N176:N177"/>
    <mergeCell ref="O166:O167"/>
    <mergeCell ref="NG206:NG207"/>
    <mergeCell ref="NG208:NG209"/>
    <mergeCell ref="NG210:NG211"/>
    <mergeCell ref="NG212:NG213"/>
    <mergeCell ref="NG214:NG215"/>
    <mergeCell ref="L64:O65"/>
    <mergeCell ref="L54:L55"/>
    <mergeCell ref="M74:M75"/>
    <mergeCell ref="L88:L89"/>
    <mergeCell ref="M58:M59"/>
    <mergeCell ref="N58:N59"/>
    <mergeCell ref="O58:O59"/>
    <mergeCell ref="M66:M67"/>
    <mergeCell ref="M88:M89"/>
    <mergeCell ref="N88:N89"/>
    <mergeCell ref="O88:O89"/>
    <mergeCell ref="N80:N81"/>
    <mergeCell ref="O80:O81"/>
    <mergeCell ref="O74:O75"/>
    <mergeCell ref="P96:P97"/>
    <mergeCell ref="L84:L85"/>
    <mergeCell ref="L94:O95"/>
    <mergeCell ref="O68:O69"/>
    <mergeCell ref="NG116:NG117"/>
    <mergeCell ref="NG118:NG119"/>
    <mergeCell ref="NG120:NG121"/>
    <mergeCell ref="NG122:NG123"/>
    <mergeCell ref="NG108:NG109"/>
    <mergeCell ref="O86:O87"/>
    <mergeCell ref="M200:M201"/>
    <mergeCell ref="M202:M203"/>
    <mergeCell ref="M162:M163"/>
    <mergeCell ref="NG216:NG217"/>
    <mergeCell ref="NG218:NG219"/>
    <mergeCell ref="NG240:NG241"/>
    <mergeCell ref="NG242:NG243"/>
    <mergeCell ref="NG222:NG223"/>
    <mergeCell ref="NG150:NG151"/>
    <mergeCell ref="MH92:MJ92"/>
    <mergeCell ref="NG152:NG153"/>
    <mergeCell ref="NG154:NG155"/>
    <mergeCell ref="NG156:NG157"/>
    <mergeCell ref="NG158:NG159"/>
    <mergeCell ref="NG162:NG163"/>
    <mergeCell ref="NG164:NG165"/>
    <mergeCell ref="NG166:NG167"/>
    <mergeCell ref="NG232:NG233"/>
    <mergeCell ref="NG238:NG239"/>
    <mergeCell ref="NG178:NG179"/>
    <mergeCell ref="NG200:NG201"/>
    <mergeCell ref="NG202:NG203"/>
    <mergeCell ref="NG220:NG221"/>
    <mergeCell ref="NC230:NE230"/>
    <mergeCell ref="MZ238:NB238"/>
    <mergeCell ref="NC108:NE109"/>
    <mergeCell ref="MN94:MP95"/>
    <mergeCell ref="NC134:NE135"/>
    <mergeCell ref="MN166:MP166"/>
    <mergeCell ref="MN158:MP158"/>
    <mergeCell ref="MK196:MM197"/>
    <mergeCell ref="MN196:MP197"/>
    <mergeCell ref="NG188:NG189"/>
    <mergeCell ref="NG190:NG191"/>
    <mergeCell ref="NG194:NG195"/>
    <mergeCell ref="NG250:NG251"/>
    <mergeCell ref="NG256:NG257"/>
    <mergeCell ref="NG228:NG229"/>
    <mergeCell ref="NG168:NG169"/>
    <mergeCell ref="NG170:NG171"/>
    <mergeCell ref="NG172:NG173"/>
    <mergeCell ref="NG174:NG175"/>
    <mergeCell ref="NG160:NG161"/>
    <mergeCell ref="NG234:NG235"/>
    <mergeCell ref="NG230:NG231"/>
    <mergeCell ref="NG198:NG199"/>
    <mergeCell ref="NG196:NG197"/>
    <mergeCell ref="NG204:NG205"/>
    <mergeCell ref="MH174:MJ174"/>
    <mergeCell ref="NC130:NE130"/>
    <mergeCell ref="NG246:NG247"/>
    <mergeCell ref="NG248:NG249"/>
    <mergeCell ref="MN256:MP257"/>
    <mergeCell ref="NC256:NE257"/>
    <mergeCell ref="MH226:MJ226"/>
    <mergeCell ref="MH228:MJ228"/>
    <mergeCell ref="MK228:MM228"/>
    <mergeCell ref="MN228:MP228"/>
    <mergeCell ref="MQ222:MS223"/>
    <mergeCell ref="MT176:MV176"/>
    <mergeCell ref="MW176:MY176"/>
    <mergeCell ref="MZ176:NB176"/>
    <mergeCell ref="MQ178:MS179"/>
    <mergeCell ref="MT178:MV179"/>
    <mergeCell ref="MT164:MV164"/>
    <mergeCell ref="MW164:MY164"/>
    <mergeCell ref="MK166:MM166"/>
    <mergeCell ref="MN136:MP136"/>
    <mergeCell ref="MK138:MM138"/>
    <mergeCell ref="MN134:MP135"/>
    <mergeCell ref="MK136:MM136"/>
    <mergeCell ref="NG124:NG125"/>
    <mergeCell ref="MK108:MM109"/>
    <mergeCell ref="MN108:MP109"/>
    <mergeCell ref="NG104:NG105"/>
    <mergeCell ref="MZ108:NB109"/>
    <mergeCell ref="MK114:MM114"/>
    <mergeCell ref="NC118:NE118"/>
    <mergeCell ref="NG70:NG71"/>
    <mergeCell ref="MK104:MM104"/>
    <mergeCell ref="NC94:NE95"/>
    <mergeCell ref="MZ134:NB135"/>
    <mergeCell ref="NG130:NG131"/>
    <mergeCell ref="NG132:NG133"/>
    <mergeCell ref="NG136:NG137"/>
    <mergeCell ref="MQ94:MS95"/>
    <mergeCell ref="MT94:MV95"/>
    <mergeCell ref="MW94:MY95"/>
    <mergeCell ref="NG90:NG91"/>
    <mergeCell ref="NG92:NG93"/>
    <mergeCell ref="NG96:NG97"/>
    <mergeCell ref="NG98:NG99"/>
    <mergeCell ref="MK94:MM95"/>
    <mergeCell ref="MK134:MM135"/>
    <mergeCell ref="MK80:MM80"/>
    <mergeCell ref="NG114:NG115"/>
    <mergeCell ref="NH69:NH70"/>
    <mergeCell ref="S20:AV20"/>
    <mergeCell ref="AW20:BZ20"/>
    <mergeCell ref="CA20:DD20"/>
    <mergeCell ref="DE20:EH20"/>
    <mergeCell ref="EI20:FL20"/>
    <mergeCell ref="FM20:GP20"/>
    <mergeCell ref="GQ20:HT20"/>
    <mergeCell ref="HU20:IX20"/>
    <mergeCell ref="IY20:KB20"/>
    <mergeCell ref="KC20:KE20"/>
    <mergeCell ref="KF20:KH20"/>
    <mergeCell ref="KI20:KK20"/>
    <mergeCell ref="KL20:KN20"/>
    <mergeCell ref="KO20:KQ20"/>
    <mergeCell ref="KR20:KT20"/>
    <mergeCell ref="MB26:MD27"/>
    <mergeCell ref="LA54:LC54"/>
    <mergeCell ref="LD54:LF54"/>
    <mergeCell ref="LG54:LI54"/>
    <mergeCell ref="KC48:KE48"/>
    <mergeCell ref="LM22:LO22"/>
    <mergeCell ref="LP22:LR22"/>
    <mergeCell ref="LS22:LU22"/>
    <mergeCell ref="LA20:LC20"/>
    <mergeCell ref="LD20:LF20"/>
    <mergeCell ref="LJ20:LL20"/>
    <mergeCell ref="LM20:LO20"/>
    <mergeCell ref="S21:NE21"/>
    <mergeCell ref="LA42:LC42"/>
    <mergeCell ref="NG66:NG67"/>
    <mergeCell ref="KU20:KW20"/>
    <mergeCell ref="AW22:BZ22"/>
    <mergeCell ref="KI26:KK27"/>
    <mergeCell ref="KC58:KE58"/>
    <mergeCell ref="KC46:KE46"/>
    <mergeCell ref="KF46:KH46"/>
    <mergeCell ref="KF52:KH52"/>
    <mergeCell ref="S22:AV22"/>
    <mergeCell ref="NC22:NE22"/>
    <mergeCell ref="LM32:LO32"/>
    <mergeCell ref="LP32:LR32"/>
    <mergeCell ref="LM34:LO34"/>
    <mergeCell ref="LG26:LI27"/>
    <mergeCell ref="KX42:KZ42"/>
    <mergeCell ref="MH26:MJ27"/>
    <mergeCell ref="MK26:MM27"/>
    <mergeCell ref="MN26:MP27"/>
    <mergeCell ref="NC26:NE27"/>
    <mergeCell ref="KR36:KT36"/>
    <mergeCell ref="MH22:MJ22"/>
    <mergeCell ref="MK22:MM22"/>
    <mergeCell ref="KC26:KE27"/>
    <mergeCell ref="LA52:LC52"/>
    <mergeCell ref="LD52:LF52"/>
    <mergeCell ref="KI36:KK36"/>
    <mergeCell ref="KL48:KN48"/>
    <mergeCell ref="KX48:KZ48"/>
    <mergeCell ref="LA50:LC50"/>
    <mergeCell ref="KO48:KQ48"/>
    <mergeCell ref="KO42:KQ42"/>
    <mergeCell ref="KC42:KE42"/>
    <mergeCell ref="KF42:KH42"/>
    <mergeCell ref="KI42:KK42"/>
    <mergeCell ref="KL42:KN42"/>
    <mergeCell ref="KF62:KH62"/>
    <mergeCell ref="KL46:KN46"/>
    <mergeCell ref="KL56:KN56"/>
    <mergeCell ref="KO52:KQ52"/>
    <mergeCell ref="KU52:KW52"/>
    <mergeCell ref="LA38:LC38"/>
    <mergeCell ref="KU48:KW48"/>
    <mergeCell ref="LG20:LI20"/>
    <mergeCell ref="LP20:LR20"/>
    <mergeCell ref="KR74:KT74"/>
    <mergeCell ref="LS20:LU20"/>
    <mergeCell ref="KO70:KQ70"/>
    <mergeCell ref="KC72:KE72"/>
    <mergeCell ref="KO72:KQ72"/>
    <mergeCell ref="LJ72:LL72"/>
    <mergeCell ref="KI90:KK90"/>
    <mergeCell ref="KL90:KN90"/>
    <mergeCell ref="LD134:LF135"/>
    <mergeCell ref="LM98:LO98"/>
    <mergeCell ref="LD108:LF109"/>
    <mergeCell ref="LG108:LI109"/>
    <mergeCell ref="LM110:LO110"/>
    <mergeCell ref="LP110:LR110"/>
    <mergeCell ref="LS110:LU110"/>
    <mergeCell ref="LJ52:LL52"/>
    <mergeCell ref="KR42:KT42"/>
    <mergeCell ref="KU42:KW42"/>
    <mergeCell ref="KX46:KZ46"/>
    <mergeCell ref="LD98:LF98"/>
    <mergeCell ref="KC82:KE82"/>
    <mergeCell ref="LJ116:LL116"/>
    <mergeCell ref="LJ120:LL120"/>
    <mergeCell ref="KO92:KQ92"/>
    <mergeCell ref="KI92:KK92"/>
    <mergeCell ref="KL92:KN92"/>
    <mergeCell ref="KX92:KZ92"/>
    <mergeCell ref="KF94:KH95"/>
    <mergeCell ref="KX22:KZ22"/>
    <mergeCell ref="LA22:LC22"/>
    <mergeCell ref="KF186:KH187"/>
    <mergeCell ref="KC84:KE84"/>
    <mergeCell ref="KF90:KH90"/>
    <mergeCell ref="KF92:KH92"/>
    <mergeCell ref="KO134:KQ135"/>
    <mergeCell ref="KI86:KK86"/>
    <mergeCell ref="KI180:KK180"/>
    <mergeCell ref="KL96:KN96"/>
    <mergeCell ref="KL108:KN109"/>
    <mergeCell ref="KL134:KN135"/>
    <mergeCell ref="KO160:KQ161"/>
    <mergeCell ref="KO96:KQ96"/>
    <mergeCell ref="KI108:KK109"/>
    <mergeCell ref="KL104:KN104"/>
    <mergeCell ref="KL106:KN106"/>
    <mergeCell ref="KO84:KQ84"/>
    <mergeCell ref="KO100:KQ100"/>
    <mergeCell ref="KI94:KK95"/>
    <mergeCell ref="KF178:KH179"/>
    <mergeCell ref="KC178:KE179"/>
    <mergeCell ref="KO94:KQ95"/>
    <mergeCell ref="KC186:KE187"/>
    <mergeCell ref="MK208:MM209"/>
    <mergeCell ref="NC150:NE150"/>
    <mergeCell ref="MN154:MP154"/>
    <mergeCell ref="MB196:MD197"/>
    <mergeCell ref="ME196:MG197"/>
    <mergeCell ref="MK186:MM187"/>
    <mergeCell ref="MN186:MP187"/>
    <mergeCell ref="LY184:MA184"/>
    <mergeCell ref="NC186:NE187"/>
    <mergeCell ref="ME158:MG158"/>
    <mergeCell ref="MQ174:MS174"/>
    <mergeCell ref="MT174:MV174"/>
    <mergeCell ref="MB158:MD158"/>
    <mergeCell ref="LY166:MA166"/>
    <mergeCell ref="ME166:MG166"/>
    <mergeCell ref="MB166:MD166"/>
    <mergeCell ref="MQ150:MS150"/>
    <mergeCell ref="NC160:NE161"/>
    <mergeCell ref="MK158:MM158"/>
    <mergeCell ref="MB186:MD187"/>
    <mergeCell ref="MB164:MD164"/>
    <mergeCell ref="MB178:MD179"/>
    <mergeCell ref="MH158:MJ158"/>
    <mergeCell ref="MT152:MV152"/>
    <mergeCell ref="MW152:MY152"/>
    <mergeCell ref="MK160:MM161"/>
    <mergeCell ref="MZ150:NB150"/>
    <mergeCell ref="LY156:MA156"/>
    <mergeCell ref="MB208:MD209"/>
    <mergeCell ref="NC178:NE179"/>
    <mergeCell ref="MW154:MY154"/>
    <mergeCell ref="MZ154:NB154"/>
    <mergeCell ref="ME176:MG176"/>
    <mergeCell ref="MH176:MJ176"/>
    <mergeCell ref="LG174:LI174"/>
    <mergeCell ref="ME174:MG174"/>
    <mergeCell ref="LS134:LU135"/>
    <mergeCell ref="LV138:LX138"/>
    <mergeCell ref="LY138:MA138"/>
    <mergeCell ref="LY134:MA135"/>
    <mergeCell ref="LP122:LR122"/>
    <mergeCell ref="LG134:LI135"/>
    <mergeCell ref="LA78:LC78"/>
    <mergeCell ref="LD78:LF78"/>
    <mergeCell ref="KU134:KW135"/>
    <mergeCell ref="LY208:MA209"/>
    <mergeCell ref="LY196:MA197"/>
    <mergeCell ref="LY160:MA161"/>
    <mergeCell ref="LY178:MA179"/>
    <mergeCell ref="LJ82:LL82"/>
    <mergeCell ref="LJ94:LL95"/>
    <mergeCell ref="LD82:LF82"/>
    <mergeCell ref="LD84:LF84"/>
    <mergeCell ref="LD160:LF161"/>
    <mergeCell ref="LA184:LC184"/>
    <mergeCell ref="LD184:LF184"/>
    <mergeCell ref="LG184:LI184"/>
    <mergeCell ref="LA82:LC82"/>
    <mergeCell ref="LG82:LI82"/>
    <mergeCell ref="LG104:LI104"/>
    <mergeCell ref="LG106:LI106"/>
    <mergeCell ref="LJ160:LL161"/>
    <mergeCell ref="ME156:MG156"/>
    <mergeCell ref="MH104:MJ104"/>
    <mergeCell ref="KC174:KE174"/>
    <mergeCell ref="ME160:MG161"/>
    <mergeCell ref="ME142:MG142"/>
    <mergeCell ref="LV114:LX114"/>
    <mergeCell ref="LS116:LU116"/>
    <mergeCell ref="KR160:KT161"/>
    <mergeCell ref="KX160:KZ161"/>
    <mergeCell ref="KI174:KK174"/>
    <mergeCell ref="MB92:MD92"/>
    <mergeCell ref="LA100:LC100"/>
    <mergeCell ref="LY92:MA92"/>
    <mergeCell ref="LM86:LO86"/>
    <mergeCell ref="LM94:LO95"/>
    <mergeCell ref="LP104:LR104"/>
    <mergeCell ref="LJ92:LL92"/>
    <mergeCell ref="LM90:LO90"/>
    <mergeCell ref="MB134:MD135"/>
    <mergeCell ref="KR108:KT109"/>
    <mergeCell ref="LY158:MA158"/>
    <mergeCell ref="LP160:LR161"/>
    <mergeCell ref="LY126:MA126"/>
    <mergeCell ref="KC90:KE90"/>
    <mergeCell ref="KO104:KQ104"/>
    <mergeCell ref="LJ98:LL98"/>
    <mergeCell ref="LM126:LO126"/>
    <mergeCell ref="LV108:LX109"/>
    <mergeCell ref="LD100:LF100"/>
    <mergeCell ref="KU174:KW174"/>
    <mergeCell ref="LP126:LR126"/>
    <mergeCell ref="LP134:LR135"/>
    <mergeCell ref="LA98:LC98"/>
    <mergeCell ref="KR134:KT135"/>
    <mergeCell ref="LP78:LR78"/>
    <mergeCell ref="LS64:LU65"/>
    <mergeCell ref="KC86:KE86"/>
    <mergeCell ref="LA108:LC109"/>
    <mergeCell ref="KC108:KE109"/>
    <mergeCell ref="LJ106:LL106"/>
    <mergeCell ref="KO106:KQ106"/>
    <mergeCell ref="KO108:KQ109"/>
    <mergeCell ref="LP116:LR116"/>
    <mergeCell ref="KO82:KQ82"/>
    <mergeCell ref="KL82:KN82"/>
    <mergeCell ref="KF74:KH74"/>
    <mergeCell ref="KI64:KK65"/>
    <mergeCell ref="KC64:KE65"/>
    <mergeCell ref="KC92:KE92"/>
    <mergeCell ref="LD80:LF80"/>
    <mergeCell ref="KX80:KZ80"/>
    <mergeCell ref="LA80:LC80"/>
    <mergeCell ref="KI74:KK74"/>
    <mergeCell ref="KL74:KN74"/>
    <mergeCell ref="KF48:KH48"/>
    <mergeCell ref="KR70:KT70"/>
    <mergeCell ref="KI38:KK38"/>
    <mergeCell ref="KL40:KN40"/>
    <mergeCell ref="KR48:KT48"/>
    <mergeCell ref="KF64:KH65"/>
    <mergeCell ref="GQ22:HT22"/>
    <mergeCell ref="HU22:IX22"/>
    <mergeCell ref="KO46:KQ46"/>
    <mergeCell ref="KR46:KT46"/>
    <mergeCell ref="KI48:KK48"/>
    <mergeCell ref="KL26:KN27"/>
    <mergeCell ref="CA22:DD22"/>
    <mergeCell ref="DE22:EH22"/>
    <mergeCell ref="EI22:FL22"/>
    <mergeCell ref="KO66:KQ66"/>
    <mergeCell ref="KF34:KH34"/>
    <mergeCell ref="ME22:MG22"/>
    <mergeCell ref="KF26:KH27"/>
    <mergeCell ref="LY24:MA25"/>
    <mergeCell ref="IY22:KB22"/>
    <mergeCell ref="KC22:KE22"/>
    <mergeCell ref="KF22:KH22"/>
    <mergeCell ref="KI22:KK22"/>
    <mergeCell ref="KL22:KN22"/>
    <mergeCell ref="KO22:KQ22"/>
    <mergeCell ref="KO44:KQ44"/>
    <mergeCell ref="KR44:KT44"/>
    <mergeCell ref="KR22:KT22"/>
    <mergeCell ref="KI46:KK46"/>
    <mergeCell ref="KC34:KE34"/>
    <mergeCell ref="KR26:KT27"/>
    <mergeCell ref="LV22:LX22"/>
    <mergeCell ref="LY22:MA22"/>
    <mergeCell ref="MB22:MD22"/>
    <mergeCell ref="KC44:KE44"/>
    <mergeCell ref="KU22:KW22"/>
    <mergeCell ref="KX26:KZ27"/>
    <mergeCell ref="LA26:LC27"/>
    <mergeCell ref="LD22:LF22"/>
    <mergeCell ref="LG22:LI22"/>
    <mergeCell ref="KC24:KE25"/>
    <mergeCell ref="KC38:KE38"/>
    <mergeCell ref="KF44:KH44"/>
    <mergeCell ref="KI44:KK44"/>
    <mergeCell ref="KF36:KH36"/>
    <mergeCell ref="KC40:KE40"/>
    <mergeCell ref="FM22:GP22"/>
    <mergeCell ref="KU44:KW44"/>
    <mergeCell ref="KF38:KH38"/>
    <mergeCell ref="KL44:KN44"/>
    <mergeCell ref="MB174:MD174"/>
    <mergeCell ref="LD94:LF95"/>
    <mergeCell ref="LD96:LF96"/>
    <mergeCell ref="LV176:LX176"/>
    <mergeCell ref="LY176:MA176"/>
    <mergeCell ref="MB176:MD176"/>
    <mergeCell ref="D86:E86"/>
    <mergeCell ref="KR86:KT86"/>
    <mergeCell ref="KU86:KW86"/>
    <mergeCell ref="KX86:KZ86"/>
    <mergeCell ref="LA86:LC86"/>
    <mergeCell ref="LD86:LF86"/>
    <mergeCell ref="LG86:LI86"/>
    <mergeCell ref="LJ86:LL86"/>
    <mergeCell ref="LM132:LO132"/>
    <mergeCell ref="KL98:KN98"/>
    <mergeCell ref="KO98:KQ98"/>
    <mergeCell ref="LM108:LO109"/>
    <mergeCell ref="LG132:LI132"/>
    <mergeCell ref="LJ90:LL90"/>
    <mergeCell ref="LJ108:LL109"/>
    <mergeCell ref="KF86:KH86"/>
    <mergeCell ref="KC94:KE95"/>
    <mergeCell ref="Q92:Q93"/>
    <mergeCell ref="Q94:Q95"/>
    <mergeCell ref="P94:P95"/>
    <mergeCell ref="LV182:LX182"/>
    <mergeCell ref="LP186:LR187"/>
    <mergeCell ref="ME178:MG179"/>
    <mergeCell ref="LJ186:LL187"/>
    <mergeCell ref="LM186:LO187"/>
    <mergeCell ref="LG186:LI187"/>
    <mergeCell ref="LD180:LF180"/>
    <mergeCell ref="LP178:LR179"/>
    <mergeCell ref="KR186:KT187"/>
    <mergeCell ref="KX180:KZ180"/>
    <mergeCell ref="KL178:KN179"/>
    <mergeCell ref="KF184:KH184"/>
    <mergeCell ref="KO186:KQ187"/>
    <mergeCell ref="KR184:KT184"/>
    <mergeCell ref="LV184:LX184"/>
    <mergeCell ref="KR178:KT179"/>
    <mergeCell ref="LJ180:LL180"/>
    <mergeCell ref="LM180:LO180"/>
    <mergeCell ref="LP180:LR180"/>
    <mergeCell ref="LV180:LX180"/>
    <mergeCell ref="KX184:KZ184"/>
    <mergeCell ref="MB48:MD48"/>
    <mergeCell ref="KU160:KW161"/>
    <mergeCell ref="KR52:KT52"/>
    <mergeCell ref="LD64:LF65"/>
    <mergeCell ref="LA84:LC84"/>
    <mergeCell ref="KX66:KZ66"/>
    <mergeCell ref="KX68:KZ68"/>
    <mergeCell ref="KI66:KK66"/>
    <mergeCell ref="LG96:LI96"/>
    <mergeCell ref="LG100:LI100"/>
    <mergeCell ref="KX94:KZ95"/>
    <mergeCell ref="LG98:LI98"/>
    <mergeCell ref="LG92:LI92"/>
    <mergeCell ref="LG160:LI161"/>
    <mergeCell ref="KR80:KT80"/>
    <mergeCell ref="KI70:KK70"/>
    <mergeCell ref="KL70:KN70"/>
    <mergeCell ref="KX50:KZ50"/>
    <mergeCell ref="KO50:KQ50"/>
    <mergeCell ref="LM54:LO54"/>
    <mergeCell ref="LD50:LF50"/>
    <mergeCell ref="LG50:LI50"/>
    <mergeCell ref="KX52:KZ52"/>
    <mergeCell ref="KI50:KK50"/>
    <mergeCell ref="LG52:LI52"/>
    <mergeCell ref="LG64:LI65"/>
    <mergeCell ref="KO64:KQ65"/>
    <mergeCell ref="MB68:MD68"/>
    <mergeCell ref="LS68:LU68"/>
    <mergeCell ref="LV94:LX95"/>
    <mergeCell ref="LV64:LX65"/>
    <mergeCell ref="LP64:LR65"/>
    <mergeCell ref="LP48:LR48"/>
    <mergeCell ref="LG48:LI48"/>
    <mergeCell ref="LA46:LC46"/>
    <mergeCell ref="KU46:KW46"/>
    <mergeCell ref="LM104:LO104"/>
    <mergeCell ref="LM96:LO96"/>
    <mergeCell ref="LV76:LX76"/>
    <mergeCell ref="LM92:LO92"/>
    <mergeCell ref="LS108:LU109"/>
    <mergeCell ref="LP100:LR100"/>
    <mergeCell ref="KU108:KW109"/>
    <mergeCell ref="LJ78:LL78"/>
    <mergeCell ref="KL64:KN65"/>
    <mergeCell ref="LD66:LF66"/>
    <mergeCell ref="LD68:LF68"/>
    <mergeCell ref="LA66:LC66"/>
    <mergeCell ref="KC78:KE78"/>
    <mergeCell ref="KU64:KW65"/>
    <mergeCell ref="KU66:KW66"/>
    <mergeCell ref="KU68:KW68"/>
    <mergeCell ref="KC74:KE74"/>
    <mergeCell ref="LG66:LI66"/>
    <mergeCell ref="LJ66:LL66"/>
    <mergeCell ref="LJ68:LL68"/>
    <mergeCell ref="LA68:LC68"/>
    <mergeCell ref="LJ70:LL70"/>
    <mergeCell ref="LA70:LC70"/>
    <mergeCell ref="LM66:LO66"/>
    <mergeCell ref="KR56:KT56"/>
    <mergeCell ref="LA188:LC188"/>
    <mergeCell ref="LS106:LU106"/>
    <mergeCell ref="LP94:LR95"/>
    <mergeCell ref="LS94:LU95"/>
    <mergeCell ref="LS66:LU66"/>
    <mergeCell ref="KC80:KE80"/>
    <mergeCell ref="LM116:LO116"/>
    <mergeCell ref="KC70:KE70"/>
    <mergeCell ref="KF70:KH70"/>
    <mergeCell ref="KX134:KZ135"/>
    <mergeCell ref="LA64:LC65"/>
    <mergeCell ref="KL50:KN50"/>
    <mergeCell ref="KF66:KH66"/>
    <mergeCell ref="LM64:LO65"/>
    <mergeCell ref="LD186:LF187"/>
    <mergeCell ref="LA180:LC180"/>
    <mergeCell ref="LM82:LO82"/>
    <mergeCell ref="KF72:KH72"/>
    <mergeCell ref="LP68:LR68"/>
    <mergeCell ref="LG70:LI70"/>
    <mergeCell ref="LM68:LO68"/>
    <mergeCell ref="LG74:LI74"/>
    <mergeCell ref="LM106:LO106"/>
    <mergeCell ref="LS76:LU76"/>
    <mergeCell ref="KU70:KW70"/>
    <mergeCell ref="KO74:KQ74"/>
    <mergeCell ref="LA94:LC95"/>
    <mergeCell ref="KO62:KQ62"/>
    <mergeCell ref="KR62:KT62"/>
    <mergeCell ref="MN24:MP25"/>
    <mergeCell ref="NC24:NE25"/>
    <mergeCell ref="LY246:MA246"/>
    <mergeCell ref="MB246:MD246"/>
    <mergeCell ref="ME246:MG246"/>
    <mergeCell ref="ME24:MG25"/>
    <mergeCell ref="KC50:KE50"/>
    <mergeCell ref="KF50:KH50"/>
    <mergeCell ref="NG24:NG25"/>
    <mergeCell ref="MN242:MP242"/>
    <mergeCell ref="NG244:NG245"/>
    <mergeCell ref="NC196:NE197"/>
    <mergeCell ref="KF24:KH25"/>
    <mergeCell ref="KI24:KK25"/>
    <mergeCell ref="KL24:KN25"/>
    <mergeCell ref="KO24:KQ25"/>
    <mergeCell ref="KR24:KT25"/>
    <mergeCell ref="KU24:KW25"/>
    <mergeCell ref="KX24:KZ25"/>
    <mergeCell ref="LA24:LC25"/>
    <mergeCell ref="MB24:MD25"/>
    <mergeCell ref="LP66:LR66"/>
    <mergeCell ref="LM78:LO78"/>
    <mergeCell ref="KC66:KE66"/>
    <mergeCell ref="KC62:KE62"/>
    <mergeCell ref="LA48:LC48"/>
    <mergeCell ref="LM48:LO48"/>
    <mergeCell ref="KO34:KQ34"/>
    <mergeCell ref="LA34:LC34"/>
    <mergeCell ref="LD42:LF42"/>
    <mergeCell ref="KO38:KQ38"/>
    <mergeCell ref="LG68:LI68"/>
    <mergeCell ref="LV92:LX92"/>
    <mergeCell ref="LS24:LU25"/>
    <mergeCell ref="KX188:KZ188"/>
    <mergeCell ref="NH256:NH257"/>
    <mergeCell ref="NH24:NH25"/>
    <mergeCell ref="LP44:LR44"/>
    <mergeCell ref="LS44:LU44"/>
    <mergeCell ref="LS102:LU102"/>
    <mergeCell ref="LV102:LX102"/>
    <mergeCell ref="LP102:LR102"/>
    <mergeCell ref="KR40:KT40"/>
    <mergeCell ref="MH24:MJ25"/>
    <mergeCell ref="LS184:LU184"/>
    <mergeCell ref="LV24:LX25"/>
    <mergeCell ref="LD24:LF25"/>
    <mergeCell ref="LD204:LF204"/>
    <mergeCell ref="LG204:LI204"/>
    <mergeCell ref="LJ204:LL204"/>
    <mergeCell ref="LV48:LX48"/>
    <mergeCell ref="ME48:MG48"/>
    <mergeCell ref="LD46:LF46"/>
    <mergeCell ref="LD48:LF48"/>
    <mergeCell ref="LG46:LI46"/>
    <mergeCell ref="NG252:NG253"/>
    <mergeCell ref="LG24:LI25"/>
    <mergeCell ref="LJ24:LL25"/>
    <mergeCell ref="LM24:LO25"/>
    <mergeCell ref="LP24:LR25"/>
    <mergeCell ref="MK24:MM25"/>
    <mergeCell ref="MH196:MJ197"/>
    <mergeCell ref="F28:F29"/>
    <mergeCell ref="G28:G29"/>
    <mergeCell ref="F30:F31"/>
    <mergeCell ref="G30:G31"/>
    <mergeCell ref="F32:F33"/>
    <mergeCell ref="G32:G33"/>
    <mergeCell ref="F34:F35"/>
    <mergeCell ref="G34:G35"/>
    <mergeCell ref="F36:F37"/>
    <mergeCell ref="G36:G37"/>
    <mergeCell ref="F38:F39"/>
    <mergeCell ref="G38:G39"/>
    <mergeCell ref="F40:F41"/>
    <mergeCell ref="G40:G41"/>
    <mergeCell ref="F42:F43"/>
    <mergeCell ref="G42:G43"/>
    <mergeCell ref="F44:F45"/>
    <mergeCell ref="G44:G45"/>
    <mergeCell ref="F46:F47"/>
    <mergeCell ref="G46:G47"/>
    <mergeCell ref="F48:F49"/>
    <mergeCell ref="G48:G49"/>
    <mergeCell ref="F50:F51"/>
    <mergeCell ref="G50:G51"/>
    <mergeCell ref="F52:F53"/>
    <mergeCell ref="G52:G53"/>
    <mergeCell ref="F54:F55"/>
    <mergeCell ref="G54:G55"/>
    <mergeCell ref="F56:F57"/>
    <mergeCell ref="G56:G57"/>
    <mergeCell ref="F58:F59"/>
    <mergeCell ref="G58:G59"/>
    <mergeCell ref="F60:F61"/>
    <mergeCell ref="G60:G61"/>
    <mergeCell ref="F62:F63"/>
    <mergeCell ref="G62:G63"/>
    <mergeCell ref="F64:F65"/>
    <mergeCell ref="G64:G65"/>
    <mergeCell ref="F66:F67"/>
    <mergeCell ref="G66:G67"/>
    <mergeCell ref="F68:F69"/>
    <mergeCell ref="G68:G69"/>
    <mergeCell ref="F70:F71"/>
    <mergeCell ref="G70:G71"/>
    <mergeCell ref="F72:F73"/>
    <mergeCell ref="G72:G73"/>
    <mergeCell ref="F74:F75"/>
    <mergeCell ref="G74:G75"/>
    <mergeCell ref="F76:F77"/>
    <mergeCell ref="G76:G77"/>
    <mergeCell ref="F78:F79"/>
    <mergeCell ref="G78:G79"/>
    <mergeCell ref="F80:F81"/>
    <mergeCell ref="G80:G81"/>
    <mergeCell ref="F82:F83"/>
    <mergeCell ref="G82:G83"/>
    <mergeCell ref="F84:F85"/>
    <mergeCell ref="G84:G85"/>
    <mergeCell ref="F86:F87"/>
    <mergeCell ref="G86:G87"/>
    <mergeCell ref="F88:F89"/>
    <mergeCell ref="G88:G89"/>
    <mergeCell ref="F90:F91"/>
    <mergeCell ref="G90:G91"/>
    <mergeCell ref="F92:F93"/>
    <mergeCell ref="G92:G93"/>
    <mergeCell ref="F94:F95"/>
    <mergeCell ref="G94:G95"/>
    <mergeCell ref="F96:F97"/>
    <mergeCell ref="G96:G97"/>
    <mergeCell ref="F98:F99"/>
    <mergeCell ref="G98:G99"/>
    <mergeCell ref="F100:F101"/>
    <mergeCell ref="G100:G101"/>
    <mergeCell ref="F102:F103"/>
    <mergeCell ref="G102:G103"/>
    <mergeCell ref="F104:F105"/>
    <mergeCell ref="G104:G105"/>
    <mergeCell ref="F106:F107"/>
    <mergeCell ref="G106:G107"/>
    <mergeCell ref="F108:F109"/>
    <mergeCell ref="G108:G109"/>
    <mergeCell ref="F110:F111"/>
    <mergeCell ref="G110:G111"/>
    <mergeCell ref="F112:F113"/>
    <mergeCell ref="G112:G113"/>
    <mergeCell ref="F114:F115"/>
    <mergeCell ref="G114:G115"/>
    <mergeCell ref="F116:F117"/>
    <mergeCell ref="G116:G117"/>
    <mergeCell ref="F118:F119"/>
    <mergeCell ref="G118:G119"/>
    <mergeCell ref="F120:F121"/>
    <mergeCell ref="G120:G121"/>
    <mergeCell ref="F122:F123"/>
    <mergeCell ref="G122:G123"/>
    <mergeCell ref="F124:F125"/>
    <mergeCell ref="G124:G125"/>
    <mergeCell ref="F126:F127"/>
    <mergeCell ref="G126:G127"/>
    <mergeCell ref="F128:F129"/>
    <mergeCell ref="G128:G129"/>
    <mergeCell ref="F130:F131"/>
    <mergeCell ref="G130:G131"/>
    <mergeCell ref="F132:F133"/>
    <mergeCell ref="G132:G133"/>
    <mergeCell ref="F134:F135"/>
    <mergeCell ref="G134:G135"/>
    <mergeCell ref="F136:F137"/>
    <mergeCell ref="G136:G137"/>
    <mergeCell ref="F138:F139"/>
    <mergeCell ref="G138:G139"/>
    <mergeCell ref="F140:F141"/>
    <mergeCell ref="G140:G141"/>
    <mergeCell ref="F142:F143"/>
    <mergeCell ref="G142:G143"/>
    <mergeCell ref="F144:F145"/>
    <mergeCell ref="G144:G145"/>
    <mergeCell ref="F146:F147"/>
    <mergeCell ref="G146:G147"/>
    <mergeCell ref="F148:F149"/>
    <mergeCell ref="G148:G149"/>
    <mergeCell ref="F150:F151"/>
    <mergeCell ref="G150:G151"/>
    <mergeCell ref="F152:F153"/>
    <mergeCell ref="G152:G153"/>
    <mergeCell ref="F154:F155"/>
    <mergeCell ref="G154:G155"/>
    <mergeCell ref="F156:F157"/>
    <mergeCell ref="G156:G157"/>
    <mergeCell ref="F158:F159"/>
    <mergeCell ref="G158:G159"/>
    <mergeCell ref="F160:F161"/>
    <mergeCell ref="G160:G161"/>
    <mergeCell ref="F162:F163"/>
    <mergeCell ref="G162:G163"/>
    <mergeCell ref="F164:F165"/>
    <mergeCell ref="G164:G165"/>
    <mergeCell ref="F166:F167"/>
    <mergeCell ref="G166:G167"/>
    <mergeCell ref="F168:F169"/>
    <mergeCell ref="G168:G169"/>
    <mergeCell ref="F170:F171"/>
    <mergeCell ref="G170:G171"/>
    <mergeCell ref="F172:F173"/>
    <mergeCell ref="G172:G173"/>
    <mergeCell ref="F174:F175"/>
    <mergeCell ref="G174:G175"/>
    <mergeCell ref="F176:F177"/>
    <mergeCell ref="G176:G177"/>
    <mergeCell ref="F178:F179"/>
    <mergeCell ref="G178:G179"/>
    <mergeCell ref="F180:F181"/>
    <mergeCell ref="G180:G181"/>
    <mergeCell ref="F182:F183"/>
    <mergeCell ref="G182:G183"/>
    <mergeCell ref="F184:F185"/>
    <mergeCell ref="G184:G185"/>
    <mergeCell ref="F186:F187"/>
    <mergeCell ref="G186:G187"/>
    <mergeCell ref="F188:F189"/>
    <mergeCell ref="G188:G189"/>
    <mergeCell ref="F212:F213"/>
    <mergeCell ref="G212:G213"/>
    <mergeCell ref="F214:F215"/>
    <mergeCell ref="G214:G215"/>
    <mergeCell ref="F216:F217"/>
    <mergeCell ref="G216:G217"/>
    <mergeCell ref="F218:F219"/>
    <mergeCell ref="G218:G219"/>
    <mergeCell ref="F220:F221"/>
    <mergeCell ref="G220:G221"/>
    <mergeCell ref="F222:F223"/>
    <mergeCell ref="G222:G223"/>
    <mergeCell ref="F224:F225"/>
    <mergeCell ref="G224:G225"/>
    <mergeCell ref="F190:F191"/>
    <mergeCell ref="G190:G191"/>
    <mergeCell ref="F192:F193"/>
    <mergeCell ref="G192:G193"/>
    <mergeCell ref="F194:F195"/>
    <mergeCell ref="G194:G195"/>
    <mergeCell ref="F196:F197"/>
    <mergeCell ref="G196:G197"/>
    <mergeCell ref="F198:F199"/>
    <mergeCell ref="G198:G199"/>
    <mergeCell ref="F200:F201"/>
    <mergeCell ref="G200:G201"/>
    <mergeCell ref="F202:F203"/>
    <mergeCell ref="G202:G203"/>
    <mergeCell ref="F204:F205"/>
    <mergeCell ref="G204:G205"/>
    <mergeCell ref="F206:F207"/>
    <mergeCell ref="G206:G207"/>
    <mergeCell ref="F208:F209"/>
    <mergeCell ref="G208:G209"/>
    <mergeCell ref="F210:F211"/>
    <mergeCell ref="G210:G211"/>
    <mergeCell ref="F244:F245"/>
    <mergeCell ref="G244:G245"/>
    <mergeCell ref="F246:F247"/>
    <mergeCell ref="G246:G247"/>
    <mergeCell ref="F248:F249"/>
    <mergeCell ref="G248:G249"/>
    <mergeCell ref="F250:F251"/>
    <mergeCell ref="G250:G251"/>
    <mergeCell ref="F252:F253"/>
    <mergeCell ref="G252:G253"/>
    <mergeCell ref="F226:F227"/>
    <mergeCell ref="G226:G227"/>
    <mergeCell ref="F228:F229"/>
    <mergeCell ref="G228:G229"/>
    <mergeCell ref="F230:F231"/>
    <mergeCell ref="G230:G231"/>
    <mergeCell ref="F232:F233"/>
    <mergeCell ref="G232:G233"/>
    <mergeCell ref="F234:F235"/>
    <mergeCell ref="G234:G235"/>
    <mergeCell ref="F236:F237"/>
    <mergeCell ref="G236:G237"/>
    <mergeCell ref="F238:F239"/>
    <mergeCell ref="G238:G239"/>
    <mergeCell ref="F240:F241"/>
    <mergeCell ref="G240:G241"/>
    <mergeCell ref="F242:F243"/>
    <mergeCell ref="G242:G243"/>
  </mergeCells>
  <phoneticPr fontId="0" type="noConversion"/>
  <printOptions horizontalCentered="1"/>
  <pageMargins left="0.19685039370078741" right="0.19685039370078741" top="0.78740157480314965" bottom="0.19685039370078741" header="0.43307086614173229" footer="0.19685039370078741"/>
  <pageSetup paperSize="8" scale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전체예정공정표</vt:lpstr>
      <vt:lpstr>전체예정공정표!Print_Area</vt:lpstr>
      <vt:lpstr>전체예정공정표!Print_Titles</vt:lpstr>
    </vt:vector>
  </TitlesOfParts>
  <Company>한국해외기술공사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박종현</dc:creator>
  <cp:lastModifiedBy>진홍</cp:lastModifiedBy>
  <cp:lastPrinted>2026-01-12T01:17:10Z</cp:lastPrinted>
  <dcterms:created xsi:type="dcterms:W3CDTF">2000-01-18T06:28:36Z</dcterms:created>
  <dcterms:modified xsi:type="dcterms:W3CDTF">2026-07-12T23:57:35Z</dcterms:modified>
</cp:coreProperties>
</file>