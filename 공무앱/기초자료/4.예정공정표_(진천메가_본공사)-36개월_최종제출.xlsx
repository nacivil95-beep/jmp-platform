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8cc805e15fedae/Desktop/임시저장소/토목앱만들기/"/>
    </mc:Choice>
  </mc:AlternateContent>
  <xr:revisionPtr revIDLastSave="11" documentId="13_ncr:1_{DCECFD5E-20CD-482C-8992-D8E8F710D4F1}" xr6:coauthVersionLast="47" xr6:coauthVersionMax="47" xr10:uidLastSave="{65121775-7432-4788-8C95-B413D5429E0E}"/>
  <bookViews>
    <workbookView xWindow="-28920" yWindow="-120" windowWidth="29040" windowHeight="15840" tabRatio="522" xr2:uid="{00000000-000D-0000-FFFF-FFFF00000000}"/>
  </bookViews>
  <sheets>
    <sheet name="전체예정공정표" sheetId="13" r:id="rId1"/>
  </sheets>
  <definedNames>
    <definedName name="_xlnm._FilterDatabase" localSheetId="0" hidden="1">전체예정공정표!$H$26:$H$261</definedName>
    <definedName name="_xlnm.Print_Area" localSheetId="0">전체예정공정표!$L$18:$DV$261</definedName>
    <definedName name="_xlnm.Print_Titles" localSheetId="0">전체예정공정표!$18:$23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I62" i="13" l="1"/>
  <c r="BF62" i="13"/>
  <c r="AW62" i="13"/>
  <c r="AT62" i="13"/>
  <c r="AW58" i="13"/>
  <c r="AT58" i="13"/>
  <c r="CV56" i="13"/>
  <c r="CS56" i="13"/>
  <c r="CP56" i="13"/>
  <c r="CM56" i="13"/>
  <c r="CJ56" i="13"/>
  <c r="CG56" i="13"/>
  <c r="CD56" i="13"/>
  <c r="CA56" i="13"/>
  <c r="BX56" i="13"/>
  <c r="BU56" i="13"/>
  <c r="BR56" i="13"/>
  <c r="BO56" i="13"/>
  <c r="BL56" i="13"/>
  <c r="BI56" i="13"/>
  <c r="BF56" i="13"/>
  <c r="BC56" i="13"/>
  <c r="BI52" i="13"/>
  <c r="BF52" i="13"/>
  <c r="BC52" i="13"/>
  <c r="AZ52" i="13"/>
  <c r="CA52" i="13"/>
  <c r="BX52" i="13"/>
  <c r="BU52" i="13"/>
  <c r="BR52" i="13"/>
  <c r="BO52" i="13"/>
  <c r="BL52" i="13"/>
  <c r="AW52" i="13"/>
  <c r="AT52" i="13"/>
  <c r="BX50" i="13"/>
  <c r="BU50" i="13"/>
  <c r="BR50" i="13"/>
  <c r="BO50" i="13"/>
  <c r="BL50" i="13"/>
  <c r="BI50" i="13"/>
  <c r="BF50" i="13"/>
  <c r="BC50" i="13"/>
  <c r="AZ50" i="13"/>
  <c r="AW50" i="13"/>
  <c r="AT50" i="13"/>
  <c r="CV48" i="13"/>
  <c r="CS48" i="13"/>
  <c r="CP48" i="13"/>
  <c r="CM48" i="13"/>
  <c r="CJ48" i="13"/>
  <c r="CG48" i="13"/>
  <c r="CD48" i="13"/>
  <c r="CA48" i="13"/>
  <c r="BX48" i="13"/>
  <c r="BU48" i="13"/>
  <c r="BR48" i="13"/>
  <c r="BO48" i="13"/>
  <c r="BL48" i="13"/>
  <c r="BI48" i="13"/>
  <c r="BF48" i="13"/>
  <c r="BC48" i="13"/>
  <c r="AZ48" i="13"/>
  <c r="AW48" i="13"/>
  <c r="AT48" i="13"/>
  <c r="CV46" i="13"/>
  <c r="CS46" i="13"/>
  <c r="CP46" i="13"/>
  <c r="CM46" i="13"/>
  <c r="CJ46" i="13"/>
  <c r="CG46" i="13"/>
  <c r="CD46" i="13"/>
  <c r="CA46" i="13"/>
  <c r="BX46" i="13"/>
  <c r="BU46" i="13"/>
  <c r="BR46" i="13"/>
  <c r="BO46" i="13"/>
  <c r="BL46" i="13"/>
  <c r="BI46" i="13"/>
  <c r="BF46" i="13"/>
  <c r="BC46" i="13"/>
  <c r="AZ46" i="13"/>
  <c r="AW46" i="13"/>
  <c r="AT46" i="13"/>
  <c r="BU44" i="13"/>
  <c r="BR44" i="13"/>
  <c r="BO44" i="13"/>
  <c r="BL44" i="13"/>
  <c r="BI44" i="13"/>
  <c r="BF44" i="13"/>
  <c r="BC44" i="13"/>
  <c r="AZ44" i="13"/>
  <c r="AW44" i="13"/>
  <c r="AT44" i="13"/>
  <c r="CV42" i="13"/>
  <c r="CS42" i="13"/>
  <c r="CP42" i="13"/>
  <c r="CM42" i="13"/>
  <c r="CJ42" i="13"/>
  <c r="CG42" i="13"/>
  <c r="CD42" i="13"/>
  <c r="CA42" i="13"/>
  <c r="BX42" i="13"/>
  <c r="BU42" i="13"/>
  <c r="BR42" i="13"/>
  <c r="BO42" i="13"/>
  <c r="BL42" i="13"/>
  <c r="BI42" i="13"/>
  <c r="BF42" i="13"/>
  <c r="BC42" i="13"/>
  <c r="AZ42" i="13"/>
  <c r="AW42" i="13"/>
  <c r="AT42" i="13"/>
  <c r="AW32" i="13"/>
  <c r="AT30" i="13"/>
  <c r="AW34" i="13"/>
  <c r="CJ34" i="13"/>
  <c r="CG34" i="13"/>
  <c r="CD34" i="13"/>
  <c r="AT34" i="13"/>
  <c r="AQ62" i="13" l="1"/>
  <c r="AQ58" i="13"/>
  <c r="AQ52" i="13"/>
  <c r="AQ50" i="13"/>
  <c r="AQ48" i="13"/>
  <c r="AQ46" i="13"/>
  <c r="AQ44" i="13"/>
  <c r="AQ42" i="13"/>
  <c r="AQ40" i="13"/>
  <c r="AQ38" i="13"/>
  <c r="AQ36" i="13"/>
  <c r="AQ34" i="13"/>
  <c r="AN62" i="13"/>
  <c r="AN52" i="13"/>
  <c r="AN50" i="13"/>
  <c r="AN48" i="13"/>
  <c r="AN46" i="13"/>
  <c r="AN44" i="13"/>
  <c r="AN42" i="13"/>
  <c r="AN40" i="13"/>
  <c r="AN38" i="13"/>
  <c r="AN36" i="13"/>
  <c r="AN34" i="13"/>
  <c r="AK62" i="13"/>
  <c r="AK60" i="13"/>
  <c r="AK50" i="13"/>
  <c r="AK48" i="13"/>
  <c r="AK46" i="13"/>
  <c r="AK44" i="13"/>
  <c r="AK42" i="13"/>
  <c r="AK40" i="13"/>
  <c r="AK38" i="13"/>
  <c r="AK36" i="13"/>
  <c r="AK34" i="13"/>
  <c r="M264" i="13"/>
  <c r="AH62" i="13" l="1"/>
  <c r="AH60" i="13"/>
  <c r="AH56" i="13"/>
  <c r="AH48" i="13"/>
  <c r="AH46" i="13"/>
  <c r="AH44" i="13"/>
  <c r="AH42" i="13"/>
  <c r="AH40" i="13"/>
  <c r="AH38" i="13"/>
  <c r="AH36" i="13"/>
  <c r="AH34" i="13"/>
  <c r="AE62" i="13"/>
  <c r="AE56" i="13"/>
  <c r="AE48" i="13"/>
  <c r="AE46" i="13"/>
  <c r="AE44" i="13"/>
  <c r="AE42" i="13"/>
  <c r="AE40" i="13"/>
  <c r="AE38" i="13"/>
  <c r="AE36" i="13"/>
  <c r="AE34" i="13"/>
  <c r="AB48" i="13"/>
  <c r="AB46" i="13"/>
  <c r="AB44" i="13"/>
  <c r="AB42" i="13"/>
  <c r="AB40" i="13"/>
  <c r="AB38" i="13"/>
  <c r="AB36" i="13"/>
  <c r="AB34" i="13"/>
  <c r="AB32" i="13"/>
  <c r="AB30" i="13"/>
  <c r="Y58" i="13"/>
  <c r="Y48" i="13"/>
  <c r="Y46" i="13"/>
  <c r="Y44" i="13"/>
  <c r="Y42" i="13"/>
  <c r="Y38" i="13"/>
  <c r="Y36" i="13"/>
  <c r="Y32" i="13"/>
  <c r="Y30" i="13"/>
  <c r="S48" i="13"/>
  <c r="S46" i="13"/>
  <c r="S42" i="13"/>
  <c r="S38" i="13"/>
  <c r="S36" i="13"/>
  <c r="S58" i="13"/>
  <c r="V58" i="13"/>
  <c r="V48" i="13"/>
  <c r="V46" i="13"/>
  <c r="V44" i="13"/>
  <c r="V42" i="13"/>
  <c r="V38" i="13"/>
  <c r="V36" i="13"/>
  <c r="V32" i="13"/>
  <c r="V30" i="13"/>
  <c r="AB28" i="13"/>
  <c r="Y28" i="13"/>
  <c r="V28" i="13"/>
  <c r="DQ252" i="13"/>
  <c r="DN252" i="13"/>
  <c r="DK252" i="13"/>
  <c r="DH252" i="13"/>
  <c r="DE252" i="13"/>
  <c r="DB252" i="13"/>
  <c r="CY252" i="13"/>
  <c r="CV252" i="13"/>
  <c r="CS252" i="13"/>
  <c r="CP252" i="13"/>
  <c r="CM252" i="13"/>
  <c r="CJ252" i="13"/>
  <c r="CG252" i="13"/>
  <c r="CD252" i="13"/>
  <c r="CA252" i="13"/>
  <c r="BX252" i="13"/>
  <c r="BU252" i="13"/>
  <c r="BR252" i="13"/>
  <c r="BO252" i="13"/>
  <c r="BL252" i="13"/>
  <c r="BI252" i="13"/>
  <c r="BF252" i="13"/>
  <c r="BC252" i="13"/>
  <c r="AZ252" i="13"/>
  <c r="AW252" i="13"/>
  <c r="AT252" i="13"/>
  <c r="AQ252" i="13"/>
  <c r="AN252" i="13"/>
  <c r="AK252" i="13"/>
  <c r="AH252" i="13"/>
  <c r="AE252" i="13"/>
  <c r="AB252" i="13"/>
  <c r="Y252" i="13"/>
  <c r="V252" i="13"/>
  <c r="S252" i="13"/>
  <c r="DT252" i="13"/>
  <c r="DX254" i="13"/>
  <c r="DX28" i="13" l="1"/>
  <c r="DX40" i="13"/>
  <c r="BU222" i="13" l="1"/>
  <c r="BO222" i="13"/>
  <c r="BI222" i="13"/>
  <c r="BC222" i="13"/>
  <c r="AW222" i="13"/>
  <c r="AQ222" i="13"/>
  <c r="AB222" i="13"/>
  <c r="AK222" i="13"/>
  <c r="AH222" i="13"/>
  <c r="Y222" i="13"/>
  <c r="AE222" i="13"/>
  <c r="AN222" i="13"/>
  <c r="AT222" i="13"/>
  <c r="AZ222" i="13"/>
  <c r="BF222" i="13"/>
  <c r="BL222" i="13"/>
  <c r="BR222" i="13"/>
  <c r="BX222" i="13"/>
  <c r="DE222" i="13"/>
  <c r="DH222" i="13"/>
  <c r="DK222" i="13"/>
  <c r="DN222" i="13"/>
  <c r="DQ222" i="13"/>
  <c r="AT208" i="13" l="1"/>
  <c r="DT240" i="13" l="1"/>
  <c r="DQ240" i="13"/>
  <c r="DN240" i="13"/>
  <c r="DK240" i="13"/>
  <c r="DH240" i="13"/>
  <c r="DE240" i="13"/>
  <c r="DB240" i="13"/>
  <c r="CY240" i="13"/>
  <c r="CV240" i="13"/>
  <c r="CS240" i="13"/>
  <c r="CP240" i="13"/>
  <c r="CM240" i="13"/>
  <c r="CJ240" i="13"/>
  <c r="CG240" i="13"/>
  <c r="CD240" i="13"/>
  <c r="CA240" i="13"/>
  <c r="BX240" i="13"/>
  <c r="BU240" i="13"/>
  <c r="BR240" i="13"/>
  <c r="BO240" i="13"/>
  <c r="BL240" i="13"/>
  <c r="BI240" i="13"/>
  <c r="BF240" i="13"/>
  <c r="BC240" i="13"/>
  <c r="AZ240" i="13"/>
  <c r="AW240" i="13"/>
  <c r="AT240" i="13"/>
  <c r="AQ240" i="13"/>
  <c r="AN240" i="13"/>
  <c r="AK240" i="13"/>
  <c r="AH240" i="13"/>
  <c r="AE240" i="13"/>
  <c r="AB240" i="13"/>
  <c r="Y240" i="13"/>
  <c r="V240" i="13"/>
  <c r="S240" i="13"/>
  <c r="R240" i="13"/>
  <c r="DT222" i="13"/>
  <c r="DT208" i="13"/>
  <c r="DQ208" i="13"/>
  <c r="DN208" i="13"/>
  <c r="DK208" i="13"/>
  <c r="DB208" i="13"/>
  <c r="CP208" i="13"/>
  <c r="CM208" i="13"/>
  <c r="CJ208" i="13"/>
  <c r="CG208" i="13"/>
  <c r="CD208" i="13"/>
  <c r="CA208" i="13"/>
  <c r="BX208" i="13"/>
  <c r="BU208" i="13"/>
  <c r="BR208" i="13"/>
  <c r="BO208" i="13"/>
  <c r="BL208" i="13"/>
  <c r="BI208" i="13"/>
  <c r="BF208" i="13"/>
  <c r="BC208" i="13"/>
  <c r="AZ208" i="13"/>
  <c r="AW208" i="13"/>
  <c r="AQ208" i="13"/>
  <c r="AN208" i="13"/>
  <c r="AK208" i="13"/>
  <c r="AH208" i="13"/>
  <c r="AE208" i="13"/>
  <c r="AB208" i="13"/>
  <c r="Y208" i="13"/>
  <c r="V208" i="13"/>
  <c r="DT196" i="13"/>
  <c r="DQ196" i="13"/>
  <c r="DN196" i="13"/>
  <c r="DK196" i="13"/>
  <c r="DH196" i="13"/>
  <c r="DE196" i="13"/>
  <c r="DB196" i="13"/>
  <c r="CY196" i="13"/>
  <c r="CV196" i="13"/>
  <c r="CS196" i="13"/>
  <c r="CP196" i="13"/>
  <c r="CM196" i="13"/>
  <c r="CJ196" i="13"/>
  <c r="BI196" i="13"/>
  <c r="BF196" i="13"/>
  <c r="BC196" i="13"/>
  <c r="AZ196" i="13"/>
  <c r="AW196" i="13"/>
  <c r="AT196" i="13"/>
  <c r="AQ196" i="13"/>
  <c r="AN196" i="13"/>
  <c r="AK196" i="13"/>
  <c r="AH196" i="13"/>
  <c r="AE196" i="13"/>
  <c r="AB196" i="13"/>
  <c r="Y196" i="13"/>
  <c r="V196" i="13"/>
  <c r="DT186" i="13"/>
  <c r="DQ186" i="13"/>
  <c r="DN186" i="13"/>
  <c r="DK186" i="13"/>
  <c r="DH186" i="13"/>
  <c r="DE186" i="13"/>
  <c r="DB186" i="13"/>
  <c r="CY186" i="13"/>
  <c r="CV186" i="13"/>
  <c r="CS186" i="13"/>
  <c r="CP186" i="13"/>
  <c r="CM186" i="13"/>
  <c r="CJ186" i="13"/>
  <c r="CG186" i="13"/>
  <c r="CD186" i="13"/>
  <c r="CA186" i="13"/>
  <c r="BX186" i="13"/>
  <c r="BU186" i="13"/>
  <c r="BR186" i="13"/>
  <c r="BO186" i="13"/>
  <c r="BL186" i="13"/>
  <c r="BI186" i="13"/>
  <c r="BF186" i="13"/>
  <c r="BC186" i="13"/>
  <c r="AZ186" i="13"/>
  <c r="AW186" i="13"/>
  <c r="AT186" i="13"/>
  <c r="AQ186" i="13"/>
  <c r="AN186" i="13"/>
  <c r="AK186" i="13"/>
  <c r="AH186" i="13"/>
  <c r="AE186" i="13"/>
  <c r="AB186" i="13"/>
  <c r="Y186" i="13"/>
  <c r="V186" i="13"/>
  <c r="S186" i="13"/>
  <c r="R186" i="13"/>
  <c r="DT178" i="13"/>
  <c r="DQ178" i="13"/>
  <c r="DN178" i="13"/>
  <c r="DK178" i="13"/>
  <c r="DH178" i="13"/>
  <c r="DE178" i="13"/>
  <c r="DB178" i="13"/>
  <c r="CY178" i="13"/>
  <c r="CV178" i="13"/>
  <c r="CS178" i="13"/>
  <c r="BX178" i="13"/>
  <c r="BU178" i="13"/>
  <c r="BR178" i="13"/>
  <c r="BO178" i="13"/>
  <c r="BL178" i="13"/>
  <c r="BI178" i="13"/>
  <c r="BF178" i="13"/>
  <c r="BC178" i="13"/>
  <c r="AZ178" i="13"/>
  <c r="AW178" i="13"/>
  <c r="AT178" i="13"/>
  <c r="AQ178" i="13"/>
  <c r="AN178" i="13"/>
  <c r="AK178" i="13"/>
  <c r="AH178" i="13"/>
  <c r="AE178" i="13"/>
  <c r="AB178" i="13"/>
  <c r="Y178" i="13"/>
  <c r="V178" i="13"/>
  <c r="DQ160" i="13"/>
  <c r="DT134" i="13"/>
  <c r="DQ134" i="13"/>
  <c r="CP134" i="13"/>
  <c r="CM134" i="13"/>
  <c r="CJ134" i="13"/>
  <c r="CG134" i="13"/>
  <c r="CD134" i="13"/>
  <c r="CA134" i="13"/>
  <c r="BX134" i="13"/>
  <c r="BU134" i="13"/>
  <c r="BR134" i="13"/>
  <c r="BO134" i="13"/>
  <c r="BL134" i="13"/>
  <c r="BI134" i="13"/>
  <c r="BF134" i="13"/>
  <c r="BC134" i="13"/>
  <c r="AZ134" i="13"/>
  <c r="AW134" i="13"/>
  <c r="AT134" i="13"/>
  <c r="AQ134" i="13"/>
  <c r="AN134" i="13"/>
  <c r="AK134" i="13"/>
  <c r="AH134" i="13"/>
  <c r="AE134" i="13"/>
  <c r="AB134" i="13"/>
  <c r="Y134" i="13"/>
  <c r="V134" i="13"/>
  <c r="DT108" i="13"/>
  <c r="DQ108" i="13"/>
  <c r="DN108" i="13"/>
  <c r="DK108" i="13"/>
  <c r="DH108" i="13"/>
  <c r="DE108" i="13"/>
  <c r="CY108" i="13"/>
  <c r="CV108" i="13"/>
  <c r="CS108" i="13"/>
  <c r="BU108" i="13"/>
  <c r="BR108" i="13"/>
  <c r="BO108" i="13"/>
  <c r="BL108" i="13"/>
  <c r="BI108" i="13"/>
  <c r="BF108" i="13"/>
  <c r="BC108" i="13"/>
  <c r="AZ108" i="13"/>
  <c r="AW108" i="13"/>
  <c r="AT108" i="13"/>
  <c r="AQ108" i="13"/>
  <c r="AN108" i="13"/>
  <c r="AK108" i="13"/>
  <c r="AH108" i="13"/>
  <c r="AE108" i="13"/>
  <c r="AB108" i="13"/>
  <c r="Y108" i="13"/>
  <c r="V108" i="13"/>
  <c r="DT94" i="13"/>
  <c r="DQ94" i="13"/>
  <c r="DN94" i="13"/>
  <c r="DK94" i="13"/>
  <c r="DH94" i="13"/>
  <c r="DE94" i="13"/>
  <c r="DB94" i="13"/>
  <c r="CY94" i="13"/>
  <c r="CV94" i="13"/>
  <c r="CS94" i="13"/>
  <c r="CP94" i="13"/>
  <c r="CM94" i="13"/>
  <c r="BR94" i="13"/>
  <c r="BO94" i="13"/>
  <c r="BL94" i="13"/>
  <c r="BI94" i="13"/>
  <c r="BF94" i="13"/>
  <c r="BC94" i="13"/>
  <c r="AZ94" i="13"/>
  <c r="AW94" i="13"/>
  <c r="AT94" i="13"/>
  <c r="AQ94" i="13"/>
  <c r="AN94" i="13"/>
  <c r="AK94" i="13"/>
  <c r="AH94" i="13"/>
  <c r="AE94" i="13"/>
  <c r="AB94" i="13"/>
  <c r="Y94" i="13"/>
  <c r="V94" i="13"/>
  <c r="DT64" i="13"/>
  <c r="DQ64" i="13"/>
  <c r="DN64" i="13"/>
  <c r="DK64" i="13"/>
  <c r="DH64" i="13"/>
  <c r="DE64" i="13"/>
  <c r="AH64" i="13"/>
  <c r="AE64" i="13"/>
  <c r="AB64" i="13"/>
  <c r="Y64" i="13"/>
  <c r="V64" i="13"/>
  <c r="DQ26" i="13"/>
  <c r="DT26" i="13"/>
  <c r="DB26" i="13"/>
  <c r="DQ250" i="13" l="1"/>
  <c r="DQ24" i="13"/>
  <c r="F28" i="13" l="1"/>
  <c r="DX252" i="13" l="1"/>
  <c r="DY252" i="13" l="1"/>
  <c r="F252" i="13"/>
  <c r="DX240" i="13"/>
  <c r="F240" i="13" l="1"/>
  <c r="DX186" i="13"/>
  <c r="F186" i="13" l="1"/>
  <c r="DT160" i="13"/>
  <c r="DT250" i="13" s="1"/>
  <c r="DT24" i="13" l="1"/>
  <c r="DX248" i="13"/>
  <c r="DX246" i="13"/>
  <c r="DX242" i="13"/>
  <c r="DX236" i="13"/>
  <c r="DX234" i="13"/>
  <c r="DX232" i="13"/>
  <c r="DX230" i="13"/>
  <c r="DX228" i="13"/>
  <c r="DX224" i="13"/>
  <c r="DX220" i="13"/>
  <c r="DX218" i="13"/>
  <c r="DX216" i="13"/>
  <c r="DX214" i="13"/>
  <c r="DX212" i="13"/>
  <c r="DX210" i="13"/>
  <c r="DX206" i="13"/>
  <c r="DX204" i="13"/>
  <c r="DX202" i="13"/>
  <c r="DX200" i="13"/>
  <c r="DX198" i="13"/>
  <c r="DX194" i="13"/>
  <c r="DX192" i="13"/>
  <c r="DX190" i="13"/>
  <c r="DX188" i="13"/>
  <c r="DX184" i="13"/>
  <c r="DX182" i="13"/>
  <c r="DX180" i="13"/>
  <c r="DX176" i="13"/>
  <c r="DX174" i="13"/>
  <c r="DX172" i="13"/>
  <c r="DX170" i="13"/>
  <c r="DX168" i="13"/>
  <c r="DX166" i="13"/>
  <c r="DX164" i="13"/>
  <c r="DX162" i="13"/>
  <c r="DX158" i="13"/>
  <c r="DX156" i="13"/>
  <c r="DX154" i="13"/>
  <c r="DX152" i="13"/>
  <c r="DX150" i="13"/>
  <c r="DX148" i="13"/>
  <c r="DX146" i="13"/>
  <c r="DX144" i="13"/>
  <c r="DX142" i="13"/>
  <c r="DX140" i="13"/>
  <c r="DX138" i="13"/>
  <c r="DX136" i="13"/>
  <c r="DX132" i="13"/>
  <c r="DX130" i="13"/>
  <c r="DX128" i="13"/>
  <c r="DX126" i="13"/>
  <c r="DX124" i="13"/>
  <c r="DX122" i="13"/>
  <c r="DX120" i="13"/>
  <c r="DX118" i="13"/>
  <c r="DX116" i="13"/>
  <c r="DX114" i="13"/>
  <c r="DX112" i="13"/>
  <c r="DX110" i="13"/>
  <c r="DX106" i="13"/>
  <c r="DX104" i="13"/>
  <c r="DX102" i="13"/>
  <c r="DX100" i="13"/>
  <c r="DX98" i="13"/>
  <c r="DX96" i="13"/>
  <c r="DX92" i="13"/>
  <c r="DX90" i="13"/>
  <c r="DX88" i="13"/>
  <c r="DX86" i="13"/>
  <c r="DX84" i="13"/>
  <c r="DX82" i="13"/>
  <c r="DX80" i="13"/>
  <c r="DX78" i="13"/>
  <c r="DX76" i="13"/>
  <c r="DX74" i="13"/>
  <c r="DX72" i="13"/>
  <c r="DX70" i="13"/>
  <c r="DX68" i="13"/>
  <c r="DX66" i="13"/>
  <c r="DX62" i="13"/>
  <c r="DX60" i="13"/>
  <c r="DX58" i="13"/>
  <c r="DX56" i="13"/>
  <c r="DX54" i="13"/>
  <c r="DX52" i="13"/>
  <c r="DX50" i="13"/>
  <c r="DX48" i="13"/>
  <c r="DX46" i="13"/>
  <c r="DX44" i="13"/>
  <c r="DX42" i="13"/>
  <c r="F40" i="13"/>
  <c r="DX38" i="13"/>
  <c r="DX36" i="13"/>
  <c r="DX34" i="13"/>
  <c r="DX32" i="13"/>
  <c r="DX30" i="13"/>
  <c r="F34" i="13" l="1"/>
  <c r="F46" i="13"/>
  <c r="F58" i="13"/>
  <c r="F72" i="13"/>
  <c r="F84" i="13"/>
  <c r="F98" i="13"/>
  <c r="F112" i="13"/>
  <c r="F124" i="13"/>
  <c r="F138" i="13"/>
  <c r="F150" i="13"/>
  <c r="F164" i="13"/>
  <c r="F176" i="13"/>
  <c r="F192" i="13"/>
  <c r="F206" i="13"/>
  <c r="F220" i="13"/>
  <c r="F236" i="13"/>
  <c r="F60" i="13"/>
  <c r="F114" i="13"/>
  <c r="F166" i="13"/>
  <c r="F210" i="13"/>
  <c r="F76" i="13"/>
  <c r="F128" i="13"/>
  <c r="F154" i="13"/>
  <c r="F168" i="13"/>
  <c r="F182" i="13"/>
  <c r="F198" i="13"/>
  <c r="F212" i="13"/>
  <c r="F228" i="13"/>
  <c r="F246" i="13"/>
  <c r="F48" i="13"/>
  <c r="F100" i="13"/>
  <c r="F140" i="13"/>
  <c r="F152" i="13"/>
  <c r="F194" i="13"/>
  <c r="F38" i="13"/>
  <c r="F62" i="13"/>
  <c r="F102" i="13"/>
  <c r="F142" i="13"/>
  <c r="F52" i="13"/>
  <c r="F66" i="13"/>
  <c r="F78" i="13"/>
  <c r="F90" i="13"/>
  <c r="F104" i="13"/>
  <c r="F118" i="13"/>
  <c r="F130" i="13"/>
  <c r="F144" i="13"/>
  <c r="F156" i="13"/>
  <c r="F170" i="13"/>
  <c r="F184" i="13"/>
  <c r="F200" i="13"/>
  <c r="F214" i="13"/>
  <c r="F230" i="13"/>
  <c r="F248" i="13"/>
  <c r="F36" i="13"/>
  <c r="F74" i="13"/>
  <c r="F126" i="13"/>
  <c r="F224" i="13"/>
  <c r="F88" i="13"/>
  <c r="F30" i="13"/>
  <c r="F42" i="13"/>
  <c r="F54" i="13"/>
  <c r="F68" i="13"/>
  <c r="F80" i="13"/>
  <c r="F92" i="13"/>
  <c r="F106" i="13"/>
  <c r="F120" i="13"/>
  <c r="F132" i="13"/>
  <c r="F146" i="13"/>
  <c r="F158" i="13"/>
  <c r="F172" i="13"/>
  <c r="F188" i="13"/>
  <c r="F202" i="13"/>
  <c r="F216" i="13"/>
  <c r="F232" i="13"/>
  <c r="F86" i="13"/>
  <c r="F50" i="13"/>
  <c r="F116" i="13"/>
  <c r="F32" i="13"/>
  <c r="F44" i="13"/>
  <c r="F56" i="13"/>
  <c r="F70" i="13"/>
  <c r="F82" i="13"/>
  <c r="F96" i="13"/>
  <c r="F110" i="13"/>
  <c r="F122" i="13"/>
  <c r="F136" i="13"/>
  <c r="F148" i="13"/>
  <c r="F162" i="13"/>
  <c r="F174" i="13"/>
  <c r="F190" i="13"/>
  <c r="F204" i="13"/>
  <c r="F218" i="13"/>
  <c r="F234" i="13"/>
  <c r="DY178" i="13"/>
  <c r="F180" i="13"/>
  <c r="DY240" i="13"/>
  <c r="F242" i="13"/>
  <c r="DY186" i="13"/>
  <c r="DY208" i="13"/>
  <c r="DY196" i="13"/>
  <c r="DY160" i="13"/>
  <c r="DY134" i="13"/>
  <c r="DY108" i="13"/>
  <c r="DY64" i="13"/>
  <c r="DY26" i="13"/>
  <c r="DY94" i="13"/>
  <c r="P222" i="13" l="1"/>
  <c r="P26" i="13"/>
  <c r="P196" i="13" l="1"/>
  <c r="P160" i="13"/>
  <c r="P108" i="13" l="1"/>
  <c r="P240" i="13" l="1"/>
  <c r="P208" i="13"/>
  <c r="P186" i="13"/>
  <c r="P178" i="13"/>
  <c r="P134" i="13"/>
  <c r="P94" i="13"/>
  <c r="P64" i="13"/>
  <c r="O24" i="13" l="1"/>
  <c r="P244" i="13"/>
  <c r="P256" i="13" l="1"/>
  <c r="DX226" i="13"/>
  <c r="DX238" i="13"/>
  <c r="F238" i="13" l="1"/>
  <c r="F226" i="13"/>
  <c r="Q42" i="13"/>
  <c r="Q254" i="13"/>
  <c r="Q214" i="13"/>
  <c r="Q162" i="13"/>
  <c r="Q136" i="13"/>
  <c r="Q112" i="13"/>
  <c r="Q88" i="13"/>
  <c r="Q40" i="13"/>
  <c r="Q252" i="13"/>
  <c r="Q212" i="13"/>
  <c r="Q158" i="13"/>
  <c r="Q110" i="13"/>
  <c r="Q86" i="13"/>
  <c r="Q38" i="13"/>
  <c r="Q238" i="13"/>
  <c r="G238" i="13" s="1"/>
  <c r="Q184" i="13"/>
  <c r="Q156" i="13"/>
  <c r="Q132" i="13"/>
  <c r="Q84" i="13"/>
  <c r="Q62" i="13"/>
  <c r="Q36" i="13"/>
  <c r="Q236" i="13"/>
  <c r="Q206" i="13"/>
  <c r="Q182" i="13"/>
  <c r="Q154" i="13"/>
  <c r="Q130" i="13"/>
  <c r="Q106" i="13"/>
  <c r="Q82" i="13"/>
  <c r="Q60" i="13"/>
  <c r="Q34" i="13"/>
  <c r="Q234" i="13"/>
  <c r="Q204" i="13"/>
  <c r="Q180" i="13"/>
  <c r="Q152" i="13"/>
  <c r="Q128" i="13"/>
  <c r="Q104" i="13"/>
  <c r="Q80" i="13"/>
  <c r="Q58" i="13"/>
  <c r="Q32" i="13"/>
  <c r="Q232" i="13"/>
  <c r="Q202" i="13"/>
  <c r="Q176" i="13"/>
  <c r="Q150" i="13"/>
  <c r="Q126" i="13"/>
  <c r="Q102" i="13"/>
  <c r="Q78" i="13"/>
  <c r="Q44" i="13"/>
  <c r="Q30" i="13"/>
  <c r="Q230" i="13"/>
  <c r="Q200" i="13"/>
  <c r="Q174" i="13"/>
  <c r="Q148" i="13"/>
  <c r="Q124" i="13"/>
  <c r="Q100" i="13"/>
  <c r="Q76" i="13"/>
  <c r="Q56" i="13"/>
  <c r="Q28" i="13"/>
  <c r="Q250" i="13"/>
  <c r="Q228" i="13"/>
  <c r="Q198" i="13"/>
  <c r="Q172" i="13"/>
  <c r="Q146" i="13"/>
  <c r="Q122" i="13"/>
  <c r="Q98" i="13"/>
  <c r="Q74" i="13"/>
  <c r="Q54" i="13"/>
  <c r="Q248" i="13"/>
  <c r="Q226" i="13"/>
  <c r="G226" i="13" s="1"/>
  <c r="Q170" i="13"/>
  <c r="Q144" i="13"/>
  <c r="Q120" i="13"/>
  <c r="Q96" i="13"/>
  <c r="Q72" i="13"/>
  <c r="Q52" i="13"/>
  <c r="Q246" i="13"/>
  <c r="Q224" i="13"/>
  <c r="Q194" i="13"/>
  <c r="Q168" i="13"/>
  <c r="Q142" i="13"/>
  <c r="Q118" i="13"/>
  <c r="Q70" i="13"/>
  <c r="Q50" i="13"/>
  <c r="Q242" i="13"/>
  <c r="Q220" i="13"/>
  <c r="Q192" i="13"/>
  <c r="Q166" i="13"/>
  <c r="Q140" i="13"/>
  <c r="Q116" i="13"/>
  <c r="Q92" i="13"/>
  <c r="Q68" i="13"/>
  <c r="Q48" i="13"/>
  <c r="Q216" i="13"/>
  <c r="Q190" i="13"/>
  <c r="Q164" i="13"/>
  <c r="Q138" i="13"/>
  <c r="Q114" i="13"/>
  <c r="Q90" i="13"/>
  <c r="Q66" i="13"/>
  <c r="Q46" i="13"/>
  <c r="DY222" i="13"/>
  <c r="DY24" i="13" s="1"/>
  <c r="Q218" i="13"/>
  <c r="Q188" i="13"/>
  <c r="Q210" i="13"/>
  <c r="G192" i="13" l="1"/>
  <c r="G172" i="13"/>
  <c r="G66" i="13"/>
  <c r="G216" i="13"/>
  <c r="G166" i="13"/>
  <c r="G118" i="13"/>
  <c r="G52" i="13"/>
  <c r="G146" i="13"/>
  <c r="G56" i="13"/>
  <c r="G200" i="13"/>
  <c r="G126" i="13"/>
  <c r="G58" i="13"/>
  <c r="G204" i="13"/>
  <c r="G130" i="13"/>
  <c r="G62" i="13"/>
  <c r="G38" i="13"/>
  <c r="G40" i="13"/>
  <c r="G90" i="13"/>
  <c r="G72" i="13"/>
  <c r="G230" i="13"/>
  <c r="G234" i="13"/>
  <c r="G86" i="13"/>
  <c r="G188" i="13"/>
  <c r="G220" i="13"/>
  <c r="G54" i="13"/>
  <c r="G100" i="13"/>
  <c r="G104" i="13"/>
  <c r="G182" i="13"/>
  <c r="G110" i="13"/>
  <c r="G112" i="13"/>
  <c r="G218" i="13"/>
  <c r="G138" i="13"/>
  <c r="G92" i="13"/>
  <c r="G194" i="13"/>
  <c r="G120" i="13"/>
  <c r="G74" i="13"/>
  <c r="G228" i="13"/>
  <c r="G124" i="13"/>
  <c r="G44" i="13"/>
  <c r="G202" i="13"/>
  <c r="G128" i="13"/>
  <c r="G60" i="13"/>
  <c r="G206" i="13"/>
  <c r="G156" i="13"/>
  <c r="G158" i="13"/>
  <c r="G136" i="13"/>
  <c r="G48" i="13"/>
  <c r="G248" i="13"/>
  <c r="G150" i="13"/>
  <c r="G154" i="13"/>
  <c r="G42" i="13"/>
  <c r="G68" i="13"/>
  <c r="G168" i="13"/>
  <c r="G198" i="13"/>
  <c r="G30" i="13"/>
  <c r="G34" i="13"/>
  <c r="G132" i="13"/>
  <c r="G164" i="13"/>
  <c r="G50" i="13"/>
  <c r="G224" i="13"/>
  <c r="G144" i="13"/>
  <c r="G98" i="13"/>
  <c r="G148" i="13"/>
  <c r="G78" i="13"/>
  <c r="G232" i="13"/>
  <c r="G152" i="13"/>
  <c r="G82" i="13"/>
  <c r="G236" i="13"/>
  <c r="G184" i="13"/>
  <c r="G212" i="13"/>
  <c r="G162" i="13"/>
  <c r="G210" i="13"/>
  <c r="G142" i="13"/>
  <c r="G76" i="13"/>
  <c r="G80" i="13"/>
  <c r="G84" i="13"/>
  <c r="G88" i="13"/>
  <c r="G114" i="13"/>
  <c r="G96" i="13"/>
  <c r="G176" i="13"/>
  <c r="G116" i="13"/>
  <c r="G46" i="13"/>
  <c r="G190" i="13"/>
  <c r="G140" i="13"/>
  <c r="G70" i="13"/>
  <c r="G246" i="13"/>
  <c r="G170" i="13"/>
  <c r="G122" i="13"/>
  <c r="G28" i="13"/>
  <c r="G174" i="13"/>
  <c r="G102" i="13"/>
  <c r="G32" i="13"/>
  <c r="G180" i="13"/>
  <c r="G106" i="13"/>
  <c r="G36" i="13"/>
  <c r="G252" i="13"/>
  <c r="G214" i="13"/>
  <c r="V222" i="13"/>
  <c r="CM222" i="13"/>
  <c r="DB222" i="13"/>
  <c r="CJ222" i="13"/>
  <c r="CY222" i="13"/>
  <c r="CG222" i="13"/>
  <c r="CV222" i="13"/>
  <c r="CD222" i="13"/>
  <c r="CS222" i="13"/>
  <c r="CA222" i="13"/>
  <c r="CP222" i="13"/>
  <c r="R222" i="13"/>
  <c r="DE208" i="13"/>
  <c r="CY208" i="13"/>
  <c r="CS208" i="13"/>
  <c r="DH208" i="13"/>
  <c r="CV208" i="13"/>
  <c r="S208" i="13"/>
  <c r="R208" i="13"/>
  <c r="R196" i="13"/>
  <c r="CJ178" i="13"/>
  <c r="CG178" i="13"/>
  <c r="CD178" i="13"/>
  <c r="CP178" i="13"/>
  <c r="CM178" i="13"/>
  <c r="CA178" i="13"/>
  <c r="S178" i="13"/>
  <c r="R178" i="13"/>
  <c r="CJ160" i="13"/>
  <c r="BR160" i="13"/>
  <c r="AH160" i="13"/>
  <c r="CD160" i="13"/>
  <c r="AT160" i="13"/>
  <c r="AQ160" i="13"/>
  <c r="Y160" i="13"/>
  <c r="BX160" i="13"/>
  <c r="AK160" i="13"/>
  <c r="CG160" i="13"/>
  <c r="BO160" i="13"/>
  <c r="AW160" i="13"/>
  <c r="CV160" i="13"/>
  <c r="BL160" i="13"/>
  <c r="AB160" i="13"/>
  <c r="CS160" i="13"/>
  <c r="BI160" i="13"/>
  <c r="CP160" i="13"/>
  <c r="BF160" i="13"/>
  <c r="CM160" i="13"/>
  <c r="BC160" i="13"/>
  <c r="AN160" i="13"/>
  <c r="V160" i="13"/>
  <c r="BU160" i="13"/>
  <c r="AE160" i="13"/>
  <c r="CA160" i="13"/>
  <c r="AZ160" i="13"/>
  <c r="R160" i="13"/>
  <c r="DB108" i="13"/>
  <c r="CD94" i="13"/>
  <c r="CA94" i="13"/>
  <c r="BX94" i="13"/>
  <c r="BU94" i="13"/>
  <c r="CJ94" i="13"/>
  <c r="CG94" i="13"/>
  <c r="S94" i="13"/>
  <c r="R94" i="13"/>
  <c r="AW64" i="13"/>
  <c r="AQ64" i="13"/>
  <c r="BF64" i="13"/>
  <c r="AZ64" i="13"/>
  <c r="BC64" i="13"/>
  <c r="AN64" i="13"/>
  <c r="AT26" i="13"/>
  <c r="AN26" i="13"/>
  <c r="AN250" i="13" s="1"/>
  <c r="V26" i="13"/>
  <c r="AQ26" i="13"/>
  <c r="BL26" i="13"/>
  <c r="BI26" i="13"/>
  <c r="BR26" i="13"/>
  <c r="AZ26" i="13"/>
  <c r="Y26" i="13"/>
  <c r="Y250" i="13" s="1"/>
  <c r="R26" i="13"/>
  <c r="Q240" i="13"/>
  <c r="G242" i="13"/>
  <c r="Q196" i="13"/>
  <c r="Q208" i="13"/>
  <c r="Q94" i="13"/>
  <c r="Q108" i="13"/>
  <c r="Q178" i="13"/>
  <c r="Q186" i="13"/>
  <c r="Q134" i="13"/>
  <c r="Q26" i="13"/>
  <c r="Q160" i="13"/>
  <c r="Q244" i="13"/>
  <c r="Q222" i="13"/>
  <c r="Q64" i="13"/>
  <c r="AQ250" i="13" l="1"/>
  <c r="V250" i="13"/>
  <c r="AZ250" i="13"/>
  <c r="G186" i="13"/>
  <c r="G240" i="13"/>
  <c r="S222" i="13"/>
  <c r="DX222" i="13" s="1"/>
  <c r="DX208" i="13"/>
  <c r="CA196" i="13"/>
  <c r="BX196" i="13"/>
  <c r="BU196" i="13"/>
  <c r="CG196" i="13"/>
  <c r="BO196" i="13"/>
  <c r="CD196" i="13"/>
  <c r="BL196" i="13"/>
  <c r="BR196" i="13"/>
  <c r="S196" i="13"/>
  <c r="DX178" i="13"/>
  <c r="Y24" i="13"/>
  <c r="V24" i="13"/>
  <c r="DN160" i="13"/>
  <c r="DE160" i="13"/>
  <c r="DB160" i="13"/>
  <c r="DK160" i="13"/>
  <c r="DH160" i="13"/>
  <c r="CY160" i="13"/>
  <c r="S160" i="13"/>
  <c r="DN134" i="13"/>
  <c r="CV134" i="13"/>
  <c r="DK134" i="13"/>
  <c r="CS134" i="13"/>
  <c r="DH134" i="13"/>
  <c r="CY134" i="13"/>
  <c r="DE134" i="13"/>
  <c r="DB134" i="13"/>
  <c r="S134" i="13"/>
  <c r="R134" i="13"/>
  <c r="CJ108" i="13"/>
  <c r="CG108" i="13"/>
  <c r="CD108" i="13"/>
  <c r="S108" i="13"/>
  <c r="CP108" i="13"/>
  <c r="BX108" i="13"/>
  <c r="CM108" i="13"/>
  <c r="CA108" i="13"/>
  <c r="R108" i="13"/>
  <c r="DX94" i="13"/>
  <c r="AK64" i="13"/>
  <c r="AT64" i="13"/>
  <c r="AT24" i="13" s="1"/>
  <c r="BI64" i="13"/>
  <c r="BI24" i="13" s="1"/>
  <c r="AQ24" i="13"/>
  <c r="DB64" i="13"/>
  <c r="CY64" i="13"/>
  <c r="CV64" i="13"/>
  <c r="S64" i="13"/>
  <c r="R64" i="13"/>
  <c r="CJ64" i="13"/>
  <c r="BR64" i="13"/>
  <c r="BR250" i="13" s="1"/>
  <c r="CG64" i="13"/>
  <c r="CA64" i="13"/>
  <c r="AN24" i="13"/>
  <c r="AZ24" i="13"/>
  <c r="CP64" i="13"/>
  <c r="BO64" i="13"/>
  <c r="BX64" i="13"/>
  <c r="BU64" i="13"/>
  <c r="CS64" i="13"/>
  <c r="CM64" i="13"/>
  <c r="BL64" i="13"/>
  <c r="BL250" i="13" s="1"/>
  <c r="CD64" i="13"/>
  <c r="AB26" i="13"/>
  <c r="AB250" i="13" s="1"/>
  <c r="AK26" i="13"/>
  <c r="AK250" i="13" s="1"/>
  <c r="AE26" i="13"/>
  <c r="AE250" i="13" s="1"/>
  <c r="CA26" i="13"/>
  <c r="CA250" i="13" s="1"/>
  <c r="BO26" i="13"/>
  <c r="BO250" i="13" s="1"/>
  <c r="AH26" i="13"/>
  <c r="AH250" i="13" s="1"/>
  <c r="DN26" i="13"/>
  <c r="DN250" i="13" s="1"/>
  <c r="CS26" i="13"/>
  <c r="CJ26" i="13"/>
  <c r="CG26" i="13"/>
  <c r="CG250" i="13" s="1"/>
  <c r="CD26" i="13"/>
  <c r="DK26" i="13"/>
  <c r="DK250" i="13" s="1"/>
  <c r="CM26" i="13"/>
  <c r="DH26" i="13"/>
  <c r="DE26" i="13"/>
  <c r="DE250" i="13" s="1"/>
  <c r="CY26" i="13"/>
  <c r="CY250" i="13" s="1"/>
  <c r="CV26" i="13"/>
  <c r="CV250" i="13" s="1"/>
  <c r="S26" i="13"/>
  <c r="BC26" i="13"/>
  <c r="BC250" i="13" s="1"/>
  <c r="BU26" i="13"/>
  <c r="BU250" i="13" s="1"/>
  <c r="AW26" i="13"/>
  <c r="AW250" i="13" s="1"/>
  <c r="CP26" i="13"/>
  <c r="CP250" i="13" s="1"/>
  <c r="BX26" i="13"/>
  <c r="BX250" i="13" s="1"/>
  <c r="BF26" i="13"/>
  <c r="BF250" i="13" s="1"/>
  <c r="Q24" i="13"/>
  <c r="CD250" i="13" l="1"/>
  <c r="CJ250" i="13"/>
  <c r="DH250" i="13"/>
  <c r="CS250" i="13"/>
  <c r="CM250" i="13"/>
  <c r="S250" i="13"/>
  <c r="DB250" i="13"/>
  <c r="AT250" i="13"/>
  <c r="BI250" i="13"/>
  <c r="F222" i="13"/>
  <c r="G222" i="13" s="1"/>
  <c r="F178" i="13"/>
  <c r="G178" i="13" s="1"/>
  <c r="F94" i="13"/>
  <c r="G94" i="13" s="1"/>
  <c r="F208" i="13"/>
  <c r="G208" i="13" s="1"/>
  <c r="BF24" i="13"/>
  <c r="BC24" i="13"/>
  <c r="AB24" i="13"/>
  <c r="AH24" i="13"/>
  <c r="AW24" i="13"/>
  <c r="AE24" i="13"/>
  <c r="AK24" i="13"/>
  <c r="BR24" i="13"/>
  <c r="BL24" i="13"/>
  <c r="DX196" i="13"/>
  <c r="DX160" i="13"/>
  <c r="DK24" i="13"/>
  <c r="DH24" i="13"/>
  <c r="DN24" i="13"/>
  <c r="DB24" i="13"/>
  <c r="DX134" i="13"/>
  <c r="DE24" i="13"/>
  <c r="R24" i="13"/>
  <c r="DX108" i="13"/>
  <c r="CV24" i="13"/>
  <c r="CY24" i="13"/>
  <c r="CS24" i="13"/>
  <c r="CP24" i="13"/>
  <c r="CG24" i="13"/>
  <c r="CA24" i="13"/>
  <c r="S24" i="13"/>
  <c r="BX24" i="13"/>
  <c r="BO24" i="13"/>
  <c r="CJ24" i="13"/>
  <c r="BU24" i="13"/>
  <c r="CM24" i="13"/>
  <c r="DX64" i="13"/>
  <c r="F64" i="13" s="1"/>
  <c r="G64" i="13" s="1"/>
  <c r="CD24" i="13"/>
  <c r="DX26" i="13"/>
  <c r="F26" i="13" s="1"/>
  <c r="G26" i="13" s="1"/>
  <c r="Q256" i="13"/>
  <c r="F134" i="13" l="1"/>
  <c r="G134" i="13" s="1"/>
  <c r="F160" i="13"/>
  <c r="G160" i="13" s="1"/>
  <c r="F196" i="13"/>
  <c r="G196" i="13" s="1"/>
  <c r="F108" i="13"/>
  <c r="G108" i="13" s="1"/>
  <c r="DX24" i="13"/>
  <c r="DX250" i="13"/>
  <c r="DY244" i="13" l="1"/>
  <c r="DY256" i="13" s="1"/>
  <c r="F250" i="13"/>
  <c r="G250" i="13" s="1"/>
  <c r="DT244" i="13" l="1"/>
  <c r="DT256" i="13" s="1"/>
  <c r="DT259" i="13" s="1"/>
  <c r="DB244" i="13"/>
  <c r="DB256" i="13" s="1"/>
  <c r="CJ244" i="13"/>
  <c r="CJ256" i="13" s="1"/>
  <c r="BR244" i="13"/>
  <c r="BR256" i="13" s="1"/>
  <c r="AZ244" i="13"/>
  <c r="AZ256" i="13" s="1"/>
  <c r="AH244" i="13"/>
  <c r="AH256" i="13" s="1"/>
  <c r="DQ244" i="13"/>
  <c r="DQ256" i="13" s="1"/>
  <c r="CY244" i="13"/>
  <c r="CY256" i="13" s="1"/>
  <c r="CG244" i="13"/>
  <c r="CG256" i="13" s="1"/>
  <c r="BO244" i="13"/>
  <c r="BO256" i="13" s="1"/>
  <c r="AW244" i="13"/>
  <c r="AW256" i="13" s="1"/>
  <c r="AE244" i="13"/>
  <c r="AE256" i="13" s="1"/>
  <c r="CV244" i="13"/>
  <c r="CV256" i="13" s="1"/>
  <c r="CD244" i="13"/>
  <c r="CD256" i="13" s="1"/>
  <c r="BL244" i="13"/>
  <c r="BL256" i="13" s="1"/>
  <c r="AT244" i="13"/>
  <c r="AT256" i="13" s="1"/>
  <c r="AB244" i="13"/>
  <c r="AB256" i="13" s="1"/>
  <c r="DK244" i="13"/>
  <c r="DK256" i="13" s="1"/>
  <c r="CA244" i="13"/>
  <c r="CA256" i="13" s="1"/>
  <c r="BI244" i="13"/>
  <c r="BI256" i="13" s="1"/>
  <c r="AQ244" i="13"/>
  <c r="AQ256" i="13" s="1"/>
  <c r="Y244" i="13"/>
  <c r="Y256" i="13" s="1"/>
  <c r="DH244" i="13"/>
  <c r="DH256" i="13" s="1"/>
  <c r="CP244" i="13"/>
  <c r="CP256" i="13" s="1"/>
  <c r="BX244" i="13"/>
  <c r="BX256" i="13" s="1"/>
  <c r="BF244" i="13"/>
  <c r="BF256" i="13" s="1"/>
  <c r="AN244" i="13"/>
  <c r="AN256" i="13" s="1"/>
  <c r="V244" i="13"/>
  <c r="V256" i="13" s="1"/>
  <c r="DE244" i="13"/>
  <c r="DE256" i="13" s="1"/>
  <c r="CM244" i="13"/>
  <c r="CM256" i="13" s="1"/>
  <c r="BU244" i="13"/>
  <c r="BU256" i="13" s="1"/>
  <c r="BC244" i="13"/>
  <c r="BC256" i="13" s="1"/>
  <c r="AK244" i="13"/>
  <c r="AK256" i="13" s="1"/>
  <c r="CS244" i="13"/>
  <c r="CS256" i="13" s="1"/>
  <c r="DN244" i="13"/>
  <c r="DN256" i="13" s="1"/>
  <c r="S244" i="13"/>
  <c r="R244" i="13"/>
  <c r="DU262" i="13" l="1"/>
  <c r="DV262" i="13"/>
  <c r="DT262" i="13"/>
  <c r="DQ259" i="13"/>
  <c r="DS262" i="13"/>
  <c r="DR262" i="13"/>
  <c r="DQ262" i="13"/>
  <c r="DN259" i="13"/>
  <c r="DP262" i="13"/>
  <c r="DO262" i="13"/>
  <c r="DN262" i="13"/>
  <c r="DK259" i="13"/>
  <c r="DM262" i="13"/>
  <c r="DL262" i="13"/>
  <c r="DK262" i="13"/>
  <c r="DH259" i="13"/>
  <c r="DI262" i="13"/>
  <c r="DJ262" i="13"/>
  <c r="DH262" i="13"/>
  <c r="DE259" i="13"/>
  <c r="DG262" i="13"/>
  <c r="DF262" i="13"/>
  <c r="DE262" i="13"/>
  <c r="DB259" i="13"/>
  <c r="DC262" i="13"/>
  <c r="DD262" i="13"/>
  <c r="DB262" i="13"/>
  <c r="CY259" i="13"/>
  <c r="DA262" i="13"/>
  <c r="CZ262" i="13"/>
  <c r="CY262" i="13"/>
  <c r="CV259" i="13"/>
  <c r="CX262" i="13"/>
  <c r="CW262" i="13"/>
  <c r="CV262" i="13"/>
  <c r="CS259" i="13"/>
  <c r="CU262" i="13"/>
  <c r="CT262" i="13"/>
  <c r="CS262" i="13"/>
  <c r="CP259" i="13"/>
  <c r="CP262" i="13"/>
  <c r="CQ262" i="13"/>
  <c r="CR262" i="13"/>
  <c r="CM259" i="13"/>
  <c r="CO262" i="13"/>
  <c r="CN262" i="13"/>
  <c r="CM262" i="13"/>
  <c r="CJ259" i="13"/>
  <c r="CL262" i="13"/>
  <c r="CJ262" i="13"/>
  <c r="CK262" i="13"/>
  <c r="CG259" i="13"/>
  <c r="CI262" i="13"/>
  <c r="CH262" i="13"/>
  <c r="CG262" i="13"/>
  <c r="CD259" i="13"/>
  <c r="CD262" i="13"/>
  <c r="CF262" i="13"/>
  <c r="CE262" i="13"/>
  <c r="CA259" i="13"/>
  <c r="CC262" i="13"/>
  <c r="CB262" i="13"/>
  <c r="CA262" i="13"/>
  <c r="BX259" i="13"/>
  <c r="BZ262" i="13"/>
  <c r="BY262" i="13"/>
  <c r="BX262" i="13"/>
  <c r="BU259" i="13"/>
  <c r="BW262" i="13"/>
  <c r="BV262" i="13"/>
  <c r="BU262" i="13"/>
  <c r="BR259" i="13"/>
  <c r="BS262" i="13"/>
  <c r="BT262" i="13"/>
  <c r="BR262" i="13"/>
  <c r="BO259" i="13"/>
  <c r="BQ262" i="13"/>
  <c r="BP262" i="13"/>
  <c r="BO262" i="13"/>
  <c r="BL259" i="13"/>
  <c r="BM262" i="13"/>
  <c r="BN262" i="13"/>
  <c r="BL262" i="13"/>
  <c r="BI259" i="13"/>
  <c r="BK262" i="13"/>
  <c r="BJ262" i="13"/>
  <c r="BI262" i="13"/>
  <c r="BF259" i="13"/>
  <c r="BG262" i="13"/>
  <c r="BF262" i="13"/>
  <c r="BH262" i="13"/>
  <c r="BC259" i="13"/>
  <c r="BE262" i="13"/>
  <c r="BD262" i="13"/>
  <c r="BC262" i="13"/>
  <c r="AZ259" i="13"/>
  <c r="BA262" i="13"/>
  <c r="BB262" i="13"/>
  <c r="AZ262" i="13"/>
  <c r="AW259" i="13"/>
  <c r="AY262" i="13"/>
  <c r="AX262" i="13"/>
  <c r="AW262" i="13"/>
  <c r="AT259" i="13"/>
  <c r="AV262" i="13"/>
  <c r="AT262" i="13"/>
  <c r="AU262" i="13"/>
  <c r="AQ259" i="13"/>
  <c r="AS262" i="13"/>
  <c r="AR262" i="13"/>
  <c r="AQ262" i="13"/>
  <c r="AN259" i="13"/>
  <c r="AN262" i="13"/>
  <c r="AO262" i="13"/>
  <c r="AP262" i="13"/>
  <c r="AK259" i="13"/>
  <c r="AM262" i="13"/>
  <c r="AL262" i="13"/>
  <c r="AK262" i="13"/>
  <c r="AE259" i="13"/>
  <c r="AF262" i="13"/>
  <c r="AE262" i="13"/>
  <c r="AG262" i="13"/>
  <c r="AB259" i="13"/>
  <c r="AD262" i="13"/>
  <c r="AB262" i="13"/>
  <c r="AC262" i="13"/>
  <c r="Y259" i="13"/>
  <c r="AA262" i="13"/>
  <c r="Z262" i="13"/>
  <c r="Y262" i="13"/>
  <c r="V259" i="13"/>
  <c r="V262" i="13"/>
  <c r="X262" i="13"/>
  <c r="W262" i="13"/>
  <c r="AH259" i="13"/>
  <c r="AH262" i="13"/>
  <c r="AJ262" i="13"/>
  <c r="AI262" i="13"/>
  <c r="R256" i="13"/>
  <c r="DX244" i="13"/>
  <c r="S256" i="13"/>
  <c r="S259" i="13" l="1"/>
  <c r="S260" i="13" s="1"/>
  <c r="V260" i="13" s="1"/>
  <c r="Y260" i="13" s="1"/>
  <c r="AB260" i="13" s="1"/>
  <c r="AE260" i="13" s="1"/>
  <c r="AH260" i="13" s="1"/>
  <c r="AK260" i="13" s="1"/>
  <c r="AN260" i="13" s="1"/>
  <c r="AQ260" i="13" s="1"/>
  <c r="AT260" i="13" s="1"/>
  <c r="AW260" i="13" s="1"/>
  <c r="AZ260" i="13" s="1"/>
  <c r="BC260" i="13" s="1"/>
  <c r="BF260" i="13" s="1"/>
  <c r="BI260" i="13" s="1"/>
  <c r="BL260" i="13" s="1"/>
  <c r="BO260" i="13" s="1"/>
  <c r="BR260" i="13" s="1"/>
  <c r="BU260" i="13" s="1"/>
  <c r="BX260" i="13" s="1"/>
  <c r="CA260" i="13" s="1"/>
  <c r="CD260" i="13" s="1"/>
  <c r="CG260" i="13" s="1"/>
  <c r="CJ260" i="13" s="1"/>
  <c r="CM260" i="13" s="1"/>
  <c r="CP260" i="13" s="1"/>
  <c r="CS260" i="13" s="1"/>
  <c r="CV260" i="13" s="1"/>
  <c r="CY260" i="13" s="1"/>
  <c r="DB260" i="13" s="1"/>
  <c r="DE260" i="13" s="1"/>
  <c r="DH260" i="13" s="1"/>
  <c r="DK260" i="13" s="1"/>
  <c r="DN260" i="13" s="1"/>
  <c r="DQ260" i="13" s="1"/>
  <c r="DT260" i="13" s="1"/>
  <c r="U262" i="13"/>
  <c r="T262" i="13"/>
  <c r="S262" i="13"/>
  <c r="S263" i="13" s="1"/>
  <c r="F244" i="13"/>
  <c r="G244" i="13" s="1"/>
  <c r="DX258" i="13"/>
  <c r="R258" i="13"/>
  <c r="S258" i="13" s="1"/>
  <c r="V258" i="13" s="1"/>
  <c r="Y258" i="13" s="1"/>
  <c r="AB258" i="13" s="1"/>
  <c r="DX256" i="13"/>
  <c r="T263" i="13" l="1"/>
  <c r="U263" i="13" s="1"/>
  <c r="V263" i="13" s="1"/>
  <c r="W263" i="13" s="1"/>
  <c r="X263" i="13" s="1"/>
  <c r="Y263" i="13" s="1"/>
  <c r="Z263" i="13" s="1"/>
  <c r="AA263" i="13" s="1"/>
  <c r="AB263" i="13" s="1"/>
  <c r="AC263" i="13" s="1"/>
  <c r="AD263" i="13" s="1"/>
  <c r="AE263" i="13" s="1"/>
  <c r="AF263" i="13" s="1"/>
  <c r="AG263" i="13" s="1"/>
  <c r="AH263" i="13" s="1"/>
  <c r="AI263" i="13" s="1"/>
  <c r="AJ263" i="13" s="1"/>
  <c r="AK263" i="13" s="1"/>
  <c r="AL263" i="13" s="1"/>
  <c r="AM263" i="13" s="1"/>
  <c r="AN263" i="13" s="1"/>
  <c r="AO263" i="13" s="1"/>
  <c r="AP263" i="13" s="1"/>
  <c r="AQ263" i="13" s="1"/>
  <c r="AR263" i="13" s="1"/>
  <c r="AS263" i="13" s="1"/>
  <c r="AT263" i="13" s="1"/>
  <c r="AU263" i="13" s="1"/>
  <c r="AV263" i="13" s="1"/>
  <c r="AW263" i="13" s="1"/>
  <c r="AX263" i="13" s="1"/>
  <c r="AY263" i="13" s="1"/>
  <c r="AZ263" i="13" s="1"/>
  <c r="BA263" i="13" s="1"/>
  <c r="BB263" i="13" s="1"/>
  <c r="BC263" i="13" s="1"/>
  <c r="BD263" i="13" s="1"/>
  <c r="BE263" i="13" s="1"/>
  <c r="BF263" i="13" s="1"/>
  <c r="BG263" i="13" s="1"/>
  <c r="BH263" i="13" s="1"/>
  <c r="BI263" i="13" s="1"/>
  <c r="BJ263" i="13" s="1"/>
  <c r="BK263" i="13" s="1"/>
  <c r="BL263" i="13" s="1"/>
  <c r="BM263" i="13" s="1"/>
  <c r="BN263" i="13" s="1"/>
  <c r="BO263" i="13" s="1"/>
  <c r="BP263" i="13" s="1"/>
  <c r="BQ263" i="13" s="1"/>
  <c r="BR263" i="13" s="1"/>
  <c r="BS263" i="13" s="1"/>
  <c r="BT263" i="13" s="1"/>
  <c r="BU263" i="13" s="1"/>
  <c r="BV263" i="13" s="1"/>
  <c r="BW263" i="13" s="1"/>
  <c r="BX263" i="13" s="1"/>
  <c r="BY263" i="13" s="1"/>
  <c r="BZ263" i="13" s="1"/>
  <c r="CA263" i="13" s="1"/>
  <c r="CB263" i="13" s="1"/>
  <c r="CC263" i="13" s="1"/>
  <c r="CD263" i="13" s="1"/>
  <c r="CE263" i="13" s="1"/>
  <c r="CF263" i="13" s="1"/>
  <c r="CG263" i="13" s="1"/>
  <c r="CH263" i="13" s="1"/>
  <c r="CI263" i="13" s="1"/>
  <c r="CJ263" i="13" s="1"/>
  <c r="CK263" i="13" s="1"/>
  <c r="CL263" i="13" s="1"/>
  <c r="CM263" i="13" s="1"/>
  <c r="CN263" i="13" s="1"/>
  <c r="CO263" i="13" s="1"/>
  <c r="CP263" i="13" s="1"/>
  <c r="CQ263" i="13" s="1"/>
  <c r="CR263" i="13" s="1"/>
  <c r="CS263" i="13" s="1"/>
  <c r="CT263" i="13" s="1"/>
  <c r="CU263" i="13" s="1"/>
  <c r="CV263" i="13" s="1"/>
  <c r="CW263" i="13" s="1"/>
  <c r="CX263" i="13" s="1"/>
  <c r="CY263" i="13" s="1"/>
  <c r="CZ263" i="13" s="1"/>
  <c r="DA263" i="13" s="1"/>
  <c r="DB263" i="13" s="1"/>
  <c r="DC263" i="13" s="1"/>
  <c r="DD263" i="13" s="1"/>
  <c r="DE263" i="13" s="1"/>
  <c r="DF263" i="13" s="1"/>
  <c r="DG263" i="13" s="1"/>
  <c r="DH263" i="13" s="1"/>
  <c r="DI263" i="13" s="1"/>
  <c r="DJ263" i="13" s="1"/>
  <c r="DK263" i="13" s="1"/>
  <c r="DL263" i="13" s="1"/>
  <c r="DM263" i="13" s="1"/>
  <c r="DN263" i="13" s="1"/>
  <c r="DO263" i="13" s="1"/>
  <c r="DP263" i="13" s="1"/>
  <c r="DQ263" i="13" s="1"/>
  <c r="DR263" i="13" s="1"/>
  <c r="DS263" i="13" s="1"/>
  <c r="DT263" i="13" s="1"/>
  <c r="DU263" i="13" s="1"/>
  <c r="DV263" i="13" s="1"/>
  <c r="AE258" i="13"/>
  <c r="AH258" i="13" l="1"/>
  <c r="AK258" i="13" l="1"/>
  <c r="AN258" i="13" l="1"/>
  <c r="AQ258" i="13" l="1"/>
  <c r="AT258" i="13" l="1"/>
  <c r="AW258" i="13" l="1"/>
  <c r="AZ258" i="13" l="1"/>
  <c r="BC258" i="13" l="1"/>
  <c r="BF258" i="13" l="1"/>
  <c r="BI258" i="13" l="1"/>
  <c r="BL258" i="13" l="1"/>
  <c r="BO258" i="13" l="1"/>
  <c r="BR258" i="13" l="1"/>
  <c r="BU258" i="13" l="1"/>
  <c r="BX258" i="13" l="1"/>
  <c r="CA258" i="13" l="1"/>
  <c r="CD258" i="13" l="1"/>
  <c r="CG258" i="13" l="1"/>
  <c r="CJ258" i="13" l="1"/>
  <c r="CM258" i="13" l="1"/>
  <c r="CP258" i="13" l="1"/>
  <c r="CS258" i="13" l="1"/>
  <c r="CV258" i="13" l="1"/>
  <c r="CY258" i="13" l="1"/>
  <c r="DB258" i="13" l="1"/>
  <c r="DE258" i="13" l="1"/>
  <c r="DH258" i="13" s="1"/>
  <c r="DK258" i="13" l="1"/>
  <c r="DN258" i="13" l="1"/>
  <c r="DQ258" i="13" l="1"/>
  <c r="DT258" i="13" l="1"/>
</calcChain>
</file>

<file path=xl/sharedStrings.xml><?xml version="1.0" encoding="utf-8"?>
<sst xmlns="http://schemas.openxmlformats.org/spreadsheetml/2006/main" count="417" uniqueCount="300">
  <si>
    <t>단위</t>
    <phoneticPr fontId="0" type="noConversion"/>
  </si>
  <si>
    <t>식</t>
    <phoneticPr fontId="0" type="noConversion"/>
  </si>
  <si>
    <t>수  량</t>
    <phoneticPr fontId="0" type="noConversion"/>
  </si>
  <si>
    <t>공     종</t>
    <phoneticPr fontId="0" type="noConversion"/>
  </si>
  <si>
    <t>보할</t>
    <phoneticPr fontId="0" type="noConversion"/>
  </si>
  <si>
    <t>금액(천원)</t>
    <phoneticPr fontId="0" type="noConversion"/>
  </si>
  <si>
    <t>1. 토 공</t>
    <phoneticPr fontId="0" type="noConversion"/>
  </si>
  <si>
    <t>2.우수공</t>
    <phoneticPr fontId="0" type="noConversion"/>
  </si>
  <si>
    <t>3.오수공</t>
    <phoneticPr fontId="0" type="noConversion"/>
  </si>
  <si>
    <t>4.상수공</t>
    <phoneticPr fontId="0" type="noConversion"/>
  </si>
  <si>
    <t>변실</t>
    <phoneticPr fontId="0" type="noConversion"/>
  </si>
  <si>
    <t>보조기층포설및다짐</t>
    <phoneticPr fontId="0" type="noConversion"/>
  </si>
  <si>
    <t>차선도색</t>
    <phoneticPr fontId="0" type="noConversion"/>
  </si>
  <si>
    <t>GABION 옹벽 설치</t>
    <phoneticPr fontId="0" type="noConversion"/>
  </si>
  <si>
    <t>보할누계</t>
    <phoneticPr fontId="0" type="noConversion"/>
  </si>
  <si>
    <t>m</t>
    <phoneticPr fontId="0" type="noConversion"/>
  </si>
  <si>
    <t>ea</t>
    <phoneticPr fontId="0" type="noConversion"/>
  </si>
  <si>
    <t>방초매트</t>
    <phoneticPr fontId="0" type="noConversion"/>
  </si>
  <si>
    <t>식</t>
    <phoneticPr fontId="0" type="noConversion"/>
  </si>
  <si>
    <t>우수맨홀</t>
    <phoneticPr fontId="0" type="noConversion"/>
  </si>
  <si>
    <t>우수받이</t>
    <phoneticPr fontId="0" type="noConversion"/>
  </si>
  <si>
    <t>집수정</t>
    <phoneticPr fontId="0" type="noConversion"/>
  </si>
  <si>
    <t xml:space="preserve">   GIS측량성과비</t>
    <phoneticPr fontId="0" type="noConversion"/>
  </si>
  <si>
    <t xml:space="preserve">   시공측량</t>
    <phoneticPr fontId="0" type="noConversion"/>
  </si>
  <si>
    <t>식</t>
    <phoneticPr fontId="0" type="noConversion"/>
  </si>
  <si>
    <t>Km</t>
    <phoneticPr fontId="0" type="noConversion"/>
  </si>
  <si>
    <t>개소</t>
    <phoneticPr fontId="0" type="noConversion"/>
  </si>
  <si>
    <t>6.조경공</t>
    <phoneticPr fontId="0" type="noConversion"/>
  </si>
  <si>
    <t xml:space="preserve">예 정 공 정 표 </t>
    <phoneticPr fontId="0" type="noConversion"/>
  </si>
  <si>
    <t>철근콘크리트깨기</t>
    <phoneticPr fontId="0" type="noConversion"/>
  </si>
  <si>
    <t>무근콘크리트깨기</t>
    <phoneticPr fontId="0" type="noConversion"/>
  </si>
  <si>
    <t>포장깨기/절단</t>
    <phoneticPr fontId="0" type="noConversion"/>
  </si>
  <si>
    <t>건축구조물헐기</t>
    <phoneticPr fontId="0" type="noConversion"/>
  </si>
  <si>
    <t>폐기물적재</t>
    <phoneticPr fontId="0" type="noConversion"/>
  </si>
  <si>
    <t>m3</t>
    <phoneticPr fontId="0" type="noConversion"/>
  </si>
  <si>
    <t>m2</t>
    <phoneticPr fontId="0" type="noConversion"/>
  </si>
  <si>
    <t>토공(구조물터파기,되메우기)</t>
    <phoneticPr fontId="0" type="noConversion"/>
  </si>
  <si>
    <t>우수관로(D250~D1350)</t>
    <phoneticPr fontId="0" type="noConversion"/>
  </si>
  <si>
    <t>PC우수암거설치비</t>
    <phoneticPr fontId="0" type="noConversion"/>
  </si>
  <si>
    <t>현장타설암거</t>
    <phoneticPr fontId="0" type="noConversion"/>
  </si>
  <si>
    <t>식</t>
    <phoneticPr fontId="0" type="noConversion"/>
  </si>
  <si>
    <t>암거및배수관 날개벽/면벽</t>
    <phoneticPr fontId="0" type="noConversion"/>
  </si>
  <si>
    <t>도수로</t>
    <phoneticPr fontId="0" type="noConversion"/>
  </si>
  <si>
    <t>식</t>
    <phoneticPr fontId="0" type="noConversion"/>
  </si>
  <si>
    <t>식</t>
    <phoneticPr fontId="0" type="noConversion"/>
  </si>
  <si>
    <t>식</t>
    <phoneticPr fontId="0" type="noConversion"/>
  </si>
  <si>
    <t>자재운반비(흄관,PC암거,철근)</t>
    <phoneticPr fontId="0" type="noConversion"/>
  </si>
  <si>
    <t>자재대(레미콘,흄관,PC암거,철근등)</t>
    <phoneticPr fontId="0" type="noConversion"/>
  </si>
  <si>
    <t>오수맨홀(D900 1호)</t>
    <phoneticPr fontId="0" type="noConversion"/>
  </si>
  <si>
    <t>압송관로(KP메커니컬 D100mm)</t>
    <phoneticPr fontId="0" type="noConversion"/>
  </si>
  <si>
    <t>본</t>
    <phoneticPr fontId="0" type="noConversion"/>
  </si>
  <si>
    <t>부대공(cctv 조사,수밀시험)</t>
    <phoneticPr fontId="0" type="noConversion"/>
  </si>
  <si>
    <t>자재대</t>
    <phoneticPr fontId="0" type="noConversion"/>
  </si>
  <si>
    <t>토공(터파기,되메우기)</t>
    <phoneticPr fontId="0" type="noConversion"/>
  </si>
  <si>
    <t>토공(터파기,되메우기)</t>
    <phoneticPr fontId="0" type="noConversion"/>
  </si>
  <si>
    <t>본</t>
    <phoneticPr fontId="0" type="noConversion"/>
  </si>
  <si>
    <t>관로접합및부설(D25~D400)</t>
    <phoneticPr fontId="0" type="noConversion"/>
  </si>
  <si>
    <t>개</t>
    <phoneticPr fontId="0" type="noConversion"/>
  </si>
  <si>
    <t>밸브류설치(제수및공기밸브,소화전)</t>
    <phoneticPr fontId="0" type="noConversion"/>
  </si>
  <si>
    <t>개소</t>
    <phoneticPr fontId="0" type="noConversion"/>
  </si>
  <si>
    <t>식</t>
    <phoneticPr fontId="0" type="noConversion"/>
  </si>
  <si>
    <t>재이용수 토공(터파기,되메우기)</t>
    <phoneticPr fontId="0" type="noConversion"/>
  </si>
  <si>
    <t>본</t>
    <phoneticPr fontId="0" type="noConversion"/>
  </si>
  <si>
    <t>밸브류설치(제수및공기밸브,유량계)</t>
    <phoneticPr fontId="0" type="noConversion"/>
  </si>
  <si>
    <t>재이용수 변실</t>
    <phoneticPr fontId="0" type="noConversion"/>
  </si>
  <si>
    <t>개</t>
    <phoneticPr fontId="0" type="noConversion"/>
  </si>
  <si>
    <t>부대공(분기표식ELP관,표시못)</t>
    <phoneticPr fontId="0" type="noConversion"/>
  </si>
  <si>
    <t>재이용수부대공(분기표식ELP관,표시못)</t>
    <phoneticPr fontId="0" type="noConversion"/>
  </si>
  <si>
    <t>개</t>
    <phoneticPr fontId="0" type="noConversion"/>
  </si>
  <si>
    <t>m2</t>
    <phoneticPr fontId="0" type="noConversion"/>
  </si>
  <si>
    <t>경하중포장(보도,자전거,시각장애인)</t>
    <phoneticPr fontId="0" type="noConversion"/>
  </si>
  <si>
    <t>경계블럭설치(경계석,L형측구)</t>
    <phoneticPr fontId="0" type="noConversion"/>
  </si>
  <si>
    <t>고원식교차로/미끄럼방지/과속방지</t>
    <phoneticPr fontId="0" type="noConversion"/>
  </si>
  <si>
    <t>표지판(교통,도로,반사경,갈매기)</t>
    <phoneticPr fontId="0" type="noConversion"/>
  </si>
  <si>
    <t>보차도휀스</t>
    <phoneticPr fontId="0" type="noConversion"/>
  </si>
  <si>
    <t>경간</t>
    <phoneticPr fontId="0" type="noConversion"/>
  </si>
  <si>
    <t>가드레일</t>
    <phoneticPr fontId="0" type="noConversion"/>
  </si>
  <si>
    <t>경간</t>
    <phoneticPr fontId="0" type="noConversion"/>
  </si>
  <si>
    <t>자재대및운반비</t>
    <phoneticPr fontId="0" type="noConversion"/>
  </si>
  <si>
    <t>놀이시설 설치검사</t>
    <phoneticPr fontId="0" type="noConversion"/>
  </si>
  <si>
    <t>수목유지관리(준공후2년)</t>
    <phoneticPr fontId="0" type="noConversion"/>
  </si>
  <si>
    <t>7.구조물공</t>
    <phoneticPr fontId="0" type="noConversion"/>
  </si>
  <si>
    <t>m3</t>
    <phoneticPr fontId="0" type="noConversion"/>
  </si>
  <si>
    <t>농수관로(주철관D300mm)</t>
    <phoneticPr fontId="0" type="noConversion"/>
  </si>
  <si>
    <t>본</t>
    <phoneticPr fontId="0" type="noConversion"/>
  </si>
  <si>
    <t>식</t>
    <phoneticPr fontId="0" type="noConversion"/>
  </si>
  <si>
    <t>8.농수로공</t>
    <phoneticPr fontId="0" type="noConversion"/>
  </si>
  <si>
    <t>9.하천공</t>
    <phoneticPr fontId="0" type="noConversion"/>
  </si>
  <si>
    <t>식</t>
    <phoneticPr fontId="0" type="noConversion"/>
  </si>
  <si>
    <t>10.저류지공</t>
    <phoneticPr fontId="0" type="noConversion"/>
  </si>
  <si>
    <t>토공(터파기/되메우기)</t>
    <phoneticPr fontId="0" type="noConversion"/>
  </si>
  <si>
    <t>m3</t>
    <phoneticPr fontId="0" type="noConversion"/>
  </si>
  <si>
    <t>호안블럭</t>
    <phoneticPr fontId="0" type="noConversion"/>
  </si>
  <si>
    <t>m2</t>
    <phoneticPr fontId="0" type="noConversion"/>
  </si>
  <si>
    <t>휀스및출입문(H=1.5, L=2.0)</t>
    <phoneticPr fontId="0" type="noConversion"/>
  </si>
  <si>
    <t>자재대 및 운반비</t>
    <phoneticPr fontId="0" type="noConversion"/>
  </si>
  <si>
    <t>식</t>
    <phoneticPr fontId="0" type="noConversion"/>
  </si>
  <si>
    <t>11.부대공</t>
    <phoneticPr fontId="0" type="noConversion"/>
  </si>
  <si>
    <r>
      <rPr>
        <sz val="10"/>
        <rFont val="맑은 고딕"/>
        <family val="3"/>
        <charset val="129"/>
      </rPr>
      <t>식</t>
    </r>
    <phoneticPr fontId="0" type="noConversion"/>
  </si>
  <si>
    <t>가설 사무소(36개월)</t>
    <phoneticPr fontId="0" type="noConversion"/>
  </si>
  <si>
    <t>12.폐기물처리용역</t>
    <phoneticPr fontId="0" type="noConversion"/>
  </si>
  <si>
    <t>폐기물처리비 및 운반비</t>
    <phoneticPr fontId="0" type="noConversion"/>
  </si>
  <si>
    <t>식</t>
    <phoneticPr fontId="0" type="noConversion"/>
  </si>
  <si>
    <r>
      <t>1</t>
    </r>
    <r>
      <rPr>
        <sz val="9"/>
        <rFont val="맑은 고딕"/>
        <family val="3"/>
        <charset val="129"/>
      </rPr>
      <t>개월</t>
    </r>
    <phoneticPr fontId="0" type="noConversion"/>
  </si>
  <si>
    <r>
      <t>2</t>
    </r>
    <r>
      <rPr>
        <sz val="9"/>
        <rFont val="돋움"/>
        <family val="3"/>
        <charset val="129"/>
      </rPr>
      <t>개월</t>
    </r>
    <r>
      <rPr>
        <sz val="9"/>
        <rFont val="맑은 고딕"/>
        <family val="3"/>
        <charset val="129"/>
      </rPr>
      <t/>
    </r>
    <phoneticPr fontId="0" type="noConversion"/>
  </si>
  <si>
    <r>
      <t>3개월</t>
    </r>
    <r>
      <rPr>
        <sz val="9"/>
        <rFont val="맑은 고딕"/>
        <family val="3"/>
        <charset val="129"/>
      </rPr>
      <t/>
    </r>
  </si>
  <si>
    <r>
      <t>4개월</t>
    </r>
    <r>
      <rPr>
        <sz val="9"/>
        <rFont val="맑은 고딕"/>
        <family val="3"/>
        <charset val="129"/>
      </rPr>
      <t/>
    </r>
  </si>
  <si>
    <r>
      <t>5개월</t>
    </r>
    <r>
      <rPr>
        <sz val="9"/>
        <rFont val="맑은 고딕"/>
        <family val="3"/>
        <charset val="129"/>
      </rPr>
      <t/>
    </r>
  </si>
  <si>
    <r>
      <t>6개월</t>
    </r>
    <r>
      <rPr>
        <sz val="9"/>
        <rFont val="맑은 고딕"/>
        <family val="3"/>
        <charset val="129"/>
      </rPr>
      <t/>
    </r>
  </si>
  <si>
    <r>
      <t>7개월</t>
    </r>
    <r>
      <rPr>
        <sz val="9"/>
        <rFont val="맑은 고딕"/>
        <family val="3"/>
        <charset val="129"/>
      </rPr>
      <t/>
    </r>
  </si>
  <si>
    <r>
      <t>8개월</t>
    </r>
    <r>
      <rPr>
        <sz val="9"/>
        <rFont val="맑은 고딕"/>
        <family val="3"/>
        <charset val="129"/>
      </rPr>
      <t/>
    </r>
  </si>
  <si>
    <r>
      <t>9개월</t>
    </r>
    <r>
      <rPr>
        <sz val="9"/>
        <rFont val="맑은 고딕"/>
        <family val="3"/>
        <charset val="129"/>
      </rPr>
      <t/>
    </r>
  </si>
  <si>
    <r>
      <t>10개월</t>
    </r>
    <r>
      <rPr>
        <sz val="9"/>
        <rFont val="맑은 고딕"/>
        <family val="3"/>
        <charset val="129"/>
      </rPr>
      <t/>
    </r>
  </si>
  <si>
    <r>
      <t>11개월</t>
    </r>
    <r>
      <rPr>
        <sz val="9"/>
        <rFont val="맑은 고딕"/>
        <family val="3"/>
        <charset val="129"/>
      </rPr>
      <t/>
    </r>
  </si>
  <si>
    <r>
      <t>12개월</t>
    </r>
    <r>
      <rPr>
        <sz val="9"/>
        <rFont val="맑은 고딕"/>
        <family val="3"/>
        <charset val="129"/>
      </rPr>
      <t/>
    </r>
  </si>
  <si>
    <r>
      <t>13개월</t>
    </r>
    <r>
      <rPr>
        <sz val="9"/>
        <rFont val="맑은 고딕"/>
        <family val="3"/>
        <charset val="129"/>
      </rPr>
      <t/>
    </r>
  </si>
  <si>
    <r>
      <t>14개월</t>
    </r>
    <r>
      <rPr>
        <sz val="9"/>
        <rFont val="맑은 고딕"/>
        <family val="3"/>
        <charset val="129"/>
      </rPr>
      <t/>
    </r>
  </si>
  <si>
    <r>
      <t>15개월</t>
    </r>
    <r>
      <rPr>
        <sz val="9"/>
        <rFont val="맑은 고딕"/>
        <family val="3"/>
        <charset val="129"/>
      </rPr>
      <t/>
    </r>
  </si>
  <si>
    <r>
      <t>16개월</t>
    </r>
    <r>
      <rPr>
        <sz val="9"/>
        <rFont val="맑은 고딕"/>
        <family val="3"/>
        <charset val="129"/>
      </rPr>
      <t/>
    </r>
  </si>
  <si>
    <r>
      <t>17개월</t>
    </r>
    <r>
      <rPr>
        <sz val="9"/>
        <rFont val="맑은 고딕"/>
        <family val="3"/>
        <charset val="129"/>
      </rPr>
      <t/>
    </r>
  </si>
  <si>
    <r>
      <t>18개월</t>
    </r>
    <r>
      <rPr>
        <sz val="9"/>
        <rFont val="맑은 고딕"/>
        <family val="3"/>
        <charset val="129"/>
      </rPr>
      <t/>
    </r>
  </si>
  <si>
    <r>
      <t>19개월</t>
    </r>
    <r>
      <rPr>
        <sz val="9"/>
        <rFont val="맑은 고딕"/>
        <family val="3"/>
        <charset val="129"/>
      </rPr>
      <t/>
    </r>
  </si>
  <si>
    <r>
      <t>20개월</t>
    </r>
    <r>
      <rPr>
        <sz val="9"/>
        <rFont val="맑은 고딕"/>
        <family val="3"/>
        <charset val="129"/>
      </rPr>
      <t/>
    </r>
  </si>
  <si>
    <r>
      <t>21개월</t>
    </r>
    <r>
      <rPr>
        <sz val="9"/>
        <rFont val="맑은 고딕"/>
        <family val="3"/>
        <charset val="129"/>
      </rPr>
      <t/>
    </r>
  </si>
  <si>
    <r>
      <t>22개월</t>
    </r>
    <r>
      <rPr>
        <sz val="9"/>
        <rFont val="맑은 고딕"/>
        <family val="3"/>
        <charset val="129"/>
      </rPr>
      <t/>
    </r>
  </si>
  <si>
    <r>
      <t>23개월</t>
    </r>
    <r>
      <rPr>
        <sz val="9"/>
        <rFont val="맑은 고딕"/>
        <family val="3"/>
        <charset val="129"/>
      </rPr>
      <t/>
    </r>
  </si>
  <si>
    <r>
      <t>24개월</t>
    </r>
    <r>
      <rPr>
        <sz val="9"/>
        <rFont val="맑은 고딕"/>
        <family val="3"/>
        <charset val="129"/>
      </rPr>
      <t/>
    </r>
  </si>
  <si>
    <r>
      <t>25개월</t>
    </r>
    <r>
      <rPr>
        <sz val="9"/>
        <rFont val="맑은 고딕"/>
        <family val="3"/>
        <charset val="129"/>
      </rPr>
      <t/>
    </r>
  </si>
  <si>
    <r>
      <t>26개월</t>
    </r>
    <r>
      <rPr>
        <sz val="9"/>
        <rFont val="맑은 고딕"/>
        <family val="3"/>
        <charset val="129"/>
      </rPr>
      <t/>
    </r>
  </si>
  <si>
    <r>
      <t>27개월</t>
    </r>
    <r>
      <rPr>
        <sz val="9"/>
        <rFont val="맑은 고딕"/>
        <family val="3"/>
        <charset val="129"/>
      </rPr>
      <t/>
    </r>
  </si>
  <si>
    <r>
      <t>28개월</t>
    </r>
    <r>
      <rPr>
        <sz val="9"/>
        <rFont val="맑은 고딕"/>
        <family val="3"/>
        <charset val="129"/>
      </rPr>
      <t/>
    </r>
  </si>
  <si>
    <r>
      <t>29개월</t>
    </r>
    <r>
      <rPr>
        <sz val="9"/>
        <rFont val="맑은 고딕"/>
        <family val="3"/>
        <charset val="129"/>
      </rPr>
      <t/>
    </r>
  </si>
  <si>
    <r>
      <t>30개월</t>
    </r>
    <r>
      <rPr>
        <sz val="9"/>
        <rFont val="맑은 고딕"/>
        <family val="3"/>
        <charset val="129"/>
      </rPr>
      <t/>
    </r>
  </si>
  <si>
    <r>
      <t>31개월</t>
    </r>
    <r>
      <rPr>
        <sz val="9"/>
        <rFont val="맑은 고딕"/>
        <family val="3"/>
        <charset val="129"/>
      </rPr>
      <t/>
    </r>
  </si>
  <si>
    <t>32개월</t>
    <phoneticPr fontId="0" type="noConversion"/>
  </si>
  <si>
    <t>아스콘포장 (기층,중간층.표층)</t>
    <phoneticPr fontId="0" type="noConversion"/>
  </si>
  <si>
    <t>식</t>
    <phoneticPr fontId="0" type="noConversion"/>
  </si>
  <si>
    <t>구조물헐기/관깨기/가드레일,낙책철거</t>
    <phoneticPr fontId="0" type="noConversion"/>
  </si>
  <si>
    <t>벌개제근/표토제거</t>
    <phoneticPr fontId="0" type="noConversion"/>
  </si>
  <si>
    <t>임목폐기물파쇄/적치</t>
    <phoneticPr fontId="0" type="noConversion"/>
  </si>
  <si>
    <t>초기우수(6개)/장비투입구(3개)</t>
    <phoneticPr fontId="0" type="noConversion"/>
  </si>
  <si>
    <t>관로(pvc 이중벽관 D150,D300)</t>
    <phoneticPr fontId="0" type="noConversion"/>
  </si>
  <si>
    <t>자재대/운반비</t>
    <phoneticPr fontId="0" type="noConversion"/>
  </si>
  <si>
    <t>본
선</t>
    <phoneticPr fontId="0" type="noConversion"/>
  </si>
  <si>
    <t>재
이
용</t>
    <phoneticPr fontId="0" type="noConversion"/>
  </si>
  <si>
    <t>재이용수관로접합및부설(D50-D200)</t>
    <phoneticPr fontId="0" type="noConversion"/>
  </si>
  <si>
    <t>재이용수 자재대/운반비</t>
    <phoneticPr fontId="0" type="noConversion"/>
  </si>
  <si>
    <t>5.도로 및 포장공</t>
    <phoneticPr fontId="0" type="noConversion"/>
  </si>
  <si>
    <t>근린공원(우수/시설/포장/식재)</t>
    <phoneticPr fontId="0" type="noConversion"/>
  </si>
  <si>
    <t>완충녹지(교목/잔디)1~11</t>
    <phoneticPr fontId="0" type="noConversion"/>
  </si>
  <si>
    <t>가로수(이팝나무)</t>
    <phoneticPr fontId="0" type="noConversion"/>
  </si>
  <si>
    <t>주</t>
    <phoneticPr fontId="0" type="noConversion"/>
  </si>
  <si>
    <t>주</t>
    <phoneticPr fontId="0" type="noConversion"/>
  </si>
  <si>
    <t>가식장 토지임대료(36개월)</t>
    <phoneticPr fontId="0" type="noConversion"/>
  </si>
  <si>
    <t>자재 및 운반(패널/GABION/레미콘등)</t>
    <phoneticPr fontId="0" type="noConversion"/>
  </si>
  <si>
    <t>m2</t>
    <phoneticPr fontId="0" type="noConversion"/>
  </si>
  <si>
    <t>패널옹벽공(L=101m)</t>
    <phoneticPr fontId="0" type="noConversion"/>
  </si>
  <si>
    <t>부대공(수압,퇴수시험,표시못등)</t>
    <phoneticPr fontId="0" type="noConversion"/>
  </si>
  <si>
    <t>m3</t>
    <phoneticPr fontId="0" type="noConversion"/>
  </si>
  <si>
    <t>토공(깍기/쌓기/터파기/되메우기등)</t>
    <phoneticPr fontId="0" type="noConversion"/>
  </si>
  <si>
    <t>호안공(전석쌓기)</t>
    <phoneticPr fontId="0" type="noConversion"/>
  </si>
  <si>
    <t>m2</t>
    <phoneticPr fontId="0" type="noConversion"/>
  </si>
  <si>
    <t>개거공(4.0 X 3.0)</t>
    <phoneticPr fontId="0" type="noConversion"/>
  </si>
  <si>
    <t>PC우수암거설치(4.0 X 3.0,3.5)</t>
    <phoneticPr fontId="0" type="noConversion"/>
  </si>
  <si>
    <t>콘크리트포장(B=4.0m)</t>
    <phoneticPr fontId="0" type="noConversion"/>
  </si>
  <si>
    <t>개소</t>
    <phoneticPr fontId="0" type="noConversion"/>
  </si>
  <si>
    <t>저류지안내표지판설치(1.8X0.9)</t>
    <phoneticPr fontId="0" type="noConversion"/>
  </si>
  <si>
    <t>임시침사지(3개)/세륜세차(2개)</t>
    <phoneticPr fontId="0" type="noConversion"/>
  </si>
  <si>
    <t>대기오염방지(살수)</t>
    <phoneticPr fontId="0" type="noConversion"/>
  </si>
  <si>
    <t>a</t>
    <phoneticPr fontId="0" type="noConversion"/>
  </si>
  <si>
    <t>안전점검/검토비/안전계획서등</t>
    <phoneticPr fontId="0" type="noConversion"/>
  </si>
  <si>
    <t>식</t>
    <phoneticPr fontId="0" type="noConversion"/>
  </si>
  <si>
    <t>기타(품질관리비/장비운반 등)</t>
    <phoneticPr fontId="0" type="noConversion"/>
  </si>
  <si>
    <t>직접공사비</t>
    <phoneticPr fontId="0" type="noConversion"/>
  </si>
  <si>
    <t>1일</t>
    <phoneticPr fontId="0" type="noConversion"/>
  </si>
  <si>
    <t>30m3</t>
    <phoneticPr fontId="0" type="noConversion"/>
  </si>
  <si>
    <t>45m3</t>
    <phoneticPr fontId="0" type="noConversion"/>
  </si>
  <si>
    <t>70m3</t>
    <phoneticPr fontId="0" type="noConversion"/>
  </si>
  <si>
    <t>8개월</t>
    <phoneticPr fontId="0" type="noConversion"/>
  </si>
  <si>
    <t>298동</t>
    <phoneticPr fontId="0" type="noConversion"/>
  </si>
  <si>
    <t>6개월</t>
    <phoneticPr fontId="0" type="noConversion"/>
  </si>
  <si>
    <t>10개월</t>
    <phoneticPr fontId="0" type="noConversion"/>
  </si>
  <si>
    <t>1일</t>
    <phoneticPr fontId="0" type="noConversion"/>
  </si>
  <si>
    <t>8000m2</t>
    <phoneticPr fontId="0" type="noConversion"/>
  </si>
  <si>
    <t>8137m3</t>
    <phoneticPr fontId="0" type="noConversion"/>
  </si>
  <si>
    <t>21개월</t>
    <phoneticPr fontId="0" type="noConversion"/>
  </si>
  <si>
    <t>1일/월25일</t>
    <phoneticPr fontId="0" type="noConversion"/>
  </si>
  <si>
    <t>23개월</t>
    <phoneticPr fontId="0" type="noConversion"/>
  </si>
  <si>
    <t>14300m3</t>
    <phoneticPr fontId="0" type="noConversion"/>
  </si>
  <si>
    <t>15600m3</t>
    <phoneticPr fontId="0" type="noConversion"/>
  </si>
  <si>
    <t>550m3</t>
    <phoneticPr fontId="0" type="noConversion"/>
  </si>
  <si>
    <t>4개월</t>
    <phoneticPr fontId="0" type="noConversion"/>
  </si>
  <si>
    <t>370m3</t>
    <phoneticPr fontId="0" type="noConversion"/>
  </si>
  <si>
    <t>170358m2</t>
    <phoneticPr fontId="0" type="noConversion"/>
  </si>
  <si>
    <t>6개월</t>
    <phoneticPr fontId="0" type="noConversion"/>
  </si>
  <si>
    <t>1140m2</t>
    <phoneticPr fontId="0" type="noConversion"/>
  </si>
  <si>
    <t>5개월</t>
    <phoneticPr fontId="0" type="noConversion"/>
  </si>
  <si>
    <t>615m2</t>
    <phoneticPr fontId="0" type="noConversion"/>
  </si>
  <si>
    <t>1개소</t>
    <phoneticPr fontId="0" type="noConversion"/>
  </si>
  <si>
    <t>14개소</t>
    <phoneticPr fontId="0" type="noConversion"/>
  </si>
  <si>
    <t>16개월</t>
    <phoneticPr fontId="0" type="noConversion"/>
  </si>
  <si>
    <t>382m3</t>
    <phoneticPr fontId="0" type="noConversion"/>
  </si>
  <si>
    <t>8개월</t>
    <phoneticPr fontId="0" type="noConversion"/>
  </si>
  <si>
    <t>55m</t>
    <phoneticPr fontId="0" type="noConversion"/>
  </si>
  <si>
    <t>9개월</t>
    <phoneticPr fontId="0" type="noConversion"/>
  </si>
  <si>
    <t>28m</t>
    <phoneticPr fontId="0" type="noConversion"/>
  </si>
  <si>
    <t>3개소</t>
    <phoneticPr fontId="0" type="noConversion"/>
  </si>
  <si>
    <t>2개소</t>
    <phoneticPr fontId="0" type="noConversion"/>
  </si>
  <si>
    <t>6개월</t>
    <phoneticPr fontId="0" type="noConversion"/>
  </si>
  <si>
    <t>6개소</t>
    <phoneticPr fontId="0" type="noConversion"/>
  </si>
  <si>
    <t>2개월</t>
    <phoneticPr fontId="0" type="noConversion"/>
  </si>
  <si>
    <t>월8개소</t>
    <phoneticPr fontId="0" type="noConversion"/>
  </si>
  <si>
    <t>11개소</t>
    <phoneticPr fontId="0" type="noConversion"/>
  </si>
  <si>
    <t>pc3/관날개8</t>
    <phoneticPr fontId="0" type="noConversion"/>
  </si>
  <si>
    <t>3개소</t>
    <phoneticPr fontId="0" type="noConversion"/>
  </si>
  <si>
    <t>깍기부</t>
    <phoneticPr fontId="0" type="noConversion"/>
  </si>
  <si>
    <t>산마루952/U개거2366</t>
    <phoneticPr fontId="0" type="noConversion"/>
  </si>
  <si>
    <t>11개월</t>
    <phoneticPr fontId="0" type="noConversion"/>
  </si>
  <si>
    <t>12m</t>
    <phoneticPr fontId="0" type="noConversion"/>
  </si>
  <si>
    <t>5개월</t>
    <phoneticPr fontId="0" type="noConversion"/>
  </si>
  <si>
    <t>77m</t>
    <phoneticPr fontId="0" type="noConversion"/>
  </si>
  <si>
    <t>2본</t>
    <phoneticPr fontId="0" type="noConversion"/>
  </si>
  <si>
    <t>월41본</t>
    <phoneticPr fontId="0" type="noConversion"/>
  </si>
  <si>
    <t>6개월</t>
    <phoneticPr fontId="0" type="noConversion"/>
  </si>
  <si>
    <t>1000m3</t>
    <phoneticPr fontId="0" type="noConversion"/>
  </si>
  <si>
    <t>79m</t>
    <phoneticPr fontId="0" type="noConversion"/>
  </si>
  <si>
    <t>3개월</t>
    <phoneticPr fontId="0" type="noConversion"/>
  </si>
  <si>
    <t>월20개</t>
    <phoneticPr fontId="0" type="noConversion"/>
  </si>
  <si>
    <t>126m3</t>
    <phoneticPr fontId="0" type="noConversion"/>
  </si>
  <si>
    <t>67m</t>
    <phoneticPr fontId="0" type="noConversion"/>
  </si>
  <si>
    <t>월24개</t>
    <phoneticPr fontId="0" type="noConversion"/>
  </si>
  <si>
    <t>월51개</t>
    <phoneticPr fontId="0" type="noConversion"/>
  </si>
  <si>
    <t>월8개</t>
    <phoneticPr fontId="0" type="noConversion"/>
  </si>
  <si>
    <t>5개월</t>
    <phoneticPr fontId="0" type="noConversion"/>
  </si>
  <si>
    <t>200m3</t>
    <phoneticPr fontId="0" type="noConversion"/>
  </si>
  <si>
    <t>4800m2</t>
    <phoneticPr fontId="0" type="noConversion"/>
  </si>
  <si>
    <t>2개월</t>
    <phoneticPr fontId="0" type="noConversion"/>
  </si>
  <si>
    <t>5개월</t>
    <phoneticPr fontId="0" type="noConversion"/>
  </si>
  <si>
    <t>441m2</t>
    <phoneticPr fontId="0" type="noConversion"/>
  </si>
  <si>
    <t>341m</t>
    <phoneticPr fontId="0" type="noConversion"/>
  </si>
  <si>
    <t>149m2</t>
    <phoneticPr fontId="0" type="noConversion"/>
  </si>
  <si>
    <t>31경간</t>
    <phoneticPr fontId="0" type="noConversion"/>
  </si>
  <si>
    <t>월271경간</t>
    <phoneticPr fontId="0" type="noConversion"/>
  </si>
  <si>
    <t>47주</t>
    <phoneticPr fontId="0" type="noConversion"/>
  </si>
  <si>
    <t>2곳 195m</t>
    <phoneticPr fontId="0" type="noConversion"/>
  </si>
  <si>
    <t>46m3</t>
    <phoneticPr fontId="0" type="noConversion"/>
  </si>
  <si>
    <t>214개</t>
    <phoneticPr fontId="0" type="noConversion"/>
  </si>
  <si>
    <t>229m3</t>
    <phoneticPr fontId="0" type="noConversion"/>
  </si>
  <si>
    <t>7개월</t>
    <phoneticPr fontId="0" type="noConversion"/>
  </si>
  <si>
    <t>1290m</t>
    <phoneticPr fontId="0" type="noConversion"/>
  </si>
  <si>
    <t>31m2</t>
    <phoneticPr fontId="0" type="noConversion"/>
  </si>
  <si>
    <t>3개월</t>
    <phoneticPr fontId="0" type="noConversion"/>
  </si>
  <si>
    <t>95m2</t>
    <phoneticPr fontId="0" type="noConversion"/>
  </si>
  <si>
    <t>21개월</t>
    <phoneticPr fontId="0" type="noConversion"/>
  </si>
  <si>
    <t>세륜설치 관리</t>
    <phoneticPr fontId="0" type="noConversion"/>
  </si>
  <si>
    <t>15개월</t>
    <phoneticPr fontId="0" type="noConversion"/>
  </si>
  <si>
    <t>27m</t>
    <phoneticPr fontId="0" type="noConversion"/>
  </si>
  <si>
    <t>소음진동방지(가설방음벽)36개월</t>
    <phoneticPr fontId="0" type="noConversion"/>
  </si>
  <si>
    <t>,식</t>
    <phoneticPr fontId="0" type="noConversion"/>
  </si>
  <si>
    <t>V형 및 산마루측구/개거</t>
    <phoneticPr fontId="0" type="noConversion"/>
  </si>
  <si>
    <t>가이식수목(현장--&gt;가식장)</t>
    <phoneticPr fontId="0" type="noConversion"/>
  </si>
  <si>
    <t>.</t>
    <phoneticPr fontId="0" type="noConversion"/>
  </si>
  <si>
    <t>m2</t>
    <phoneticPr fontId="0" type="noConversion"/>
  </si>
  <si>
    <t>흙깍기(토사/리핑암/발파암)/소할</t>
    <phoneticPr fontId="0" type="noConversion"/>
  </si>
  <si>
    <t>m3</t>
    <phoneticPr fontId="0" type="noConversion"/>
  </si>
  <si>
    <t>시험발파/계측/영향조사</t>
    <phoneticPr fontId="0" type="noConversion"/>
  </si>
  <si>
    <t>식</t>
    <phoneticPr fontId="0" type="noConversion"/>
  </si>
  <si>
    <t>토량운반</t>
    <phoneticPr fontId="0" type="noConversion"/>
  </si>
  <si>
    <t>흙쌓기(토사/암)</t>
    <phoneticPr fontId="0" type="noConversion"/>
  </si>
  <si>
    <t>구조물터파기</t>
    <phoneticPr fontId="0" type="noConversion"/>
  </si>
  <si>
    <t>되메우기및다짐</t>
    <phoneticPr fontId="0" type="noConversion"/>
  </si>
  <si>
    <t>비탈면보호공</t>
    <phoneticPr fontId="0" type="noConversion"/>
  </si>
  <si>
    <t>면고르기(절토)</t>
    <phoneticPr fontId="0" type="noConversion"/>
  </si>
  <si>
    <t>규준틀설치</t>
    <phoneticPr fontId="0" type="noConversion"/>
  </si>
  <si>
    <t>개</t>
    <phoneticPr fontId="0" type="noConversion"/>
  </si>
  <si>
    <t>비옥토적치장</t>
    <phoneticPr fontId="0" type="noConversion"/>
  </si>
  <si>
    <t>부대공(CCTV조사 및 하수관준설)</t>
    <phoneticPr fontId="0" type="noConversion"/>
  </si>
  <si>
    <t>m/m3</t>
    <phoneticPr fontId="0" type="noConversion"/>
  </si>
  <si>
    <t>가배수로(토사)/연결관(D1350)</t>
    <phoneticPr fontId="0" type="noConversion"/>
  </si>
  <si>
    <t>14.전기공사</t>
    <phoneticPr fontId="0" type="noConversion"/>
  </si>
  <si>
    <t>기시공분</t>
    <phoneticPr fontId="0" type="noConversion"/>
  </si>
  <si>
    <t xml:space="preserve">  </t>
    <phoneticPr fontId="0" type="noConversion"/>
  </si>
  <si>
    <t>13.제경비 및 기타</t>
    <phoneticPr fontId="0" type="noConversion"/>
  </si>
  <si>
    <t xml:space="preserve">   제경비 및 계측관리</t>
    <phoneticPr fontId="0" type="noConversion"/>
  </si>
  <si>
    <t>보할월계</t>
    <phoneticPr fontId="0" type="noConversion"/>
  </si>
  <si>
    <r>
      <t>32</t>
    </r>
    <r>
      <rPr>
        <sz val="9"/>
        <rFont val="맑은 고딕"/>
        <family val="3"/>
        <charset val="129"/>
      </rPr>
      <t>개월</t>
    </r>
    <phoneticPr fontId="0" type="noConversion"/>
  </si>
  <si>
    <r>
      <t>33</t>
    </r>
    <r>
      <rPr>
        <sz val="9"/>
        <rFont val="맑은 고딕"/>
        <family val="3"/>
        <charset val="129"/>
      </rPr>
      <t>월</t>
    </r>
    <phoneticPr fontId="0" type="noConversion"/>
  </si>
  <si>
    <r>
      <t>34</t>
    </r>
    <r>
      <rPr>
        <sz val="9"/>
        <rFont val="맑은 고딕"/>
        <family val="3"/>
        <charset val="129"/>
      </rPr>
      <t>월</t>
    </r>
    <phoneticPr fontId="0" type="noConversion"/>
  </si>
  <si>
    <r>
      <t>35</t>
    </r>
    <r>
      <rPr>
        <sz val="9"/>
        <rFont val="맑은 고딕"/>
        <family val="3"/>
        <charset val="129"/>
      </rPr>
      <t>개월</t>
    </r>
    <phoneticPr fontId="0" type="noConversion"/>
  </si>
  <si>
    <r>
      <t>36</t>
    </r>
    <r>
      <rPr>
        <sz val="9"/>
        <rFont val="맑은 고딕"/>
        <family val="3"/>
        <charset val="129"/>
      </rPr>
      <t>개월</t>
    </r>
    <phoneticPr fontId="0" type="noConversion"/>
  </si>
  <si>
    <t>전체공급가액:
208,195,454천원</t>
    <phoneticPr fontId="0" type="noConversion"/>
  </si>
  <si>
    <t>월      별</t>
    <phoneticPr fontId="0" type="noConversion"/>
  </si>
  <si>
    <t>누      계</t>
    <phoneticPr fontId="0" type="noConversion"/>
  </si>
  <si>
    <t>전기공사</t>
    <phoneticPr fontId="0" type="noConversion"/>
  </si>
  <si>
    <t>그래프</t>
    <phoneticPr fontId="0" type="noConversion"/>
  </si>
  <si>
    <t xml:space="preserve">                                                    현장대리인 : 최 준 복  (인)</t>
    <phoneticPr fontId="0" type="noConversion"/>
  </si>
  <si>
    <t>현장명 : 진천메가폴리스 산업단지 조성사업</t>
    <phoneticPr fontId="0" type="noConversion"/>
  </si>
  <si>
    <r>
      <rPr>
        <sz val="10"/>
        <rFont val="맑은 고딕"/>
        <family val="3"/>
        <charset val="129"/>
      </rPr>
      <t>개소</t>
    </r>
    <phoneticPr fontId="0" type="noConversion"/>
  </si>
  <si>
    <r>
      <rPr>
        <sz val="10"/>
        <rFont val="맑은 고딕"/>
        <family val="3"/>
        <charset val="129"/>
      </rPr>
      <t>경간</t>
    </r>
    <phoneticPr fontId="0" type="noConversion"/>
  </si>
  <si>
    <t>※ 문화재 지표조사, 보상(토지 및 지장물) 및 「진천 메가폴리스 산업단지 조성사업(우선시공분)」 등으로 착공할 수 없는 경우 도급계약서 제10조 ②항 적용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</si>
</sst>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#,##0.0###\ ;[Red]&quot;△&quot;#,##0.0###\ "/>
    <numFmt numFmtId="177" formatCode="#,##0.####;[Red]&quot;△&quot;#,##0.####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;[Red]&quot;-&quot;#,##0"/>
    <numFmt numFmtId="183" formatCode="&quot;L =&quot;\ 0.00"/>
    <numFmt numFmtId="184" formatCode="0.0%"/>
    <numFmt numFmtId="185" formatCode="0.000%"/>
    <numFmt numFmtId="186" formatCode="0.0000%"/>
    <numFmt numFmtId="187" formatCode="0.00000000000_ "/>
    <numFmt numFmtId="188" formatCode="0.00000%"/>
    <numFmt numFmtId="189" formatCode="#,##0_ "/>
    <numFmt numFmtId="190" formatCode="000,000\ &quot;천원&quot;"/>
  </numFmts>
  <fonts count="38">
    <font>
      <sz val="8"/>
      <name val="굴림체"/>
      <family val="3"/>
      <charset val="129"/>
    </font>
    <font>
      <sz val="8"/>
      <name val="굴림체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0"/>
      <name val="MS Sans Serif"/>
      <family val="2"/>
    </font>
    <font>
      <u/>
      <sz val="11"/>
      <color indexed="36"/>
      <name val="돋움"/>
      <family val="3"/>
      <charset val="129"/>
    </font>
    <font>
      <sz val="12"/>
      <color indexed="24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name val="굴림체"/>
      <family val="3"/>
      <charset val="129"/>
    </font>
    <font>
      <sz val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36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Arial Narrow"/>
      <family val="2"/>
    </font>
    <font>
      <sz val="9"/>
      <name val="맑은 고딕"/>
      <family val="3"/>
      <charset val="129"/>
    </font>
    <font>
      <b/>
      <u/>
      <sz val="28"/>
      <name val="맑은 고딕"/>
      <family val="3"/>
      <charset val="129"/>
      <scheme val="major"/>
    </font>
    <font>
      <b/>
      <u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Arial Narrow"/>
      <family val="2"/>
    </font>
    <font>
      <sz val="10"/>
      <name val="맑은 고딕"/>
      <family val="3"/>
      <charset val="129"/>
    </font>
    <font>
      <b/>
      <u/>
      <sz val="8"/>
      <name val="맑은 고딕"/>
      <family val="3"/>
      <charset val="129"/>
      <scheme val="major"/>
    </font>
    <font>
      <b/>
      <sz val="10"/>
      <name val="Arial Narrow"/>
      <family val="2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굴림체"/>
      <family val="3"/>
      <charset val="129"/>
    </font>
    <font>
      <sz val="9"/>
      <name val="맑은 고딕"/>
      <family val="2"/>
      <charset val="129"/>
    </font>
    <font>
      <b/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4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9.5"/>
      <name val="맑은 고딕"/>
      <family val="3"/>
      <charset val="129"/>
      <scheme val="major"/>
    </font>
    <font>
      <sz val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8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3" fontId="5" fillId="0" borderId="1">
      <alignment horizontal="center"/>
    </xf>
    <xf numFmtId="0" fontId="6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3" fontId="7" fillId="0" borderId="0" applyFont="0" applyFill="0" applyBorder="0" applyAlignment="0" applyProtection="0"/>
    <xf numFmtId="182" fontId="11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>
      <alignment vertical="center"/>
    </xf>
  </cellStyleXfs>
  <cellXfs count="408">
    <xf numFmtId="0" fontId="0" fillId="0" borderId="0" xfId="0"/>
    <xf numFmtId="0" fontId="12" fillId="0" borderId="0" xfId="0" applyFont="1"/>
    <xf numFmtId="0" fontId="13" fillId="0" borderId="0" xfId="0" applyFont="1"/>
    <xf numFmtId="0" fontId="13" fillId="0" borderId="0" xfId="13" applyFont="1"/>
    <xf numFmtId="0" fontId="14" fillId="0" borderId="0" xfId="0" applyFont="1"/>
    <xf numFmtId="0" fontId="18" fillId="0" borderId="0" xfId="13" applyFont="1" applyAlignment="1">
      <alignment vertical="center"/>
    </xf>
    <xf numFmtId="0" fontId="18" fillId="0" borderId="0" xfId="0" applyFont="1"/>
    <xf numFmtId="0" fontId="18" fillId="0" borderId="0" xfId="13" applyFont="1"/>
    <xf numFmtId="0" fontId="22" fillId="0" borderId="0" xfId="0" applyFont="1" applyAlignment="1">
      <alignment horizontal="center"/>
    </xf>
    <xf numFmtId="0" fontId="23" fillId="0" borderId="0" xfId="0" applyFont="1"/>
    <xf numFmtId="41" fontId="18" fillId="0" borderId="0" xfId="0" applyNumberFormat="1" applyFont="1"/>
    <xf numFmtId="10" fontId="12" fillId="0" borderId="0" xfId="19" applyNumberFormat="1" applyFont="1" applyAlignment="1"/>
    <xf numFmtId="10" fontId="18" fillId="0" borderId="0" xfId="19" applyNumberFormat="1" applyFont="1" applyAlignment="1"/>
    <xf numFmtId="10" fontId="13" fillId="0" borderId="0" xfId="19" applyNumberFormat="1" applyFont="1" applyAlignment="1"/>
    <xf numFmtId="41" fontId="26" fillId="0" borderId="0" xfId="0" applyNumberFormat="1" applyFont="1" applyAlignment="1">
      <alignment horizontal="center"/>
    </xf>
    <xf numFmtId="41" fontId="12" fillId="0" borderId="0" xfId="3" applyFont="1" applyAlignment="1">
      <alignment horizontal="right"/>
    </xf>
    <xf numFmtId="41" fontId="18" fillId="0" borderId="0" xfId="3" applyFont="1" applyAlignment="1">
      <alignment horizontal="right"/>
    </xf>
    <xf numFmtId="41" fontId="18" fillId="0" borderId="0" xfId="3" applyFont="1" applyBorder="1" applyAlignment="1">
      <alignment horizontal="right"/>
    </xf>
    <xf numFmtId="0" fontId="18" fillId="3" borderId="0" xfId="0" applyFont="1" applyFill="1"/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5" fontId="24" fillId="0" borderId="60" xfId="19" applyNumberFormat="1" applyFont="1" applyFill="1" applyBorder="1" applyAlignment="1">
      <alignment horizontal="center" vertical="center"/>
    </xf>
    <xf numFmtId="186" fontId="12" fillId="0" borderId="0" xfId="0" applyNumberFormat="1" applyFont="1"/>
    <xf numFmtId="186" fontId="14" fillId="0" borderId="0" xfId="0" applyNumberFormat="1" applyFont="1"/>
    <xf numFmtId="186" fontId="23" fillId="0" borderId="0" xfId="0" applyNumberFormat="1" applyFont="1"/>
    <xf numFmtId="186" fontId="18" fillId="0" borderId="0" xfId="13" applyNumberFormat="1" applyFont="1" applyAlignment="1">
      <alignment vertical="center"/>
    </xf>
    <xf numFmtId="186" fontId="18" fillId="0" borderId="0" xfId="0" applyNumberFormat="1" applyFont="1"/>
    <xf numFmtId="189" fontId="18" fillId="0" borderId="0" xfId="0" applyNumberFormat="1" applyFont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41" fontId="18" fillId="0" borderId="0" xfId="3" applyFont="1" applyAlignment="1">
      <alignment horizontal="center"/>
    </xf>
    <xf numFmtId="10" fontId="34" fillId="0" borderId="0" xfId="0" applyNumberFormat="1" applyFont="1"/>
    <xf numFmtId="10" fontId="18" fillId="0" borderId="0" xfId="3" applyNumberFormat="1" applyFont="1" applyFill="1" applyAlignment="1">
      <alignment horizontal="center"/>
    </xf>
    <xf numFmtId="184" fontId="34" fillId="0" borderId="0" xfId="19" applyNumberFormat="1" applyFont="1" applyFill="1" applyBorder="1" applyAlignment="1"/>
    <xf numFmtId="0" fontId="18" fillId="0" borderId="0" xfId="0" applyFont="1" applyAlignment="1"/>
    <xf numFmtId="185" fontId="27" fillId="3" borderId="0" xfId="0" applyNumberFormat="1" applyFont="1" applyFill="1" applyBorder="1" applyAlignment="1">
      <alignment horizontal="center" vertical="center"/>
    </xf>
    <xf numFmtId="185" fontId="27" fillId="3" borderId="0" xfId="19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13" applyFont="1" applyAlignment="1">
      <alignment horizontal="center"/>
    </xf>
    <xf numFmtId="185" fontId="27" fillId="3" borderId="7" xfId="0" applyNumberFormat="1" applyFont="1" applyFill="1" applyBorder="1" applyAlignment="1">
      <alignment horizontal="center" vertical="center"/>
    </xf>
    <xf numFmtId="186" fontId="18" fillId="0" borderId="0" xfId="0" applyNumberFormat="1" applyFont="1" applyAlignment="1">
      <alignment horizontal="center" vertical="center"/>
    </xf>
    <xf numFmtId="186" fontId="24" fillId="0" borderId="58" xfId="19" applyNumberFormat="1" applyFont="1" applyFill="1" applyBorder="1" applyAlignment="1"/>
    <xf numFmtId="186" fontId="24" fillId="0" borderId="46" xfId="19" applyNumberFormat="1" applyFont="1" applyFill="1" applyBorder="1" applyAlignment="1"/>
    <xf numFmtId="186" fontId="24" fillId="0" borderId="59" xfId="19" applyNumberFormat="1" applyFont="1" applyFill="1" applyBorder="1" applyAlignment="1"/>
    <xf numFmtId="186" fontId="24" fillId="0" borderId="49" xfId="19" applyNumberFormat="1" applyFont="1" applyFill="1" applyBorder="1" applyAlignme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7" xfId="0" applyFont="1" applyBorder="1" applyAlignment="1">
      <alignment horizontal="center"/>
    </xf>
    <xf numFmtId="0" fontId="19" fillId="2" borderId="34" xfId="13" applyFont="1" applyFill="1" applyBorder="1" applyAlignment="1">
      <alignment horizontal="center" vertical="center"/>
    </xf>
    <xf numFmtId="0" fontId="19" fillId="2" borderId="24" xfId="13" applyFont="1" applyFill="1" applyBorder="1" applyAlignment="1">
      <alignment horizontal="center" vertical="center"/>
    </xf>
    <xf numFmtId="0" fontId="19" fillId="2" borderId="25" xfId="13" applyFont="1" applyFill="1" applyBorder="1" applyAlignment="1">
      <alignment horizontal="center" vertical="center"/>
    </xf>
    <xf numFmtId="0" fontId="19" fillId="2" borderId="27" xfId="13" applyFont="1" applyFill="1" applyBorder="1" applyAlignment="1">
      <alignment horizontal="center" vertical="center"/>
    </xf>
    <xf numFmtId="0" fontId="19" fillId="2" borderId="26" xfId="13" applyFont="1" applyFill="1" applyBorder="1" applyAlignment="1">
      <alignment horizontal="center" vertical="center"/>
    </xf>
    <xf numFmtId="0" fontId="19" fillId="2" borderId="66" xfId="13" applyFont="1" applyFill="1" applyBorder="1" applyAlignment="1">
      <alignment horizontal="center" vertical="center"/>
    </xf>
    <xf numFmtId="0" fontId="15" fillId="0" borderId="0" xfId="13" applyFont="1" applyAlignment="1">
      <alignment horizontal="center" vertical="center"/>
    </xf>
    <xf numFmtId="189" fontId="18" fillId="5" borderId="0" xfId="0" applyNumberFormat="1" applyFont="1" applyFill="1" applyAlignment="1">
      <alignment horizontal="center" vertical="center"/>
    </xf>
    <xf numFmtId="186" fontId="24" fillId="0" borderId="54" xfId="19" applyNumberFormat="1" applyFont="1" applyFill="1" applyBorder="1" applyAlignment="1"/>
    <xf numFmtId="186" fontId="24" fillId="0" borderId="51" xfId="19" applyNumberFormat="1" applyFont="1" applyFill="1" applyBorder="1" applyAlignment="1"/>
    <xf numFmtId="186" fontId="24" fillId="0" borderId="55" xfId="19" applyNumberFormat="1" applyFont="1" applyFill="1" applyBorder="1" applyAlignment="1"/>
    <xf numFmtId="186" fontId="27" fillId="0" borderId="54" xfId="19" applyNumberFormat="1" applyFont="1" applyFill="1" applyBorder="1" applyAlignment="1">
      <alignment horizontal="left"/>
    </xf>
    <xf numFmtId="186" fontId="24" fillId="0" borderId="78" xfId="19" applyNumberFormat="1" applyFont="1" applyFill="1" applyBorder="1" applyAlignment="1"/>
    <xf numFmtId="186" fontId="24" fillId="0" borderId="79" xfId="19" applyNumberFormat="1" applyFont="1" applyFill="1" applyBorder="1" applyAlignment="1"/>
    <xf numFmtId="186" fontId="24" fillId="0" borderId="56" xfId="19" applyNumberFormat="1" applyFont="1" applyFill="1" applyBorder="1" applyAlignment="1"/>
    <xf numFmtId="10" fontId="24" fillId="0" borderId="61" xfId="19" applyNumberFormat="1" applyFont="1" applyFill="1" applyBorder="1" applyAlignment="1">
      <alignment horizontal="center" vertical="center"/>
    </xf>
    <xf numFmtId="186" fontId="24" fillId="6" borderId="58" xfId="19" applyNumberFormat="1" applyFont="1" applyFill="1" applyBorder="1" applyAlignment="1"/>
    <xf numFmtId="186" fontId="24" fillId="6" borderId="46" xfId="19" applyNumberFormat="1" applyFont="1" applyFill="1" applyBorder="1" applyAlignment="1"/>
    <xf numFmtId="186" fontId="24" fillId="6" borderId="59" xfId="19" applyNumberFormat="1" applyFont="1" applyFill="1" applyBorder="1" applyAlignment="1"/>
    <xf numFmtId="186" fontId="24" fillId="0" borderId="80" xfId="19" applyNumberFormat="1" applyFont="1" applyFill="1" applyBorder="1" applyAlignment="1"/>
    <xf numFmtId="186" fontId="24" fillId="0" borderId="81" xfId="19" applyNumberFormat="1" applyFont="1" applyFill="1" applyBorder="1" applyAlignment="1"/>
    <xf numFmtId="186" fontId="24" fillId="0" borderId="2" xfId="19" applyNumberFormat="1" applyFont="1" applyFill="1" applyBorder="1" applyAlignment="1"/>
    <xf numFmtId="186" fontId="24" fillId="0" borderId="0" xfId="19" applyNumberFormat="1" applyFont="1" applyFill="1" applyBorder="1" applyAlignment="1"/>
    <xf numFmtId="186" fontId="24" fillId="0" borderId="18" xfId="19" applyNumberFormat="1" applyFont="1" applyFill="1" applyBorder="1" applyAlignment="1"/>
    <xf numFmtId="186" fontId="27" fillId="0" borderId="2" xfId="19" applyNumberFormat="1" applyFont="1" applyFill="1" applyBorder="1" applyAlignment="1">
      <alignment horizontal="left"/>
    </xf>
    <xf numFmtId="186" fontId="24" fillId="0" borderId="76" xfId="19" applyNumberFormat="1" applyFont="1" applyFill="1" applyBorder="1" applyAlignment="1"/>
    <xf numFmtId="186" fontId="24" fillId="0" borderId="77" xfId="19" applyNumberFormat="1" applyFont="1" applyFill="1" applyBorder="1" applyAlignment="1"/>
    <xf numFmtId="186" fontId="24" fillId="0" borderId="5" xfId="19" applyNumberFormat="1" applyFont="1" applyFill="1" applyBorder="1" applyAlignment="1"/>
    <xf numFmtId="10" fontId="24" fillId="0" borderId="40" xfId="19" applyNumberFormat="1" applyFont="1" applyFill="1" applyBorder="1" applyAlignment="1">
      <alignment horizontal="center" vertical="center"/>
    </xf>
    <xf numFmtId="186" fontId="27" fillId="0" borderId="0" xfId="19" applyNumberFormat="1" applyFont="1" applyFill="1" applyBorder="1" applyAlignment="1">
      <alignment horizontal="left"/>
    </xf>
    <xf numFmtId="186" fontId="27" fillId="0" borderId="18" xfId="19" applyNumberFormat="1" applyFont="1" applyFill="1" applyBorder="1" applyAlignment="1">
      <alignment horizontal="left"/>
    </xf>
    <xf numFmtId="10" fontId="24" fillId="0" borderId="60" xfId="19" applyNumberFormat="1" applyFont="1" applyFill="1" applyBorder="1" applyAlignment="1">
      <alignment horizontal="center" vertical="center"/>
    </xf>
    <xf numFmtId="186" fontId="27" fillId="0" borderId="51" xfId="19" applyNumberFormat="1" applyFont="1" applyFill="1" applyBorder="1" applyAlignment="1">
      <alignment horizontal="left"/>
    </xf>
    <xf numFmtId="186" fontId="27" fillId="0" borderId="55" xfId="19" applyNumberFormat="1" applyFont="1" applyFill="1" applyBorder="1" applyAlignment="1">
      <alignment horizontal="left"/>
    </xf>
    <xf numFmtId="41" fontId="35" fillId="0" borderId="0" xfId="0" applyNumberFormat="1" applyFont="1"/>
    <xf numFmtId="0" fontId="35" fillId="0" borderId="0" xfId="0" applyFont="1"/>
    <xf numFmtId="184" fontId="24" fillId="0" borderId="60" xfId="19" applyNumberFormat="1" applyFont="1" applyFill="1" applyBorder="1" applyAlignment="1">
      <alignment horizontal="center" vertical="center"/>
    </xf>
    <xf numFmtId="10" fontId="24" fillId="0" borderId="41" xfId="19" applyNumberFormat="1" applyFont="1" applyFill="1" applyBorder="1" applyAlignment="1">
      <alignment horizontal="center" vertical="center"/>
    </xf>
    <xf numFmtId="186" fontId="24" fillId="0" borderId="7" xfId="19" applyNumberFormat="1" applyFont="1" applyFill="1" applyBorder="1" applyAlignment="1"/>
    <xf numFmtId="186" fontId="24" fillId="0" borderId="19" xfId="19" applyNumberFormat="1" applyFont="1" applyFill="1" applyBorder="1" applyAlignment="1"/>
    <xf numFmtId="186" fontId="24" fillId="0" borderId="4" xfId="19" applyNumberFormat="1" applyFont="1" applyFill="1" applyBorder="1" applyAlignment="1"/>
    <xf numFmtId="186" fontId="24" fillId="0" borderId="74" xfId="19" applyNumberFormat="1" applyFont="1" applyFill="1" applyBorder="1" applyAlignment="1"/>
    <xf numFmtId="186" fontId="24" fillId="0" borderId="75" xfId="19" applyNumberFormat="1" applyFont="1" applyFill="1" applyBorder="1" applyAlignment="1"/>
    <xf numFmtId="186" fontId="24" fillId="0" borderId="10" xfId="19" applyNumberFormat="1" applyFont="1" applyFill="1" applyBorder="1" applyAlignment="1"/>
    <xf numFmtId="185" fontId="24" fillId="0" borderId="40" xfId="19" applyNumberFormat="1" applyFont="1" applyFill="1" applyBorder="1" applyAlignment="1">
      <alignment horizontal="center" vertical="center"/>
    </xf>
    <xf numFmtId="185" fontId="24" fillId="0" borderId="61" xfId="19" applyNumberFormat="1" applyFont="1" applyFill="1" applyBorder="1" applyAlignment="1">
      <alignment horizontal="center" vertical="center"/>
    </xf>
    <xf numFmtId="186" fontId="24" fillId="6" borderId="49" xfId="19" applyNumberFormat="1" applyFont="1" applyFill="1" applyBorder="1" applyAlignment="1"/>
    <xf numFmtId="186" fontId="24" fillId="0" borderId="54" xfId="19" applyNumberFormat="1" applyFont="1" applyFill="1" applyBorder="1" applyAlignment="1">
      <alignment horizontal="center"/>
    </xf>
    <xf numFmtId="186" fontId="24" fillId="0" borderId="51" xfId="19" applyNumberFormat="1" applyFont="1" applyFill="1" applyBorder="1" applyAlignment="1">
      <alignment horizontal="center"/>
    </xf>
    <xf numFmtId="186" fontId="24" fillId="0" borderId="55" xfId="19" applyNumberFormat="1" applyFont="1" applyFill="1" applyBorder="1" applyAlignment="1">
      <alignment horizontal="center"/>
    </xf>
    <xf numFmtId="186" fontId="24" fillId="0" borderId="56" xfId="19" applyNumberFormat="1" applyFont="1" applyFill="1" applyBorder="1" applyAlignment="1">
      <alignment horizontal="center"/>
    </xf>
    <xf numFmtId="186" fontId="24" fillId="0" borderId="58" xfId="19" applyNumberFormat="1" applyFont="1" applyFill="1" applyBorder="1" applyAlignment="1">
      <alignment horizontal="center"/>
    </xf>
    <xf numFmtId="186" fontId="24" fillId="0" borderId="46" xfId="19" applyNumberFormat="1" applyFont="1" applyFill="1" applyBorder="1" applyAlignment="1">
      <alignment horizontal="center"/>
    </xf>
    <xf numFmtId="186" fontId="24" fillId="0" borderId="59" xfId="19" applyNumberFormat="1" applyFont="1" applyFill="1" applyBorder="1" applyAlignment="1">
      <alignment horizontal="center"/>
    </xf>
    <xf numFmtId="186" fontId="24" fillId="0" borderId="49" xfId="19" applyNumberFormat="1" applyFont="1" applyFill="1" applyBorder="1" applyAlignment="1">
      <alignment horizontal="center"/>
    </xf>
    <xf numFmtId="186" fontId="24" fillId="0" borderId="40" xfId="19" applyNumberFormat="1" applyFont="1" applyFill="1" applyBorder="1" applyAlignment="1">
      <alignment horizontal="center" vertical="center"/>
    </xf>
    <xf numFmtId="186" fontId="37" fillId="0" borderId="46" xfId="19" applyNumberFormat="1" applyFont="1" applyFill="1" applyBorder="1" applyAlignment="1"/>
    <xf numFmtId="186" fontId="37" fillId="0" borderId="51" xfId="19" applyNumberFormat="1" applyFont="1" applyFill="1" applyBorder="1" applyAlignment="1"/>
    <xf numFmtId="186" fontId="24" fillId="0" borderId="54" xfId="19" applyNumberFormat="1" applyFont="1" applyFill="1" applyBorder="1" applyAlignment="1">
      <alignment vertical="center"/>
    </xf>
    <xf numFmtId="186" fontId="24" fillId="0" borderId="51" xfId="19" applyNumberFormat="1" applyFont="1" applyFill="1" applyBorder="1" applyAlignment="1">
      <alignment vertical="center"/>
    </xf>
    <xf numFmtId="186" fontId="24" fillId="0" borderId="55" xfId="19" applyNumberFormat="1" applyFont="1" applyFill="1" applyBorder="1" applyAlignment="1">
      <alignment vertical="center"/>
    </xf>
    <xf numFmtId="186" fontId="24" fillId="0" borderId="78" xfId="19" applyNumberFormat="1" applyFont="1" applyFill="1" applyBorder="1" applyAlignment="1">
      <alignment vertical="center"/>
    </xf>
    <xf numFmtId="186" fontId="24" fillId="0" borderId="79" xfId="19" applyNumberFormat="1" applyFont="1" applyFill="1" applyBorder="1" applyAlignment="1">
      <alignment vertical="center"/>
    </xf>
    <xf numFmtId="186" fontId="24" fillId="0" borderId="58" xfId="19" applyNumberFormat="1" applyFont="1" applyFill="1" applyBorder="1" applyAlignment="1">
      <alignment vertical="center"/>
    </xf>
    <xf numFmtId="186" fontId="24" fillId="0" borderId="46" xfId="19" applyNumberFormat="1" applyFont="1" applyFill="1" applyBorder="1" applyAlignment="1">
      <alignment vertical="center"/>
    </xf>
    <xf numFmtId="186" fontId="24" fillId="0" borderId="59" xfId="19" applyNumberFormat="1" applyFont="1" applyFill="1" applyBorder="1" applyAlignment="1">
      <alignment vertical="center"/>
    </xf>
    <xf numFmtId="186" fontId="24" fillId="0" borderId="80" xfId="19" applyNumberFormat="1" applyFont="1" applyFill="1" applyBorder="1" applyAlignment="1">
      <alignment vertical="center"/>
    </xf>
    <xf numFmtId="186" fontId="24" fillId="0" borderId="81" xfId="19" applyNumberFormat="1" applyFont="1" applyFill="1" applyBorder="1" applyAlignment="1">
      <alignment vertical="center"/>
    </xf>
    <xf numFmtId="186" fontId="37" fillId="0" borderId="7" xfId="19" applyNumberFormat="1" applyFont="1" applyFill="1" applyBorder="1" applyAlignment="1"/>
    <xf numFmtId="0" fontId="12" fillId="3" borderId="0" xfId="0" applyFont="1" applyFill="1"/>
    <xf numFmtId="186" fontId="37" fillId="0" borderId="0" xfId="19" applyNumberFormat="1" applyFont="1" applyFill="1" applyBorder="1" applyAlignment="1"/>
    <xf numFmtId="0" fontId="35" fillId="0" borderId="0" xfId="0" applyFont="1" applyAlignment="1"/>
    <xf numFmtId="186" fontId="24" fillId="0" borderId="60" xfId="19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185" fontId="18" fillId="0" borderId="0" xfId="0" applyNumberFormat="1" applyFont="1" applyAlignment="1">
      <alignment horizontal="center" vertical="center"/>
    </xf>
    <xf numFmtId="10" fontId="24" fillId="0" borderId="7" xfId="19" applyNumberFormat="1" applyFont="1" applyFill="1" applyBorder="1" applyAlignment="1"/>
    <xf numFmtId="10" fontId="24" fillId="0" borderId="19" xfId="19" applyNumberFormat="1" applyFont="1" applyFill="1" applyBorder="1" applyAlignment="1"/>
    <xf numFmtId="10" fontId="24" fillId="0" borderId="4" xfId="19" applyNumberFormat="1" applyFont="1" applyFill="1" applyBorder="1" applyAlignment="1"/>
    <xf numFmtId="10" fontId="24" fillId="0" borderId="74" xfId="19" applyNumberFormat="1" applyFont="1" applyFill="1" applyBorder="1" applyAlignment="1"/>
    <xf numFmtId="10" fontId="24" fillId="0" borderId="75" xfId="19" applyNumberFormat="1" applyFont="1" applyFill="1" applyBorder="1" applyAlignment="1"/>
    <xf numFmtId="10" fontId="24" fillId="6" borderId="58" xfId="19" applyNumberFormat="1" applyFont="1" applyFill="1" applyBorder="1" applyAlignment="1"/>
    <xf numFmtId="10" fontId="24" fillId="6" borderId="46" xfId="19" applyNumberFormat="1" applyFont="1" applyFill="1" applyBorder="1" applyAlignment="1"/>
    <xf numFmtId="10" fontId="24" fillId="6" borderId="59" xfId="19" applyNumberFormat="1" applyFont="1" applyFill="1" applyBorder="1" applyAlignment="1"/>
    <xf numFmtId="10" fontId="24" fillId="6" borderId="49" xfId="19" applyNumberFormat="1" applyFont="1" applyFill="1" applyBorder="1" applyAlignment="1"/>
    <xf numFmtId="185" fontId="27" fillId="3" borderId="42" xfId="0" applyNumberFormat="1" applyFont="1" applyFill="1" applyBorder="1" applyAlignment="1">
      <alignment horizontal="center" vertical="center"/>
    </xf>
    <xf numFmtId="185" fontId="33" fillId="0" borderId="0" xfId="0" applyNumberFormat="1" applyFont="1" applyAlignment="1">
      <alignment shrinkToFit="1"/>
    </xf>
    <xf numFmtId="41" fontId="18" fillId="0" borderId="0" xfId="3" applyFont="1" applyFill="1"/>
    <xf numFmtId="41" fontId="18" fillId="0" borderId="0" xfId="3" applyFont="1"/>
    <xf numFmtId="10" fontId="18" fillId="0" borderId="0" xfId="3" applyNumberFormat="1" applyFont="1"/>
    <xf numFmtId="10" fontId="33" fillId="0" borderId="0" xfId="3" applyNumberFormat="1" applyFont="1" applyBorder="1" applyAlignment="1"/>
    <xf numFmtId="41" fontId="33" fillId="0" borderId="0" xfId="3" applyFont="1" applyBorder="1" applyAlignment="1"/>
    <xf numFmtId="184" fontId="32" fillId="0" borderId="0" xfId="19" applyNumberFormat="1" applyFont="1" applyFill="1" applyBorder="1" applyAlignment="1"/>
    <xf numFmtId="10" fontId="32" fillId="0" borderId="0" xfId="0" applyNumberFormat="1" applyFont="1"/>
    <xf numFmtId="185" fontId="33" fillId="0" borderId="0" xfId="0" applyNumberFormat="1" applyFont="1" applyAlignment="1">
      <alignment horizontal="center" vertical="center"/>
    </xf>
    <xf numFmtId="186" fontId="33" fillId="0" borderId="0" xfId="0" applyNumberFormat="1" applyFont="1" applyAlignment="1">
      <alignment horizontal="center" vertical="center"/>
    </xf>
    <xf numFmtId="185" fontId="18" fillId="0" borderId="0" xfId="0" applyNumberFormat="1" applyFont="1" applyAlignment="1">
      <alignment horizontal="center" vertical="center"/>
    </xf>
    <xf numFmtId="186" fontId="18" fillId="0" borderId="0" xfId="0" applyNumberFormat="1" applyFont="1" applyAlignment="1">
      <alignment horizontal="center" vertical="center"/>
    </xf>
    <xf numFmtId="185" fontId="32" fillId="3" borderId="0" xfId="0" applyNumberFormat="1" applyFont="1" applyFill="1" applyAlignment="1">
      <alignment horizontal="center"/>
    </xf>
    <xf numFmtId="186" fontId="19" fillId="0" borderId="52" xfId="19" applyNumberFormat="1" applyFont="1" applyFill="1" applyBorder="1" applyAlignment="1">
      <alignment horizontal="center" vertical="center"/>
    </xf>
    <xf numFmtId="186" fontId="19" fillId="0" borderId="54" xfId="19" applyNumberFormat="1" applyFont="1" applyFill="1" applyBorder="1" applyAlignment="1">
      <alignment horizontal="center" vertical="center"/>
    </xf>
    <xf numFmtId="186" fontId="19" fillId="0" borderId="51" xfId="19" applyNumberFormat="1" applyFont="1" applyFill="1" applyBorder="1" applyAlignment="1">
      <alignment horizontal="center" vertical="center"/>
    </xf>
    <xf numFmtId="186" fontId="19" fillId="0" borderId="55" xfId="19" applyNumberFormat="1" applyFont="1" applyFill="1" applyBorder="1" applyAlignment="1">
      <alignment horizontal="center" vertical="center"/>
    </xf>
    <xf numFmtId="186" fontId="19" fillId="0" borderId="6" xfId="19" applyNumberFormat="1" applyFont="1" applyFill="1" applyBorder="1" applyAlignment="1">
      <alignment horizontal="center" vertical="center"/>
    </xf>
    <xf numFmtId="185" fontId="27" fillId="2" borderId="17" xfId="19" applyNumberFormat="1" applyFont="1" applyFill="1" applyBorder="1" applyAlignment="1">
      <alignment horizontal="center" vertical="center"/>
    </xf>
    <xf numFmtId="185" fontId="27" fillId="2" borderId="3" xfId="19" applyNumberFormat="1" applyFont="1" applyFill="1" applyBorder="1" applyAlignment="1">
      <alignment horizontal="center" vertical="center"/>
    </xf>
    <xf numFmtId="185" fontId="27" fillId="2" borderId="14" xfId="19" applyNumberFormat="1" applyFont="1" applyFill="1" applyBorder="1" applyAlignment="1">
      <alignment horizontal="center" vertical="center"/>
    </xf>
    <xf numFmtId="185" fontId="27" fillId="2" borderId="19" xfId="19" applyNumberFormat="1" applyFont="1" applyFill="1" applyBorder="1" applyAlignment="1">
      <alignment horizontal="center" vertical="center"/>
    </xf>
    <xf numFmtId="185" fontId="27" fillId="2" borderId="7" xfId="19" applyNumberFormat="1" applyFont="1" applyFill="1" applyBorder="1" applyAlignment="1">
      <alignment horizontal="center" vertical="center"/>
    </xf>
    <xf numFmtId="185" fontId="27" fillId="2" borderId="4" xfId="19" applyNumberFormat="1" applyFont="1" applyFill="1" applyBorder="1" applyAlignment="1">
      <alignment horizontal="center" vertical="center"/>
    </xf>
    <xf numFmtId="185" fontId="27" fillId="2" borderId="16" xfId="19" applyNumberFormat="1" applyFont="1" applyFill="1" applyBorder="1" applyAlignment="1">
      <alignment horizontal="center" vertical="center"/>
    </xf>
    <xf numFmtId="185" fontId="27" fillId="2" borderId="10" xfId="19" applyNumberFormat="1" applyFont="1" applyFill="1" applyBorder="1" applyAlignment="1">
      <alignment horizontal="center" vertical="center"/>
    </xf>
    <xf numFmtId="186" fontId="27" fillId="3" borderId="17" xfId="0" applyNumberFormat="1" applyFont="1" applyFill="1" applyBorder="1" applyAlignment="1">
      <alignment horizontal="center" vertical="center"/>
    </xf>
    <xf numFmtId="186" fontId="27" fillId="3" borderId="3" xfId="0" applyNumberFormat="1" applyFont="1" applyFill="1" applyBorder="1" applyAlignment="1">
      <alignment horizontal="center" vertical="center"/>
    </xf>
    <xf numFmtId="186" fontId="27" fillId="3" borderId="14" xfId="0" applyNumberFormat="1" applyFont="1" applyFill="1" applyBorder="1" applyAlignment="1">
      <alignment horizontal="center" vertical="center"/>
    </xf>
    <xf numFmtId="186" fontId="27" fillId="3" borderId="2" xfId="0" applyNumberFormat="1" applyFont="1" applyFill="1" applyBorder="1" applyAlignment="1">
      <alignment horizontal="center" vertical="center"/>
    </xf>
    <xf numFmtId="186" fontId="27" fillId="3" borderId="0" xfId="0" applyNumberFormat="1" applyFont="1" applyFill="1" applyBorder="1" applyAlignment="1">
      <alignment horizontal="center" vertical="center"/>
    </xf>
    <xf numFmtId="186" fontId="27" fillId="3" borderId="18" xfId="0" applyNumberFormat="1" applyFont="1" applyFill="1" applyBorder="1" applyAlignment="1">
      <alignment horizontal="center" vertical="center"/>
    </xf>
    <xf numFmtId="186" fontId="19" fillId="0" borderId="18" xfId="19" applyNumberFormat="1" applyFont="1" applyFill="1" applyBorder="1" applyAlignment="1">
      <alignment horizontal="center" vertical="center"/>
    </xf>
    <xf numFmtId="186" fontId="19" fillId="0" borderId="2" xfId="19" applyNumberFormat="1" applyFont="1" applyFill="1" applyBorder="1" applyAlignment="1">
      <alignment horizontal="center" vertical="center"/>
    </xf>
    <xf numFmtId="186" fontId="19" fillId="0" borderId="0" xfId="19" applyNumberFormat="1" applyFont="1" applyFill="1" applyBorder="1" applyAlignment="1">
      <alignment horizontal="center" vertical="center"/>
    </xf>
    <xf numFmtId="186" fontId="19" fillId="0" borderId="82" xfId="19" applyNumberFormat="1" applyFont="1" applyFill="1" applyBorder="1" applyAlignment="1">
      <alignment horizontal="center" vertical="center"/>
    </xf>
    <xf numFmtId="186" fontId="19" fillId="0" borderId="83" xfId="19" applyNumberFormat="1" applyFont="1" applyFill="1" applyBorder="1" applyAlignment="1">
      <alignment horizontal="center" vertical="center"/>
    </xf>
    <xf numFmtId="186" fontId="27" fillId="3" borderId="16" xfId="0" applyNumberFormat="1" applyFont="1" applyFill="1" applyBorder="1" applyAlignment="1">
      <alignment horizontal="center" vertical="center"/>
    </xf>
    <xf numFmtId="186" fontId="27" fillId="3" borderId="5" xfId="0" applyNumberFormat="1" applyFont="1" applyFill="1" applyBorder="1" applyAlignment="1">
      <alignment horizontal="center" vertical="center"/>
    </xf>
    <xf numFmtId="185" fontId="27" fillId="2" borderId="72" xfId="19" applyNumberFormat="1" applyFont="1" applyFill="1" applyBorder="1" applyAlignment="1">
      <alignment horizontal="center" vertical="center"/>
    </xf>
    <xf numFmtId="185" fontId="27" fillId="2" borderId="73" xfId="19" applyNumberFormat="1" applyFont="1" applyFill="1" applyBorder="1" applyAlignment="1">
      <alignment horizontal="center" vertical="center"/>
    </xf>
    <xf numFmtId="185" fontId="27" fillId="2" borderId="74" xfId="19" applyNumberFormat="1" applyFont="1" applyFill="1" applyBorder="1" applyAlignment="1">
      <alignment horizontal="center" vertical="center"/>
    </xf>
    <xf numFmtId="185" fontId="27" fillId="2" borderId="75" xfId="19" applyNumberFormat="1" applyFont="1" applyFill="1" applyBorder="1" applyAlignment="1">
      <alignment horizontal="center" vertical="center"/>
    </xf>
    <xf numFmtId="186" fontId="27" fillId="3" borderId="72" xfId="0" applyNumberFormat="1" applyFont="1" applyFill="1" applyBorder="1" applyAlignment="1">
      <alignment horizontal="center" vertical="center"/>
    </xf>
    <xf numFmtId="186" fontId="27" fillId="3" borderId="73" xfId="0" applyNumberFormat="1" applyFont="1" applyFill="1" applyBorder="1" applyAlignment="1">
      <alignment horizontal="center" vertical="center"/>
    </xf>
    <xf numFmtId="186" fontId="27" fillId="3" borderId="76" xfId="0" applyNumberFormat="1" applyFont="1" applyFill="1" applyBorder="1" applyAlignment="1">
      <alignment horizontal="center" vertical="center"/>
    </xf>
    <xf numFmtId="186" fontId="27" fillId="3" borderId="77" xfId="0" applyNumberFormat="1" applyFont="1" applyFill="1" applyBorder="1" applyAlignment="1">
      <alignment horizontal="center" vertical="center"/>
    </xf>
    <xf numFmtId="186" fontId="19" fillId="0" borderId="84" xfId="19" applyNumberFormat="1" applyFont="1" applyFill="1" applyBorder="1" applyAlignment="1">
      <alignment horizontal="center" vertical="center"/>
    </xf>
    <xf numFmtId="186" fontId="19" fillId="0" borderId="85" xfId="19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85" fontId="24" fillId="0" borderId="53" xfId="19" applyNumberFormat="1" applyFont="1" applyFill="1" applyBorder="1" applyAlignment="1">
      <alignment horizontal="center" vertical="center"/>
    </xf>
    <xf numFmtId="185" fontId="24" fillId="0" borderId="48" xfId="19" applyNumberFormat="1" applyFont="1" applyFill="1" applyBorder="1" applyAlignment="1">
      <alignment horizontal="center" vertical="center"/>
    </xf>
    <xf numFmtId="185" fontId="27" fillId="3" borderId="32" xfId="19" applyNumberFormat="1" applyFont="1" applyFill="1" applyBorder="1" applyAlignment="1">
      <alignment horizontal="center" vertical="center"/>
    </xf>
    <xf numFmtId="185" fontId="27" fillId="3" borderId="33" xfId="19" applyNumberFormat="1" applyFont="1" applyFill="1" applyBorder="1" applyAlignment="1">
      <alignment horizontal="center" vertical="center"/>
    </xf>
    <xf numFmtId="41" fontId="27" fillId="3" borderId="12" xfId="3" applyFont="1" applyFill="1" applyBorder="1" applyAlignment="1">
      <alignment horizontal="center" vertical="center"/>
    </xf>
    <xf numFmtId="41" fontId="27" fillId="3" borderId="6" xfId="3" applyFont="1" applyFill="1" applyBorder="1" applyAlignment="1">
      <alignment horizontal="center" vertical="center"/>
    </xf>
    <xf numFmtId="0" fontId="19" fillId="2" borderId="62" xfId="13" applyFont="1" applyFill="1" applyBorder="1" applyAlignment="1">
      <alignment horizontal="center" vertical="center"/>
    </xf>
    <xf numFmtId="0" fontId="19" fillId="2" borderId="30" xfId="13" applyFont="1" applyFill="1" applyBorder="1" applyAlignment="1">
      <alignment horizontal="center" vertical="center"/>
    </xf>
    <xf numFmtId="0" fontId="19" fillId="2" borderId="31" xfId="13" applyFont="1" applyFill="1" applyBorder="1" applyAlignment="1">
      <alignment horizontal="center" vertical="center"/>
    </xf>
    <xf numFmtId="0" fontId="19" fillId="2" borderId="36" xfId="13" applyFont="1" applyFill="1" applyBorder="1" applyAlignment="1">
      <alignment horizontal="center" vertical="center"/>
    </xf>
    <xf numFmtId="0" fontId="19" fillId="2" borderId="37" xfId="13" applyFont="1" applyFill="1" applyBorder="1" applyAlignment="1">
      <alignment horizontal="center" vertical="center"/>
    </xf>
    <xf numFmtId="185" fontId="27" fillId="3" borderId="3" xfId="0" applyNumberFormat="1" applyFont="1" applyFill="1" applyBorder="1" applyAlignment="1">
      <alignment horizontal="center" vertical="center"/>
    </xf>
    <xf numFmtId="185" fontId="27" fillId="3" borderId="14" xfId="0" applyNumberFormat="1" applyFont="1" applyFill="1" applyBorder="1" applyAlignment="1">
      <alignment horizontal="center" vertical="center"/>
    </xf>
    <xf numFmtId="185" fontId="27" fillId="3" borderId="0" xfId="0" applyNumberFormat="1" applyFont="1" applyFill="1" applyBorder="1" applyAlignment="1">
      <alignment horizontal="center" vertical="center"/>
    </xf>
    <xf numFmtId="185" fontId="27" fillId="3" borderId="18" xfId="0" applyNumberFormat="1" applyFont="1" applyFill="1" applyBorder="1" applyAlignment="1">
      <alignment horizontal="center" vertical="center"/>
    </xf>
    <xf numFmtId="186" fontId="19" fillId="0" borderId="33" xfId="19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186" fontId="19" fillId="0" borderId="6" xfId="19" applyNumberFormat="1" applyFont="1" applyFill="1" applyBorder="1" applyAlignment="1">
      <alignment horizontal="left" vertical="center"/>
    </xf>
    <xf numFmtId="186" fontId="19" fillId="0" borderId="50" xfId="19" applyNumberFormat="1" applyFont="1" applyFill="1" applyBorder="1" applyAlignment="1">
      <alignment horizontal="center" vertical="center"/>
    </xf>
    <xf numFmtId="0" fontId="19" fillId="2" borderId="65" xfId="13" applyFont="1" applyFill="1" applyBorder="1" applyAlignment="1">
      <alignment horizontal="center" vertical="center"/>
    </xf>
    <xf numFmtId="185" fontId="27" fillId="3" borderId="17" xfId="0" applyNumberFormat="1" applyFont="1" applyFill="1" applyBorder="1" applyAlignment="1">
      <alignment horizontal="center" vertical="center"/>
    </xf>
    <xf numFmtId="185" fontId="27" fillId="3" borderId="16" xfId="0" applyNumberFormat="1" applyFont="1" applyFill="1" applyBorder="1" applyAlignment="1">
      <alignment horizontal="center" vertical="center"/>
    </xf>
    <xf numFmtId="185" fontId="27" fillId="3" borderId="58" xfId="0" applyNumberFormat="1" applyFont="1" applyFill="1" applyBorder="1" applyAlignment="1">
      <alignment horizontal="center" vertical="center"/>
    </xf>
    <xf numFmtId="185" fontId="27" fillId="3" borderId="46" xfId="0" applyNumberFormat="1" applyFont="1" applyFill="1" applyBorder="1" applyAlignment="1">
      <alignment horizontal="center" vertical="center"/>
    </xf>
    <xf numFmtId="185" fontId="27" fillId="3" borderId="4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85" fontId="15" fillId="0" borderId="7" xfId="0" applyNumberFormat="1" applyFont="1" applyBorder="1" applyAlignment="1">
      <alignment horizontal="center"/>
    </xf>
    <xf numFmtId="9" fontId="15" fillId="0" borderId="7" xfId="0" applyNumberFormat="1" applyFont="1" applyBorder="1" applyAlignment="1">
      <alignment horizontal="center"/>
    </xf>
    <xf numFmtId="49" fontId="16" fillId="2" borderId="35" xfId="12" applyNumberFormat="1" applyFont="1" applyFill="1" applyBorder="1" applyAlignment="1" applyProtection="1">
      <alignment horizontal="center" vertical="center"/>
      <protection locked="0"/>
    </xf>
    <xf numFmtId="49" fontId="16" fillId="2" borderId="38" xfId="12" applyNumberFormat="1" applyFont="1" applyFill="1" applyBorder="1" applyAlignment="1" applyProtection="1">
      <alignment horizontal="center" vertical="center"/>
      <protection locked="0"/>
    </xf>
    <xf numFmtId="185" fontId="32" fillId="0" borderId="0" xfId="0" applyNumberFormat="1" applyFont="1" applyAlignment="1">
      <alignment horizontal="center"/>
    </xf>
    <xf numFmtId="186" fontId="19" fillId="0" borderId="53" xfId="19" applyNumberFormat="1" applyFont="1" applyFill="1" applyBorder="1" applyAlignment="1">
      <alignment horizontal="center" vertical="center"/>
    </xf>
    <xf numFmtId="186" fontId="32" fillId="0" borderId="0" xfId="0" applyNumberFormat="1" applyFont="1" applyAlignment="1">
      <alignment horizontal="center"/>
    </xf>
    <xf numFmtId="185" fontId="27" fillId="3" borderId="68" xfId="19" applyNumberFormat="1" applyFont="1" applyFill="1" applyBorder="1" applyAlignment="1">
      <alignment horizontal="center" vertical="center"/>
    </xf>
    <xf numFmtId="185" fontId="27" fillId="3" borderId="64" xfId="19" applyNumberFormat="1" applyFont="1" applyFill="1" applyBorder="1" applyAlignment="1">
      <alignment horizontal="center" vertical="center"/>
    </xf>
    <xf numFmtId="185" fontId="27" fillId="3" borderId="67" xfId="19" applyNumberFormat="1" applyFont="1" applyFill="1" applyBorder="1" applyAlignment="1">
      <alignment horizontal="center" vertical="center"/>
    </xf>
    <xf numFmtId="186" fontId="27" fillId="3" borderId="58" xfId="0" applyNumberFormat="1" applyFont="1" applyFill="1" applyBorder="1" applyAlignment="1">
      <alignment horizontal="center" vertical="center"/>
    </xf>
    <xf numFmtId="186" fontId="27" fillId="3" borderId="46" xfId="0" applyNumberFormat="1" applyFont="1" applyFill="1" applyBorder="1" applyAlignment="1">
      <alignment horizontal="center" vertical="center"/>
    </xf>
    <xf numFmtId="186" fontId="27" fillId="3" borderId="59" xfId="0" applyNumberFormat="1" applyFont="1" applyFill="1" applyBorder="1" applyAlignment="1">
      <alignment horizontal="center" vertical="center"/>
    </xf>
    <xf numFmtId="188" fontId="32" fillId="0" borderId="0" xfId="0" applyNumberFormat="1" applyFont="1" applyAlignment="1">
      <alignment horizontal="center"/>
    </xf>
    <xf numFmtId="186" fontId="19" fillId="0" borderId="5" xfId="19" applyNumberFormat="1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left" vertical="center"/>
    </xf>
    <xf numFmtId="0" fontId="33" fillId="3" borderId="3" xfId="0" applyFont="1" applyFill="1" applyBorder="1" applyAlignment="1">
      <alignment horizontal="left" vertical="center"/>
    </xf>
    <xf numFmtId="0" fontId="33" fillId="3" borderId="14" xfId="0" applyFont="1" applyFill="1" applyBorder="1" applyAlignment="1">
      <alignment horizontal="left" vertical="center"/>
    </xf>
    <xf numFmtId="0" fontId="33" fillId="3" borderId="8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/>
    </xf>
    <xf numFmtId="0" fontId="33" fillId="3" borderId="18" xfId="0" applyFont="1" applyFill="1" applyBorder="1" applyAlignment="1">
      <alignment horizontal="left" vertical="center"/>
    </xf>
    <xf numFmtId="0" fontId="18" fillId="0" borderId="8" xfId="0" applyFont="1" applyBorder="1" applyAlignment="1">
      <alignment horizontal="right" vertical="center"/>
    </xf>
    <xf numFmtId="183" fontId="18" fillId="4" borderId="51" xfId="0" applyNumberFormat="1" applyFont="1" applyFill="1" applyBorder="1" applyAlignment="1">
      <alignment horizontal="left" vertical="center"/>
    </xf>
    <xf numFmtId="183" fontId="18" fillId="4" borderId="46" xfId="0" applyNumberFormat="1" applyFont="1" applyFill="1" applyBorder="1" applyAlignment="1">
      <alignment horizontal="left" vertical="center"/>
    </xf>
    <xf numFmtId="183" fontId="18" fillId="4" borderId="18" xfId="0" applyNumberFormat="1" applyFont="1" applyFill="1" applyBorder="1" applyAlignment="1">
      <alignment horizontal="left" vertical="center"/>
    </xf>
    <xf numFmtId="41" fontId="24" fillId="0" borderId="6" xfId="3" applyFont="1" applyFill="1" applyBorder="1" applyAlignment="1">
      <alignment horizontal="right" vertical="center"/>
    </xf>
    <xf numFmtId="0" fontId="20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83" fontId="18" fillId="4" borderId="51" xfId="0" applyNumberFormat="1" applyFont="1" applyFill="1" applyBorder="1" applyAlignment="1">
      <alignment horizontal="left" vertical="center" wrapText="1"/>
    </xf>
    <xf numFmtId="183" fontId="18" fillId="4" borderId="0" xfId="0" applyNumberFormat="1" applyFont="1" applyFill="1" applyBorder="1" applyAlignment="1">
      <alignment horizontal="left" vertical="center"/>
    </xf>
    <xf numFmtId="41" fontId="24" fillId="0" borderId="6" xfId="3" applyFont="1" applyBorder="1" applyAlignment="1">
      <alignment horizontal="right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shrinkToFit="1"/>
    </xf>
    <xf numFmtId="0" fontId="24" fillId="0" borderId="0" xfId="0" applyFont="1" applyBorder="1" applyAlignment="1">
      <alignment horizontal="center" vertical="center" shrinkToFit="1"/>
    </xf>
    <xf numFmtId="0" fontId="24" fillId="0" borderId="51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41" fontId="24" fillId="0" borderId="52" xfId="3" applyFont="1" applyFill="1" applyBorder="1" applyAlignment="1">
      <alignment horizontal="center" vertical="center"/>
    </xf>
    <xf numFmtId="41" fontId="24" fillId="0" borderId="47" xfId="3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87" fontId="13" fillId="0" borderId="0" xfId="0" applyNumberFormat="1" applyFont="1" applyAlignment="1">
      <alignment horizontal="center"/>
    </xf>
    <xf numFmtId="41" fontId="24" fillId="0" borderId="6" xfId="3" applyFont="1" applyFill="1" applyBorder="1" applyAlignment="1">
      <alignment horizontal="center" vertical="center"/>
    </xf>
    <xf numFmtId="41" fontId="24" fillId="0" borderId="13" xfId="3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8" fillId="0" borderId="9" xfId="0" applyFont="1" applyBorder="1" applyAlignment="1">
      <alignment horizontal="right" vertical="center"/>
    </xf>
    <xf numFmtId="0" fontId="28" fillId="0" borderId="51" xfId="0" applyFont="1" applyBorder="1" applyAlignment="1">
      <alignment horizontal="center" vertical="center"/>
    </xf>
    <xf numFmtId="41" fontId="24" fillId="0" borderId="52" xfId="3" applyFont="1" applyBorder="1" applyAlignment="1">
      <alignment horizontal="right" vertical="center"/>
    </xf>
    <xf numFmtId="41" fontId="24" fillId="0" borderId="47" xfId="3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18" fillId="0" borderId="23" xfId="0" applyFont="1" applyBorder="1" applyAlignment="1">
      <alignment horizontal="right" vertical="center"/>
    </xf>
    <xf numFmtId="0" fontId="18" fillId="0" borderId="21" xfId="0" applyFont="1" applyBorder="1" applyAlignment="1">
      <alignment horizontal="right" vertical="center"/>
    </xf>
    <xf numFmtId="183" fontId="18" fillId="4" borderId="20" xfId="0" applyNumberFormat="1" applyFont="1" applyFill="1" applyBorder="1" applyAlignment="1">
      <alignment horizontal="left" vertical="center"/>
    </xf>
    <xf numFmtId="183" fontId="18" fillId="4" borderId="22" xfId="0" applyNumberFormat="1" applyFont="1" applyFill="1" applyBorder="1" applyAlignment="1">
      <alignment horizontal="left" vertical="center"/>
    </xf>
    <xf numFmtId="41" fontId="24" fillId="0" borderId="29" xfId="3" applyFont="1" applyBorder="1" applyAlignment="1">
      <alignment horizontal="right" vertical="center"/>
    </xf>
    <xf numFmtId="41" fontId="24" fillId="0" borderId="28" xfId="3" applyFont="1" applyBorder="1" applyAlignment="1">
      <alignment horizontal="right" vertical="center"/>
    </xf>
    <xf numFmtId="0" fontId="24" fillId="0" borderId="2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52" xfId="0" applyFont="1" applyFill="1" applyBorder="1" applyAlignment="1">
      <alignment horizontal="center"/>
    </xf>
    <xf numFmtId="0" fontId="18" fillId="3" borderId="47" xfId="0" applyFont="1" applyFill="1" applyBorder="1" applyAlignment="1">
      <alignment horizontal="center"/>
    </xf>
    <xf numFmtId="0" fontId="18" fillId="0" borderId="50" xfId="0" applyFont="1" applyBorder="1" applyAlignment="1">
      <alignment horizontal="right" vertical="center"/>
    </xf>
    <xf numFmtId="0" fontId="18" fillId="0" borderId="57" xfId="0" applyFont="1" applyBorder="1" applyAlignment="1">
      <alignment horizontal="right" vertical="center"/>
    </xf>
    <xf numFmtId="185" fontId="27" fillId="3" borderId="39" xfId="0" applyNumberFormat="1" applyFont="1" applyFill="1" applyBorder="1" applyAlignment="1">
      <alignment horizontal="center" vertical="center"/>
    </xf>
    <xf numFmtId="185" fontId="27" fillId="3" borderId="41" xfId="0" applyNumberFormat="1" applyFont="1" applyFill="1" applyBorder="1" applyAlignment="1">
      <alignment horizontal="center" vertical="center"/>
    </xf>
    <xf numFmtId="0" fontId="33" fillId="3" borderId="42" xfId="0" applyFont="1" applyFill="1" applyBorder="1" applyAlignment="1">
      <alignment horizontal="center" vertical="center"/>
    </xf>
    <xf numFmtId="41" fontId="27" fillId="3" borderId="42" xfId="3" applyFont="1" applyFill="1" applyBorder="1" applyAlignment="1">
      <alignment horizontal="center" vertical="center"/>
    </xf>
    <xf numFmtId="185" fontId="27" fillId="3" borderId="42" xfId="19" applyNumberFormat="1" applyFont="1" applyFill="1" applyBorder="1" applyAlignment="1">
      <alignment horizontal="center" vertical="center"/>
    </xf>
    <xf numFmtId="0" fontId="30" fillId="0" borderId="14" xfId="0" applyFont="1" applyBorder="1"/>
    <xf numFmtId="0" fontId="30" fillId="0" borderId="18" xfId="0" applyFont="1" applyBorder="1"/>
    <xf numFmtId="0" fontId="18" fillId="3" borderId="6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185" fontId="27" fillId="3" borderId="39" xfId="19" applyNumberFormat="1" applyFont="1" applyFill="1" applyBorder="1" applyAlignment="1">
      <alignment horizontal="center" vertical="center"/>
    </xf>
    <xf numFmtId="185" fontId="27" fillId="3" borderId="40" xfId="19" applyNumberFormat="1" applyFont="1" applyFill="1" applyBorder="1" applyAlignment="1">
      <alignment horizontal="center" vertical="center"/>
    </xf>
    <xf numFmtId="41" fontId="24" fillId="3" borderId="52" xfId="3" applyFont="1" applyFill="1" applyBorder="1" applyAlignment="1">
      <alignment horizontal="right" vertical="center"/>
    </xf>
    <xf numFmtId="41" fontId="24" fillId="3" borderId="47" xfId="3" applyFont="1" applyFill="1" applyBorder="1" applyAlignment="1">
      <alignment horizontal="right" vertical="center"/>
    </xf>
    <xf numFmtId="41" fontId="24" fillId="3" borderId="6" xfId="3" applyFont="1" applyFill="1" applyBorder="1" applyAlignment="1">
      <alignment horizontal="right" vertical="center"/>
    </xf>
    <xf numFmtId="41" fontId="24" fillId="3" borderId="13" xfId="3" applyFont="1" applyFill="1" applyBorder="1" applyAlignment="1">
      <alignment horizontal="right" vertical="center"/>
    </xf>
    <xf numFmtId="185" fontId="27" fillId="3" borderId="11" xfId="0" applyNumberFormat="1" applyFont="1" applyFill="1" applyBorder="1" applyAlignment="1">
      <alignment horizontal="center" vertical="center"/>
    </xf>
    <xf numFmtId="185" fontId="27" fillId="3" borderId="9" xfId="0" applyNumberFormat="1" applyFont="1" applyFill="1" applyBorder="1" applyAlignment="1">
      <alignment horizontal="center" vertical="center"/>
    </xf>
    <xf numFmtId="185" fontId="27" fillId="3" borderId="7" xfId="0" applyNumberFormat="1" applyFont="1" applyFill="1" applyBorder="1" applyAlignment="1">
      <alignment horizontal="center" vertical="center"/>
    </xf>
    <xf numFmtId="185" fontId="27" fillId="3" borderId="4" xfId="0" applyNumberFormat="1" applyFont="1" applyFill="1" applyBorder="1" applyAlignment="1">
      <alignment horizontal="center" vertical="center"/>
    </xf>
    <xf numFmtId="186" fontId="27" fillId="3" borderId="63" xfId="0" applyNumberFormat="1" applyFont="1" applyFill="1" applyBorder="1" applyAlignment="1">
      <alignment horizontal="center" vertical="center"/>
    </xf>
    <xf numFmtId="186" fontId="27" fillId="3" borderId="12" xfId="0" applyNumberFormat="1" applyFont="1" applyFill="1" applyBorder="1" applyAlignment="1">
      <alignment horizontal="center" vertical="center"/>
    </xf>
    <xf numFmtId="186" fontId="27" fillId="3" borderId="43" xfId="0" applyNumberFormat="1" applyFont="1" applyFill="1" applyBorder="1" applyAlignment="1">
      <alignment horizontal="center" vertical="center"/>
    </xf>
    <xf numFmtId="186" fontId="27" fillId="3" borderId="6" xfId="0" applyNumberFormat="1" applyFont="1" applyFill="1" applyBorder="1" applyAlignment="1">
      <alignment horizontal="center" vertical="center"/>
    </xf>
    <xf numFmtId="183" fontId="18" fillId="4" borderId="0" xfId="0" applyNumberFormat="1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41" fontId="24" fillId="0" borderId="13" xfId="3" applyFont="1" applyBorder="1" applyAlignment="1">
      <alignment horizontal="right" vertical="center"/>
    </xf>
    <xf numFmtId="41" fontId="24" fillId="0" borderId="52" xfId="3" applyFont="1" applyFill="1" applyBorder="1" applyAlignment="1">
      <alignment horizontal="right" vertical="center"/>
    </xf>
    <xf numFmtId="41" fontId="24" fillId="0" borderId="47" xfId="3" applyFont="1" applyFill="1" applyBorder="1" applyAlignment="1">
      <alignment horizontal="right" vertical="center"/>
    </xf>
    <xf numFmtId="183" fontId="18" fillId="4" borderId="54" xfId="0" applyNumberFormat="1" applyFont="1" applyFill="1" applyBorder="1" applyAlignment="1">
      <alignment horizontal="left" vertical="center" wrapText="1"/>
    </xf>
    <xf numFmtId="183" fontId="18" fillId="4" borderId="58" xfId="0" applyNumberFormat="1" applyFont="1" applyFill="1" applyBorder="1" applyAlignment="1">
      <alignment horizontal="left" vertical="center"/>
    </xf>
    <xf numFmtId="183" fontId="36" fillId="4" borderId="54" xfId="0" applyNumberFormat="1" applyFont="1" applyFill="1" applyBorder="1" applyAlignment="1">
      <alignment horizontal="left" vertical="center"/>
    </xf>
    <xf numFmtId="183" fontId="36" fillId="4" borderId="58" xfId="0" applyNumberFormat="1" applyFont="1" applyFill="1" applyBorder="1" applyAlignment="1">
      <alignment horizontal="left" vertical="center"/>
    </xf>
    <xf numFmtId="183" fontId="18" fillId="4" borderId="7" xfId="0" applyNumberFormat="1" applyFont="1" applyFill="1" applyBorder="1" applyAlignment="1">
      <alignment horizontal="left" vertical="center"/>
    </xf>
    <xf numFmtId="183" fontId="18" fillId="4" borderId="54" xfId="0" applyNumberFormat="1" applyFont="1" applyFill="1" applyBorder="1" applyAlignment="1">
      <alignment horizontal="left" vertical="center"/>
    </xf>
    <xf numFmtId="183" fontId="36" fillId="4" borderId="0" xfId="0" applyNumberFormat="1" applyFont="1" applyFill="1" applyBorder="1" applyAlignment="1">
      <alignment horizontal="left" vertical="center" wrapText="1"/>
    </xf>
    <xf numFmtId="183" fontId="36" fillId="4" borderId="0" xfId="0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183" fontId="18" fillId="4" borderId="55" xfId="0" applyNumberFormat="1" applyFont="1" applyFill="1" applyBorder="1" applyAlignment="1">
      <alignment horizontal="left" vertical="center"/>
    </xf>
    <xf numFmtId="183" fontId="18" fillId="4" borderId="59" xfId="0" applyNumberFormat="1" applyFont="1" applyFill="1" applyBorder="1" applyAlignment="1">
      <alignment horizontal="left" vertical="center"/>
    </xf>
    <xf numFmtId="183" fontId="18" fillId="4" borderId="4" xfId="0" applyNumberFormat="1" applyFont="1" applyFill="1" applyBorder="1" applyAlignment="1">
      <alignment horizontal="left" vertical="center"/>
    </xf>
    <xf numFmtId="41" fontId="24" fillId="0" borderId="13" xfId="3" applyFont="1" applyFill="1" applyBorder="1" applyAlignment="1">
      <alignment horizontal="right" vertical="center"/>
    </xf>
    <xf numFmtId="0" fontId="28" fillId="0" borderId="6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9" fontId="16" fillId="2" borderId="11" xfId="12" applyNumberFormat="1" applyFont="1" applyFill="1" applyBorder="1" applyAlignment="1" applyProtection="1">
      <alignment horizontal="center" vertical="center"/>
      <protection locked="0"/>
    </xf>
    <xf numFmtId="49" fontId="16" fillId="2" borderId="3" xfId="12" applyNumberFormat="1" applyFont="1" applyFill="1" applyBorder="1" applyAlignment="1" applyProtection="1">
      <alignment horizontal="center" vertical="center"/>
      <protection locked="0"/>
    </xf>
    <xf numFmtId="49" fontId="16" fillId="2" borderId="8" xfId="12" applyNumberFormat="1" applyFont="1" applyFill="1" applyBorder="1" applyAlignment="1" applyProtection="1">
      <alignment horizontal="center" vertical="center"/>
      <protection locked="0"/>
    </xf>
    <xf numFmtId="49" fontId="16" fillId="2" borderId="0" xfId="12" applyNumberFormat="1" applyFont="1" applyFill="1" applyBorder="1" applyAlignment="1" applyProtection="1">
      <alignment horizontal="center" vertical="center"/>
      <protection locked="0"/>
    </xf>
    <xf numFmtId="49" fontId="16" fillId="2" borderId="12" xfId="12" applyNumberFormat="1" applyFont="1" applyFill="1" applyBorder="1" applyAlignment="1" applyProtection="1">
      <alignment horizontal="center" vertical="center"/>
      <protection locked="0"/>
    </xf>
    <xf numFmtId="49" fontId="16" fillId="2" borderId="6" xfId="12" applyNumberFormat="1" applyFont="1" applyFill="1" applyBorder="1" applyAlignment="1" applyProtection="1">
      <alignment horizontal="center" vertical="center"/>
      <protection locked="0"/>
    </xf>
    <xf numFmtId="0" fontId="31" fillId="2" borderId="39" xfId="13" applyFont="1" applyFill="1" applyBorder="1" applyAlignment="1">
      <alignment horizontal="center" vertical="center"/>
    </xf>
    <xf numFmtId="0" fontId="31" fillId="2" borderId="40" xfId="13" applyFont="1" applyFill="1" applyBorder="1" applyAlignment="1">
      <alignment horizontal="center" vertical="center"/>
    </xf>
    <xf numFmtId="0" fontId="31" fillId="2" borderId="41" xfId="13" applyFont="1" applyFill="1" applyBorder="1" applyAlignment="1">
      <alignment horizontal="center" vertical="center"/>
    </xf>
    <xf numFmtId="49" fontId="16" fillId="2" borderId="32" xfId="12" applyNumberFormat="1" applyFont="1" applyFill="1" applyBorder="1" applyAlignment="1" applyProtection="1">
      <alignment horizontal="center" vertical="center"/>
      <protection locked="0"/>
    </xf>
    <xf numFmtId="49" fontId="16" fillId="2" borderId="33" xfId="12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33" fillId="3" borderId="44" xfId="0" applyFont="1" applyFill="1" applyBorder="1" applyAlignment="1">
      <alignment horizontal="left" vertical="center"/>
    </xf>
    <xf numFmtId="185" fontId="27" fillId="3" borderId="86" xfId="19" applyNumberFormat="1" applyFont="1" applyFill="1" applyBorder="1" applyAlignment="1">
      <alignment horizontal="center" vertical="center"/>
    </xf>
    <xf numFmtId="185" fontId="27" fillId="3" borderId="87" xfId="19" applyNumberFormat="1" applyFont="1" applyFill="1" applyBorder="1" applyAlignment="1">
      <alignment horizontal="center" vertical="center"/>
    </xf>
    <xf numFmtId="185" fontId="27" fillId="3" borderId="71" xfId="19" applyNumberFormat="1" applyFont="1" applyFill="1" applyBorder="1" applyAlignment="1">
      <alignment horizontal="center" vertical="center"/>
    </xf>
    <xf numFmtId="185" fontId="27" fillId="3" borderId="69" xfId="0" applyNumberFormat="1" applyFont="1" applyFill="1" applyBorder="1" applyAlignment="1">
      <alignment horizontal="center" vertical="center"/>
    </xf>
    <xf numFmtId="185" fontId="27" fillId="3" borderId="70" xfId="0" applyNumberFormat="1" applyFont="1" applyFill="1" applyBorder="1" applyAlignment="1">
      <alignment horizontal="center" vertical="center"/>
    </xf>
    <xf numFmtId="185" fontId="27" fillId="3" borderId="68" xfId="0" applyNumberFormat="1" applyFont="1" applyFill="1" applyBorder="1" applyAlignment="1">
      <alignment horizontal="center" vertical="center"/>
    </xf>
    <xf numFmtId="185" fontId="27" fillId="3" borderId="61" xfId="19" applyNumberFormat="1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left" vertical="center"/>
    </xf>
    <xf numFmtId="0" fontId="18" fillId="3" borderId="57" xfId="0" applyFont="1" applyFill="1" applyBorder="1" applyAlignment="1">
      <alignment horizontal="left" vertical="center"/>
    </xf>
    <xf numFmtId="0" fontId="18" fillId="3" borderId="59" xfId="0" applyFont="1" applyFill="1" applyBorder="1" applyAlignment="1">
      <alignment horizontal="left" vertical="center"/>
    </xf>
    <xf numFmtId="185" fontId="24" fillId="0" borderId="33" xfId="19" applyNumberFormat="1" applyFont="1" applyFill="1" applyBorder="1" applyAlignment="1">
      <alignment horizontal="center" vertical="center"/>
    </xf>
    <xf numFmtId="185" fontId="24" fillId="0" borderId="15" xfId="19" applyNumberFormat="1" applyFont="1" applyFill="1" applyBorder="1" applyAlignment="1">
      <alignment horizontal="center" vertical="center"/>
    </xf>
    <xf numFmtId="188" fontId="37" fillId="0" borderId="53" xfId="19" applyNumberFormat="1" applyFont="1" applyFill="1" applyBorder="1" applyAlignment="1">
      <alignment horizontal="center" vertical="center"/>
    </xf>
    <xf numFmtId="188" fontId="37" fillId="0" borderId="48" xfId="19" applyNumberFormat="1" applyFont="1" applyFill="1" applyBorder="1" applyAlignment="1">
      <alignment horizontal="center" vertical="center"/>
    </xf>
    <xf numFmtId="41" fontId="33" fillId="0" borderId="0" xfId="3" applyFont="1" applyBorder="1" applyAlignment="1">
      <alignment horizontal="center"/>
    </xf>
    <xf numFmtId="186" fontId="19" fillId="0" borderId="79" xfId="19" applyNumberFormat="1" applyFont="1" applyFill="1" applyBorder="1" applyAlignment="1">
      <alignment horizontal="center" vertical="center"/>
    </xf>
    <xf numFmtId="186" fontId="19" fillId="0" borderId="78" xfId="19" applyNumberFormat="1" applyFont="1" applyFill="1" applyBorder="1" applyAlignment="1">
      <alignment horizontal="center" vertical="center"/>
    </xf>
    <xf numFmtId="183" fontId="17" fillId="4" borderId="0" xfId="0" applyNumberFormat="1" applyFont="1" applyFill="1" applyBorder="1" applyAlignment="1">
      <alignment horizontal="left" vertical="center"/>
    </xf>
    <xf numFmtId="183" fontId="17" fillId="4" borderId="7" xfId="0" applyNumberFormat="1" applyFont="1" applyFill="1" applyBorder="1" applyAlignment="1">
      <alignment horizontal="left" vertical="center"/>
    </xf>
    <xf numFmtId="0" fontId="15" fillId="0" borderId="0" xfId="13" applyFont="1" applyAlignment="1">
      <alignment horizontal="center" vertical="center"/>
    </xf>
    <xf numFmtId="0" fontId="18" fillId="0" borderId="0" xfId="13" applyFont="1" applyAlignment="1">
      <alignment horizontal="center"/>
    </xf>
    <xf numFmtId="186" fontId="27" fillId="3" borderId="3" xfId="19" applyNumberFormat="1" applyFont="1" applyFill="1" applyBorder="1" applyAlignment="1">
      <alignment horizontal="center" vertical="center"/>
    </xf>
    <xf numFmtId="186" fontId="27" fillId="3" borderId="14" xfId="19" applyNumberFormat="1" applyFont="1" applyFill="1" applyBorder="1" applyAlignment="1">
      <alignment horizontal="center" vertical="center"/>
    </xf>
    <xf numFmtId="186" fontId="27" fillId="3" borderId="0" xfId="19" applyNumberFormat="1" applyFont="1" applyFill="1" applyBorder="1" applyAlignment="1">
      <alignment horizontal="center" vertical="center"/>
    </xf>
    <xf numFmtId="186" fontId="27" fillId="3" borderId="18" xfId="19" applyNumberFormat="1" applyFont="1" applyFill="1" applyBorder="1" applyAlignment="1">
      <alignment horizontal="center" vertical="center"/>
    </xf>
    <xf numFmtId="186" fontId="19" fillId="0" borderId="56" xfId="19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185" fontId="27" fillId="3" borderId="48" xfId="19" applyNumberFormat="1" applyFont="1" applyFill="1" applyBorder="1" applyAlignment="1">
      <alignment horizontal="center" vertical="center"/>
    </xf>
    <xf numFmtId="186" fontId="19" fillId="0" borderId="76" xfId="19" applyNumberFormat="1" applyFont="1" applyFill="1" applyBorder="1" applyAlignment="1">
      <alignment horizontal="center" vertical="center"/>
    </xf>
    <xf numFmtId="186" fontId="19" fillId="0" borderId="77" xfId="19" applyNumberFormat="1" applyFont="1" applyFill="1" applyBorder="1" applyAlignment="1">
      <alignment horizontal="center" vertical="center"/>
    </xf>
    <xf numFmtId="41" fontId="18" fillId="0" borderId="0" xfId="0" applyNumberFormat="1" applyFont="1" applyAlignment="1">
      <alignment horizontal="center"/>
    </xf>
    <xf numFmtId="186" fontId="27" fillId="3" borderId="49" xfId="0" applyNumberFormat="1" applyFont="1" applyFill="1" applyBorder="1" applyAlignment="1">
      <alignment horizontal="center" vertical="center"/>
    </xf>
    <xf numFmtId="183" fontId="17" fillId="4" borderId="55" xfId="0" applyNumberFormat="1" applyFont="1" applyFill="1" applyBorder="1" applyAlignment="1">
      <alignment horizontal="left" vertical="center"/>
    </xf>
    <xf numFmtId="183" fontId="17" fillId="4" borderId="59" xfId="0" applyNumberFormat="1" applyFont="1" applyFill="1" applyBorder="1" applyAlignment="1">
      <alignment horizontal="left" vertical="center"/>
    </xf>
    <xf numFmtId="185" fontId="27" fillId="2" borderId="11" xfId="19" applyNumberFormat="1" applyFont="1" applyFill="1" applyBorder="1" applyAlignment="1">
      <alignment horizontal="center" vertical="center"/>
    </xf>
    <xf numFmtId="185" fontId="27" fillId="2" borderId="9" xfId="19" applyNumberFormat="1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185" fontId="27" fillId="2" borderId="32" xfId="19" applyNumberFormat="1" applyFont="1" applyFill="1" applyBorder="1" applyAlignment="1">
      <alignment horizontal="center" vertical="center"/>
    </xf>
    <xf numFmtId="185" fontId="27" fillId="2" borderId="15" xfId="19" applyNumberFormat="1" applyFont="1" applyFill="1" applyBorder="1" applyAlignment="1">
      <alignment horizontal="center" vertical="center"/>
    </xf>
    <xf numFmtId="185" fontId="27" fillId="2" borderId="33" xfId="19" applyNumberFormat="1" applyFont="1" applyFill="1" applyBorder="1" applyAlignment="1">
      <alignment horizontal="center" vertical="center"/>
    </xf>
    <xf numFmtId="49" fontId="16" fillId="2" borderId="14" xfId="12" applyNumberFormat="1" applyFont="1" applyFill="1" applyBorder="1" applyAlignment="1" applyProtection="1">
      <alignment horizontal="center" vertical="center"/>
      <protection locked="0"/>
    </xf>
    <xf numFmtId="49" fontId="16" fillId="2" borderId="9" xfId="12" applyNumberFormat="1" applyFont="1" applyFill="1" applyBorder="1" applyAlignment="1" applyProtection="1">
      <alignment horizontal="center" vertical="center"/>
      <protection locked="0"/>
    </xf>
    <xf numFmtId="49" fontId="16" fillId="2" borderId="7" xfId="12" applyNumberFormat="1" applyFont="1" applyFill="1" applyBorder="1" applyAlignment="1" applyProtection="1">
      <alignment horizontal="center" vertical="center"/>
      <protection locked="0"/>
    </xf>
    <xf numFmtId="49" fontId="16" fillId="2" borderId="4" xfId="12" applyNumberFormat="1" applyFont="1" applyFill="1" applyBorder="1" applyAlignment="1" applyProtection="1">
      <alignment horizontal="center" vertical="center"/>
      <protection locked="0"/>
    </xf>
    <xf numFmtId="41" fontId="16" fillId="2" borderId="17" xfId="12" applyNumberFormat="1" applyFont="1" applyFill="1" applyBorder="1" applyAlignment="1" applyProtection="1">
      <alignment vertical="center"/>
      <protection locked="0"/>
    </xf>
    <xf numFmtId="0" fontId="0" fillId="2" borderId="14" xfId="0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186" fontId="27" fillId="3" borderId="80" xfId="0" applyNumberFormat="1" applyFont="1" applyFill="1" applyBorder="1" applyAlignment="1">
      <alignment horizontal="center" vertical="center"/>
    </xf>
    <xf numFmtId="186" fontId="27" fillId="3" borderId="8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41" fontId="27" fillId="3" borderId="6" xfId="3" applyFont="1" applyFill="1" applyBorder="1" applyAlignment="1">
      <alignment horizontal="right" vertical="center"/>
    </xf>
    <xf numFmtId="0" fontId="33" fillId="3" borderId="6" xfId="0" applyFont="1" applyFill="1" applyBorder="1" applyAlignment="1">
      <alignment horizontal="center"/>
    </xf>
    <xf numFmtId="186" fontId="27" fillId="3" borderId="11" xfId="0" applyNumberFormat="1" applyFont="1" applyFill="1" applyBorder="1" applyAlignment="1">
      <alignment horizontal="center" vertical="center"/>
    </xf>
    <xf numFmtId="186" fontId="27" fillId="3" borderId="57" xfId="0" applyNumberFormat="1" applyFont="1" applyFill="1" applyBorder="1" applyAlignment="1">
      <alignment horizontal="center" vertical="center"/>
    </xf>
    <xf numFmtId="185" fontId="27" fillId="3" borderId="72" xfId="0" applyNumberFormat="1" applyFont="1" applyFill="1" applyBorder="1" applyAlignment="1">
      <alignment horizontal="center" vertical="center"/>
    </xf>
    <xf numFmtId="185" fontId="27" fillId="3" borderId="73" xfId="0" applyNumberFormat="1" applyFont="1" applyFill="1" applyBorder="1" applyAlignment="1">
      <alignment horizontal="center" vertical="center"/>
    </xf>
    <xf numFmtId="185" fontId="27" fillId="3" borderId="76" xfId="0" applyNumberFormat="1" applyFont="1" applyFill="1" applyBorder="1" applyAlignment="1">
      <alignment horizontal="center" vertical="center"/>
    </xf>
    <xf numFmtId="185" fontId="27" fillId="3" borderId="77" xfId="0" applyNumberFormat="1" applyFont="1" applyFill="1" applyBorder="1" applyAlignment="1">
      <alignment horizontal="center" vertical="center"/>
    </xf>
    <xf numFmtId="186" fontId="27" fillId="3" borderId="17" xfId="19" applyNumberFormat="1" applyFont="1" applyFill="1" applyBorder="1" applyAlignment="1">
      <alignment horizontal="center" vertical="center"/>
    </xf>
    <xf numFmtId="186" fontId="27" fillId="3" borderId="16" xfId="19" applyNumberFormat="1" applyFont="1" applyFill="1" applyBorder="1" applyAlignment="1">
      <alignment horizontal="center" vertical="center"/>
    </xf>
    <xf numFmtId="186" fontId="27" fillId="3" borderId="2" xfId="19" applyNumberFormat="1" applyFont="1" applyFill="1" applyBorder="1" applyAlignment="1">
      <alignment horizontal="center" vertical="center"/>
    </xf>
    <xf numFmtId="186" fontId="27" fillId="3" borderId="5" xfId="19" applyNumberFormat="1" applyFont="1" applyFill="1" applyBorder="1" applyAlignment="1">
      <alignment horizontal="center" vertical="center"/>
    </xf>
    <xf numFmtId="190" fontId="27" fillId="3" borderId="71" xfId="0" applyNumberFormat="1" applyFont="1" applyFill="1" applyBorder="1" applyAlignment="1">
      <alignment horizontal="center" vertical="center"/>
    </xf>
    <xf numFmtId="190" fontId="27" fillId="3" borderId="70" xfId="0" applyNumberFormat="1" applyFont="1" applyFill="1" applyBorder="1" applyAlignment="1">
      <alignment horizontal="center" vertical="center"/>
    </xf>
    <xf numFmtId="190" fontId="27" fillId="3" borderId="68" xfId="0" applyNumberFormat="1" applyFont="1" applyFill="1" applyBorder="1" applyAlignment="1">
      <alignment horizontal="center" vertical="center"/>
    </xf>
    <xf numFmtId="190" fontId="27" fillId="3" borderId="88" xfId="0" applyNumberFormat="1" applyFont="1" applyFill="1" applyBorder="1" applyAlignment="1">
      <alignment horizontal="center" vertical="center"/>
    </xf>
    <xf numFmtId="185" fontId="15" fillId="0" borderId="0" xfId="0" applyNumberFormat="1" applyFont="1" applyBorder="1" applyAlignment="1">
      <alignment horizontal="center"/>
    </xf>
  </cellXfs>
  <cellStyles count="20">
    <cellStyle name="Comma [0]_laroux" xfId="14" xr:uid="{00000000-0005-0000-0000-000000000000}"/>
    <cellStyle name="Comma_laroux" xfId="15" xr:uid="{00000000-0005-0000-0000-000001000000}"/>
    <cellStyle name="Currency [0]_laroux" xfId="16" xr:uid="{00000000-0005-0000-0000-000002000000}"/>
    <cellStyle name="Currency_laroux" xfId="17" xr:uid="{00000000-0005-0000-0000-000003000000}"/>
    <cellStyle name="Normal_Certs Q2" xfId="18" xr:uid="{00000000-0005-0000-0000-000004000000}"/>
    <cellStyle name="내역서" xfId="1" xr:uid="{00000000-0005-0000-0000-000005000000}"/>
    <cellStyle name="뒤에 오는 하이퍼링크_구산동-변경" xfId="2" xr:uid="{00000000-0005-0000-0000-000006000000}"/>
    <cellStyle name="백분율" xfId="19" builtinId="5"/>
    <cellStyle name="쉼표 [0]" xfId="3" builtinId="6"/>
    <cellStyle name="자리수0" xfId="4" xr:uid="{00000000-0005-0000-0000-000009000000}"/>
    <cellStyle name="콤마" xfId="5" xr:uid="{00000000-0005-0000-0000-00000A000000}"/>
    <cellStyle name="콤마 [0]_(1.토)" xfId="6" xr:uid="{00000000-0005-0000-0000-00000B000000}"/>
    <cellStyle name="콤마[ ]" xfId="7" xr:uid="{00000000-0005-0000-0000-00000C000000}"/>
    <cellStyle name="콤마[*]" xfId="8" xr:uid="{00000000-0005-0000-0000-00000D000000}"/>
    <cellStyle name="콤마[.]" xfId="9" xr:uid="{00000000-0005-0000-0000-00000E000000}"/>
    <cellStyle name="콤마[0]" xfId="10" xr:uid="{00000000-0005-0000-0000-00000F000000}"/>
    <cellStyle name="콤마_(1.토)" xfId="11" xr:uid="{00000000-0005-0000-0000-000010000000}"/>
    <cellStyle name="표준" xfId="0" builtinId="0"/>
    <cellStyle name="표준_Book2" xfId="13" xr:uid="{00000000-0005-0000-0000-000012000000}"/>
    <cellStyle name="표준_공정표(보관)" xfId="12" xr:uid="{00000000-0005-0000-0000-000013000000}"/>
  </cellStyles>
  <dxfs count="0"/>
  <tableStyles count="0" defaultTableStyle="TableStyleMedium9" defaultPivotStyle="PivotStyleLight16"/>
  <colors>
    <mruColors>
      <color rgb="FF800000"/>
      <color rgb="FFFFFFCC"/>
      <color rgb="FF0000CC"/>
      <color rgb="FF2601A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2.5585369592795438E-2"/>
          <c:y val="2.8112703588890594E-3"/>
          <c:w val="0.96813135986738152"/>
          <c:h val="0.99517300750558646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5639023"/>
        <c:axId val="1095650671"/>
      </c:scatterChart>
      <c:valAx>
        <c:axId val="1095639023"/>
        <c:scaling>
          <c:orientation val="minMax"/>
          <c:max val="10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crossAx val="1095650671"/>
        <c:crosses val="autoZero"/>
        <c:crossBetween val="midCat"/>
      </c:valAx>
      <c:valAx>
        <c:axId val="1095650671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%" sourceLinked="1"/>
        <c:majorTickMark val="none"/>
        <c:minorTickMark val="none"/>
        <c:tickLblPos val="nextTo"/>
        <c:crossAx val="10956390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212912</xdr:colOff>
      <xdr:row>23</xdr:row>
      <xdr:rowOff>100854</xdr:rowOff>
    </xdr:from>
    <xdr:to>
      <xdr:col>129</xdr:col>
      <xdr:colOff>1447800</xdr:colOff>
      <xdr:row>255</xdr:row>
      <xdr:rowOff>78441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0E7161-EEC2-4758-8D83-11801E000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D1:ED340"/>
  <sheetViews>
    <sheetView showGridLines="0" tabSelected="1" view="pageBreakPreview" topLeftCell="F19" zoomScale="70" zoomScaleNormal="85" zoomScaleSheetLayoutView="70" workbookViewId="0">
      <pane xSplit="12" ySplit="7" topLeftCell="S26" activePane="bottomRight" state="frozen"/>
      <selection activeCell="F19" sqref="F19"/>
      <selection pane="topRight" activeCell="P19" sqref="P19"/>
      <selection pane="bottomLeft" activeCell="F26" sqref="F26"/>
      <selection pane="bottomRight" activeCell="S26" sqref="S26:U27"/>
    </sheetView>
  </sheetViews>
  <sheetFormatPr defaultRowHeight="16.5" outlineLevelRow="1" outlineLevelCol="1"/>
  <cols>
    <col min="1" max="4" width="9.33203125" style="1"/>
    <col min="5" max="5" width="13.6640625" style="1" bestFit="1" customWidth="1"/>
    <col min="6" max="6" width="13.6640625" style="1" hidden="1" customWidth="1" outlineLevel="1"/>
    <col min="7" max="7" width="13.6640625" style="22" hidden="1" customWidth="1" outlineLevel="1"/>
    <col min="8" max="8" width="6.1640625" style="22" hidden="1" customWidth="1" outlineLevel="1"/>
    <col min="9" max="9" width="0" style="1" hidden="1" customWidth="1" outlineLevel="1" collapsed="1"/>
    <col min="10" max="10" width="12" style="1" hidden="1" customWidth="1" outlineLevel="1"/>
    <col min="11" max="11" width="11.33203125" style="1" hidden="1" customWidth="1" outlineLevel="1"/>
    <col min="12" max="12" width="2.6640625" style="1" customWidth="1" collapsed="1"/>
    <col min="13" max="13" width="37.5" style="1" customWidth="1"/>
    <col min="14" max="14" width="11.6640625" style="15" bestFit="1" customWidth="1"/>
    <col min="15" max="15" width="6.33203125" style="45" customWidth="1"/>
    <col min="16" max="16" width="14" style="45" customWidth="1"/>
    <col min="17" max="17" width="10.83203125" style="45" customWidth="1"/>
    <col min="18" max="18" width="10.83203125" style="45" hidden="1" customWidth="1" outlineLevel="1"/>
    <col min="19" max="19" width="5.83203125" style="1" customWidth="1" collapsed="1"/>
    <col min="20" max="20" width="5.83203125" style="1" customWidth="1"/>
    <col min="21" max="21" width="5.83203125" style="2" customWidth="1"/>
    <col min="22" max="23" width="5.83203125" style="1" customWidth="1"/>
    <col min="24" max="24" width="5.83203125" style="2" customWidth="1"/>
    <col min="25" max="32" width="5.83203125" style="1" customWidth="1"/>
    <col min="33" max="60" width="5.83203125" style="2" customWidth="1"/>
    <col min="61" max="126" width="6.33203125" style="2" customWidth="1"/>
    <col min="127" max="127" width="10" style="1" bestFit="1" customWidth="1"/>
    <col min="128" max="128" width="15.83203125" style="1" hidden="1" customWidth="1" outlineLevel="1"/>
    <col min="129" max="129" width="26.6640625" style="1" hidden="1" customWidth="1" outlineLevel="1"/>
    <col min="130" max="130" width="26.6640625" style="11" customWidth="1" collapsed="1"/>
    <col min="131" max="131" width="26.6640625" style="11" customWidth="1"/>
    <col min="132" max="134" width="26.6640625" style="1" customWidth="1"/>
    <col min="135" max="16384" width="9.33203125" style="1"/>
  </cols>
  <sheetData>
    <row r="1" spans="78:131" ht="24.95" hidden="1" customHeight="1" outlineLevel="1"/>
    <row r="2" spans="78:131" ht="24.95" hidden="1" customHeight="1" outlineLevel="1"/>
    <row r="3" spans="78:131" ht="24.95" hidden="1" customHeight="1" outlineLevel="1"/>
    <row r="4" spans="78:131" ht="24.95" hidden="1" customHeight="1" outlineLevel="1"/>
    <row r="5" spans="78:131" ht="24.95" hidden="1" customHeight="1" outlineLevel="1"/>
    <row r="6" spans="78:131" ht="24.95" hidden="1" customHeight="1" outlineLevel="1"/>
    <row r="7" spans="78:131" ht="24.95" hidden="1" customHeight="1" outlineLevel="1"/>
    <row r="8" spans="78:131" ht="24.95" hidden="1" customHeight="1" outlineLevel="1"/>
    <row r="9" spans="78:131" ht="24.95" hidden="1" customHeight="1" outlineLevel="1"/>
    <row r="10" spans="78:131" ht="24.95" hidden="1" customHeight="1" outlineLevel="1"/>
    <row r="11" spans="78:131" ht="24.95" hidden="1" customHeight="1" outlineLevel="1"/>
    <row r="12" spans="78:131" ht="24.95" hidden="1" customHeight="1" outlineLevel="1"/>
    <row r="13" spans="78:131" ht="24.95" hidden="1" customHeight="1" outlineLevel="1">
      <c r="DZ13" s="1"/>
      <c r="EA13" s="1"/>
    </row>
    <row r="14" spans="78:131" ht="24.95" hidden="1" customHeight="1" outlineLevel="1">
      <c r="DZ14" s="1"/>
      <c r="EA14" s="1"/>
    </row>
    <row r="15" spans="78:131" ht="24.95" hidden="1" customHeight="1" outlineLevel="1">
      <c r="DZ15" s="1"/>
      <c r="EA15" s="1"/>
    </row>
    <row r="16" spans="78:131" ht="24.95" hidden="1" customHeight="1" outlineLevel="1">
      <c r="BZ16" s="256"/>
      <c r="CA16" s="256"/>
      <c r="CB16" s="256"/>
      <c r="CC16" s="248"/>
      <c r="CD16" s="248"/>
      <c r="CE16" s="248"/>
      <c r="DZ16" s="1"/>
      <c r="EA16" s="1"/>
    </row>
    <row r="17" spans="6:134" ht="24.95" hidden="1" customHeight="1" outlineLevel="1">
      <c r="DZ17" s="1"/>
      <c r="EA17" s="1"/>
    </row>
    <row r="18" spans="6:134" s="4" customFormat="1" ht="40.5" customHeight="1" collapsed="1">
      <c r="G18" s="23"/>
      <c r="H18" s="23"/>
      <c r="L18" s="322" t="s">
        <v>28</v>
      </c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  <c r="AB18" s="322"/>
      <c r="AC18" s="322"/>
      <c r="AD18" s="322"/>
      <c r="AE18" s="322"/>
      <c r="AF18" s="322"/>
      <c r="AG18" s="322"/>
      <c r="AH18" s="322"/>
      <c r="AI18" s="322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22"/>
      <c r="AU18" s="322"/>
      <c r="AV18" s="322"/>
      <c r="AW18" s="322"/>
      <c r="AX18" s="322"/>
      <c r="AY18" s="322"/>
      <c r="AZ18" s="322"/>
      <c r="BA18" s="322"/>
      <c r="BB18" s="322"/>
      <c r="BC18" s="322"/>
      <c r="BD18" s="322"/>
      <c r="BE18" s="322"/>
      <c r="BF18" s="322"/>
      <c r="BG18" s="322"/>
      <c r="BH18" s="322"/>
      <c r="BI18" s="322"/>
      <c r="BJ18" s="322"/>
      <c r="BK18" s="322"/>
      <c r="BL18" s="322"/>
      <c r="BM18" s="322"/>
      <c r="BN18" s="322"/>
      <c r="BO18" s="322"/>
      <c r="BP18" s="322"/>
      <c r="BQ18" s="322"/>
      <c r="BR18" s="322"/>
      <c r="BS18" s="322"/>
      <c r="BT18" s="322"/>
      <c r="BU18" s="322"/>
      <c r="BV18" s="322"/>
      <c r="BW18" s="322"/>
      <c r="BX18" s="322"/>
      <c r="BY18" s="322"/>
      <c r="BZ18" s="322"/>
      <c r="CA18" s="322"/>
      <c r="CB18" s="322"/>
      <c r="CC18" s="322"/>
      <c r="CD18" s="322"/>
      <c r="CE18" s="322"/>
      <c r="CF18" s="322"/>
      <c r="CG18" s="322"/>
      <c r="CH18" s="322"/>
      <c r="CI18" s="322"/>
      <c r="CJ18" s="322"/>
      <c r="CK18" s="322"/>
      <c r="CL18" s="322"/>
      <c r="CM18" s="322"/>
      <c r="CN18" s="322"/>
      <c r="CO18" s="322"/>
      <c r="CP18" s="322"/>
      <c r="CQ18" s="322"/>
      <c r="CR18" s="322"/>
      <c r="CS18" s="322"/>
      <c r="CT18" s="322"/>
      <c r="CU18" s="322"/>
      <c r="CV18" s="322"/>
      <c r="CW18" s="322"/>
      <c r="CX18" s="322"/>
      <c r="CY18" s="322"/>
      <c r="CZ18" s="322"/>
      <c r="DA18" s="322"/>
      <c r="DB18" s="322"/>
      <c r="DC18" s="322"/>
      <c r="DD18" s="322"/>
      <c r="DE18" s="322"/>
      <c r="DF18" s="322"/>
      <c r="DG18" s="322"/>
      <c r="DH18" s="322"/>
      <c r="DI18" s="322"/>
      <c r="DJ18" s="322"/>
      <c r="DK18" s="322"/>
      <c r="DL18" s="322"/>
      <c r="DM18" s="322"/>
      <c r="DN18" s="322"/>
      <c r="DO18" s="322"/>
      <c r="DP18" s="322"/>
      <c r="DQ18" s="322"/>
      <c r="DR18" s="322"/>
      <c r="DS18" s="322"/>
      <c r="DT18" s="322"/>
      <c r="DU18" s="322"/>
      <c r="DV18" s="322"/>
      <c r="DX18" s="1"/>
      <c r="DY18" s="1"/>
      <c r="DZ18" s="1"/>
      <c r="EA18" s="1"/>
      <c r="EB18" s="1"/>
    </row>
    <row r="19" spans="6:134" s="9" customFormat="1" ht="18" customHeight="1">
      <c r="G19" s="24"/>
      <c r="H19" s="24"/>
      <c r="L19" s="334" t="s">
        <v>296</v>
      </c>
      <c r="M19" s="334"/>
      <c r="N19" s="334"/>
      <c r="O19" s="334"/>
      <c r="P19" s="14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407"/>
      <c r="AI19" s="407"/>
      <c r="AJ19" s="407"/>
      <c r="AK19" s="407"/>
      <c r="AL19" s="407"/>
      <c r="AM19" s="407"/>
      <c r="AN19" s="407"/>
      <c r="AO19" s="407"/>
      <c r="AP19" s="407"/>
      <c r="AQ19" s="407"/>
      <c r="AR19" s="407"/>
      <c r="AS19" s="40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363" t="s">
        <v>295</v>
      </c>
      <c r="DE19" s="363"/>
      <c r="DF19" s="363"/>
      <c r="DG19" s="363"/>
      <c r="DH19" s="363"/>
      <c r="DI19" s="363"/>
      <c r="DJ19" s="363"/>
      <c r="DK19" s="363"/>
      <c r="DL19" s="363"/>
      <c r="DM19" s="363"/>
      <c r="DN19" s="363"/>
      <c r="DO19" s="363"/>
      <c r="DP19" s="363"/>
      <c r="DQ19" s="363"/>
      <c r="DR19" s="363"/>
      <c r="DS19" s="363"/>
      <c r="DT19" s="363"/>
      <c r="DU19" s="363"/>
      <c r="DV19" s="363"/>
      <c r="DX19" s="1"/>
      <c r="DY19" s="1"/>
      <c r="DZ19" s="1"/>
      <c r="EA19" s="1"/>
      <c r="EB19" s="1"/>
    </row>
    <row r="20" spans="6:134" s="9" customFormat="1" ht="18" customHeight="1" thickBot="1">
      <c r="G20" s="24"/>
      <c r="H20" s="24"/>
      <c r="L20" s="46"/>
      <c r="M20" s="8"/>
      <c r="N20" s="8"/>
      <c r="O20" s="8"/>
      <c r="P20" s="14"/>
      <c r="Q20" s="8"/>
      <c r="R20" s="8"/>
      <c r="S20" s="209"/>
      <c r="T20" s="199"/>
      <c r="U20" s="199"/>
      <c r="V20" s="199"/>
      <c r="W20" s="199"/>
      <c r="X20" s="199"/>
      <c r="Y20" s="210"/>
      <c r="Z20" s="199"/>
      <c r="AA20" s="199"/>
      <c r="AB20" s="199"/>
      <c r="AC20" s="199"/>
      <c r="AD20" s="199"/>
      <c r="AE20" s="199"/>
      <c r="AF20" s="199"/>
      <c r="AG20" s="19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199"/>
      <c r="BP20" s="199"/>
      <c r="BQ20" s="199"/>
      <c r="BR20" s="199"/>
      <c r="BS20" s="199"/>
      <c r="BT20" s="199"/>
      <c r="BU20" s="199"/>
      <c r="BV20" s="199"/>
      <c r="BW20" s="199"/>
      <c r="BX20" s="199"/>
      <c r="BY20" s="199"/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  <c r="CS20" s="199"/>
      <c r="CT20" s="199"/>
      <c r="CU20" s="199"/>
      <c r="CV20" s="199"/>
      <c r="CW20" s="199"/>
      <c r="CX20" s="199"/>
      <c r="CY20" s="199"/>
      <c r="CZ20" s="199"/>
      <c r="DA20" s="199"/>
      <c r="DB20" s="199"/>
      <c r="DC20" s="199"/>
      <c r="DD20" s="199"/>
      <c r="DE20" s="199"/>
      <c r="DF20" s="199"/>
      <c r="DG20" s="199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199"/>
      <c r="DU20" s="199"/>
      <c r="DV20" s="199"/>
      <c r="DX20" s="1"/>
      <c r="DY20" s="1"/>
      <c r="DZ20" s="1"/>
      <c r="EA20" s="1"/>
      <c r="EB20" s="1"/>
    </row>
    <row r="21" spans="6:134" s="5" customFormat="1" ht="12.95" customHeight="1">
      <c r="G21" s="25"/>
      <c r="H21" s="25"/>
      <c r="J21" s="9"/>
      <c r="L21" s="323" t="s">
        <v>3</v>
      </c>
      <c r="M21" s="324"/>
      <c r="N21" s="327" t="s">
        <v>2</v>
      </c>
      <c r="O21" s="324" t="s">
        <v>0</v>
      </c>
      <c r="P21" s="327" t="s">
        <v>5</v>
      </c>
      <c r="Q21" s="332" t="s">
        <v>4</v>
      </c>
      <c r="R21" s="329" t="s">
        <v>280</v>
      </c>
      <c r="S21" s="211" t="s">
        <v>134</v>
      </c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1"/>
      <c r="BR21" s="211"/>
      <c r="BS21" s="211"/>
      <c r="BT21" s="211"/>
      <c r="BU21" s="211"/>
      <c r="BV21" s="211"/>
      <c r="BW21" s="211"/>
      <c r="BX21" s="211"/>
      <c r="BY21" s="211"/>
      <c r="BZ21" s="211"/>
      <c r="CA21" s="211"/>
      <c r="CB21" s="211"/>
      <c r="CC21" s="211"/>
      <c r="CD21" s="211"/>
      <c r="CE21" s="211"/>
      <c r="CF21" s="211"/>
      <c r="CG21" s="211"/>
      <c r="CH21" s="211"/>
      <c r="CI21" s="211"/>
      <c r="CJ21" s="211"/>
      <c r="CK21" s="211"/>
      <c r="CL21" s="211"/>
      <c r="CM21" s="211"/>
      <c r="CN21" s="211"/>
      <c r="CO21" s="211"/>
      <c r="CP21" s="211"/>
      <c r="CQ21" s="211"/>
      <c r="CR21" s="211"/>
      <c r="CS21" s="211"/>
      <c r="CT21" s="211"/>
      <c r="CU21" s="211"/>
      <c r="CV21" s="211"/>
      <c r="CW21" s="211"/>
      <c r="CX21" s="211"/>
      <c r="CY21" s="211"/>
      <c r="CZ21" s="211"/>
      <c r="DA21" s="211"/>
      <c r="DB21" s="211"/>
      <c r="DC21" s="211"/>
      <c r="DD21" s="211"/>
      <c r="DE21" s="211"/>
      <c r="DF21" s="211"/>
      <c r="DG21" s="211"/>
      <c r="DH21" s="211"/>
      <c r="DI21" s="211"/>
      <c r="DJ21" s="211"/>
      <c r="DK21" s="211"/>
      <c r="DL21" s="211"/>
      <c r="DM21" s="211"/>
      <c r="DN21" s="211"/>
      <c r="DO21" s="211"/>
      <c r="DP21" s="211"/>
      <c r="DQ21" s="211"/>
      <c r="DR21" s="211"/>
      <c r="DS21" s="211"/>
      <c r="DT21" s="211"/>
      <c r="DU21" s="211"/>
      <c r="DV21" s="212"/>
      <c r="DX21" s="1"/>
      <c r="DY21" s="1"/>
      <c r="DZ21" s="1"/>
      <c r="EA21" s="1"/>
      <c r="EB21" s="1"/>
    </row>
    <row r="22" spans="6:134" s="5" customFormat="1" ht="12.95" customHeight="1">
      <c r="G22" s="25"/>
      <c r="H22" s="25"/>
      <c r="L22" s="325"/>
      <c r="M22" s="326"/>
      <c r="N22" s="328"/>
      <c r="O22" s="326"/>
      <c r="P22" s="328"/>
      <c r="Q22" s="333"/>
      <c r="R22" s="330"/>
      <c r="S22" s="189" t="s">
        <v>103</v>
      </c>
      <c r="T22" s="190"/>
      <c r="U22" s="191"/>
      <c r="V22" s="192" t="s">
        <v>104</v>
      </c>
      <c r="W22" s="190"/>
      <c r="X22" s="193"/>
      <c r="Y22" s="192" t="s">
        <v>105</v>
      </c>
      <c r="Z22" s="190"/>
      <c r="AA22" s="193"/>
      <c r="AB22" s="192" t="s">
        <v>106</v>
      </c>
      <c r="AC22" s="190"/>
      <c r="AD22" s="193"/>
      <c r="AE22" s="192" t="s">
        <v>107</v>
      </c>
      <c r="AF22" s="190"/>
      <c r="AG22" s="193"/>
      <c r="AH22" s="192" t="s">
        <v>108</v>
      </c>
      <c r="AI22" s="190"/>
      <c r="AJ22" s="193"/>
      <c r="AK22" s="192" t="s">
        <v>109</v>
      </c>
      <c r="AL22" s="190"/>
      <c r="AM22" s="193"/>
      <c r="AN22" s="192" t="s">
        <v>110</v>
      </c>
      <c r="AO22" s="190"/>
      <c r="AP22" s="193"/>
      <c r="AQ22" s="192" t="s">
        <v>111</v>
      </c>
      <c r="AR22" s="190"/>
      <c r="AS22" s="193"/>
      <c r="AT22" s="192" t="s">
        <v>112</v>
      </c>
      <c r="AU22" s="190"/>
      <c r="AV22" s="193"/>
      <c r="AW22" s="192" t="s">
        <v>113</v>
      </c>
      <c r="AX22" s="190"/>
      <c r="AY22" s="193"/>
      <c r="AZ22" s="192" t="s">
        <v>114</v>
      </c>
      <c r="BA22" s="190"/>
      <c r="BB22" s="193"/>
      <c r="BC22" s="192" t="s">
        <v>115</v>
      </c>
      <c r="BD22" s="190"/>
      <c r="BE22" s="193"/>
      <c r="BF22" s="192" t="s">
        <v>116</v>
      </c>
      <c r="BG22" s="190"/>
      <c r="BH22" s="193"/>
      <c r="BI22" s="192" t="s">
        <v>117</v>
      </c>
      <c r="BJ22" s="190"/>
      <c r="BK22" s="193"/>
      <c r="BL22" s="192" t="s">
        <v>118</v>
      </c>
      <c r="BM22" s="190"/>
      <c r="BN22" s="193"/>
      <c r="BO22" s="192" t="s">
        <v>119</v>
      </c>
      <c r="BP22" s="190"/>
      <c r="BQ22" s="191"/>
      <c r="BR22" s="192" t="s">
        <v>120</v>
      </c>
      <c r="BS22" s="190"/>
      <c r="BT22" s="193"/>
      <c r="BU22" s="189" t="s">
        <v>121</v>
      </c>
      <c r="BV22" s="190"/>
      <c r="BW22" s="193"/>
      <c r="BX22" s="192" t="s">
        <v>122</v>
      </c>
      <c r="BY22" s="190"/>
      <c r="BZ22" s="193"/>
      <c r="CA22" s="192" t="s">
        <v>123</v>
      </c>
      <c r="CB22" s="190"/>
      <c r="CC22" s="193"/>
      <c r="CD22" s="192" t="s">
        <v>124</v>
      </c>
      <c r="CE22" s="190"/>
      <c r="CF22" s="193"/>
      <c r="CG22" s="192" t="s">
        <v>125</v>
      </c>
      <c r="CH22" s="190"/>
      <c r="CI22" s="193"/>
      <c r="CJ22" s="192" t="s">
        <v>126</v>
      </c>
      <c r="CK22" s="190"/>
      <c r="CL22" s="193"/>
      <c r="CM22" s="192" t="s">
        <v>127</v>
      </c>
      <c r="CN22" s="190"/>
      <c r="CO22" s="193"/>
      <c r="CP22" s="192" t="s">
        <v>128</v>
      </c>
      <c r="CQ22" s="190"/>
      <c r="CR22" s="193"/>
      <c r="CS22" s="192" t="s">
        <v>129</v>
      </c>
      <c r="CT22" s="190"/>
      <c r="CU22" s="193"/>
      <c r="CV22" s="192" t="s">
        <v>130</v>
      </c>
      <c r="CW22" s="190"/>
      <c r="CX22" s="193"/>
      <c r="CY22" s="192" t="s">
        <v>131</v>
      </c>
      <c r="CZ22" s="190"/>
      <c r="DA22" s="193"/>
      <c r="DB22" s="192" t="s">
        <v>132</v>
      </c>
      <c r="DC22" s="190"/>
      <c r="DD22" s="193"/>
      <c r="DE22" s="192" t="s">
        <v>133</v>
      </c>
      <c r="DF22" s="190"/>
      <c r="DG22" s="193"/>
      <c r="DH22" s="192" t="s">
        <v>285</v>
      </c>
      <c r="DI22" s="190"/>
      <c r="DJ22" s="193"/>
      <c r="DK22" s="192" t="s">
        <v>286</v>
      </c>
      <c r="DL22" s="190"/>
      <c r="DM22" s="193"/>
      <c r="DN22" s="192" t="s">
        <v>287</v>
      </c>
      <c r="DO22" s="190"/>
      <c r="DP22" s="193"/>
      <c r="DQ22" s="192" t="s">
        <v>288</v>
      </c>
      <c r="DR22" s="190"/>
      <c r="DS22" s="193"/>
      <c r="DT22" s="192" t="s">
        <v>289</v>
      </c>
      <c r="DU22" s="190"/>
      <c r="DV22" s="202"/>
      <c r="DX22" s="1"/>
      <c r="DY22" s="1"/>
      <c r="DZ22" s="1"/>
      <c r="EA22" s="1"/>
      <c r="EB22" s="1"/>
      <c r="EC22" s="356"/>
      <c r="ED22" s="356"/>
    </row>
    <row r="23" spans="6:134" s="5" customFormat="1" ht="12.95" customHeight="1" thickBot="1">
      <c r="G23" s="25"/>
      <c r="H23" s="25"/>
      <c r="L23" s="325"/>
      <c r="M23" s="326"/>
      <c r="N23" s="328"/>
      <c r="O23" s="326"/>
      <c r="P23" s="328"/>
      <c r="Q23" s="333"/>
      <c r="R23" s="331"/>
      <c r="S23" s="48">
        <v>10</v>
      </c>
      <c r="T23" s="49">
        <v>20</v>
      </c>
      <c r="U23" s="50">
        <v>30</v>
      </c>
      <c r="V23" s="51">
        <v>10</v>
      </c>
      <c r="W23" s="49">
        <v>20</v>
      </c>
      <c r="X23" s="52">
        <v>28</v>
      </c>
      <c r="Y23" s="51">
        <v>10</v>
      </c>
      <c r="Z23" s="49">
        <v>20</v>
      </c>
      <c r="AA23" s="52">
        <v>30</v>
      </c>
      <c r="AB23" s="51">
        <v>10</v>
      </c>
      <c r="AC23" s="49">
        <v>20</v>
      </c>
      <c r="AD23" s="52">
        <v>30</v>
      </c>
      <c r="AE23" s="51">
        <v>10</v>
      </c>
      <c r="AF23" s="49">
        <v>20</v>
      </c>
      <c r="AG23" s="52">
        <v>30</v>
      </c>
      <c r="AH23" s="51">
        <v>10</v>
      </c>
      <c r="AI23" s="49">
        <v>20</v>
      </c>
      <c r="AJ23" s="52">
        <v>30</v>
      </c>
      <c r="AK23" s="51">
        <v>10</v>
      </c>
      <c r="AL23" s="49">
        <v>20</v>
      </c>
      <c r="AM23" s="52">
        <v>30</v>
      </c>
      <c r="AN23" s="51">
        <v>10</v>
      </c>
      <c r="AO23" s="49">
        <v>20</v>
      </c>
      <c r="AP23" s="52">
        <v>30</v>
      </c>
      <c r="AQ23" s="51">
        <v>10</v>
      </c>
      <c r="AR23" s="49">
        <v>20</v>
      </c>
      <c r="AS23" s="52">
        <v>30</v>
      </c>
      <c r="AT23" s="51">
        <v>10</v>
      </c>
      <c r="AU23" s="49">
        <v>20</v>
      </c>
      <c r="AV23" s="52">
        <v>30</v>
      </c>
      <c r="AW23" s="51">
        <v>10</v>
      </c>
      <c r="AX23" s="49">
        <v>20</v>
      </c>
      <c r="AY23" s="52">
        <v>30</v>
      </c>
      <c r="AZ23" s="51">
        <v>10</v>
      </c>
      <c r="BA23" s="49">
        <v>20</v>
      </c>
      <c r="BB23" s="52">
        <v>30</v>
      </c>
      <c r="BC23" s="51">
        <v>10</v>
      </c>
      <c r="BD23" s="49">
        <v>20</v>
      </c>
      <c r="BE23" s="52">
        <v>30</v>
      </c>
      <c r="BF23" s="51">
        <v>10</v>
      </c>
      <c r="BG23" s="49">
        <v>20</v>
      </c>
      <c r="BH23" s="52">
        <v>30</v>
      </c>
      <c r="BI23" s="51">
        <v>10</v>
      </c>
      <c r="BJ23" s="49">
        <v>20</v>
      </c>
      <c r="BK23" s="52">
        <v>30</v>
      </c>
      <c r="BL23" s="51">
        <v>10</v>
      </c>
      <c r="BM23" s="49">
        <v>20</v>
      </c>
      <c r="BN23" s="52">
        <v>30</v>
      </c>
      <c r="BO23" s="51">
        <v>10</v>
      </c>
      <c r="BP23" s="49">
        <v>20</v>
      </c>
      <c r="BQ23" s="52">
        <v>30</v>
      </c>
      <c r="BR23" s="51">
        <v>10</v>
      </c>
      <c r="BS23" s="49">
        <v>20</v>
      </c>
      <c r="BT23" s="52">
        <v>30</v>
      </c>
      <c r="BU23" s="51">
        <v>10</v>
      </c>
      <c r="BV23" s="49">
        <v>20</v>
      </c>
      <c r="BW23" s="52">
        <v>30</v>
      </c>
      <c r="BX23" s="51">
        <v>10</v>
      </c>
      <c r="BY23" s="49">
        <v>20</v>
      </c>
      <c r="BZ23" s="52">
        <v>30</v>
      </c>
      <c r="CA23" s="51">
        <v>10</v>
      </c>
      <c r="CB23" s="49">
        <v>20</v>
      </c>
      <c r="CC23" s="52">
        <v>30</v>
      </c>
      <c r="CD23" s="51">
        <v>10</v>
      </c>
      <c r="CE23" s="49">
        <v>20</v>
      </c>
      <c r="CF23" s="52">
        <v>30</v>
      </c>
      <c r="CG23" s="51">
        <v>10</v>
      </c>
      <c r="CH23" s="49">
        <v>20</v>
      </c>
      <c r="CI23" s="52">
        <v>30</v>
      </c>
      <c r="CJ23" s="51">
        <v>10</v>
      </c>
      <c r="CK23" s="49">
        <v>20</v>
      </c>
      <c r="CL23" s="52">
        <v>30</v>
      </c>
      <c r="CM23" s="51">
        <v>10</v>
      </c>
      <c r="CN23" s="49">
        <v>20</v>
      </c>
      <c r="CO23" s="52">
        <v>30</v>
      </c>
      <c r="CP23" s="51">
        <v>10</v>
      </c>
      <c r="CQ23" s="49">
        <v>20</v>
      </c>
      <c r="CR23" s="52">
        <v>30</v>
      </c>
      <c r="CS23" s="51">
        <v>10</v>
      </c>
      <c r="CT23" s="49">
        <v>20</v>
      </c>
      <c r="CU23" s="52">
        <v>30</v>
      </c>
      <c r="CV23" s="51">
        <v>10</v>
      </c>
      <c r="CW23" s="49">
        <v>20</v>
      </c>
      <c r="CX23" s="52">
        <v>30</v>
      </c>
      <c r="CY23" s="51">
        <v>10</v>
      </c>
      <c r="CZ23" s="49">
        <v>20</v>
      </c>
      <c r="DA23" s="52">
        <v>30</v>
      </c>
      <c r="DB23" s="51">
        <v>10</v>
      </c>
      <c r="DC23" s="49">
        <v>20</v>
      </c>
      <c r="DD23" s="52">
        <v>30</v>
      </c>
      <c r="DE23" s="51">
        <v>10</v>
      </c>
      <c r="DF23" s="49">
        <v>20</v>
      </c>
      <c r="DG23" s="52">
        <v>30</v>
      </c>
      <c r="DH23" s="51">
        <v>10</v>
      </c>
      <c r="DI23" s="49">
        <v>20</v>
      </c>
      <c r="DJ23" s="52">
        <v>30</v>
      </c>
      <c r="DK23" s="51">
        <v>10</v>
      </c>
      <c r="DL23" s="49">
        <v>20</v>
      </c>
      <c r="DM23" s="52">
        <v>30</v>
      </c>
      <c r="DN23" s="51">
        <v>10</v>
      </c>
      <c r="DO23" s="49">
        <v>20</v>
      </c>
      <c r="DP23" s="52">
        <v>30</v>
      </c>
      <c r="DQ23" s="51">
        <v>10</v>
      </c>
      <c r="DR23" s="49">
        <v>20</v>
      </c>
      <c r="DS23" s="52">
        <v>30</v>
      </c>
      <c r="DT23" s="48">
        <v>10</v>
      </c>
      <c r="DU23" s="49">
        <v>20</v>
      </c>
      <c r="DV23" s="53">
        <v>30</v>
      </c>
      <c r="DX23" s="1"/>
      <c r="DY23" s="1"/>
      <c r="DZ23" s="1"/>
      <c r="EA23" s="1"/>
      <c r="EB23" s="1"/>
      <c r="EC23" s="356"/>
      <c r="ED23" s="356"/>
    </row>
    <row r="24" spans="6:134" s="5" customFormat="1" ht="11.25" customHeight="1">
      <c r="G24" s="25"/>
      <c r="H24" s="25"/>
      <c r="L24" s="323" t="s">
        <v>173</v>
      </c>
      <c r="M24" s="324"/>
      <c r="N24" s="378"/>
      <c r="O24" s="382">
        <f>P26+P64+P94+P108+P134+P160+P178+P186+P196+P208+P222</f>
        <v>152011077</v>
      </c>
      <c r="P24" s="383"/>
      <c r="Q24" s="375">
        <f>TRUNC(Q26+Q64+Q94+Q108+Q134+Q160+Q178+Q186+Q196+Q208+Q222,5)</f>
        <v>0.73012999999999995</v>
      </c>
      <c r="R24" s="375">
        <f>ROUND(R26+R64+R94+R108+R134+R160+R178+R186+R196+R208+R222,5)</f>
        <v>0</v>
      </c>
      <c r="S24" s="371">
        <f>ROUND(S26+S64+S94+S108+S134+S160+S178+S186+S196+S208+S222,5)</f>
        <v>1.4E-3</v>
      </c>
      <c r="T24" s="152"/>
      <c r="U24" s="152"/>
      <c r="V24" s="151">
        <f>ROUND(V26+V64+V94+V108+V134+V160+V178+V186+V196+V208+V222,5)</f>
        <v>1.9499999999999999E-3</v>
      </c>
      <c r="W24" s="152"/>
      <c r="X24" s="153"/>
      <c r="Y24" s="151">
        <f>ROUND(Y26+Y64+Y94+Y108+Y134+Y160+Y178+Y186+Y196+Y208+Y222,5)</f>
        <v>2.2100000000000002E-3</v>
      </c>
      <c r="Z24" s="152"/>
      <c r="AA24" s="153"/>
      <c r="AB24" s="151">
        <f>ROUND(AB26+AB64+AB94+AB108+AB134+AB160+AB178+AB186+AB196+AB208+AB222,5)</f>
        <v>3.5500000000000002E-3</v>
      </c>
      <c r="AC24" s="152"/>
      <c r="AD24" s="153"/>
      <c r="AE24" s="151">
        <f>ROUND(AE26+AE64+AE94+AE108+AE134+AE160+AE178+AE186+AE196+AE208+AE222,5)</f>
        <v>4.7800000000000004E-3</v>
      </c>
      <c r="AF24" s="152"/>
      <c r="AG24" s="153"/>
      <c r="AH24" s="151">
        <f>ROUND(AH26+AH64+AH94+AH108+AH134+AH160+AH178+AH186+AH196+AH208+AH222,5)</f>
        <v>6.9300000000000004E-3</v>
      </c>
      <c r="AI24" s="152"/>
      <c r="AJ24" s="153"/>
      <c r="AK24" s="151">
        <f>ROUND(AK26+AK64+AK94+AK108+AK134+AK160+AK178+AK186+AK196+AK208+AK222,5)</f>
        <v>5.8700000000000002E-3</v>
      </c>
      <c r="AL24" s="152"/>
      <c r="AM24" s="153"/>
      <c r="AN24" s="151">
        <f>ROUND(AN26+AN64+AN94+AN108+AN134+AN160+AN178+AN186+AN196+AN208+AN222,5)</f>
        <v>8.0999999999999996E-3</v>
      </c>
      <c r="AO24" s="152"/>
      <c r="AP24" s="153"/>
      <c r="AQ24" s="151">
        <f>ROUND(AQ26+AQ64+AQ94+AQ108+AQ134+AQ160+AQ178+AQ186+AQ196+AQ208+AQ222,5)</f>
        <v>9.1800000000000007E-3</v>
      </c>
      <c r="AR24" s="152"/>
      <c r="AS24" s="153"/>
      <c r="AT24" s="151">
        <f>ROUND(AT26+AT64+AT94+AT108+AT134+AT160+AT178+AT186+AT196+AT208+AT222,5)</f>
        <v>4.4830000000000002E-2</v>
      </c>
      <c r="AU24" s="152"/>
      <c r="AV24" s="153"/>
      <c r="AW24" s="151">
        <f>ROUND(AW26+AW64+AW94+AW108+AW134+AW160+AW178+AW186+AW196+AW208+AW222,5)</f>
        <v>4.5159999999999999E-2</v>
      </c>
      <c r="AX24" s="152"/>
      <c r="AY24" s="153"/>
      <c r="AZ24" s="151">
        <f>ROUND(AZ26+AZ64+AZ94+AZ108+AZ134+AZ160+AZ178+AZ186+AZ196+AZ208+AZ222,5)</f>
        <v>4.394E-2</v>
      </c>
      <c r="BA24" s="152"/>
      <c r="BB24" s="153"/>
      <c r="BC24" s="151">
        <f>ROUND(BC26+BC64+BC94+BC108+BC134+BC160+BC178+BC186+BC196+BC208+BC222,5)</f>
        <v>3.8809999999999997E-2</v>
      </c>
      <c r="BD24" s="152"/>
      <c r="BE24" s="153"/>
      <c r="BF24" s="151">
        <f>ROUND(BF26+BF64+BF94+BF108+BF134+BF160+BF178+BF186+BF196+BF208+BF222,5)</f>
        <v>3.9489999999999997E-2</v>
      </c>
      <c r="BG24" s="152"/>
      <c r="BH24" s="153"/>
      <c r="BI24" s="151">
        <f>ROUND(BI26+BI64+BI94+BI108+BI134+BI160+BI178+BI186+BI196+BI208+BI222,5)</f>
        <v>3.8420000000000003E-2</v>
      </c>
      <c r="BJ24" s="152"/>
      <c r="BK24" s="153"/>
      <c r="BL24" s="151">
        <f>ROUND(BL26+BL64+BL94+BL108+BL134+BL160+BL178+BL186+BL196+BL208+BL222,5)</f>
        <v>3.5580000000000001E-2</v>
      </c>
      <c r="BM24" s="152"/>
      <c r="BN24" s="153"/>
      <c r="BO24" s="151">
        <f>ROUND(BO26+BO64+BO94+BO108+BO134+BO160+BO178+BO186+BO196+BO208+BO222,5)</f>
        <v>3.5979999999999998E-2</v>
      </c>
      <c r="BP24" s="152"/>
      <c r="BQ24" s="152"/>
      <c r="BR24" s="172">
        <f>ROUND(BR26+BR64+BR94+BR108+BR134+BR160+BR178+BR186+BR196+BR208+BR222,5)</f>
        <v>3.6159999999999998E-2</v>
      </c>
      <c r="BS24" s="152"/>
      <c r="BT24" s="173"/>
      <c r="BU24" s="152">
        <f>ROUND(BU26+BU64+BU94+BU108+BU134+BU160+BU178+BU186+BU196+BU208+BU222,5)</f>
        <v>3.2899999999999999E-2</v>
      </c>
      <c r="BV24" s="152"/>
      <c r="BW24" s="153"/>
      <c r="BX24" s="151">
        <f>ROUND(BX26+BX64+BX94+BX108+BX134+BX160+BX178+BX186+BX196+BX208+BX222,5)</f>
        <v>3.3599999999999998E-2</v>
      </c>
      <c r="BY24" s="152"/>
      <c r="BZ24" s="153"/>
      <c r="CA24" s="151">
        <f>ROUND(CA26+CA64+CA94+CA108+CA134+CA160+CA178+CA186+CA196+CA208+CA222,5)</f>
        <v>2.862E-2</v>
      </c>
      <c r="CB24" s="152"/>
      <c r="CC24" s="153"/>
      <c r="CD24" s="151">
        <f>ROUND(CD26+CD64+CD94+CD108+CD134+CD160+CD178+CD186+CD196+CD208+CD222,5)</f>
        <v>2.9260000000000001E-2</v>
      </c>
      <c r="CE24" s="152"/>
      <c r="CF24" s="153"/>
      <c r="CG24" s="151">
        <f>ROUND(CG26+CG64+CG94+CG108+CG134+CG160+CG178+CG186+CG196+CG208+CG222,5)</f>
        <v>2.869E-2</v>
      </c>
      <c r="CH24" s="152"/>
      <c r="CI24" s="153"/>
      <c r="CJ24" s="151">
        <f>ROUND(CJ26+CJ64+CJ94+CJ108+CJ134+CJ160+CJ178+CJ186+CJ196+CJ208+CJ222,5)</f>
        <v>2.3390000000000001E-2</v>
      </c>
      <c r="CK24" s="152"/>
      <c r="CL24" s="153"/>
      <c r="CM24" s="151">
        <f>ROUND(CM26+CM64+CM94+CM108+CM134+CM160+CM178+CM186+CM196+CM208+CM222,5)</f>
        <v>2.146E-2</v>
      </c>
      <c r="CN24" s="152"/>
      <c r="CO24" s="153"/>
      <c r="CP24" s="151">
        <f>ROUND(CP26+CP64+CP94+CP108+CP134+CP160+CP178+CP186+CP196+CP208+CP222,5)</f>
        <v>1.67E-2</v>
      </c>
      <c r="CQ24" s="152"/>
      <c r="CR24" s="153"/>
      <c r="CS24" s="151">
        <f>ROUND(CS26+CS64+CS94+CS108+CS134+CS160+CS178+CS186+CS196+CS208+CS222,5)</f>
        <v>1.796E-2</v>
      </c>
      <c r="CT24" s="152"/>
      <c r="CU24" s="153"/>
      <c r="CV24" s="151">
        <f>ROUND(CV26+CV64+CV94+CV108+CV134+CV160+CV178+CV186+CV196+CV208+CV222,5)</f>
        <v>1.8509999999999999E-2</v>
      </c>
      <c r="CW24" s="152"/>
      <c r="CX24" s="153"/>
      <c r="CY24" s="151">
        <f>ROUND(CY26+CY64+CY94+CY108+CY134+CY160+CY178+CY186+CY196+CY208+CY222,5)</f>
        <v>1.264E-2</v>
      </c>
      <c r="CZ24" s="152"/>
      <c r="DA24" s="153"/>
      <c r="DB24" s="151">
        <f>ROUND(DB26+DB64+DB94+DB108+DB134+DB160+DB178+DB186+DB196+DB208+DB222,5)</f>
        <v>1.051E-2</v>
      </c>
      <c r="DC24" s="152"/>
      <c r="DD24" s="153"/>
      <c r="DE24" s="151">
        <f>ROUND(DE26+DE64+DE94+DE108+DE134+DE160+DE178+DE186+DE196+DE208+DE222,5)</f>
        <v>1.2930000000000001E-2</v>
      </c>
      <c r="DF24" s="152"/>
      <c r="DG24" s="153"/>
      <c r="DH24" s="151">
        <f>ROUND(DH26+DH64+DH94+DH108+DH134+DH160+DH178+DH186+DH196+DH208+DH222,5)</f>
        <v>1.243E-2</v>
      </c>
      <c r="DI24" s="152"/>
      <c r="DJ24" s="153"/>
      <c r="DK24" s="151">
        <f>ROUND(DK26+DK64+DK94+DK108+DK134+DK160+DK178+DK186+DK196+DK208+DK222,5)</f>
        <v>1.435E-2</v>
      </c>
      <c r="DL24" s="152"/>
      <c r="DM24" s="153"/>
      <c r="DN24" s="151">
        <f>ROUND(DN26+DN64+DN94+DN108+DN134+DN160+DN178+DN186+DN196+DN208+DN222,5)</f>
        <v>1.0619999999999999E-2</v>
      </c>
      <c r="DO24" s="152"/>
      <c r="DP24" s="153"/>
      <c r="DQ24" s="151">
        <f>ROUND(DQ26+DQ64+DQ94+DQ108+DQ134+DQ160+DQ178+DQ186+DQ196+DQ208+DQ222,5)</f>
        <v>1.2800000000000001E-3</v>
      </c>
      <c r="DR24" s="152"/>
      <c r="DS24" s="153"/>
      <c r="DT24" s="151">
        <f>ROUND(DT26+DT64+DT94+DT108+DT134+DT160+DT178+DT186+DT196+DT208+DT222,5)</f>
        <v>1.9300000000000001E-3</v>
      </c>
      <c r="DU24" s="152"/>
      <c r="DV24" s="157"/>
      <c r="DX24" s="145">
        <f>SUM(R24:DV24)</f>
        <v>0.73011999999999999</v>
      </c>
      <c r="DY24" s="145">
        <f>SUM(DY26,DY64,DY94,DY108,DY134,DY160,DY178,DY186,DY196,DY208,DY222)</f>
        <v>0.73013117000000016</v>
      </c>
      <c r="DZ24" s="1"/>
      <c r="EA24" s="1"/>
      <c r="EB24" s="1"/>
      <c r="EC24" s="54"/>
      <c r="ED24" s="54"/>
    </row>
    <row r="25" spans="6:134" s="5" customFormat="1" ht="11.25" customHeight="1" thickBot="1">
      <c r="G25" s="25"/>
      <c r="H25" s="25"/>
      <c r="L25" s="379"/>
      <c r="M25" s="380"/>
      <c r="N25" s="381"/>
      <c r="O25" s="384"/>
      <c r="P25" s="385"/>
      <c r="Q25" s="377"/>
      <c r="R25" s="376"/>
      <c r="S25" s="372"/>
      <c r="T25" s="155"/>
      <c r="U25" s="155"/>
      <c r="V25" s="154"/>
      <c r="W25" s="155"/>
      <c r="X25" s="156"/>
      <c r="Y25" s="154"/>
      <c r="Z25" s="155"/>
      <c r="AA25" s="156"/>
      <c r="AB25" s="154"/>
      <c r="AC25" s="155"/>
      <c r="AD25" s="156"/>
      <c r="AE25" s="154"/>
      <c r="AF25" s="155"/>
      <c r="AG25" s="156"/>
      <c r="AH25" s="154"/>
      <c r="AI25" s="155"/>
      <c r="AJ25" s="156"/>
      <c r="AK25" s="154"/>
      <c r="AL25" s="155"/>
      <c r="AM25" s="156"/>
      <c r="AN25" s="154"/>
      <c r="AO25" s="155"/>
      <c r="AP25" s="156"/>
      <c r="AQ25" s="154"/>
      <c r="AR25" s="155"/>
      <c r="AS25" s="156"/>
      <c r="AT25" s="154"/>
      <c r="AU25" s="155"/>
      <c r="AV25" s="156"/>
      <c r="AW25" s="154"/>
      <c r="AX25" s="155"/>
      <c r="AY25" s="156"/>
      <c r="AZ25" s="154"/>
      <c r="BA25" s="155"/>
      <c r="BB25" s="156"/>
      <c r="BC25" s="154"/>
      <c r="BD25" s="155"/>
      <c r="BE25" s="156"/>
      <c r="BF25" s="154"/>
      <c r="BG25" s="155"/>
      <c r="BH25" s="156"/>
      <c r="BI25" s="154"/>
      <c r="BJ25" s="155"/>
      <c r="BK25" s="156"/>
      <c r="BL25" s="154"/>
      <c r="BM25" s="155"/>
      <c r="BN25" s="156"/>
      <c r="BO25" s="154"/>
      <c r="BP25" s="155"/>
      <c r="BQ25" s="155"/>
      <c r="BR25" s="174"/>
      <c r="BS25" s="155"/>
      <c r="BT25" s="175"/>
      <c r="BU25" s="155"/>
      <c r="BV25" s="155"/>
      <c r="BW25" s="156"/>
      <c r="BX25" s="154"/>
      <c r="BY25" s="155"/>
      <c r="BZ25" s="156"/>
      <c r="CA25" s="154"/>
      <c r="CB25" s="155"/>
      <c r="CC25" s="156"/>
      <c r="CD25" s="154"/>
      <c r="CE25" s="155"/>
      <c r="CF25" s="156"/>
      <c r="CG25" s="154"/>
      <c r="CH25" s="155"/>
      <c r="CI25" s="156"/>
      <c r="CJ25" s="154"/>
      <c r="CK25" s="155"/>
      <c r="CL25" s="156"/>
      <c r="CM25" s="154"/>
      <c r="CN25" s="155"/>
      <c r="CO25" s="156"/>
      <c r="CP25" s="154"/>
      <c r="CQ25" s="155"/>
      <c r="CR25" s="156"/>
      <c r="CS25" s="154"/>
      <c r="CT25" s="155"/>
      <c r="CU25" s="156"/>
      <c r="CV25" s="154"/>
      <c r="CW25" s="155"/>
      <c r="CX25" s="156"/>
      <c r="CY25" s="154"/>
      <c r="CZ25" s="155"/>
      <c r="DA25" s="156"/>
      <c r="DB25" s="154"/>
      <c r="DC25" s="155"/>
      <c r="DD25" s="156"/>
      <c r="DE25" s="154"/>
      <c r="DF25" s="155"/>
      <c r="DG25" s="156"/>
      <c r="DH25" s="154"/>
      <c r="DI25" s="155"/>
      <c r="DJ25" s="156"/>
      <c r="DK25" s="154"/>
      <c r="DL25" s="155"/>
      <c r="DM25" s="156"/>
      <c r="DN25" s="154"/>
      <c r="DO25" s="155"/>
      <c r="DP25" s="156"/>
      <c r="DQ25" s="154"/>
      <c r="DR25" s="155"/>
      <c r="DS25" s="156"/>
      <c r="DT25" s="154"/>
      <c r="DU25" s="155"/>
      <c r="DV25" s="158"/>
      <c r="DX25" s="145"/>
      <c r="DY25" s="145"/>
      <c r="DZ25" s="1"/>
      <c r="EA25" s="1"/>
      <c r="EB25" s="1"/>
      <c r="EC25" s="54"/>
      <c r="ED25" s="54"/>
    </row>
    <row r="26" spans="6:134" s="6" customFormat="1" ht="9.9499999999999993" customHeight="1">
      <c r="F26" s="141">
        <f>DX26</f>
        <v>0.50109999999999999</v>
      </c>
      <c r="G26" s="142">
        <f>Q26-F26</f>
        <v>0</v>
      </c>
      <c r="H26" s="27">
        <v>1</v>
      </c>
      <c r="L26" s="224" t="s">
        <v>6</v>
      </c>
      <c r="M26" s="225"/>
      <c r="N26" s="225"/>
      <c r="O26" s="226"/>
      <c r="P26" s="187">
        <f>SUM(P28:P63)</f>
        <v>104325081</v>
      </c>
      <c r="Q26" s="185">
        <f>ROUND(SUM(Q28:Q63),5)</f>
        <v>0.50109999999999999</v>
      </c>
      <c r="R26" s="283">
        <f>ROUND(SUM(R28:R63),5)</f>
        <v>0</v>
      </c>
      <c r="S26" s="194">
        <f>ROUND(SUM(S28:U63),5)</f>
        <v>3.1E-4</v>
      </c>
      <c r="T26" s="194"/>
      <c r="U26" s="195"/>
      <c r="V26" s="194">
        <f>ROUND(SUM(V28:X63),5)</f>
        <v>1.41E-3</v>
      </c>
      <c r="W26" s="194"/>
      <c r="X26" s="195"/>
      <c r="Y26" s="194">
        <f>ROUND(SUM(Y28:AA63),5)</f>
        <v>1.7799999999999999E-3</v>
      </c>
      <c r="Z26" s="194"/>
      <c r="AA26" s="195"/>
      <c r="AB26" s="194">
        <f>ROUND(SUM(AB28:AD63),5)</f>
        <v>3.1099999999999999E-3</v>
      </c>
      <c r="AC26" s="194"/>
      <c r="AD26" s="195"/>
      <c r="AE26" s="194">
        <f>ROUND(SUM(AE28:AG63),5)</f>
        <v>4.4000000000000003E-3</v>
      </c>
      <c r="AF26" s="194"/>
      <c r="AG26" s="195"/>
      <c r="AH26" s="194">
        <f>ROUND(SUM(AH28:AJ63),5)</f>
        <v>6.5300000000000002E-3</v>
      </c>
      <c r="AI26" s="194"/>
      <c r="AJ26" s="195"/>
      <c r="AK26" s="194">
        <f>ROUND(SUM(AK28:AM63),5)</f>
        <v>4.7499999999999999E-3</v>
      </c>
      <c r="AL26" s="194"/>
      <c r="AM26" s="195"/>
      <c r="AN26" s="194">
        <f>ROUND(SUM(AN28:AP63),5)</f>
        <v>5.4400000000000004E-3</v>
      </c>
      <c r="AO26" s="194"/>
      <c r="AP26" s="195"/>
      <c r="AQ26" s="194">
        <f>ROUND(SUM(AQ28:AS63),5)</f>
        <v>5.4099999999999999E-3</v>
      </c>
      <c r="AR26" s="194"/>
      <c r="AS26" s="195"/>
      <c r="AT26" s="194">
        <f>ROUND(SUM(AT28:AV63),5)</f>
        <v>4.095E-2</v>
      </c>
      <c r="AU26" s="194"/>
      <c r="AV26" s="195"/>
      <c r="AW26" s="194">
        <f>ROUND(SUM(AW28:AY63),5)</f>
        <v>4.138E-2</v>
      </c>
      <c r="AX26" s="194"/>
      <c r="AY26" s="195"/>
      <c r="AZ26" s="194">
        <f>ROUND(SUM(AZ28:BB63),5)</f>
        <v>4.0169999999999997E-2</v>
      </c>
      <c r="BA26" s="194"/>
      <c r="BB26" s="195"/>
      <c r="BC26" s="194">
        <f>ROUND(SUM(BC28:BE63),5)</f>
        <v>3.3529999999999997E-2</v>
      </c>
      <c r="BD26" s="194"/>
      <c r="BE26" s="195"/>
      <c r="BF26" s="194">
        <f>ROUND(SUM(BF28:BH63),5)</f>
        <v>3.4229999999999997E-2</v>
      </c>
      <c r="BG26" s="194"/>
      <c r="BH26" s="195"/>
      <c r="BI26" s="194">
        <f>ROUND(SUM(BI28:BK63),5)</f>
        <v>3.2960000000000003E-2</v>
      </c>
      <c r="BJ26" s="194"/>
      <c r="BK26" s="195"/>
      <c r="BL26" s="194">
        <f>ROUND(SUM(BL28:BN63),5)</f>
        <v>2.8490000000000001E-2</v>
      </c>
      <c r="BM26" s="194"/>
      <c r="BN26" s="195"/>
      <c r="BO26" s="194">
        <f>ROUND(SUM(BO28:BQ63),5)</f>
        <v>2.801E-2</v>
      </c>
      <c r="BP26" s="194"/>
      <c r="BQ26" s="194"/>
      <c r="BR26" s="395">
        <f>ROUND(SUM(BR28:BT63),5)</f>
        <v>2.7890000000000002E-2</v>
      </c>
      <c r="BS26" s="194"/>
      <c r="BT26" s="396"/>
      <c r="BU26" s="194">
        <f>ROUND(SUM(BU28:BW63),5)</f>
        <v>2.367E-2</v>
      </c>
      <c r="BV26" s="194"/>
      <c r="BW26" s="195"/>
      <c r="BX26" s="194">
        <f>ROUND(SUM(BX28:BZ63),5)</f>
        <v>2.3429999999999999E-2</v>
      </c>
      <c r="BY26" s="194"/>
      <c r="BZ26" s="195"/>
      <c r="CA26" s="194">
        <f>ROUND(SUM(CA28:CC63),5)</f>
        <v>1.6389999999999998E-2</v>
      </c>
      <c r="CB26" s="194"/>
      <c r="CC26" s="195"/>
      <c r="CD26" s="194">
        <f>ROUND(SUM(CD28:CF63),5)</f>
        <v>1.6879999999999999E-2</v>
      </c>
      <c r="CE26" s="194"/>
      <c r="CF26" s="195"/>
      <c r="CG26" s="194">
        <f>ROUND(SUM(CG28:CI63),5)</f>
        <v>1.6879999999999999E-2</v>
      </c>
      <c r="CH26" s="194"/>
      <c r="CI26" s="195"/>
      <c r="CJ26" s="194">
        <f>ROUND(SUM(CJ28:CL63),5)</f>
        <v>1.3469999999999999E-2</v>
      </c>
      <c r="CK26" s="194"/>
      <c r="CL26" s="195"/>
      <c r="CM26" s="194">
        <f>ROUND(SUM(CM28:CO63),5)</f>
        <v>1.3050000000000001E-2</v>
      </c>
      <c r="CN26" s="194"/>
      <c r="CO26" s="195"/>
      <c r="CP26" s="194">
        <f>ROUND(SUM(CP28:CR63),5)</f>
        <v>9.8099999999999993E-3</v>
      </c>
      <c r="CQ26" s="194"/>
      <c r="CR26" s="195"/>
      <c r="CS26" s="194">
        <f>ROUND(SUM(CS28:CU63),5)</f>
        <v>1.115E-2</v>
      </c>
      <c r="CT26" s="194"/>
      <c r="CU26" s="195"/>
      <c r="CV26" s="194">
        <f>ROUND(SUM(CV28:CX63),5)</f>
        <v>8.9200000000000008E-3</v>
      </c>
      <c r="CW26" s="194"/>
      <c r="CX26" s="195"/>
      <c r="CY26" s="194">
        <f>ROUND(SUM(CY28:DA63),5)</f>
        <v>1.34E-3</v>
      </c>
      <c r="CZ26" s="194"/>
      <c r="DA26" s="195"/>
      <c r="DB26" s="194">
        <f>ROUND(SUM(DB28:DD63),5)</f>
        <v>0</v>
      </c>
      <c r="DC26" s="194"/>
      <c r="DD26" s="195"/>
      <c r="DE26" s="194">
        <f>ROUND(SUM(DE28:DG63),5)</f>
        <v>1.34E-3</v>
      </c>
      <c r="DF26" s="194"/>
      <c r="DG26" s="195"/>
      <c r="DH26" s="194">
        <f>ROUND(SUM(DH28:DJ63),5)</f>
        <v>1.34E-3</v>
      </c>
      <c r="DI26" s="194"/>
      <c r="DJ26" s="195"/>
      <c r="DK26" s="194">
        <f>ROUND(SUM(DK28:DM63),5)</f>
        <v>1.34E-3</v>
      </c>
      <c r="DL26" s="194"/>
      <c r="DM26" s="195"/>
      <c r="DN26" s="194">
        <f>ROUND(SUM(DN28:DP63),5)</f>
        <v>1.34E-3</v>
      </c>
      <c r="DO26" s="194"/>
      <c r="DP26" s="195"/>
      <c r="DQ26" s="194">
        <f>ROUND(SUM(DQ28:DS63),5)</f>
        <v>0</v>
      </c>
      <c r="DR26" s="194"/>
      <c r="DS26" s="195"/>
      <c r="DT26" s="203">
        <f>ROUND(SUM(DT28:DV63),5)</f>
        <v>0</v>
      </c>
      <c r="DU26" s="194"/>
      <c r="DV26" s="204"/>
      <c r="DX26" s="145">
        <f>SUM(R26:DV26)</f>
        <v>0.50109999999999999</v>
      </c>
      <c r="DY26" s="145">
        <f>SUM(DX28:DX63)</f>
        <v>0.5011000000000001</v>
      </c>
      <c r="DZ26" s="1"/>
      <c r="EA26" s="1"/>
      <c r="EB26" s="1"/>
    </row>
    <row r="27" spans="6:134" s="6" customFormat="1" ht="9.9499999999999993" customHeight="1">
      <c r="F27" s="141"/>
      <c r="G27" s="142"/>
      <c r="H27" s="55">
        <v>2</v>
      </c>
      <c r="L27" s="227"/>
      <c r="M27" s="228"/>
      <c r="N27" s="228"/>
      <c r="O27" s="229"/>
      <c r="P27" s="188"/>
      <c r="Q27" s="186"/>
      <c r="R27" s="342"/>
      <c r="S27" s="196"/>
      <c r="T27" s="196"/>
      <c r="U27" s="197"/>
      <c r="V27" s="196"/>
      <c r="W27" s="196"/>
      <c r="X27" s="197"/>
      <c r="Y27" s="196"/>
      <c r="Z27" s="196"/>
      <c r="AA27" s="197"/>
      <c r="AB27" s="196"/>
      <c r="AC27" s="196"/>
      <c r="AD27" s="197"/>
      <c r="AE27" s="196"/>
      <c r="AF27" s="196"/>
      <c r="AG27" s="197"/>
      <c r="AH27" s="196"/>
      <c r="AI27" s="196"/>
      <c r="AJ27" s="197"/>
      <c r="AK27" s="196"/>
      <c r="AL27" s="196"/>
      <c r="AM27" s="197"/>
      <c r="AN27" s="196"/>
      <c r="AO27" s="196"/>
      <c r="AP27" s="197"/>
      <c r="AQ27" s="196"/>
      <c r="AR27" s="196"/>
      <c r="AS27" s="197"/>
      <c r="AT27" s="196"/>
      <c r="AU27" s="196"/>
      <c r="AV27" s="197"/>
      <c r="AW27" s="196"/>
      <c r="AX27" s="196"/>
      <c r="AY27" s="197"/>
      <c r="AZ27" s="196"/>
      <c r="BA27" s="196"/>
      <c r="BB27" s="197"/>
      <c r="BC27" s="196"/>
      <c r="BD27" s="196"/>
      <c r="BE27" s="197"/>
      <c r="BF27" s="196"/>
      <c r="BG27" s="196"/>
      <c r="BH27" s="197"/>
      <c r="BI27" s="196"/>
      <c r="BJ27" s="196"/>
      <c r="BK27" s="197"/>
      <c r="BL27" s="196"/>
      <c r="BM27" s="196"/>
      <c r="BN27" s="197"/>
      <c r="BO27" s="196"/>
      <c r="BP27" s="196"/>
      <c r="BQ27" s="196"/>
      <c r="BR27" s="397"/>
      <c r="BS27" s="196"/>
      <c r="BT27" s="398"/>
      <c r="BU27" s="196"/>
      <c r="BV27" s="196"/>
      <c r="BW27" s="197"/>
      <c r="BX27" s="196"/>
      <c r="BY27" s="196"/>
      <c r="BZ27" s="197"/>
      <c r="CA27" s="196"/>
      <c r="CB27" s="196"/>
      <c r="CC27" s="197"/>
      <c r="CD27" s="196"/>
      <c r="CE27" s="196"/>
      <c r="CF27" s="197"/>
      <c r="CG27" s="196"/>
      <c r="CH27" s="196"/>
      <c r="CI27" s="197"/>
      <c r="CJ27" s="196"/>
      <c r="CK27" s="196"/>
      <c r="CL27" s="197"/>
      <c r="CM27" s="196"/>
      <c r="CN27" s="196"/>
      <c r="CO27" s="197"/>
      <c r="CP27" s="196"/>
      <c r="CQ27" s="196"/>
      <c r="CR27" s="197"/>
      <c r="CS27" s="196"/>
      <c r="CT27" s="196"/>
      <c r="CU27" s="197"/>
      <c r="CV27" s="196"/>
      <c r="CW27" s="196"/>
      <c r="CX27" s="197"/>
      <c r="CY27" s="196"/>
      <c r="CZ27" s="196"/>
      <c r="DA27" s="197"/>
      <c r="DB27" s="196"/>
      <c r="DC27" s="196"/>
      <c r="DD27" s="197"/>
      <c r="DE27" s="196"/>
      <c r="DF27" s="196"/>
      <c r="DG27" s="197"/>
      <c r="DH27" s="196"/>
      <c r="DI27" s="196"/>
      <c r="DJ27" s="197"/>
      <c r="DK27" s="196"/>
      <c r="DL27" s="196"/>
      <c r="DM27" s="197"/>
      <c r="DN27" s="196"/>
      <c r="DO27" s="196"/>
      <c r="DP27" s="197"/>
      <c r="DQ27" s="196"/>
      <c r="DR27" s="196"/>
      <c r="DS27" s="197"/>
      <c r="DT27" s="205"/>
      <c r="DU27" s="206"/>
      <c r="DV27" s="207"/>
      <c r="DX27" s="145"/>
      <c r="DY27" s="145"/>
      <c r="DZ27" s="1"/>
      <c r="EA27" s="1"/>
      <c r="EB27" s="1"/>
    </row>
    <row r="28" spans="6:134" s="6" customFormat="1" ht="9.9499999999999993" customHeight="1">
      <c r="F28" s="143">
        <f>DX28</f>
        <v>5.6000000000000006E-4</v>
      </c>
      <c r="G28" s="144">
        <f>Q28-F28</f>
        <v>0</v>
      </c>
      <c r="H28" s="27">
        <v>1</v>
      </c>
      <c r="J28" s="6" t="s">
        <v>174</v>
      </c>
      <c r="K28" s="6" t="s">
        <v>175</v>
      </c>
      <c r="L28" s="271"/>
      <c r="M28" s="231" t="s">
        <v>29</v>
      </c>
      <c r="N28" s="302">
        <v>2448</v>
      </c>
      <c r="O28" s="299" t="s">
        <v>34</v>
      </c>
      <c r="P28" s="245">
        <v>116177</v>
      </c>
      <c r="Q28" s="183">
        <f>ROUND(P28/$P$256,5)</f>
        <v>5.5999999999999995E-4</v>
      </c>
      <c r="R28" s="21"/>
      <c r="S28" s="148"/>
      <c r="T28" s="148"/>
      <c r="U28" s="148"/>
      <c r="V28" s="146">
        <f>0.01%*0.3</f>
        <v>3.0000000000000001E-5</v>
      </c>
      <c r="W28" s="146"/>
      <c r="X28" s="146"/>
      <c r="Y28" s="146">
        <f>0.01%*0.3</f>
        <v>3.0000000000000001E-5</v>
      </c>
      <c r="Z28" s="146"/>
      <c r="AA28" s="146"/>
      <c r="AB28" s="146">
        <f>0.02%*0.3</f>
        <v>6.0000000000000002E-5</v>
      </c>
      <c r="AC28" s="146"/>
      <c r="AD28" s="146"/>
      <c r="AE28" s="146"/>
      <c r="AF28" s="146"/>
      <c r="AG28" s="146"/>
      <c r="AH28" s="146"/>
      <c r="AI28" s="146"/>
      <c r="AJ28" s="146"/>
      <c r="AK28" s="56"/>
      <c r="AL28" s="57"/>
      <c r="AM28" s="58"/>
      <c r="AN28" s="56"/>
      <c r="AO28" s="57"/>
      <c r="AP28" s="57"/>
      <c r="AQ28" s="59"/>
      <c r="AR28" s="57"/>
      <c r="AS28" s="57"/>
      <c r="AT28" s="146">
        <v>1.1E-4</v>
      </c>
      <c r="AU28" s="146"/>
      <c r="AV28" s="146"/>
      <c r="AW28" s="146">
        <v>1.1E-4</v>
      </c>
      <c r="AX28" s="146"/>
      <c r="AY28" s="146"/>
      <c r="AZ28" s="146">
        <v>1.1E-4</v>
      </c>
      <c r="BA28" s="146"/>
      <c r="BB28" s="146"/>
      <c r="BC28" s="146">
        <v>1.1E-4</v>
      </c>
      <c r="BD28" s="146"/>
      <c r="BE28" s="146"/>
      <c r="BF28" s="57"/>
      <c r="BG28" s="57"/>
      <c r="BH28" s="57"/>
      <c r="BI28" s="56"/>
      <c r="BJ28" s="57"/>
      <c r="BK28" s="58"/>
      <c r="BL28" s="57"/>
      <c r="BM28" s="57"/>
      <c r="BN28" s="57"/>
      <c r="BO28" s="56"/>
      <c r="BP28" s="57"/>
      <c r="BQ28" s="57"/>
      <c r="BR28" s="60"/>
      <c r="BS28" s="57"/>
      <c r="BT28" s="61"/>
      <c r="BU28" s="57"/>
      <c r="BV28" s="57"/>
      <c r="BW28" s="58"/>
      <c r="BX28" s="57"/>
      <c r="BY28" s="57"/>
      <c r="BZ28" s="58"/>
      <c r="CA28" s="56"/>
      <c r="CB28" s="57"/>
      <c r="CC28" s="58"/>
      <c r="CD28" s="56"/>
      <c r="CE28" s="57"/>
      <c r="CF28" s="58"/>
      <c r="CG28" s="56"/>
      <c r="CH28" s="57"/>
      <c r="CI28" s="58"/>
      <c r="CJ28" s="56"/>
      <c r="CK28" s="57"/>
      <c r="CL28" s="58"/>
      <c r="CM28" s="57"/>
      <c r="CN28" s="57"/>
      <c r="CO28" s="57"/>
      <c r="CP28" s="56"/>
      <c r="CQ28" s="57"/>
      <c r="CR28" s="58"/>
      <c r="CS28" s="57"/>
      <c r="CT28" s="57"/>
      <c r="CU28" s="57"/>
      <c r="CV28" s="56"/>
      <c r="CW28" s="57"/>
      <c r="CX28" s="58"/>
      <c r="CY28" s="56"/>
      <c r="CZ28" s="57"/>
      <c r="DA28" s="58"/>
      <c r="DB28" s="57"/>
      <c r="DC28" s="57"/>
      <c r="DD28" s="57"/>
      <c r="DE28" s="56"/>
      <c r="DF28" s="57"/>
      <c r="DG28" s="58"/>
      <c r="DH28" s="56"/>
      <c r="DI28" s="57"/>
      <c r="DJ28" s="58"/>
      <c r="DK28" s="56"/>
      <c r="DL28" s="57"/>
      <c r="DM28" s="58"/>
      <c r="DN28" s="56"/>
      <c r="DO28" s="57"/>
      <c r="DP28" s="58"/>
      <c r="DQ28" s="56"/>
      <c r="DR28" s="57"/>
      <c r="DS28" s="58"/>
      <c r="DT28" s="57"/>
      <c r="DU28" s="57"/>
      <c r="DV28" s="62"/>
      <c r="DX28" s="213">
        <f>SUM(R28:DV28)</f>
        <v>5.6000000000000006E-4</v>
      </c>
      <c r="DY28" s="1"/>
      <c r="DZ28" s="1"/>
      <c r="EA28" s="1"/>
      <c r="EB28" s="1"/>
    </row>
    <row r="29" spans="6:134" s="6" customFormat="1" ht="6.95" customHeight="1">
      <c r="F29" s="143"/>
      <c r="G29" s="144"/>
      <c r="H29" s="55">
        <v>2</v>
      </c>
      <c r="L29" s="272"/>
      <c r="M29" s="232"/>
      <c r="N29" s="303"/>
      <c r="O29" s="300"/>
      <c r="P29" s="246"/>
      <c r="Q29" s="184"/>
      <c r="R29" s="63"/>
      <c r="S29" s="42"/>
      <c r="T29" s="42"/>
      <c r="U29" s="42"/>
      <c r="V29" s="64"/>
      <c r="W29" s="65"/>
      <c r="X29" s="66"/>
      <c r="Y29" s="64"/>
      <c r="Z29" s="65"/>
      <c r="AA29" s="66"/>
      <c r="AB29" s="64"/>
      <c r="AC29" s="65"/>
      <c r="AD29" s="66"/>
      <c r="AE29" s="42"/>
      <c r="AF29" s="42"/>
      <c r="AG29" s="42"/>
      <c r="AH29" s="41"/>
      <c r="AI29" s="42"/>
      <c r="AJ29" s="43"/>
      <c r="AK29" s="41"/>
      <c r="AL29" s="42"/>
      <c r="AM29" s="43"/>
      <c r="AN29" s="41"/>
      <c r="AO29" s="42"/>
      <c r="AP29" s="42"/>
      <c r="AQ29" s="41"/>
      <c r="AR29" s="42"/>
      <c r="AS29" s="42"/>
      <c r="AT29" s="64"/>
      <c r="AU29" s="65"/>
      <c r="AV29" s="66"/>
      <c r="AW29" s="64"/>
      <c r="AX29" s="65"/>
      <c r="AY29" s="66"/>
      <c r="AZ29" s="64"/>
      <c r="BA29" s="65"/>
      <c r="BB29" s="66"/>
      <c r="BC29" s="64"/>
      <c r="BD29" s="65"/>
      <c r="BE29" s="66"/>
      <c r="BF29" s="42"/>
      <c r="BG29" s="42"/>
      <c r="BH29" s="42"/>
      <c r="BI29" s="41"/>
      <c r="BJ29" s="42"/>
      <c r="BK29" s="43"/>
      <c r="BL29" s="42"/>
      <c r="BM29" s="42"/>
      <c r="BN29" s="42"/>
      <c r="BO29" s="41"/>
      <c r="BP29" s="42"/>
      <c r="BQ29" s="42"/>
      <c r="BR29" s="67"/>
      <c r="BS29" s="42"/>
      <c r="BT29" s="68"/>
      <c r="BU29" s="42"/>
      <c r="BV29" s="42"/>
      <c r="BW29" s="43"/>
      <c r="BX29" s="42"/>
      <c r="BY29" s="42"/>
      <c r="BZ29" s="43"/>
      <c r="CA29" s="41"/>
      <c r="CB29" s="42"/>
      <c r="CC29" s="43"/>
      <c r="CD29" s="41"/>
      <c r="CE29" s="42"/>
      <c r="CF29" s="43"/>
      <c r="CG29" s="41"/>
      <c r="CH29" s="42"/>
      <c r="CI29" s="43"/>
      <c r="CJ29" s="41"/>
      <c r="CK29" s="42"/>
      <c r="CL29" s="43"/>
      <c r="CM29" s="42"/>
      <c r="CN29" s="42"/>
      <c r="CO29" s="42"/>
      <c r="CP29" s="41"/>
      <c r="CQ29" s="42"/>
      <c r="CR29" s="43"/>
      <c r="CS29" s="42"/>
      <c r="CT29" s="42"/>
      <c r="CU29" s="42"/>
      <c r="CV29" s="41"/>
      <c r="CW29" s="42"/>
      <c r="CX29" s="43"/>
      <c r="CY29" s="41"/>
      <c r="CZ29" s="42"/>
      <c r="DA29" s="43"/>
      <c r="DB29" s="42"/>
      <c r="DC29" s="42"/>
      <c r="DD29" s="42"/>
      <c r="DE29" s="41"/>
      <c r="DF29" s="42"/>
      <c r="DG29" s="43"/>
      <c r="DH29" s="41"/>
      <c r="DI29" s="42"/>
      <c r="DJ29" s="43"/>
      <c r="DK29" s="41"/>
      <c r="DL29" s="42"/>
      <c r="DM29" s="43"/>
      <c r="DN29" s="41"/>
      <c r="DO29" s="42"/>
      <c r="DP29" s="43"/>
      <c r="DQ29" s="41"/>
      <c r="DR29" s="42"/>
      <c r="DS29" s="43"/>
      <c r="DT29" s="42"/>
      <c r="DU29" s="42"/>
      <c r="DV29" s="44"/>
      <c r="DX29" s="213"/>
      <c r="DY29" s="1"/>
      <c r="DZ29" s="1"/>
      <c r="EA29" s="1"/>
      <c r="EB29" s="1"/>
    </row>
    <row r="30" spans="6:134" s="6" customFormat="1" ht="9.9499999999999993" customHeight="1">
      <c r="F30" s="143">
        <f t="shared" ref="F30" si="0">DX30</f>
        <v>7.3999999999999988E-4</v>
      </c>
      <c r="G30" s="144">
        <f>Q30-F30</f>
        <v>0</v>
      </c>
      <c r="H30" s="27">
        <v>1</v>
      </c>
      <c r="J30" s="6" t="s">
        <v>174</v>
      </c>
      <c r="K30" s="6" t="s">
        <v>176</v>
      </c>
      <c r="L30" s="230"/>
      <c r="M30" s="233" t="s">
        <v>30</v>
      </c>
      <c r="N30" s="234">
        <v>4828</v>
      </c>
      <c r="O30" s="235" t="s">
        <v>34</v>
      </c>
      <c r="P30" s="249">
        <v>154934</v>
      </c>
      <c r="Q30" s="183">
        <f>ROUND(P30/$P$256,5)</f>
        <v>7.3999999999999999E-4</v>
      </c>
      <c r="R30" s="21"/>
      <c r="S30" s="167"/>
      <c r="T30" s="167"/>
      <c r="U30" s="167"/>
      <c r="V30" s="150">
        <f>0.01%*0.3</f>
        <v>3.0000000000000001E-5</v>
      </c>
      <c r="W30" s="150"/>
      <c r="X30" s="150"/>
      <c r="Y30" s="150">
        <f>0.018%*0.3</f>
        <v>5.3999999999999991E-5</v>
      </c>
      <c r="Z30" s="150"/>
      <c r="AA30" s="150"/>
      <c r="AB30" s="150">
        <f>0.021%*0.3</f>
        <v>6.3E-5</v>
      </c>
      <c r="AC30" s="150"/>
      <c r="AD30" s="150"/>
      <c r="AE30" s="150"/>
      <c r="AF30" s="150"/>
      <c r="AG30" s="150"/>
      <c r="AH30" s="150"/>
      <c r="AI30" s="150"/>
      <c r="AJ30" s="150"/>
      <c r="AK30" s="69"/>
      <c r="AL30" s="70"/>
      <c r="AM30" s="71"/>
      <c r="AN30" s="69"/>
      <c r="AO30" s="70"/>
      <c r="AP30" s="70"/>
      <c r="AQ30" s="72"/>
      <c r="AR30" s="70"/>
      <c r="AS30" s="70"/>
      <c r="AT30" s="146">
        <f>0.014%+0.0003%</f>
        <v>1.4300000000000001E-4</v>
      </c>
      <c r="AU30" s="146"/>
      <c r="AV30" s="146"/>
      <c r="AW30" s="146">
        <v>1.4999999999999999E-4</v>
      </c>
      <c r="AX30" s="146"/>
      <c r="AY30" s="146"/>
      <c r="AZ30" s="146">
        <v>1.4999999999999999E-4</v>
      </c>
      <c r="BA30" s="146"/>
      <c r="BB30" s="146"/>
      <c r="BC30" s="146">
        <v>1.4999999999999999E-4</v>
      </c>
      <c r="BD30" s="146"/>
      <c r="BE30" s="146"/>
      <c r="BF30" s="70"/>
      <c r="BG30" s="70"/>
      <c r="BH30" s="70"/>
      <c r="BI30" s="69"/>
      <c r="BJ30" s="70"/>
      <c r="BK30" s="71"/>
      <c r="BL30" s="70"/>
      <c r="BM30" s="70"/>
      <c r="BN30" s="70"/>
      <c r="BO30" s="69"/>
      <c r="BP30" s="70"/>
      <c r="BQ30" s="70"/>
      <c r="BR30" s="73"/>
      <c r="BS30" s="70"/>
      <c r="BT30" s="74"/>
      <c r="BU30" s="70"/>
      <c r="BV30" s="70"/>
      <c r="BW30" s="71"/>
      <c r="BX30" s="70"/>
      <c r="BY30" s="70"/>
      <c r="BZ30" s="71"/>
      <c r="CA30" s="69"/>
      <c r="CB30" s="70"/>
      <c r="CC30" s="71"/>
      <c r="CD30" s="69"/>
      <c r="CE30" s="70"/>
      <c r="CF30" s="71"/>
      <c r="CG30" s="69"/>
      <c r="CH30" s="70"/>
      <c r="CI30" s="71"/>
      <c r="CJ30" s="69"/>
      <c r="CK30" s="70"/>
      <c r="CL30" s="71"/>
      <c r="CM30" s="70"/>
      <c r="CN30" s="70"/>
      <c r="CO30" s="70"/>
      <c r="CP30" s="69"/>
      <c r="CQ30" s="70"/>
      <c r="CR30" s="71"/>
      <c r="CS30" s="70"/>
      <c r="CT30" s="70"/>
      <c r="CU30" s="70"/>
      <c r="CV30" s="69"/>
      <c r="CW30" s="70"/>
      <c r="CX30" s="71"/>
      <c r="CY30" s="69"/>
      <c r="CZ30" s="70"/>
      <c r="DA30" s="71"/>
      <c r="DB30" s="70"/>
      <c r="DC30" s="70"/>
      <c r="DD30" s="70"/>
      <c r="DE30" s="69"/>
      <c r="DF30" s="70"/>
      <c r="DG30" s="71"/>
      <c r="DH30" s="69"/>
      <c r="DI30" s="70"/>
      <c r="DJ30" s="71"/>
      <c r="DK30" s="69"/>
      <c r="DL30" s="70"/>
      <c r="DM30" s="71"/>
      <c r="DN30" s="69"/>
      <c r="DO30" s="70"/>
      <c r="DP30" s="71"/>
      <c r="DQ30" s="69"/>
      <c r="DR30" s="70"/>
      <c r="DS30" s="71"/>
      <c r="DT30" s="70"/>
      <c r="DU30" s="70"/>
      <c r="DV30" s="75"/>
      <c r="DX30" s="213">
        <f>SUM(R30:DV30)</f>
        <v>7.3999999999999988E-4</v>
      </c>
      <c r="DY30" s="1"/>
      <c r="DZ30" s="1"/>
      <c r="EA30" s="1"/>
      <c r="EB30" s="1"/>
    </row>
    <row r="31" spans="6:134" s="6" customFormat="1" ht="6.95" customHeight="1">
      <c r="F31" s="143"/>
      <c r="G31" s="144"/>
      <c r="H31" s="55">
        <v>2</v>
      </c>
      <c r="L31" s="230"/>
      <c r="M31" s="233"/>
      <c r="N31" s="234"/>
      <c r="O31" s="236"/>
      <c r="P31" s="249"/>
      <c r="Q31" s="184"/>
      <c r="R31" s="76"/>
      <c r="S31" s="70"/>
      <c r="T31" s="42"/>
      <c r="U31" s="42"/>
      <c r="V31" s="64"/>
      <c r="W31" s="65"/>
      <c r="X31" s="66"/>
      <c r="Y31" s="64"/>
      <c r="Z31" s="65"/>
      <c r="AA31" s="66"/>
      <c r="AB31" s="64"/>
      <c r="AC31" s="65"/>
      <c r="AD31" s="66"/>
      <c r="AE31" s="41"/>
      <c r="AF31" s="42"/>
      <c r="AG31" s="43"/>
      <c r="AH31" s="69"/>
      <c r="AI31" s="70"/>
      <c r="AJ31" s="71"/>
      <c r="AK31" s="69"/>
      <c r="AL31" s="70"/>
      <c r="AM31" s="71"/>
      <c r="AN31" s="69"/>
      <c r="AO31" s="70"/>
      <c r="AP31" s="70"/>
      <c r="AQ31" s="69"/>
      <c r="AR31" s="70"/>
      <c r="AS31" s="70"/>
      <c r="AT31" s="64"/>
      <c r="AU31" s="65"/>
      <c r="AV31" s="66"/>
      <c r="AW31" s="64"/>
      <c r="AX31" s="65"/>
      <c r="AY31" s="66"/>
      <c r="AZ31" s="64"/>
      <c r="BA31" s="65"/>
      <c r="BB31" s="66"/>
      <c r="BC31" s="64"/>
      <c r="BD31" s="65"/>
      <c r="BE31" s="66"/>
      <c r="BF31" s="70"/>
      <c r="BG31" s="70"/>
      <c r="BH31" s="70"/>
      <c r="BI31" s="69"/>
      <c r="BJ31" s="70"/>
      <c r="BK31" s="71"/>
      <c r="BL31" s="70"/>
      <c r="BM31" s="70"/>
      <c r="BN31" s="70"/>
      <c r="BO31" s="69"/>
      <c r="BP31" s="70"/>
      <c r="BQ31" s="70"/>
      <c r="BR31" s="73"/>
      <c r="BS31" s="70"/>
      <c r="BT31" s="74"/>
      <c r="BU31" s="70"/>
      <c r="BV31" s="70"/>
      <c r="BW31" s="71"/>
      <c r="BX31" s="70"/>
      <c r="BY31" s="70"/>
      <c r="BZ31" s="71"/>
      <c r="CA31" s="69"/>
      <c r="CB31" s="42"/>
      <c r="CC31" s="43"/>
      <c r="CD31" s="41"/>
      <c r="CE31" s="42"/>
      <c r="CF31" s="43"/>
      <c r="CG31" s="41"/>
      <c r="CH31" s="42"/>
      <c r="CI31" s="43"/>
      <c r="CJ31" s="41"/>
      <c r="CK31" s="70"/>
      <c r="CL31" s="71"/>
      <c r="CM31" s="70"/>
      <c r="CN31" s="70"/>
      <c r="CO31" s="70"/>
      <c r="CP31" s="69"/>
      <c r="CQ31" s="70"/>
      <c r="CR31" s="71"/>
      <c r="CS31" s="70"/>
      <c r="CT31" s="70"/>
      <c r="CU31" s="70"/>
      <c r="CV31" s="69"/>
      <c r="CW31" s="70"/>
      <c r="CX31" s="71"/>
      <c r="CY31" s="69"/>
      <c r="CZ31" s="70"/>
      <c r="DA31" s="71"/>
      <c r="DB31" s="70"/>
      <c r="DC31" s="70"/>
      <c r="DD31" s="70"/>
      <c r="DE31" s="69"/>
      <c r="DF31" s="70"/>
      <c r="DG31" s="71"/>
      <c r="DH31" s="69"/>
      <c r="DI31" s="70"/>
      <c r="DJ31" s="71"/>
      <c r="DK31" s="69"/>
      <c r="DL31" s="70"/>
      <c r="DM31" s="71"/>
      <c r="DN31" s="69"/>
      <c r="DO31" s="70"/>
      <c r="DP31" s="71"/>
      <c r="DQ31" s="69"/>
      <c r="DR31" s="70"/>
      <c r="DS31" s="71"/>
      <c r="DT31" s="70"/>
      <c r="DU31" s="70"/>
      <c r="DV31" s="75"/>
      <c r="DX31" s="213"/>
      <c r="DY31" s="1"/>
      <c r="DZ31" s="1"/>
      <c r="EA31" s="1"/>
      <c r="EB31" s="1"/>
    </row>
    <row r="32" spans="6:134" s="6" customFormat="1" ht="9.9499999999999993" customHeight="1">
      <c r="F32" s="143">
        <f t="shared" ref="F32" si="1">DX32</f>
        <v>3.6999999999999999E-4</v>
      </c>
      <c r="G32" s="144">
        <f>Q32-F32</f>
        <v>0</v>
      </c>
      <c r="H32" s="27">
        <v>1</v>
      </c>
      <c r="J32" s="6" t="s">
        <v>174</v>
      </c>
      <c r="K32" s="6" t="s">
        <v>177</v>
      </c>
      <c r="L32" s="271"/>
      <c r="M32" s="231" t="s">
        <v>31</v>
      </c>
      <c r="N32" s="302">
        <v>3568</v>
      </c>
      <c r="O32" s="299" t="s">
        <v>34</v>
      </c>
      <c r="P32" s="245">
        <v>77207</v>
      </c>
      <c r="Q32" s="183">
        <f>ROUND(P32/$P$256,5)</f>
        <v>3.6999999999999999E-4</v>
      </c>
      <c r="R32" s="21"/>
      <c r="S32" s="148"/>
      <c r="T32" s="167"/>
      <c r="U32" s="167"/>
      <c r="V32" s="150">
        <f>0.006%*0.3</f>
        <v>1.8E-5</v>
      </c>
      <c r="W32" s="150"/>
      <c r="X32" s="150"/>
      <c r="Y32" s="150">
        <f>0.006%*0.3</f>
        <v>1.8E-5</v>
      </c>
      <c r="Z32" s="150"/>
      <c r="AA32" s="150"/>
      <c r="AB32" s="150">
        <f>0.005%*0.3</f>
        <v>1.5E-5</v>
      </c>
      <c r="AC32" s="150"/>
      <c r="AD32" s="150"/>
      <c r="AE32" s="150"/>
      <c r="AF32" s="150"/>
      <c r="AG32" s="150"/>
      <c r="AH32" s="150"/>
      <c r="AI32" s="150"/>
      <c r="AJ32" s="150"/>
      <c r="AK32" s="146"/>
      <c r="AL32" s="146"/>
      <c r="AM32" s="146"/>
      <c r="AN32" s="146"/>
      <c r="AO32" s="146"/>
      <c r="AP32" s="146"/>
      <c r="AQ32" s="56"/>
      <c r="AR32" s="57"/>
      <c r="AS32" s="57"/>
      <c r="AT32" s="146">
        <v>6.9999999999999994E-5</v>
      </c>
      <c r="AU32" s="146"/>
      <c r="AV32" s="146"/>
      <c r="AW32" s="146">
        <f>0.007%-0.0001%</f>
        <v>6.900000000000001E-5</v>
      </c>
      <c r="AX32" s="146"/>
      <c r="AY32" s="146"/>
      <c r="AZ32" s="57"/>
      <c r="BA32" s="57"/>
      <c r="BB32" s="57"/>
      <c r="BC32" s="56"/>
      <c r="BD32" s="57"/>
      <c r="BE32" s="58"/>
      <c r="BF32" s="57"/>
      <c r="BG32" s="57"/>
      <c r="BH32" s="57"/>
      <c r="BI32" s="56"/>
      <c r="BJ32" s="57"/>
      <c r="BK32" s="58"/>
      <c r="BL32" s="57"/>
      <c r="BM32" s="57"/>
      <c r="BN32" s="57"/>
      <c r="BO32" s="56"/>
      <c r="BP32" s="57"/>
      <c r="BQ32" s="57"/>
      <c r="BR32" s="60"/>
      <c r="BS32" s="57"/>
      <c r="BT32" s="61"/>
      <c r="BU32" s="57"/>
      <c r="BV32" s="57"/>
      <c r="BW32" s="58"/>
      <c r="BX32" s="57"/>
      <c r="BY32" s="57"/>
      <c r="BZ32" s="58"/>
      <c r="CA32" s="56"/>
      <c r="CB32" s="70"/>
      <c r="CC32" s="71"/>
      <c r="CD32" s="146">
        <v>6.0000000000000002E-5</v>
      </c>
      <c r="CE32" s="146"/>
      <c r="CF32" s="146"/>
      <c r="CG32" s="146">
        <v>6.0000000000000002E-5</v>
      </c>
      <c r="CH32" s="146"/>
      <c r="CI32" s="146"/>
      <c r="CJ32" s="146">
        <v>6.0000000000000002E-5</v>
      </c>
      <c r="CK32" s="146"/>
      <c r="CL32" s="146"/>
      <c r="CM32" s="57"/>
      <c r="CN32" s="57"/>
      <c r="CO32" s="57"/>
      <c r="CP32" s="56"/>
      <c r="CQ32" s="57"/>
      <c r="CR32" s="58"/>
      <c r="CS32" s="57"/>
      <c r="CT32" s="57"/>
      <c r="CU32" s="57"/>
      <c r="CV32" s="56"/>
      <c r="CW32" s="57"/>
      <c r="CX32" s="58"/>
      <c r="CY32" s="56"/>
      <c r="CZ32" s="57"/>
      <c r="DA32" s="58"/>
      <c r="DB32" s="57"/>
      <c r="DC32" s="57"/>
      <c r="DD32" s="57"/>
      <c r="DE32" s="56"/>
      <c r="DF32" s="57"/>
      <c r="DG32" s="58"/>
      <c r="DH32" s="56"/>
      <c r="DI32" s="57"/>
      <c r="DJ32" s="58"/>
      <c r="DK32" s="56"/>
      <c r="DL32" s="57"/>
      <c r="DM32" s="58"/>
      <c r="DN32" s="56"/>
      <c r="DO32" s="57"/>
      <c r="DP32" s="58"/>
      <c r="DQ32" s="56"/>
      <c r="DR32" s="57"/>
      <c r="DS32" s="58"/>
      <c r="DT32" s="57"/>
      <c r="DU32" s="57"/>
      <c r="DV32" s="62"/>
      <c r="DX32" s="213">
        <f>SUM(R32:DV32)</f>
        <v>3.6999999999999999E-4</v>
      </c>
      <c r="DY32" s="1"/>
      <c r="DZ32" s="1"/>
      <c r="EA32" s="1"/>
      <c r="EB32" s="1"/>
    </row>
    <row r="33" spans="5:132" s="6" customFormat="1" ht="6.95" customHeight="1">
      <c r="F33" s="143"/>
      <c r="G33" s="144"/>
      <c r="H33" s="55">
        <v>2</v>
      </c>
      <c r="L33" s="272"/>
      <c r="M33" s="232"/>
      <c r="N33" s="303"/>
      <c r="O33" s="300"/>
      <c r="P33" s="246"/>
      <c r="Q33" s="184"/>
      <c r="R33" s="63"/>
      <c r="S33" s="42"/>
      <c r="T33" s="42"/>
      <c r="U33" s="42"/>
      <c r="V33" s="64"/>
      <c r="W33" s="65"/>
      <c r="X33" s="66"/>
      <c r="Y33" s="64"/>
      <c r="Z33" s="65"/>
      <c r="AA33" s="66"/>
      <c r="AB33" s="64"/>
      <c r="AC33" s="65"/>
      <c r="AD33" s="66"/>
      <c r="AE33" s="41"/>
      <c r="AF33" s="42"/>
      <c r="AG33" s="43"/>
      <c r="AH33" s="41"/>
      <c r="AI33" s="42"/>
      <c r="AJ33" s="43"/>
      <c r="AK33" s="41"/>
      <c r="AL33" s="42"/>
      <c r="AM33" s="42"/>
      <c r="AN33" s="41"/>
      <c r="AO33" s="42"/>
      <c r="AP33" s="42"/>
      <c r="AQ33" s="41"/>
      <c r="AR33" s="42"/>
      <c r="AS33" s="42"/>
      <c r="AT33" s="64"/>
      <c r="AU33" s="65"/>
      <c r="AV33" s="66"/>
      <c r="AW33" s="64"/>
      <c r="AX33" s="65"/>
      <c r="AY33" s="66"/>
      <c r="AZ33" s="42"/>
      <c r="BA33" s="42"/>
      <c r="BB33" s="42"/>
      <c r="BC33" s="41"/>
      <c r="BD33" s="42"/>
      <c r="BE33" s="43"/>
      <c r="BF33" s="42"/>
      <c r="BG33" s="42"/>
      <c r="BH33" s="42"/>
      <c r="BI33" s="41"/>
      <c r="BJ33" s="42"/>
      <c r="BK33" s="43"/>
      <c r="BL33" s="42"/>
      <c r="BM33" s="42"/>
      <c r="BN33" s="42"/>
      <c r="BO33" s="41"/>
      <c r="BP33" s="42"/>
      <c r="BQ33" s="42"/>
      <c r="BR33" s="67"/>
      <c r="BS33" s="42"/>
      <c r="BT33" s="68"/>
      <c r="BU33" s="42"/>
      <c r="BV33" s="42"/>
      <c r="BW33" s="43"/>
      <c r="BX33" s="42"/>
      <c r="BY33" s="42"/>
      <c r="BZ33" s="43"/>
      <c r="CA33" s="41"/>
      <c r="CB33" s="42"/>
      <c r="CC33" s="43"/>
      <c r="CD33" s="64"/>
      <c r="CE33" s="65"/>
      <c r="CF33" s="66"/>
      <c r="CG33" s="64"/>
      <c r="CH33" s="65"/>
      <c r="CI33" s="66"/>
      <c r="CJ33" s="64"/>
      <c r="CK33" s="65"/>
      <c r="CL33" s="66"/>
      <c r="CM33" s="42"/>
      <c r="CN33" s="42"/>
      <c r="CO33" s="42"/>
      <c r="CP33" s="41"/>
      <c r="CQ33" s="42"/>
      <c r="CR33" s="43"/>
      <c r="CS33" s="42"/>
      <c r="CT33" s="42"/>
      <c r="CU33" s="42"/>
      <c r="CV33" s="41"/>
      <c r="CW33" s="42"/>
      <c r="CX33" s="43"/>
      <c r="CY33" s="41"/>
      <c r="CZ33" s="42"/>
      <c r="DA33" s="43"/>
      <c r="DB33" s="42"/>
      <c r="DC33" s="42"/>
      <c r="DD33" s="42"/>
      <c r="DE33" s="41"/>
      <c r="DF33" s="42"/>
      <c r="DG33" s="43"/>
      <c r="DH33" s="41"/>
      <c r="DI33" s="42"/>
      <c r="DJ33" s="43"/>
      <c r="DK33" s="41"/>
      <c r="DL33" s="42"/>
      <c r="DM33" s="43"/>
      <c r="DN33" s="41"/>
      <c r="DO33" s="42"/>
      <c r="DP33" s="43"/>
      <c r="DQ33" s="41"/>
      <c r="DR33" s="42"/>
      <c r="DS33" s="43"/>
      <c r="DT33" s="42"/>
      <c r="DU33" s="42"/>
      <c r="DV33" s="44"/>
      <c r="DX33" s="213"/>
      <c r="DY33" s="1"/>
      <c r="DZ33" s="1"/>
      <c r="EA33" s="1"/>
      <c r="EB33" s="1"/>
    </row>
    <row r="34" spans="5:132" s="6" customFormat="1" ht="9.9499999999999993" customHeight="1">
      <c r="F34" s="143">
        <f t="shared" ref="F34" si="2">DX34</f>
        <v>9.0999999999999989E-4</v>
      </c>
      <c r="G34" s="144">
        <f>Q34-F34</f>
        <v>0</v>
      </c>
      <c r="H34" s="27">
        <v>1</v>
      </c>
      <c r="K34" s="6" t="s">
        <v>178</v>
      </c>
      <c r="L34" s="373"/>
      <c r="M34" s="369" t="s">
        <v>137</v>
      </c>
      <c r="N34" s="302">
        <v>1</v>
      </c>
      <c r="O34" s="299" t="s">
        <v>136</v>
      </c>
      <c r="P34" s="245">
        <v>190149</v>
      </c>
      <c r="Q34" s="183">
        <f>ROUND(P34/$P$256,5)</f>
        <v>9.1E-4</v>
      </c>
      <c r="R34" s="21"/>
      <c r="S34" s="148"/>
      <c r="T34" s="148"/>
      <c r="U34" s="148"/>
      <c r="V34" s="146"/>
      <c r="W34" s="146"/>
      <c r="X34" s="146"/>
      <c r="Y34" s="146"/>
      <c r="Z34" s="146"/>
      <c r="AA34" s="146"/>
      <c r="AB34" s="146">
        <f>0.006%*0.3</f>
        <v>1.8E-5</v>
      </c>
      <c r="AC34" s="146"/>
      <c r="AD34" s="146"/>
      <c r="AE34" s="146">
        <f>0.006%*0.3</f>
        <v>1.8E-5</v>
      </c>
      <c r="AF34" s="146"/>
      <c r="AG34" s="146"/>
      <c r="AH34" s="146">
        <f>0.011%*0.3</f>
        <v>3.2999999999999996E-5</v>
      </c>
      <c r="AI34" s="146"/>
      <c r="AJ34" s="146"/>
      <c r="AK34" s="146">
        <f>0.011%*0.2</f>
        <v>2.1999999999999999E-5</v>
      </c>
      <c r="AL34" s="146"/>
      <c r="AM34" s="146"/>
      <c r="AN34" s="146">
        <f>0.011%*0.2</f>
        <v>2.1999999999999999E-5</v>
      </c>
      <c r="AO34" s="146"/>
      <c r="AP34" s="146"/>
      <c r="AQ34" s="146">
        <f>0.011%*0.2</f>
        <v>2.1999999999999999E-5</v>
      </c>
      <c r="AR34" s="146"/>
      <c r="AS34" s="146"/>
      <c r="AT34" s="146">
        <f>0.011%+0.009%</f>
        <v>1.9999999999999998E-4</v>
      </c>
      <c r="AU34" s="146"/>
      <c r="AV34" s="146"/>
      <c r="AW34" s="146">
        <f>0.006%+0.0085%</f>
        <v>1.45E-4</v>
      </c>
      <c r="AX34" s="146"/>
      <c r="AY34" s="146"/>
      <c r="AZ34" s="57"/>
      <c r="BA34" s="57"/>
      <c r="BB34" s="57"/>
      <c r="BC34" s="56"/>
      <c r="BD34" s="57"/>
      <c r="BE34" s="58"/>
      <c r="BF34" s="146"/>
      <c r="BG34" s="146"/>
      <c r="BH34" s="146"/>
      <c r="BI34" s="56"/>
      <c r="BJ34" s="57"/>
      <c r="BK34" s="58"/>
      <c r="BL34" s="57"/>
      <c r="BM34" s="57"/>
      <c r="BN34" s="57"/>
      <c r="BO34" s="56"/>
      <c r="BP34" s="57"/>
      <c r="BQ34" s="57"/>
      <c r="BR34" s="168"/>
      <c r="BS34" s="146"/>
      <c r="BT34" s="169"/>
      <c r="BU34" s="57"/>
      <c r="BV34" s="57"/>
      <c r="BW34" s="58"/>
      <c r="BX34" s="57"/>
      <c r="BY34" s="57"/>
      <c r="BZ34" s="58"/>
      <c r="CA34" s="146"/>
      <c r="CB34" s="146"/>
      <c r="CC34" s="146"/>
      <c r="CD34" s="146">
        <f>0.006%+0.009%</f>
        <v>1.4999999999999999E-4</v>
      </c>
      <c r="CE34" s="146"/>
      <c r="CF34" s="146"/>
      <c r="CG34" s="146">
        <f>0.006%+0.009%</f>
        <v>1.4999999999999999E-4</v>
      </c>
      <c r="CH34" s="146"/>
      <c r="CI34" s="146"/>
      <c r="CJ34" s="146">
        <f>0.006%+0.007%</f>
        <v>1.3000000000000002E-4</v>
      </c>
      <c r="CK34" s="146"/>
      <c r="CL34" s="146"/>
      <c r="CM34" s="57"/>
      <c r="CN34" s="57"/>
      <c r="CO34" s="57"/>
      <c r="CP34" s="56"/>
      <c r="CQ34" s="57"/>
      <c r="CR34" s="58"/>
      <c r="CS34" s="57"/>
      <c r="CT34" s="57"/>
      <c r="CU34" s="57"/>
      <c r="CV34" s="56"/>
      <c r="CW34" s="57"/>
      <c r="CX34" s="58"/>
      <c r="CY34" s="56"/>
      <c r="CZ34" s="57"/>
      <c r="DA34" s="58"/>
      <c r="DB34" s="57"/>
      <c r="DC34" s="57"/>
      <c r="DD34" s="57"/>
      <c r="DE34" s="56"/>
      <c r="DF34" s="57"/>
      <c r="DG34" s="58"/>
      <c r="DH34" s="56"/>
      <c r="DI34" s="57"/>
      <c r="DJ34" s="58"/>
      <c r="DK34" s="56"/>
      <c r="DL34" s="57"/>
      <c r="DM34" s="58"/>
      <c r="DN34" s="56"/>
      <c r="DO34" s="57"/>
      <c r="DP34" s="58"/>
      <c r="DQ34" s="56"/>
      <c r="DR34" s="57"/>
      <c r="DS34" s="58"/>
      <c r="DT34" s="57"/>
      <c r="DU34" s="57"/>
      <c r="DV34" s="62"/>
      <c r="DX34" s="213">
        <f>SUM(R34:DV34)</f>
        <v>9.0999999999999989E-4</v>
      </c>
      <c r="DY34" s="1"/>
      <c r="DZ34" s="1"/>
      <c r="EA34" s="1"/>
      <c r="EB34" s="1"/>
    </row>
    <row r="35" spans="5:132" s="6" customFormat="1" ht="6.95" customHeight="1">
      <c r="F35" s="143"/>
      <c r="G35" s="144"/>
      <c r="H35" s="55">
        <v>2</v>
      </c>
      <c r="L35" s="374"/>
      <c r="M35" s="370"/>
      <c r="N35" s="303"/>
      <c r="O35" s="300"/>
      <c r="P35" s="246"/>
      <c r="Q35" s="184"/>
      <c r="R35" s="63"/>
      <c r="S35" s="42"/>
      <c r="T35" s="42"/>
      <c r="U35" s="42"/>
      <c r="V35" s="41"/>
      <c r="W35" s="42"/>
      <c r="X35" s="43"/>
      <c r="Y35" s="41"/>
      <c r="Z35" s="42"/>
      <c r="AA35" s="43"/>
      <c r="AB35" s="64"/>
      <c r="AC35" s="65"/>
      <c r="AD35" s="66"/>
      <c r="AE35" s="64"/>
      <c r="AF35" s="65"/>
      <c r="AG35" s="66"/>
      <c r="AH35" s="64"/>
      <c r="AI35" s="65"/>
      <c r="AJ35" s="66"/>
      <c r="AK35" s="64"/>
      <c r="AL35" s="65"/>
      <c r="AM35" s="66"/>
      <c r="AN35" s="64"/>
      <c r="AO35" s="65"/>
      <c r="AP35" s="66"/>
      <c r="AQ35" s="64"/>
      <c r="AR35" s="65"/>
      <c r="AS35" s="66"/>
      <c r="AT35" s="64"/>
      <c r="AU35" s="65"/>
      <c r="AV35" s="66"/>
      <c r="AW35" s="64"/>
      <c r="AX35" s="65"/>
      <c r="AY35" s="66"/>
      <c r="AZ35" s="42"/>
      <c r="BA35" s="42"/>
      <c r="BB35" s="42"/>
      <c r="BC35" s="41"/>
      <c r="BD35" s="42"/>
      <c r="BE35" s="43"/>
      <c r="BF35" s="41"/>
      <c r="BG35" s="42"/>
      <c r="BH35" s="43"/>
      <c r="BI35" s="41"/>
      <c r="BJ35" s="42"/>
      <c r="BK35" s="43"/>
      <c r="BL35" s="42"/>
      <c r="BM35" s="42"/>
      <c r="BN35" s="42"/>
      <c r="BO35" s="41"/>
      <c r="BP35" s="42"/>
      <c r="BQ35" s="42"/>
      <c r="BR35" s="67"/>
      <c r="BS35" s="42"/>
      <c r="BT35" s="68"/>
      <c r="BU35" s="42"/>
      <c r="BV35" s="42"/>
      <c r="BW35" s="43"/>
      <c r="BX35" s="42"/>
      <c r="BY35" s="42"/>
      <c r="BZ35" s="43"/>
      <c r="CA35" s="41"/>
      <c r="CB35" s="42"/>
      <c r="CC35" s="43"/>
      <c r="CD35" s="64"/>
      <c r="CE35" s="65"/>
      <c r="CF35" s="66"/>
      <c r="CG35" s="64"/>
      <c r="CH35" s="65"/>
      <c r="CI35" s="66"/>
      <c r="CJ35" s="64"/>
      <c r="CK35" s="65"/>
      <c r="CL35" s="66"/>
      <c r="CM35" s="42"/>
      <c r="CN35" s="42"/>
      <c r="CO35" s="42"/>
      <c r="CP35" s="41"/>
      <c r="CQ35" s="42"/>
      <c r="CR35" s="43"/>
      <c r="CS35" s="42"/>
      <c r="CT35" s="42"/>
      <c r="CU35" s="42"/>
      <c r="CV35" s="41"/>
      <c r="CW35" s="42"/>
      <c r="CX35" s="43"/>
      <c r="CY35" s="41"/>
      <c r="CZ35" s="42"/>
      <c r="DA35" s="43"/>
      <c r="DB35" s="42"/>
      <c r="DC35" s="42"/>
      <c r="DD35" s="42"/>
      <c r="DE35" s="41"/>
      <c r="DF35" s="42"/>
      <c r="DG35" s="43"/>
      <c r="DH35" s="41"/>
      <c r="DI35" s="42"/>
      <c r="DJ35" s="43"/>
      <c r="DK35" s="41"/>
      <c r="DL35" s="42"/>
      <c r="DM35" s="43"/>
      <c r="DN35" s="41"/>
      <c r="DO35" s="42"/>
      <c r="DP35" s="43"/>
      <c r="DQ35" s="41"/>
      <c r="DR35" s="42"/>
      <c r="DS35" s="43"/>
      <c r="DT35" s="42"/>
      <c r="DU35" s="42"/>
      <c r="DV35" s="44"/>
      <c r="DX35" s="213"/>
      <c r="DY35" s="1"/>
      <c r="DZ35" s="1"/>
      <c r="EA35" s="1"/>
      <c r="EB35" s="1"/>
    </row>
    <row r="36" spans="5:132" s="6" customFormat="1" ht="9.9499999999999993" customHeight="1">
      <c r="F36" s="143">
        <f t="shared" ref="F36" si="3">DX36</f>
        <v>2.4600000000000004E-3</v>
      </c>
      <c r="G36" s="144">
        <f>Q36-F36</f>
        <v>0</v>
      </c>
      <c r="H36" s="27">
        <v>1</v>
      </c>
      <c r="J36" s="6" t="s">
        <v>179</v>
      </c>
      <c r="K36" s="6" t="s">
        <v>180</v>
      </c>
      <c r="L36" s="230"/>
      <c r="M36" s="233" t="s">
        <v>32</v>
      </c>
      <c r="N36" s="234">
        <v>7466</v>
      </c>
      <c r="O36" s="235" t="s">
        <v>35</v>
      </c>
      <c r="P36" s="249">
        <v>512269</v>
      </c>
      <c r="Q36" s="183">
        <f>ROUND(P36/$P$256,5)</f>
        <v>2.4599999999999999E-3</v>
      </c>
      <c r="R36" s="21"/>
      <c r="S36" s="148">
        <f>0.011%*0.3</f>
        <v>3.2999999999999996E-5</v>
      </c>
      <c r="T36" s="167"/>
      <c r="U36" s="167"/>
      <c r="V36" s="150">
        <f>0.022%*0.3</f>
        <v>6.5999999999999992E-5</v>
      </c>
      <c r="W36" s="150"/>
      <c r="X36" s="150"/>
      <c r="Y36" s="150">
        <f>0.023%*0.3</f>
        <v>6.8999999999999997E-5</v>
      </c>
      <c r="Z36" s="150"/>
      <c r="AA36" s="150"/>
      <c r="AB36" s="150">
        <f>0.023%*0.3</f>
        <v>6.8999999999999997E-5</v>
      </c>
      <c r="AC36" s="150"/>
      <c r="AD36" s="150"/>
      <c r="AE36" s="146">
        <f>0.031%*0.3</f>
        <v>9.2999999999999997E-5</v>
      </c>
      <c r="AF36" s="146"/>
      <c r="AG36" s="146"/>
      <c r="AH36" s="146">
        <f>0.031%*0.3</f>
        <v>9.2999999999999997E-5</v>
      </c>
      <c r="AI36" s="146"/>
      <c r="AJ36" s="146"/>
      <c r="AK36" s="146">
        <f>0.021%*0.2</f>
        <v>4.2000000000000004E-5</v>
      </c>
      <c r="AL36" s="146"/>
      <c r="AM36" s="146"/>
      <c r="AN36" s="146">
        <f>0.021%*0.2</f>
        <v>4.2000000000000004E-5</v>
      </c>
      <c r="AO36" s="146"/>
      <c r="AP36" s="146"/>
      <c r="AQ36" s="146">
        <f>0.021%*0.2</f>
        <v>4.2000000000000004E-5</v>
      </c>
      <c r="AR36" s="146"/>
      <c r="AS36" s="146"/>
      <c r="AT36" s="69"/>
      <c r="AU36" s="70"/>
      <c r="AV36" s="70"/>
      <c r="AW36" s="146">
        <v>4.7800000000000002E-4</v>
      </c>
      <c r="AX36" s="146"/>
      <c r="AY36" s="146"/>
      <c r="AZ36" s="146">
        <v>4.7800000000000002E-4</v>
      </c>
      <c r="BA36" s="146"/>
      <c r="BB36" s="146"/>
      <c r="BC36" s="146">
        <v>4.7800000000000002E-4</v>
      </c>
      <c r="BD36" s="146"/>
      <c r="BE36" s="146"/>
      <c r="BF36" s="146">
        <v>4.7699999999999999E-4</v>
      </c>
      <c r="BG36" s="146"/>
      <c r="BH36" s="146"/>
      <c r="BI36" s="150"/>
      <c r="BJ36" s="150"/>
      <c r="BK36" s="150"/>
      <c r="BL36" s="70"/>
      <c r="BM36" s="70"/>
      <c r="BN36" s="70"/>
      <c r="BO36" s="69"/>
      <c r="BP36" s="70"/>
      <c r="BQ36" s="70"/>
      <c r="BR36" s="73"/>
      <c r="BS36" s="70"/>
      <c r="BT36" s="74"/>
      <c r="BU36" s="70"/>
      <c r="BV36" s="70"/>
      <c r="BW36" s="71"/>
      <c r="BX36" s="70"/>
      <c r="BY36" s="70"/>
      <c r="BZ36" s="71"/>
      <c r="CA36" s="69"/>
      <c r="CB36" s="70"/>
      <c r="CC36" s="71"/>
      <c r="CD36" s="69"/>
      <c r="CE36" s="70"/>
      <c r="CF36" s="71"/>
      <c r="CG36" s="69"/>
      <c r="CH36" s="70"/>
      <c r="CI36" s="71"/>
      <c r="CJ36" s="69"/>
      <c r="CK36" s="70"/>
      <c r="CL36" s="71"/>
      <c r="CM36" s="70"/>
      <c r="CN36" s="70"/>
      <c r="CO36" s="70"/>
      <c r="CP36" s="69"/>
      <c r="CQ36" s="70"/>
      <c r="CR36" s="71"/>
      <c r="CS36" s="70"/>
      <c r="CT36" s="70"/>
      <c r="CU36" s="70"/>
      <c r="CV36" s="69"/>
      <c r="CW36" s="70"/>
      <c r="CX36" s="71"/>
      <c r="CY36" s="69"/>
      <c r="CZ36" s="70"/>
      <c r="DA36" s="71"/>
      <c r="DB36" s="70"/>
      <c r="DC36" s="70"/>
      <c r="DD36" s="70"/>
      <c r="DE36" s="69"/>
      <c r="DF36" s="70"/>
      <c r="DG36" s="71"/>
      <c r="DH36" s="69"/>
      <c r="DI36" s="70"/>
      <c r="DJ36" s="71"/>
      <c r="DK36" s="69"/>
      <c r="DL36" s="70"/>
      <c r="DM36" s="71"/>
      <c r="DN36" s="69"/>
      <c r="DO36" s="70"/>
      <c r="DP36" s="71"/>
      <c r="DQ36" s="69"/>
      <c r="DR36" s="70"/>
      <c r="DS36" s="71"/>
      <c r="DT36" s="70"/>
      <c r="DU36" s="70"/>
      <c r="DV36" s="75"/>
      <c r="DX36" s="213">
        <f>SUM(R36:DV36)</f>
        <v>2.4600000000000004E-3</v>
      </c>
      <c r="DY36" s="1"/>
      <c r="DZ36" s="1"/>
      <c r="EA36" s="1"/>
      <c r="EB36" s="1"/>
    </row>
    <row r="37" spans="5:132" s="6" customFormat="1" ht="6.95" customHeight="1">
      <c r="F37" s="143"/>
      <c r="G37" s="144"/>
      <c r="H37" s="55">
        <v>2</v>
      </c>
      <c r="L37" s="272"/>
      <c r="M37" s="317"/>
      <c r="N37" s="303"/>
      <c r="O37" s="300"/>
      <c r="P37" s="246"/>
      <c r="Q37" s="184"/>
      <c r="R37" s="63"/>
      <c r="S37" s="64"/>
      <c r="T37" s="65"/>
      <c r="U37" s="66"/>
      <c r="V37" s="64"/>
      <c r="W37" s="65"/>
      <c r="X37" s="66"/>
      <c r="Y37" s="64"/>
      <c r="Z37" s="65"/>
      <c r="AA37" s="66"/>
      <c r="AB37" s="64"/>
      <c r="AC37" s="65"/>
      <c r="AD37" s="66"/>
      <c r="AE37" s="64"/>
      <c r="AF37" s="65"/>
      <c r="AG37" s="66"/>
      <c r="AH37" s="64"/>
      <c r="AI37" s="65"/>
      <c r="AJ37" s="66"/>
      <c r="AK37" s="64"/>
      <c r="AL37" s="65"/>
      <c r="AM37" s="66"/>
      <c r="AN37" s="64"/>
      <c r="AO37" s="65"/>
      <c r="AP37" s="66"/>
      <c r="AQ37" s="64"/>
      <c r="AR37" s="65"/>
      <c r="AS37" s="66"/>
      <c r="AT37" s="41"/>
      <c r="AU37" s="42"/>
      <c r="AV37" s="42"/>
      <c r="AW37" s="64"/>
      <c r="AX37" s="65"/>
      <c r="AY37" s="66"/>
      <c r="AZ37" s="64"/>
      <c r="BA37" s="65"/>
      <c r="BB37" s="66"/>
      <c r="BC37" s="64"/>
      <c r="BD37" s="65"/>
      <c r="BE37" s="66"/>
      <c r="BF37" s="64"/>
      <c r="BG37" s="65"/>
      <c r="BH37" s="66"/>
      <c r="BI37" s="41"/>
      <c r="BJ37" s="42"/>
      <c r="BK37" s="43"/>
      <c r="BL37" s="42"/>
      <c r="BM37" s="42"/>
      <c r="BN37" s="42"/>
      <c r="BO37" s="41"/>
      <c r="BP37" s="42"/>
      <c r="BQ37" s="42"/>
      <c r="BR37" s="67"/>
      <c r="BS37" s="42"/>
      <c r="BT37" s="68"/>
      <c r="BU37" s="42"/>
      <c r="BV37" s="42"/>
      <c r="BW37" s="43"/>
      <c r="BX37" s="42"/>
      <c r="BY37" s="42"/>
      <c r="BZ37" s="43"/>
      <c r="CA37" s="41"/>
      <c r="CB37" s="42"/>
      <c r="CC37" s="43"/>
      <c r="CD37" s="41"/>
      <c r="CE37" s="42"/>
      <c r="CF37" s="43"/>
      <c r="CG37" s="41"/>
      <c r="CH37" s="42"/>
      <c r="CI37" s="43"/>
      <c r="CJ37" s="41"/>
      <c r="CK37" s="42"/>
      <c r="CL37" s="43"/>
      <c r="CM37" s="42"/>
      <c r="CN37" s="42"/>
      <c r="CO37" s="42"/>
      <c r="CP37" s="41"/>
      <c r="CQ37" s="42"/>
      <c r="CR37" s="43"/>
      <c r="CS37" s="42"/>
      <c r="CT37" s="42"/>
      <c r="CU37" s="42"/>
      <c r="CV37" s="41"/>
      <c r="CW37" s="42"/>
      <c r="CX37" s="43"/>
      <c r="CY37" s="41"/>
      <c r="CZ37" s="42"/>
      <c r="DA37" s="43"/>
      <c r="DB37" s="42"/>
      <c r="DC37" s="42"/>
      <c r="DD37" s="42"/>
      <c r="DE37" s="41"/>
      <c r="DF37" s="42"/>
      <c r="DG37" s="43"/>
      <c r="DH37" s="41"/>
      <c r="DI37" s="42"/>
      <c r="DJ37" s="43"/>
      <c r="DK37" s="41"/>
      <c r="DL37" s="42"/>
      <c r="DM37" s="43"/>
      <c r="DN37" s="41"/>
      <c r="DO37" s="42"/>
      <c r="DP37" s="43"/>
      <c r="DQ37" s="41"/>
      <c r="DR37" s="42"/>
      <c r="DS37" s="43"/>
      <c r="DT37" s="42"/>
      <c r="DU37" s="42"/>
      <c r="DV37" s="44"/>
      <c r="DX37" s="213"/>
      <c r="DY37" s="1"/>
      <c r="DZ37" s="1"/>
      <c r="EA37" s="1"/>
      <c r="EB37" s="1"/>
    </row>
    <row r="38" spans="5:132" s="6" customFormat="1" ht="9.9499999999999993" customHeight="1">
      <c r="F38" s="143">
        <f t="shared" ref="F38" si="4">DX38</f>
        <v>2.2000000000000001E-4</v>
      </c>
      <c r="G38" s="144">
        <f>Q38-F38</f>
        <v>0</v>
      </c>
      <c r="H38" s="27">
        <v>1</v>
      </c>
      <c r="K38" s="6" t="s">
        <v>181</v>
      </c>
      <c r="L38" s="230"/>
      <c r="M38" s="233" t="s">
        <v>33</v>
      </c>
      <c r="N38" s="234">
        <v>17864</v>
      </c>
      <c r="O38" s="235" t="s">
        <v>34</v>
      </c>
      <c r="P38" s="249">
        <v>46732</v>
      </c>
      <c r="Q38" s="183">
        <f>ROUND(P38/$P$256,5)</f>
        <v>2.2000000000000001E-4</v>
      </c>
      <c r="R38" s="21"/>
      <c r="S38" s="167">
        <f>0.002%*0.3</f>
        <v>6.0000000000000002E-6</v>
      </c>
      <c r="T38" s="167"/>
      <c r="U38" s="167"/>
      <c r="V38" s="166">
        <f>0.002%*0.3</f>
        <v>6.0000000000000002E-6</v>
      </c>
      <c r="W38" s="167"/>
      <c r="X38" s="165"/>
      <c r="Y38" s="166">
        <f>0.002%*0.3</f>
        <v>6.0000000000000002E-6</v>
      </c>
      <c r="Z38" s="167"/>
      <c r="AA38" s="165"/>
      <c r="AB38" s="166">
        <f>0.002%*0.3</f>
        <v>6.0000000000000002E-6</v>
      </c>
      <c r="AC38" s="167"/>
      <c r="AD38" s="165"/>
      <c r="AE38" s="166">
        <f>0.002%*0.3</f>
        <v>6.0000000000000002E-6</v>
      </c>
      <c r="AF38" s="167"/>
      <c r="AG38" s="165"/>
      <c r="AH38" s="166">
        <f>0.002%*0.3</f>
        <v>6.0000000000000002E-6</v>
      </c>
      <c r="AI38" s="167"/>
      <c r="AJ38" s="165"/>
      <c r="AK38" s="166">
        <f>0.002%*0.2</f>
        <v>4.0000000000000007E-6</v>
      </c>
      <c r="AL38" s="167"/>
      <c r="AM38" s="165"/>
      <c r="AN38" s="166">
        <f>0.002%*0.2</f>
        <v>4.0000000000000007E-6</v>
      </c>
      <c r="AO38" s="167"/>
      <c r="AP38" s="165"/>
      <c r="AQ38" s="166">
        <f>0.002%*0.2</f>
        <v>4.0000000000000007E-6</v>
      </c>
      <c r="AR38" s="167"/>
      <c r="AS38" s="165"/>
      <c r="AT38" s="166">
        <v>2.9E-5</v>
      </c>
      <c r="AU38" s="167"/>
      <c r="AV38" s="165"/>
      <c r="AW38" s="166">
        <v>2.9E-5</v>
      </c>
      <c r="AX38" s="167"/>
      <c r="AY38" s="165"/>
      <c r="AZ38" s="166">
        <v>2.9E-5</v>
      </c>
      <c r="BA38" s="167"/>
      <c r="BB38" s="165"/>
      <c r="BC38" s="72"/>
      <c r="BD38" s="77"/>
      <c r="BE38" s="78"/>
      <c r="BF38" s="166"/>
      <c r="BG38" s="167"/>
      <c r="BH38" s="165"/>
      <c r="BI38" s="72"/>
      <c r="BJ38" s="77"/>
      <c r="BK38" s="78"/>
      <c r="BL38" s="70"/>
      <c r="BM38" s="70"/>
      <c r="BN38" s="70"/>
      <c r="BO38" s="69"/>
      <c r="BP38" s="70"/>
      <c r="BQ38" s="70"/>
      <c r="BR38" s="365"/>
      <c r="BS38" s="167"/>
      <c r="BT38" s="366"/>
      <c r="BU38" s="70"/>
      <c r="BV38" s="70"/>
      <c r="BW38" s="71"/>
      <c r="BX38" s="70"/>
      <c r="BY38" s="70"/>
      <c r="BZ38" s="71"/>
      <c r="CA38" s="69"/>
      <c r="CB38" s="70"/>
      <c r="CC38" s="71"/>
      <c r="CD38" s="166">
        <v>2.9E-5</v>
      </c>
      <c r="CE38" s="167"/>
      <c r="CF38" s="165"/>
      <c r="CG38" s="166">
        <v>2.9E-5</v>
      </c>
      <c r="CH38" s="167"/>
      <c r="CI38" s="165"/>
      <c r="CJ38" s="166">
        <v>2.6999999999999999E-5</v>
      </c>
      <c r="CK38" s="167"/>
      <c r="CL38" s="165"/>
      <c r="CM38" s="70"/>
      <c r="CN38" s="70"/>
      <c r="CO38" s="70"/>
      <c r="CP38" s="69"/>
      <c r="CQ38" s="70"/>
      <c r="CR38" s="71"/>
      <c r="CS38" s="70"/>
      <c r="CT38" s="70"/>
      <c r="CU38" s="70"/>
      <c r="CV38" s="69"/>
      <c r="CW38" s="70"/>
      <c r="CX38" s="71"/>
      <c r="CY38" s="69"/>
      <c r="CZ38" s="70"/>
      <c r="DA38" s="71"/>
      <c r="DB38" s="70"/>
      <c r="DC38" s="70"/>
      <c r="DD38" s="70"/>
      <c r="DE38" s="69"/>
      <c r="DF38" s="70"/>
      <c r="DG38" s="71"/>
      <c r="DH38" s="69"/>
      <c r="DI38" s="70"/>
      <c r="DJ38" s="71"/>
      <c r="DK38" s="69"/>
      <c r="DL38" s="70"/>
      <c r="DM38" s="71"/>
      <c r="DN38" s="69"/>
      <c r="DO38" s="70"/>
      <c r="DP38" s="71"/>
      <c r="DQ38" s="69"/>
      <c r="DR38" s="70"/>
      <c r="DS38" s="71"/>
      <c r="DT38" s="70"/>
      <c r="DU38" s="70"/>
      <c r="DV38" s="75"/>
      <c r="DX38" s="213">
        <f>SUM(R38:DV38)</f>
        <v>2.2000000000000001E-4</v>
      </c>
      <c r="DY38" s="1"/>
      <c r="DZ38" s="1"/>
      <c r="EA38" s="1"/>
      <c r="EB38" s="1"/>
    </row>
    <row r="39" spans="5:132" s="6" customFormat="1" ht="6.95" customHeight="1">
      <c r="F39" s="143"/>
      <c r="G39" s="144"/>
      <c r="H39" s="55">
        <v>2</v>
      </c>
      <c r="L39" s="230"/>
      <c r="M39" s="233"/>
      <c r="N39" s="234"/>
      <c r="O39" s="236"/>
      <c r="P39" s="249"/>
      <c r="Q39" s="184"/>
      <c r="R39" s="76"/>
      <c r="S39" s="64"/>
      <c r="T39" s="65"/>
      <c r="U39" s="66"/>
      <c r="V39" s="64"/>
      <c r="W39" s="65"/>
      <c r="X39" s="66"/>
      <c r="Y39" s="64"/>
      <c r="Z39" s="65"/>
      <c r="AA39" s="66"/>
      <c r="AB39" s="64"/>
      <c r="AC39" s="65"/>
      <c r="AD39" s="66"/>
      <c r="AE39" s="64"/>
      <c r="AF39" s="65"/>
      <c r="AG39" s="66"/>
      <c r="AH39" s="64"/>
      <c r="AI39" s="65"/>
      <c r="AJ39" s="66"/>
      <c r="AK39" s="64"/>
      <c r="AL39" s="65"/>
      <c r="AM39" s="66"/>
      <c r="AN39" s="64"/>
      <c r="AO39" s="65"/>
      <c r="AP39" s="66"/>
      <c r="AQ39" s="64"/>
      <c r="AR39" s="65"/>
      <c r="AS39" s="66"/>
      <c r="AT39" s="64"/>
      <c r="AU39" s="65"/>
      <c r="AV39" s="66"/>
      <c r="AW39" s="64"/>
      <c r="AX39" s="65"/>
      <c r="AY39" s="66"/>
      <c r="AZ39" s="64"/>
      <c r="BA39" s="65"/>
      <c r="BB39" s="66"/>
      <c r="BC39" s="69"/>
      <c r="BD39" s="70"/>
      <c r="BE39" s="71"/>
      <c r="BF39" s="69"/>
      <c r="BG39" s="70"/>
      <c r="BH39" s="71"/>
      <c r="BI39" s="69"/>
      <c r="BJ39" s="70"/>
      <c r="BK39" s="71"/>
      <c r="BL39" s="70"/>
      <c r="BM39" s="70"/>
      <c r="BN39" s="70"/>
      <c r="BO39" s="69"/>
      <c r="BP39" s="70"/>
      <c r="BQ39" s="70"/>
      <c r="BR39" s="73"/>
      <c r="BS39" s="70"/>
      <c r="BT39" s="74"/>
      <c r="BU39" s="70"/>
      <c r="BV39" s="70"/>
      <c r="BW39" s="71"/>
      <c r="BX39" s="70"/>
      <c r="BY39" s="70"/>
      <c r="BZ39" s="71"/>
      <c r="CA39" s="69"/>
      <c r="CB39" s="70"/>
      <c r="CC39" s="71"/>
      <c r="CD39" s="64"/>
      <c r="CE39" s="65"/>
      <c r="CF39" s="66"/>
      <c r="CG39" s="64"/>
      <c r="CH39" s="65"/>
      <c r="CI39" s="66"/>
      <c r="CJ39" s="64"/>
      <c r="CK39" s="65"/>
      <c r="CL39" s="66"/>
      <c r="CM39" s="70"/>
      <c r="CN39" s="70"/>
      <c r="CO39" s="70"/>
      <c r="CP39" s="69"/>
      <c r="CQ39" s="70"/>
      <c r="CR39" s="71"/>
      <c r="CS39" s="70"/>
      <c r="CT39" s="70"/>
      <c r="CU39" s="70"/>
      <c r="CV39" s="69"/>
      <c r="CW39" s="70"/>
      <c r="CX39" s="71"/>
      <c r="CY39" s="69"/>
      <c r="CZ39" s="70"/>
      <c r="DA39" s="71"/>
      <c r="DB39" s="70"/>
      <c r="DC39" s="70"/>
      <c r="DD39" s="70"/>
      <c r="DE39" s="69"/>
      <c r="DF39" s="70"/>
      <c r="DG39" s="71"/>
      <c r="DH39" s="69"/>
      <c r="DI39" s="70"/>
      <c r="DJ39" s="71"/>
      <c r="DK39" s="69"/>
      <c r="DL39" s="70"/>
      <c r="DM39" s="71"/>
      <c r="DN39" s="69"/>
      <c r="DO39" s="70"/>
      <c r="DP39" s="71"/>
      <c r="DQ39" s="69"/>
      <c r="DR39" s="70"/>
      <c r="DS39" s="71"/>
      <c r="DT39" s="70"/>
      <c r="DU39" s="70"/>
      <c r="DV39" s="75"/>
      <c r="DX39" s="213"/>
      <c r="DY39" s="1"/>
      <c r="DZ39" s="1"/>
      <c r="EA39" s="1"/>
      <c r="EB39" s="1"/>
    </row>
    <row r="40" spans="5:132" s="6" customFormat="1" ht="9.9499999999999993" customHeight="1">
      <c r="F40" s="143">
        <f t="shared" ref="F40" si="5">DX40</f>
        <v>1E-3</v>
      </c>
      <c r="G40" s="144">
        <f>Q40-F40</f>
        <v>0</v>
      </c>
      <c r="H40" s="27">
        <v>1</v>
      </c>
      <c r="J40" s="6" t="s">
        <v>182</v>
      </c>
      <c r="K40" s="6" t="s">
        <v>183</v>
      </c>
      <c r="L40" s="271"/>
      <c r="M40" s="316" t="s">
        <v>138</v>
      </c>
      <c r="N40" s="302">
        <v>527572</v>
      </c>
      <c r="O40" s="299" t="s">
        <v>262</v>
      </c>
      <c r="P40" s="245">
        <v>208293</v>
      </c>
      <c r="Q40" s="183">
        <f>ROUND(P40/$P$256,5)</f>
        <v>1E-3</v>
      </c>
      <c r="R40" s="79"/>
      <c r="S40" s="201"/>
      <c r="T40" s="148"/>
      <c r="U40" s="148"/>
      <c r="V40" s="147"/>
      <c r="W40" s="148"/>
      <c r="X40" s="149"/>
      <c r="Y40" s="147"/>
      <c r="Z40" s="148"/>
      <c r="AA40" s="149"/>
      <c r="AB40" s="147">
        <f>0.01%*0.3</f>
        <v>3.0000000000000001E-5</v>
      </c>
      <c r="AC40" s="148"/>
      <c r="AD40" s="149"/>
      <c r="AE40" s="147">
        <f>0.01%*0.3</f>
        <v>3.0000000000000001E-5</v>
      </c>
      <c r="AF40" s="148"/>
      <c r="AG40" s="149"/>
      <c r="AH40" s="147">
        <f>0.01%*0.3</f>
        <v>3.0000000000000001E-5</v>
      </c>
      <c r="AI40" s="148"/>
      <c r="AJ40" s="149"/>
      <c r="AK40" s="147">
        <f>0.02%*0.2</f>
        <v>4.0000000000000003E-5</v>
      </c>
      <c r="AL40" s="148"/>
      <c r="AM40" s="149"/>
      <c r="AN40" s="147">
        <f>0.01%*0.2</f>
        <v>2.0000000000000002E-5</v>
      </c>
      <c r="AO40" s="148"/>
      <c r="AP40" s="149"/>
      <c r="AQ40" s="147">
        <f>0.01%*0.2</f>
        <v>2.0000000000000002E-5</v>
      </c>
      <c r="AR40" s="148"/>
      <c r="AS40" s="149"/>
      <c r="AT40" s="147">
        <v>2.7700000000000001E-4</v>
      </c>
      <c r="AU40" s="148"/>
      <c r="AV40" s="149"/>
      <c r="AW40" s="147">
        <v>2.7700000000000001E-4</v>
      </c>
      <c r="AX40" s="148"/>
      <c r="AY40" s="149"/>
      <c r="AZ40" s="147">
        <v>2.7599999999999999E-4</v>
      </c>
      <c r="BA40" s="148"/>
      <c r="BB40" s="149"/>
      <c r="BC40" s="147"/>
      <c r="BD40" s="148"/>
      <c r="BE40" s="149"/>
      <c r="BF40" s="147"/>
      <c r="BG40" s="148"/>
      <c r="BH40" s="149"/>
      <c r="BI40" s="147"/>
      <c r="BJ40" s="148"/>
      <c r="BK40" s="149"/>
      <c r="BL40" s="57"/>
      <c r="BM40" s="57"/>
      <c r="BN40" s="57"/>
      <c r="BO40" s="56"/>
      <c r="BP40" s="57"/>
      <c r="BQ40" s="57"/>
      <c r="BR40" s="60"/>
      <c r="BS40" s="57"/>
      <c r="BT40" s="61"/>
      <c r="BU40" s="57"/>
      <c r="BV40" s="57"/>
      <c r="BW40" s="58"/>
      <c r="BX40" s="57"/>
      <c r="BY40" s="57"/>
      <c r="BZ40" s="57"/>
      <c r="CA40" s="56"/>
      <c r="CB40" s="57"/>
      <c r="CC40" s="58"/>
      <c r="CD40" s="59"/>
      <c r="CE40" s="57"/>
      <c r="CF40" s="58"/>
      <c r="CG40" s="59"/>
      <c r="CH40" s="80"/>
      <c r="CI40" s="81"/>
      <c r="CJ40" s="59"/>
      <c r="CK40" s="57"/>
      <c r="CL40" s="58"/>
      <c r="CM40" s="57"/>
      <c r="CN40" s="57"/>
      <c r="CO40" s="57"/>
      <c r="CP40" s="56"/>
      <c r="CQ40" s="57"/>
      <c r="CR40" s="58"/>
      <c r="CS40" s="80"/>
      <c r="CT40" s="57"/>
      <c r="CU40" s="57"/>
      <c r="CV40" s="59"/>
      <c r="CW40" s="57"/>
      <c r="CX40" s="58"/>
      <c r="CY40" s="59"/>
      <c r="CZ40" s="57"/>
      <c r="DA40" s="58"/>
      <c r="DB40" s="57"/>
      <c r="DC40" s="57"/>
      <c r="DD40" s="57"/>
      <c r="DE40" s="59"/>
      <c r="DF40" s="57"/>
      <c r="DG40" s="58"/>
      <c r="DH40" s="59"/>
      <c r="DI40" s="57"/>
      <c r="DJ40" s="58"/>
      <c r="DK40" s="59"/>
      <c r="DL40" s="57"/>
      <c r="DM40" s="58"/>
      <c r="DN40" s="59"/>
      <c r="DO40" s="57"/>
      <c r="DP40" s="58"/>
      <c r="DQ40" s="59"/>
      <c r="DR40" s="57"/>
      <c r="DS40" s="58"/>
      <c r="DT40" s="80"/>
      <c r="DU40" s="57"/>
      <c r="DV40" s="62"/>
      <c r="DX40" s="213">
        <f>SUM(R40:DV40)</f>
        <v>1E-3</v>
      </c>
      <c r="DY40" s="1"/>
      <c r="DZ40" s="1"/>
      <c r="EA40" s="1"/>
      <c r="EB40" s="1"/>
    </row>
    <row r="41" spans="5:132" s="6" customFormat="1" ht="6.95" customHeight="1">
      <c r="F41" s="143"/>
      <c r="G41" s="144"/>
      <c r="H41" s="55">
        <v>2</v>
      </c>
      <c r="L41" s="272"/>
      <c r="M41" s="317"/>
      <c r="N41" s="303"/>
      <c r="O41" s="300"/>
      <c r="P41" s="246"/>
      <c r="Q41" s="184"/>
      <c r="R41" s="63"/>
      <c r="S41" s="42"/>
      <c r="T41" s="42"/>
      <c r="U41" s="42"/>
      <c r="V41" s="41"/>
      <c r="W41" s="42"/>
      <c r="X41" s="43"/>
      <c r="Y41" s="41"/>
      <c r="Z41" s="42"/>
      <c r="AA41" s="43"/>
      <c r="AB41" s="64"/>
      <c r="AC41" s="65"/>
      <c r="AD41" s="66"/>
      <c r="AE41" s="64"/>
      <c r="AF41" s="65"/>
      <c r="AG41" s="66"/>
      <c r="AH41" s="64"/>
      <c r="AI41" s="65"/>
      <c r="AJ41" s="66"/>
      <c r="AK41" s="64"/>
      <c r="AL41" s="65"/>
      <c r="AM41" s="66"/>
      <c r="AN41" s="64"/>
      <c r="AO41" s="65"/>
      <c r="AP41" s="66"/>
      <c r="AQ41" s="64"/>
      <c r="AR41" s="65"/>
      <c r="AS41" s="66"/>
      <c r="AT41" s="64"/>
      <c r="AU41" s="65"/>
      <c r="AV41" s="66"/>
      <c r="AW41" s="64"/>
      <c r="AX41" s="65"/>
      <c r="AY41" s="66"/>
      <c r="AZ41" s="64"/>
      <c r="BA41" s="65"/>
      <c r="BB41" s="66"/>
      <c r="BC41" s="69"/>
      <c r="BD41" s="70"/>
      <c r="BE41" s="71"/>
      <c r="BF41" s="69"/>
      <c r="BG41" s="70"/>
      <c r="BH41" s="71"/>
      <c r="BI41" s="41"/>
      <c r="BJ41" s="42"/>
      <c r="BK41" s="43"/>
      <c r="BL41" s="42"/>
      <c r="BM41" s="42"/>
      <c r="BN41" s="42"/>
      <c r="BO41" s="41"/>
      <c r="BP41" s="42"/>
      <c r="BQ41" s="42"/>
      <c r="BR41" s="67"/>
      <c r="BS41" s="42"/>
      <c r="BT41" s="68"/>
      <c r="BU41" s="42"/>
      <c r="BV41" s="42"/>
      <c r="BW41" s="43"/>
      <c r="BX41" s="42"/>
      <c r="BY41" s="42"/>
      <c r="BZ41" s="42"/>
      <c r="CA41" s="41"/>
      <c r="CB41" s="42"/>
      <c r="CC41" s="43"/>
      <c r="CD41" s="41"/>
      <c r="CE41" s="42"/>
      <c r="CF41" s="43"/>
      <c r="CG41" s="41"/>
      <c r="CH41" s="42"/>
      <c r="CI41" s="43"/>
      <c r="CJ41" s="41"/>
      <c r="CK41" s="42"/>
      <c r="CL41" s="43"/>
      <c r="CM41" s="42"/>
      <c r="CN41" s="42"/>
      <c r="CO41" s="42"/>
      <c r="CP41" s="41"/>
      <c r="CQ41" s="42"/>
      <c r="CR41" s="43"/>
      <c r="CS41" s="42"/>
      <c r="CT41" s="42"/>
      <c r="CU41" s="42"/>
      <c r="CV41" s="41"/>
      <c r="CW41" s="42"/>
      <c r="CX41" s="43"/>
      <c r="CY41" s="41"/>
      <c r="CZ41" s="42"/>
      <c r="DA41" s="43"/>
      <c r="DB41" s="42"/>
      <c r="DC41" s="42"/>
      <c r="DD41" s="42"/>
      <c r="DE41" s="41"/>
      <c r="DF41" s="42"/>
      <c r="DG41" s="43"/>
      <c r="DH41" s="41"/>
      <c r="DI41" s="42"/>
      <c r="DJ41" s="43"/>
      <c r="DK41" s="41"/>
      <c r="DL41" s="42"/>
      <c r="DM41" s="43"/>
      <c r="DN41" s="41"/>
      <c r="DO41" s="42"/>
      <c r="DP41" s="43"/>
      <c r="DQ41" s="41"/>
      <c r="DR41" s="42"/>
      <c r="DS41" s="43"/>
      <c r="DT41" s="42"/>
      <c r="DU41" s="42"/>
      <c r="DV41" s="44"/>
      <c r="DX41" s="213"/>
      <c r="DY41" s="1"/>
      <c r="DZ41" s="1"/>
      <c r="EA41" s="1"/>
      <c r="EB41" s="1"/>
    </row>
    <row r="42" spans="5:132" s="6" customFormat="1" ht="9.9499999999999993" customHeight="1">
      <c r="F42" s="143">
        <f t="shared" ref="F42" si="6">DX42</f>
        <v>0.21609000000000009</v>
      </c>
      <c r="G42" s="144">
        <f>Q42-F42</f>
        <v>0</v>
      </c>
      <c r="H42" s="27">
        <v>1</v>
      </c>
      <c r="I42" s="6" t="s">
        <v>185</v>
      </c>
      <c r="J42" s="6" t="s">
        <v>186</v>
      </c>
      <c r="K42" s="6" t="s">
        <v>184</v>
      </c>
      <c r="L42" s="230"/>
      <c r="M42" s="233" t="s">
        <v>263</v>
      </c>
      <c r="N42" s="234">
        <v>6424776</v>
      </c>
      <c r="O42" s="235" t="s">
        <v>264</v>
      </c>
      <c r="P42" s="249">
        <v>44981792</v>
      </c>
      <c r="Q42" s="183">
        <f>ROUND(P42/$P$256,5)+0.00003</f>
        <v>0.21609</v>
      </c>
      <c r="R42" s="21"/>
      <c r="S42" s="201">
        <f>0.048%*0.3</f>
        <v>1.44E-4</v>
      </c>
      <c r="T42" s="148"/>
      <c r="U42" s="148"/>
      <c r="V42" s="150">
        <f>0.2%*0.3</f>
        <v>5.9999999999999995E-4</v>
      </c>
      <c r="W42" s="150"/>
      <c r="X42" s="150"/>
      <c r="Y42" s="150">
        <f>0.25%*0.3</f>
        <v>7.5000000000000002E-4</v>
      </c>
      <c r="Z42" s="150"/>
      <c r="AA42" s="150"/>
      <c r="AB42" s="150">
        <f>0.45%*0.3</f>
        <v>1.3500000000000001E-3</v>
      </c>
      <c r="AC42" s="150"/>
      <c r="AD42" s="150"/>
      <c r="AE42" s="150">
        <f>0.65%*0.3</f>
        <v>1.9500000000000001E-3</v>
      </c>
      <c r="AF42" s="150"/>
      <c r="AG42" s="150"/>
      <c r="AH42" s="150">
        <f>0.95%*0.3</f>
        <v>2.8499999999999997E-3</v>
      </c>
      <c r="AI42" s="150"/>
      <c r="AJ42" s="150"/>
      <c r="AK42" s="150">
        <f>1.05%*0.2</f>
        <v>2.1000000000000003E-3</v>
      </c>
      <c r="AL42" s="150"/>
      <c r="AM42" s="150"/>
      <c r="AN42" s="150">
        <f>1.2%*0.2</f>
        <v>2.4000000000000002E-3</v>
      </c>
      <c r="AO42" s="150"/>
      <c r="AP42" s="150"/>
      <c r="AQ42" s="150">
        <f>1.2%*0.2</f>
        <v>2.4000000000000002E-3</v>
      </c>
      <c r="AR42" s="150"/>
      <c r="AS42" s="150"/>
      <c r="AT42" s="150">
        <f>1.55%+0.2391%</f>
        <v>1.7891000000000001E-2</v>
      </c>
      <c r="AU42" s="150"/>
      <c r="AV42" s="150"/>
      <c r="AW42" s="150">
        <f>1.55%+0.2391%</f>
        <v>1.7891000000000001E-2</v>
      </c>
      <c r="AX42" s="150"/>
      <c r="AY42" s="150"/>
      <c r="AZ42" s="150">
        <f>1.55%+0.2391%</f>
        <v>1.7891000000000001E-2</v>
      </c>
      <c r="BA42" s="150"/>
      <c r="BB42" s="150"/>
      <c r="BC42" s="150">
        <f>1.25%+0.2391%</f>
        <v>1.4891000000000001E-2</v>
      </c>
      <c r="BD42" s="150"/>
      <c r="BE42" s="150"/>
      <c r="BF42" s="150">
        <f>1.25%+0.2391%</f>
        <v>1.4891000000000001E-2</v>
      </c>
      <c r="BG42" s="150"/>
      <c r="BH42" s="150"/>
      <c r="BI42" s="150">
        <f>1.2%+0.2391%</f>
        <v>1.4391000000000001E-2</v>
      </c>
      <c r="BJ42" s="150"/>
      <c r="BK42" s="150"/>
      <c r="BL42" s="150">
        <f>1.05%+0.2391%</f>
        <v>1.2891E-2</v>
      </c>
      <c r="BM42" s="150"/>
      <c r="BN42" s="150"/>
      <c r="BO42" s="150">
        <f>1.011%+0.2391%</f>
        <v>1.2500999999999998E-2</v>
      </c>
      <c r="BP42" s="150"/>
      <c r="BQ42" s="166"/>
      <c r="BR42" s="180">
        <f>1%+0.2391%</f>
        <v>1.2390999999999999E-2</v>
      </c>
      <c r="BS42" s="150"/>
      <c r="BT42" s="181"/>
      <c r="BU42" s="165">
        <f>0.8%+0.2391%</f>
        <v>1.0391000000000001E-2</v>
      </c>
      <c r="BV42" s="150"/>
      <c r="BW42" s="150"/>
      <c r="BX42" s="150">
        <f>0.8%+0.2391%</f>
        <v>1.0391000000000001E-2</v>
      </c>
      <c r="BY42" s="150"/>
      <c r="BZ42" s="150"/>
      <c r="CA42" s="150">
        <f>0.5%+0.2391%</f>
        <v>7.391E-3</v>
      </c>
      <c r="CB42" s="150"/>
      <c r="CC42" s="150"/>
      <c r="CD42" s="150">
        <f>0.5%+0.2391%</f>
        <v>7.391E-3</v>
      </c>
      <c r="CE42" s="150"/>
      <c r="CF42" s="150"/>
      <c r="CG42" s="150">
        <f>0.5%+0.2391%</f>
        <v>7.391E-3</v>
      </c>
      <c r="CH42" s="150"/>
      <c r="CI42" s="150"/>
      <c r="CJ42" s="150">
        <f>0.3%+0.2391%</f>
        <v>5.391E-3</v>
      </c>
      <c r="CK42" s="150"/>
      <c r="CL42" s="150"/>
      <c r="CM42" s="150">
        <f>0.3%+0.2391%</f>
        <v>5.391E-3</v>
      </c>
      <c r="CN42" s="150"/>
      <c r="CO42" s="150"/>
      <c r="CP42" s="150">
        <f>0.2%+0.2391%</f>
        <v>4.3909999999999999E-3</v>
      </c>
      <c r="CQ42" s="150"/>
      <c r="CR42" s="150"/>
      <c r="CS42" s="150">
        <f>0.2%+0.2391%</f>
        <v>4.3909999999999999E-3</v>
      </c>
      <c r="CT42" s="150"/>
      <c r="CU42" s="150"/>
      <c r="CV42" s="150">
        <f>0.1%+0.2398%</f>
        <v>3.398E-3</v>
      </c>
      <c r="CW42" s="150"/>
      <c r="CX42" s="150"/>
      <c r="CY42" s="150"/>
      <c r="CZ42" s="150"/>
      <c r="DA42" s="150"/>
      <c r="DB42" s="150"/>
      <c r="DC42" s="150"/>
      <c r="DD42" s="150"/>
      <c r="DE42" s="69"/>
      <c r="DF42" s="70"/>
      <c r="DG42" s="71"/>
      <c r="DH42" s="69"/>
      <c r="DI42" s="70"/>
      <c r="DJ42" s="71"/>
      <c r="DK42" s="69"/>
      <c r="DL42" s="70"/>
      <c r="DM42" s="71"/>
      <c r="DN42" s="69"/>
      <c r="DO42" s="70"/>
      <c r="DP42" s="71"/>
      <c r="DQ42" s="69"/>
      <c r="DR42" s="70"/>
      <c r="DS42" s="71"/>
      <c r="DT42" s="70"/>
      <c r="DU42" s="70"/>
      <c r="DV42" s="75"/>
      <c r="DX42" s="213">
        <f>SUM(R42:DV42)</f>
        <v>0.21609000000000009</v>
      </c>
      <c r="DY42" s="1"/>
      <c r="DZ42" s="1"/>
      <c r="EA42" s="1"/>
      <c r="EB42" s="1"/>
    </row>
    <row r="43" spans="5:132" s="6" customFormat="1" ht="6.95" customHeight="1">
      <c r="F43" s="143"/>
      <c r="G43" s="144"/>
      <c r="H43" s="55">
        <v>2</v>
      </c>
      <c r="L43" s="230"/>
      <c r="M43" s="233"/>
      <c r="N43" s="234"/>
      <c r="O43" s="236"/>
      <c r="P43" s="249"/>
      <c r="Q43" s="184"/>
      <c r="R43" s="76"/>
      <c r="S43" s="64"/>
      <c r="T43" s="65"/>
      <c r="U43" s="66"/>
      <c r="V43" s="64"/>
      <c r="W43" s="65"/>
      <c r="X43" s="66"/>
      <c r="Y43" s="64"/>
      <c r="Z43" s="65"/>
      <c r="AA43" s="66"/>
      <c r="AB43" s="64"/>
      <c r="AC43" s="65"/>
      <c r="AD43" s="66"/>
      <c r="AE43" s="64"/>
      <c r="AF43" s="65"/>
      <c r="AG43" s="66"/>
      <c r="AH43" s="64"/>
      <c r="AI43" s="65"/>
      <c r="AJ43" s="66"/>
      <c r="AK43" s="64"/>
      <c r="AL43" s="65"/>
      <c r="AM43" s="66"/>
      <c r="AN43" s="64"/>
      <c r="AO43" s="65"/>
      <c r="AP43" s="66"/>
      <c r="AQ43" s="64"/>
      <c r="AR43" s="65"/>
      <c r="AS43" s="66"/>
      <c r="AT43" s="64"/>
      <c r="AU43" s="65"/>
      <c r="AV43" s="66"/>
      <c r="AW43" s="64"/>
      <c r="AX43" s="65"/>
      <c r="AY43" s="66"/>
      <c r="AZ43" s="64"/>
      <c r="BA43" s="65"/>
      <c r="BB43" s="66"/>
      <c r="BC43" s="64"/>
      <c r="BD43" s="65"/>
      <c r="BE43" s="66"/>
      <c r="BF43" s="64"/>
      <c r="BG43" s="65"/>
      <c r="BH43" s="66"/>
      <c r="BI43" s="64"/>
      <c r="BJ43" s="65"/>
      <c r="BK43" s="66"/>
      <c r="BL43" s="64"/>
      <c r="BM43" s="65"/>
      <c r="BN43" s="66"/>
      <c r="BO43" s="64"/>
      <c r="BP43" s="65"/>
      <c r="BQ43" s="66"/>
      <c r="BR43" s="64"/>
      <c r="BS43" s="65"/>
      <c r="BT43" s="66"/>
      <c r="BU43" s="64"/>
      <c r="BV43" s="65"/>
      <c r="BW43" s="66"/>
      <c r="BX43" s="64"/>
      <c r="BY43" s="65"/>
      <c r="BZ43" s="66"/>
      <c r="CA43" s="64"/>
      <c r="CB43" s="65"/>
      <c r="CC43" s="66"/>
      <c r="CD43" s="64"/>
      <c r="CE43" s="65"/>
      <c r="CF43" s="66"/>
      <c r="CG43" s="64"/>
      <c r="CH43" s="65"/>
      <c r="CI43" s="66"/>
      <c r="CJ43" s="64"/>
      <c r="CK43" s="65"/>
      <c r="CL43" s="66"/>
      <c r="CM43" s="64"/>
      <c r="CN43" s="65"/>
      <c r="CO43" s="66"/>
      <c r="CP43" s="64"/>
      <c r="CQ43" s="65"/>
      <c r="CR43" s="66"/>
      <c r="CS43" s="64"/>
      <c r="CT43" s="65"/>
      <c r="CU43" s="66"/>
      <c r="CV43" s="64"/>
      <c r="CW43" s="65"/>
      <c r="CX43" s="66"/>
      <c r="CY43" s="69"/>
      <c r="CZ43" s="70"/>
      <c r="DA43" s="71"/>
      <c r="DB43" s="70"/>
      <c r="DC43" s="70"/>
      <c r="DD43" s="70"/>
      <c r="DE43" s="69"/>
      <c r="DF43" s="70"/>
      <c r="DG43" s="71"/>
      <c r="DH43" s="69"/>
      <c r="DI43" s="70"/>
      <c r="DJ43" s="71"/>
      <c r="DK43" s="69"/>
      <c r="DL43" s="70"/>
      <c r="DM43" s="71"/>
      <c r="DN43" s="69"/>
      <c r="DO43" s="70"/>
      <c r="DP43" s="71"/>
      <c r="DQ43" s="69"/>
      <c r="DR43" s="70"/>
      <c r="DS43" s="71"/>
      <c r="DT43" s="70"/>
      <c r="DU43" s="70"/>
      <c r="DV43" s="75"/>
      <c r="DX43" s="213"/>
      <c r="DY43" s="1"/>
      <c r="DZ43" s="1"/>
      <c r="EA43" s="1"/>
      <c r="EB43" s="1"/>
    </row>
    <row r="44" spans="5:132" s="6" customFormat="1" ht="9.9499999999999993" customHeight="1">
      <c r="F44" s="143">
        <f t="shared" ref="F44" si="7">DX44</f>
        <v>6.7000000000000002E-4</v>
      </c>
      <c r="G44" s="144">
        <f>Q44-F44</f>
        <v>0</v>
      </c>
      <c r="H44" s="27">
        <v>1</v>
      </c>
      <c r="L44" s="271"/>
      <c r="M44" s="316" t="s">
        <v>265</v>
      </c>
      <c r="N44" s="302">
        <v>1</v>
      </c>
      <c r="O44" s="299" t="s">
        <v>266</v>
      </c>
      <c r="P44" s="245">
        <v>138957</v>
      </c>
      <c r="Q44" s="183">
        <f>ROUND(P44/$P$256,5)</f>
        <v>6.7000000000000002E-4</v>
      </c>
      <c r="R44" s="21"/>
      <c r="S44" s="201"/>
      <c r="T44" s="148"/>
      <c r="U44" s="148"/>
      <c r="V44" s="146">
        <f>0.017%*0.3</f>
        <v>5.1E-5</v>
      </c>
      <c r="W44" s="146"/>
      <c r="X44" s="146"/>
      <c r="Y44" s="146">
        <f>0.019%*0.3</f>
        <v>5.699999999999999E-5</v>
      </c>
      <c r="Z44" s="146"/>
      <c r="AA44" s="146"/>
      <c r="AB44" s="146">
        <f>0.001%*0.3</f>
        <v>3.0000000000000001E-6</v>
      </c>
      <c r="AC44" s="146"/>
      <c r="AD44" s="146"/>
      <c r="AE44" s="146">
        <f>0.001%*0.3</f>
        <v>3.0000000000000001E-6</v>
      </c>
      <c r="AF44" s="146"/>
      <c r="AG44" s="146"/>
      <c r="AH44" s="146">
        <f>0.002%*0.3</f>
        <v>6.0000000000000002E-6</v>
      </c>
      <c r="AI44" s="146"/>
      <c r="AJ44" s="146"/>
      <c r="AK44" s="146">
        <f>0.003%*0.2</f>
        <v>6.0000000000000002E-6</v>
      </c>
      <c r="AL44" s="146"/>
      <c r="AM44" s="146"/>
      <c r="AN44" s="146">
        <f>0.002%*0.2</f>
        <v>4.0000000000000007E-6</v>
      </c>
      <c r="AO44" s="146"/>
      <c r="AP44" s="146"/>
      <c r="AQ44" s="146">
        <f>0.002%*0.2</f>
        <v>4.0000000000000007E-6</v>
      </c>
      <c r="AR44" s="146"/>
      <c r="AS44" s="146"/>
      <c r="AT44" s="146">
        <f>0.002%+0.0034%</f>
        <v>5.3999999999999998E-5</v>
      </c>
      <c r="AU44" s="146"/>
      <c r="AV44" s="146"/>
      <c r="AW44" s="146">
        <f>0.002%+0.0034%</f>
        <v>5.3999999999999998E-5</v>
      </c>
      <c r="AX44" s="146"/>
      <c r="AY44" s="146"/>
      <c r="AZ44" s="146">
        <f>0.003%+0.0034%</f>
        <v>6.3999999999999997E-5</v>
      </c>
      <c r="BA44" s="146"/>
      <c r="BB44" s="146"/>
      <c r="BC44" s="146">
        <f>0.002%+0.0034%</f>
        <v>5.3999999999999998E-5</v>
      </c>
      <c r="BD44" s="146"/>
      <c r="BE44" s="146"/>
      <c r="BF44" s="146">
        <f>0.002%+0.0034%</f>
        <v>5.3999999999999998E-5</v>
      </c>
      <c r="BG44" s="146"/>
      <c r="BH44" s="146"/>
      <c r="BI44" s="146">
        <f>0.002%+0.0034%</f>
        <v>5.3999999999999998E-5</v>
      </c>
      <c r="BJ44" s="146"/>
      <c r="BK44" s="146"/>
      <c r="BL44" s="146">
        <f>0.002%+0.0034%</f>
        <v>5.3999999999999998E-5</v>
      </c>
      <c r="BM44" s="146"/>
      <c r="BN44" s="146"/>
      <c r="BO44" s="146">
        <f>0.002%+0.0034%</f>
        <v>5.3999999999999998E-5</v>
      </c>
      <c r="BP44" s="146"/>
      <c r="BQ44" s="147"/>
      <c r="BR44" s="168">
        <f>0.002%+0.0034%</f>
        <v>5.3999999999999998E-5</v>
      </c>
      <c r="BS44" s="146"/>
      <c r="BT44" s="169"/>
      <c r="BU44" s="149">
        <f>0.001%+0.003%</f>
        <v>4.0000000000000003E-5</v>
      </c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57"/>
      <c r="CN44" s="57"/>
      <c r="CO44" s="57"/>
      <c r="CP44" s="56"/>
      <c r="CQ44" s="57"/>
      <c r="CR44" s="58"/>
      <c r="CS44" s="57"/>
      <c r="CT44" s="57"/>
      <c r="CU44" s="57"/>
      <c r="CV44" s="56"/>
      <c r="CW44" s="57"/>
      <c r="CX44" s="58"/>
      <c r="CY44" s="56"/>
      <c r="CZ44" s="57"/>
      <c r="DA44" s="58"/>
      <c r="DB44" s="57"/>
      <c r="DC44" s="57"/>
      <c r="DD44" s="57"/>
      <c r="DE44" s="56"/>
      <c r="DF44" s="57"/>
      <c r="DG44" s="58"/>
      <c r="DH44" s="56"/>
      <c r="DI44" s="57"/>
      <c r="DJ44" s="58"/>
      <c r="DK44" s="56"/>
      <c r="DL44" s="57"/>
      <c r="DM44" s="58"/>
      <c r="DN44" s="56"/>
      <c r="DO44" s="57"/>
      <c r="DP44" s="58"/>
      <c r="DQ44" s="56"/>
      <c r="DR44" s="57"/>
      <c r="DS44" s="58"/>
      <c r="DT44" s="57"/>
      <c r="DU44" s="57"/>
      <c r="DV44" s="62"/>
      <c r="DX44" s="213">
        <f>SUM(R44:DV44)</f>
        <v>6.7000000000000002E-4</v>
      </c>
      <c r="DY44" s="1"/>
      <c r="DZ44" s="1"/>
      <c r="EA44" s="1"/>
      <c r="EB44" s="1"/>
    </row>
    <row r="45" spans="5:132" s="6" customFormat="1" ht="6.95" customHeight="1">
      <c r="F45" s="143"/>
      <c r="G45" s="144"/>
      <c r="H45" s="55">
        <v>2</v>
      </c>
      <c r="L45" s="272"/>
      <c r="M45" s="317"/>
      <c r="N45" s="303"/>
      <c r="O45" s="300"/>
      <c r="P45" s="246"/>
      <c r="Q45" s="184"/>
      <c r="R45" s="63"/>
      <c r="S45" s="42"/>
      <c r="T45" s="42"/>
      <c r="U45" s="42"/>
      <c r="V45" s="64"/>
      <c r="W45" s="65"/>
      <c r="X45" s="66"/>
      <c r="Y45" s="64"/>
      <c r="Z45" s="65"/>
      <c r="AA45" s="66"/>
      <c r="AB45" s="64"/>
      <c r="AC45" s="65"/>
      <c r="AD45" s="66"/>
      <c r="AE45" s="64"/>
      <c r="AF45" s="65"/>
      <c r="AG45" s="66"/>
      <c r="AH45" s="64"/>
      <c r="AI45" s="65"/>
      <c r="AJ45" s="66"/>
      <c r="AK45" s="64"/>
      <c r="AL45" s="65"/>
      <c r="AM45" s="66"/>
      <c r="AN45" s="64"/>
      <c r="AO45" s="65"/>
      <c r="AP45" s="66"/>
      <c r="AQ45" s="64"/>
      <c r="AR45" s="65"/>
      <c r="AS45" s="66"/>
      <c r="AT45" s="64"/>
      <c r="AU45" s="65"/>
      <c r="AV45" s="66"/>
      <c r="AW45" s="64"/>
      <c r="AX45" s="65"/>
      <c r="AY45" s="66"/>
      <c r="AZ45" s="64"/>
      <c r="BA45" s="65"/>
      <c r="BB45" s="66"/>
      <c r="BC45" s="64"/>
      <c r="BD45" s="65"/>
      <c r="BE45" s="66"/>
      <c r="BF45" s="64"/>
      <c r="BG45" s="65"/>
      <c r="BH45" s="66"/>
      <c r="BI45" s="64"/>
      <c r="BJ45" s="65"/>
      <c r="BK45" s="66"/>
      <c r="BL45" s="64"/>
      <c r="BM45" s="65"/>
      <c r="BN45" s="66"/>
      <c r="BO45" s="64"/>
      <c r="BP45" s="65"/>
      <c r="BQ45" s="66"/>
      <c r="BR45" s="64"/>
      <c r="BS45" s="65"/>
      <c r="BT45" s="66"/>
      <c r="BU45" s="64"/>
      <c r="BV45" s="65"/>
      <c r="BW45" s="66"/>
      <c r="BX45" s="41"/>
      <c r="BY45" s="42"/>
      <c r="BZ45" s="43"/>
      <c r="CA45" s="41"/>
      <c r="CB45" s="42"/>
      <c r="CC45" s="43"/>
      <c r="CD45" s="41"/>
      <c r="CE45" s="42"/>
      <c r="CF45" s="43"/>
      <c r="CG45" s="41"/>
      <c r="CH45" s="42"/>
      <c r="CI45" s="43"/>
      <c r="CJ45" s="41"/>
      <c r="CK45" s="42"/>
      <c r="CL45" s="43"/>
      <c r="CM45" s="42"/>
      <c r="CN45" s="42"/>
      <c r="CO45" s="42"/>
      <c r="CP45" s="41"/>
      <c r="CQ45" s="42"/>
      <c r="CR45" s="43"/>
      <c r="CS45" s="42"/>
      <c r="CT45" s="42"/>
      <c r="CU45" s="42"/>
      <c r="CV45" s="41"/>
      <c r="CW45" s="42"/>
      <c r="CX45" s="43"/>
      <c r="CY45" s="41"/>
      <c r="CZ45" s="42"/>
      <c r="DA45" s="43"/>
      <c r="DB45" s="42"/>
      <c r="DC45" s="42"/>
      <c r="DD45" s="42"/>
      <c r="DE45" s="41"/>
      <c r="DF45" s="42"/>
      <c r="DG45" s="43"/>
      <c r="DH45" s="41"/>
      <c r="DI45" s="42"/>
      <c r="DJ45" s="43"/>
      <c r="DK45" s="41"/>
      <c r="DL45" s="42"/>
      <c r="DM45" s="43"/>
      <c r="DN45" s="41"/>
      <c r="DO45" s="42"/>
      <c r="DP45" s="43"/>
      <c r="DQ45" s="41"/>
      <c r="DR45" s="42"/>
      <c r="DS45" s="43"/>
      <c r="DT45" s="42"/>
      <c r="DU45" s="42"/>
      <c r="DV45" s="44"/>
      <c r="DX45" s="213"/>
      <c r="DY45" s="1"/>
      <c r="DZ45" s="1"/>
      <c r="EA45" s="1"/>
      <c r="EB45" s="1"/>
    </row>
    <row r="46" spans="5:132" s="6" customFormat="1" ht="9.9499999999999993" customHeight="1">
      <c r="F46" s="143">
        <f t="shared" ref="F46" si="8">DX46</f>
        <v>0.17791000000000004</v>
      </c>
      <c r="G46" s="144">
        <f>Q46-F46</f>
        <v>0</v>
      </c>
      <c r="H46" s="27">
        <v>1</v>
      </c>
      <c r="I46" s="6" t="s">
        <v>187</v>
      </c>
      <c r="J46" s="6" t="s">
        <v>186</v>
      </c>
      <c r="K46" s="6" t="s">
        <v>188</v>
      </c>
      <c r="L46" s="230"/>
      <c r="M46" s="233" t="s">
        <v>267</v>
      </c>
      <c r="N46" s="234">
        <v>7101189</v>
      </c>
      <c r="O46" s="235" t="s">
        <v>264</v>
      </c>
      <c r="P46" s="249">
        <v>37041017</v>
      </c>
      <c r="Q46" s="183">
        <f>ROUND(P46/$P$256,5)</f>
        <v>0.17791000000000001</v>
      </c>
      <c r="R46" s="21"/>
      <c r="S46" s="167">
        <f>0.027%*0.3</f>
        <v>8.1000000000000004E-5</v>
      </c>
      <c r="T46" s="167"/>
      <c r="U46" s="167"/>
      <c r="V46" s="150">
        <f>0.144%*0.3</f>
        <v>4.3199999999999993E-4</v>
      </c>
      <c r="W46" s="150"/>
      <c r="X46" s="150"/>
      <c r="Y46" s="150">
        <f>0.184%*0.3</f>
        <v>5.5199999999999997E-4</v>
      </c>
      <c r="Z46" s="150"/>
      <c r="AA46" s="150"/>
      <c r="AB46" s="150">
        <f>0.354%*0.3</f>
        <v>1.0619999999999998E-3</v>
      </c>
      <c r="AC46" s="150"/>
      <c r="AD46" s="150"/>
      <c r="AE46" s="150">
        <f>0.494%*0.3</f>
        <v>1.482E-3</v>
      </c>
      <c r="AF46" s="150"/>
      <c r="AG46" s="150"/>
      <c r="AH46" s="150">
        <f>0.754%*0.3</f>
        <v>2.2619999999999997E-3</v>
      </c>
      <c r="AI46" s="150"/>
      <c r="AJ46" s="150"/>
      <c r="AK46" s="150">
        <f>0.844%*0.2</f>
        <v>1.688E-3</v>
      </c>
      <c r="AL46" s="150"/>
      <c r="AM46" s="150"/>
      <c r="AN46" s="150">
        <f>0.964%*0.2</f>
        <v>1.928E-3</v>
      </c>
      <c r="AO46" s="150"/>
      <c r="AP46" s="150"/>
      <c r="AQ46" s="150">
        <f>0.964%*0.2</f>
        <v>1.928E-3</v>
      </c>
      <c r="AR46" s="150"/>
      <c r="AS46" s="150"/>
      <c r="AT46" s="150">
        <f>1.264%+0.1888%</f>
        <v>1.4527999999999999E-2</v>
      </c>
      <c r="AU46" s="150"/>
      <c r="AV46" s="150"/>
      <c r="AW46" s="150">
        <f>1.264%+0.1888%</f>
        <v>1.4527999999999999E-2</v>
      </c>
      <c r="AX46" s="150"/>
      <c r="AY46" s="150"/>
      <c r="AZ46" s="150">
        <f>1.264%+0.1888%</f>
        <v>1.4527999999999999E-2</v>
      </c>
      <c r="BA46" s="150"/>
      <c r="BB46" s="150"/>
      <c r="BC46" s="150">
        <f>1.014%+0.1888%</f>
        <v>1.2028E-2</v>
      </c>
      <c r="BD46" s="150"/>
      <c r="BE46" s="150"/>
      <c r="BF46" s="150">
        <f>1.014%+0.1888%</f>
        <v>1.2028E-2</v>
      </c>
      <c r="BG46" s="150"/>
      <c r="BH46" s="150"/>
      <c r="BI46" s="150">
        <f>0.994%+0.1888%</f>
        <v>1.1827999999999998E-2</v>
      </c>
      <c r="BJ46" s="150"/>
      <c r="BK46" s="150"/>
      <c r="BL46" s="146">
        <f>0.854%+0.1888%</f>
        <v>1.0428E-2</v>
      </c>
      <c r="BM46" s="146"/>
      <c r="BN46" s="146"/>
      <c r="BO46" s="146">
        <f>0.854%+0.1888%</f>
        <v>1.0428E-2</v>
      </c>
      <c r="BP46" s="146"/>
      <c r="BQ46" s="147"/>
      <c r="BR46" s="168">
        <f>0.854%+0.1888%</f>
        <v>1.0428E-2</v>
      </c>
      <c r="BS46" s="146"/>
      <c r="BT46" s="169"/>
      <c r="BU46" s="149">
        <f>0.694%+0.1888%</f>
        <v>8.827999999999999E-3</v>
      </c>
      <c r="BV46" s="146"/>
      <c r="BW46" s="146"/>
      <c r="BX46" s="146">
        <f>0.694%+0.1888%</f>
        <v>8.827999999999999E-3</v>
      </c>
      <c r="BY46" s="146"/>
      <c r="BZ46" s="146"/>
      <c r="CA46" s="146">
        <f>0.434%+0.1888%</f>
        <v>6.228E-3</v>
      </c>
      <c r="CB46" s="146"/>
      <c r="CC46" s="146"/>
      <c r="CD46" s="146">
        <f>0.434%+0.1888%</f>
        <v>6.228E-3</v>
      </c>
      <c r="CE46" s="146"/>
      <c r="CF46" s="146"/>
      <c r="CG46" s="146">
        <f>0.434%+0.1888%</f>
        <v>6.228E-3</v>
      </c>
      <c r="CH46" s="146"/>
      <c r="CI46" s="146"/>
      <c r="CJ46" s="146">
        <f>0.264%+0.1888%</f>
        <v>4.5279999999999999E-3</v>
      </c>
      <c r="CK46" s="146"/>
      <c r="CL46" s="146"/>
      <c r="CM46" s="146">
        <f>0.264%+0.1888%</f>
        <v>4.5279999999999999E-3</v>
      </c>
      <c r="CN46" s="146"/>
      <c r="CO46" s="146"/>
      <c r="CP46" s="146">
        <f>0.184%+0.1888%</f>
        <v>3.728E-3</v>
      </c>
      <c r="CQ46" s="146"/>
      <c r="CR46" s="146"/>
      <c r="CS46" s="146">
        <f>0.184%+0.1888%</f>
        <v>3.728E-3</v>
      </c>
      <c r="CT46" s="146"/>
      <c r="CU46" s="146"/>
      <c r="CV46" s="146">
        <f>0.1%+0.1891%</f>
        <v>2.8909999999999999E-3</v>
      </c>
      <c r="CW46" s="146"/>
      <c r="CX46" s="146"/>
      <c r="CY46" s="146"/>
      <c r="CZ46" s="146"/>
      <c r="DA46" s="146"/>
      <c r="DB46" s="70"/>
      <c r="DC46" s="70"/>
      <c r="DD46" s="70"/>
      <c r="DE46" s="69"/>
      <c r="DF46" s="70"/>
      <c r="DG46" s="71"/>
      <c r="DH46" s="69"/>
      <c r="DI46" s="70"/>
      <c r="DJ46" s="71"/>
      <c r="DK46" s="69"/>
      <c r="DL46" s="70"/>
      <c r="DM46" s="71"/>
      <c r="DN46" s="69"/>
      <c r="DO46" s="70"/>
      <c r="DP46" s="71"/>
      <c r="DQ46" s="69"/>
      <c r="DR46" s="70"/>
      <c r="DS46" s="71"/>
      <c r="DT46" s="70"/>
      <c r="DU46" s="70"/>
      <c r="DV46" s="75"/>
      <c r="DX46" s="213">
        <f>SUM(R46:DV46)</f>
        <v>0.17791000000000004</v>
      </c>
      <c r="DY46" s="1"/>
      <c r="DZ46" s="1"/>
      <c r="EA46" s="1"/>
      <c r="EB46" s="1"/>
    </row>
    <row r="47" spans="5:132" s="6" customFormat="1" ht="6.95" customHeight="1">
      <c r="F47" s="143"/>
      <c r="G47" s="144"/>
      <c r="H47" s="55">
        <v>2</v>
      </c>
      <c r="L47" s="230"/>
      <c r="M47" s="233"/>
      <c r="N47" s="234"/>
      <c r="O47" s="236"/>
      <c r="P47" s="249"/>
      <c r="Q47" s="184"/>
      <c r="R47" s="76"/>
      <c r="S47" s="64"/>
      <c r="T47" s="65"/>
      <c r="U47" s="66"/>
      <c r="V47" s="64"/>
      <c r="W47" s="65"/>
      <c r="X47" s="66"/>
      <c r="Y47" s="64"/>
      <c r="Z47" s="65"/>
      <c r="AA47" s="66"/>
      <c r="AB47" s="64"/>
      <c r="AC47" s="65"/>
      <c r="AD47" s="66"/>
      <c r="AE47" s="64"/>
      <c r="AF47" s="65"/>
      <c r="AG47" s="66"/>
      <c r="AH47" s="64"/>
      <c r="AI47" s="65"/>
      <c r="AJ47" s="66"/>
      <c r="AK47" s="64"/>
      <c r="AL47" s="65"/>
      <c r="AM47" s="66"/>
      <c r="AN47" s="64"/>
      <c r="AO47" s="65"/>
      <c r="AP47" s="66"/>
      <c r="AQ47" s="64"/>
      <c r="AR47" s="65"/>
      <c r="AS47" s="66"/>
      <c r="AT47" s="64"/>
      <c r="AU47" s="65"/>
      <c r="AV47" s="66"/>
      <c r="AW47" s="64"/>
      <c r="AX47" s="65"/>
      <c r="AY47" s="66"/>
      <c r="AZ47" s="64"/>
      <c r="BA47" s="65"/>
      <c r="BB47" s="66"/>
      <c r="BC47" s="64"/>
      <c r="BD47" s="65"/>
      <c r="BE47" s="66"/>
      <c r="BF47" s="64"/>
      <c r="BG47" s="65"/>
      <c r="BH47" s="66"/>
      <c r="BI47" s="64"/>
      <c r="BJ47" s="65"/>
      <c r="BK47" s="66"/>
      <c r="BL47" s="64"/>
      <c r="BM47" s="65"/>
      <c r="BN47" s="66"/>
      <c r="BO47" s="64"/>
      <c r="BP47" s="65"/>
      <c r="BQ47" s="66"/>
      <c r="BR47" s="64"/>
      <c r="BS47" s="65"/>
      <c r="BT47" s="66"/>
      <c r="BU47" s="64"/>
      <c r="BV47" s="65"/>
      <c r="BW47" s="66"/>
      <c r="BX47" s="64"/>
      <c r="BY47" s="65"/>
      <c r="BZ47" s="66"/>
      <c r="CA47" s="64"/>
      <c r="CB47" s="65"/>
      <c r="CC47" s="66"/>
      <c r="CD47" s="64"/>
      <c r="CE47" s="65"/>
      <c r="CF47" s="66"/>
      <c r="CG47" s="64"/>
      <c r="CH47" s="65"/>
      <c r="CI47" s="66"/>
      <c r="CJ47" s="64"/>
      <c r="CK47" s="65"/>
      <c r="CL47" s="66"/>
      <c r="CM47" s="64"/>
      <c r="CN47" s="65"/>
      <c r="CO47" s="66"/>
      <c r="CP47" s="64"/>
      <c r="CQ47" s="65"/>
      <c r="CR47" s="66"/>
      <c r="CS47" s="64"/>
      <c r="CT47" s="65"/>
      <c r="CU47" s="66"/>
      <c r="CV47" s="64"/>
      <c r="CW47" s="65"/>
      <c r="CX47" s="66"/>
      <c r="CY47" s="69"/>
      <c r="CZ47" s="70"/>
      <c r="DA47" s="71"/>
      <c r="DB47" s="70"/>
      <c r="DC47" s="70"/>
      <c r="DD47" s="70"/>
      <c r="DE47" s="69"/>
      <c r="DF47" s="70"/>
      <c r="DG47" s="71"/>
      <c r="DH47" s="69"/>
      <c r="DI47" s="70"/>
      <c r="DJ47" s="71"/>
      <c r="DK47" s="69"/>
      <c r="DL47" s="70"/>
      <c r="DM47" s="71"/>
      <c r="DN47" s="69"/>
      <c r="DO47" s="70"/>
      <c r="DP47" s="71"/>
      <c r="DQ47" s="69"/>
      <c r="DR47" s="70"/>
      <c r="DS47" s="71"/>
      <c r="DT47" s="70"/>
      <c r="DU47" s="70"/>
      <c r="DV47" s="75"/>
      <c r="DX47" s="213"/>
      <c r="DY47" s="1"/>
      <c r="DZ47" s="1"/>
      <c r="EA47" s="1"/>
      <c r="EB47" s="1"/>
    </row>
    <row r="48" spans="5:132" s="6" customFormat="1" ht="9.9499999999999993" customHeight="1">
      <c r="E48" s="82"/>
      <c r="F48" s="143">
        <f t="shared" ref="F48" si="9">DX48</f>
        <v>7.1350000000000011E-2</v>
      </c>
      <c r="G48" s="144">
        <f>Q48-F48</f>
        <v>0</v>
      </c>
      <c r="H48" s="27">
        <v>1</v>
      </c>
      <c r="I48" s="19" t="s">
        <v>187</v>
      </c>
      <c r="J48" s="19" t="s">
        <v>186</v>
      </c>
      <c r="K48" s="19" t="s">
        <v>189</v>
      </c>
      <c r="L48" s="271"/>
      <c r="M48" s="316" t="s">
        <v>268</v>
      </c>
      <c r="N48" s="302">
        <v>7742307</v>
      </c>
      <c r="O48" s="299" t="s">
        <v>264</v>
      </c>
      <c r="P48" s="245">
        <v>14855571</v>
      </c>
      <c r="Q48" s="183">
        <f>ROUND(P48/$P$256,5)</f>
        <v>7.1349999999999997E-2</v>
      </c>
      <c r="R48" s="21"/>
      <c r="S48" s="167">
        <f>0.012%*0.3</f>
        <v>3.6000000000000001E-5</v>
      </c>
      <c r="T48" s="167"/>
      <c r="U48" s="167"/>
      <c r="V48" s="146">
        <f>0.057%*0.3</f>
        <v>1.7099999999999998E-4</v>
      </c>
      <c r="W48" s="146"/>
      <c r="X48" s="146"/>
      <c r="Y48" s="146">
        <f>0.077%*0.3</f>
        <v>2.3099999999999998E-4</v>
      </c>
      <c r="Z48" s="146"/>
      <c r="AA48" s="146"/>
      <c r="AB48" s="146">
        <f>0.146%*0.3</f>
        <v>4.3799999999999997E-4</v>
      </c>
      <c r="AC48" s="146"/>
      <c r="AD48" s="146"/>
      <c r="AE48" s="146">
        <f>0.197%*0.3</f>
        <v>5.9099999999999995E-4</v>
      </c>
      <c r="AF48" s="146"/>
      <c r="AG48" s="146"/>
      <c r="AH48" s="146">
        <f>0.297%*0.3</f>
        <v>8.9099999999999997E-4</v>
      </c>
      <c r="AI48" s="146"/>
      <c r="AJ48" s="146"/>
      <c r="AK48" s="146">
        <f>0.337%*0.2</f>
        <v>6.7400000000000012E-4</v>
      </c>
      <c r="AL48" s="146"/>
      <c r="AM48" s="146"/>
      <c r="AN48" s="146">
        <f>0.377%*0.2</f>
        <v>7.54E-4</v>
      </c>
      <c r="AO48" s="146"/>
      <c r="AP48" s="146"/>
      <c r="AQ48" s="146">
        <f>0.387%*0.2</f>
        <v>7.7400000000000006E-4</v>
      </c>
      <c r="AR48" s="146"/>
      <c r="AS48" s="146"/>
      <c r="AT48" s="146">
        <f>0.507%+0.0753%</f>
        <v>5.8230000000000001E-3</v>
      </c>
      <c r="AU48" s="146"/>
      <c r="AV48" s="146"/>
      <c r="AW48" s="146">
        <f>0.507%+0.0753%</f>
        <v>5.8230000000000001E-3</v>
      </c>
      <c r="AX48" s="146"/>
      <c r="AY48" s="146"/>
      <c r="AZ48" s="146">
        <f>0.507%+0.0753%</f>
        <v>5.8230000000000001E-3</v>
      </c>
      <c r="BA48" s="146"/>
      <c r="BB48" s="146"/>
      <c r="BC48" s="146">
        <f>0.408%+0.0753%</f>
        <v>4.8329999999999996E-3</v>
      </c>
      <c r="BD48" s="146"/>
      <c r="BE48" s="146"/>
      <c r="BF48" s="146">
        <f>0.407%+0.0753%</f>
        <v>4.823E-3</v>
      </c>
      <c r="BG48" s="146"/>
      <c r="BH48" s="146"/>
      <c r="BI48" s="146">
        <f>0.398%+0.0753%</f>
        <v>4.7330000000000002E-3</v>
      </c>
      <c r="BJ48" s="146"/>
      <c r="BK48" s="146"/>
      <c r="BL48" s="146">
        <f>0.338%+0.0753%</f>
        <v>4.1330000000000004E-3</v>
      </c>
      <c r="BM48" s="146"/>
      <c r="BN48" s="146"/>
      <c r="BO48" s="146">
        <f>0.338%+0.0753%</f>
        <v>4.1330000000000004E-3</v>
      </c>
      <c r="BP48" s="146"/>
      <c r="BQ48" s="147"/>
      <c r="BR48" s="168">
        <f>0.338%+0.0753%</f>
        <v>4.1330000000000004E-3</v>
      </c>
      <c r="BS48" s="146"/>
      <c r="BT48" s="169"/>
      <c r="BU48" s="149">
        <f>0.278%+0.0753%</f>
        <v>3.5330000000000005E-3</v>
      </c>
      <c r="BV48" s="146"/>
      <c r="BW48" s="146"/>
      <c r="BX48" s="146">
        <f>0.278%+0.0753%</f>
        <v>3.5330000000000005E-3</v>
      </c>
      <c r="BY48" s="146"/>
      <c r="BZ48" s="146"/>
      <c r="CA48" s="146">
        <f>0.178%+0.0753%</f>
        <v>2.5330000000000001E-3</v>
      </c>
      <c r="CB48" s="146"/>
      <c r="CC48" s="146"/>
      <c r="CD48" s="146">
        <f>0.178%+0.0753%</f>
        <v>2.5330000000000001E-3</v>
      </c>
      <c r="CE48" s="146"/>
      <c r="CF48" s="146"/>
      <c r="CG48" s="146">
        <f>0.178%+0.0753%</f>
        <v>2.5330000000000001E-3</v>
      </c>
      <c r="CH48" s="146"/>
      <c r="CI48" s="146"/>
      <c r="CJ48" s="146">
        <f>0.108%+0.0753%</f>
        <v>1.833E-3</v>
      </c>
      <c r="CK48" s="146"/>
      <c r="CL48" s="146"/>
      <c r="CM48" s="146">
        <f>0.108%+0.0753%</f>
        <v>1.833E-3</v>
      </c>
      <c r="CN48" s="146"/>
      <c r="CO48" s="146"/>
      <c r="CP48" s="146">
        <f>0.078%+0.0753%</f>
        <v>1.5330000000000001E-3</v>
      </c>
      <c r="CQ48" s="146"/>
      <c r="CR48" s="146"/>
      <c r="CS48" s="146">
        <f>0.078%+0.0753%</f>
        <v>1.5330000000000001E-3</v>
      </c>
      <c r="CT48" s="146"/>
      <c r="CU48" s="146"/>
      <c r="CV48" s="146">
        <f>0.038%+0.0756%</f>
        <v>1.1360000000000001E-3</v>
      </c>
      <c r="CW48" s="146"/>
      <c r="CX48" s="146"/>
      <c r="CY48" s="56"/>
      <c r="CZ48" s="57"/>
      <c r="DA48" s="58"/>
      <c r="DB48" s="57"/>
      <c r="DC48" s="57"/>
      <c r="DD48" s="57"/>
      <c r="DE48" s="56"/>
      <c r="DF48" s="57"/>
      <c r="DG48" s="58"/>
      <c r="DH48" s="56"/>
      <c r="DI48" s="57"/>
      <c r="DJ48" s="58"/>
      <c r="DK48" s="56"/>
      <c r="DL48" s="57"/>
      <c r="DM48" s="58"/>
      <c r="DN48" s="56"/>
      <c r="DO48" s="57"/>
      <c r="DP48" s="58"/>
      <c r="DQ48" s="56"/>
      <c r="DR48" s="57"/>
      <c r="DS48" s="58"/>
      <c r="DT48" s="57"/>
      <c r="DU48" s="57"/>
      <c r="DV48" s="62"/>
      <c r="DX48" s="213">
        <f>SUM(R48:DV48)</f>
        <v>7.1350000000000011E-2</v>
      </c>
      <c r="DY48" s="1"/>
      <c r="DZ48" s="1"/>
      <c r="EA48" s="1"/>
      <c r="EB48" s="1"/>
    </row>
    <row r="49" spans="5:132" s="6" customFormat="1" ht="6.95" customHeight="1">
      <c r="E49" s="82"/>
      <c r="F49" s="143"/>
      <c r="G49" s="144"/>
      <c r="H49" s="55">
        <v>2</v>
      </c>
      <c r="I49" s="82"/>
      <c r="J49" s="83"/>
      <c r="L49" s="272"/>
      <c r="M49" s="317"/>
      <c r="N49" s="303"/>
      <c r="O49" s="300"/>
      <c r="P49" s="246"/>
      <c r="Q49" s="184"/>
      <c r="R49" s="63"/>
      <c r="S49" s="64"/>
      <c r="T49" s="65"/>
      <c r="U49" s="66"/>
      <c r="V49" s="64"/>
      <c r="W49" s="65"/>
      <c r="X49" s="66"/>
      <c r="Y49" s="64"/>
      <c r="Z49" s="65"/>
      <c r="AA49" s="66"/>
      <c r="AB49" s="64"/>
      <c r="AC49" s="65"/>
      <c r="AD49" s="66"/>
      <c r="AE49" s="64"/>
      <c r="AF49" s="65"/>
      <c r="AG49" s="66"/>
      <c r="AH49" s="64"/>
      <c r="AI49" s="65"/>
      <c r="AJ49" s="66"/>
      <c r="AK49" s="64"/>
      <c r="AL49" s="65"/>
      <c r="AM49" s="66"/>
      <c r="AN49" s="64"/>
      <c r="AO49" s="65"/>
      <c r="AP49" s="66"/>
      <c r="AQ49" s="64"/>
      <c r="AR49" s="65"/>
      <c r="AS49" s="66"/>
      <c r="AT49" s="64"/>
      <c r="AU49" s="65"/>
      <c r="AV49" s="66"/>
      <c r="AW49" s="64"/>
      <c r="AX49" s="65"/>
      <c r="AY49" s="66"/>
      <c r="AZ49" s="64"/>
      <c r="BA49" s="65"/>
      <c r="BB49" s="66"/>
      <c r="BC49" s="64"/>
      <c r="BD49" s="65"/>
      <c r="BE49" s="66"/>
      <c r="BF49" s="64"/>
      <c r="BG49" s="65"/>
      <c r="BH49" s="66"/>
      <c r="BI49" s="64"/>
      <c r="BJ49" s="65"/>
      <c r="BK49" s="66"/>
      <c r="BL49" s="64"/>
      <c r="BM49" s="65"/>
      <c r="BN49" s="66"/>
      <c r="BO49" s="64"/>
      <c r="BP49" s="65"/>
      <c r="BQ49" s="66"/>
      <c r="BR49" s="64"/>
      <c r="BS49" s="65"/>
      <c r="BT49" s="66"/>
      <c r="BU49" s="64"/>
      <c r="BV49" s="65"/>
      <c r="BW49" s="66"/>
      <c r="BX49" s="64"/>
      <c r="BY49" s="65"/>
      <c r="BZ49" s="66"/>
      <c r="CA49" s="64"/>
      <c r="CB49" s="65"/>
      <c r="CC49" s="66"/>
      <c r="CD49" s="64"/>
      <c r="CE49" s="65"/>
      <c r="CF49" s="66"/>
      <c r="CG49" s="64"/>
      <c r="CH49" s="65"/>
      <c r="CI49" s="66"/>
      <c r="CJ49" s="64"/>
      <c r="CK49" s="65"/>
      <c r="CL49" s="66"/>
      <c r="CM49" s="64"/>
      <c r="CN49" s="65"/>
      <c r="CO49" s="66"/>
      <c r="CP49" s="64"/>
      <c r="CQ49" s="65"/>
      <c r="CR49" s="66"/>
      <c r="CS49" s="64"/>
      <c r="CT49" s="65"/>
      <c r="CU49" s="66"/>
      <c r="CV49" s="64"/>
      <c r="CW49" s="65"/>
      <c r="CX49" s="66"/>
      <c r="CY49" s="41"/>
      <c r="CZ49" s="42"/>
      <c r="DA49" s="43"/>
      <c r="DB49" s="42"/>
      <c r="DC49" s="42"/>
      <c r="DD49" s="42"/>
      <c r="DE49" s="41"/>
      <c r="DF49" s="42"/>
      <c r="DG49" s="43"/>
      <c r="DH49" s="41"/>
      <c r="DI49" s="42"/>
      <c r="DJ49" s="43"/>
      <c r="DK49" s="41"/>
      <c r="DL49" s="42"/>
      <c r="DM49" s="43"/>
      <c r="DN49" s="41"/>
      <c r="DO49" s="42"/>
      <c r="DP49" s="43"/>
      <c r="DQ49" s="41"/>
      <c r="DR49" s="42"/>
      <c r="DS49" s="43"/>
      <c r="DT49" s="42"/>
      <c r="DU49" s="42"/>
      <c r="DV49" s="44"/>
      <c r="DX49" s="213"/>
      <c r="DY49" s="1"/>
      <c r="DZ49" s="1"/>
      <c r="EA49" s="1"/>
      <c r="EB49" s="1"/>
    </row>
    <row r="50" spans="5:132" s="6" customFormat="1" ht="9.9499999999999993" customHeight="1">
      <c r="E50" s="83"/>
      <c r="F50" s="143">
        <f t="shared" ref="F50" si="10">DX50</f>
        <v>7.8399999999999997E-3</v>
      </c>
      <c r="G50" s="144">
        <f>Q50-F50</f>
        <v>0</v>
      </c>
      <c r="H50" s="27">
        <v>1</v>
      </c>
      <c r="I50" s="19" t="s">
        <v>191</v>
      </c>
      <c r="J50" s="19" t="s">
        <v>186</v>
      </c>
      <c r="K50" s="19" t="s">
        <v>190</v>
      </c>
      <c r="L50" s="230"/>
      <c r="M50" s="233" t="s">
        <v>269</v>
      </c>
      <c r="N50" s="234">
        <v>55319</v>
      </c>
      <c r="O50" s="235" t="s">
        <v>264</v>
      </c>
      <c r="P50" s="249">
        <v>1633129</v>
      </c>
      <c r="Q50" s="183">
        <f>ROUND(P50/$P$256,5)</f>
        <v>7.8399999999999997E-3</v>
      </c>
      <c r="R50" s="76"/>
      <c r="S50" s="70"/>
      <c r="T50" s="70"/>
      <c r="U50" s="70"/>
      <c r="V50" s="69"/>
      <c r="W50" s="70"/>
      <c r="X50" s="71"/>
      <c r="Y50" s="69"/>
      <c r="Z50" s="70"/>
      <c r="AA50" s="71"/>
      <c r="AB50" s="150"/>
      <c r="AC50" s="150"/>
      <c r="AD50" s="150"/>
      <c r="AE50" s="150"/>
      <c r="AF50" s="150"/>
      <c r="AG50" s="150"/>
      <c r="AH50" s="150"/>
      <c r="AI50" s="150"/>
      <c r="AJ50" s="150"/>
      <c r="AK50" s="146">
        <f>0.026%*0.2</f>
        <v>5.1999999999999997E-5</v>
      </c>
      <c r="AL50" s="146"/>
      <c r="AM50" s="146"/>
      <c r="AN50" s="150">
        <f>0.036%*0.2</f>
        <v>7.2000000000000002E-5</v>
      </c>
      <c r="AO50" s="150"/>
      <c r="AP50" s="150"/>
      <c r="AQ50" s="150">
        <f>0.056%*0.2</f>
        <v>1.1200000000000001E-4</v>
      </c>
      <c r="AR50" s="150"/>
      <c r="AS50" s="150"/>
      <c r="AT50" s="150">
        <f>0.056%+0.0086%</f>
        <v>6.4600000000000009E-4</v>
      </c>
      <c r="AU50" s="150"/>
      <c r="AV50" s="150"/>
      <c r="AW50" s="150">
        <f>0.056%+0.0086%</f>
        <v>6.4600000000000009E-4</v>
      </c>
      <c r="AX50" s="150"/>
      <c r="AY50" s="150"/>
      <c r="AZ50" s="150">
        <f>0.066%+0.0086%</f>
        <v>7.4600000000000003E-4</v>
      </c>
      <c r="BA50" s="150"/>
      <c r="BB50" s="150"/>
      <c r="BC50" s="150">
        <f>0.066%+0.0086%</f>
        <v>7.4600000000000003E-4</v>
      </c>
      <c r="BD50" s="150"/>
      <c r="BE50" s="150"/>
      <c r="BF50" s="150">
        <f>0.076%+0.0086%</f>
        <v>8.4599999999999996E-4</v>
      </c>
      <c r="BG50" s="150"/>
      <c r="BH50" s="150"/>
      <c r="BI50" s="150">
        <f>0.076%+0.0086%</f>
        <v>8.4599999999999996E-4</v>
      </c>
      <c r="BJ50" s="150"/>
      <c r="BK50" s="150"/>
      <c r="BL50" s="150">
        <f>0.066%+0.0086%</f>
        <v>7.4600000000000003E-4</v>
      </c>
      <c r="BM50" s="150"/>
      <c r="BN50" s="150"/>
      <c r="BO50" s="150">
        <f>0.056%+0.0086%</f>
        <v>6.4600000000000009E-4</v>
      </c>
      <c r="BP50" s="150"/>
      <c r="BQ50" s="166"/>
      <c r="BR50" s="180">
        <f>0.056%+0.0086%</f>
        <v>6.4600000000000009E-4</v>
      </c>
      <c r="BS50" s="150"/>
      <c r="BT50" s="181"/>
      <c r="BU50" s="165">
        <f>0.056%+0.0086%</f>
        <v>6.4600000000000009E-4</v>
      </c>
      <c r="BV50" s="150"/>
      <c r="BW50" s="150"/>
      <c r="BX50" s="150">
        <f>0.036%+0.0084%</f>
        <v>4.4399999999999995E-4</v>
      </c>
      <c r="BY50" s="150"/>
      <c r="BZ50" s="150"/>
      <c r="CA50" s="72"/>
      <c r="CB50" s="77"/>
      <c r="CC50" s="78"/>
      <c r="CD50" s="72"/>
      <c r="CE50" s="77"/>
      <c r="CF50" s="78"/>
      <c r="CG50" s="72"/>
      <c r="CH50" s="77"/>
      <c r="CI50" s="78"/>
      <c r="CJ50" s="72"/>
      <c r="CK50" s="70"/>
      <c r="CL50" s="71"/>
      <c r="CM50" s="77"/>
      <c r="CN50" s="70"/>
      <c r="CO50" s="70"/>
      <c r="CP50" s="69"/>
      <c r="CQ50" s="70"/>
      <c r="CR50" s="71"/>
      <c r="CS50" s="70"/>
      <c r="CT50" s="70"/>
      <c r="CU50" s="70"/>
      <c r="CV50" s="72"/>
      <c r="CW50" s="70"/>
      <c r="CX50" s="71"/>
      <c r="CY50" s="69"/>
      <c r="CZ50" s="70"/>
      <c r="DA50" s="71"/>
      <c r="DB50" s="70"/>
      <c r="DC50" s="70"/>
      <c r="DD50" s="70"/>
      <c r="DE50" s="69"/>
      <c r="DF50" s="70"/>
      <c r="DG50" s="71"/>
      <c r="DH50" s="69"/>
      <c r="DI50" s="70"/>
      <c r="DJ50" s="71"/>
      <c r="DK50" s="69"/>
      <c r="DL50" s="70"/>
      <c r="DM50" s="71"/>
      <c r="DN50" s="69"/>
      <c r="DO50" s="70"/>
      <c r="DP50" s="71"/>
      <c r="DQ50" s="69"/>
      <c r="DR50" s="70"/>
      <c r="DS50" s="71"/>
      <c r="DT50" s="70"/>
      <c r="DU50" s="70"/>
      <c r="DV50" s="75"/>
      <c r="DX50" s="213">
        <f>SUM(R50:DV50)</f>
        <v>7.8399999999999997E-3</v>
      </c>
      <c r="DY50" s="1"/>
      <c r="DZ50" s="1"/>
      <c r="EA50" s="1"/>
      <c r="EB50" s="1"/>
    </row>
    <row r="51" spans="5:132" s="6" customFormat="1" ht="6.95" customHeight="1">
      <c r="E51" s="83"/>
      <c r="F51" s="143"/>
      <c r="G51" s="144"/>
      <c r="H51" s="55">
        <v>2</v>
      </c>
      <c r="I51" s="83"/>
      <c r="J51" s="83"/>
      <c r="L51" s="230"/>
      <c r="M51" s="233"/>
      <c r="N51" s="234"/>
      <c r="O51" s="236"/>
      <c r="P51" s="249"/>
      <c r="Q51" s="184"/>
      <c r="R51" s="76"/>
      <c r="S51" s="70"/>
      <c r="T51" s="70"/>
      <c r="U51" s="70"/>
      <c r="V51" s="69"/>
      <c r="W51" s="70"/>
      <c r="X51" s="71"/>
      <c r="Y51" s="69"/>
      <c r="Z51" s="70"/>
      <c r="AA51" s="71"/>
      <c r="AB51" s="69"/>
      <c r="AC51" s="70"/>
      <c r="AD51" s="71"/>
      <c r="AE51" s="69"/>
      <c r="AF51" s="70"/>
      <c r="AG51" s="71"/>
      <c r="AH51" s="69"/>
      <c r="AI51" s="70"/>
      <c r="AJ51" s="71"/>
      <c r="AK51" s="64"/>
      <c r="AL51" s="65"/>
      <c r="AM51" s="66"/>
      <c r="AN51" s="64"/>
      <c r="AO51" s="65"/>
      <c r="AP51" s="66"/>
      <c r="AQ51" s="64"/>
      <c r="AR51" s="65"/>
      <c r="AS51" s="66"/>
      <c r="AT51" s="64"/>
      <c r="AU51" s="65"/>
      <c r="AV51" s="66"/>
      <c r="AW51" s="64"/>
      <c r="AX51" s="65"/>
      <c r="AY51" s="66"/>
      <c r="AZ51" s="64"/>
      <c r="BA51" s="65"/>
      <c r="BB51" s="66"/>
      <c r="BC51" s="64"/>
      <c r="BD51" s="65"/>
      <c r="BE51" s="66"/>
      <c r="BF51" s="64"/>
      <c r="BG51" s="65"/>
      <c r="BH51" s="66"/>
      <c r="BI51" s="64"/>
      <c r="BJ51" s="65"/>
      <c r="BK51" s="66"/>
      <c r="BL51" s="64"/>
      <c r="BM51" s="65"/>
      <c r="BN51" s="66"/>
      <c r="BO51" s="64"/>
      <c r="BP51" s="65"/>
      <c r="BQ51" s="66"/>
      <c r="BR51" s="64"/>
      <c r="BS51" s="65"/>
      <c r="BT51" s="66"/>
      <c r="BU51" s="64"/>
      <c r="BV51" s="65"/>
      <c r="BW51" s="66"/>
      <c r="BX51" s="64"/>
      <c r="BY51" s="65"/>
      <c r="BZ51" s="66"/>
      <c r="CA51" s="70"/>
      <c r="CB51" s="70"/>
      <c r="CC51" s="70"/>
      <c r="CD51" s="69"/>
      <c r="CE51" s="70"/>
      <c r="CF51" s="71"/>
      <c r="CG51" s="69"/>
      <c r="CH51" s="70"/>
      <c r="CI51" s="71"/>
      <c r="CJ51" s="69"/>
      <c r="CK51" s="70"/>
      <c r="CL51" s="71"/>
      <c r="CM51" s="70"/>
      <c r="CN51" s="70"/>
      <c r="CO51" s="70"/>
      <c r="CP51" s="69"/>
      <c r="CQ51" s="70"/>
      <c r="CR51" s="71"/>
      <c r="CS51" s="70"/>
      <c r="CT51" s="70"/>
      <c r="CU51" s="70"/>
      <c r="CV51" s="69"/>
      <c r="CW51" s="70"/>
      <c r="CX51" s="71"/>
      <c r="CY51" s="69"/>
      <c r="CZ51" s="70"/>
      <c r="DA51" s="71"/>
      <c r="DB51" s="70"/>
      <c r="DC51" s="70"/>
      <c r="DD51" s="70"/>
      <c r="DE51" s="69"/>
      <c r="DF51" s="70"/>
      <c r="DG51" s="71"/>
      <c r="DH51" s="69"/>
      <c r="DI51" s="70"/>
      <c r="DJ51" s="71"/>
      <c r="DK51" s="69"/>
      <c r="DL51" s="70"/>
      <c r="DM51" s="71"/>
      <c r="DN51" s="69"/>
      <c r="DO51" s="70"/>
      <c r="DP51" s="71"/>
      <c r="DQ51" s="69"/>
      <c r="DR51" s="70"/>
      <c r="DS51" s="71"/>
      <c r="DT51" s="70"/>
      <c r="DU51" s="70"/>
      <c r="DV51" s="75"/>
      <c r="DX51" s="213"/>
      <c r="DY51" s="1"/>
      <c r="DZ51" s="1"/>
      <c r="EA51" s="1"/>
      <c r="EB51" s="1"/>
    </row>
    <row r="52" spans="5:132" s="6" customFormat="1" ht="9.9499999999999993" customHeight="1">
      <c r="F52" s="143">
        <f t="shared" ref="F52" si="11">DX52</f>
        <v>9.6000000000000013E-4</v>
      </c>
      <c r="G52" s="144">
        <f>Q52-F52</f>
        <v>0</v>
      </c>
      <c r="H52" s="27">
        <v>1</v>
      </c>
      <c r="I52" s="19" t="s">
        <v>191</v>
      </c>
      <c r="J52" s="19" t="s">
        <v>186</v>
      </c>
      <c r="K52" s="6" t="s">
        <v>192</v>
      </c>
      <c r="L52" s="271"/>
      <c r="M52" s="316" t="s">
        <v>270</v>
      </c>
      <c r="N52" s="302">
        <v>37200</v>
      </c>
      <c r="O52" s="299" t="s">
        <v>34</v>
      </c>
      <c r="P52" s="245">
        <v>200396</v>
      </c>
      <c r="Q52" s="183">
        <f>ROUND(P52/$P$256,5)</f>
        <v>9.6000000000000002E-4</v>
      </c>
      <c r="R52" s="79"/>
      <c r="S52" s="57"/>
      <c r="T52" s="57" t="s">
        <v>281</v>
      </c>
      <c r="U52" s="57"/>
      <c r="V52" s="56"/>
      <c r="W52" s="57"/>
      <c r="X52" s="58"/>
      <c r="Y52" s="56"/>
      <c r="Z52" s="57"/>
      <c r="AA52" s="58"/>
      <c r="AB52" s="56"/>
      <c r="AC52" s="57"/>
      <c r="AD52" s="58"/>
      <c r="AE52" s="56"/>
      <c r="AF52" s="57"/>
      <c r="AG52" s="58"/>
      <c r="AH52" s="56"/>
      <c r="AI52" s="57"/>
      <c r="AJ52" s="58"/>
      <c r="AK52" s="56"/>
      <c r="AL52" s="57"/>
      <c r="AM52" s="58"/>
      <c r="AN52" s="146">
        <f>0.004%*0.2</f>
        <v>8.0000000000000013E-6</v>
      </c>
      <c r="AO52" s="146"/>
      <c r="AP52" s="146"/>
      <c r="AQ52" s="146">
        <f>0.007%*0.2</f>
        <v>1.4000000000000001E-5</v>
      </c>
      <c r="AR52" s="146"/>
      <c r="AS52" s="146"/>
      <c r="AT52" s="146">
        <f>0.007%+0.0007%</f>
        <v>7.7000000000000001E-5</v>
      </c>
      <c r="AU52" s="146"/>
      <c r="AV52" s="146"/>
      <c r="AW52" s="146">
        <f>0.007%+0.0007%</f>
        <v>7.7000000000000001E-5</v>
      </c>
      <c r="AX52" s="146"/>
      <c r="AY52" s="146"/>
      <c r="AZ52" s="146">
        <f>0.007%+0.0008%</f>
        <v>7.8000000000000012E-5</v>
      </c>
      <c r="BA52" s="146"/>
      <c r="BB52" s="146"/>
      <c r="BC52" s="146">
        <f>0.007%+0.0008%</f>
        <v>7.8000000000000012E-5</v>
      </c>
      <c r="BD52" s="146"/>
      <c r="BE52" s="146"/>
      <c r="BF52" s="146">
        <f>0.007%+0.0008%</f>
        <v>7.8000000000000012E-5</v>
      </c>
      <c r="BG52" s="146"/>
      <c r="BH52" s="146"/>
      <c r="BI52" s="146">
        <f>0.007%+0.0008%</f>
        <v>7.8000000000000012E-5</v>
      </c>
      <c r="BJ52" s="146"/>
      <c r="BK52" s="146"/>
      <c r="BL52" s="146">
        <f>0.007%+0.0007%</f>
        <v>7.7000000000000001E-5</v>
      </c>
      <c r="BM52" s="146"/>
      <c r="BN52" s="146"/>
      <c r="BO52" s="146">
        <f>0.008%+0.0007%</f>
        <v>8.7000000000000001E-5</v>
      </c>
      <c r="BP52" s="146"/>
      <c r="BQ52" s="147"/>
      <c r="BR52" s="168">
        <f>0.007%+0.0007%</f>
        <v>7.7000000000000001E-5</v>
      </c>
      <c r="BS52" s="146"/>
      <c r="BT52" s="169"/>
      <c r="BU52" s="149">
        <f>0.007%+0.0007%</f>
        <v>7.7000000000000001E-5</v>
      </c>
      <c r="BV52" s="146"/>
      <c r="BW52" s="146"/>
      <c r="BX52" s="146">
        <f>0.007%+0.0007%</f>
        <v>7.7000000000000001E-5</v>
      </c>
      <c r="BY52" s="146"/>
      <c r="BZ52" s="146"/>
      <c r="CA52" s="146">
        <f>0.007%+0.0007%</f>
        <v>7.7000000000000001E-5</v>
      </c>
      <c r="CB52" s="146"/>
      <c r="CC52" s="146"/>
      <c r="CD52" s="56"/>
      <c r="CE52" s="57"/>
      <c r="CF52" s="58"/>
      <c r="CG52" s="56"/>
      <c r="CH52" s="57"/>
      <c r="CI52" s="58"/>
      <c r="CJ52" s="56"/>
      <c r="CK52" s="57"/>
      <c r="CL52" s="58"/>
      <c r="CM52" s="57"/>
      <c r="CN52" s="57"/>
      <c r="CO52" s="57"/>
      <c r="CP52" s="56"/>
      <c r="CQ52" s="57"/>
      <c r="CR52" s="58"/>
      <c r="CS52" s="57"/>
      <c r="CT52" s="57"/>
      <c r="CU52" s="57"/>
      <c r="CV52" s="56"/>
      <c r="CW52" s="57"/>
      <c r="CX52" s="58"/>
      <c r="CY52" s="56"/>
      <c r="CZ52" s="57"/>
      <c r="DA52" s="58"/>
      <c r="DB52" s="57"/>
      <c r="DC52" s="57"/>
      <c r="DD52" s="57"/>
      <c r="DE52" s="56"/>
      <c r="DF52" s="57"/>
      <c r="DG52" s="58"/>
      <c r="DH52" s="56"/>
      <c r="DI52" s="57"/>
      <c r="DJ52" s="58"/>
      <c r="DK52" s="56"/>
      <c r="DL52" s="57"/>
      <c r="DM52" s="58"/>
      <c r="DN52" s="56"/>
      <c r="DO52" s="57"/>
      <c r="DP52" s="58"/>
      <c r="DQ52" s="56"/>
      <c r="DR52" s="57"/>
      <c r="DS52" s="58"/>
      <c r="DT52" s="57"/>
      <c r="DU52" s="57"/>
      <c r="DV52" s="62"/>
      <c r="DX52" s="213">
        <f>SUM(R52:DV52)</f>
        <v>9.6000000000000013E-4</v>
      </c>
      <c r="DY52" s="1"/>
      <c r="DZ52" s="1"/>
      <c r="EA52" s="1"/>
      <c r="EB52" s="1"/>
    </row>
    <row r="53" spans="5:132" s="6" customFormat="1" ht="6.95" customHeight="1">
      <c r="F53" s="143"/>
      <c r="G53" s="144"/>
      <c r="H53" s="55">
        <v>2</v>
      </c>
      <c r="L53" s="272"/>
      <c r="M53" s="317"/>
      <c r="N53" s="303"/>
      <c r="O53" s="300"/>
      <c r="P53" s="246"/>
      <c r="Q53" s="184"/>
      <c r="R53" s="63"/>
      <c r="S53" s="42"/>
      <c r="T53" s="42"/>
      <c r="U53" s="42"/>
      <c r="V53" s="41"/>
      <c r="W53" s="42"/>
      <c r="X53" s="43"/>
      <c r="Y53" s="41"/>
      <c r="Z53" s="42"/>
      <c r="AA53" s="43"/>
      <c r="AB53" s="41"/>
      <c r="AC53" s="42"/>
      <c r="AD53" s="43"/>
      <c r="AE53" s="41"/>
      <c r="AF53" s="42"/>
      <c r="AG53" s="43"/>
      <c r="AH53" s="41"/>
      <c r="AI53" s="42"/>
      <c r="AJ53" s="43"/>
      <c r="AK53" s="41"/>
      <c r="AL53" s="42"/>
      <c r="AM53" s="43"/>
      <c r="AN53" s="64"/>
      <c r="AO53" s="65"/>
      <c r="AP53" s="66"/>
      <c r="AQ53" s="64"/>
      <c r="AR53" s="65"/>
      <c r="AS53" s="66"/>
      <c r="AT53" s="64"/>
      <c r="AU53" s="65"/>
      <c r="AV53" s="66"/>
      <c r="AW53" s="64"/>
      <c r="AX53" s="65"/>
      <c r="AY53" s="66"/>
      <c r="AZ53" s="64"/>
      <c r="BA53" s="65"/>
      <c r="BB53" s="66"/>
      <c r="BC53" s="64"/>
      <c r="BD53" s="65"/>
      <c r="BE53" s="66"/>
      <c r="BF53" s="64"/>
      <c r="BG53" s="65"/>
      <c r="BH53" s="66"/>
      <c r="BI53" s="64"/>
      <c r="BJ53" s="65"/>
      <c r="BK53" s="66"/>
      <c r="BL53" s="64"/>
      <c r="BM53" s="65"/>
      <c r="BN53" s="66"/>
      <c r="BO53" s="64"/>
      <c r="BP53" s="65"/>
      <c r="BQ53" s="66"/>
      <c r="BR53" s="64"/>
      <c r="BS53" s="65"/>
      <c r="BT53" s="66"/>
      <c r="BU53" s="64"/>
      <c r="BV53" s="65"/>
      <c r="BW53" s="66"/>
      <c r="BX53" s="64"/>
      <c r="BY53" s="65"/>
      <c r="BZ53" s="66"/>
      <c r="CA53" s="64"/>
      <c r="CB53" s="65"/>
      <c r="CC53" s="66"/>
      <c r="CD53" s="41"/>
      <c r="CE53" s="42"/>
      <c r="CF53" s="43"/>
      <c r="CG53" s="41"/>
      <c r="CH53" s="42"/>
      <c r="CI53" s="43"/>
      <c r="CJ53" s="41"/>
      <c r="CK53" s="42"/>
      <c r="CL53" s="43"/>
      <c r="CM53" s="42"/>
      <c r="CN53" s="42"/>
      <c r="CO53" s="42"/>
      <c r="CP53" s="41"/>
      <c r="CQ53" s="42"/>
      <c r="CR53" s="43"/>
      <c r="CS53" s="42"/>
      <c r="CT53" s="42"/>
      <c r="CU53" s="42"/>
      <c r="CV53" s="41"/>
      <c r="CW53" s="42"/>
      <c r="CX53" s="43"/>
      <c r="CY53" s="41"/>
      <c r="CZ53" s="42"/>
      <c r="DA53" s="43"/>
      <c r="DB53" s="42"/>
      <c r="DC53" s="42"/>
      <c r="DD53" s="42"/>
      <c r="DE53" s="41"/>
      <c r="DF53" s="42"/>
      <c r="DG53" s="43"/>
      <c r="DH53" s="41"/>
      <c r="DI53" s="42"/>
      <c r="DJ53" s="43"/>
      <c r="DK53" s="41"/>
      <c r="DL53" s="42"/>
      <c r="DM53" s="43"/>
      <c r="DN53" s="41"/>
      <c r="DO53" s="42"/>
      <c r="DP53" s="43"/>
      <c r="DQ53" s="41"/>
      <c r="DR53" s="42"/>
      <c r="DS53" s="43"/>
      <c r="DT53" s="42"/>
      <c r="DU53" s="42"/>
      <c r="DV53" s="44"/>
      <c r="DX53" s="213"/>
      <c r="DY53" s="1"/>
      <c r="DZ53" s="1"/>
      <c r="EA53" s="1"/>
      <c r="EB53" s="1"/>
    </row>
    <row r="54" spans="5:132" s="6" customFormat="1" ht="9.9499999999999993" customHeight="1">
      <c r="E54" s="6" t="s">
        <v>193</v>
      </c>
      <c r="F54" s="143">
        <f t="shared" ref="F54" si="12">DX54</f>
        <v>1.2520000000000003E-2</v>
      </c>
      <c r="G54" s="144">
        <f>Q54-F54</f>
        <v>0</v>
      </c>
      <c r="H54" s="27">
        <v>1</v>
      </c>
      <c r="I54" s="19" t="s">
        <v>194</v>
      </c>
      <c r="J54" s="19" t="s">
        <v>186</v>
      </c>
      <c r="K54" s="6" t="s">
        <v>195</v>
      </c>
      <c r="L54" s="230"/>
      <c r="M54" s="233" t="s">
        <v>271</v>
      </c>
      <c r="N54" s="234">
        <v>263941</v>
      </c>
      <c r="O54" s="235" t="s">
        <v>262</v>
      </c>
      <c r="P54" s="249">
        <v>2605925</v>
      </c>
      <c r="Q54" s="183">
        <f>ROUND(P54/$P$256,5)</f>
        <v>1.252E-2</v>
      </c>
      <c r="R54" s="76"/>
      <c r="S54" s="70"/>
      <c r="T54" s="70"/>
      <c r="U54" s="70"/>
      <c r="V54" s="69"/>
      <c r="W54" s="70"/>
      <c r="X54" s="71"/>
      <c r="Y54" s="69"/>
      <c r="Z54" s="70"/>
      <c r="AA54" s="71"/>
      <c r="AB54" s="69"/>
      <c r="AC54" s="70"/>
      <c r="AD54" s="71"/>
      <c r="AE54" s="70"/>
      <c r="AF54" s="70"/>
      <c r="AG54" s="71"/>
      <c r="AH54" s="69"/>
      <c r="AI54" s="70"/>
      <c r="AJ54" s="71"/>
      <c r="AK54" s="69"/>
      <c r="AL54" s="70"/>
      <c r="AM54" s="71"/>
      <c r="AN54" s="69"/>
      <c r="AO54" s="70"/>
      <c r="AP54" s="70"/>
      <c r="AQ54" s="69"/>
      <c r="AR54" s="70"/>
      <c r="AS54" s="70"/>
      <c r="AT54" s="69"/>
      <c r="AU54" s="70"/>
      <c r="AV54" s="70"/>
      <c r="AW54" s="69"/>
      <c r="AX54" s="70"/>
      <c r="AY54" s="71"/>
      <c r="AZ54" s="70"/>
      <c r="BA54" s="70"/>
      <c r="BB54" s="70"/>
      <c r="BC54" s="69"/>
      <c r="BD54" s="70"/>
      <c r="BE54" s="71"/>
      <c r="BF54" s="70"/>
      <c r="BG54" s="70"/>
      <c r="BH54" s="70"/>
      <c r="BI54" s="69"/>
      <c r="BJ54" s="70"/>
      <c r="BK54" s="71"/>
      <c r="BL54" s="56"/>
      <c r="BM54" s="57"/>
      <c r="BN54" s="58"/>
      <c r="BO54" s="70"/>
      <c r="BP54" s="70"/>
      <c r="BQ54" s="70"/>
      <c r="BR54" s="180"/>
      <c r="BS54" s="150"/>
      <c r="BT54" s="181"/>
      <c r="BU54" s="165"/>
      <c r="BV54" s="150"/>
      <c r="BW54" s="150"/>
      <c r="BX54" s="150"/>
      <c r="BY54" s="150"/>
      <c r="BZ54" s="150"/>
      <c r="CA54" s="150"/>
      <c r="CB54" s="150"/>
      <c r="CC54" s="150"/>
      <c r="CD54" s="150">
        <v>3.3E-4</v>
      </c>
      <c r="CE54" s="150"/>
      <c r="CF54" s="150"/>
      <c r="CG54" s="150">
        <v>3.3E-4</v>
      </c>
      <c r="CH54" s="150"/>
      <c r="CI54" s="150"/>
      <c r="CJ54" s="150">
        <v>1.34E-3</v>
      </c>
      <c r="CK54" s="150"/>
      <c r="CL54" s="150"/>
      <c r="CM54" s="150">
        <v>1.14E-3</v>
      </c>
      <c r="CN54" s="150"/>
      <c r="CO54" s="150"/>
      <c r="CP54" s="69"/>
      <c r="CQ54" s="70"/>
      <c r="CR54" s="71"/>
      <c r="CS54" s="150">
        <v>1.34E-3</v>
      </c>
      <c r="CT54" s="150"/>
      <c r="CU54" s="150"/>
      <c r="CV54" s="150">
        <v>1.34E-3</v>
      </c>
      <c r="CW54" s="150"/>
      <c r="CX54" s="150"/>
      <c r="CY54" s="150">
        <v>1.34E-3</v>
      </c>
      <c r="CZ54" s="150"/>
      <c r="DA54" s="150"/>
      <c r="DB54" s="150"/>
      <c r="DC54" s="150"/>
      <c r="DD54" s="150"/>
      <c r="DE54" s="150">
        <v>1.34E-3</v>
      </c>
      <c r="DF54" s="150"/>
      <c r="DG54" s="150"/>
      <c r="DH54" s="150">
        <v>1.34E-3</v>
      </c>
      <c r="DI54" s="150"/>
      <c r="DJ54" s="150"/>
      <c r="DK54" s="150">
        <v>1.34E-3</v>
      </c>
      <c r="DL54" s="150"/>
      <c r="DM54" s="150"/>
      <c r="DN54" s="150">
        <v>1.34E-3</v>
      </c>
      <c r="DO54" s="150"/>
      <c r="DP54" s="150"/>
      <c r="DQ54" s="69"/>
      <c r="DR54" s="70"/>
      <c r="DS54" s="71"/>
      <c r="DT54" s="70"/>
      <c r="DU54" s="70"/>
      <c r="DV54" s="75"/>
      <c r="DX54" s="213">
        <f>SUM(R54:DV54)</f>
        <v>1.2520000000000003E-2</v>
      </c>
      <c r="DY54" s="1"/>
      <c r="DZ54" s="1"/>
      <c r="EA54" s="1"/>
      <c r="EB54" s="1"/>
    </row>
    <row r="55" spans="5:132" s="6" customFormat="1" ht="6.95" customHeight="1">
      <c r="F55" s="143"/>
      <c r="G55" s="144"/>
      <c r="H55" s="55">
        <v>2</v>
      </c>
      <c r="L55" s="230"/>
      <c r="M55" s="233"/>
      <c r="N55" s="234"/>
      <c r="O55" s="236"/>
      <c r="P55" s="249"/>
      <c r="Q55" s="184"/>
      <c r="R55" s="76"/>
      <c r="S55" s="70"/>
      <c r="T55" s="70"/>
      <c r="U55" s="70"/>
      <c r="V55" s="69"/>
      <c r="W55" s="70"/>
      <c r="X55" s="71"/>
      <c r="Y55" s="69"/>
      <c r="Z55" s="70"/>
      <c r="AA55" s="71"/>
      <c r="AB55" s="69"/>
      <c r="AC55" s="70"/>
      <c r="AD55" s="71"/>
      <c r="AE55" s="70"/>
      <c r="AF55" s="70"/>
      <c r="AG55" s="71"/>
      <c r="AH55" s="69"/>
      <c r="AI55" s="70"/>
      <c r="AJ55" s="71"/>
      <c r="AK55" s="69"/>
      <c r="AL55" s="70"/>
      <c r="AM55" s="71"/>
      <c r="AN55" s="69"/>
      <c r="AO55" s="70"/>
      <c r="AP55" s="70"/>
      <c r="AQ55" s="69"/>
      <c r="AR55" s="70"/>
      <c r="AS55" s="70"/>
      <c r="AT55" s="69"/>
      <c r="AU55" s="70"/>
      <c r="AV55" s="70"/>
      <c r="AW55" s="69"/>
      <c r="AX55" s="70"/>
      <c r="AY55" s="71"/>
      <c r="AZ55" s="70"/>
      <c r="BA55" s="70"/>
      <c r="BB55" s="70"/>
      <c r="BC55" s="69"/>
      <c r="BD55" s="70"/>
      <c r="BE55" s="71"/>
      <c r="BF55" s="70"/>
      <c r="BG55" s="70"/>
      <c r="BH55" s="70"/>
      <c r="BI55" s="69"/>
      <c r="BJ55" s="70"/>
      <c r="BK55" s="71"/>
      <c r="BL55" s="70"/>
      <c r="BM55" s="70"/>
      <c r="BN55" s="70"/>
      <c r="BO55" s="69"/>
      <c r="BP55" s="70"/>
      <c r="BQ55" s="70"/>
      <c r="BR55" s="73"/>
      <c r="BS55" s="70"/>
      <c r="BT55" s="74"/>
      <c r="BU55" s="70"/>
      <c r="BV55" s="70"/>
      <c r="BW55" s="71"/>
      <c r="BX55" s="70"/>
      <c r="BY55" s="70"/>
      <c r="BZ55" s="70"/>
      <c r="CA55" s="69"/>
      <c r="CB55" s="70"/>
      <c r="CC55" s="71"/>
      <c r="CD55" s="64"/>
      <c r="CE55" s="65"/>
      <c r="CF55" s="66"/>
      <c r="CG55" s="64"/>
      <c r="CH55" s="65"/>
      <c r="CI55" s="66"/>
      <c r="CJ55" s="64"/>
      <c r="CK55" s="65"/>
      <c r="CL55" s="66"/>
      <c r="CM55" s="64"/>
      <c r="CN55" s="65"/>
      <c r="CO55" s="66"/>
      <c r="CP55" s="69"/>
      <c r="CQ55" s="70"/>
      <c r="CR55" s="71"/>
      <c r="CS55" s="64"/>
      <c r="CT55" s="65"/>
      <c r="CU55" s="66"/>
      <c r="CV55" s="64"/>
      <c r="CW55" s="65"/>
      <c r="CX55" s="66"/>
      <c r="CY55" s="64"/>
      <c r="CZ55" s="65"/>
      <c r="DA55" s="66"/>
      <c r="DB55" s="69"/>
      <c r="DC55" s="70"/>
      <c r="DD55" s="71"/>
      <c r="DE55" s="64"/>
      <c r="DF55" s="65"/>
      <c r="DG55" s="66"/>
      <c r="DH55" s="64"/>
      <c r="DI55" s="65"/>
      <c r="DJ55" s="66"/>
      <c r="DK55" s="64"/>
      <c r="DL55" s="65"/>
      <c r="DM55" s="66"/>
      <c r="DN55" s="64"/>
      <c r="DO55" s="65"/>
      <c r="DP55" s="66"/>
      <c r="DQ55" s="69"/>
      <c r="DR55" s="70"/>
      <c r="DS55" s="71"/>
      <c r="DT55" s="69"/>
      <c r="DU55" s="70"/>
      <c r="DV55" s="75"/>
      <c r="DX55" s="213"/>
      <c r="DY55" s="1"/>
      <c r="DZ55" s="1"/>
      <c r="EA55" s="1"/>
      <c r="EB55" s="1"/>
    </row>
    <row r="56" spans="5:132" s="6" customFormat="1" ht="9.9499999999999993" customHeight="1">
      <c r="F56" s="143">
        <f t="shared" ref="F56" si="13">DX56</f>
        <v>2.81E-3</v>
      </c>
      <c r="G56" s="144">
        <f>Q56-F56</f>
        <v>0</v>
      </c>
      <c r="H56" s="27">
        <v>1</v>
      </c>
      <c r="I56" s="19" t="s">
        <v>196</v>
      </c>
      <c r="J56" s="19" t="s">
        <v>186</v>
      </c>
      <c r="K56" s="6" t="s">
        <v>197</v>
      </c>
      <c r="L56" s="271"/>
      <c r="M56" s="316" t="s">
        <v>272</v>
      </c>
      <c r="N56" s="302">
        <v>76775</v>
      </c>
      <c r="O56" s="299" t="s">
        <v>262</v>
      </c>
      <c r="P56" s="245">
        <v>585789</v>
      </c>
      <c r="Q56" s="183">
        <f>ROUND(P56/$P$256,5)</f>
        <v>2.81E-3</v>
      </c>
      <c r="R56" s="79"/>
      <c r="S56" s="57"/>
      <c r="T56" s="57"/>
      <c r="U56" s="57"/>
      <c r="V56" s="56"/>
      <c r="W56" s="57"/>
      <c r="X56" s="58"/>
      <c r="Y56" s="56"/>
      <c r="Z56" s="57"/>
      <c r="AA56" s="58"/>
      <c r="AB56" s="56"/>
      <c r="AC56" s="57"/>
      <c r="AD56" s="58"/>
      <c r="AE56" s="146">
        <f>0.04%*0.3</f>
        <v>1.2E-4</v>
      </c>
      <c r="AF56" s="146"/>
      <c r="AG56" s="146"/>
      <c r="AH56" s="146">
        <f>0.05%*0.3</f>
        <v>1.4999999999999999E-4</v>
      </c>
      <c r="AI56" s="146"/>
      <c r="AJ56" s="146"/>
      <c r="AK56" s="56"/>
      <c r="AL56" s="57"/>
      <c r="AM56" s="58"/>
      <c r="AN56" s="56"/>
      <c r="AO56" s="57"/>
      <c r="AP56" s="57"/>
      <c r="AQ56" s="56"/>
      <c r="AR56" s="57"/>
      <c r="AS56" s="57"/>
      <c r="AT56" s="56"/>
      <c r="AU56" s="57"/>
      <c r="AV56" s="57"/>
      <c r="AW56" s="56"/>
      <c r="AX56" s="57"/>
      <c r="AY56" s="58"/>
      <c r="AZ56" s="57"/>
      <c r="BA56" s="57"/>
      <c r="BB56" s="57"/>
      <c r="BC56" s="146">
        <f>0.012%+0.0039%</f>
        <v>1.5900000000000002E-4</v>
      </c>
      <c r="BD56" s="146"/>
      <c r="BE56" s="146"/>
      <c r="BF56" s="146">
        <f>0.012%+0.0039%</f>
        <v>1.5900000000000002E-4</v>
      </c>
      <c r="BG56" s="146"/>
      <c r="BH56" s="146"/>
      <c r="BI56" s="146">
        <f>0.012%+0.0039%</f>
        <v>1.5900000000000002E-4</v>
      </c>
      <c r="BJ56" s="146"/>
      <c r="BK56" s="146"/>
      <c r="BL56" s="146">
        <f>0.012%+0.0039%</f>
        <v>1.5900000000000002E-4</v>
      </c>
      <c r="BM56" s="146"/>
      <c r="BN56" s="146"/>
      <c r="BO56" s="146">
        <f>0.012%+0.0039%</f>
        <v>1.5900000000000002E-4</v>
      </c>
      <c r="BP56" s="146"/>
      <c r="BQ56" s="147"/>
      <c r="BR56" s="168">
        <f>0.012%+0.0039%</f>
        <v>1.5900000000000002E-4</v>
      </c>
      <c r="BS56" s="146"/>
      <c r="BT56" s="169"/>
      <c r="BU56" s="149">
        <f>0.012%+0.0039%</f>
        <v>1.5900000000000002E-4</v>
      </c>
      <c r="BV56" s="146"/>
      <c r="BW56" s="146"/>
      <c r="BX56" s="146">
        <f>0.012%+0.0039%</f>
        <v>1.5900000000000002E-4</v>
      </c>
      <c r="BY56" s="146"/>
      <c r="BZ56" s="146"/>
      <c r="CA56" s="146">
        <f>0.012%+0.0039%</f>
        <v>1.5900000000000002E-4</v>
      </c>
      <c r="CB56" s="146"/>
      <c r="CC56" s="146"/>
      <c r="CD56" s="146">
        <f>0.012%+0.0039%</f>
        <v>1.5900000000000002E-4</v>
      </c>
      <c r="CE56" s="146"/>
      <c r="CF56" s="146"/>
      <c r="CG56" s="146">
        <f>0.012%+0.0039%</f>
        <v>1.5900000000000002E-4</v>
      </c>
      <c r="CH56" s="146"/>
      <c r="CI56" s="146"/>
      <c r="CJ56" s="146">
        <f>0.012%+0.0039%</f>
        <v>1.5900000000000002E-4</v>
      </c>
      <c r="CK56" s="146"/>
      <c r="CL56" s="146"/>
      <c r="CM56" s="146">
        <f>0.012%+0.0039%</f>
        <v>1.5900000000000002E-4</v>
      </c>
      <c r="CN56" s="146"/>
      <c r="CO56" s="146"/>
      <c r="CP56" s="146">
        <f>0.012%+0.0039%</f>
        <v>1.5900000000000002E-4</v>
      </c>
      <c r="CQ56" s="146"/>
      <c r="CR56" s="146"/>
      <c r="CS56" s="146">
        <f>0.012%+0.0039%</f>
        <v>1.5900000000000002E-4</v>
      </c>
      <c r="CT56" s="146"/>
      <c r="CU56" s="150"/>
      <c r="CV56" s="150">
        <f>0.011%+0.0045%</f>
        <v>1.5499999999999997E-4</v>
      </c>
      <c r="CW56" s="150"/>
      <c r="CX56" s="150"/>
      <c r="CY56" s="69"/>
      <c r="CZ56" s="70"/>
      <c r="DA56" s="58"/>
      <c r="DB56" s="57"/>
      <c r="DC56" s="57"/>
      <c r="DD56" s="57"/>
      <c r="DE56" s="56"/>
      <c r="DF56" s="57"/>
      <c r="DG56" s="58"/>
      <c r="DH56" s="56"/>
      <c r="DI56" s="57"/>
      <c r="DJ56" s="58"/>
      <c r="DK56" s="56"/>
      <c r="DL56" s="57"/>
      <c r="DM56" s="58"/>
      <c r="DN56" s="56"/>
      <c r="DO56" s="57"/>
      <c r="DP56" s="58"/>
      <c r="DQ56" s="56"/>
      <c r="DR56" s="57"/>
      <c r="DS56" s="58"/>
      <c r="DT56" s="57"/>
      <c r="DU56" s="57"/>
      <c r="DV56" s="62"/>
      <c r="DX56" s="213">
        <f>SUM(R56:DV56)</f>
        <v>2.81E-3</v>
      </c>
      <c r="DY56" s="1"/>
      <c r="DZ56" s="1"/>
      <c r="EA56" s="1"/>
      <c r="EB56" s="1"/>
    </row>
    <row r="57" spans="5:132" s="6" customFormat="1" ht="6.95" customHeight="1">
      <c r="F57" s="143"/>
      <c r="G57" s="144"/>
      <c r="H57" s="55">
        <v>2</v>
      </c>
      <c r="L57" s="272"/>
      <c r="M57" s="317"/>
      <c r="N57" s="303"/>
      <c r="O57" s="300"/>
      <c r="P57" s="246"/>
      <c r="Q57" s="184"/>
      <c r="R57" s="63"/>
      <c r="S57" s="42"/>
      <c r="T57" s="42"/>
      <c r="U57" s="42"/>
      <c r="V57" s="41"/>
      <c r="W57" s="42"/>
      <c r="X57" s="43"/>
      <c r="Y57" s="41"/>
      <c r="Z57" s="42"/>
      <c r="AA57" s="43"/>
      <c r="AB57" s="41"/>
      <c r="AC57" s="42"/>
      <c r="AD57" s="43"/>
      <c r="AE57" s="64"/>
      <c r="AF57" s="65"/>
      <c r="AG57" s="66"/>
      <c r="AH57" s="64"/>
      <c r="AI57" s="65"/>
      <c r="AJ57" s="66"/>
      <c r="AK57" s="41"/>
      <c r="AL57" s="42"/>
      <c r="AM57" s="43"/>
      <c r="AN57" s="41"/>
      <c r="AO57" s="42"/>
      <c r="AP57" s="42"/>
      <c r="AQ57" s="41"/>
      <c r="AR57" s="42"/>
      <c r="AS57" s="42"/>
      <c r="AT57" s="41"/>
      <c r="AU57" s="42"/>
      <c r="AV57" s="42"/>
      <c r="AW57" s="41"/>
      <c r="AX57" s="42"/>
      <c r="AY57" s="43"/>
      <c r="AZ57" s="42"/>
      <c r="BA57" s="42"/>
      <c r="BB57" s="42"/>
      <c r="BC57" s="64"/>
      <c r="BD57" s="65"/>
      <c r="BE57" s="66"/>
      <c r="BF57" s="64"/>
      <c r="BG57" s="65"/>
      <c r="BH57" s="66"/>
      <c r="BI57" s="64"/>
      <c r="BJ57" s="65"/>
      <c r="BK57" s="66"/>
      <c r="BL57" s="64"/>
      <c r="BM57" s="65"/>
      <c r="BN57" s="66"/>
      <c r="BO57" s="64"/>
      <c r="BP57" s="65"/>
      <c r="BQ57" s="66"/>
      <c r="BR57" s="64"/>
      <c r="BS57" s="65"/>
      <c r="BT57" s="66"/>
      <c r="BU57" s="64"/>
      <c r="BV57" s="65"/>
      <c r="BW57" s="66"/>
      <c r="BX57" s="64"/>
      <c r="BY57" s="65"/>
      <c r="BZ57" s="66"/>
      <c r="CA57" s="64"/>
      <c r="CB57" s="65"/>
      <c r="CC57" s="66"/>
      <c r="CD57" s="64"/>
      <c r="CE57" s="65"/>
      <c r="CF57" s="66"/>
      <c r="CG57" s="64"/>
      <c r="CH57" s="65"/>
      <c r="CI57" s="66"/>
      <c r="CJ57" s="64"/>
      <c r="CK57" s="65"/>
      <c r="CL57" s="66"/>
      <c r="CM57" s="64"/>
      <c r="CN57" s="65"/>
      <c r="CO57" s="66"/>
      <c r="CP57" s="64"/>
      <c r="CQ57" s="65"/>
      <c r="CR57" s="66"/>
      <c r="CS57" s="64"/>
      <c r="CT57" s="65"/>
      <c r="CU57" s="66"/>
      <c r="CV57" s="64"/>
      <c r="CW57" s="65"/>
      <c r="CX57" s="66"/>
      <c r="CY57" s="41"/>
      <c r="CZ57" s="42"/>
      <c r="DA57" s="43"/>
      <c r="DB57" s="42"/>
      <c r="DC57" s="42"/>
      <c r="DD57" s="42"/>
      <c r="DE57" s="41"/>
      <c r="DF57" s="42"/>
      <c r="DG57" s="43"/>
      <c r="DH57" s="41"/>
      <c r="DI57" s="42"/>
      <c r="DJ57" s="43"/>
      <c r="DK57" s="41"/>
      <c r="DL57" s="42"/>
      <c r="DM57" s="43"/>
      <c r="DN57" s="41"/>
      <c r="DO57" s="42"/>
      <c r="DP57" s="43"/>
      <c r="DQ57" s="41"/>
      <c r="DR57" s="42"/>
      <c r="DS57" s="43"/>
      <c r="DT57" s="42"/>
      <c r="DU57" s="42"/>
      <c r="DV57" s="44"/>
      <c r="DX57" s="213"/>
      <c r="DY57" s="1"/>
      <c r="DZ57" s="1"/>
      <c r="EA57" s="1"/>
      <c r="EB57" s="1"/>
    </row>
    <row r="58" spans="5:132" s="6" customFormat="1" ht="9.9499999999999993" customHeight="1">
      <c r="F58" s="143">
        <f t="shared" ref="F58" si="14">DX58</f>
        <v>1.6000000000000001E-4</v>
      </c>
      <c r="G58" s="144">
        <f>Q58-F58</f>
        <v>0</v>
      </c>
      <c r="H58" s="27">
        <v>1</v>
      </c>
      <c r="L58" s="230"/>
      <c r="M58" s="233" t="s">
        <v>273</v>
      </c>
      <c r="N58" s="234">
        <v>476</v>
      </c>
      <c r="O58" s="235" t="s">
        <v>274</v>
      </c>
      <c r="P58" s="249">
        <v>33984</v>
      </c>
      <c r="Q58" s="183">
        <f>ROUND(P58/$P$256,5)</f>
        <v>1.6000000000000001E-4</v>
      </c>
      <c r="R58" s="76"/>
      <c r="S58" s="167">
        <f>0.002%*0.3</f>
        <v>6.0000000000000002E-6</v>
      </c>
      <c r="T58" s="167"/>
      <c r="U58" s="167"/>
      <c r="V58" s="150">
        <f>0.002%*0.3</f>
        <v>6.0000000000000002E-6</v>
      </c>
      <c r="W58" s="150"/>
      <c r="X58" s="150"/>
      <c r="Y58" s="150">
        <f>0.003%*0.3</f>
        <v>9.0000000000000002E-6</v>
      </c>
      <c r="Z58" s="150"/>
      <c r="AA58" s="150"/>
      <c r="AB58" s="69"/>
      <c r="AC58" s="70"/>
      <c r="AD58" s="71"/>
      <c r="AE58" s="70"/>
      <c r="AF58" s="70"/>
      <c r="AG58" s="71"/>
      <c r="AH58" s="69"/>
      <c r="AI58" s="70"/>
      <c r="AJ58" s="71"/>
      <c r="AK58" s="69"/>
      <c r="AL58" s="70"/>
      <c r="AM58" s="71"/>
      <c r="AN58" s="69"/>
      <c r="AO58" s="70"/>
      <c r="AP58" s="70"/>
      <c r="AQ58" s="150">
        <f>0.003%*0.2</f>
        <v>6.0000000000000002E-6</v>
      </c>
      <c r="AR58" s="150"/>
      <c r="AS58" s="150"/>
      <c r="AT58" s="150">
        <f>0.003%+0.0037%</f>
        <v>6.7000000000000002E-5</v>
      </c>
      <c r="AU58" s="150"/>
      <c r="AV58" s="150"/>
      <c r="AW58" s="150">
        <f>0.003%+0.0036%</f>
        <v>6.6000000000000005E-5</v>
      </c>
      <c r="AX58" s="150"/>
      <c r="AY58" s="150"/>
      <c r="AZ58" s="70"/>
      <c r="BA58" s="70"/>
      <c r="BB58" s="70"/>
      <c r="BC58" s="69"/>
      <c r="BD58" s="70"/>
      <c r="BE58" s="71"/>
      <c r="BF58" s="70"/>
      <c r="BG58" s="70"/>
      <c r="BH58" s="70"/>
      <c r="BI58" s="69"/>
      <c r="BJ58" s="70"/>
      <c r="BK58" s="71"/>
      <c r="BL58" s="70"/>
      <c r="BM58" s="70"/>
      <c r="BN58" s="70"/>
      <c r="BO58" s="69"/>
      <c r="BP58" s="70"/>
      <c r="BQ58" s="70"/>
      <c r="BR58" s="73"/>
      <c r="BS58" s="70"/>
      <c r="BT58" s="74"/>
      <c r="BU58" s="70"/>
      <c r="BV58" s="70"/>
      <c r="BW58" s="71"/>
      <c r="BX58" s="70"/>
      <c r="BY58" s="70"/>
      <c r="BZ58" s="70"/>
      <c r="CA58" s="69"/>
      <c r="CB58" s="70"/>
      <c r="CC58" s="71"/>
      <c r="CD58" s="69"/>
      <c r="CE58" s="70"/>
      <c r="CF58" s="71"/>
      <c r="CG58" s="69"/>
      <c r="CH58" s="70"/>
      <c r="CI58" s="71"/>
      <c r="CJ58" s="69"/>
      <c r="CK58" s="70"/>
      <c r="CL58" s="71"/>
      <c r="CM58" s="70"/>
      <c r="CN58" s="70"/>
      <c r="CO58" s="70"/>
      <c r="CP58" s="69"/>
      <c r="CQ58" s="70"/>
      <c r="CR58" s="71"/>
      <c r="CS58" s="70"/>
      <c r="CT58" s="70"/>
      <c r="CU58" s="70"/>
      <c r="CV58" s="69"/>
      <c r="CW58" s="70"/>
      <c r="CX58" s="71"/>
      <c r="CY58" s="69"/>
      <c r="CZ58" s="70"/>
      <c r="DA58" s="71"/>
      <c r="DB58" s="70"/>
      <c r="DC58" s="70"/>
      <c r="DD58" s="70"/>
      <c r="DE58" s="69"/>
      <c r="DF58" s="70"/>
      <c r="DG58" s="71"/>
      <c r="DH58" s="69"/>
      <c r="DI58" s="70"/>
      <c r="DJ58" s="71"/>
      <c r="DK58" s="69"/>
      <c r="DL58" s="70"/>
      <c r="DM58" s="71"/>
      <c r="DN58" s="69"/>
      <c r="DO58" s="70"/>
      <c r="DP58" s="71"/>
      <c r="DQ58" s="69"/>
      <c r="DR58" s="70"/>
      <c r="DS58" s="71"/>
      <c r="DT58" s="70"/>
      <c r="DU58" s="70"/>
      <c r="DV58" s="75"/>
      <c r="DX58" s="213">
        <f>SUM(R58:DV58)</f>
        <v>1.6000000000000001E-4</v>
      </c>
      <c r="DY58" s="1"/>
      <c r="DZ58" s="1"/>
      <c r="EA58" s="1"/>
      <c r="EB58" s="1"/>
    </row>
    <row r="59" spans="5:132" s="6" customFormat="1" ht="6.95" customHeight="1">
      <c r="F59" s="143"/>
      <c r="G59" s="144"/>
      <c r="H59" s="55">
        <v>2</v>
      </c>
      <c r="L59" s="230"/>
      <c r="M59" s="233"/>
      <c r="N59" s="234"/>
      <c r="O59" s="236"/>
      <c r="P59" s="249"/>
      <c r="Q59" s="184"/>
      <c r="R59" s="76"/>
      <c r="S59" s="64"/>
      <c r="T59" s="65"/>
      <c r="U59" s="66"/>
      <c r="V59" s="64"/>
      <c r="W59" s="65"/>
      <c r="X59" s="66"/>
      <c r="Y59" s="64"/>
      <c r="Z59" s="65"/>
      <c r="AA59" s="66"/>
      <c r="AB59" s="69"/>
      <c r="AC59" s="70"/>
      <c r="AD59" s="71"/>
      <c r="AE59" s="41"/>
      <c r="AF59" s="42"/>
      <c r="AG59" s="43"/>
      <c r="AH59" s="41"/>
      <c r="AI59" s="42"/>
      <c r="AJ59" s="43"/>
      <c r="AK59" s="41"/>
      <c r="AL59" s="42"/>
      <c r="AM59" s="43"/>
      <c r="AN59" s="41"/>
      <c r="AO59" s="42"/>
      <c r="AP59" s="42"/>
      <c r="AQ59" s="64"/>
      <c r="AR59" s="65"/>
      <c r="AS59" s="66"/>
      <c r="AT59" s="64"/>
      <c r="AU59" s="65"/>
      <c r="AV59" s="66"/>
      <c r="AW59" s="64"/>
      <c r="AX59" s="65"/>
      <c r="AY59" s="66"/>
      <c r="AZ59" s="70"/>
      <c r="BA59" s="70"/>
      <c r="BB59" s="70"/>
      <c r="BC59" s="69"/>
      <c r="BD59" s="70"/>
      <c r="BE59" s="71"/>
      <c r="BF59" s="70"/>
      <c r="BG59" s="70"/>
      <c r="BH59" s="70"/>
      <c r="BI59" s="69"/>
      <c r="BJ59" s="70"/>
      <c r="BK59" s="71"/>
      <c r="BL59" s="70"/>
      <c r="BM59" s="70"/>
      <c r="BN59" s="70"/>
      <c r="BO59" s="69"/>
      <c r="BP59" s="70"/>
      <c r="BQ59" s="70"/>
      <c r="BR59" s="73"/>
      <c r="BS59" s="70"/>
      <c r="BT59" s="74"/>
      <c r="BU59" s="70"/>
      <c r="BV59" s="70"/>
      <c r="BW59" s="71"/>
      <c r="BX59" s="70"/>
      <c r="BY59" s="70"/>
      <c r="BZ59" s="70"/>
      <c r="CA59" s="69"/>
      <c r="CB59" s="70"/>
      <c r="CC59" s="71"/>
      <c r="CD59" s="69"/>
      <c r="CE59" s="70"/>
      <c r="CF59" s="71"/>
      <c r="CG59" s="69"/>
      <c r="CH59" s="70"/>
      <c r="CI59" s="71"/>
      <c r="CJ59" s="69"/>
      <c r="CK59" s="70"/>
      <c r="CL59" s="71"/>
      <c r="CM59" s="70"/>
      <c r="CN59" s="70"/>
      <c r="CO59" s="70"/>
      <c r="CP59" s="69"/>
      <c r="CQ59" s="70"/>
      <c r="CR59" s="71"/>
      <c r="CS59" s="70"/>
      <c r="CT59" s="70"/>
      <c r="CU59" s="70"/>
      <c r="CV59" s="69"/>
      <c r="CW59" s="70"/>
      <c r="CX59" s="71"/>
      <c r="CY59" s="69"/>
      <c r="CZ59" s="70"/>
      <c r="DA59" s="71"/>
      <c r="DB59" s="70"/>
      <c r="DC59" s="70"/>
      <c r="DD59" s="70"/>
      <c r="DE59" s="69"/>
      <c r="DF59" s="70"/>
      <c r="DG59" s="71"/>
      <c r="DH59" s="69"/>
      <c r="DI59" s="70"/>
      <c r="DJ59" s="71"/>
      <c r="DK59" s="69"/>
      <c r="DL59" s="70"/>
      <c r="DM59" s="71"/>
      <c r="DN59" s="69"/>
      <c r="DO59" s="70"/>
      <c r="DP59" s="71"/>
      <c r="DQ59" s="69"/>
      <c r="DR59" s="70"/>
      <c r="DS59" s="71"/>
      <c r="DT59" s="70"/>
      <c r="DU59" s="70"/>
      <c r="DV59" s="75"/>
      <c r="DX59" s="213"/>
      <c r="DY59" s="1"/>
      <c r="DZ59" s="1"/>
      <c r="EA59" s="1"/>
      <c r="EB59" s="1"/>
    </row>
    <row r="60" spans="5:132" s="6" customFormat="1" ht="9.9499999999999993" customHeight="1">
      <c r="F60" s="143">
        <f t="shared" ref="F60" si="15">DX60</f>
        <v>5.5000000000000003E-4</v>
      </c>
      <c r="G60" s="144">
        <f>Q60-F60</f>
        <v>0</v>
      </c>
      <c r="H60" s="27">
        <v>1</v>
      </c>
      <c r="K60" s="6" t="s">
        <v>198</v>
      </c>
      <c r="L60" s="271"/>
      <c r="M60" s="316" t="s">
        <v>275</v>
      </c>
      <c r="N60" s="302">
        <v>1</v>
      </c>
      <c r="O60" s="299" t="s">
        <v>1</v>
      </c>
      <c r="P60" s="245">
        <v>115011</v>
      </c>
      <c r="Q60" s="183">
        <f>ROUND(P60/$P$256,5)</f>
        <v>5.5000000000000003E-4</v>
      </c>
      <c r="R60" s="79"/>
      <c r="S60" s="57"/>
      <c r="T60" s="57"/>
      <c r="U60" s="57"/>
      <c r="V60" s="146"/>
      <c r="W60" s="146"/>
      <c r="X60" s="146"/>
      <c r="Y60" s="56"/>
      <c r="Z60" s="57"/>
      <c r="AA60" s="58"/>
      <c r="AB60" s="56"/>
      <c r="AC60" s="57"/>
      <c r="AD60" s="58"/>
      <c r="AE60" s="70"/>
      <c r="AF60" s="70"/>
      <c r="AG60" s="71"/>
      <c r="AH60" s="150">
        <f>0.032%*0.3</f>
        <v>9.6000000000000002E-5</v>
      </c>
      <c r="AI60" s="150"/>
      <c r="AJ60" s="150"/>
      <c r="AK60" s="150">
        <f>0.023%*0.2</f>
        <v>4.6000000000000007E-5</v>
      </c>
      <c r="AL60" s="150"/>
      <c r="AM60" s="150"/>
      <c r="AN60" s="69"/>
      <c r="AO60" s="70"/>
      <c r="AP60" s="70"/>
      <c r="AQ60" s="69"/>
      <c r="AR60" s="70"/>
      <c r="AS60" s="70"/>
      <c r="AT60" s="150">
        <v>2.04E-4</v>
      </c>
      <c r="AU60" s="150"/>
      <c r="AV60" s="150"/>
      <c r="AW60" s="150">
        <v>2.04E-4</v>
      </c>
      <c r="AX60" s="150"/>
      <c r="AY60" s="150"/>
      <c r="AZ60" s="56"/>
      <c r="BA60" s="57"/>
      <c r="BB60" s="58"/>
      <c r="BC60" s="56"/>
      <c r="BD60" s="57"/>
      <c r="BE60" s="58"/>
      <c r="BF60" s="57"/>
      <c r="BG60" s="57"/>
      <c r="BH60" s="57"/>
      <c r="BI60" s="56"/>
      <c r="BJ60" s="57"/>
      <c r="BK60" s="58"/>
      <c r="BL60" s="57"/>
      <c r="BM60" s="57"/>
      <c r="BN60" s="57"/>
      <c r="BO60" s="56"/>
      <c r="BP60" s="57"/>
      <c r="BQ60" s="57"/>
      <c r="BR60" s="60"/>
      <c r="BS60" s="57"/>
      <c r="BT60" s="61"/>
      <c r="BU60" s="57"/>
      <c r="BV60" s="57"/>
      <c r="BW60" s="58"/>
      <c r="BX60" s="57"/>
      <c r="BY60" s="57"/>
      <c r="BZ60" s="57"/>
      <c r="CA60" s="56"/>
      <c r="CB60" s="57"/>
      <c r="CC60" s="58"/>
      <c r="CD60" s="56"/>
      <c r="CE60" s="57"/>
      <c r="CF60" s="58"/>
      <c r="CG60" s="56"/>
      <c r="CH60" s="57"/>
      <c r="CI60" s="58"/>
      <c r="CJ60" s="56"/>
      <c r="CK60" s="57"/>
      <c r="CL60" s="58"/>
      <c r="CM60" s="57"/>
      <c r="CN60" s="57"/>
      <c r="CO60" s="57"/>
      <c r="CP60" s="56"/>
      <c r="CQ60" s="57"/>
      <c r="CR60" s="58"/>
      <c r="CS60" s="57"/>
      <c r="CT60" s="57"/>
      <c r="CU60" s="57"/>
      <c r="CV60" s="56"/>
      <c r="CW60" s="57"/>
      <c r="CX60" s="58"/>
      <c r="CY60" s="56"/>
      <c r="CZ60" s="57"/>
      <c r="DA60" s="58"/>
      <c r="DB60" s="57"/>
      <c r="DC60" s="57"/>
      <c r="DD60" s="57"/>
      <c r="DE60" s="56"/>
      <c r="DF60" s="57"/>
      <c r="DG60" s="58"/>
      <c r="DH60" s="56"/>
      <c r="DI60" s="57"/>
      <c r="DJ60" s="58"/>
      <c r="DK60" s="56"/>
      <c r="DL60" s="57"/>
      <c r="DM60" s="58"/>
      <c r="DN60" s="56"/>
      <c r="DO60" s="57"/>
      <c r="DP60" s="58"/>
      <c r="DQ60" s="56"/>
      <c r="DR60" s="57"/>
      <c r="DS60" s="58"/>
      <c r="DT60" s="57"/>
      <c r="DU60" s="57"/>
      <c r="DV60" s="62"/>
      <c r="DX60" s="213">
        <f>SUM(R60:DV60)</f>
        <v>5.5000000000000003E-4</v>
      </c>
      <c r="DY60" s="1"/>
      <c r="DZ60" s="1"/>
      <c r="EA60" s="1"/>
      <c r="EB60" s="1"/>
    </row>
    <row r="61" spans="5:132" s="6" customFormat="1" ht="6.95" customHeight="1">
      <c r="F61" s="143"/>
      <c r="G61" s="144"/>
      <c r="H61" s="55">
        <v>2</v>
      </c>
      <c r="L61" s="272"/>
      <c r="M61" s="317"/>
      <c r="N61" s="303"/>
      <c r="O61" s="300"/>
      <c r="P61" s="246"/>
      <c r="Q61" s="184"/>
      <c r="R61" s="63"/>
      <c r="S61" s="42"/>
      <c r="T61" s="42"/>
      <c r="U61" s="42"/>
      <c r="V61" s="41"/>
      <c r="W61" s="42"/>
      <c r="X61" s="43"/>
      <c r="Y61" s="41"/>
      <c r="Z61" s="42"/>
      <c r="AA61" s="43"/>
      <c r="AB61" s="41"/>
      <c r="AC61" s="42"/>
      <c r="AD61" s="43"/>
      <c r="AE61" s="42"/>
      <c r="AF61" s="42"/>
      <c r="AG61" s="43"/>
      <c r="AH61" s="64"/>
      <c r="AI61" s="65"/>
      <c r="AJ61" s="66"/>
      <c r="AK61" s="64"/>
      <c r="AL61" s="65"/>
      <c r="AM61" s="66"/>
      <c r="AN61" s="41"/>
      <c r="AO61" s="42"/>
      <c r="AP61" s="42"/>
      <c r="AQ61" s="41"/>
      <c r="AR61" s="42"/>
      <c r="AS61" s="42"/>
      <c r="AT61" s="64"/>
      <c r="AU61" s="65"/>
      <c r="AV61" s="66"/>
      <c r="AW61" s="64"/>
      <c r="AX61" s="65"/>
      <c r="AY61" s="66"/>
      <c r="AZ61" s="42"/>
      <c r="BA61" s="42"/>
      <c r="BB61" s="42"/>
      <c r="BC61" s="41"/>
      <c r="BD61" s="42"/>
      <c r="BE61" s="43"/>
      <c r="BF61" s="42"/>
      <c r="BG61" s="42"/>
      <c r="BH61" s="42"/>
      <c r="BI61" s="41"/>
      <c r="BJ61" s="42"/>
      <c r="BK61" s="43"/>
      <c r="BL61" s="42"/>
      <c r="BM61" s="42"/>
      <c r="BN61" s="42"/>
      <c r="BO61" s="41"/>
      <c r="BP61" s="42"/>
      <c r="BQ61" s="42"/>
      <c r="BR61" s="67"/>
      <c r="BS61" s="42"/>
      <c r="BT61" s="68"/>
      <c r="BU61" s="42"/>
      <c r="BV61" s="42"/>
      <c r="BW61" s="43"/>
      <c r="BX61" s="42"/>
      <c r="BY61" s="42"/>
      <c r="BZ61" s="42"/>
      <c r="CA61" s="41"/>
      <c r="CB61" s="42"/>
      <c r="CC61" s="43"/>
      <c r="CD61" s="41"/>
      <c r="CE61" s="42"/>
      <c r="CF61" s="43"/>
      <c r="CG61" s="41"/>
      <c r="CH61" s="42"/>
      <c r="CI61" s="43"/>
      <c r="CJ61" s="41"/>
      <c r="CK61" s="42"/>
      <c r="CL61" s="43"/>
      <c r="CM61" s="42"/>
      <c r="CN61" s="42"/>
      <c r="CO61" s="42"/>
      <c r="CP61" s="41"/>
      <c r="CQ61" s="42"/>
      <c r="CR61" s="43"/>
      <c r="CS61" s="42"/>
      <c r="CT61" s="42"/>
      <c r="CU61" s="42"/>
      <c r="CV61" s="41"/>
      <c r="CW61" s="42"/>
      <c r="CX61" s="43"/>
      <c r="CY61" s="41"/>
      <c r="CZ61" s="42"/>
      <c r="DA61" s="43"/>
      <c r="DB61" s="42"/>
      <c r="DC61" s="42"/>
      <c r="DD61" s="42"/>
      <c r="DE61" s="41"/>
      <c r="DF61" s="42"/>
      <c r="DG61" s="43"/>
      <c r="DH61" s="41"/>
      <c r="DI61" s="42"/>
      <c r="DJ61" s="43"/>
      <c r="DK61" s="41"/>
      <c r="DL61" s="42"/>
      <c r="DM61" s="43"/>
      <c r="DN61" s="41"/>
      <c r="DO61" s="42"/>
      <c r="DP61" s="43"/>
      <c r="DQ61" s="41"/>
      <c r="DR61" s="42"/>
      <c r="DS61" s="43"/>
      <c r="DT61" s="42"/>
      <c r="DU61" s="42"/>
      <c r="DV61" s="44"/>
      <c r="DX61" s="213"/>
      <c r="DY61" s="1"/>
      <c r="DZ61" s="1"/>
      <c r="EA61" s="1"/>
      <c r="EB61" s="1"/>
    </row>
    <row r="62" spans="5:132" s="6" customFormat="1" ht="9.9499999999999993" customHeight="1">
      <c r="F62" s="143">
        <f t="shared" ref="F62" si="16">DX62</f>
        <v>3.9799999999999992E-3</v>
      </c>
      <c r="G62" s="144">
        <f>Q62-F62</f>
        <v>0</v>
      </c>
      <c r="H62" s="27">
        <v>1</v>
      </c>
      <c r="K62" s="6" t="s">
        <v>199</v>
      </c>
      <c r="L62" s="230"/>
      <c r="M62" s="233" t="s">
        <v>139</v>
      </c>
      <c r="N62" s="234">
        <v>1</v>
      </c>
      <c r="O62" s="235" t="s">
        <v>258</v>
      </c>
      <c r="P62" s="249">
        <v>827749</v>
      </c>
      <c r="Q62" s="183">
        <f>ROUND(P62/$P$256,5)</f>
        <v>3.98E-3</v>
      </c>
      <c r="R62" s="84"/>
      <c r="S62" s="70"/>
      <c r="T62" s="70"/>
      <c r="U62" s="70"/>
      <c r="V62" s="69"/>
      <c r="W62" s="70"/>
      <c r="X62" s="71"/>
      <c r="Y62" s="69"/>
      <c r="Z62" s="70"/>
      <c r="AA62" s="71"/>
      <c r="AB62" s="56"/>
      <c r="AC62" s="57"/>
      <c r="AD62" s="58"/>
      <c r="AE62" s="150">
        <f>0.036%*0.3</f>
        <v>1.0799999999999998E-4</v>
      </c>
      <c r="AF62" s="150"/>
      <c r="AG62" s="150"/>
      <c r="AH62" s="150">
        <f>0.036%*0.3</f>
        <v>1.0799999999999998E-4</v>
      </c>
      <c r="AI62" s="150"/>
      <c r="AJ62" s="150"/>
      <c r="AK62" s="150">
        <f>0.036%*0.2</f>
        <v>7.2000000000000002E-5</v>
      </c>
      <c r="AL62" s="150"/>
      <c r="AM62" s="150"/>
      <c r="AN62" s="150">
        <f>0.094%*0.2</f>
        <v>1.8800000000000002E-4</v>
      </c>
      <c r="AO62" s="150"/>
      <c r="AP62" s="150"/>
      <c r="AQ62" s="150">
        <f>0.044%*0.2</f>
        <v>8.7999999999999998E-5</v>
      </c>
      <c r="AR62" s="150"/>
      <c r="AS62" s="150"/>
      <c r="AT62" s="150">
        <f>0.036%+0.0474%</f>
        <v>8.3399999999999989E-4</v>
      </c>
      <c r="AU62" s="150"/>
      <c r="AV62" s="150"/>
      <c r="AW62" s="150">
        <f>0.036%+0.0474%</f>
        <v>8.3399999999999989E-4</v>
      </c>
      <c r="AX62" s="150"/>
      <c r="AY62" s="150"/>
      <c r="AZ62" s="70"/>
      <c r="BA62" s="70"/>
      <c r="BB62" s="70"/>
      <c r="BC62" s="69"/>
      <c r="BD62" s="70"/>
      <c r="BE62" s="71"/>
      <c r="BF62" s="150">
        <f>0.04%+0.0474%</f>
        <v>8.7399999999999999E-4</v>
      </c>
      <c r="BG62" s="150"/>
      <c r="BH62" s="150"/>
      <c r="BI62" s="150">
        <f>0.04%+0.0474%</f>
        <v>8.7399999999999999E-4</v>
      </c>
      <c r="BJ62" s="150"/>
      <c r="BK62" s="150"/>
      <c r="BL62" s="70"/>
      <c r="BM62" s="70"/>
      <c r="BN62" s="70"/>
      <c r="BO62" s="69"/>
      <c r="BP62" s="70"/>
      <c r="BQ62" s="70"/>
      <c r="BR62" s="73"/>
      <c r="BS62" s="70"/>
      <c r="BT62" s="74"/>
      <c r="BU62" s="70"/>
      <c r="BV62" s="70"/>
      <c r="BW62" s="71"/>
      <c r="BX62" s="70"/>
      <c r="BY62" s="70"/>
      <c r="BZ62" s="70"/>
      <c r="CA62" s="69"/>
      <c r="CB62" s="70"/>
      <c r="CC62" s="71"/>
      <c r="CD62" s="69"/>
      <c r="CE62" s="70"/>
      <c r="CF62" s="71"/>
      <c r="CG62" s="69"/>
      <c r="CH62" s="70"/>
      <c r="CI62" s="71"/>
      <c r="CJ62" s="69"/>
      <c r="CK62" s="70"/>
      <c r="CL62" s="71"/>
      <c r="CM62" s="70"/>
      <c r="CN62" s="70"/>
      <c r="CO62" s="70"/>
      <c r="CP62" s="69"/>
      <c r="CQ62" s="70"/>
      <c r="CR62" s="71"/>
      <c r="CS62" s="70"/>
      <c r="CT62" s="70"/>
      <c r="CU62" s="70"/>
      <c r="CV62" s="69"/>
      <c r="CW62" s="70"/>
      <c r="CX62" s="71"/>
      <c r="CY62" s="69"/>
      <c r="CZ62" s="70"/>
      <c r="DA62" s="71"/>
      <c r="DB62" s="70"/>
      <c r="DC62" s="70"/>
      <c r="DD62" s="70"/>
      <c r="DE62" s="69"/>
      <c r="DF62" s="70"/>
      <c r="DG62" s="71"/>
      <c r="DH62" s="69"/>
      <c r="DI62" s="70"/>
      <c r="DJ62" s="71"/>
      <c r="DK62" s="69"/>
      <c r="DL62" s="70"/>
      <c r="DM62" s="71"/>
      <c r="DN62" s="69"/>
      <c r="DO62" s="70"/>
      <c r="DP62" s="71"/>
      <c r="DQ62" s="69"/>
      <c r="DR62" s="70"/>
      <c r="DS62" s="71"/>
      <c r="DT62" s="70"/>
      <c r="DU62" s="70"/>
      <c r="DV62" s="75"/>
      <c r="DX62" s="213">
        <f>SUM(R62:DV62)</f>
        <v>3.9799999999999992E-3</v>
      </c>
      <c r="DY62" s="1"/>
      <c r="DZ62" s="1"/>
      <c r="EA62" s="1"/>
      <c r="EB62" s="1"/>
    </row>
    <row r="63" spans="5:132" s="6" customFormat="1" ht="6.95" customHeight="1" thickBot="1">
      <c r="F63" s="143"/>
      <c r="G63" s="144"/>
      <c r="H63" s="55">
        <v>2</v>
      </c>
      <c r="L63" s="252"/>
      <c r="M63" s="318"/>
      <c r="N63" s="319"/>
      <c r="O63" s="315"/>
      <c r="P63" s="250"/>
      <c r="Q63" s="184"/>
      <c r="R63" s="85"/>
      <c r="S63" s="86"/>
      <c r="T63" s="86"/>
      <c r="U63" s="86"/>
      <c r="V63" s="87"/>
      <c r="W63" s="86"/>
      <c r="X63" s="88"/>
      <c r="Y63" s="87"/>
      <c r="Z63" s="86"/>
      <c r="AA63" s="88"/>
      <c r="AB63" s="87"/>
      <c r="AC63" s="86"/>
      <c r="AD63" s="88"/>
      <c r="AE63" s="64"/>
      <c r="AF63" s="65"/>
      <c r="AG63" s="66"/>
      <c r="AH63" s="64"/>
      <c r="AI63" s="65"/>
      <c r="AJ63" s="66"/>
      <c r="AK63" s="64"/>
      <c r="AL63" s="65"/>
      <c r="AM63" s="66"/>
      <c r="AN63" s="64"/>
      <c r="AO63" s="65"/>
      <c r="AP63" s="66"/>
      <c r="AQ63" s="64"/>
      <c r="AR63" s="65"/>
      <c r="AS63" s="66"/>
      <c r="AT63" s="64"/>
      <c r="AU63" s="65"/>
      <c r="AV63" s="66"/>
      <c r="AW63" s="64"/>
      <c r="AX63" s="65"/>
      <c r="AY63" s="66"/>
      <c r="AZ63" s="86"/>
      <c r="BA63" s="86"/>
      <c r="BB63" s="86"/>
      <c r="BC63" s="87"/>
      <c r="BD63" s="86"/>
      <c r="BE63" s="88"/>
      <c r="BF63" s="64"/>
      <c r="BG63" s="65"/>
      <c r="BH63" s="66"/>
      <c r="BI63" s="64"/>
      <c r="BJ63" s="65"/>
      <c r="BK63" s="66"/>
      <c r="BL63" s="86"/>
      <c r="BM63" s="86"/>
      <c r="BN63" s="86"/>
      <c r="BO63" s="87"/>
      <c r="BP63" s="86"/>
      <c r="BQ63" s="86"/>
      <c r="BR63" s="89"/>
      <c r="BS63" s="86"/>
      <c r="BT63" s="90"/>
      <c r="BU63" s="86"/>
      <c r="BV63" s="86"/>
      <c r="BW63" s="88"/>
      <c r="BX63" s="86"/>
      <c r="BY63" s="86"/>
      <c r="BZ63" s="88"/>
      <c r="CA63" s="87"/>
      <c r="CB63" s="86"/>
      <c r="CC63" s="88"/>
      <c r="CD63" s="87"/>
      <c r="CE63" s="86"/>
      <c r="CF63" s="88"/>
      <c r="CG63" s="87"/>
      <c r="CH63" s="86"/>
      <c r="CI63" s="88"/>
      <c r="CJ63" s="87"/>
      <c r="CK63" s="86"/>
      <c r="CL63" s="88"/>
      <c r="CM63" s="86"/>
      <c r="CN63" s="86"/>
      <c r="CO63" s="86"/>
      <c r="CP63" s="87"/>
      <c r="CQ63" s="86"/>
      <c r="CR63" s="88"/>
      <c r="CS63" s="86"/>
      <c r="CT63" s="86"/>
      <c r="CU63" s="86"/>
      <c r="CV63" s="87"/>
      <c r="CW63" s="86"/>
      <c r="CX63" s="88"/>
      <c r="CY63" s="87"/>
      <c r="CZ63" s="86"/>
      <c r="DA63" s="88"/>
      <c r="DB63" s="86"/>
      <c r="DC63" s="86"/>
      <c r="DD63" s="86"/>
      <c r="DE63" s="87"/>
      <c r="DF63" s="86"/>
      <c r="DG63" s="88"/>
      <c r="DH63" s="87"/>
      <c r="DI63" s="86"/>
      <c r="DJ63" s="88"/>
      <c r="DK63" s="87"/>
      <c r="DL63" s="86"/>
      <c r="DM63" s="88"/>
      <c r="DN63" s="87"/>
      <c r="DO63" s="86"/>
      <c r="DP63" s="88"/>
      <c r="DQ63" s="87"/>
      <c r="DR63" s="86"/>
      <c r="DS63" s="88"/>
      <c r="DT63" s="86"/>
      <c r="DU63" s="86"/>
      <c r="DV63" s="91"/>
      <c r="DX63" s="213"/>
      <c r="DY63" s="1"/>
      <c r="DZ63" s="1"/>
      <c r="EA63" s="1"/>
      <c r="EB63" s="1"/>
    </row>
    <row r="64" spans="5:132" s="6" customFormat="1" ht="9.9499999999999993" customHeight="1">
      <c r="F64" s="141">
        <f t="shared" ref="F64" si="17">DX64</f>
        <v>0.10296999999999999</v>
      </c>
      <c r="G64" s="142">
        <f>Q64-F64</f>
        <v>0</v>
      </c>
      <c r="H64" s="27">
        <v>1</v>
      </c>
      <c r="L64" s="224" t="s">
        <v>7</v>
      </c>
      <c r="M64" s="225"/>
      <c r="N64" s="225"/>
      <c r="O64" s="226"/>
      <c r="P64" s="187">
        <f>SUM(P66:P93)</f>
        <v>21439954</v>
      </c>
      <c r="Q64" s="185">
        <f>ROUND(SUM(Q66:Q93),5)</f>
        <v>0.10297000000000001</v>
      </c>
      <c r="R64" s="185">
        <f>ROUND(SUM(R66:R93),5)</f>
        <v>0</v>
      </c>
      <c r="S64" s="160">
        <f>TRUNC(SUM(S66:U93),5)</f>
        <v>0</v>
      </c>
      <c r="T64" s="160"/>
      <c r="U64" s="161"/>
      <c r="V64" s="160">
        <f>ROUND(SUM(V66:X93),5)</f>
        <v>0</v>
      </c>
      <c r="W64" s="160"/>
      <c r="X64" s="161"/>
      <c r="Y64" s="160">
        <f>ROUND(SUM(Y66:AA93),5)</f>
        <v>0</v>
      </c>
      <c r="Z64" s="160"/>
      <c r="AA64" s="161"/>
      <c r="AB64" s="160">
        <f>ROUND(SUM(AB66:AD93),5)</f>
        <v>0</v>
      </c>
      <c r="AC64" s="160"/>
      <c r="AD64" s="161"/>
      <c r="AE64" s="160">
        <f>ROUND(SUM(AE66:AG93),5)</f>
        <v>0</v>
      </c>
      <c r="AF64" s="160"/>
      <c r="AG64" s="161"/>
      <c r="AH64" s="160">
        <f>ROUND(SUM(AH66:AJ93),5)</f>
        <v>0</v>
      </c>
      <c r="AI64" s="160"/>
      <c r="AJ64" s="161"/>
      <c r="AK64" s="160">
        <f>ROUND(SUM(AK66:AM93),5)</f>
        <v>6.6E-4</v>
      </c>
      <c r="AL64" s="160"/>
      <c r="AM64" s="161"/>
      <c r="AN64" s="160">
        <f>ROUND(SUM(AN66:AP93),5)</f>
        <v>2.2599999999999999E-3</v>
      </c>
      <c r="AO64" s="160"/>
      <c r="AP64" s="161"/>
      <c r="AQ64" s="160">
        <f>ROUND(SUM(AQ66:AS93),5)</f>
        <v>3.3899999999999998E-3</v>
      </c>
      <c r="AR64" s="160"/>
      <c r="AS64" s="161"/>
      <c r="AT64" s="160">
        <f>ROUND(SUM(AT66:AV93),5)</f>
        <v>3.4299999999999999E-3</v>
      </c>
      <c r="AU64" s="160"/>
      <c r="AV64" s="161"/>
      <c r="AW64" s="160">
        <f>ROUND(SUM(AW66:AY93),5)</f>
        <v>3.3999999999999998E-3</v>
      </c>
      <c r="AX64" s="160"/>
      <c r="AY64" s="161"/>
      <c r="AZ64" s="160">
        <f>ROUND(SUM(AZ66:BB93),5)</f>
        <v>3.3899999999999998E-3</v>
      </c>
      <c r="BA64" s="160"/>
      <c r="BB64" s="161"/>
      <c r="BC64" s="160">
        <f>ROUND(SUM(BC66:BE93),5)</f>
        <v>4.8700000000000002E-3</v>
      </c>
      <c r="BD64" s="160"/>
      <c r="BE64" s="161"/>
      <c r="BF64" s="160">
        <f>ROUND(SUM(BF66:BH93),5)</f>
        <v>4.8799999999999998E-3</v>
      </c>
      <c r="BG64" s="160"/>
      <c r="BH64" s="161"/>
      <c r="BI64" s="160">
        <f>ROUND(SUM(BI66:BK93),5)</f>
        <v>5.0800000000000003E-3</v>
      </c>
      <c r="BJ64" s="160"/>
      <c r="BK64" s="161"/>
      <c r="BL64" s="160">
        <f>ROUND(SUM(BL66:BN93),5)</f>
        <v>6.2500000000000003E-3</v>
      </c>
      <c r="BM64" s="160"/>
      <c r="BN64" s="161"/>
      <c r="BO64" s="160">
        <f>ROUND(SUM(BO66:BQ93),5)</f>
        <v>6.6499999999999997E-3</v>
      </c>
      <c r="BP64" s="160"/>
      <c r="BQ64" s="160"/>
      <c r="BR64" s="176">
        <f>ROUND(SUM(BR66:BT93),5)</f>
        <v>6.9300000000000004E-3</v>
      </c>
      <c r="BS64" s="160"/>
      <c r="BT64" s="177"/>
      <c r="BU64" s="160">
        <f>ROUND(SUM(BU66:BW93),5)</f>
        <v>7.0400000000000003E-3</v>
      </c>
      <c r="BV64" s="160"/>
      <c r="BW64" s="161"/>
      <c r="BX64" s="160">
        <f>ROUND(SUM(BX66:BZ93),5)</f>
        <v>6.7999999999999996E-3</v>
      </c>
      <c r="BY64" s="160"/>
      <c r="BZ64" s="161"/>
      <c r="CA64" s="160">
        <f>ROUND(SUM(CA66:CC93),5)</f>
        <v>6.7499999999999999E-3</v>
      </c>
      <c r="CB64" s="160"/>
      <c r="CC64" s="161"/>
      <c r="CD64" s="160">
        <f>ROUND(SUM(CD66:CF93),5)</f>
        <v>5.3600000000000002E-3</v>
      </c>
      <c r="CE64" s="160"/>
      <c r="CF64" s="161"/>
      <c r="CG64" s="160">
        <f>ROUND(SUM(CG66:CI93),5)</f>
        <v>4.9100000000000003E-3</v>
      </c>
      <c r="CH64" s="160"/>
      <c r="CI64" s="161"/>
      <c r="CJ64" s="160">
        <f>ROUND(SUM(CJ66:CL93),5)</f>
        <v>4.1999999999999997E-3</v>
      </c>
      <c r="CK64" s="160"/>
      <c r="CL64" s="161"/>
      <c r="CM64" s="160">
        <f>ROUND(SUM(CM66:CO93),5)</f>
        <v>3.3800000000000002E-3</v>
      </c>
      <c r="CN64" s="160"/>
      <c r="CO64" s="161"/>
      <c r="CP64" s="160">
        <f>ROUND(SUM(CP66:CR93),5)</f>
        <v>3.79E-3</v>
      </c>
      <c r="CQ64" s="160"/>
      <c r="CR64" s="161"/>
      <c r="CS64" s="160">
        <f>ROUND(SUM(CS66:CU93),5)</f>
        <v>3.2799999999999999E-3</v>
      </c>
      <c r="CT64" s="160"/>
      <c r="CU64" s="161"/>
      <c r="CV64" s="160">
        <f>ROUND(SUM(CV66:CX93),5)</f>
        <v>3.31E-3</v>
      </c>
      <c r="CW64" s="160"/>
      <c r="CX64" s="161"/>
      <c r="CY64" s="160">
        <f>ROUND(SUM(CY66:DA93),5)</f>
        <v>2.5000000000000001E-3</v>
      </c>
      <c r="CZ64" s="160"/>
      <c r="DA64" s="161"/>
      <c r="DB64" s="160">
        <f>ROUND(SUM(DB66:DD93),5)</f>
        <v>4.6000000000000001E-4</v>
      </c>
      <c r="DC64" s="160"/>
      <c r="DD64" s="161"/>
      <c r="DE64" s="160">
        <f>ROUND(SUM(DE66:DG93),5)</f>
        <v>0</v>
      </c>
      <c r="DF64" s="160"/>
      <c r="DG64" s="161"/>
      <c r="DH64" s="160">
        <f>ROUND(SUM(DH66:DJ93),5)</f>
        <v>0</v>
      </c>
      <c r="DI64" s="160"/>
      <c r="DJ64" s="161"/>
      <c r="DK64" s="160">
        <f>ROUND(SUM(DK66:DM93),5)</f>
        <v>0</v>
      </c>
      <c r="DL64" s="160"/>
      <c r="DM64" s="161"/>
      <c r="DN64" s="160">
        <f>ROUND(SUM(DN66:DP93),5)</f>
        <v>0</v>
      </c>
      <c r="DO64" s="160"/>
      <c r="DP64" s="161"/>
      <c r="DQ64" s="160">
        <f>ROUND(SUM(DQ66:DS93),5)</f>
        <v>0</v>
      </c>
      <c r="DR64" s="160"/>
      <c r="DS64" s="161"/>
      <c r="DT64" s="160">
        <f>ROUND(SUM(DT66:DV93),5)</f>
        <v>0</v>
      </c>
      <c r="DU64" s="160"/>
      <c r="DV64" s="170"/>
      <c r="DX64" s="145">
        <f>SUM(R64:DV64)</f>
        <v>0.10296999999999999</v>
      </c>
      <c r="DY64" s="145">
        <f>SUM(DX66:DX93)</f>
        <v>0.10296976999999999</v>
      </c>
      <c r="DZ64" s="1"/>
      <c r="EA64" s="1"/>
      <c r="EB64" s="1"/>
    </row>
    <row r="65" spans="6:132" s="6" customFormat="1" ht="9.9499999999999993" customHeight="1">
      <c r="F65" s="141"/>
      <c r="G65" s="142"/>
      <c r="H65" s="55">
        <v>2</v>
      </c>
      <c r="L65" s="227"/>
      <c r="M65" s="228"/>
      <c r="N65" s="228"/>
      <c r="O65" s="229"/>
      <c r="P65" s="188"/>
      <c r="Q65" s="186"/>
      <c r="R65" s="186"/>
      <c r="S65" s="163"/>
      <c r="T65" s="163"/>
      <c r="U65" s="164"/>
      <c r="V65" s="163"/>
      <c r="W65" s="163"/>
      <c r="X65" s="164"/>
      <c r="Y65" s="163"/>
      <c r="Z65" s="163"/>
      <c r="AA65" s="164"/>
      <c r="AB65" s="163"/>
      <c r="AC65" s="163"/>
      <c r="AD65" s="164"/>
      <c r="AE65" s="163"/>
      <c r="AF65" s="163"/>
      <c r="AG65" s="164"/>
      <c r="AH65" s="163"/>
      <c r="AI65" s="163"/>
      <c r="AJ65" s="164"/>
      <c r="AK65" s="163"/>
      <c r="AL65" s="163"/>
      <c r="AM65" s="164"/>
      <c r="AN65" s="163"/>
      <c r="AO65" s="163"/>
      <c r="AP65" s="164"/>
      <c r="AQ65" s="163"/>
      <c r="AR65" s="163"/>
      <c r="AS65" s="164"/>
      <c r="AT65" s="163"/>
      <c r="AU65" s="163"/>
      <c r="AV65" s="164"/>
      <c r="AW65" s="163"/>
      <c r="AX65" s="163"/>
      <c r="AY65" s="164"/>
      <c r="AZ65" s="163"/>
      <c r="BA65" s="163"/>
      <c r="BB65" s="164"/>
      <c r="BC65" s="163"/>
      <c r="BD65" s="163"/>
      <c r="BE65" s="164"/>
      <c r="BF65" s="163"/>
      <c r="BG65" s="163"/>
      <c r="BH65" s="164"/>
      <c r="BI65" s="163"/>
      <c r="BJ65" s="163"/>
      <c r="BK65" s="164"/>
      <c r="BL65" s="163"/>
      <c r="BM65" s="163"/>
      <c r="BN65" s="164"/>
      <c r="BO65" s="163"/>
      <c r="BP65" s="163"/>
      <c r="BQ65" s="163"/>
      <c r="BR65" s="178"/>
      <c r="BS65" s="163"/>
      <c r="BT65" s="179"/>
      <c r="BU65" s="163"/>
      <c r="BV65" s="163"/>
      <c r="BW65" s="164"/>
      <c r="BX65" s="163"/>
      <c r="BY65" s="163"/>
      <c r="BZ65" s="164"/>
      <c r="CA65" s="163"/>
      <c r="CB65" s="163"/>
      <c r="CC65" s="164"/>
      <c r="CD65" s="163"/>
      <c r="CE65" s="163"/>
      <c r="CF65" s="164"/>
      <c r="CG65" s="163"/>
      <c r="CH65" s="163"/>
      <c r="CI65" s="164"/>
      <c r="CJ65" s="163"/>
      <c r="CK65" s="163"/>
      <c r="CL65" s="164"/>
      <c r="CM65" s="163"/>
      <c r="CN65" s="163"/>
      <c r="CO65" s="164"/>
      <c r="CP65" s="163"/>
      <c r="CQ65" s="163"/>
      <c r="CR65" s="164"/>
      <c r="CS65" s="163"/>
      <c r="CT65" s="163"/>
      <c r="CU65" s="164"/>
      <c r="CV65" s="163"/>
      <c r="CW65" s="163"/>
      <c r="CX65" s="164"/>
      <c r="CY65" s="163"/>
      <c r="CZ65" s="163"/>
      <c r="DA65" s="164"/>
      <c r="DB65" s="163"/>
      <c r="DC65" s="163"/>
      <c r="DD65" s="164"/>
      <c r="DE65" s="163"/>
      <c r="DF65" s="163"/>
      <c r="DG65" s="164"/>
      <c r="DH65" s="163"/>
      <c r="DI65" s="163"/>
      <c r="DJ65" s="164"/>
      <c r="DK65" s="163"/>
      <c r="DL65" s="163"/>
      <c r="DM65" s="164"/>
      <c r="DN65" s="163"/>
      <c r="DO65" s="163"/>
      <c r="DP65" s="164"/>
      <c r="DQ65" s="163"/>
      <c r="DR65" s="163"/>
      <c r="DS65" s="164"/>
      <c r="DT65" s="163"/>
      <c r="DU65" s="163"/>
      <c r="DV65" s="171"/>
      <c r="DX65" s="145"/>
      <c r="DY65" s="145"/>
      <c r="DZ65" s="1"/>
      <c r="EA65" s="1"/>
      <c r="EB65" s="1"/>
    </row>
    <row r="66" spans="6:132" s="6" customFormat="1" ht="9.9499999999999993" customHeight="1">
      <c r="F66" s="143">
        <f t="shared" ref="F66" si="18">DX66</f>
        <v>5.3900000000000016E-3</v>
      </c>
      <c r="G66" s="144">
        <f>Q66-F66</f>
        <v>0</v>
      </c>
      <c r="H66" s="27">
        <v>1</v>
      </c>
      <c r="I66" s="19" t="s">
        <v>200</v>
      </c>
      <c r="J66" s="19" t="s">
        <v>186</v>
      </c>
      <c r="K66" s="6" t="s">
        <v>201</v>
      </c>
      <c r="L66" s="271"/>
      <c r="M66" s="237" t="s">
        <v>36</v>
      </c>
      <c r="N66" s="254">
        <v>152651</v>
      </c>
      <c r="O66" s="299" t="s">
        <v>34</v>
      </c>
      <c r="P66" s="245">
        <v>1122668</v>
      </c>
      <c r="Q66" s="183">
        <f>ROUND(P66/$P$256,5)</f>
        <v>5.3899999999999998E-3</v>
      </c>
      <c r="R66" s="79"/>
      <c r="S66" s="57"/>
      <c r="T66" s="57"/>
      <c r="U66" s="57"/>
      <c r="V66" s="56"/>
      <c r="W66" s="57"/>
      <c r="X66" s="58"/>
      <c r="Y66" s="56"/>
      <c r="Z66" s="57"/>
      <c r="AA66" s="58"/>
      <c r="AB66" s="56"/>
      <c r="AC66" s="57"/>
      <c r="AD66" s="58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>
        <v>4.4999999999999999E-4</v>
      </c>
      <c r="BM66" s="146"/>
      <c r="BN66" s="146"/>
      <c r="BO66" s="146">
        <v>5.5000000000000003E-4</v>
      </c>
      <c r="BP66" s="146"/>
      <c r="BQ66" s="147"/>
      <c r="BR66" s="168">
        <v>5.5000000000000003E-4</v>
      </c>
      <c r="BS66" s="146"/>
      <c r="BT66" s="169"/>
      <c r="BU66" s="149">
        <v>5.5000000000000003E-4</v>
      </c>
      <c r="BV66" s="146"/>
      <c r="BW66" s="146"/>
      <c r="BX66" s="146">
        <v>5.5000000000000003E-4</v>
      </c>
      <c r="BY66" s="146"/>
      <c r="BZ66" s="146"/>
      <c r="CA66" s="146">
        <v>5.4000000000000001E-4</v>
      </c>
      <c r="CB66" s="146"/>
      <c r="CC66" s="146"/>
      <c r="CD66" s="146">
        <v>5.4000000000000001E-4</v>
      </c>
      <c r="CE66" s="146"/>
      <c r="CF66" s="146"/>
      <c r="CG66" s="146">
        <v>5.4000000000000001E-4</v>
      </c>
      <c r="CH66" s="146"/>
      <c r="CI66" s="146"/>
      <c r="CJ66" s="146">
        <v>4.4000000000000002E-4</v>
      </c>
      <c r="CK66" s="146"/>
      <c r="CL66" s="146"/>
      <c r="CM66" s="146">
        <v>2.4000000000000001E-4</v>
      </c>
      <c r="CN66" s="146"/>
      <c r="CO66" s="146"/>
      <c r="CP66" s="146">
        <v>1.3999999999999999E-4</v>
      </c>
      <c r="CQ66" s="146"/>
      <c r="CR66" s="146"/>
      <c r="CS66" s="146">
        <v>1.3999999999999999E-4</v>
      </c>
      <c r="CT66" s="146"/>
      <c r="CU66" s="146"/>
      <c r="CV66" s="146">
        <v>1.6000000000000001E-4</v>
      </c>
      <c r="CW66" s="146"/>
      <c r="CX66" s="146"/>
      <c r="CY66" s="56"/>
      <c r="CZ66" s="57"/>
      <c r="DA66" s="58"/>
      <c r="DB66" s="57"/>
      <c r="DC66" s="57"/>
      <c r="DD66" s="57"/>
      <c r="DE66" s="56"/>
      <c r="DF66" s="57"/>
      <c r="DG66" s="58"/>
      <c r="DH66" s="56"/>
      <c r="DI66" s="57"/>
      <c r="DJ66" s="58"/>
      <c r="DK66" s="56"/>
      <c r="DL66" s="57"/>
      <c r="DM66" s="58"/>
      <c r="DN66" s="56"/>
      <c r="DO66" s="57"/>
      <c r="DP66" s="58"/>
      <c r="DQ66" s="56"/>
      <c r="DR66" s="57"/>
      <c r="DS66" s="58"/>
      <c r="DT66" s="57"/>
      <c r="DU66" s="57"/>
      <c r="DV66" s="62"/>
      <c r="DX66" s="213">
        <f>SUM(R66:DV66)</f>
        <v>5.3900000000000016E-3</v>
      </c>
      <c r="DY66" s="1"/>
      <c r="DZ66" s="1"/>
      <c r="EA66" s="1"/>
      <c r="EB66" s="1"/>
    </row>
    <row r="67" spans="6:132" s="6" customFormat="1" ht="6.95" customHeight="1">
      <c r="F67" s="143"/>
      <c r="G67" s="144"/>
      <c r="H67" s="55">
        <v>2</v>
      </c>
      <c r="L67" s="272"/>
      <c r="M67" s="232"/>
      <c r="N67" s="255"/>
      <c r="O67" s="300"/>
      <c r="P67" s="246"/>
      <c r="Q67" s="184"/>
      <c r="R67" s="63"/>
      <c r="S67" s="42"/>
      <c r="T67" s="42"/>
      <c r="U67" s="42"/>
      <c r="V67" s="41"/>
      <c r="W67" s="42"/>
      <c r="X67" s="43"/>
      <c r="Y67" s="41"/>
      <c r="Z67" s="42"/>
      <c r="AA67" s="43"/>
      <c r="AB67" s="41"/>
      <c r="AC67" s="42"/>
      <c r="AD67" s="43"/>
      <c r="AE67" s="41"/>
      <c r="AF67" s="42"/>
      <c r="AG67" s="43"/>
      <c r="AH67" s="41"/>
      <c r="AI67" s="42"/>
      <c r="AJ67" s="43"/>
      <c r="AK67" s="41"/>
      <c r="AL67" s="42"/>
      <c r="AM67" s="43"/>
      <c r="AN67" s="41"/>
      <c r="AO67" s="42"/>
      <c r="AP67" s="43"/>
      <c r="AQ67" s="41"/>
      <c r="AR67" s="42"/>
      <c r="AS67" s="43"/>
      <c r="AT67" s="41"/>
      <c r="AU67" s="42"/>
      <c r="AV67" s="43"/>
      <c r="AW67" s="41"/>
      <c r="AX67" s="42"/>
      <c r="AY67" s="43"/>
      <c r="AZ67" s="41"/>
      <c r="BA67" s="42"/>
      <c r="BB67" s="43"/>
      <c r="BC67" s="41"/>
      <c r="BD67" s="42"/>
      <c r="BE67" s="43"/>
      <c r="BF67" s="41"/>
      <c r="BG67" s="42"/>
      <c r="BH67" s="43"/>
      <c r="BI67" s="41"/>
      <c r="BJ67" s="42"/>
      <c r="BK67" s="43"/>
      <c r="BL67" s="64"/>
      <c r="BM67" s="65"/>
      <c r="BN67" s="66"/>
      <c r="BO67" s="64"/>
      <c r="BP67" s="65"/>
      <c r="BQ67" s="66"/>
      <c r="BR67" s="64"/>
      <c r="BS67" s="65"/>
      <c r="BT67" s="66"/>
      <c r="BU67" s="64"/>
      <c r="BV67" s="65"/>
      <c r="BW67" s="66"/>
      <c r="BX67" s="64"/>
      <c r="BY67" s="65"/>
      <c r="BZ67" s="66"/>
      <c r="CA67" s="64"/>
      <c r="CB67" s="65"/>
      <c r="CC67" s="66"/>
      <c r="CD67" s="64"/>
      <c r="CE67" s="65"/>
      <c r="CF67" s="66"/>
      <c r="CG67" s="64"/>
      <c r="CH67" s="65"/>
      <c r="CI67" s="66"/>
      <c r="CJ67" s="64"/>
      <c r="CK67" s="65"/>
      <c r="CL67" s="66"/>
      <c r="CM67" s="64"/>
      <c r="CN67" s="65"/>
      <c r="CO67" s="66"/>
      <c r="CP67" s="64"/>
      <c r="CQ67" s="65"/>
      <c r="CR67" s="66"/>
      <c r="CS67" s="64"/>
      <c r="CT67" s="65"/>
      <c r="CU67" s="66"/>
      <c r="CV67" s="64"/>
      <c r="CW67" s="65"/>
      <c r="CX67" s="66"/>
      <c r="CY67" s="41"/>
      <c r="CZ67" s="42"/>
      <c r="DA67" s="43"/>
      <c r="DB67" s="42"/>
      <c r="DC67" s="42"/>
      <c r="DD67" s="42"/>
      <c r="DE67" s="41"/>
      <c r="DF67" s="42"/>
      <c r="DG67" s="43"/>
      <c r="DH67" s="41"/>
      <c r="DI67" s="42"/>
      <c r="DJ67" s="43"/>
      <c r="DK67" s="41"/>
      <c r="DL67" s="42"/>
      <c r="DM67" s="43"/>
      <c r="DN67" s="41"/>
      <c r="DO67" s="42"/>
      <c r="DP67" s="43"/>
      <c r="DQ67" s="41"/>
      <c r="DR67" s="42"/>
      <c r="DS67" s="43"/>
      <c r="DT67" s="42"/>
      <c r="DU67" s="42"/>
      <c r="DV67" s="44"/>
      <c r="DX67" s="213"/>
      <c r="DY67" s="1"/>
      <c r="DZ67" s="1"/>
      <c r="EA67" s="1"/>
      <c r="EB67" s="1"/>
    </row>
    <row r="68" spans="6:132" s="6" customFormat="1" ht="9.9499999999999993" customHeight="1">
      <c r="F68" s="143">
        <f t="shared" ref="F68" si="19">DX68</f>
        <v>4.96E-3</v>
      </c>
      <c r="G68" s="144">
        <f>Q68-F68</f>
        <v>0</v>
      </c>
      <c r="H68" s="27">
        <v>1</v>
      </c>
      <c r="I68" s="6" t="s">
        <v>202</v>
      </c>
      <c r="J68" s="19" t="s">
        <v>186</v>
      </c>
      <c r="K68" s="6" t="s">
        <v>203</v>
      </c>
      <c r="L68" s="230"/>
      <c r="M68" s="296" t="s">
        <v>37</v>
      </c>
      <c r="N68" s="239">
        <v>10868</v>
      </c>
      <c r="O68" s="247" t="s">
        <v>15</v>
      </c>
      <c r="P68" s="249">
        <v>1033429</v>
      </c>
      <c r="Q68" s="183">
        <f>ROUND(P68/$P$256,5)</f>
        <v>4.96E-3</v>
      </c>
      <c r="R68" s="76"/>
      <c r="S68" s="70"/>
      <c r="T68" s="70"/>
      <c r="U68" s="70"/>
      <c r="V68" s="69"/>
      <c r="W68" s="70"/>
      <c r="X68" s="71"/>
      <c r="Y68" s="69"/>
      <c r="Z68" s="70"/>
      <c r="AA68" s="71"/>
      <c r="AB68" s="69"/>
      <c r="AC68" s="70"/>
      <c r="AD68" s="71"/>
      <c r="AE68" s="70"/>
      <c r="AF68" s="70"/>
      <c r="AG68" s="70"/>
      <c r="AH68" s="150"/>
      <c r="AI68" s="150"/>
      <c r="AJ68" s="150"/>
      <c r="AK68" s="150"/>
      <c r="AL68" s="150"/>
      <c r="AM68" s="150"/>
      <c r="AN68" s="150"/>
      <c r="AO68" s="150"/>
      <c r="AP68" s="150"/>
      <c r="AQ68" s="69"/>
      <c r="AR68" s="70"/>
      <c r="AS68" s="70"/>
      <c r="AT68" s="69"/>
      <c r="AU68" s="70"/>
      <c r="AV68" s="71"/>
      <c r="AW68" s="70"/>
      <c r="AX68" s="70"/>
      <c r="AY68" s="70"/>
      <c r="AZ68" s="69"/>
      <c r="BA68" s="70"/>
      <c r="BB68" s="71"/>
      <c r="BC68" s="70"/>
      <c r="BD68" s="70"/>
      <c r="BE68" s="70"/>
      <c r="BF68" s="69"/>
      <c r="BG68" s="70"/>
      <c r="BH68" s="71"/>
      <c r="BI68" s="150"/>
      <c r="BJ68" s="150"/>
      <c r="BK68" s="150"/>
      <c r="BL68" s="150">
        <v>3.5E-4</v>
      </c>
      <c r="BM68" s="150"/>
      <c r="BN68" s="150"/>
      <c r="BO68" s="150">
        <v>4.4999999999999999E-4</v>
      </c>
      <c r="BP68" s="150"/>
      <c r="BQ68" s="166"/>
      <c r="BR68" s="180">
        <v>6.4999999999999997E-4</v>
      </c>
      <c r="BS68" s="150"/>
      <c r="BT68" s="181"/>
      <c r="BU68" s="165">
        <v>6.4999999999999997E-4</v>
      </c>
      <c r="BV68" s="150"/>
      <c r="BW68" s="150"/>
      <c r="BX68" s="150">
        <v>6.4000000000000005E-4</v>
      </c>
      <c r="BY68" s="150"/>
      <c r="BZ68" s="150"/>
      <c r="CA68" s="150">
        <v>6.4000000000000005E-4</v>
      </c>
      <c r="CB68" s="150"/>
      <c r="CC68" s="150"/>
      <c r="CD68" s="150">
        <v>6.4000000000000005E-4</v>
      </c>
      <c r="CE68" s="150"/>
      <c r="CF68" s="150"/>
      <c r="CG68" s="150">
        <v>4.4000000000000002E-4</v>
      </c>
      <c r="CH68" s="150"/>
      <c r="CI68" s="150"/>
      <c r="CJ68" s="146">
        <v>2.7999999999999998E-4</v>
      </c>
      <c r="CK68" s="146"/>
      <c r="CL68" s="146"/>
      <c r="CM68" s="146">
        <v>6.9999999999999994E-5</v>
      </c>
      <c r="CN68" s="146"/>
      <c r="CO68" s="146"/>
      <c r="CP68" s="146">
        <v>8.0000000000000007E-5</v>
      </c>
      <c r="CQ68" s="146"/>
      <c r="CR68" s="146"/>
      <c r="CS68" s="146">
        <v>6.9999999999999994E-5</v>
      </c>
      <c r="CT68" s="146"/>
      <c r="CU68" s="146"/>
      <c r="CV68" s="69"/>
      <c r="CW68" s="70"/>
      <c r="CX68" s="71"/>
      <c r="CY68" s="69"/>
      <c r="CZ68" s="70"/>
      <c r="DA68" s="71"/>
      <c r="DB68" s="70"/>
      <c r="DC68" s="70"/>
      <c r="DD68" s="70"/>
      <c r="DE68" s="69"/>
      <c r="DF68" s="70"/>
      <c r="DG68" s="71"/>
      <c r="DH68" s="69"/>
      <c r="DI68" s="70"/>
      <c r="DJ68" s="71"/>
      <c r="DK68" s="69"/>
      <c r="DL68" s="70"/>
      <c r="DM68" s="71"/>
      <c r="DN68" s="69"/>
      <c r="DO68" s="70"/>
      <c r="DP68" s="71"/>
      <c r="DQ68" s="69"/>
      <c r="DR68" s="70"/>
      <c r="DS68" s="71"/>
      <c r="DT68" s="70"/>
      <c r="DU68" s="70"/>
      <c r="DV68" s="75"/>
      <c r="DX68" s="213">
        <f>SUM(R68:DV68)</f>
        <v>4.96E-3</v>
      </c>
      <c r="DY68" s="1"/>
      <c r="DZ68" s="1"/>
      <c r="EA68" s="1"/>
      <c r="EB68" s="1"/>
    </row>
    <row r="69" spans="6:132" s="6" customFormat="1" ht="6.95" customHeight="1">
      <c r="F69" s="143"/>
      <c r="G69" s="144"/>
      <c r="H69" s="55">
        <v>2</v>
      </c>
      <c r="L69" s="230"/>
      <c r="M69" s="238"/>
      <c r="N69" s="239"/>
      <c r="O69" s="240"/>
      <c r="P69" s="249"/>
      <c r="Q69" s="184"/>
      <c r="R69" s="76"/>
      <c r="S69" s="70"/>
      <c r="T69" s="70"/>
      <c r="U69" s="70"/>
      <c r="V69" s="69"/>
      <c r="W69" s="70"/>
      <c r="X69" s="71"/>
      <c r="Y69" s="69"/>
      <c r="Z69" s="70"/>
      <c r="AA69" s="71"/>
      <c r="AB69" s="69"/>
      <c r="AC69" s="70"/>
      <c r="AD69" s="71"/>
      <c r="AE69" s="70"/>
      <c r="AF69" s="70"/>
      <c r="AG69" s="70"/>
      <c r="AH69" s="69"/>
      <c r="AI69" s="70"/>
      <c r="AJ69" s="71"/>
      <c r="AK69" s="69"/>
      <c r="AL69" s="70"/>
      <c r="AM69" s="71"/>
      <c r="AN69" s="69"/>
      <c r="AO69" s="70"/>
      <c r="AP69" s="71"/>
      <c r="AQ69" s="69"/>
      <c r="AR69" s="70"/>
      <c r="AS69" s="70"/>
      <c r="AT69" s="69"/>
      <c r="AU69" s="70"/>
      <c r="AV69" s="71"/>
      <c r="AW69" s="70"/>
      <c r="AX69" s="70"/>
      <c r="AY69" s="70"/>
      <c r="AZ69" s="69"/>
      <c r="BA69" s="70"/>
      <c r="BB69" s="71"/>
      <c r="BC69" s="70"/>
      <c r="BD69" s="70"/>
      <c r="BE69" s="70"/>
      <c r="BF69" s="69"/>
      <c r="BG69" s="70"/>
      <c r="BH69" s="71"/>
      <c r="BI69" s="69"/>
      <c r="BJ69" s="70"/>
      <c r="BK69" s="71"/>
      <c r="BL69" s="64"/>
      <c r="BM69" s="65"/>
      <c r="BN69" s="66"/>
      <c r="BO69" s="64"/>
      <c r="BP69" s="65"/>
      <c r="BQ69" s="66"/>
      <c r="BR69" s="64"/>
      <c r="BS69" s="65"/>
      <c r="BT69" s="66"/>
      <c r="BU69" s="64"/>
      <c r="BV69" s="65"/>
      <c r="BW69" s="66"/>
      <c r="BX69" s="64"/>
      <c r="BY69" s="65"/>
      <c r="BZ69" s="66"/>
      <c r="CA69" s="64"/>
      <c r="CB69" s="65"/>
      <c r="CC69" s="66"/>
      <c r="CD69" s="64"/>
      <c r="CE69" s="65"/>
      <c r="CF69" s="66"/>
      <c r="CG69" s="64"/>
      <c r="CH69" s="65"/>
      <c r="CI69" s="66"/>
      <c r="CJ69" s="64"/>
      <c r="CK69" s="65"/>
      <c r="CL69" s="66"/>
      <c r="CM69" s="64"/>
      <c r="CN69" s="65"/>
      <c r="CO69" s="66"/>
      <c r="CP69" s="64"/>
      <c r="CQ69" s="65"/>
      <c r="CR69" s="66"/>
      <c r="CS69" s="64"/>
      <c r="CT69" s="65"/>
      <c r="CU69" s="66"/>
      <c r="CV69" s="69"/>
      <c r="CW69" s="70"/>
      <c r="CX69" s="71"/>
      <c r="CY69" s="69"/>
      <c r="CZ69" s="70"/>
      <c r="DA69" s="71"/>
      <c r="DB69" s="70"/>
      <c r="DC69" s="70"/>
      <c r="DD69" s="70"/>
      <c r="DE69" s="69"/>
      <c r="DF69" s="70"/>
      <c r="DG69" s="71"/>
      <c r="DH69" s="69"/>
      <c r="DI69" s="70"/>
      <c r="DJ69" s="71"/>
      <c r="DK69" s="69"/>
      <c r="DL69" s="70"/>
      <c r="DM69" s="71"/>
      <c r="DN69" s="69"/>
      <c r="DO69" s="70"/>
      <c r="DP69" s="71"/>
      <c r="DQ69" s="69"/>
      <c r="DR69" s="70"/>
      <c r="DS69" s="71"/>
      <c r="DT69" s="70"/>
      <c r="DU69" s="70"/>
      <c r="DV69" s="75"/>
      <c r="DX69" s="213"/>
      <c r="DY69" s="208"/>
      <c r="DZ69" s="1"/>
      <c r="EA69" s="1"/>
      <c r="EB69" s="1"/>
    </row>
    <row r="70" spans="6:132" s="6" customFormat="1" ht="9.9499999999999993" customHeight="1">
      <c r="F70" s="143">
        <f t="shared" ref="F70" si="20">DX70</f>
        <v>4.4199999999999995E-3</v>
      </c>
      <c r="G70" s="144">
        <f>Q70-F70</f>
        <v>0</v>
      </c>
      <c r="H70" s="27">
        <v>1</v>
      </c>
      <c r="I70" s="6" t="s">
        <v>204</v>
      </c>
      <c r="J70" s="19" t="s">
        <v>186</v>
      </c>
      <c r="K70" s="6" t="s">
        <v>205</v>
      </c>
      <c r="L70" s="271"/>
      <c r="M70" s="237" t="s">
        <v>38</v>
      </c>
      <c r="N70" s="254">
        <v>6250</v>
      </c>
      <c r="O70" s="297" t="s">
        <v>15</v>
      </c>
      <c r="P70" s="245">
        <v>920462</v>
      </c>
      <c r="Q70" s="183">
        <f>ROUND(P70/$P$256,5)</f>
        <v>4.4200000000000003E-3</v>
      </c>
      <c r="R70" s="79"/>
      <c r="S70" s="57"/>
      <c r="T70" s="57"/>
      <c r="U70" s="57"/>
      <c r="V70" s="56"/>
      <c r="W70" s="57"/>
      <c r="X70" s="58"/>
      <c r="Y70" s="56"/>
      <c r="Z70" s="57"/>
      <c r="AA70" s="58"/>
      <c r="AB70" s="56"/>
      <c r="AC70" s="57"/>
      <c r="AD70" s="58"/>
      <c r="AE70" s="57"/>
      <c r="AF70" s="57"/>
      <c r="AG70" s="57"/>
      <c r="AH70" s="146"/>
      <c r="AI70" s="146"/>
      <c r="AJ70" s="146"/>
      <c r="AK70" s="147">
        <v>1.3999999999999999E-4</v>
      </c>
      <c r="AL70" s="148"/>
      <c r="AM70" s="149"/>
      <c r="AN70" s="147">
        <v>2.4000000000000001E-4</v>
      </c>
      <c r="AO70" s="148"/>
      <c r="AP70" s="149"/>
      <c r="AQ70" s="147">
        <v>3.3E-4</v>
      </c>
      <c r="AR70" s="148"/>
      <c r="AS70" s="149"/>
      <c r="AT70" s="147">
        <v>3.3E-4</v>
      </c>
      <c r="AU70" s="148"/>
      <c r="AV70" s="149"/>
      <c r="AW70" s="147">
        <v>3.3E-4</v>
      </c>
      <c r="AX70" s="148"/>
      <c r="AY70" s="149"/>
      <c r="AZ70" s="147">
        <v>3.3E-4</v>
      </c>
      <c r="BA70" s="148"/>
      <c r="BB70" s="149"/>
      <c r="BC70" s="147">
        <v>3.3E-4</v>
      </c>
      <c r="BD70" s="148"/>
      <c r="BE70" s="149"/>
      <c r="BF70" s="147">
        <v>3.3E-4</v>
      </c>
      <c r="BG70" s="148"/>
      <c r="BH70" s="149"/>
      <c r="BI70" s="147">
        <v>3.3E-4</v>
      </c>
      <c r="BJ70" s="148"/>
      <c r="BK70" s="149"/>
      <c r="BL70" s="146">
        <v>3.3E-4</v>
      </c>
      <c r="BM70" s="146"/>
      <c r="BN70" s="146"/>
      <c r="BO70" s="146">
        <v>3.3E-4</v>
      </c>
      <c r="BP70" s="146"/>
      <c r="BQ70" s="147"/>
      <c r="BR70" s="168">
        <v>3.3E-4</v>
      </c>
      <c r="BS70" s="146"/>
      <c r="BT70" s="169"/>
      <c r="BU70" s="149">
        <v>3.3E-4</v>
      </c>
      <c r="BV70" s="146"/>
      <c r="BW70" s="146"/>
      <c r="BX70" s="146">
        <v>2.3000000000000001E-4</v>
      </c>
      <c r="BY70" s="146"/>
      <c r="BZ70" s="146"/>
      <c r="CA70" s="146">
        <v>1.8000000000000001E-4</v>
      </c>
      <c r="CB70" s="146"/>
      <c r="CC70" s="146"/>
      <c r="CD70" s="56"/>
      <c r="CE70" s="57"/>
      <c r="CF70" s="58"/>
      <c r="CG70" s="56"/>
      <c r="CH70" s="57"/>
      <c r="CI70" s="58"/>
      <c r="CJ70" s="56"/>
      <c r="CK70" s="57"/>
      <c r="CL70" s="58"/>
      <c r="CM70" s="57"/>
      <c r="CN70" s="57"/>
      <c r="CO70" s="58"/>
      <c r="CP70" s="57"/>
      <c r="CQ70" s="57"/>
      <c r="CR70" s="57"/>
      <c r="CS70" s="56"/>
      <c r="CT70" s="57"/>
      <c r="CU70" s="58"/>
      <c r="CV70" s="56"/>
      <c r="CW70" s="57"/>
      <c r="CX70" s="58"/>
      <c r="CY70" s="56"/>
      <c r="CZ70" s="57"/>
      <c r="DA70" s="58"/>
      <c r="DB70" s="57"/>
      <c r="DC70" s="57"/>
      <c r="DD70" s="57"/>
      <c r="DE70" s="56"/>
      <c r="DF70" s="57"/>
      <c r="DG70" s="58"/>
      <c r="DH70" s="56"/>
      <c r="DI70" s="57"/>
      <c r="DJ70" s="58"/>
      <c r="DK70" s="56"/>
      <c r="DL70" s="57"/>
      <c r="DM70" s="58"/>
      <c r="DN70" s="56"/>
      <c r="DO70" s="57"/>
      <c r="DP70" s="58"/>
      <c r="DQ70" s="56"/>
      <c r="DR70" s="57"/>
      <c r="DS70" s="58"/>
      <c r="DT70" s="57"/>
      <c r="DU70" s="57"/>
      <c r="DV70" s="62"/>
      <c r="DX70" s="213">
        <f>SUM(R70:DV70)</f>
        <v>4.4199999999999995E-3</v>
      </c>
      <c r="DY70" s="208"/>
      <c r="DZ70" s="1"/>
      <c r="EA70" s="1"/>
      <c r="EB70" s="1"/>
    </row>
    <row r="71" spans="6:132" s="6" customFormat="1" ht="6.95" customHeight="1">
      <c r="F71" s="143"/>
      <c r="G71" s="144"/>
      <c r="H71" s="55">
        <v>2</v>
      </c>
      <c r="L71" s="272"/>
      <c r="M71" s="232"/>
      <c r="N71" s="255"/>
      <c r="O71" s="244"/>
      <c r="P71" s="246"/>
      <c r="Q71" s="184"/>
      <c r="R71" s="63"/>
      <c r="S71" s="42"/>
      <c r="T71" s="42"/>
      <c r="U71" s="42"/>
      <c r="V71" s="41"/>
      <c r="W71" s="42"/>
      <c r="X71" s="43"/>
      <c r="Y71" s="41"/>
      <c r="Z71" s="42"/>
      <c r="AA71" s="43"/>
      <c r="AB71" s="41"/>
      <c r="AC71" s="42"/>
      <c r="AD71" s="43"/>
      <c r="AE71" s="42"/>
      <c r="AF71" s="42"/>
      <c r="AG71" s="42"/>
      <c r="AH71" s="41"/>
      <c r="AI71" s="42"/>
      <c r="AJ71" s="43"/>
      <c r="AK71" s="64"/>
      <c r="AL71" s="65"/>
      <c r="AM71" s="66"/>
      <c r="AN71" s="64"/>
      <c r="AO71" s="65"/>
      <c r="AP71" s="66"/>
      <c r="AQ71" s="64"/>
      <c r="AR71" s="65"/>
      <c r="AS71" s="66"/>
      <c r="AT71" s="64"/>
      <c r="AU71" s="65"/>
      <c r="AV71" s="66"/>
      <c r="AW71" s="64"/>
      <c r="AX71" s="65"/>
      <c r="AY71" s="66"/>
      <c r="AZ71" s="64"/>
      <c r="BA71" s="65"/>
      <c r="BB71" s="66"/>
      <c r="BC71" s="64"/>
      <c r="BD71" s="65"/>
      <c r="BE71" s="66"/>
      <c r="BF71" s="64"/>
      <c r="BG71" s="65"/>
      <c r="BH71" s="66"/>
      <c r="BI71" s="64"/>
      <c r="BJ71" s="65"/>
      <c r="BK71" s="66"/>
      <c r="BL71" s="64"/>
      <c r="BM71" s="65"/>
      <c r="BN71" s="66"/>
      <c r="BO71" s="64"/>
      <c r="BP71" s="65"/>
      <c r="BQ71" s="66"/>
      <c r="BR71" s="64"/>
      <c r="BS71" s="65"/>
      <c r="BT71" s="66"/>
      <c r="BU71" s="64"/>
      <c r="BV71" s="65"/>
      <c r="BW71" s="66"/>
      <c r="BX71" s="64"/>
      <c r="BY71" s="65"/>
      <c r="BZ71" s="66"/>
      <c r="CA71" s="64"/>
      <c r="CB71" s="65"/>
      <c r="CC71" s="66"/>
      <c r="CD71" s="41"/>
      <c r="CE71" s="42"/>
      <c r="CF71" s="42"/>
      <c r="CG71" s="41"/>
      <c r="CH71" s="42"/>
      <c r="CI71" s="43"/>
      <c r="CJ71" s="41"/>
      <c r="CK71" s="42"/>
      <c r="CL71" s="43"/>
      <c r="CM71" s="42"/>
      <c r="CN71" s="42"/>
      <c r="CO71" s="43"/>
      <c r="CP71" s="42"/>
      <c r="CQ71" s="42"/>
      <c r="CR71" s="42"/>
      <c r="CS71" s="41"/>
      <c r="CT71" s="42"/>
      <c r="CU71" s="43"/>
      <c r="CV71" s="41"/>
      <c r="CW71" s="42"/>
      <c r="CX71" s="43"/>
      <c r="CY71" s="41"/>
      <c r="CZ71" s="42"/>
      <c r="DA71" s="43"/>
      <c r="DB71" s="42"/>
      <c r="DC71" s="42"/>
      <c r="DD71" s="42"/>
      <c r="DE71" s="41"/>
      <c r="DF71" s="42"/>
      <c r="DG71" s="43"/>
      <c r="DH71" s="41"/>
      <c r="DI71" s="42"/>
      <c r="DJ71" s="43"/>
      <c r="DK71" s="41"/>
      <c r="DL71" s="42"/>
      <c r="DM71" s="43"/>
      <c r="DN71" s="41"/>
      <c r="DO71" s="42"/>
      <c r="DP71" s="43"/>
      <c r="DQ71" s="41"/>
      <c r="DR71" s="42"/>
      <c r="DS71" s="43"/>
      <c r="DT71" s="42"/>
      <c r="DU71" s="42"/>
      <c r="DV71" s="44"/>
      <c r="DX71" s="213"/>
      <c r="DY71" s="1"/>
      <c r="DZ71" s="1"/>
      <c r="EA71" s="1"/>
      <c r="EB71" s="1"/>
    </row>
    <row r="72" spans="6:132" s="6" customFormat="1" ht="9.9499999999999993" customHeight="1">
      <c r="F72" s="143">
        <f t="shared" ref="F72" si="21">DX72</f>
        <v>1.9770000000000002E-5</v>
      </c>
      <c r="G72" s="144">
        <f>Q72-F72</f>
        <v>2.2999999999999949E-7</v>
      </c>
      <c r="H72" s="27">
        <v>1</v>
      </c>
      <c r="K72" s="6" t="s">
        <v>206</v>
      </c>
      <c r="L72" s="230"/>
      <c r="M72" s="296" t="s">
        <v>39</v>
      </c>
      <c r="N72" s="239">
        <v>1</v>
      </c>
      <c r="O72" s="251" t="s">
        <v>18</v>
      </c>
      <c r="P72" s="249">
        <v>5156</v>
      </c>
      <c r="Q72" s="183">
        <f>ROUND(P72/$P$256,5)</f>
        <v>2.0000000000000002E-5</v>
      </c>
      <c r="R72" s="92"/>
      <c r="S72" s="70"/>
      <c r="T72" s="70"/>
      <c r="U72" s="70"/>
      <c r="V72" s="69"/>
      <c r="W72" s="70"/>
      <c r="X72" s="71"/>
      <c r="Y72" s="69"/>
      <c r="Z72" s="70"/>
      <c r="AA72" s="71"/>
      <c r="AB72" s="69"/>
      <c r="AC72" s="70"/>
      <c r="AD72" s="71"/>
      <c r="AE72" s="70"/>
      <c r="AF72" s="70"/>
      <c r="AG72" s="70"/>
      <c r="AH72" s="69"/>
      <c r="AI72" s="70"/>
      <c r="AJ72" s="71"/>
      <c r="AK72" s="70"/>
      <c r="AL72" s="70"/>
      <c r="AM72" s="70"/>
      <c r="AN72" s="69"/>
      <c r="AO72" s="70"/>
      <c r="AP72" s="71"/>
      <c r="AQ72" s="69"/>
      <c r="AR72" s="70"/>
      <c r="AS72" s="70"/>
      <c r="AT72" s="150">
        <v>7.0000000000000005E-8</v>
      </c>
      <c r="AU72" s="150"/>
      <c r="AV72" s="150"/>
      <c r="AW72" s="150"/>
      <c r="AX72" s="150"/>
      <c r="AY72" s="150"/>
      <c r="AZ72" s="69"/>
      <c r="BA72" s="70"/>
      <c r="BB72" s="71"/>
      <c r="BC72" s="70"/>
      <c r="BD72" s="70"/>
      <c r="BE72" s="70"/>
      <c r="BF72" s="150">
        <v>6.9999999999999997E-7</v>
      </c>
      <c r="BG72" s="150"/>
      <c r="BH72" s="150"/>
      <c r="BI72" s="70"/>
      <c r="BJ72" s="70"/>
      <c r="BK72" s="70"/>
      <c r="BL72" s="69"/>
      <c r="BM72" s="70"/>
      <c r="BN72" s="71"/>
      <c r="BO72" s="70"/>
      <c r="BP72" s="70"/>
      <c r="BQ72" s="70"/>
      <c r="BR72" s="180">
        <v>1.9000000000000001E-5</v>
      </c>
      <c r="BS72" s="150"/>
      <c r="BT72" s="181"/>
      <c r="BU72" s="70"/>
      <c r="BV72" s="70"/>
      <c r="BW72" s="71"/>
      <c r="BX72" s="69"/>
      <c r="BY72" s="70"/>
      <c r="BZ72" s="71"/>
      <c r="CA72" s="200"/>
      <c r="CB72" s="200"/>
      <c r="CC72" s="200"/>
      <c r="CD72" s="69"/>
      <c r="CE72" s="70"/>
      <c r="CF72" s="70"/>
      <c r="CG72" s="69"/>
      <c r="CH72" s="70"/>
      <c r="CI72" s="71"/>
      <c r="CJ72" s="69"/>
      <c r="CK72" s="70"/>
      <c r="CL72" s="71"/>
      <c r="CM72" s="70"/>
      <c r="CN72" s="70"/>
      <c r="CO72" s="71"/>
      <c r="CP72" s="70"/>
      <c r="CQ72" s="70"/>
      <c r="CR72" s="70"/>
      <c r="CS72" s="69"/>
      <c r="CT72" s="70"/>
      <c r="CU72" s="71"/>
      <c r="CV72" s="69"/>
      <c r="CW72" s="70"/>
      <c r="CX72" s="71"/>
      <c r="CY72" s="69"/>
      <c r="CZ72" s="70"/>
      <c r="DA72" s="71"/>
      <c r="DB72" s="70"/>
      <c r="DC72" s="70"/>
      <c r="DD72" s="70"/>
      <c r="DE72" s="69"/>
      <c r="DF72" s="70"/>
      <c r="DG72" s="71"/>
      <c r="DH72" s="69"/>
      <c r="DI72" s="70"/>
      <c r="DJ72" s="71"/>
      <c r="DK72" s="69"/>
      <c r="DL72" s="70"/>
      <c r="DM72" s="71"/>
      <c r="DN72" s="69"/>
      <c r="DO72" s="70"/>
      <c r="DP72" s="71"/>
      <c r="DQ72" s="69"/>
      <c r="DR72" s="70"/>
      <c r="DS72" s="71"/>
      <c r="DT72" s="70"/>
      <c r="DU72" s="70"/>
      <c r="DV72" s="75"/>
      <c r="DX72" s="213">
        <f>SUM(R72:DV72)</f>
        <v>1.9770000000000002E-5</v>
      </c>
      <c r="DY72" s="1"/>
      <c r="DZ72" s="1"/>
      <c r="EA72" s="1"/>
      <c r="EB72" s="1"/>
    </row>
    <row r="73" spans="6:132" s="6" customFormat="1" ht="6.95" customHeight="1">
      <c r="F73" s="143"/>
      <c r="G73" s="144"/>
      <c r="H73" s="55">
        <v>2</v>
      </c>
      <c r="L73" s="230"/>
      <c r="M73" s="238"/>
      <c r="N73" s="239"/>
      <c r="O73" s="240"/>
      <c r="P73" s="249"/>
      <c r="Q73" s="184"/>
      <c r="R73" s="76"/>
      <c r="S73" s="70"/>
      <c r="T73" s="70"/>
      <c r="U73" s="70"/>
      <c r="V73" s="69"/>
      <c r="W73" s="70"/>
      <c r="X73" s="71"/>
      <c r="Y73" s="69"/>
      <c r="Z73" s="70"/>
      <c r="AA73" s="71"/>
      <c r="AB73" s="69"/>
      <c r="AC73" s="70"/>
      <c r="AD73" s="71"/>
      <c r="AE73" s="70"/>
      <c r="AF73" s="70"/>
      <c r="AG73" s="70"/>
      <c r="AH73" s="69"/>
      <c r="AI73" s="70"/>
      <c r="AJ73" s="71"/>
      <c r="AK73" s="70"/>
      <c r="AL73" s="70"/>
      <c r="AM73" s="70"/>
      <c r="AN73" s="69"/>
      <c r="AO73" s="70"/>
      <c r="AP73" s="71"/>
      <c r="AQ73" s="69"/>
      <c r="AR73" s="70"/>
      <c r="AS73" s="70"/>
      <c r="AT73" s="64"/>
      <c r="AU73" s="65"/>
      <c r="AV73" s="66"/>
      <c r="AW73" s="70"/>
      <c r="AX73" s="70"/>
      <c r="AY73" s="70"/>
      <c r="AZ73" s="69"/>
      <c r="BA73" s="70"/>
      <c r="BB73" s="71"/>
      <c r="BC73" s="70"/>
      <c r="BD73" s="70"/>
      <c r="BE73" s="70"/>
      <c r="BF73" s="64"/>
      <c r="BG73" s="65"/>
      <c r="BH73" s="66"/>
      <c r="BI73" s="70"/>
      <c r="BJ73" s="70"/>
      <c r="BK73" s="70"/>
      <c r="BL73" s="69"/>
      <c r="BM73" s="70"/>
      <c r="BN73" s="71"/>
      <c r="BO73" s="70"/>
      <c r="BP73" s="70"/>
      <c r="BQ73" s="70"/>
      <c r="BR73" s="64"/>
      <c r="BS73" s="65"/>
      <c r="BT73" s="66"/>
      <c r="BU73" s="70"/>
      <c r="BV73" s="70"/>
      <c r="BW73" s="71"/>
      <c r="BX73" s="69"/>
      <c r="BY73" s="70"/>
      <c r="BZ73" s="71"/>
      <c r="CA73" s="70"/>
      <c r="CB73" s="70"/>
      <c r="CC73" s="70"/>
      <c r="CD73" s="69"/>
      <c r="CE73" s="70"/>
      <c r="CF73" s="70"/>
      <c r="CG73" s="69"/>
      <c r="CH73" s="70"/>
      <c r="CI73" s="71"/>
      <c r="CJ73" s="69"/>
      <c r="CK73" s="70"/>
      <c r="CL73" s="71"/>
      <c r="CM73" s="70"/>
      <c r="CN73" s="70"/>
      <c r="CO73" s="71"/>
      <c r="CP73" s="70"/>
      <c r="CQ73" s="70"/>
      <c r="CR73" s="70"/>
      <c r="CS73" s="69"/>
      <c r="CT73" s="70"/>
      <c r="CU73" s="71"/>
      <c r="CV73" s="69"/>
      <c r="CW73" s="70"/>
      <c r="CX73" s="71"/>
      <c r="CY73" s="69"/>
      <c r="CZ73" s="70"/>
      <c r="DA73" s="71"/>
      <c r="DB73" s="70"/>
      <c r="DC73" s="70"/>
      <c r="DD73" s="70"/>
      <c r="DE73" s="69"/>
      <c r="DF73" s="70"/>
      <c r="DG73" s="71"/>
      <c r="DH73" s="69"/>
      <c r="DI73" s="70"/>
      <c r="DJ73" s="71"/>
      <c r="DK73" s="69"/>
      <c r="DL73" s="70"/>
      <c r="DM73" s="71"/>
      <c r="DN73" s="69"/>
      <c r="DO73" s="70"/>
      <c r="DP73" s="71"/>
      <c r="DQ73" s="69"/>
      <c r="DR73" s="70"/>
      <c r="DS73" s="71"/>
      <c r="DT73" s="70"/>
      <c r="DU73" s="70"/>
      <c r="DV73" s="75"/>
      <c r="DX73" s="213"/>
      <c r="DY73" s="1"/>
      <c r="DZ73" s="1"/>
      <c r="EA73" s="1"/>
      <c r="EB73" s="1"/>
    </row>
    <row r="74" spans="6:132" s="6" customFormat="1" ht="9.9499999999999993" customHeight="1">
      <c r="F74" s="143">
        <f t="shared" ref="F74" si="22">DX74</f>
        <v>4.15E-3</v>
      </c>
      <c r="G74" s="144">
        <f>Q74-F74</f>
        <v>0</v>
      </c>
      <c r="H74" s="27">
        <v>1</v>
      </c>
      <c r="I74" s="6" t="s">
        <v>202</v>
      </c>
      <c r="J74" s="19" t="s">
        <v>186</v>
      </c>
      <c r="K74" s="6" t="s">
        <v>207</v>
      </c>
      <c r="L74" s="271"/>
      <c r="M74" s="231" t="s">
        <v>19</v>
      </c>
      <c r="N74" s="254">
        <v>329</v>
      </c>
      <c r="O74" s="243" t="s">
        <v>16</v>
      </c>
      <c r="P74" s="245">
        <v>863422</v>
      </c>
      <c r="Q74" s="183">
        <f>ROUND(P74/$P$256,5)</f>
        <v>4.15E-3</v>
      </c>
      <c r="R74" s="79"/>
      <c r="S74" s="57"/>
      <c r="T74" s="57"/>
      <c r="U74" s="57"/>
      <c r="V74" s="56"/>
      <c r="W74" s="57"/>
      <c r="X74" s="58"/>
      <c r="Y74" s="56"/>
      <c r="Z74" s="57"/>
      <c r="AA74" s="58"/>
      <c r="AB74" s="56"/>
      <c r="AC74" s="57"/>
      <c r="AD74" s="58"/>
      <c r="AE74" s="57"/>
      <c r="AF74" s="57"/>
      <c r="AG74" s="57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>
        <v>3.5E-4</v>
      </c>
      <c r="BM74" s="146"/>
      <c r="BN74" s="146"/>
      <c r="BO74" s="146">
        <v>4.4999999999999999E-4</v>
      </c>
      <c r="BP74" s="146"/>
      <c r="BQ74" s="147"/>
      <c r="BR74" s="168">
        <v>4.4999999999999999E-4</v>
      </c>
      <c r="BS74" s="146"/>
      <c r="BT74" s="169"/>
      <c r="BU74" s="149">
        <v>5.5000000000000003E-4</v>
      </c>
      <c r="BV74" s="146"/>
      <c r="BW74" s="146"/>
      <c r="BX74" s="146">
        <v>5.5000000000000003E-4</v>
      </c>
      <c r="BY74" s="146"/>
      <c r="BZ74" s="146"/>
      <c r="CA74" s="146">
        <v>5.5000000000000003E-4</v>
      </c>
      <c r="CB74" s="146"/>
      <c r="CC74" s="146"/>
      <c r="CD74" s="146">
        <v>4.4999999999999999E-4</v>
      </c>
      <c r="CE74" s="146"/>
      <c r="CF74" s="146"/>
      <c r="CG74" s="146">
        <v>4.4999999999999999E-4</v>
      </c>
      <c r="CH74" s="146"/>
      <c r="CI74" s="146"/>
      <c r="CJ74" s="146">
        <v>3.5E-4</v>
      </c>
      <c r="CK74" s="146"/>
      <c r="CL74" s="146"/>
      <c r="CM74" s="57"/>
      <c r="CN74" s="57"/>
      <c r="CO74" s="58"/>
      <c r="CP74" s="57"/>
      <c r="CQ74" s="57"/>
      <c r="CR74" s="57"/>
      <c r="CS74" s="56"/>
      <c r="CT74" s="57"/>
      <c r="CU74" s="58"/>
      <c r="CV74" s="56"/>
      <c r="CW74" s="57"/>
      <c r="CX74" s="58"/>
      <c r="CY74" s="56"/>
      <c r="CZ74" s="57"/>
      <c r="DA74" s="58"/>
      <c r="DB74" s="57"/>
      <c r="DC74" s="57"/>
      <c r="DD74" s="57"/>
      <c r="DE74" s="56"/>
      <c r="DF74" s="57"/>
      <c r="DG74" s="58"/>
      <c r="DH74" s="56"/>
      <c r="DI74" s="57"/>
      <c r="DJ74" s="58"/>
      <c r="DK74" s="56"/>
      <c r="DL74" s="57"/>
      <c r="DM74" s="58"/>
      <c r="DN74" s="56"/>
      <c r="DO74" s="57"/>
      <c r="DP74" s="58"/>
      <c r="DQ74" s="56"/>
      <c r="DR74" s="57"/>
      <c r="DS74" s="58"/>
      <c r="DT74" s="57"/>
      <c r="DU74" s="57"/>
      <c r="DV74" s="62"/>
      <c r="DX74" s="213">
        <f>SUM(R74:DV74)</f>
        <v>4.15E-3</v>
      </c>
      <c r="DY74" s="1"/>
      <c r="DZ74" s="1"/>
      <c r="EA74" s="1"/>
      <c r="EB74" s="1"/>
    </row>
    <row r="75" spans="6:132" s="6" customFormat="1" ht="6.95" customHeight="1">
      <c r="F75" s="143"/>
      <c r="G75" s="144"/>
      <c r="H75" s="55">
        <v>2</v>
      </c>
      <c r="L75" s="272"/>
      <c r="M75" s="232"/>
      <c r="N75" s="255"/>
      <c r="O75" s="244"/>
      <c r="P75" s="246"/>
      <c r="Q75" s="184"/>
      <c r="R75" s="63"/>
      <c r="S75" s="42"/>
      <c r="T75" s="42"/>
      <c r="U75" s="42"/>
      <c r="V75" s="41"/>
      <c r="W75" s="42"/>
      <c r="X75" s="43"/>
      <c r="Y75" s="41"/>
      <c r="Z75" s="42"/>
      <c r="AA75" s="43"/>
      <c r="AB75" s="41"/>
      <c r="AC75" s="42"/>
      <c r="AD75" s="43"/>
      <c r="AE75" s="42"/>
      <c r="AF75" s="42"/>
      <c r="AG75" s="42"/>
      <c r="AH75" s="41"/>
      <c r="AI75" s="42"/>
      <c r="AJ75" s="43"/>
      <c r="AK75" s="41"/>
      <c r="AL75" s="42"/>
      <c r="AM75" s="43"/>
      <c r="AN75" s="41"/>
      <c r="AO75" s="42"/>
      <c r="AP75" s="43"/>
      <c r="AQ75" s="41"/>
      <c r="AR75" s="42"/>
      <c r="AS75" s="42"/>
      <c r="AT75" s="41"/>
      <c r="AU75" s="42"/>
      <c r="AV75" s="43"/>
      <c r="AW75" s="41"/>
      <c r="AX75" s="42"/>
      <c r="AY75" s="43"/>
      <c r="AZ75" s="41"/>
      <c r="BA75" s="42"/>
      <c r="BB75" s="43"/>
      <c r="BC75" s="42"/>
      <c r="BD75" s="42"/>
      <c r="BE75" s="42"/>
      <c r="BF75" s="41"/>
      <c r="BG75" s="42"/>
      <c r="BH75" s="43"/>
      <c r="BI75" s="41"/>
      <c r="BJ75" s="42"/>
      <c r="BK75" s="43"/>
      <c r="BL75" s="64"/>
      <c r="BM75" s="65"/>
      <c r="BN75" s="66"/>
      <c r="BO75" s="64"/>
      <c r="BP75" s="65"/>
      <c r="BQ75" s="66"/>
      <c r="BR75" s="64"/>
      <c r="BS75" s="65"/>
      <c r="BT75" s="66"/>
      <c r="BU75" s="64"/>
      <c r="BV75" s="65"/>
      <c r="BW75" s="66"/>
      <c r="BX75" s="64"/>
      <c r="BY75" s="65"/>
      <c r="BZ75" s="66"/>
      <c r="CA75" s="64"/>
      <c r="CB75" s="65"/>
      <c r="CC75" s="66"/>
      <c r="CD75" s="64"/>
      <c r="CE75" s="65"/>
      <c r="CF75" s="66"/>
      <c r="CG75" s="64"/>
      <c r="CH75" s="65"/>
      <c r="CI75" s="66"/>
      <c r="CJ75" s="64"/>
      <c r="CK75" s="65"/>
      <c r="CL75" s="66"/>
      <c r="CM75" s="42"/>
      <c r="CN75" s="42"/>
      <c r="CO75" s="43"/>
      <c r="CP75" s="42"/>
      <c r="CQ75" s="42"/>
      <c r="CR75" s="42"/>
      <c r="CS75" s="41"/>
      <c r="CT75" s="42"/>
      <c r="CU75" s="43"/>
      <c r="CV75" s="41"/>
      <c r="CW75" s="42"/>
      <c r="CX75" s="43"/>
      <c r="CY75" s="41"/>
      <c r="CZ75" s="42"/>
      <c r="DA75" s="43"/>
      <c r="DB75" s="42"/>
      <c r="DC75" s="42"/>
      <c r="DD75" s="42"/>
      <c r="DE75" s="41"/>
      <c r="DF75" s="42"/>
      <c r="DG75" s="43"/>
      <c r="DH75" s="41"/>
      <c r="DI75" s="42"/>
      <c r="DJ75" s="43"/>
      <c r="DK75" s="41"/>
      <c r="DL75" s="42"/>
      <c r="DM75" s="43"/>
      <c r="DN75" s="41"/>
      <c r="DO75" s="42"/>
      <c r="DP75" s="43"/>
      <c r="DQ75" s="41"/>
      <c r="DR75" s="42"/>
      <c r="DS75" s="43"/>
      <c r="DT75" s="42"/>
      <c r="DU75" s="42"/>
      <c r="DV75" s="44"/>
      <c r="DX75" s="213"/>
      <c r="DY75" s="1"/>
      <c r="DZ75" s="1"/>
      <c r="EA75" s="1"/>
      <c r="EB75" s="1"/>
    </row>
    <row r="76" spans="6:132" s="6" customFormat="1" ht="9.9499999999999993" customHeight="1">
      <c r="F76" s="143">
        <f t="shared" ref="F76" si="23">DX76</f>
        <v>1.16E-3</v>
      </c>
      <c r="G76" s="144">
        <f>Q76-F76</f>
        <v>0</v>
      </c>
      <c r="H76" s="27">
        <v>1</v>
      </c>
      <c r="I76" s="6" t="s">
        <v>208</v>
      </c>
      <c r="J76" s="19" t="s">
        <v>186</v>
      </c>
      <c r="K76" s="6" t="s">
        <v>209</v>
      </c>
      <c r="L76" s="230"/>
      <c r="M76" s="238" t="s">
        <v>20</v>
      </c>
      <c r="N76" s="239">
        <v>921</v>
      </c>
      <c r="O76" s="240" t="s">
        <v>297</v>
      </c>
      <c r="P76" s="249">
        <v>241542</v>
      </c>
      <c r="Q76" s="183">
        <f>ROUND(P76/$P$256,5)</f>
        <v>1.16E-3</v>
      </c>
      <c r="R76" s="76"/>
      <c r="S76" s="70"/>
      <c r="T76" s="70"/>
      <c r="U76" s="70"/>
      <c r="V76" s="69"/>
      <c r="W76" s="70"/>
      <c r="X76" s="71"/>
      <c r="Y76" s="69"/>
      <c r="Z76" s="70"/>
      <c r="AA76" s="71"/>
      <c r="AB76" s="69"/>
      <c r="AC76" s="70"/>
      <c r="AD76" s="71"/>
      <c r="AE76" s="70"/>
      <c r="AF76" s="70"/>
      <c r="AG76" s="70"/>
      <c r="AH76" s="69"/>
      <c r="AI76" s="70"/>
      <c r="AJ76" s="71"/>
      <c r="AK76" s="70"/>
      <c r="AL76" s="70"/>
      <c r="AM76" s="70"/>
      <c r="AN76" s="69"/>
      <c r="AO76" s="70"/>
      <c r="AP76" s="71"/>
      <c r="AQ76" s="69"/>
      <c r="AR76" s="70"/>
      <c r="AS76" s="70"/>
      <c r="AT76" s="69"/>
      <c r="AU76" s="70"/>
      <c r="AV76" s="71"/>
      <c r="AW76" s="70"/>
      <c r="AX76" s="70"/>
      <c r="AY76" s="70"/>
      <c r="AZ76" s="69"/>
      <c r="BA76" s="70"/>
      <c r="BB76" s="71"/>
      <c r="BC76" s="70"/>
      <c r="BD76" s="70"/>
      <c r="BE76" s="70"/>
      <c r="BF76" s="69"/>
      <c r="BG76" s="70"/>
      <c r="BH76" s="71"/>
      <c r="BI76" s="70"/>
      <c r="BJ76" s="70"/>
      <c r="BK76" s="70"/>
      <c r="BL76" s="69"/>
      <c r="BM76" s="70"/>
      <c r="BN76" s="71"/>
      <c r="BO76" s="70"/>
      <c r="BP76" s="70"/>
      <c r="BQ76" s="70"/>
      <c r="BR76" s="73"/>
      <c r="BS76" s="70"/>
      <c r="BT76" s="74"/>
      <c r="BU76" s="70"/>
      <c r="BV76" s="70"/>
      <c r="BW76" s="71"/>
      <c r="BX76" s="69"/>
      <c r="BY76" s="70"/>
      <c r="BZ76" s="71"/>
      <c r="CA76" s="69"/>
      <c r="CB76" s="70"/>
      <c r="CC76" s="71"/>
      <c r="CD76" s="146"/>
      <c r="CE76" s="146"/>
      <c r="CF76" s="146"/>
      <c r="CG76" s="146"/>
      <c r="CH76" s="146"/>
      <c r="CI76" s="146"/>
      <c r="CJ76" s="146">
        <v>2.2000000000000001E-4</v>
      </c>
      <c r="CK76" s="146"/>
      <c r="CL76" s="146"/>
      <c r="CM76" s="146">
        <v>2.2000000000000001E-4</v>
      </c>
      <c r="CN76" s="146"/>
      <c r="CO76" s="146"/>
      <c r="CP76" s="146">
        <v>2.3000000000000001E-4</v>
      </c>
      <c r="CQ76" s="146"/>
      <c r="CR76" s="146"/>
      <c r="CS76" s="146">
        <v>2.3000000000000001E-4</v>
      </c>
      <c r="CT76" s="146"/>
      <c r="CU76" s="146"/>
      <c r="CV76" s="146">
        <v>2.5999999999999998E-4</v>
      </c>
      <c r="CW76" s="146"/>
      <c r="CX76" s="146"/>
      <c r="CY76" s="69"/>
      <c r="CZ76" s="70"/>
      <c r="DA76" s="71"/>
      <c r="DB76" s="70"/>
      <c r="DC76" s="70"/>
      <c r="DD76" s="70"/>
      <c r="DE76" s="69"/>
      <c r="DF76" s="70"/>
      <c r="DG76" s="71"/>
      <c r="DH76" s="69"/>
      <c r="DI76" s="70"/>
      <c r="DJ76" s="71"/>
      <c r="DK76" s="69"/>
      <c r="DL76" s="70"/>
      <c r="DM76" s="71"/>
      <c r="DN76" s="69"/>
      <c r="DO76" s="70"/>
      <c r="DP76" s="71"/>
      <c r="DQ76" s="69"/>
      <c r="DR76" s="70"/>
      <c r="DS76" s="71"/>
      <c r="DT76" s="70"/>
      <c r="DU76" s="70"/>
      <c r="DV76" s="75"/>
      <c r="DX76" s="213">
        <f>SUM(R76:DV76)</f>
        <v>1.16E-3</v>
      </c>
      <c r="DY76" s="1"/>
      <c r="DZ76" s="1"/>
      <c r="EA76" s="1"/>
      <c r="EB76" s="1"/>
    </row>
    <row r="77" spans="6:132" s="6" customFormat="1" ht="6.95" customHeight="1">
      <c r="F77" s="143"/>
      <c r="G77" s="144"/>
      <c r="H77" s="55">
        <v>2</v>
      </c>
      <c r="L77" s="230"/>
      <c r="M77" s="238"/>
      <c r="N77" s="239"/>
      <c r="O77" s="240"/>
      <c r="P77" s="249"/>
      <c r="Q77" s="184"/>
      <c r="R77" s="76"/>
      <c r="S77" s="70"/>
      <c r="T77" s="70"/>
      <c r="U77" s="70"/>
      <c r="V77" s="69"/>
      <c r="W77" s="70"/>
      <c r="X77" s="71"/>
      <c r="Y77" s="69"/>
      <c r="Z77" s="70"/>
      <c r="AA77" s="71"/>
      <c r="AB77" s="69"/>
      <c r="AC77" s="70"/>
      <c r="AD77" s="71"/>
      <c r="AE77" s="70"/>
      <c r="AF77" s="70"/>
      <c r="AG77" s="70"/>
      <c r="AH77" s="69"/>
      <c r="AI77" s="70"/>
      <c r="AJ77" s="71"/>
      <c r="AK77" s="70"/>
      <c r="AL77" s="70"/>
      <c r="AM77" s="70"/>
      <c r="AN77" s="69"/>
      <c r="AO77" s="70"/>
      <c r="AP77" s="71"/>
      <c r="AQ77" s="69"/>
      <c r="AR77" s="70"/>
      <c r="AS77" s="70"/>
      <c r="AT77" s="69"/>
      <c r="AU77" s="70"/>
      <c r="AV77" s="71"/>
      <c r="AW77" s="70"/>
      <c r="AX77" s="70"/>
      <c r="AY77" s="70"/>
      <c r="AZ77" s="69"/>
      <c r="BA77" s="70"/>
      <c r="BB77" s="71"/>
      <c r="BC77" s="70"/>
      <c r="BD77" s="70"/>
      <c r="BE77" s="70"/>
      <c r="BF77" s="69"/>
      <c r="BG77" s="70"/>
      <c r="BH77" s="71"/>
      <c r="BI77" s="70"/>
      <c r="BJ77" s="70"/>
      <c r="BK77" s="70"/>
      <c r="BL77" s="69"/>
      <c r="BM77" s="70"/>
      <c r="BN77" s="71"/>
      <c r="BO77" s="70"/>
      <c r="BP77" s="70"/>
      <c r="BQ77" s="70"/>
      <c r="BR77" s="73"/>
      <c r="BS77" s="70"/>
      <c r="BT77" s="74"/>
      <c r="BU77" s="70"/>
      <c r="BV77" s="70"/>
      <c r="BW77" s="71"/>
      <c r="BX77" s="69"/>
      <c r="BY77" s="70"/>
      <c r="BZ77" s="71"/>
      <c r="CA77" s="69"/>
      <c r="CB77" s="70"/>
      <c r="CC77" s="71"/>
      <c r="CD77" s="69"/>
      <c r="CE77" s="70"/>
      <c r="CF77" s="70"/>
      <c r="CG77" s="69"/>
      <c r="CH77" s="70"/>
      <c r="CI77" s="71"/>
      <c r="CJ77" s="64"/>
      <c r="CK77" s="65"/>
      <c r="CL77" s="66"/>
      <c r="CM77" s="64"/>
      <c r="CN77" s="65"/>
      <c r="CO77" s="66"/>
      <c r="CP77" s="64"/>
      <c r="CQ77" s="65"/>
      <c r="CR77" s="66"/>
      <c r="CS77" s="64"/>
      <c r="CT77" s="65"/>
      <c r="CU77" s="66"/>
      <c r="CV77" s="64"/>
      <c r="CW77" s="65"/>
      <c r="CX77" s="66"/>
      <c r="CY77" s="69"/>
      <c r="CZ77" s="70"/>
      <c r="DA77" s="71"/>
      <c r="DB77" s="70"/>
      <c r="DC77" s="70"/>
      <c r="DD77" s="70"/>
      <c r="DE77" s="69"/>
      <c r="DF77" s="70"/>
      <c r="DG77" s="71"/>
      <c r="DH77" s="69"/>
      <c r="DI77" s="70"/>
      <c r="DJ77" s="71"/>
      <c r="DK77" s="69"/>
      <c r="DL77" s="70"/>
      <c r="DM77" s="71"/>
      <c r="DN77" s="69"/>
      <c r="DO77" s="70"/>
      <c r="DP77" s="71"/>
      <c r="DQ77" s="69"/>
      <c r="DR77" s="70"/>
      <c r="DS77" s="71"/>
      <c r="DT77" s="70"/>
      <c r="DU77" s="70"/>
      <c r="DV77" s="75"/>
      <c r="DX77" s="213"/>
      <c r="DY77" s="1"/>
      <c r="DZ77" s="1"/>
      <c r="EA77" s="1"/>
      <c r="EB77" s="1"/>
    </row>
    <row r="78" spans="6:132" s="6" customFormat="1" ht="9.9499999999999993" customHeight="1">
      <c r="F78" s="143">
        <f t="shared" ref="F78" si="24">DX78</f>
        <v>1.4000000000000001E-4</v>
      </c>
      <c r="G78" s="144">
        <f>Q78-F78</f>
        <v>0</v>
      </c>
      <c r="H78" s="27">
        <v>1</v>
      </c>
      <c r="I78" s="6" t="s">
        <v>210</v>
      </c>
      <c r="J78" s="19" t="s">
        <v>186</v>
      </c>
      <c r="K78" s="6" t="s">
        <v>211</v>
      </c>
      <c r="L78" s="271"/>
      <c r="M78" s="231" t="s">
        <v>21</v>
      </c>
      <c r="N78" s="254">
        <v>16</v>
      </c>
      <c r="O78" s="243" t="s">
        <v>297</v>
      </c>
      <c r="P78" s="245">
        <v>28604</v>
      </c>
      <c r="Q78" s="183">
        <f>ROUND(P78/$P$256,5)</f>
        <v>1.3999999999999999E-4</v>
      </c>
      <c r="R78" s="79"/>
      <c r="S78" s="57"/>
      <c r="T78" s="57"/>
      <c r="U78" s="57"/>
      <c r="V78" s="56"/>
      <c r="W78" s="57"/>
      <c r="X78" s="58"/>
      <c r="Y78" s="56"/>
      <c r="Z78" s="57"/>
      <c r="AA78" s="58"/>
      <c r="AB78" s="56"/>
      <c r="AC78" s="57"/>
      <c r="AD78" s="58"/>
      <c r="AE78" s="57"/>
      <c r="AF78" s="57"/>
      <c r="AG78" s="57"/>
      <c r="AH78" s="56"/>
      <c r="AI78" s="57"/>
      <c r="AJ78" s="58"/>
      <c r="AK78" s="57"/>
      <c r="AL78" s="57"/>
      <c r="AM78" s="57"/>
      <c r="AN78" s="56"/>
      <c r="AO78" s="57"/>
      <c r="AP78" s="58"/>
      <c r="AQ78" s="56"/>
      <c r="AR78" s="57"/>
      <c r="AS78" s="57"/>
      <c r="AT78" s="146"/>
      <c r="AU78" s="146"/>
      <c r="AV78" s="146"/>
      <c r="AW78" s="57"/>
      <c r="AX78" s="57"/>
      <c r="AY78" s="57"/>
      <c r="AZ78" s="56"/>
      <c r="BA78" s="57"/>
      <c r="BB78" s="58"/>
      <c r="BC78" s="57"/>
      <c r="BD78" s="57"/>
      <c r="BE78" s="57"/>
      <c r="BF78" s="56"/>
      <c r="BG78" s="57"/>
      <c r="BH78" s="58"/>
      <c r="BI78" s="57"/>
      <c r="BJ78" s="57"/>
      <c r="BK78" s="57"/>
      <c r="BL78" s="56"/>
      <c r="BM78" s="57"/>
      <c r="BN78" s="58"/>
      <c r="BO78" s="57"/>
      <c r="BP78" s="57"/>
      <c r="BQ78" s="57"/>
      <c r="BR78" s="168">
        <v>2.0000000000000002E-5</v>
      </c>
      <c r="BS78" s="146"/>
      <c r="BT78" s="169"/>
      <c r="BU78" s="149">
        <v>3.0000000000000001E-5</v>
      </c>
      <c r="BV78" s="146"/>
      <c r="BW78" s="146"/>
      <c r="BX78" s="56"/>
      <c r="BY78" s="57"/>
      <c r="BZ78" s="58"/>
      <c r="CA78" s="146">
        <v>3.0000000000000001E-5</v>
      </c>
      <c r="CB78" s="146"/>
      <c r="CC78" s="146"/>
      <c r="CD78" s="146">
        <v>3.0000000000000001E-5</v>
      </c>
      <c r="CE78" s="146"/>
      <c r="CF78" s="146"/>
      <c r="CG78" s="146">
        <v>3.0000000000000001E-5</v>
      </c>
      <c r="CH78" s="146"/>
      <c r="CI78" s="146"/>
      <c r="CJ78" s="56"/>
      <c r="CK78" s="57"/>
      <c r="CL78" s="58"/>
      <c r="CM78" s="57"/>
      <c r="CN78" s="57"/>
      <c r="CO78" s="58"/>
      <c r="CP78" s="57"/>
      <c r="CQ78" s="57"/>
      <c r="CR78" s="57"/>
      <c r="CS78" s="56"/>
      <c r="CT78" s="57"/>
      <c r="CU78" s="58"/>
      <c r="CV78" s="56"/>
      <c r="CW78" s="57"/>
      <c r="CX78" s="58"/>
      <c r="CY78" s="56"/>
      <c r="CZ78" s="57"/>
      <c r="DA78" s="58"/>
      <c r="DB78" s="57"/>
      <c r="DC78" s="57"/>
      <c r="DD78" s="57"/>
      <c r="DE78" s="56"/>
      <c r="DF78" s="57"/>
      <c r="DG78" s="58"/>
      <c r="DH78" s="56"/>
      <c r="DI78" s="57"/>
      <c r="DJ78" s="58"/>
      <c r="DK78" s="56"/>
      <c r="DL78" s="57"/>
      <c r="DM78" s="58"/>
      <c r="DN78" s="56"/>
      <c r="DO78" s="57"/>
      <c r="DP78" s="58"/>
      <c r="DQ78" s="56"/>
      <c r="DR78" s="57"/>
      <c r="DS78" s="58"/>
      <c r="DT78" s="57"/>
      <c r="DU78" s="57"/>
      <c r="DV78" s="62"/>
      <c r="DX78" s="213">
        <f>SUM(R78:DV78)</f>
        <v>1.4000000000000001E-4</v>
      </c>
      <c r="DY78" s="1"/>
      <c r="DZ78" s="1"/>
      <c r="EA78" s="1"/>
      <c r="EB78" s="1"/>
    </row>
    <row r="79" spans="6:132" s="6" customFormat="1" ht="6.95" customHeight="1">
      <c r="F79" s="143"/>
      <c r="G79" s="144"/>
      <c r="H79" s="55">
        <v>2</v>
      </c>
      <c r="L79" s="272"/>
      <c r="M79" s="232"/>
      <c r="N79" s="255"/>
      <c r="O79" s="244"/>
      <c r="P79" s="246"/>
      <c r="Q79" s="184"/>
      <c r="R79" s="63"/>
      <c r="S79" s="42"/>
      <c r="T79" s="42"/>
      <c r="U79" s="42"/>
      <c r="V79" s="41"/>
      <c r="W79" s="42"/>
      <c r="X79" s="43"/>
      <c r="Y79" s="41"/>
      <c r="Z79" s="42"/>
      <c r="AA79" s="43"/>
      <c r="AB79" s="41"/>
      <c r="AC79" s="42"/>
      <c r="AD79" s="43"/>
      <c r="AE79" s="42"/>
      <c r="AF79" s="42"/>
      <c r="AG79" s="42"/>
      <c r="AH79" s="41"/>
      <c r="AI79" s="42"/>
      <c r="AJ79" s="43"/>
      <c r="AK79" s="42"/>
      <c r="AL79" s="42"/>
      <c r="AM79" s="42"/>
      <c r="AN79" s="41"/>
      <c r="AO79" s="42"/>
      <c r="AP79" s="43"/>
      <c r="AQ79" s="41"/>
      <c r="AR79" s="42"/>
      <c r="AS79" s="42"/>
      <c r="AT79" s="41"/>
      <c r="AU79" s="42"/>
      <c r="AV79" s="43"/>
      <c r="AW79" s="42"/>
      <c r="AX79" s="42"/>
      <c r="AY79" s="42"/>
      <c r="AZ79" s="41"/>
      <c r="BA79" s="42"/>
      <c r="BB79" s="43"/>
      <c r="BC79" s="42"/>
      <c r="BD79" s="42"/>
      <c r="BE79" s="42"/>
      <c r="BF79" s="41"/>
      <c r="BG79" s="42"/>
      <c r="BH79" s="43"/>
      <c r="BI79" s="42"/>
      <c r="BJ79" s="42"/>
      <c r="BK79" s="42"/>
      <c r="BL79" s="41"/>
      <c r="BM79" s="42"/>
      <c r="BN79" s="43"/>
      <c r="BO79" s="42"/>
      <c r="BP79" s="42"/>
      <c r="BQ79" s="42"/>
      <c r="BR79" s="64"/>
      <c r="BS79" s="65"/>
      <c r="BT79" s="66"/>
      <c r="BU79" s="64"/>
      <c r="BV79" s="65"/>
      <c r="BW79" s="66"/>
      <c r="BX79" s="41"/>
      <c r="BY79" s="42"/>
      <c r="BZ79" s="43"/>
      <c r="CA79" s="64"/>
      <c r="CB79" s="65"/>
      <c r="CC79" s="66"/>
      <c r="CD79" s="64"/>
      <c r="CE79" s="65"/>
      <c r="CF79" s="66"/>
      <c r="CG79" s="64"/>
      <c r="CH79" s="65"/>
      <c r="CI79" s="66"/>
      <c r="CJ79" s="41"/>
      <c r="CK79" s="42"/>
      <c r="CL79" s="43"/>
      <c r="CM79" s="42"/>
      <c r="CN79" s="42"/>
      <c r="CO79" s="43"/>
      <c r="CP79" s="42"/>
      <c r="CQ79" s="42"/>
      <c r="CR79" s="42"/>
      <c r="CS79" s="41"/>
      <c r="CT79" s="42"/>
      <c r="CU79" s="43"/>
      <c r="CV79" s="41"/>
      <c r="CW79" s="42"/>
      <c r="CX79" s="43"/>
      <c r="CY79" s="41"/>
      <c r="CZ79" s="42"/>
      <c r="DA79" s="43"/>
      <c r="DB79" s="42"/>
      <c r="DC79" s="42"/>
      <c r="DD79" s="42"/>
      <c r="DE79" s="41"/>
      <c r="DF79" s="42"/>
      <c r="DG79" s="43"/>
      <c r="DH79" s="41"/>
      <c r="DI79" s="42"/>
      <c r="DJ79" s="43"/>
      <c r="DK79" s="41"/>
      <c r="DL79" s="42"/>
      <c r="DM79" s="43"/>
      <c r="DN79" s="41"/>
      <c r="DO79" s="42"/>
      <c r="DP79" s="43"/>
      <c r="DQ79" s="41"/>
      <c r="DR79" s="42"/>
      <c r="DS79" s="43"/>
      <c r="DT79" s="42"/>
      <c r="DU79" s="42"/>
      <c r="DV79" s="44"/>
      <c r="DX79" s="213"/>
      <c r="DY79" s="1"/>
      <c r="DZ79" s="1"/>
      <c r="EA79" s="1"/>
      <c r="EB79" s="1"/>
    </row>
    <row r="80" spans="6:132" s="6" customFormat="1" ht="9.9499999999999993" customHeight="1">
      <c r="F80" s="143">
        <f t="shared" ref="F80" si="25">DX80</f>
        <v>2.0700000000000002E-3</v>
      </c>
      <c r="G80" s="144">
        <f>Q80-F80</f>
        <v>0</v>
      </c>
      <c r="H80" s="27">
        <v>1</v>
      </c>
      <c r="L80" s="230"/>
      <c r="M80" s="238" t="s">
        <v>276</v>
      </c>
      <c r="N80" s="239">
        <v>15498</v>
      </c>
      <c r="O80" s="241" t="s">
        <v>277</v>
      </c>
      <c r="P80" s="249">
        <v>431739</v>
      </c>
      <c r="Q80" s="183">
        <f>ROUND(P80/$P$256,5)</f>
        <v>2.0699999999999998E-3</v>
      </c>
      <c r="R80" s="76"/>
      <c r="S80" s="70"/>
      <c r="T80" s="70"/>
      <c r="U80" s="70"/>
      <c r="V80" s="69"/>
      <c r="W80" s="70"/>
      <c r="X80" s="71"/>
      <c r="Y80" s="69"/>
      <c r="Z80" s="70"/>
      <c r="AA80" s="71"/>
      <c r="AB80" s="69"/>
      <c r="AC80" s="70"/>
      <c r="AD80" s="71"/>
      <c r="AE80" s="70"/>
      <c r="AF80" s="70"/>
      <c r="AG80" s="7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70"/>
      <c r="AX80" s="70"/>
      <c r="AY80" s="70"/>
      <c r="AZ80" s="69"/>
      <c r="BA80" s="70"/>
      <c r="BB80" s="71"/>
      <c r="BC80" s="70"/>
      <c r="BD80" s="70"/>
      <c r="BE80" s="70"/>
      <c r="BF80" s="69"/>
      <c r="BG80" s="70"/>
      <c r="BH80" s="71"/>
      <c r="BI80" s="150"/>
      <c r="BJ80" s="150"/>
      <c r="BK80" s="150"/>
      <c r="BL80" s="150"/>
      <c r="BM80" s="150"/>
      <c r="BN80" s="150"/>
      <c r="BO80" s="150"/>
      <c r="BP80" s="150"/>
      <c r="BQ80" s="166"/>
      <c r="BR80" s="180"/>
      <c r="BS80" s="150"/>
      <c r="BT80" s="181"/>
      <c r="BU80" s="165"/>
      <c r="BV80" s="150"/>
      <c r="BW80" s="150"/>
      <c r="BX80" s="150"/>
      <c r="BY80" s="150"/>
      <c r="BZ80" s="150"/>
      <c r="CA80" s="69"/>
      <c r="CB80" s="70"/>
      <c r="CC80" s="71"/>
      <c r="CD80" s="69"/>
      <c r="CE80" s="70"/>
      <c r="CF80" s="70"/>
      <c r="CG80" s="69"/>
      <c r="CH80" s="70"/>
      <c r="CI80" s="71"/>
      <c r="CJ80" s="69"/>
      <c r="CK80" s="70"/>
      <c r="CL80" s="71"/>
      <c r="CM80" s="70"/>
      <c r="CN80" s="70"/>
      <c r="CO80" s="71"/>
      <c r="CP80" s="70"/>
      <c r="CQ80" s="70"/>
      <c r="CR80" s="70"/>
      <c r="CS80" s="150">
        <v>5.0000000000000001E-4</v>
      </c>
      <c r="CT80" s="150"/>
      <c r="CU80" s="150"/>
      <c r="CV80" s="150">
        <v>5.5000000000000003E-4</v>
      </c>
      <c r="CW80" s="150"/>
      <c r="CX80" s="150"/>
      <c r="CY80" s="150">
        <v>5.5999999999999995E-4</v>
      </c>
      <c r="CZ80" s="150"/>
      <c r="DA80" s="150"/>
      <c r="DB80" s="150">
        <v>4.6000000000000001E-4</v>
      </c>
      <c r="DC80" s="150"/>
      <c r="DD80" s="150"/>
      <c r="DE80" s="69"/>
      <c r="DF80" s="70"/>
      <c r="DG80" s="71"/>
      <c r="DH80" s="69"/>
      <c r="DI80" s="70"/>
      <c r="DJ80" s="71"/>
      <c r="DK80" s="69"/>
      <c r="DL80" s="70"/>
      <c r="DM80" s="71"/>
      <c r="DN80" s="69"/>
      <c r="DO80" s="70"/>
      <c r="DP80" s="71"/>
      <c r="DQ80" s="69"/>
      <c r="DR80" s="70"/>
      <c r="DS80" s="71"/>
      <c r="DT80" s="70"/>
      <c r="DU80" s="70"/>
      <c r="DV80" s="75"/>
      <c r="DX80" s="213">
        <f>SUM(R80:DV80)</f>
        <v>2.0700000000000002E-3</v>
      </c>
      <c r="DY80" s="1"/>
      <c r="DZ80" s="1"/>
      <c r="EA80" s="1"/>
      <c r="EB80" s="1"/>
    </row>
    <row r="81" spans="4:132" s="6" customFormat="1" ht="6.95" customHeight="1">
      <c r="E81" s="82"/>
      <c r="F81" s="143"/>
      <c r="G81" s="144"/>
      <c r="H81" s="55">
        <v>2</v>
      </c>
      <c r="I81" s="83"/>
      <c r="J81" s="83"/>
      <c r="L81" s="230"/>
      <c r="M81" s="238"/>
      <c r="N81" s="239"/>
      <c r="O81" s="242"/>
      <c r="P81" s="249"/>
      <c r="Q81" s="184"/>
      <c r="R81" s="76"/>
      <c r="S81" s="70"/>
      <c r="T81" s="70"/>
      <c r="U81" s="70"/>
      <c r="V81" s="69"/>
      <c r="W81" s="70"/>
      <c r="X81" s="71"/>
      <c r="Y81" s="69"/>
      <c r="Z81" s="70"/>
      <c r="AA81" s="71"/>
      <c r="AB81" s="69"/>
      <c r="AC81" s="70"/>
      <c r="AD81" s="71"/>
      <c r="AE81" s="70"/>
      <c r="AF81" s="70"/>
      <c r="AG81" s="70"/>
      <c r="AH81" s="69"/>
      <c r="AI81" s="70"/>
      <c r="AJ81" s="71"/>
      <c r="AK81" s="69"/>
      <c r="AL81" s="70"/>
      <c r="AM81" s="71"/>
      <c r="AN81" s="69"/>
      <c r="AO81" s="70"/>
      <c r="AP81" s="71"/>
      <c r="AQ81" s="69"/>
      <c r="AR81" s="70"/>
      <c r="AS81" s="71"/>
      <c r="AT81" s="69"/>
      <c r="AU81" s="70"/>
      <c r="AV81" s="71"/>
      <c r="AW81" s="70"/>
      <c r="AX81" s="70"/>
      <c r="AY81" s="70"/>
      <c r="AZ81" s="69"/>
      <c r="BA81" s="70"/>
      <c r="BB81" s="71"/>
      <c r="BC81" s="70"/>
      <c r="BD81" s="70"/>
      <c r="BE81" s="70"/>
      <c r="BF81" s="69"/>
      <c r="BG81" s="70"/>
      <c r="BH81" s="71"/>
      <c r="BI81" s="69"/>
      <c r="BJ81" s="70"/>
      <c r="BK81" s="71"/>
      <c r="BL81" s="69"/>
      <c r="BM81" s="70"/>
      <c r="BN81" s="71"/>
      <c r="BO81" s="69"/>
      <c r="BP81" s="70"/>
      <c r="BQ81" s="70"/>
      <c r="BR81" s="73"/>
      <c r="BS81" s="70"/>
      <c r="BT81" s="74"/>
      <c r="BU81" s="70"/>
      <c r="BV81" s="70"/>
      <c r="BW81" s="71"/>
      <c r="BX81" s="69"/>
      <c r="BY81" s="70"/>
      <c r="BZ81" s="71"/>
      <c r="CA81" s="69"/>
      <c r="CB81" s="70"/>
      <c r="CC81" s="71"/>
      <c r="CD81" s="69"/>
      <c r="CE81" s="70"/>
      <c r="CF81" s="70"/>
      <c r="CG81" s="69"/>
      <c r="CH81" s="70"/>
      <c r="CI81" s="71"/>
      <c r="CJ81" s="69"/>
      <c r="CK81" s="70"/>
      <c r="CL81" s="71"/>
      <c r="CM81" s="70"/>
      <c r="CN81" s="70"/>
      <c r="CO81" s="71"/>
      <c r="CP81" s="70"/>
      <c r="CQ81" s="70"/>
      <c r="CR81" s="70"/>
      <c r="CS81" s="64"/>
      <c r="CT81" s="65"/>
      <c r="CU81" s="66"/>
      <c r="CV81" s="64"/>
      <c r="CW81" s="65"/>
      <c r="CX81" s="66"/>
      <c r="CY81" s="64"/>
      <c r="CZ81" s="65"/>
      <c r="DA81" s="66"/>
      <c r="DB81" s="64"/>
      <c r="DC81" s="65"/>
      <c r="DD81" s="66"/>
      <c r="DE81" s="69"/>
      <c r="DF81" s="70"/>
      <c r="DG81" s="71"/>
      <c r="DH81" s="69"/>
      <c r="DI81" s="70"/>
      <c r="DJ81" s="71"/>
      <c r="DK81" s="69"/>
      <c r="DL81" s="70"/>
      <c r="DM81" s="71"/>
      <c r="DN81" s="69"/>
      <c r="DO81" s="70"/>
      <c r="DP81" s="71"/>
      <c r="DQ81" s="69"/>
      <c r="DR81" s="70"/>
      <c r="DS81" s="71"/>
      <c r="DT81" s="70"/>
      <c r="DU81" s="70"/>
      <c r="DV81" s="75"/>
      <c r="DX81" s="213"/>
      <c r="DY81" s="1"/>
      <c r="DZ81" s="1"/>
      <c r="EA81" s="1"/>
      <c r="EB81" s="1"/>
    </row>
    <row r="82" spans="4:132" s="6" customFormat="1" ht="9.9499999999999993" customHeight="1">
      <c r="E82" s="20" t="s">
        <v>213</v>
      </c>
      <c r="F82" s="143">
        <f t="shared" ref="F82" si="26">DX82</f>
        <v>1.8000000000000001E-4</v>
      </c>
      <c r="G82" s="144">
        <f>Q82-F82</f>
        <v>0</v>
      </c>
      <c r="H82" s="27">
        <v>1</v>
      </c>
      <c r="I82" s="83"/>
      <c r="J82" s="83"/>
      <c r="K82" s="19" t="s">
        <v>212</v>
      </c>
      <c r="L82" s="271"/>
      <c r="M82" s="231" t="s">
        <v>41</v>
      </c>
      <c r="N82" s="254">
        <v>1</v>
      </c>
      <c r="O82" s="253" t="s">
        <v>40</v>
      </c>
      <c r="P82" s="245">
        <v>37599</v>
      </c>
      <c r="Q82" s="183">
        <f>ROUND(P82/$P$256,5)</f>
        <v>1.8000000000000001E-4</v>
      </c>
      <c r="R82" s="79"/>
      <c r="S82" s="57"/>
      <c r="T82" s="57"/>
      <c r="U82" s="57"/>
      <c r="V82" s="56"/>
      <c r="W82" s="57"/>
      <c r="X82" s="58"/>
      <c r="Y82" s="56"/>
      <c r="Z82" s="57"/>
      <c r="AA82" s="58"/>
      <c r="AB82" s="56"/>
      <c r="AC82" s="57"/>
      <c r="AD82" s="58"/>
      <c r="AE82" s="57"/>
      <c r="AF82" s="57"/>
      <c r="AG82" s="57"/>
      <c r="AH82" s="56"/>
      <c r="AI82" s="57"/>
      <c r="AJ82" s="58"/>
      <c r="AK82" s="57"/>
      <c r="AL82" s="57"/>
      <c r="AM82" s="57"/>
      <c r="AN82" s="56"/>
      <c r="AO82" s="57"/>
      <c r="AP82" s="58"/>
      <c r="AQ82" s="146"/>
      <c r="AR82" s="146"/>
      <c r="AS82" s="146"/>
      <c r="AT82" s="146">
        <v>2.0000000000000002E-5</v>
      </c>
      <c r="AU82" s="146"/>
      <c r="AV82" s="146"/>
      <c r="AW82" s="57"/>
      <c r="AX82" s="57"/>
      <c r="AY82" s="57"/>
      <c r="AZ82" s="56"/>
      <c r="BA82" s="57"/>
      <c r="BB82" s="58"/>
      <c r="BC82" s="146">
        <v>2.0000000000000002E-5</v>
      </c>
      <c r="BD82" s="146"/>
      <c r="BE82" s="146"/>
      <c r="BF82" s="146"/>
      <c r="BG82" s="146"/>
      <c r="BH82" s="146"/>
      <c r="BI82" s="57"/>
      <c r="BJ82" s="57"/>
      <c r="BK82" s="57"/>
      <c r="BL82" s="56"/>
      <c r="BM82" s="57"/>
      <c r="BN82" s="58"/>
      <c r="BO82" s="57"/>
      <c r="BP82" s="57"/>
      <c r="BQ82" s="57"/>
      <c r="BR82" s="168">
        <v>2.0000000000000002E-5</v>
      </c>
      <c r="BS82" s="146"/>
      <c r="BT82" s="169"/>
      <c r="BU82" s="149">
        <v>3.0000000000000001E-5</v>
      </c>
      <c r="BV82" s="146"/>
      <c r="BW82" s="146"/>
      <c r="BX82" s="146">
        <v>3.0000000000000001E-5</v>
      </c>
      <c r="BY82" s="146"/>
      <c r="BZ82" s="146"/>
      <c r="CA82" s="146">
        <v>3.0000000000000001E-5</v>
      </c>
      <c r="CB82" s="146"/>
      <c r="CC82" s="146"/>
      <c r="CD82" s="146">
        <v>3.0000000000000001E-5</v>
      </c>
      <c r="CE82" s="146"/>
      <c r="CF82" s="146"/>
      <c r="CG82" s="56"/>
      <c r="CH82" s="57"/>
      <c r="CI82" s="58"/>
      <c r="CJ82" s="56"/>
      <c r="CK82" s="57"/>
      <c r="CL82" s="58"/>
      <c r="CM82" s="57"/>
      <c r="CN82" s="57"/>
      <c r="CO82" s="58"/>
      <c r="CP82" s="57"/>
      <c r="CQ82" s="57"/>
      <c r="CR82" s="57"/>
      <c r="CS82" s="56"/>
      <c r="CT82" s="57"/>
      <c r="CU82" s="58"/>
      <c r="CV82" s="56"/>
      <c r="CW82" s="57"/>
      <c r="CX82" s="58"/>
      <c r="CY82" s="56"/>
      <c r="CZ82" s="57"/>
      <c r="DA82" s="58"/>
      <c r="DB82" s="57"/>
      <c r="DC82" s="57"/>
      <c r="DD82" s="57"/>
      <c r="DE82" s="56"/>
      <c r="DF82" s="57"/>
      <c r="DG82" s="58"/>
      <c r="DH82" s="56"/>
      <c r="DI82" s="57"/>
      <c r="DJ82" s="58"/>
      <c r="DK82" s="56"/>
      <c r="DL82" s="57"/>
      <c r="DM82" s="58"/>
      <c r="DN82" s="56"/>
      <c r="DO82" s="57"/>
      <c r="DP82" s="58"/>
      <c r="DQ82" s="56"/>
      <c r="DR82" s="57"/>
      <c r="DS82" s="58"/>
      <c r="DT82" s="57"/>
      <c r="DU82" s="57"/>
      <c r="DV82" s="62"/>
      <c r="DX82" s="213">
        <f>SUM(R82:DV82)</f>
        <v>1.8000000000000001E-4</v>
      </c>
      <c r="DY82" s="1"/>
      <c r="DZ82" s="1"/>
      <c r="EA82" s="1"/>
      <c r="EB82" s="1"/>
    </row>
    <row r="83" spans="4:132" s="6" customFormat="1" ht="6.95" customHeight="1">
      <c r="E83" s="83"/>
      <c r="F83" s="143"/>
      <c r="G83" s="144"/>
      <c r="H83" s="55">
        <v>2</v>
      </c>
      <c r="I83" s="83"/>
      <c r="J83" s="83"/>
      <c r="L83" s="272"/>
      <c r="M83" s="232"/>
      <c r="N83" s="255"/>
      <c r="O83" s="244"/>
      <c r="P83" s="246"/>
      <c r="Q83" s="184"/>
      <c r="R83" s="63"/>
      <c r="S83" s="42"/>
      <c r="T83" s="42"/>
      <c r="U83" s="42"/>
      <c r="V83" s="41"/>
      <c r="W83" s="42"/>
      <c r="X83" s="43"/>
      <c r="Y83" s="41"/>
      <c r="Z83" s="42"/>
      <c r="AA83" s="43"/>
      <c r="AB83" s="41"/>
      <c r="AC83" s="42"/>
      <c r="AD83" s="43"/>
      <c r="AE83" s="42"/>
      <c r="AF83" s="42"/>
      <c r="AG83" s="42"/>
      <c r="AH83" s="41"/>
      <c r="AI83" s="42"/>
      <c r="AJ83" s="43"/>
      <c r="AK83" s="42"/>
      <c r="AL83" s="42"/>
      <c r="AM83" s="42"/>
      <c r="AN83" s="41"/>
      <c r="AO83" s="42"/>
      <c r="AP83" s="43"/>
      <c r="AQ83" s="41"/>
      <c r="AR83" s="42"/>
      <c r="AS83" s="43"/>
      <c r="AT83" s="64"/>
      <c r="AU83" s="65"/>
      <c r="AV83" s="66"/>
      <c r="AW83" s="42"/>
      <c r="AX83" s="42"/>
      <c r="AY83" s="42"/>
      <c r="AZ83" s="41"/>
      <c r="BA83" s="42"/>
      <c r="BB83" s="43"/>
      <c r="BC83" s="64"/>
      <c r="BD83" s="65"/>
      <c r="BE83" s="66"/>
      <c r="BF83" s="41"/>
      <c r="BG83" s="42"/>
      <c r="BH83" s="43"/>
      <c r="BI83" s="42"/>
      <c r="BJ83" s="42"/>
      <c r="BK83" s="42"/>
      <c r="BL83" s="41"/>
      <c r="BM83" s="42"/>
      <c r="BN83" s="43"/>
      <c r="BO83" s="42"/>
      <c r="BP83" s="42"/>
      <c r="BQ83" s="42"/>
      <c r="BR83" s="64"/>
      <c r="BS83" s="65"/>
      <c r="BT83" s="66"/>
      <c r="BU83" s="64"/>
      <c r="BV83" s="65"/>
      <c r="BW83" s="66"/>
      <c r="BX83" s="64"/>
      <c r="BY83" s="65"/>
      <c r="BZ83" s="66"/>
      <c r="CA83" s="64"/>
      <c r="CB83" s="65"/>
      <c r="CC83" s="66"/>
      <c r="CD83" s="64"/>
      <c r="CE83" s="65"/>
      <c r="CF83" s="66"/>
      <c r="CG83" s="41"/>
      <c r="CH83" s="42"/>
      <c r="CI83" s="43"/>
      <c r="CJ83" s="41"/>
      <c r="CK83" s="42"/>
      <c r="CL83" s="43"/>
      <c r="CM83" s="42"/>
      <c r="CN83" s="42"/>
      <c r="CO83" s="43"/>
      <c r="CP83" s="42"/>
      <c r="CQ83" s="42"/>
      <c r="CR83" s="42"/>
      <c r="CS83" s="41"/>
      <c r="CT83" s="42"/>
      <c r="CU83" s="43"/>
      <c r="CV83" s="41"/>
      <c r="CW83" s="42"/>
      <c r="CX83" s="43"/>
      <c r="CY83" s="41"/>
      <c r="CZ83" s="42"/>
      <c r="DA83" s="43"/>
      <c r="DB83" s="42"/>
      <c r="DC83" s="42"/>
      <c r="DD83" s="42"/>
      <c r="DE83" s="41"/>
      <c r="DF83" s="42"/>
      <c r="DG83" s="43"/>
      <c r="DH83" s="41"/>
      <c r="DI83" s="42"/>
      <c r="DJ83" s="43"/>
      <c r="DK83" s="41"/>
      <c r="DL83" s="42"/>
      <c r="DM83" s="43"/>
      <c r="DN83" s="41"/>
      <c r="DO83" s="42"/>
      <c r="DP83" s="43"/>
      <c r="DQ83" s="41"/>
      <c r="DR83" s="42"/>
      <c r="DS83" s="43"/>
      <c r="DT83" s="42"/>
      <c r="DU83" s="42"/>
      <c r="DV83" s="44"/>
      <c r="DX83" s="213"/>
      <c r="DY83" s="1"/>
      <c r="DZ83" s="1"/>
      <c r="EA83" s="1"/>
      <c r="EB83" s="1"/>
    </row>
    <row r="84" spans="4:132" s="6" customFormat="1" ht="9.9499999999999993" customHeight="1">
      <c r="E84" s="20" t="s">
        <v>215</v>
      </c>
      <c r="F84" s="143">
        <f t="shared" ref="F84" si="27">DX84</f>
        <v>5.0000000000000009E-5</v>
      </c>
      <c r="G84" s="144">
        <f>Q84-F84</f>
        <v>0</v>
      </c>
      <c r="H84" s="27">
        <v>1</v>
      </c>
      <c r="I84" s="83"/>
      <c r="J84" s="83"/>
      <c r="K84" s="19" t="s">
        <v>214</v>
      </c>
      <c r="L84" s="230"/>
      <c r="M84" s="238" t="s">
        <v>42</v>
      </c>
      <c r="N84" s="239">
        <v>1</v>
      </c>
      <c r="O84" s="251" t="s">
        <v>43</v>
      </c>
      <c r="P84" s="249">
        <v>9833</v>
      </c>
      <c r="Q84" s="183">
        <f>ROUND(P84/$P$256,5)</f>
        <v>5.0000000000000002E-5</v>
      </c>
      <c r="R84" s="92"/>
      <c r="S84" s="70"/>
      <c r="T84" s="70"/>
      <c r="U84" s="70"/>
      <c r="V84" s="69"/>
      <c r="W84" s="70"/>
      <c r="X84" s="71"/>
      <c r="Y84" s="69"/>
      <c r="Z84" s="70"/>
      <c r="AA84" s="71"/>
      <c r="AB84" s="69"/>
      <c r="AC84" s="70"/>
      <c r="AD84" s="71"/>
      <c r="AE84" s="70"/>
      <c r="AF84" s="70"/>
      <c r="AG84" s="70"/>
      <c r="AH84" s="69"/>
      <c r="AI84" s="70"/>
      <c r="AJ84" s="71"/>
      <c r="AK84" s="70"/>
      <c r="AL84" s="70"/>
      <c r="AM84" s="70"/>
      <c r="AN84" s="150"/>
      <c r="AO84" s="150"/>
      <c r="AP84" s="150"/>
      <c r="AQ84" s="69"/>
      <c r="AR84" s="70"/>
      <c r="AS84" s="70"/>
      <c r="AT84" s="150">
        <v>1.0000000000000001E-5</v>
      </c>
      <c r="AU84" s="150"/>
      <c r="AV84" s="150"/>
      <c r="AW84" s="70"/>
      <c r="AX84" s="70"/>
      <c r="AY84" s="70"/>
      <c r="AZ84" s="69"/>
      <c r="BA84" s="70"/>
      <c r="BB84" s="71"/>
      <c r="BC84" s="70"/>
      <c r="BD84" s="70"/>
      <c r="BE84" s="70"/>
      <c r="BF84" s="150">
        <v>2.0000000000000002E-5</v>
      </c>
      <c r="BG84" s="150"/>
      <c r="BH84" s="150"/>
      <c r="BI84" s="70"/>
      <c r="BJ84" s="70"/>
      <c r="BK84" s="70"/>
      <c r="BL84" s="69"/>
      <c r="BM84" s="70"/>
      <c r="BN84" s="71"/>
      <c r="BO84" s="70"/>
      <c r="BP84" s="70"/>
      <c r="BQ84" s="70"/>
      <c r="BR84" s="180">
        <v>2.0000000000000002E-5</v>
      </c>
      <c r="BS84" s="150"/>
      <c r="BT84" s="181"/>
      <c r="BU84" s="165"/>
      <c r="BV84" s="150"/>
      <c r="BW84" s="150"/>
      <c r="BX84" s="69"/>
      <c r="BY84" s="70"/>
      <c r="BZ84" s="71"/>
      <c r="CA84" s="69"/>
      <c r="CB84" s="70"/>
      <c r="CC84" s="71"/>
      <c r="CD84" s="69"/>
      <c r="CE84" s="70"/>
      <c r="CF84" s="70"/>
      <c r="CG84" s="69"/>
      <c r="CH84" s="70"/>
      <c r="CI84" s="71"/>
      <c r="CJ84" s="69"/>
      <c r="CK84" s="70"/>
      <c r="CL84" s="71"/>
      <c r="CM84" s="70"/>
      <c r="CN84" s="70"/>
      <c r="CO84" s="71"/>
      <c r="CP84" s="70"/>
      <c r="CQ84" s="70"/>
      <c r="CR84" s="70"/>
      <c r="CS84" s="69"/>
      <c r="CT84" s="70"/>
      <c r="CU84" s="71"/>
      <c r="CV84" s="69"/>
      <c r="CW84" s="70"/>
      <c r="CX84" s="71"/>
      <c r="CY84" s="69"/>
      <c r="CZ84" s="70"/>
      <c r="DA84" s="71"/>
      <c r="DB84" s="70"/>
      <c r="DC84" s="70"/>
      <c r="DD84" s="70"/>
      <c r="DE84" s="69"/>
      <c r="DF84" s="70"/>
      <c r="DG84" s="71"/>
      <c r="DH84" s="69"/>
      <c r="DI84" s="70"/>
      <c r="DJ84" s="71"/>
      <c r="DK84" s="69"/>
      <c r="DL84" s="70"/>
      <c r="DM84" s="71"/>
      <c r="DN84" s="69"/>
      <c r="DO84" s="70"/>
      <c r="DP84" s="71"/>
      <c r="DQ84" s="69"/>
      <c r="DR84" s="70"/>
      <c r="DS84" s="71"/>
      <c r="DT84" s="70"/>
      <c r="DU84" s="70"/>
      <c r="DV84" s="75"/>
      <c r="DX84" s="213">
        <f>SUM(R84:DV84)</f>
        <v>5.0000000000000009E-5</v>
      </c>
      <c r="DY84" s="1"/>
      <c r="DZ84" s="1"/>
      <c r="EA84" s="1"/>
      <c r="EB84" s="1"/>
    </row>
    <row r="85" spans="4:132" s="6" customFormat="1" ht="6.95" customHeight="1">
      <c r="F85" s="143"/>
      <c r="G85" s="144"/>
      <c r="H85" s="55">
        <v>2</v>
      </c>
      <c r="L85" s="230"/>
      <c r="M85" s="238"/>
      <c r="N85" s="239"/>
      <c r="O85" s="240"/>
      <c r="P85" s="249"/>
      <c r="Q85" s="184"/>
      <c r="R85" s="76"/>
      <c r="S85" s="70"/>
      <c r="T85" s="70"/>
      <c r="U85" s="70"/>
      <c r="V85" s="69"/>
      <c r="W85" s="70"/>
      <c r="X85" s="71"/>
      <c r="Y85" s="69"/>
      <c r="Z85" s="70"/>
      <c r="AA85" s="71"/>
      <c r="AB85" s="69"/>
      <c r="AC85" s="70"/>
      <c r="AD85" s="71"/>
      <c r="AE85" s="70"/>
      <c r="AF85" s="70"/>
      <c r="AG85" s="70"/>
      <c r="AH85" s="69"/>
      <c r="AI85" s="70"/>
      <c r="AJ85" s="71"/>
      <c r="AK85" s="70"/>
      <c r="AL85" s="70"/>
      <c r="AM85" s="70"/>
      <c r="AN85" s="69"/>
      <c r="AO85" s="70"/>
      <c r="AP85" s="71"/>
      <c r="AQ85" s="69"/>
      <c r="AR85" s="70"/>
      <c r="AS85" s="70"/>
      <c r="AT85" s="64"/>
      <c r="AU85" s="65"/>
      <c r="AV85" s="66"/>
      <c r="AW85" s="70"/>
      <c r="AX85" s="70"/>
      <c r="AY85" s="70"/>
      <c r="AZ85" s="69"/>
      <c r="BA85" s="70"/>
      <c r="BB85" s="71"/>
      <c r="BC85" s="70"/>
      <c r="BD85" s="70"/>
      <c r="BE85" s="70"/>
      <c r="BF85" s="64"/>
      <c r="BG85" s="65"/>
      <c r="BH85" s="66"/>
      <c r="BI85" s="70"/>
      <c r="BJ85" s="70"/>
      <c r="BK85" s="70"/>
      <c r="BL85" s="69"/>
      <c r="BM85" s="70"/>
      <c r="BN85" s="71"/>
      <c r="BO85" s="70"/>
      <c r="BP85" s="70"/>
      <c r="BQ85" s="70"/>
      <c r="BR85" s="64"/>
      <c r="BS85" s="65"/>
      <c r="BT85" s="66"/>
      <c r="BU85" s="70"/>
      <c r="BV85" s="70"/>
      <c r="BW85" s="71"/>
      <c r="BX85" s="69"/>
      <c r="BY85" s="70"/>
      <c r="BZ85" s="71"/>
      <c r="CA85" s="69"/>
      <c r="CB85" s="70"/>
      <c r="CC85" s="71"/>
      <c r="CD85" s="69"/>
      <c r="CE85" s="70"/>
      <c r="CF85" s="70"/>
      <c r="CG85" s="69"/>
      <c r="CH85" s="70"/>
      <c r="CI85" s="71"/>
      <c r="CJ85" s="69"/>
      <c r="CK85" s="70"/>
      <c r="CL85" s="71"/>
      <c r="CM85" s="70"/>
      <c r="CN85" s="70"/>
      <c r="CO85" s="71"/>
      <c r="CP85" s="70"/>
      <c r="CQ85" s="70"/>
      <c r="CR85" s="70"/>
      <c r="CS85" s="69"/>
      <c r="CT85" s="70"/>
      <c r="CU85" s="71"/>
      <c r="CV85" s="69"/>
      <c r="CW85" s="70"/>
      <c r="CX85" s="71"/>
      <c r="CY85" s="69"/>
      <c r="CZ85" s="70"/>
      <c r="DA85" s="71"/>
      <c r="DB85" s="70"/>
      <c r="DC85" s="70"/>
      <c r="DD85" s="70"/>
      <c r="DE85" s="69"/>
      <c r="DF85" s="70"/>
      <c r="DG85" s="71"/>
      <c r="DH85" s="69"/>
      <c r="DI85" s="70"/>
      <c r="DJ85" s="71"/>
      <c r="DK85" s="69"/>
      <c r="DL85" s="70"/>
      <c r="DM85" s="71"/>
      <c r="DN85" s="69"/>
      <c r="DO85" s="70"/>
      <c r="DP85" s="71"/>
      <c r="DQ85" s="69"/>
      <c r="DR85" s="70"/>
      <c r="DS85" s="71"/>
      <c r="DT85" s="70"/>
      <c r="DU85" s="70"/>
      <c r="DV85" s="75"/>
      <c r="DX85" s="213"/>
      <c r="DY85" s="1"/>
      <c r="DZ85" s="1"/>
      <c r="EA85" s="1"/>
      <c r="EB85" s="1"/>
    </row>
    <row r="86" spans="4:132" s="6" customFormat="1" ht="9.9499999999999993" customHeight="1">
      <c r="D86" s="182" t="s">
        <v>216</v>
      </c>
      <c r="E86" s="182"/>
      <c r="F86" s="143">
        <f t="shared" ref="F86" si="28">DX86</f>
        <v>2.3000000000000004E-3</v>
      </c>
      <c r="G86" s="144">
        <f>Q86-F86</f>
        <v>0</v>
      </c>
      <c r="H86" s="27">
        <v>1</v>
      </c>
      <c r="I86" s="19" t="s">
        <v>217</v>
      </c>
      <c r="J86" s="19" t="s">
        <v>186</v>
      </c>
      <c r="K86" s="6" t="s">
        <v>218</v>
      </c>
      <c r="L86" s="271"/>
      <c r="M86" s="231" t="s">
        <v>259</v>
      </c>
      <c r="N86" s="254">
        <v>3318</v>
      </c>
      <c r="O86" s="243" t="s">
        <v>15</v>
      </c>
      <c r="P86" s="245">
        <v>479684</v>
      </c>
      <c r="Q86" s="183">
        <f>ROUND(P86/$P$256,5)</f>
        <v>2.3E-3</v>
      </c>
      <c r="R86" s="79"/>
      <c r="S86" s="57"/>
      <c r="T86" s="57"/>
      <c r="U86" s="57"/>
      <c r="V86" s="56"/>
      <c r="W86" s="57"/>
      <c r="X86" s="58"/>
      <c r="Y86" s="56"/>
      <c r="Z86" s="57"/>
      <c r="AA86" s="58"/>
      <c r="AB86" s="56"/>
      <c r="AC86" s="57"/>
      <c r="AD86" s="58"/>
      <c r="AE86" s="56"/>
      <c r="AF86" s="57"/>
      <c r="AG86" s="58"/>
      <c r="AH86" s="146"/>
      <c r="AI86" s="146"/>
      <c r="AJ86" s="146"/>
      <c r="AK86" s="57"/>
      <c r="AL86" s="57"/>
      <c r="AM86" s="57"/>
      <c r="AN86" s="146"/>
      <c r="AO86" s="146"/>
      <c r="AP86" s="146"/>
      <c r="AQ86" s="146">
        <v>4.0000000000000003E-5</v>
      </c>
      <c r="AR86" s="146"/>
      <c r="AS86" s="146"/>
      <c r="AT86" s="146">
        <v>5.0000000000000002E-5</v>
      </c>
      <c r="AU86" s="146"/>
      <c r="AV86" s="146"/>
      <c r="AW86" s="146">
        <v>5.0000000000000002E-5</v>
      </c>
      <c r="AX86" s="146"/>
      <c r="AY86" s="146"/>
      <c r="AZ86" s="146">
        <v>4.0000000000000003E-5</v>
      </c>
      <c r="BA86" s="146"/>
      <c r="BB86" s="146"/>
      <c r="BC86" s="57"/>
      <c r="BD86" s="57"/>
      <c r="BE86" s="57"/>
      <c r="BF86" s="56"/>
      <c r="BG86" s="57"/>
      <c r="BH86" s="58"/>
      <c r="BI86" s="146">
        <v>2.2000000000000001E-4</v>
      </c>
      <c r="BJ86" s="146"/>
      <c r="BK86" s="146"/>
      <c r="BL86" s="146">
        <v>2.2000000000000001E-4</v>
      </c>
      <c r="BM86" s="146"/>
      <c r="BN86" s="146"/>
      <c r="BO86" s="146">
        <v>3.2000000000000003E-4</v>
      </c>
      <c r="BP86" s="146"/>
      <c r="BQ86" s="147"/>
      <c r="BR86" s="168">
        <v>3.2000000000000003E-4</v>
      </c>
      <c r="BS86" s="146"/>
      <c r="BT86" s="169"/>
      <c r="BU86" s="149">
        <v>3.2000000000000003E-4</v>
      </c>
      <c r="BV86" s="146"/>
      <c r="BW86" s="146"/>
      <c r="BX86" s="146">
        <v>2.7999999999999998E-4</v>
      </c>
      <c r="BY86" s="146"/>
      <c r="BZ86" s="146"/>
      <c r="CA86" s="146">
        <v>2.2000000000000001E-4</v>
      </c>
      <c r="CB86" s="146"/>
      <c r="CC86" s="146"/>
      <c r="CD86" s="146">
        <v>2.2000000000000001E-4</v>
      </c>
      <c r="CE86" s="146"/>
      <c r="CF86" s="146"/>
      <c r="CG86" s="56"/>
      <c r="CH86" s="57"/>
      <c r="CI86" s="58"/>
      <c r="CJ86" s="56"/>
      <c r="CK86" s="57"/>
      <c r="CL86" s="58"/>
      <c r="CM86" s="57"/>
      <c r="CN86" s="57"/>
      <c r="CO86" s="58"/>
      <c r="CP86" s="57"/>
      <c r="CQ86" s="57"/>
      <c r="CR86" s="57"/>
      <c r="CS86" s="56"/>
      <c r="CT86" s="57"/>
      <c r="CU86" s="58"/>
      <c r="CV86" s="56"/>
      <c r="CW86" s="57"/>
      <c r="CX86" s="58"/>
      <c r="CY86" s="56"/>
      <c r="CZ86" s="57"/>
      <c r="DA86" s="58"/>
      <c r="DB86" s="57"/>
      <c r="DC86" s="57"/>
      <c r="DD86" s="57"/>
      <c r="DE86" s="56"/>
      <c r="DF86" s="57"/>
      <c r="DG86" s="58"/>
      <c r="DH86" s="56"/>
      <c r="DI86" s="57"/>
      <c r="DJ86" s="58"/>
      <c r="DK86" s="56"/>
      <c r="DL86" s="57"/>
      <c r="DM86" s="58"/>
      <c r="DN86" s="56"/>
      <c r="DO86" s="57"/>
      <c r="DP86" s="58"/>
      <c r="DQ86" s="56"/>
      <c r="DR86" s="57"/>
      <c r="DS86" s="58"/>
      <c r="DT86" s="57"/>
      <c r="DU86" s="57"/>
      <c r="DV86" s="62"/>
      <c r="DX86" s="213">
        <f>SUM(R86:DV86)</f>
        <v>2.3000000000000004E-3</v>
      </c>
      <c r="DY86" s="1"/>
      <c r="DZ86" s="1"/>
      <c r="EA86" s="1"/>
      <c r="EB86" s="1"/>
    </row>
    <row r="87" spans="4:132" s="6" customFormat="1" ht="6.95" customHeight="1">
      <c r="F87" s="143"/>
      <c r="G87" s="144"/>
      <c r="H87" s="55">
        <v>2</v>
      </c>
      <c r="L87" s="272"/>
      <c r="M87" s="232"/>
      <c r="N87" s="255"/>
      <c r="O87" s="244"/>
      <c r="P87" s="246"/>
      <c r="Q87" s="184"/>
      <c r="R87" s="63"/>
      <c r="S87" s="42"/>
      <c r="T87" s="42"/>
      <c r="U87" s="42"/>
      <c r="V87" s="41"/>
      <c r="W87" s="42"/>
      <c r="X87" s="43"/>
      <c r="Y87" s="41"/>
      <c r="Z87" s="42"/>
      <c r="AA87" s="43"/>
      <c r="AB87" s="41"/>
      <c r="AC87" s="42"/>
      <c r="AD87" s="43"/>
      <c r="AE87" s="41"/>
      <c r="AF87" s="42"/>
      <c r="AG87" s="43"/>
      <c r="AH87" s="41"/>
      <c r="AI87" s="42"/>
      <c r="AJ87" s="43"/>
      <c r="AK87" s="42"/>
      <c r="AL87" s="42"/>
      <c r="AM87" s="42"/>
      <c r="AN87" s="41"/>
      <c r="AO87" s="42"/>
      <c r="AP87" s="43"/>
      <c r="AQ87" s="64"/>
      <c r="AR87" s="65"/>
      <c r="AS87" s="66"/>
      <c r="AT87" s="64"/>
      <c r="AU87" s="65"/>
      <c r="AV87" s="66"/>
      <c r="AW87" s="64"/>
      <c r="AX87" s="65"/>
      <c r="AY87" s="66"/>
      <c r="AZ87" s="64"/>
      <c r="BA87" s="65"/>
      <c r="BB87" s="66"/>
      <c r="BC87" s="42"/>
      <c r="BD87" s="42"/>
      <c r="BE87" s="42"/>
      <c r="BF87" s="41"/>
      <c r="BG87" s="42"/>
      <c r="BH87" s="43"/>
      <c r="BI87" s="64"/>
      <c r="BJ87" s="65"/>
      <c r="BK87" s="66"/>
      <c r="BL87" s="64"/>
      <c r="BM87" s="65"/>
      <c r="BN87" s="66"/>
      <c r="BO87" s="64"/>
      <c r="BP87" s="65"/>
      <c r="BQ87" s="66"/>
      <c r="BR87" s="64"/>
      <c r="BS87" s="65"/>
      <c r="BT87" s="66"/>
      <c r="BU87" s="64"/>
      <c r="BV87" s="65"/>
      <c r="BW87" s="66"/>
      <c r="BX87" s="64"/>
      <c r="BY87" s="65"/>
      <c r="BZ87" s="66"/>
      <c r="CA87" s="64"/>
      <c r="CB87" s="65"/>
      <c r="CC87" s="66"/>
      <c r="CD87" s="64"/>
      <c r="CE87" s="65"/>
      <c r="CF87" s="66"/>
      <c r="CG87" s="41"/>
      <c r="CH87" s="42"/>
      <c r="CI87" s="43"/>
      <c r="CJ87" s="41"/>
      <c r="CK87" s="42"/>
      <c r="CL87" s="43"/>
      <c r="CM87" s="42"/>
      <c r="CN87" s="42"/>
      <c r="CO87" s="43"/>
      <c r="CP87" s="42"/>
      <c r="CQ87" s="42"/>
      <c r="CR87" s="42"/>
      <c r="CS87" s="41"/>
      <c r="CT87" s="42"/>
      <c r="CU87" s="43"/>
      <c r="CV87" s="41"/>
      <c r="CW87" s="42"/>
      <c r="CX87" s="43"/>
      <c r="CY87" s="41"/>
      <c r="CZ87" s="42"/>
      <c r="DA87" s="43"/>
      <c r="DB87" s="42"/>
      <c r="DC87" s="42"/>
      <c r="DD87" s="42"/>
      <c r="DE87" s="41"/>
      <c r="DF87" s="42"/>
      <c r="DG87" s="43"/>
      <c r="DH87" s="41"/>
      <c r="DI87" s="42"/>
      <c r="DJ87" s="43"/>
      <c r="DK87" s="41"/>
      <c r="DL87" s="42"/>
      <c r="DM87" s="43"/>
      <c r="DN87" s="41"/>
      <c r="DO87" s="42"/>
      <c r="DP87" s="43"/>
      <c r="DQ87" s="41"/>
      <c r="DR87" s="42"/>
      <c r="DS87" s="43"/>
      <c r="DT87" s="42"/>
      <c r="DU87" s="42"/>
      <c r="DV87" s="44"/>
      <c r="DX87" s="213"/>
      <c r="DY87" s="1"/>
      <c r="DZ87" s="1"/>
      <c r="EA87" s="1"/>
      <c r="EB87" s="1"/>
    </row>
    <row r="88" spans="4:132" s="6" customFormat="1" ht="9.9499999999999993" customHeight="1">
      <c r="F88" s="143">
        <f t="shared" ref="F88" si="29">DX88</f>
        <v>1.1000000000000002E-4</v>
      </c>
      <c r="G88" s="144">
        <f>Q88-F88</f>
        <v>0</v>
      </c>
      <c r="H88" s="27">
        <v>1</v>
      </c>
      <c r="L88" s="230"/>
      <c r="M88" s="238" t="s">
        <v>140</v>
      </c>
      <c r="N88" s="239">
        <v>9</v>
      </c>
      <c r="O88" s="240" t="s">
        <v>297</v>
      </c>
      <c r="P88" s="249">
        <v>22492</v>
      </c>
      <c r="Q88" s="183">
        <f>ROUND(P88/$P$256,5)</f>
        <v>1.1E-4</v>
      </c>
      <c r="R88" s="76"/>
      <c r="S88" s="70"/>
      <c r="T88" s="70"/>
      <c r="U88" s="70"/>
      <c r="V88" s="69"/>
      <c r="W88" s="70"/>
      <c r="X88" s="71"/>
      <c r="Y88" s="69"/>
      <c r="Z88" s="70"/>
      <c r="AA88" s="71"/>
      <c r="AB88" s="69"/>
      <c r="AC88" s="70"/>
      <c r="AD88" s="71"/>
      <c r="AE88" s="70"/>
      <c r="AF88" s="70"/>
      <c r="AG88" s="70"/>
      <c r="AH88" s="69"/>
      <c r="AI88" s="70"/>
      <c r="AJ88" s="71"/>
      <c r="AK88" s="70"/>
      <c r="AL88" s="70"/>
      <c r="AM88" s="70"/>
      <c r="AN88" s="69"/>
      <c r="AO88" s="70"/>
      <c r="AP88" s="71"/>
      <c r="AQ88" s="69"/>
      <c r="AR88" s="70"/>
      <c r="AS88" s="70"/>
      <c r="AT88" s="69"/>
      <c r="AU88" s="70"/>
      <c r="AV88" s="71"/>
      <c r="AW88" s="70"/>
      <c r="AX88" s="70"/>
      <c r="AY88" s="70"/>
      <c r="AZ88" s="69"/>
      <c r="BA88" s="70"/>
      <c r="BB88" s="71"/>
      <c r="BC88" s="70"/>
      <c r="BD88" s="70"/>
      <c r="BE88" s="70"/>
      <c r="BF88" s="69"/>
      <c r="BG88" s="70"/>
      <c r="BH88" s="71"/>
      <c r="BI88" s="70"/>
      <c r="BJ88" s="70"/>
      <c r="BK88" s="70"/>
      <c r="BL88" s="69"/>
      <c r="BM88" s="70"/>
      <c r="BN88" s="71"/>
      <c r="BO88" s="70"/>
      <c r="BP88" s="70"/>
      <c r="BQ88" s="70"/>
      <c r="BR88" s="73"/>
      <c r="BS88" s="70"/>
      <c r="BT88" s="74"/>
      <c r="BU88" s="165">
        <v>3.0000000000000001E-5</v>
      </c>
      <c r="BV88" s="150"/>
      <c r="BW88" s="150"/>
      <c r="BX88" s="69"/>
      <c r="BY88" s="70"/>
      <c r="BZ88" s="71"/>
      <c r="CA88" s="150">
        <v>4.0000000000000003E-5</v>
      </c>
      <c r="CB88" s="150"/>
      <c r="CC88" s="150"/>
      <c r="CD88" s="69"/>
      <c r="CE88" s="70"/>
      <c r="CF88" s="70"/>
      <c r="CG88" s="150">
        <v>4.0000000000000003E-5</v>
      </c>
      <c r="CH88" s="150"/>
      <c r="CI88" s="150"/>
      <c r="CJ88" s="69"/>
      <c r="CK88" s="70"/>
      <c r="CL88" s="71"/>
      <c r="CM88" s="70"/>
      <c r="CN88" s="70"/>
      <c r="CO88" s="71"/>
      <c r="CP88" s="70"/>
      <c r="CQ88" s="70"/>
      <c r="CR88" s="70"/>
      <c r="CS88" s="69"/>
      <c r="CT88" s="70"/>
      <c r="CU88" s="71"/>
      <c r="CV88" s="69"/>
      <c r="CW88" s="70"/>
      <c r="CX88" s="71"/>
      <c r="CY88" s="69"/>
      <c r="CZ88" s="70"/>
      <c r="DA88" s="71"/>
      <c r="DB88" s="70"/>
      <c r="DC88" s="70"/>
      <c r="DD88" s="70"/>
      <c r="DE88" s="69"/>
      <c r="DF88" s="70"/>
      <c r="DG88" s="71"/>
      <c r="DH88" s="69"/>
      <c r="DI88" s="70"/>
      <c r="DJ88" s="71"/>
      <c r="DK88" s="69"/>
      <c r="DL88" s="70"/>
      <c r="DM88" s="71"/>
      <c r="DN88" s="69"/>
      <c r="DO88" s="70"/>
      <c r="DP88" s="71"/>
      <c r="DQ88" s="69"/>
      <c r="DR88" s="70"/>
      <c r="DS88" s="71"/>
      <c r="DT88" s="70"/>
      <c r="DU88" s="70"/>
      <c r="DV88" s="75"/>
      <c r="DX88" s="213">
        <f>SUM(R88:DV88)</f>
        <v>1.1000000000000002E-4</v>
      </c>
      <c r="DY88" s="1"/>
      <c r="DZ88" s="1"/>
      <c r="EA88" s="1"/>
      <c r="EB88" s="1"/>
    </row>
    <row r="89" spans="4:132" s="6" customFormat="1" ht="6.95" customHeight="1">
      <c r="F89" s="143"/>
      <c r="G89" s="144"/>
      <c r="H89" s="55">
        <v>2</v>
      </c>
      <c r="L89" s="230"/>
      <c r="M89" s="238"/>
      <c r="N89" s="239"/>
      <c r="O89" s="240"/>
      <c r="P89" s="249"/>
      <c r="Q89" s="184"/>
      <c r="R89" s="76"/>
      <c r="S89" s="70"/>
      <c r="T89" s="70"/>
      <c r="U89" s="70"/>
      <c r="V89" s="69"/>
      <c r="W89" s="70"/>
      <c r="X89" s="71"/>
      <c r="Y89" s="69"/>
      <c r="Z89" s="70"/>
      <c r="AA89" s="71"/>
      <c r="AB89" s="69"/>
      <c r="AC89" s="70"/>
      <c r="AD89" s="71"/>
      <c r="AE89" s="70"/>
      <c r="AF89" s="70"/>
      <c r="AG89" s="70"/>
      <c r="AH89" s="69"/>
      <c r="AI89" s="70"/>
      <c r="AJ89" s="71"/>
      <c r="AK89" s="70"/>
      <c r="AL89" s="70"/>
      <c r="AM89" s="70"/>
      <c r="AN89" s="69"/>
      <c r="AO89" s="70"/>
      <c r="AP89" s="71"/>
      <c r="AQ89" s="69"/>
      <c r="AR89" s="70"/>
      <c r="AS89" s="70"/>
      <c r="AT89" s="69"/>
      <c r="AU89" s="70"/>
      <c r="AV89" s="71"/>
      <c r="AW89" s="70"/>
      <c r="AX89" s="70"/>
      <c r="AY89" s="70"/>
      <c r="AZ89" s="69"/>
      <c r="BA89" s="70"/>
      <c r="BB89" s="71"/>
      <c r="BC89" s="70"/>
      <c r="BD89" s="70"/>
      <c r="BE89" s="70"/>
      <c r="BF89" s="69"/>
      <c r="BG89" s="70"/>
      <c r="BH89" s="71"/>
      <c r="BI89" s="70"/>
      <c r="BJ89" s="70"/>
      <c r="BK89" s="70"/>
      <c r="BL89" s="69"/>
      <c r="BM89" s="70"/>
      <c r="BN89" s="71"/>
      <c r="BO89" s="70"/>
      <c r="BP89" s="70"/>
      <c r="BQ89" s="70"/>
      <c r="BR89" s="73"/>
      <c r="BS89" s="70"/>
      <c r="BT89" s="74"/>
      <c r="BU89" s="64"/>
      <c r="BV89" s="65"/>
      <c r="BW89" s="66"/>
      <c r="BX89" s="69"/>
      <c r="BY89" s="70"/>
      <c r="BZ89" s="71"/>
      <c r="CA89" s="64"/>
      <c r="CB89" s="65"/>
      <c r="CC89" s="66"/>
      <c r="CD89" s="69"/>
      <c r="CE89" s="70"/>
      <c r="CF89" s="70"/>
      <c r="CG89" s="64"/>
      <c r="CH89" s="65"/>
      <c r="CI89" s="66"/>
      <c r="CJ89" s="69"/>
      <c r="CK89" s="70"/>
      <c r="CL89" s="71"/>
      <c r="CM89" s="70"/>
      <c r="CN89" s="70"/>
      <c r="CO89" s="71"/>
      <c r="CP89" s="70"/>
      <c r="CQ89" s="70"/>
      <c r="CR89" s="70"/>
      <c r="CS89" s="69"/>
      <c r="CT89" s="70"/>
      <c r="CU89" s="71"/>
      <c r="CV89" s="69"/>
      <c r="CW89" s="70"/>
      <c r="CX89" s="71"/>
      <c r="CY89" s="69"/>
      <c r="CZ89" s="70"/>
      <c r="DA89" s="71"/>
      <c r="DB89" s="70"/>
      <c r="DC89" s="70"/>
      <c r="DD89" s="70"/>
      <c r="DE89" s="69"/>
      <c r="DF89" s="70"/>
      <c r="DG89" s="71"/>
      <c r="DH89" s="69"/>
      <c r="DI89" s="70"/>
      <c r="DJ89" s="71"/>
      <c r="DK89" s="69"/>
      <c r="DL89" s="70"/>
      <c r="DM89" s="71"/>
      <c r="DN89" s="69"/>
      <c r="DO89" s="70"/>
      <c r="DP89" s="71"/>
      <c r="DQ89" s="69"/>
      <c r="DR89" s="70"/>
      <c r="DS89" s="71"/>
      <c r="DT89" s="70"/>
      <c r="DU89" s="70"/>
      <c r="DV89" s="75"/>
      <c r="DX89" s="213"/>
      <c r="DY89" s="1"/>
      <c r="DZ89" s="1"/>
      <c r="EA89" s="1"/>
      <c r="EB89" s="1"/>
    </row>
    <row r="90" spans="4:132" s="6" customFormat="1" ht="9.9499999999999993" customHeight="1">
      <c r="F90" s="143">
        <f t="shared" ref="F90" si="30">DX90</f>
        <v>2.680000000000001E-3</v>
      </c>
      <c r="G90" s="144">
        <f>Q90-F90</f>
        <v>0</v>
      </c>
      <c r="H90" s="27">
        <v>1</v>
      </c>
      <c r="L90" s="271"/>
      <c r="M90" s="231" t="s">
        <v>46</v>
      </c>
      <c r="N90" s="302">
        <v>1</v>
      </c>
      <c r="O90" s="253" t="s">
        <v>44</v>
      </c>
      <c r="P90" s="245">
        <v>558048</v>
      </c>
      <c r="Q90" s="183">
        <f>ROUND(P90/$P$256,5)</f>
        <v>2.6800000000000001E-3</v>
      </c>
      <c r="R90" s="21"/>
      <c r="S90" s="57"/>
      <c r="T90" s="57"/>
      <c r="U90" s="57"/>
      <c r="V90" s="56"/>
      <c r="W90" s="57"/>
      <c r="X90" s="58"/>
      <c r="Y90" s="56"/>
      <c r="Z90" s="57"/>
      <c r="AA90" s="58"/>
      <c r="AB90" s="56"/>
      <c r="AC90" s="57"/>
      <c r="AD90" s="58"/>
      <c r="AE90" s="146"/>
      <c r="AF90" s="146"/>
      <c r="AG90" s="146"/>
      <c r="AH90" s="146"/>
      <c r="AI90" s="146"/>
      <c r="AJ90" s="146"/>
      <c r="AK90" s="146">
        <v>6.9999999999999994E-5</v>
      </c>
      <c r="AL90" s="146"/>
      <c r="AM90" s="146"/>
      <c r="AN90" s="146">
        <v>6.9999999999999994E-5</v>
      </c>
      <c r="AO90" s="146"/>
      <c r="AP90" s="146"/>
      <c r="AQ90" s="146">
        <v>1.7000000000000001E-4</v>
      </c>
      <c r="AR90" s="146"/>
      <c r="AS90" s="146"/>
      <c r="AT90" s="146">
        <v>1.7000000000000001E-4</v>
      </c>
      <c r="AU90" s="146"/>
      <c r="AV90" s="146"/>
      <c r="AW90" s="146">
        <v>1.7000000000000001E-4</v>
      </c>
      <c r="AX90" s="146"/>
      <c r="AY90" s="146"/>
      <c r="AZ90" s="146">
        <v>1.7000000000000001E-4</v>
      </c>
      <c r="BA90" s="146"/>
      <c r="BB90" s="146"/>
      <c r="BC90" s="146">
        <v>1.7000000000000001E-4</v>
      </c>
      <c r="BD90" s="146"/>
      <c r="BE90" s="146"/>
      <c r="BF90" s="146">
        <v>1.8000000000000001E-4</v>
      </c>
      <c r="BG90" s="146"/>
      <c r="BH90" s="146"/>
      <c r="BI90" s="146">
        <v>1.8000000000000001E-4</v>
      </c>
      <c r="BJ90" s="146"/>
      <c r="BK90" s="146"/>
      <c r="BL90" s="146">
        <v>2.0000000000000001E-4</v>
      </c>
      <c r="BM90" s="146"/>
      <c r="BN90" s="146"/>
      <c r="BO90" s="146">
        <v>2.0000000000000001E-4</v>
      </c>
      <c r="BP90" s="146"/>
      <c r="BQ90" s="147"/>
      <c r="BR90" s="168">
        <v>2.0000000000000001E-4</v>
      </c>
      <c r="BS90" s="146"/>
      <c r="BT90" s="169"/>
      <c r="BU90" s="149">
        <v>2.0000000000000001E-4</v>
      </c>
      <c r="BV90" s="146"/>
      <c r="BW90" s="146"/>
      <c r="BX90" s="147">
        <v>1.7000000000000001E-4</v>
      </c>
      <c r="BY90" s="148"/>
      <c r="BZ90" s="149"/>
      <c r="CA90" s="147">
        <v>1.7000000000000001E-4</v>
      </c>
      <c r="CB90" s="148"/>
      <c r="CC90" s="149"/>
      <c r="CD90" s="147">
        <v>6.9999999999999994E-5</v>
      </c>
      <c r="CE90" s="148"/>
      <c r="CF90" s="149"/>
      <c r="CG90" s="146">
        <v>6.0000000000000002E-5</v>
      </c>
      <c r="CH90" s="146"/>
      <c r="CI90" s="146"/>
      <c r="CJ90" s="146">
        <v>6.0000000000000002E-5</v>
      </c>
      <c r="CK90" s="146"/>
      <c r="CL90" s="146"/>
      <c r="CM90" s="57"/>
      <c r="CN90" s="57"/>
      <c r="CO90" s="58"/>
      <c r="CP90" s="57"/>
      <c r="CQ90" s="57"/>
      <c r="CR90" s="57"/>
      <c r="CS90" s="56"/>
      <c r="CT90" s="57"/>
      <c r="CU90" s="58"/>
      <c r="CV90" s="57"/>
      <c r="CW90" s="57"/>
      <c r="CX90" s="58"/>
      <c r="CY90" s="146"/>
      <c r="CZ90" s="146"/>
      <c r="DA90" s="146"/>
      <c r="DB90" s="57"/>
      <c r="DC90" s="57"/>
      <c r="DD90" s="57"/>
      <c r="DE90" s="56"/>
      <c r="DF90" s="57"/>
      <c r="DG90" s="58"/>
      <c r="DH90" s="56"/>
      <c r="DI90" s="57"/>
      <c r="DJ90" s="58"/>
      <c r="DK90" s="56"/>
      <c r="DL90" s="57"/>
      <c r="DM90" s="58"/>
      <c r="DN90" s="56"/>
      <c r="DO90" s="57"/>
      <c r="DP90" s="58"/>
      <c r="DQ90" s="56"/>
      <c r="DR90" s="57"/>
      <c r="DS90" s="58"/>
      <c r="DT90" s="57"/>
      <c r="DU90" s="57"/>
      <c r="DV90" s="62"/>
      <c r="DX90" s="213">
        <f>SUM(R90:DV90)</f>
        <v>2.680000000000001E-3</v>
      </c>
      <c r="DY90" s="1"/>
      <c r="DZ90" s="1"/>
      <c r="EA90" s="1"/>
      <c r="EB90" s="1"/>
    </row>
    <row r="91" spans="4:132" s="6" customFormat="1" ht="6.95" customHeight="1">
      <c r="F91" s="143"/>
      <c r="G91" s="144"/>
      <c r="H91" s="55">
        <v>2</v>
      </c>
      <c r="L91" s="272"/>
      <c r="M91" s="232"/>
      <c r="N91" s="303"/>
      <c r="O91" s="244"/>
      <c r="P91" s="246"/>
      <c r="Q91" s="184"/>
      <c r="R91" s="63"/>
      <c r="S91" s="42"/>
      <c r="T91" s="42"/>
      <c r="U91" s="42"/>
      <c r="V91" s="41"/>
      <c r="W91" s="42"/>
      <c r="X91" s="43"/>
      <c r="Y91" s="41"/>
      <c r="Z91" s="42"/>
      <c r="AA91" s="43"/>
      <c r="AB91" s="41"/>
      <c r="AC91" s="42"/>
      <c r="AD91" s="43"/>
      <c r="AE91" s="41"/>
      <c r="AF91" s="42"/>
      <c r="AG91" s="43"/>
      <c r="AH91" s="41"/>
      <c r="AI91" s="42"/>
      <c r="AJ91" s="43"/>
      <c r="AK91" s="64"/>
      <c r="AL91" s="65"/>
      <c r="AM91" s="66"/>
      <c r="AN91" s="64"/>
      <c r="AO91" s="65"/>
      <c r="AP91" s="66"/>
      <c r="AQ91" s="64"/>
      <c r="AR91" s="65"/>
      <c r="AS91" s="66"/>
      <c r="AT91" s="64"/>
      <c r="AU91" s="65"/>
      <c r="AV91" s="66"/>
      <c r="AW91" s="64"/>
      <c r="AX91" s="65"/>
      <c r="AY91" s="66"/>
      <c r="AZ91" s="64"/>
      <c r="BA91" s="65"/>
      <c r="BB91" s="66"/>
      <c r="BC91" s="64"/>
      <c r="BD91" s="65"/>
      <c r="BE91" s="66"/>
      <c r="BF91" s="64"/>
      <c r="BG91" s="65"/>
      <c r="BH91" s="66"/>
      <c r="BI91" s="64"/>
      <c r="BJ91" s="65"/>
      <c r="BK91" s="66"/>
      <c r="BL91" s="64"/>
      <c r="BM91" s="65"/>
      <c r="BN91" s="66"/>
      <c r="BO91" s="64"/>
      <c r="BP91" s="65"/>
      <c r="BQ91" s="66"/>
      <c r="BR91" s="64"/>
      <c r="BS91" s="65"/>
      <c r="BT91" s="66"/>
      <c r="BU91" s="64"/>
      <c r="BV91" s="65"/>
      <c r="BW91" s="66"/>
      <c r="BX91" s="64"/>
      <c r="BY91" s="65"/>
      <c r="BZ91" s="66"/>
      <c r="CA91" s="64"/>
      <c r="CB91" s="65"/>
      <c r="CC91" s="66"/>
      <c r="CD91" s="64"/>
      <c r="CE91" s="65"/>
      <c r="CF91" s="66"/>
      <c r="CG91" s="64"/>
      <c r="CH91" s="65"/>
      <c r="CI91" s="66"/>
      <c r="CJ91" s="64"/>
      <c r="CK91" s="65"/>
      <c r="CL91" s="66"/>
      <c r="CM91" s="42"/>
      <c r="CN91" s="42"/>
      <c r="CO91" s="43"/>
      <c r="CP91" s="42"/>
      <c r="CQ91" s="42"/>
      <c r="CR91" s="42"/>
      <c r="CS91" s="41"/>
      <c r="CT91" s="42"/>
      <c r="CU91" s="43"/>
      <c r="CV91" s="42"/>
      <c r="CW91" s="42"/>
      <c r="CX91" s="43"/>
      <c r="CY91" s="41"/>
      <c r="CZ91" s="42"/>
      <c r="DA91" s="43"/>
      <c r="DB91" s="42"/>
      <c r="DC91" s="42"/>
      <c r="DD91" s="42"/>
      <c r="DE91" s="41"/>
      <c r="DF91" s="42"/>
      <c r="DG91" s="43"/>
      <c r="DH91" s="41"/>
      <c r="DI91" s="42"/>
      <c r="DJ91" s="43"/>
      <c r="DK91" s="41"/>
      <c r="DL91" s="42"/>
      <c r="DM91" s="43"/>
      <c r="DN91" s="41"/>
      <c r="DO91" s="42"/>
      <c r="DP91" s="43"/>
      <c r="DQ91" s="41"/>
      <c r="DR91" s="42"/>
      <c r="DS91" s="43"/>
      <c r="DT91" s="42"/>
      <c r="DU91" s="42"/>
      <c r="DV91" s="44"/>
      <c r="DX91" s="213"/>
      <c r="DY91" s="1"/>
      <c r="DZ91" s="1"/>
      <c r="EA91" s="1"/>
      <c r="EB91" s="1"/>
    </row>
    <row r="92" spans="4:132" s="6" customFormat="1" ht="9.9499999999999993" customHeight="1">
      <c r="F92" s="143">
        <f t="shared" ref="F92" si="31">DX92</f>
        <v>7.533999999999999E-2</v>
      </c>
      <c r="G92" s="144">
        <f>Q92-F92</f>
        <v>0</v>
      </c>
      <c r="H92" s="27">
        <v>1</v>
      </c>
      <c r="L92" s="230"/>
      <c r="M92" s="233" t="s">
        <v>47</v>
      </c>
      <c r="N92" s="249">
        <v>1</v>
      </c>
      <c r="O92" s="320" t="s">
        <v>45</v>
      </c>
      <c r="P92" s="249">
        <v>15685276</v>
      </c>
      <c r="Q92" s="183">
        <f>ROUND(P92/$P$256,5)</f>
        <v>7.5340000000000004E-2</v>
      </c>
      <c r="R92" s="76"/>
      <c r="S92" s="70"/>
      <c r="T92" s="70"/>
      <c r="U92" s="70"/>
      <c r="V92" s="69"/>
      <c r="W92" s="70"/>
      <c r="X92" s="71"/>
      <c r="Y92" s="69"/>
      <c r="Z92" s="70"/>
      <c r="AA92" s="71"/>
      <c r="AB92" s="69"/>
      <c r="AC92" s="70"/>
      <c r="AD92" s="71"/>
      <c r="AE92" s="150"/>
      <c r="AF92" s="150"/>
      <c r="AG92" s="150"/>
      <c r="AH92" s="150"/>
      <c r="AI92" s="150"/>
      <c r="AJ92" s="150"/>
      <c r="AK92" s="150">
        <v>4.4999999999999999E-4</v>
      </c>
      <c r="AL92" s="150"/>
      <c r="AM92" s="150"/>
      <c r="AN92" s="150">
        <v>1.9499999999999999E-3</v>
      </c>
      <c r="AO92" s="150"/>
      <c r="AP92" s="150"/>
      <c r="AQ92" s="150">
        <v>2.8500000000000001E-3</v>
      </c>
      <c r="AR92" s="150"/>
      <c r="AS92" s="150"/>
      <c r="AT92" s="150">
        <v>2.8500000000000001E-3</v>
      </c>
      <c r="AU92" s="150"/>
      <c r="AV92" s="150"/>
      <c r="AW92" s="150">
        <v>2.8500000000000001E-3</v>
      </c>
      <c r="AX92" s="150"/>
      <c r="AY92" s="150"/>
      <c r="AZ92" s="150">
        <v>2.8500000000000001E-3</v>
      </c>
      <c r="BA92" s="150"/>
      <c r="BB92" s="150"/>
      <c r="BC92" s="150">
        <v>4.3499999999999997E-3</v>
      </c>
      <c r="BD92" s="150"/>
      <c r="BE92" s="150"/>
      <c r="BF92" s="150">
        <v>4.3499999999999997E-3</v>
      </c>
      <c r="BG92" s="150"/>
      <c r="BH92" s="150"/>
      <c r="BI92" s="150">
        <v>4.3499999999999997E-3</v>
      </c>
      <c r="BJ92" s="150"/>
      <c r="BK92" s="150"/>
      <c r="BL92" s="150">
        <v>4.3499999999999997E-3</v>
      </c>
      <c r="BM92" s="150"/>
      <c r="BN92" s="150"/>
      <c r="BO92" s="150">
        <v>4.3499999999999997E-3</v>
      </c>
      <c r="BP92" s="150"/>
      <c r="BQ92" s="166"/>
      <c r="BR92" s="180">
        <v>4.3499999999999997E-3</v>
      </c>
      <c r="BS92" s="150"/>
      <c r="BT92" s="181"/>
      <c r="BU92" s="165">
        <v>4.3499999999999997E-3</v>
      </c>
      <c r="BV92" s="150"/>
      <c r="BW92" s="150"/>
      <c r="BX92" s="150">
        <v>4.3499999999999997E-3</v>
      </c>
      <c r="BY92" s="150"/>
      <c r="BZ92" s="150"/>
      <c r="CA92" s="150">
        <v>4.3499999999999997E-3</v>
      </c>
      <c r="CB92" s="150"/>
      <c r="CC92" s="150"/>
      <c r="CD92" s="150">
        <v>3.3800000000000002E-3</v>
      </c>
      <c r="CE92" s="150"/>
      <c r="CF92" s="150"/>
      <c r="CG92" s="150">
        <v>3.3500000000000001E-3</v>
      </c>
      <c r="CH92" s="150"/>
      <c r="CI92" s="150"/>
      <c r="CJ92" s="150">
        <v>2.8500000000000001E-3</v>
      </c>
      <c r="CK92" s="150"/>
      <c r="CL92" s="150"/>
      <c r="CM92" s="146">
        <v>2.8500000000000001E-3</v>
      </c>
      <c r="CN92" s="146"/>
      <c r="CO92" s="146"/>
      <c r="CP92" s="146">
        <v>3.3400000000000001E-3</v>
      </c>
      <c r="CQ92" s="146"/>
      <c r="CR92" s="146"/>
      <c r="CS92" s="146">
        <v>2.3400000000000001E-3</v>
      </c>
      <c r="CT92" s="146"/>
      <c r="CU92" s="146"/>
      <c r="CV92" s="146">
        <v>2.3400000000000001E-3</v>
      </c>
      <c r="CW92" s="146"/>
      <c r="CX92" s="146"/>
      <c r="CY92" s="146">
        <v>1.9400000000000001E-3</v>
      </c>
      <c r="CZ92" s="146"/>
      <c r="DA92" s="146"/>
      <c r="DB92" s="70"/>
      <c r="DC92" s="70"/>
      <c r="DD92" s="70"/>
      <c r="DE92" s="69"/>
      <c r="DF92" s="70"/>
      <c r="DG92" s="71"/>
      <c r="DH92" s="69"/>
      <c r="DI92" s="70"/>
      <c r="DJ92" s="71"/>
      <c r="DK92" s="69"/>
      <c r="DL92" s="70"/>
      <c r="DM92" s="71"/>
      <c r="DN92" s="69"/>
      <c r="DO92" s="70"/>
      <c r="DP92" s="71"/>
      <c r="DQ92" s="69"/>
      <c r="DR92" s="70"/>
      <c r="DS92" s="71"/>
      <c r="DT92" s="70"/>
      <c r="DU92" s="70"/>
      <c r="DV92" s="75"/>
      <c r="DX92" s="213">
        <f>SUM(R92:DV92)</f>
        <v>7.533999999999999E-2</v>
      </c>
      <c r="DY92" s="1"/>
      <c r="DZ92" s="1"/>
      <c r="EA92" s="1"/>
      <c r="EB92" s="1"/>
    </row>
    <row r="93" spans="4:132" s="6" customFormat="1" ht="6.95" customHeight="1" thickBot="1">
      <c r="F93" s="143"/>
      <c r="G93" s="144"/>
      <c r="H93" s="55">
        <v>2</v>
      </c>
      <c r="L93" s="252"/>
      <c r="M93" s="318"/>
      <c r="N93" s="250"/>
      <c r="O93" s="321"/>
      <c r="P93" s="250"/>
      <c r="Q93" s="184"/>
      <c r="R93" s="85"/>
      <c r="S93" s="86"/>
      <c r="T93" s="86"/>
      <c r="U93" s="86"/>
      <c r="V93" s="87"/>
      <c r="W93" s="86"/>
      <c r="X93" s="88"/>
      <c r="Y93" s="87"/>
      <c r="Z93" s="86"/>
      <c r="AA93" s="88"/>
      <c r="AB93" s="87"/>
      <c r="AC93" s="86"/>
      <c r="AD93" s="88"/>
      <c r="AE93" s="87"/>
      <c r="AF93" s="86"/>
      <c r="AG93" s="88"/>
      <c r="AH93" s="87"/>
      <c r="AI93" s="86"/>
      <c r="AJ93" s="88"/>
      <c r="AK93" s="64"/>
      <c r="AL93" s="65"/>
      <c r="AM93" s="66"/>
      <c r="AN93" s="64"/>
      <c r="AO93" s="65"/>
      <c r="AP93" s="66"/>
      <c r="AQ93" s="64"/>
      <c r="AR93" s="65"/>
      <c r="AS93" s="66"/>
      <c r="AT93" s="64"/>
      <c r="AU93" s="65"/>
      <c r="AV93" s="66"/>
      <c r="AW93" s="64"/>
      <c r="AX93" s="65"/>
      <c r="AY93" s="66"/>
      <c r="AZ93" s="64"/>
      <c r="BA93" s="65"/>
      <c r="BB93" s="66"/>
      <c r="BC93" s="64"/>
      <c r="BD93" s="65"/>
      <c r="BE93" s="66"/>
      <c r="BF93" s="64"/>
      <c r="BG93" s="65"/>
      <c r="BH93" s="66"/>
      <c r="BI93" s="64"/>
      <c r="BJ93" s="65"/>
      <c r="BK93" s="66"/>
      <c r="BL93" s="64"/>
      <c r="BM93" s="65"/>
      <c r="BN93" s="66"/>
      <c r="BO93" s="64"/>
      <c r="BP93" s="65"/>
      <c r="BQ93" s="66"/>
      <c r="BR93" s="64"/>
      <c r="BS93" s="65"/>
      <c r="BT93" s="66"/>
      <c r="BU93" s="64"/>
      <c r="BV93" s="65"/>
      <c r="BW93" s="66"/>
      <c r="BX93" s="64"/>
      <c r="BY93" s="65"/>
      <c r="BZ93" s="66"/>
      <c r="CA93" s="64"/>
      <c r="CB93" s="65"/>
      <c r="CC93" s="66"/>
      <c r="CD93" s="64"/>
      <c r="CE93" s="65"/>
      <c r="CF93" s="66"/>
      <c r="CG93" s="64"/>
      <c r="CH93" s="65"/>
      <c r="CI93" s="66"/>
      <c r="CJ93" s="64"/>
      <c r="CK93" s="65"/>
      <c r="CL93" s="66"/>
      <c r="CM93" s="64"/>
      <c r="CN93" s="65"/>
      <c r="CO93" s="66"/>
      <c r="CP93" s="64"/>
      <c r="CQ93" s="65"/>
      <c r="CR93" s="66"/>
      <c r="CS93" s="64"/>
      <c r="CT93" s="65"/>
      <c r="CU93" s="66"/>
      <c r="CV93" s="64"/>
      <c r="CW93" s="65"/>
      <c r="CX93" s="66"/>
      <c r="CY93" s="64"/>
      <c r="CZ93" s="65"/>
      <c r="DA93" s="66"/>
      <c r="DB93" s="86"/>
      <c r="DC93" s="86"/>
      <c r="DD93" s="86"/>
      <c r="DE93" s="87"/>
      <c r="DF93" s="86"/>
      <c r="DG93" s="88"/>
      <c r="DH93" s="87"/>
      <c r="DI93" s="86"/>
      <c r="DJ93" s="88"/>
      <c r="DK93" s="87"/>
      <c r="DL93" s="86"/>
      <c r="DM93" s="88"/>
      <c r="DN93" s="87"/>
      <c r="DO93" s="86"/>
      <c r="DP93" s="88"/>
      <c r="DQ93" s="87"/>
      <c r="DR93" s="86"/>
      <c r="DS93" s="88"/>
      <c r="DT93" s="86"/>
      <c r="DU93" s="86"/>
      <c r="DV93" s="91"/>
      <c r="DX93" s="213"/>
      <c r="DY93" s="1"/>
      <c r="DZ93" s="1"/>
      <c r="EA93" s="1"/>
      <c r="EB93" s="1"/>
    </row>
    <row r="94" spans="4:132" s="6" customFormat="1" ht="9.9499999999999993" customHeight="1">
      <c r="F94" s="141">
        <f t="shared" ref="F94" si="32">DX94</f>
        <v>8.5499999999999986E-3</v>
      </c>
      <c r="G94" s="142">
        <f>Q94-F94</f>
        <v>0</v>
      </c>
      <c r="H94" s="27">
        <v>1</v>
      </c>
      <c r="L94" s="224" t="s">
        <v>8</v>
      </c>
      <c r="M94" s="225"/>
      <c r="N94" s="225"/>
      <c r="O94" s="226"/>
      <c r="P94" s="187">
        <f>SUM(P96:P107)</f>
        <v>1777279</v>
      </c>
      <c r="Q94" s="185">
        <f>ROUND(SUM(Q96:Q107),5)</f>
        <v>8.5500000000000003E-3</v>
      </c>
      <c r="R94" s="185">
        <f>ROUND(SUM(R96:R107),5)</f>
        <v>0</v>
      </c>
      <c r="S94" s="160">
        <f>ROUND(SUM(S96:U107),5)</f>
        <v>0</v>
      </c>
      <c r="T94" s="160"/>
      <c r="U94" s="161"/>
      <c r="V94" s="159">
        <f>ROUND(SUM(V96:X107),5)</f>
        <v>0</v>
      </c>
      <c r="W94" s="160"/>
      <c r="X94" s="161"/>
      <c r="Y94" s="159">
        <f>ROUND(SUM(Y96:AA107),5)</f>
        <v>0</v>
      </c>
      <c r="Z94" s="160"/>
      <c r="AA94" s="161"/>
      <c r="AB94" s="159">
        <f>ROUND(SUM(AB96:AD107),5)</f>
        <v>0</v>
      </c>
      <c r="AC94" s="160"/>
      <c r="AD94" s="161"/>
      <c r="AE94" s="159">
        <f>ROUND(SUM(AE96:AG107),5)</f>
        <v>0</v>
      </c>
      <c r="AF94" s="160"/>
      <c r="AG94" s="161"/>
      <c r="AH94" s="159">
        <f>ROUND(SUM(AH96:AJ107),5)</f>
        <v>0</v>
      </c>
      <c r="AI94" s="160"/>
      <c r="AJ94" s="161"/>
      <c r="AK94" s="159">
        <f>ROUND(SUM(AK96:AM107),5)</f>
        <v>0</v>
      </c>
      <c r="AL94" s="160"/>
      <c r="AM94" s="161"/>
      <c r="AN94" s="159">
        <f>ROUND(SUM(AN96:AP107),5)</f>
        <v>0</v>
      </c>
      <c r="AO94" s="160"/>
      <c r="AP94" s="161"/>
      <c r="AQ94" s="159">
        <f>ROUND(SUM(AQ96:AS107),5)</f>
        <v>0</v>
      </c>
      <c r="AR94" s="160"/>
      <c r="AS94" s="161"/>
      <c r="AT94" s="159">
        <f>ROUND(SUM(AT96:AV107),5)</f>
        <v>0</v>
      </c>
      <c r="AU94" s="160"/>
      <c r="AV94" s="161"/>
      <c r="AW94" s="159">
        <f>ROUND(SUM(AW96:AY107),5)</f>
        <v>0</v>
      </c>
      <c r="AX94" s="160"/>
      <c r="AY94" s="161"/>
      <c r="AZ94" s="159">
        <f>ROUND(SUM(AZ96:BB107),5)</f>
        <v>0</v>
      </c>
      <c r="BA94" s="160"/>
      <c r="BB94" s="161"/>
      <c r="BC94" s="159">
        <f>ROUND(SUM(BC96:BE107),5)</f>
        <v>0</v>
      </c>
      <c r="BD94" s="160"/>
      <c r="BE94" s="161"/>
      <c r="BF94" s="159">
        <f>ROUND(SUM(BF96:BH107),5)</f>
        <v>0</v>
      </c>
      <c r="BG94" s="160"/>
      <c r="BH94" s="161"/>
      <c r="BI94" s="159">
        <f>ROUND(SUM(BI96:BK107),5)</f>
        <v>0</v>
      </c>
      <c r="BJ94" s="160"/>
      <c r="BK94" s="161"/>
      <c r="BL94" s="159">
        <f>ROUND(SUM(BL96:BN107),5)</f>
        <v>0</v>
      </c>
      <c r="BM94" s="160"/>
      <c r="BN94" s="161"/>
      <c r="BO94" s="159">
        <f>ROUND(SUM(BO96:BQ107),5)</f>
        <v>0</v>
      </c>
      <c r="BP94" s="160"/>
      <c r="BQ94" s="160"/>
      <c r="BR94" s="176">
        <f>ROUND(SUM(BR96:BT107),5)</f>
        <v>0</v>
      </c>
      <c r="BS94" s="160"/>
      <c r="BT94" s="177"/>
      <c r="BU94" s="160">
        <f>ROUND(SUM(BU96:BW107),5)</f>
        <v>9.8999999999999999E-4</v>
      </c>
      <c r="BV94" s="160"/>
      <c r="BW94" s="161"/>
      <c r="BX94" s="159">
        <f>ROUND(SUM(BX96:BZ107),5)</f>
        <v>1.5100000000000001E-3</v>
      </c>
      <c r="BY94" s="160"/>
      <c r="BZ94" s="161"/>
      <c r="CA94" s="159">
        <f>ROUND(SUM(CA96:CC107),5)</f>
        <v>1.6299999999999999E-3</v>
      </c>
      <c r="CB94" s="160"/>
      <c r="CC94" s="161"/>
      <c r="CD94" s="159">
        <f>ROUND(SUM(CD96:CF107),5)</f>
        <v>1.6299999999999999E-3</v>
      </c>
      <c r="CE94" s="160"/>
      <c r="CF94" s="161"/>
      <c r="CG94" s="159">
        <f>ROUND(SUM(CG96:CI107),5)</f>
        <v>1.5100000000000001E-3</v>
      </c>
      <c r="CH94" s="160"/>
      <c r="CI94" s="161"/>
      <c r="CJ94" s="159">
        <f>ROUND(SUM(CJ96:CL107),5)</f>
        <v>1.16E-3</v>
      </c>
      <c r="CK94" s="160"/>
      <c r="CL94" s="161"/>
      <c r="CM94" s="159">
        <f>ROUND(SUM(CM96:CO107),5)</f>
        <v>0</v>
      </c>
      <c r="CN94" s="160"/>
      <c r="CO94" s="161"/>
      <c r="CP94" s="159">
        <f>ROUND(SUM(CP96:CR107),5)</f>
        <v>0</v>
      </c>
      <c r="CQ94" s="160"/>
      <c r="CR94" s="161"/>
      <c r="CS94" s="159">
        <f>ROUND(SUM(CS96:CU107),5)</f>
        <v>0</v>
      </c>
      <c r="CT94" s="160"/>
      <c r="CU94" s="161"/>
      <c r="CV94" s="159">
        <f>ROUND(SUM(CV96:CX107),5)</f>
        <v>6.0000000000000002E-5</v>
      </c>
      <c r="CW94" s="160"/>
      <c r="CX94" s="161"/>
      <c r="CY94" s="159">
        <f>ROUND(SUM(CY96:DA107),5)</f>
        <v>6.0000000000000002E-5</v>
      </c>
      <c r="CZ94" s="160"/>
      <c r="DA94" s="161"/>
      <c r="DB94" s="159">
        <f>ROUND(SUM(DB96:DD107),5)</f>
        <v>0</v>
      </c>
      <c r="DC94" s="160"/>
      <c r="DD94" s="161"/>
      <c r="DE94" s="159">
        <f>ROUND(SUM(DE96:DG107),5)</f>
        <v>0</v>
      </c>
      <c r="DF94" s="160"/>
      <c r="DG94" s="161"/>
      <c r="DH94" s="159">
        <f>ROUND(SUM(DH96:DJ107),5)</f>
        <v>0</v>
      </c>
      <c r="DI94" s="160"/>
      <c r="DJ94" s="161"/>
      <c r="DK94" s="159">
        <f>ROUND(SUM(DK96:DM107),5)</f>
        <v>0</v>
      </c>
      <c r="DL94" s="160"/>
      <c r="DM94" s="161"/>
      <c r="DN94" s="159">
        <f>ROUND(SUM(DN96:DP107),5)</f>
        <v>0</v>
      </c>
      <c r="DO94" s="160"/>
      <c r="DP94" s="161"/>
      <c r="DQ94" s="159">
        <f>ROUND(SUM(DQ96:DS107),5)</f>
        <v>0</v>
      </c>
      <c r="DR94" s="160"/>
      <c r="DS94" s="161"/>
      <c r="DT94" s="159">
        <f>ROUND(SUM(DT96:DV107),5)</f>
        <v>0</v>
      </c>
      <c r="DU94" s="160"/>
      <c r="DV94" s="170"/>
      <c r="DX94" s="145">
        <f>SUM(R94:DV94)</f>
        <v>8.5499999999999986E-3</v>
      </c>
      <c r="DY94" s="145">
        <f>SUM(DX96:DX107)</f>
        <v>8.550000000000002E-3</v>
      </c>
      <c r="DZ94" s="1"/>
      <c r="EA94" s="1"/>
      <c r="EB94" s="1"/>
    </row>
    <row r="95" spans="4:132" s="6" customFormat="1" ht="9.9499999999999993" customHeight="1">
      <c r="F95" s="141"/>
      <c r="G95" s="142"/>
      <c r="H95" s="55">
        <v>2</v>
      </c>
      <c r="L95" s="227"/>
      <c r="M95" s="228"/>
      <c r="N95" s="228"/>
      <c r="O95" s="229"/>
      <c r="P95" s="188"/>
      <c r="Q95" s="186"/>
      <c r="R95" s="186"/>
      <c r="S95" s="163"/>
      <c r="T95" s="163"/>
      <c r="U95" s="164"/>
      <c r="V95" s="162"/>
      <c r="W95" s="163"/>
      <c r="X95" s="164"/>
      <c r="Y95" s="162"/>
      <c r="Z95" s="163"/>
      <c r="AA95" s="164"/>
      <c r="AB95" s="162"/>
      <c r="AC95" s="163"/>
      <c r="AD95" s="164"/>
      <c r="AE95" s="162"/>
      <c r="AF95" s="163"/>
      <c r="AG95" s="164"/>
      <c r="AH95" s="162"/>
      <c r="AI95" s="163"/>
      <c r="AJ95" s="164"/>
      <c r="AK95" s="162"/>
      <c r="AL95" s="163"/>
      <c r="AM95" s="164"/>
      <c r="AN95" s="162"/>
      <c r="AO95" s="163"/>
      <c r="AP95" s="164"/>
      <c r="AQ95" s="162"/>
      <c r="AR95" s="163"/>
      <c r="AS95" s="164"/>
      <c r="AT95" s="162"/>
      <c r="AU95" s="163"/>
      <c r="AV95" s="164"/>
      <c r="AW95" s="162"/>
      <c r="AX95" s="163"/>
      <c r="AY95" s="164"/>
      <c r="AZ95" s="162"/>
      <c r="BA95" s="163"/>
      <c r="BB95" s="164"/>
      <c r="BC95" s="162"/>
      <c r="BD95" s="163"/>
      <c r="BE95" s="164"/>
      <c r="BF95" s="162"/>
      <c r="BG95" s="163"/>
      <c r="BH95" s="164"/>
      <c r="BI95" s="162"/>
      <c r="BJ95" s="163"/>
      <c r="BK95" s="164"/>
      <c r="BL95" s="162"/>
      <c r="BM95" s="163"/>
      <c r="BN95" s="164"/>
      <c r="BO95" s="162"/>
      <c r="BP95" s="163"/>
      <c r="BQ95" s="163"/>
      <c r="BR95" s="178"/>
      <c r="BS95" s="163"/>
      <c r="BT95" s="179"/>
      <c r="BU95" s="163"/>
      <c r="BV95" s="163"/>
      <c r="BW95" s="164"/>
      <c r="BX95" s="162"/>
      <c r="BY95" s="163"/>
      <c r="BZ95" s="164"/>
      <c r="CA95" s="162"/>
      <c r="CB95" s="163"/>
      <c r="CC95" s="164"/>
      <c r="CD95" s="162"/>
      <c r="CE95" s="163"/>
      <c r="CF95" s="164"/>
      <c r="CG95" s="162"/>
      <c r="CH95" s="163"/>
      <c r="CI95" s="164"/>
      <c r="CJ95" s="162"/>
      <c r="CK95" s="163"/>
      <c r="CL95" s="164"/>
      <c r="CM95" s="162"/>
      <c r="CN95" s="163"/>
      <c r="CO95" s="164"/>
      <c r="CP95" s="162"/>
      <c r="CQ95" s="163"/>
      <c r="CR95" s="164"/>
      <c r="CS95" s="162"/>
      <c r="CT95" s="163"/>
      <c r="CU95" s="164"/>
      <c r="CV95" s="162"/>
      <c r="CW95" s="163"/>
      <c r="CX95" s="164"/>
      <c r="CY95" s="162"/>
      <c r="CZ95" s="163"/>
      <c r="DA95" s="164"/>
      <c r="DB95" s="162"/>
      <c r="DC95" s="163"/>
      <c r="DD95" s="164"/>
      <c r="DE95" s="162"/>
      <c r="DF95" s="163"/>
      <c r="DG95" s="164"/>
      <c r="DH95" s="162"/>
      <c r="DI95" s="163"/>
      <c r="DJ95" s="164"/>
      <c r="DK95" s="162"/>
      <c r="DL95" s="163"/>
      <c r="DM95" s="164"/>
      <c r="DN95" s="162"/>
      <c r="DO95" s="163"/>
      <c r="DP95" s="164"/>
      <c r="DQ95" s="162"/>
      <c r="DR95" s="163"/>
      <c r="DS95" s="164"/>
      <c r="DT95" s="162"/>
      <c r="DU95" s="163"/>
      <c r="DV95" s="171"/>
      <c r="DX95" s="145"/>
      <c r="DY95" s="145"/>
      <c r="DZ95" s="1"/>
      <c r="EA95" s="1"/>
      <c r="EB95" s="1"/>
    </row>
    <row r="96" spans="4:132" s="6" customFormat="1" ht="9.9499999999999993" customHeight="1">
      <c r="F96" s="143">
        <f t="shared" ref="F96" si="33">DX96</f>
        <v>2.0700000000000002E-3</v>
      </c>
      <c r="G96" s="144">
        <f>Q96-F96</f>
        <v>0</v>
      </c>
      <c r="H96" s="27">
        <v>1</v>
      </c>
      <c r="I96" s="19" t="s">
        <v>208</v>
      </c>
      <c r="J96" s="19" t="s">
        <v>186</v>
      </c>
      <c r="K96" s="19" t="s">
        <v>201</v>
      </c>
      <c r="L96" s="271"/>
      <c r="M96" s="237" t="s">
        <v>54</v>
      </c>
      <c r="N96" s="254">
        <v>57245</v>
      </c>
      <c r="O96" s="299" t="s">
        <v>34</v>
      </c>
      <c r="P96" s="245">
        <v>430129</v>
      </c>
      <c r="Q96" s="183">
        <f>ROUND(P96/$P$256,5)</f>
        <v>2.0699999999999998E-3</v>
      </c>
      <c r="R96" s="79"/>
      <c r="S96" s="57"/>
      <c r="T96" s="57"/>
      <c r="U96" s="57"/>
      <c r="V96" s="56"/>
      <c r="W96" s="57"/>
      <c r="X96" s="58"/>
      <c r="Y96" s="56"/>
      <c r="Z96" s="57"/>
      <c r="AA96" s="58"/>
      <c r="AB96" s="56"/>
      <c r="AC96" s="57"/>
      <c r="AD96" s="58"/>
      <c r="AE96" s="57"/>
      <c r="AF96" s="57"/>
      <c r="AG96" s="57"/>
      <c r="AH96" s="56"/>
      <c r="AI96" s="57"/>
      <c r="AJ96" s="58"/>
      <c r="AK96" s="57"/>
      <c r="AL96" s="57"/>
      <c r="AM96" s="57"/>
      <c r="AN96" s="146"/>
      <c r="AO96" s="146"/>
      <c r="AP96" s="146"/>
      <c r="AQ96" s="56"/>
      <c r="AR96" s="57"/>
      <c r="AS96" s="57"/>
      <c r="AT96" s="56"/>
      <c r="AU96" s="57"/>
      <c r="AV96" s="58"/>
      <c r="AW96" s="57"/>
      <c r="AX96" s="57"/>
      <c r="AY96" s="57"/>
      <c r="AZ96" s="56"/>
      <c r="BA96" s="57"/>
      <c r="BB96" s="58"/>
      <c r="BC96" s="146"/>
      <c r="BD96" s="146"/>
      <c r="BE96" s="146"/>
      <c r="BF96" s="146"/>
      <c r="BG96" s="146"/>
      <c r="BH96" s="146"/>
      <c r="BI96" s="57"/>
      <c r="BJ96" s="57"/>
      <c r="BK96" s="57"/>
      <c r="BL96" s="56"/>
      <c r="BM96" s="57"/>
      <c r="BN96" s="58"/>
      <c r="BO96" s="57"/>
      <c r="BP96" s="57"/>
      <c r="BQ96" s="57"/>
      <c r="BR96" s="168"/>
      <c r="BS96" s="146"/>
      <c r="BT96" s="169"/>
      <c r="BU96" s="148">
        <v>2.4000000000000001E-4</v>
      </c>
      <c r="BV96" s="148"/>
      <c r="BW96" s="149"/>
      <c r="BX96" s="147">
        <v>3.4000000000000002E-4</v>
      </c>
      <c r="BY96" s="148"/>
      <c r="BZ96" s="149"/>
      <c r="CA96" s="147">
        <v>4.2999999999999999E-4</v>
      </c>
      <c r="CB96" s="148"/>
      <c r="CC96" s="149"/>
      <c r="CD96" s="147">
        <v>4.2999999999999999E-4</v>
      </c>
      <c r="CE96" s="148"/>
      <c r="CF96" s="149"/>
      <c r="CG96" s="147">
        <v>3.4000000000000002E-4</v>
      </c>
      <c r="CH96" s="148"/>
      <c r="CI96" s="149"/>
      <c r="CJ96" s="147">
        <v>2.9E-4</v>
      </c>
      <c r="CK96" s="148"/>
      <c r="CL96" s="149"/>
      <c r="CM96" s="57"/>
      <c r="CN96" s="57"/>
      <c r="CO96" s="58"/>
      <c r="CP96" s="57"/>
      <c r="CQ96" s="57"/>
      <c r="CR96" s="57"/>
      <c r="CS96" s="56"/>
      <c r="CT96" s="57"/>
      <c r="CU96" s="58"/>
      <c r="CV96" s="57"/>
      <c r="CW96" s="57"/>
      <c r="CX96" s="57"/>
      <c r="CY96" s="56"/>
      <c r="CZ96" s="57"/>
      <c r="DA96" s="58"/>
      <c r="DB96" s="56"/>
      <c r="DC96" s="57"/>
      <c r="DD96" s="58"/>
      <c r="DE96" s="56"/>
      <c r="DF96" s="57"/>
      <c r="DG96" s="58"/>
      <c r="DH96" s="56"/>
      <c r="DI96" s="57"/>
      <c r="DJ96" s="58"/>
      <c r="DK96" s="56"/>
      <c r="DL96" s="57"/>
      <c r="DM96" s="58"/>
      <c r="DN96" s="56"/>
      <c r="DO96" s="57"/>
      <c r="DP96" s="58"/>
      <c r="DQ96" s="56"/>
      <c r="DR96" s="57"/>
      <c r="DS96" s="58"/>
      <c r="DT96" s="57"/>
      <c r="DU96" s="57"/>
      <c r="DV96" s="62"/>
      <c r="DX96" s="213">
        <f>SUM(R96:DV96)</f>
        <v>2.0700000000000002E-3</v>
      </c>
      <c r="DY96" s="1"/>
      <c r="DZ96" s="1"/>
      <c r="EA96" s="1"/>
      <c r="EB96" s="1"/>
    </row>
    <row r="97" spans="4:132" s="6" customFormat="1" ht="6.95" customHeight="1">
      <c r="F97" s="143"/>
      <c r="G97" s="144"/>
      <c r="H97" s="55">
        <v>2</v>
      </c>
      <c r="L97" s="272"/>
      <c r="M97" s="232"/>
      <c r="N97" s="255"/>
      <c r="O97" s="300"/>
      <c r="P97" s="246"/>
      <c r="Q97" s="184"/>
      <c r="R97" s="63"/>
      <c r="S97" s="42"/>
      <c r="T97" s="42"/>
      <c r="U97" s="42"/>
      <c r="V97" s="41"/>
      <c r="W97" s="42"/>
      <c r="X97" s="43"/>
      <c r="Y97" s="41"/>
      <c r="Z97" s="42"/>
      <c r="AA97" s="43"/>
      <c r="AB97" s="41"/>
      <c r="AC97" s="42"/>
      <c r="AD97" s="43"/>
      <c r="AE97" s="42"/>
      <c r="AF97" s="42"/>
      <c r="AG97" s="42"/>
      <c r="AH97" s="41"/>
      <c r="AI97" s="42"/>
      <c r="AJ97" s="43"/>
      <c r="AK97" s="42"/>
      <c r="AL97" s="42"/>
      <c r="AM97" s="42"/>
      <c r="AN97" s="41"/>
      <c r="AO97" s="42"/>
      <c r="AP97" s="43"/>
      <c r="AQ97" s="41"/>
      <c r="AR97" s="42"/>
      <c r="AS97" s="42"/>
      <c r="AT97" s="41"/>
      <c r="AU97" s="42"/>
      <c r="AV97" s="43"/>
      <c r="AW97" s="42"/>
      <c r="AX97" s="42"/>
      <c r="AY97" s="42"/>
      <c r="AZ97" s="41"/>
      <c r="BA97" s="42"/>
      <c r="BB97" s="43"/>
      <c r="BC97" s="41"/>
      <c r="BD97" s="42"/>
      <c r="BE97" s="43"/>
      <c r="BF97" s="41"/>
      <c r="BG97" s="42"/>
      <c r="BH97" s="43"/>
      <c r="BI97" s="42"/>
      <c r="BJ97" s="42"/>
      <c r="BK97" s="42"/>
      <c r="BL97" s="41"/>
      <c r="BM97" s="42"/>
      <c r="BN97" s="43"/>
      <c r="BO97" s="42"/>
      <c r="BP97" s="42"/>
      <c r="BQ97" s="42"/>
      <c r="BR97" s="67"/>
      <c r="BS97" s="42"/>
      <c r="BT97" s="68"/>
      <c r="BU97" s="64"/>
      <c r="BV97" s="65"/>
      <c r="BW97" s="66"/>
      <c r="BX97" s="64"/>
      <c r="BY97" s="65"/>
      <c r="BZ97" s="66"/>
      <c r="CA97" s="64"/>
      <c r="CB97" s="65"/>
      <c r="CC97" s="66"/>
      <c r="CD97" s="64"/>
      <c r="CE97" s="65"/>
      <c r="CF97" s="66"/>
      <c r="CG97" s="64"/>
      <c r="CH97" s="65"/>
      <c r="CI97" s="66"/>
      <c r="CJ97" s="64"/>
      <c r="CK97" s="65"/>
      <c r="CL97" s="66"/>
      <c r="CM97" s="42"/>
      <c r="CN97" s="42"/>
      <c r="CO97" s="43"/>
      <c r="CP97" s="42"/>
      <c r="CQ97" s="42"/>
      <c r="CR97" s="42"/>
      <c r="CS97" s="41"/>
      <c r="CT97" s="42"/>
      <c r="CU97" s="43"/>
      <c r="CV97" s="42"/>
      <c r="CW97" s="42"/>
      <c r="CX97" s="42"/>
      <c r="CY97" s="41"/>
      <c r="CZ97" s="42"/>
      <c r="DA97" s="43"/>
      <c r="DB97" s="41"/>
      <c r="DC97" s="42"/>
      <c r="DD97" s="43"/>
      <c r="DE97" s="41"/>
      <c r="DF97" s="42"/>
      <c r="DG97" s="43"/>
      <c r="DH97" s="41"/>
      <c r="DI97" s="42"/>
      <c r="DJ97" s="43"/>
      <c r="DK97" s="41"/>
      <c r="DL97" s="42"/>
      <c r="DM97" s="43"/>
      <c r="DN97" s="41"/>
      <c r="DO97" s="42"/>
      <c r="DP97" s="43"/>
      <c r="DQ97" s="41"/>
      <c r="DR97" s="42"/>
      <c r="DS97" s="43"/>
      <c r="DT97" s="42"/>
      <c r="DU97" s="42"/>
      <c r="DV97" s="44"/>
      <c r="DX97" s="213"/>
      <c r="DY97" s="1"/>
      <c r="DZ97" s="1"/>
      <c r="EA97" s="1"/>
      <c r="EB97" s="1"/>
    </row>
    <row r="98" spans="4:132" s="6" customFormat="1" ht="9.9499999999999993" customHeight="1">
      <c r="F98" s="143">
        <f t="shared" ref="F98" si="34">DX98</f>
        <v>3.8999999999999999E-4</v>
      </c>
      <c r="G98" s="144">
        <f>Q98-F98</f>
        <v>0</v>
      </c>
      <c r="H98" s="27">
        <v>1</v>
      </c>
      <c r="I98" s="19" t="s">
        <v>219</v>
      </c>
      <c r="J98" s="19" t="s">
        <v>186</v>
      </c>
      <c r="K98" s="19" t="s">
        <v>220</v>
      </c>
      <c r="L98" s="230"/>
      <c r="M98" s="238" t="s">
        <v>141</v>
      </c>
      <c r="N98" s="239">
        <v>9628</v>
      </c>
      <c r="O98" s="240" t="s">
        <v>15</v>
      </c>
      <c r="P98" s="249">
        <v>80233</v>
      </c>
      <c r="Q98" s="183">
        <f>ROUND(P98/$P$256,5)</f>
        <v>3.8999999999999999E-4</v>
      </c>
      <c r="R98" s="76"/>
      <c r="S98" s="70"/>
      <c r="T98" s="70"/>
      <c r="U98" s="70"/>
      <c r="V98" s="69"/>
      <c r="W98" s="70"/>
      <c r="X98" s="71"/>
      <c r="Y98" s="69"/>
      <c r="Z98" s="70"/>
      <c r="AA98" s="71"/>
      <c r="AB98" s="69"/>
      <c r="AC98" s="70"/>
      <c r="AD98" s="71"/>
      <c r="AE98" s="70"/>
      <c r="AF98" s="70"/>
      <c r="AG98" s="70"/>
      <c r="AH98" s="69"/>
      <c r="AI98" s="70"/>
      <c r="AJ98" s="71"/>
      <c r="AK98" s="70"/>
      <c r="AL98" s="70"/>
      <c r="AM98" s="70"/>
      <c r="AN98" s="69"/>
      <c r="AO98" s="70"/>
      <c r="AP98" s="71"/>
      <c r="AQ98" s="69"/>
      <c r="AR98" s="70"/>
      <c r="AS98" s="70"/>
      <c r="AT98" s="69"/>
      <c r="AU98" s="70"/>
      <c r="AV98" s="71"/>
      <c r="AW98" s="70"/>
      <c r="AX98" s="70"/>
      <c r="AY98" s="70"/>
      <c r="AZ98" s="69"/>
      <c r="BA98" s="70"/>
      <c r="BB98" s="71"/>
      <c r="BC98" s="150"/>
      <c r="BD98" s="150"/>
      <c r="BE98" s="150"/>
      <c r="BF98" s="150"/>
      <c r="BG98" s="150"/>
      <c r="BH98" s="150"/>
      <c r="BI98" s="70"/>
      <c r="BJ98" s="70"/>
      <c r="BK98" s="70"/>
      <c r="BL98" s="69"/>
      <c r="BM98" s="70"/>
      <c r="BN98" s="71"/>
      <c r="BO98" s="70"/>
      <c r="BP98" s="70"/>
      <c r="BQ98" s="70"/>
      <c r="BR98" s="180"/>
      <c r="BS98" s="150"/>
      <c r="BT98" s="181"/>
      <c r="BU98" s="149">
        <v>3.0000000000000001E-5</v>
      </c>
      <c r="BV98" s="146"/>
      <c r="BW98" s="146"/>
      <c r="BX98" s="146">
        <v>6.9999999999999994E-5</v>
      </c>
      <c r="BY98" s="146"/>
      <c r="BZ98" s="146"/>
      <c r="CA98" s="146">
        <v>8.0000000000000007E-5</v>
      </c>
      <c r="CB98" s="146"/>
      <c r="CC98" s="146"/>
      <c r="CD98" s="146">
        <v>8.0000000000000007E-5</v>
      </c>
      <c r="CE98" s="146"/>
      <c r="CF98" s="146"/>
      <c r="CG98" s="146">
        <v>8.0000000000000007E-5</v>
      </c>
      <c r="CH98" s="146"/>
      <c r="CI98" s="146"/>
      <c r="CJ98" s="146">
        <v>5.0000000000000002E-5</v>
      </c>
      <c r="CK98" s="146"/>
      <c r="CL98" s="146"/>
      <c r="CM98" s="70"/>
      <c r="CN98" s="70"/>
      <c r="CO98" s="71"/>
      <c r="CP98" s="70"/>
      <c r="CQ98" s="70"/>
      <c r="CR98" s="70"/>
      <c r="CS98" s="69"/>
      <c r="CT98" s="70"/>
      <c r="CU98" s="71"/>
      <c r="CV98" s="70"/>
      <c r="CW98" s="70"/>
      <c r="CX98" s="70"/>
      <c r="CY98" s="69"/>
      <c r="CZ98" s="70"/>
      <c r="DA98" s="71"/>
      <c r="DB98" s="69"/>
      <c r="DC98" s="70"/>
      <c r="DD98" s="71"/>
      <c r="DE98" s="69"/>
      <c r="DF98" s="70"/>
      <c r="DG98" s="71"/>
      <c r="DH98" s="69"/>
      <c r="DI98" s="70"/>
      <c r="DJ98" s="71"/>
      <c r="DK98" s="69"/>
      <c r="DL98" s="70"/>
      <c r="DM98" s="71"/>
      <c r="DN98" s="69"/>
      <c r="DO98" s="70"/>
      <c r="DP98" s="71"/>
      <c r="DQ98" s="69"/>
      <c r="DR98" s="70"/>
      <c r="DS98" s="71"/>
      <c r="DT98" s="70"/>
      <c r="DU98" s="70"/>
      <c r="DV98" s="75"/>
      <c r="DX98" s="213">
        <f>SUM(R98:DV98)</f>
        <v>3.8999999999999999E-4</v>
      </c>
      <c r="DY98" s="1"/>
      <c r="DZ98" s="1"/>
      <c r="EA98" s="1"/>
      <c r="EB98" s="1"/>
    </row>
    <row r="99" spans="4:132" s="6" customFormat="1" ht="6.95" customHeight="1">
      <c r="F99" s="143"/>
      <c r="G99" s="144"/>
      <c r="H99" s="55">
        <v>2</v>
      </c>
      <c r="L99" s="230"/>
      <c r="M99" s="238"/>
      <c r="N99" s="239"/>
      <c r="O99" s="240"/>
      <c r="P99" s="249"/>
      <c r="Q99" s="184"/>
      <c r="R99" s="76"/>
      <c r="S99" s="70"/>
      <c r="T99" s="70"/>
      <c r="U99" s="70"/>
      <c r="V99" s="69"/>
      <c r="W99" s="70"/>
      <c r="X99" s="71"/>
      <c r="Y99" s="69"/>
      <c r="Z99" s="70"/>
      <c r="AA99" s="71"/>
      <c r="AB99" s="69"/>
      <c r="AC99" s="70"/>
      <c r="AD99" s="71"/>
      <c r="AE99" s="70"/>
      <c r="AF99" s="70"/>
      <c r="AG99" s="70"/>
      <c r="AH99" s="69"/>
      <c r="AI99" s="70"/>
      <c r="AJ99" s="71"/>
      <c r="AK99" s="70"/>
      <c r="AL99" s="70"/>
      <c r="AM99" s="70"/>
      <c r="AN99" s="69"/>
      <c r="AO99" s="70"/>
      <c r="AP99" s="71"/>
      <c r="AQ99" s="69"/>
      <c r="AR99" s="70"/>
      <c r="AS99" s="70"/>
      <c r="AT99" s="69"/>
      <c r="AU99" s="70"/>
      <c r="AV99" s="71"/>
      <c r="AW99" s="70"/>
      <c r="AX99" s="70"/>
      <c r="AY99" s="70"/>
      <c r="AZ99" s="69"/>
      <c r="BA99" s="70"/>
      <c r="BB99" s="71"/>
      <c r="BC99" s="69"/>
      <c r="BD99" s="70"/>
      <c r="BE99" s="71"/>
      <c r="BF99" s="69"/>
      <c r="BG99" s="70"/>
      <c r="BH99" s="71"/>
      <c r="BI99" s="70"/>
      <c r="BJ99" s="70"/>
      <c r="BK99" s="70"/>
      <c r="BL99" s="69"/>
      <c r="BM99" s="70"/>
      <c r="BN99" s="71"/>
      <c r="BO99" s="70"/>
      <c r="BP99" s="70"/>
      <c r="BQ99" s="70"/>
      <c r="BR99" s="73"/>
      <c r="BS99" s="70"/>
      <c r="BT99" s="74"/>
      <c r="BU99" s="64"/>
      <c r="BV99" s="65"/>
      <c r="BW99" s="66"/>
      <c r="BX99" s="64"/>
      <c r="BY99" s="65"/>
      <c r="BZ99" s="66"/>
      <c r="CA99" s="64"/>
      <c r="CB99" s="65"/>
      <c r="CC99" s="66"/>
      <c r="CD99" s="64"/>
      <c r="CE99" s="65"/>
      <c r="CF99" s="66"/>
      <c r="CG99" s="64"/>
      <c r="CH99" s="65"/>
      <c r="CI99" s="66"/>
      <c r="CJ99" s="64"/>
      <c r="CK99" s="65"/>
      <c r="CL99" s="66"/>
      <c r="CM99" s="70"/>
      <c r="CN99" s="70"/>
      <c r="CO99" s="71"/>
      <c r="CP99" s="70"/>
      <c r="CQ99" s="70"/>
      <c r="CR99" s="70"/>
      <c r="CS99" s="69"/>
      <c r="CT99" s="70"/>
      <c r="CU99" s="71"/>
      <c r="CV99" s="70"/>
      <c r="CW99" s="70"/>
      <c r="CX99" s="70"/>
      <c r="CY99" s="69"/>
      <c r="CZ99" s="70"/>
      <c r="DA99" s="71"/>
      <c r="DB99" s="69"/>
      <c r="DC99" s="70"/>
      <c r="DD99" s="71"/>
      <c r="DE99" s="69"/>
      <c r="DF99" s="70"/>
      <c r="DG99" s="71"/>
      <c r="DH99" s="69"/>
      <c r="DI99" s="70"/>
      <c r="DJ99" s="71"/>
      <c r="DK99" s="69"/>
      <c r="DL99" s="70"/>
      <c r="DM99" s="71"/>
      <c r="DN99" s="69"/>
      <c r="DO99" s="70"/>
      <c r="DP99" s="71"/>
      <c r="DQ99" s="69"/>
      <c r="DR99" s="70"/>
      <c r="DS99" s="71"/>
      <c r="DT99" s="70"/>
      <c r="DU99" s="70"/>
      <c r="DV99" s="75"/>
      <c r="DX99" s="213"/>
      <c r="DY99" s="1"/>
      <c r="DZ99" s="1"/>
      <c r="EA99" s="1"/>
      <c r="EB99" s="1"/>
    </row>
    <row r="100" spans="4:132" s="6" customFormat="1" ht="9.9499999999999993" customHeight="1">
      <c r="F100" s="143">
        <f t="shared" ref="F100" si="35">DX100</f>
        <v>8.3000000000000001E-4</v>
      </c>
      <c r="G100" s="144">
        <f>Q100-F100</f>
        <v>0</v>
      </c>
      <c r="H100" s="27">
        <v>1</v>
      </c>
      <c r="I100" s="19" t="s">
        <v>219</v>
      </c>
      <c r="J100" s="19" t="s">
        <v>186</v>
      </c>
      <c r="K100" s="19" t="s">
        <v>221</v>
      </c>
      <c r="L100" s="271"/>
      <c r="M100" s="231" t="s">
        <v>48</v>
      </c>
      <c r="N100" s="254">
        <v>233</v>
      </c>
      <c r="O100" s="243" t="s">
        <v>297</v>
      </c>
      <c r="P100" s="245">
        <v>172464</v>
      </c>
      <c r="Q100" s="183">
        <f>ROUND(P100/$P$256,5)</f>
        <v>8.3000000000000001E-4</v>
      </c>
      <c r="R100" s="79"/>
      <c r="S100" s="57"/>
      <c r="T100" s="57"/>
      <c r="U100" s="57"/>
      <c r="V100" s="56"/>
      <c r="W100" s="57"/>
      <c r="X100" s="58"/>
      <c r="Y100" s="56"/>
      <c r="Z100" s="57"/>
      <c r="AA100" s="58"/>
      <c r="AB100" s="56"/>
      <c r="AC100" s="57"/>
      <c r="AD100" s="58"/>
      <c r="AE100" s="57"/>
      <c r="AF100" s="57"/>
      <c r="AG100" s="57"/>
      <c r="AH100" s="56"/>
      <c r="AI100" s="57"/>
      <c r="AJ100" s="58"/>
      <c r="AK100" s="57"/>
      <c r="AL100" s="57"/>
      <c r="AM100" s="57"/>
      <c r="AN100" s="56"/>
      <c r="AO100" s="57"/>
      <c r="AP100" s="58"/>
      <c r="AQ100" s="56"/>
      <c r="AR100" s="57"/>
      <c r="AS100" s="57"/>
      <c r="AT100" s="56"/>
      <c r="AU100" s="57"/>
      <c r="AV100" s="58"/>
      <c r="AW100" s="57"/>
      <c r="AX100" s="57"/>
      <c r="AY100" s="57"/>
      <c r="AZ100" s="56"/>
      <c r="BA100" s="57"/>
      <c r="BB100" s="58"/>
      <c r="BC100" s="146"/>
      <c r="BD100" s="146"/>
      <c r="BE100" s="146"/>
      <c r="BF100" s="146"/>
      <c r="BG100" s="146"/>
      <c r="BH100" s="146"/>
      <c r="BI100" s="57"/>
      <c r="BJ100" s="57"/>
      <c r="BK100" s="57"/>
      <c r="BL100" s="56"/>
      <c r="BM100" s="57"/>
      <c r="BN100" s="58"/>
      <c r="BO100" s="57"/>
      <c r="BP100" s="57"/>
      <c r="BQ100" s="57"/>
      <c r="BR100" s="168"/>
      <c r="BS100" s="146"/>
      <c r="BT100" s="169"/>
      <c r="BU100" s="149">
        <v>1E-4</v>
      </c>
      <c r="BV100" s="146"/>
      <c r="BW100" s="146"/>
      <c r="BX100" s="146">
        <v>1.4999999999999999E-4</v>
      </c>
      <c r="BY100" s="146"/>
      <c r="BZ100" s="146"/>
      <c r="CA100" s="146">
        <v>1.7000000000000001E-4</v>
      </c>
      <c r="CB100" s="146"/>
      <c r="CC100" s="146"/>
      <c r="CD100" s="146">
        <v>1.7000000000000001E-4</v>
      </c>
      <c r="CE100" s="146"/>
      <c r="CF100" s="146"/>
      <c r="CG100" s="146">
        <v>1.3999999999999999E-4</v>
      </c>
      <c r="CH100" s="146"/>
      <c r="CI100" s="146"/>
      <c r="CJ100" s="146">
        <v>1E-4</v>
      </c>
      <c r="CK100" s="146"/>
      <c r="CL100" s="146"/>
      <c r="CM100" s="57"/>
      <c r="CN100" s="57"/>
      <c r="CO100" s="58"/>
      <c r="CP100" s="57"/>
      <c r="CQ100" s="57"/>
      <c r="CR100" s="57"/>
      <c r="CS100" s="56"/>
      <c r="CT100" s="57"/>
      <c r="CU100" s="58"/>
      <c r="CV100" s="57"/>
      <c r="CW100" s="57"/>
      <c r="CX100" s="57"/>
      <c r="CY100" s="56"/>
      <c r="CZ100" s="57"/>
      <c r="DA100" s="58"/>
      <c r="DB100" s="56"/>
      <c r="DC100" s="57"/>
      <c r="DD100" s="58"/>
      <c r="DE100" s="56"/>
      <c r="DF100" s="57"/>
      <c r="DG100" s="58"/>
      <c r="DH100" s="56"/>
      <c r="DI100" s="57"/>
      <c r="DJ100" s="58"/>
      <c r="DK100" s="56"/>
      <c r="DL100" s="57"/>
      <c r="DM100" s="58"/>
      <c r="DN100" s="56"/>
      <c r="DO100" s="57"/>
      <c r="DP100" s="58"/>
      <c r="DQ100" s="56"/>
      <c r="DR100" s="57"/>
      <c r="DS100" s="58"/>
      <c r="DT100" s="57"/>
      <c r="DU100" s="57"/>
      <c r="DV100" s="62"/>
      <c r="DX100" s="213">
        <f>SUM(R100:DV100)</f>
        <v>8.3000000000000001E-4</v>
      </c>
      <c r="DY100" s="1"/>
      <c r="DZ100" s="1"/>
      <c r="EA100" s="1"/>
      <c r="EB100" s="1"/>
    </row>
    <row r="101" spans="4:132" s="6" customFormat="1" ht="6.95" customHeight="1">
      <c r="F101" s="143"/>
      <c r="G101" s="144"/>
      <c r="H101" s="55">
        <v>2</v>
      </c>
      <c r="L101" s="272"/>
      <c r="M101" s="232"/>
      <c r="N101" s="255"/>
      <c r="O101" s="244"/>
      <c r="P101" s="246"/>
      <c r="Q101" s="184"/>
      <c r="R101" s="63"/>
      <c r="S101" s="42"/>
      <c r="T101" s="42"/>
      <c r="U101" s="42"/>
      <c r="V101" s="41"/>
      <c r="W101" s="42"/>
      <c r="X101" s="43"/>
      <c r="Y101" s="41"/>
      <c r="Z101" s="42"/>
      <c r="AA101" s="43"/>
      <c r="AB101" s="41"/>
      <c r="AC101" s="42"/>
      <c r="AD101" s="43"/>
      <c r="AE101" s="42"/>
      <c r="AF101" s="42"/>
      <c r="AG101" s="42"/>
      <c r="AH101" s="41"/>
      <c r="AI101" s="42"/>
      <c r="AJ101" s="43"/>
      <c r="AK101" s="42"/>
      <c r="AL101" s="42"/>
      <c r="AM101" s="42"/>
      <c r="AN101" s="41"/>
      <c r="AO101" s="42"/>
      <c r="AP101" s="43"/>
      <c r="AQ101" s="41"/>
      <c r="AR101" s="42"/>
      <c r="AS101" s="42"/>
      <c r="AT101" s="41"/>
      <c r="AU101" s="42"/>
      <c r="AV101" s="43"/>
      <c r="AW101" s="42"/>
      <c r="AX101" s="42"/>
      <c r="AY101" s="42"/>
      <c r="AZ101" s="41"/>
      <c r="BA101" s="42"/>
      <c r="BB101" s="43"/>
      <c r="BC101" s="41"/>
      <c r="BD101" s="42"/>
      <c r="BE101" s="43"/>
      <c r="BF101" s="41"/>
      <c r="BG101" s="42"/>
      <c r="BH101" s="43"/>
      <c r="BI101" s="42"/>
      <c r="BJ101" s="42"/>
      <c r="BK101" s="42"/>
      <c r="BL101" s="41"/>
      <c r="BM101" s="42"/>
      <c r="BN101" s="43"/>
      <c r="BO101" s="42"/>
      <c r="BP101" s="42"/>
      <c r="BQ101" s="42"/>
      <c r="BR101" s="67"/>
      <c r="BS101" s="42"/>
      <c r="BT101" s="68"/>
      <c r="BU101" s="64"/>
      <c r="BV101" s="65"/>
      <c r="BW101" s="66"/>
      <c r="BX101" s="64"/>
      <c r="BY101" s="65"/>
      <c r="BZ101" s="66"/>
      <c r="CA101" s="64"/>
      <c r="CB101" s="65"/>
      <c r="CC101" s="66"/>
      <c r="CD101" s="64"/>
      <c r="CE101" s="65"/>
      <c r="CF101" s="66"/>
      <c r="CG101" s="64"/>
      <c r="CH101" s="65"/>
      <c r="CI101" s="66"/>
      <c r="CJ101" s="64"/>
      <c r="CK101" s="65"/>
      <c r="CL101" s="66"/>
      <c r="CM101" s="42"/>
      <c r="CN101" s="42"/>
      <c r="CO101" s="43"/>
      <c r="CP101" s="42"/>
      <c r="CQ101" s="42"/>
      <c r="CR101" s="42"/>
      <c r="CS101" s="41"/>
      <c r="CT101" s="42"/>
      <c r="CU101" s="43"/>
      <c r="CV101" s="42"/>
      <c r="CW101" s="42"/>
      <c r="CX101" s="42"/>
      <c r="CY101" s="41"/>
      <c r="CZ101" s="42"/>
      <c r="DA101" s="43"/>
      <c r="DB101" s="41"/>
      <c r="DC101" s="42"/>
      <c r="DD101" s="43"/>
      <c r="DE101" s="41"/>
      <c r="DF101" s="42"/>
      <c r="DG101" s="43"/>
      <c r="DH101" s="41"/>
      <c r="DI101" s="42"/>
      <c r="DJ101" s="43"/>
      <c r="DK101" s="41"/>
      <c r="DL101" s="42"/>
      <c r="DM101" s="43"/>
      <c r="DN101" s="41"/>
      <c r="DO101" s="42"/>
      <c r="DP101" s="43"/>
      <c r="DQ101" s="41"/>
      <c r="DR101" s="42"/>
      <c r="DS101" s="43"/>
      <c r="DT101" s="42"/>
      <c r="DU101" s="42"/>
      <c r="DV101" s="44"/>
      <c r="DX101" s="213"/>
      <c r="DY101" s="1"/>
      <c r="DZ101" s="1"/>
      <c r="EA101" s="1"/>
      <c r="EB101" s="1"/>
    </row>
    <row r="102" spans="4:132" s="6" customFormat="1" ht="9.9499999999999993" customHeight="1">
      <c r="F102" s="143">
        <f t="shared" ref="F102" si="36">DX102</f>
        <v>4.0000000000000003E-5</v>
      </c>
      <c r="G102" s="144">
        <f>Q102-F102</f>
        <v>0</v>
      </c>
      <c r="H102" s="27">
        <v>1</v>
      </c>
      <c r="K102" s="6" t="s">
        <v>222</v>
      </c>
      <c r="L102" s="230"/>
      <c r="M102" s="238" t="s">
        <v>49</v>
      </c>
      <c r="N102" s="239">
        <v>41</v>
      </c>
      <c r="O102" s="251" t="s">
        <v>50</v>
      </c>
      <c r="P102" s="249">
        <v>7684</v>
      </c>
      <c r="Q102" s="183">
        <f>ROUND(P102/$P$256,5)</f>
        <v>4.0000000000000003E-5</v>
      </c>
      <c r="R102" s="92"/>
      <c r="S102" s="70"/>
      <c r="T102" s="70"/>
      <c r="U102" s="70"/>
      <c r="V102" s="69"/>
      <c r="W102" s="70"/>
      <c r="X102" s="71"/>
      <c r="Y102" s="69"/>
      <c r="Z102" s="70"/>
      <c r="AA102" s="71"/>
      <c r="AB102" s="69"/>
      <c r="AC102" s="70"/>
      <c r="AD102" s="71"/>
      <c r="AE102" s="70"/>
      <c r="AF102" s="70"/>
      <c r="AG102" s="70"/>
      <c r="AH102" s="69"/>
      <c r="AI102" s="70"/>
      <c r="AJ102" s="71"/>
      <c r="AK102" s="70"/>
      <c r="AL102" s="70"/>
      <c r="AM102" s="70"/>
      <c r="AN102" s="69"/>
      <c r="AO102" s="70"/>
      <c r="AP102" s="71"/>
      <c r="AQ102" s="69"/>
      <c r="AR102" s="70"/>
      <c r="AS102" s="70"/>
      <c r="AT102" s="69"/>
      <c r="AU102" s="70"/>
      <c r="AV102" s="71"/>
      <c r="AW102" s="70"/>
      <c r="AX102" s="70"/>
      <c r="AY102" s="70"/>
      <c r="AZ102" s="69"/>
      <c r="BA102" s="70"/>
      <c r="BB102" s="71"/>
      <c r="BC102" s="70"/>
      <c r="BD102" s="70"/>
      <c r="BE102" s="70"/>
      <c r="BF102" s="69"/>
      <c r="BG102" s="70"/>
      <c r="BH102" s="71"/>
      <c r="BI102" s="70"/>
      <c r="BJ102" s="70"/>
      <c r="BK102" s="70"/>
      <c r="BL102" s="69"/>
      <c r="BM102" s="70"/>
      <c r="BN102" s="71"/>
      <c r="BO102" s="70"/>
      <c r="BP102" s="70"/>
      <c r="BQ102" s="70"/>
      <c r="BR102" s="60"/>
      <c r="BS102" s="57"/>
      <c r="BT102" s="61"/>
      <c r="BU102" s="70"/>
      <c r="BV102" s="70"/>
      <c r="BW102" s="70"/>
      <c r="BX102" s="69"/>
      <c r="BY102" s="70"/>
      <c r="BZ102" s="71"/>
      <c r="CA102" s="69"/>
      <c r="CB102" s="70"/>
      <c r="CC102" s="71"/>
      <c r="CD102" s="69"/>
      <c r="CE102" s="70"/>
      <c r="CF102" s="71"/>
      <c r="CG102" s="147"/>
      <c r="CH102" s="148"/>
      <c r="CI102" s="149"/>
      <c r="CJ102" s="147">
        <v>4.0000000000000003E-5</v>
      </c>
      <c r="CK102" s="148"/>
      <c r="CL102" s="149"/>
      <c r="CM102" s="147"/>
      <c r="CN102" s="148"/>
      <c r="CO102" s="149"/>
      <c r="CP102" s="70"/>
      <c r="CQ102" s="70"/>
      <c r="CR102" s="70"/>
      <c r="CS102" s="69"/>
      <c r="CT102" s="70"/>
      <c r="CU102" s="71"/>
      <c r="CV102" s="70"/>
      <c r="CW102" s="70"/>
      <c r="CX102" s="70"/>
      <c r="CY102" s="69"/>
      <c r="CZ102" s="70"/>
      <c r="DA102" s="71"/>
      <c r="DB102" s="69"/>
      <c r="DC102" s="70"/>
      <c r="DD102" s="71"/>
      <c r="DE102" s="69"/>
      <c r="DF102" s="70"/>
      <c r="DG102" s="71"/>
      <c r="DH102" s="69"/>
      <c r="DI102" s="70"/>
      <c r="DJ102" s="71"/>
      <c r="DK102" s="69"/>
      <c r="DL102" s="70"/>
      <c r="DM102" s="71"/>
      <c r="DN102" s="69"/>
      <c r="DO102" s="70"/>
      <c r="DP102" s="71"/>
      <c r="DQ102" s="69"/>
      <c r="DR102" s="70"/>
      <c r="DS102" s="71"/>
      <c r="DT102" s="70"/>
      <c r="DU102" s="70"/>
      <c r="DV102" s="75"/>
      <c r="DX102" s="213">
        <f>SUM(R102:DV102)</f>
        <v>4.0000000000000003E-5</v>
      </c>
      <c r="DY102" s="1"/>
      <c r="DZ102" s="1"/>
      <c r="EA102" s="1"/>
      <c r="EB102" s="1"/>
    </row>
    <row r="103" spans="4:132" s="6" customFormat="1" ht="6.95" customHeight="1">
      <c r="E103" s="82"/>
      <c r="F103" s="143"/>
      <c r="G103" s="144"/>
      <c r="H103" s="55">
        <v>2</v>
      </c>
      <c r="I103" s="83"/>
      <c r="J103" s="83"/>
      <c r="L103" s="230"/>
      <c r="M103" s="238"/>
      <c r="N103" s="239"/>
      <c r="O103" s="240"/>
      <c r="P103" s="249"/>
      <c r="Q103" s="184"/>
      <c r="R103" s="76"/>
      <c r="S103" s="70"/>
      <c r="T103" s="70"/>
      <c r="U103" s="70"/>
      <c r="V103" s="69"/>
      <c r="W103" s="70"/>
      <c r="X103" s="71"/>
      <c r="Y103" s="69"/>
      <c r="Z103" s="70"/>
      <c r="AA103" s="71"/>
      <c r="AB103" s="69"/>
      <c r="AC103" s="70"/>
      <c r="AD103" s="71"/>
      <c r="AE103" s="70"/>
      <c r="AF103" s="70"/>
      <c r="AG103" s="70"/>
      <c r="AH103" s="69"/>
      <c r="AI103" s="70"/>
      <c r="AJ103" s="71"/>
      <c r="AK103" s="70"/>
      <c r="AL103" s="70"/>
      <c r="AM103" s="70"/>
      <c r="AN103" s="69"/>
      <c r="AO103" s="70"/>
      <c r="AP103" s="71"/>
      <c r="AQ103" s="69"/>
      <c r="AR103" s="70"/>
      <c r="AS103" s="70"/>
      <c r="AT103" s="69"/>
      <c r="AU103" s="70"/>
      <c r="AV103" s="71"/>
      <c r="AW103" s="70"/>
      <c r="AX103" s="70"/>
      <c r="AY103" s="70"/>
      <c r="AZ103" s="69"/>
      <c r="BA103" s="70"/>
      <c r="BB103" s="71"/>
      <c r="BC103" s="70"/>
      <c r="BD103" s="70"/>
      <c r="BE103" s="70"/>
      <c r="BF103" s="69"/>
      <c r="BG103" s="70"/>
      <c r="BH103" s="71"/>
      <c r="BI103" s="70"/>
      <c r="BJ103" s="70"/>
      <c r="BK103" s="70"/>
      <c r="BL103" s="69"/>
      <c r="BM103" s="70"/>
      <c r="BN103" s="71"/>
      <c r="BO103" s="70"/>
      <c r="BP103" s="70"/>
      <c r="BQ103" s="70"/>
      <c r="BR103" s="67"/>
      <c r="BS103" s="42"/>
      <c r="BT103" s="68"/>
      <c r="BU103" s="70"/>
      <c r="BV103" s="70"/>
      <c r="BW103" s="70"/>
      <c r="BX103" s="69"/>
      <c r="BY103" s="70"/>
      <c r="BZ103" s="71"/>
      <c r="CA103" s="69"/>
      <c r="CB103" s="70"/>
      <c r="CC103" s="71"/>
      <c r="CD103" s="69"/>
      <c r="CE103" s="70"/>
      <c r="CF103" s="71"/>
      <c r="CG103" s="69"/>
      <c r="CH103" s="70"/>
      <c r="CI103" s="71"/>
      <c r="CJ103" s="64"/>
      <c r="CK103" s="65"/>
      <c r="CL103" s="66"/>
      <c r="CM103" s="70"/>
      <c r="CN103" s="70"/>
      <c r="CO103" s="71"/>
      <c r="CP103" s="70"/>
      <c r="CQ103" s="70"/>
      <c r="CR103" s="70"/>
      <c r="CS103" s="69"/>
      <c r="CT103" s="70"/>
      <c r="CU103" s="71"/>
      <c r="CV103" s="70"/>
      <c r="CW103" s="70"/>
      <c r="CX103" s="70"/>
      <c r="CY103" s="69"/>
      <c r="CZ103" s="70"/>
      <c r="DA103" s="71"/>
      <c r="DB103" s="69"/>
      <c r="DC103" s="70"/>
      <c r="DD103" s="71"/>
      <c r="DE103" s="69"/>
      <c r="DF103" s="70"/>
      <c r="DG103" s="71"/>
      <c r="DH103" s="69"/>
      <c r="DI103" s="70"/>
      <c r="DJ103" s="71"/>
      <c r="DK103" s="69"/>
      <c r="DL103" s="70"/>
      <c r="DM103" s="71"/>
      <c r="DN103" s="69"/>
      <c r="DO103" s="70"/>
      <c r="DP103" s="71"/>
      <c r="DQ103" s="69"/>
      <c r="DR103" s="70"/>
      <c r="DS103" s="71"/>
      <c r="DT103" s="70"/>
      <c r="DU103" s="70"/>
      <c r="DV103" s="75"/>
      <c r="DX103" s="213"/>
      <c r="DY103" s="1"/>
      <c r="DZ103" s="1"/>
      <c r="EA103" s="1"/>
      <c r="EB103" s="1"/>
    </row>
    <row r="104" spans="4:132" s="6" customFormat="1" ht="9.9499999999999993" customHeight="1">
      <c r="E104" s="83"/>
      <c r="F104" s="143">
        <f t="shared" ref="F104" si="37">DX104</f>
        <v>4.8999999999999998E-4</v>
      </c>
      <c r="G104" s="144">
        <f>Q104-F104</f>
        <v>0</v>
      </c>
      <c r="H104" s="27">
        <v>1</v>
      </c>
      <c r="I104" s="83"/>
      <c r="J104" s="83"/>
      <c r="L104" s="271"/>
      <c r="M104" s="231" t="s">
        <v>51</v>
      </c>
      <c r="N104" s="254">
        <v>9293</v>
      </c>
      <c r="O104" s="243" t="s">
        <v>15</v>
      </c>
      <c r="P104" s="245">
        <v>102032</v>
      </c>
      <c r="Q104" s="183">
        <f>ROUND(P104/$P$256,5)</f>
        <v>4.8999999999999998E-4</v>
      </c>
      <c r="R104" s="21"/>
      <c r="S104" s="57"/>
      <c r="T104" s="57"/>
      <c r="U104" s="57"/>
      <c r="V104" s="56"/>
      <c r="W104" s="57"/>
      <c r="X104" s="58"/>
      <c r="Y104" s="56"/>
      <c r="Z104" s="57"/>
      <c r="AA104" s="58"/>
      <c r="AB104" s="56"/>
      <c r="AC104" s="57"/>
      <c r="AD104" s="58"/>
      <c r="AE104" s="57"/>
      <c r="AF104" s="57"/>
      <c r="AG104" s="57"/>
      <c r="AH104" s="56"/>
      <c r="AI104" s="57"/>
      <c r="AJ104" s="58"/>
      <c r="AK104" s="57"/>
      <c r="AL104" s="57"/>
      <c r="AM104" s="57"/>
      <c r="AN104" s="56"/>
      <c r="AO104" s="57"/>
      <c r="AP104" s="58"/>
      <c r="AQ104" s="56"/>
      <c r="AR104" s="57"/>
      <c r="AS104" s="57"/>
      <c r="AT104" s="56"/>
      <c r="AU104" s="57"/>
      <c r="AV104" s="58"/>
      <c r="AW104" s="57"/>
      <c r="AX104" s="57"/>
      <c r="AY104" s="57"/>
      <c r="AZ104" s="56"/>
      <c r="BA104" s="57"/>
      <c r="BB104" s="58"/>
      <c r="BC104" s="146"/>
      <c r="BD104" s="146"/>
      <c r="BE104" s="146"/>
      <c r="BF104" s="146"/>
      <c r="BG104" s="146"/>
      <c r="BH104" s="146"/>
      <c r="BI104" s="57"/>
      <c r="BJ104" s="57"/>
      <c r="BK104" s="57"/>
      <c r="BL104" s="56"/>
      <c r="BM104" s="57"/>
      <c r="BN104" s="58"/>
      <c r="BO104" s="57"/>
      <c r="BP104" s="57"/>
      <c r="BQ104" s="57"/>
      <c r="BR104" s="168"/>
      <c r="BS104" s="146"/>
      <c r="BT104" s="169"/>
      <c r="BU104" s="149">
        <v>4.0000000000000003E-5</v>
      </c>
      <c r="BV104" s="146"/>
      <c r="BW104" s="146"/>
      <c r="BX104" s="146">
        <v>6.0000000000000002E-5</v>
      </c>
      <c r="BY104" s="146"/>
      <c r="BZ104" s="146"/>
      <c r="CA104" s="146">
        <v>6.0000000000000002E-5</v>
      </c>
      <c r="CB104" s="146"/>
      <c r="CC104" s="146"/>
      <c r="CD104" s="146">
        <v>6.9999999999999994E-5</v>
      </c>
      <c r="CE104" s="146"/>
      <c r="CF104" s="146"/>
      <c r="CG104" s="146">
        <v>6.9999999999999994E-5</v>
      </c>
      <c r="CH104" s="146"/>
      <c r="CI104" s="146"/>
      <c r="CJ104" s="146">
        <v>6.9999999999999994E-5</v>
      </c>
      <c r="CK104" s="146"/>
      <c r="CL104" s="146"/>
      <c r="CM104" s="57"/>
      <c r="CN104" s="57"/>
      <c r="CO104" s="58"/>
      <c r="CP104" s="57"/>
      <c r="CQ104" s="57"/>
      <c r="CR104" s="57"/>
      <c r="CS104" s="56"/>
      <c r="CT104" s="57"/>
      <c r="CU104" s="58"/>
      <c r="CV104" s="146">
        <v>6.0000000000000002E-5</v>
      </c>
      <c r="CW104" s="146"/>
      <c r="CX104" s="146"/>
      <c r="CY104" s="146">
        <v>6.0000000000000002E-5</v>
      </c>
      <c r="CZ104" s="146"/>
      <c r="DA104" s="146"/>
      <c r="DB104" s="146"/>
      <c r="DC104" s="146"/>
      <c r="DD104" s="146"/>
      <c r="DE104" s="56"/>
      <c r="DF104" s="57"/>
      <c r="DG104" s="58"/>
      <c r="DH104" s="56"/>
      <c r="DI104" s="57"/>
      <c r="DJ104" s="58"/>
      <c r="DK104" s="56"/>
      <c r="DL104" s="57"/>
      <c r="DM104" s="58"/>
      <c r="DN104" s="56"/>
      <c r="DO104" s="57"/>
      <c r="DP104" s="58"/>
      <c r="DQ104" s="56"/>
      <c r="DR104" s="57"/>
      <c r="DS104" s="58"/>
      <c r="DT104" s="57"/>
      <c r="DU104" s="57"/>
      <c r="DV104" s="62"/>
      <c r="DX104" s="213">
        <f>SUM(R104:DV104)</f>
        <v>4.8999999999999998E-4</v>
      </c>
      <c r="DY104" s="1"/>
      <c r="DZ104" s="1"/>
      <c r="EA104" s="1"/>
      <c r="EB104" s="1"/>
    </row>
    <row r="105" spans="4:132" s="6" customFormat="1" ht="6.95" customHeight="1">
      <c r="E105" s="83"/>
      <c r="F105" s="143"/>
      <c r="G105" s="144"/>
      <c r="H105" s="55">
        <v>2</v>
      </c>
      <c r="I105" s="83"/>
      <c r="J105" s="83"/>
      <c r="L105" s="272"/>
      <c r="M105" s="232"/>
      <c r="N105" s="255"/>
      <c r="O105" s="244"/>
      <c r="P105" s="246"/>
      <c r="Q105" s="184"/>
      <c r="R105" s="93"/>
      <c r="S105" s="42"/>
      <c r="T105" s="42"/>
      <c r="U105" s="42"/>
      <c r="V105" s="41"/>
      <c r="W105" s="42"/>
      <c r="X105" s="43"/>
      <c r="Y105" s="41"/>
      <c r="Z105" s="42"/>
      <c r="AA105" s="43"/>
      <c r="AB105" s="41"/>
      <c r="AC105" s="42"/>
      <c r="AD105" s="43"/>
      <c r="AE105" s="42"/>
      <c r="AF105" s="42"/>
      <c r="AG105" s="42"/>
      <c r="AH105" s="41"/>
      <c r="AI105" s="42"/>
      <c r="AJ105" s="43"/>
      <c r="AK105" s="42"/>
      <c r="AL105" s="42"/>
      <c r="AM105" s="42"/>
      <c r="AN105" s="41"/>
      <c r="AO105" s="42"/>
      <c r="AP105" s="43"/>
      <c r="AQ105" s="41"/>
      <c r="AR105" s="42"/>
      <c r="AS105" s="42"/>
      <c r="AT105" s="41"/>
      <c r="AU105" s="42"/>
      <c r="AV105" s="43"/>
      <c r="AW105" s="42"/>
      <c r="AX105" s="42"/>
      <c r="AY105" s="42"/>
      <c r="AZ105" s="41"/>
      <c r="BA105" s="42"/>
      <c r="BB105" s="43"/>
      <c r="BC105" s="41"/>
      <c r="BD105" s="42"/>
      <c r="BE105" s="43"/>
      <c r="BF105" s="41"/>
      <c r="BG105" s="42"/>
      <c r="BH105" s="43"/>
      <c r="BI105" s="42"/>
      <c r="BJ105" s="42"/>
      <c r="BK105" s="42"/>
      <c r="BL105" s="41"/>
      <c r="BM105" s="42"/>
      <c r="BN105" s="43"/>
      <c r="BO105" s="42"/>
      <c r="BP105" s="42"/>
      <c r="BQ105" s="42"/>
      <c r="BR105" s="67"/>
      <c r="BS105" s="42"/>
      <c r="BT105" s="68"/>
      <c r="BU105" s="64"/>
      <c r="BV105" s="65"/>
      <c r="BW105" s="66"/>
      <c r="BX105" s="64"/>
      <c r="BY105" s="65"/>
      <c r="BZ105" s="66"/>
      <c r="CA105" s="64"/>
      <c r="CB105" s="65"/>
      <c r="CC105" s="66"/>
      <c r="CD105" s="64"/>
      <c r="CE105" s="65"/>
      <c r="CF105" s="66"/>
      <c r="CG105" s="64"/>
      <c r="CH105" s="65"/>
      <c r="CI105" s="66"/>
      <c r="CJ105" s="64"/>
      <c r="CK105" s="65"/>
      <c r="CL105" s="66"/>
      <c r="CM105" s="42"/>
      <c r="CN105" s="42"/>
      <c r="CO105" s="43"/>
      <c r="CP105" s="42"/>
      <c r="CQ105" s="42"/>
      <c r="CR105" s="42"/>
      <c r="CS105" s="41"/>
      <c r="CT105" s="42"/>
      <c r="CU105" s="43"/>
      <c r="CV105" s="64"/>
      <c r="CW105" s="65"/>
      <c r="CX105" s="66"/>
      <c r="CY105" s="64"/>
      <c r="CZ105" s="65"/>
      <c r="DA105" s="66"/>
      <c r="DB105" s="41"/>
      <c r="DC105" s="42"/>
      <c r="DD105" s="43"/>
      <c r="DE105" s="41"/>
      <c r="DF105" s="42"/>
      <c r="DG105" s="43"/>
      <c r="DH105" s="41"/>
      <c r="DI105" s="42"/>
      <c r="DJ105" s="43"/>
      <c r="DK105" s="41"/>
      <c r="DL105" s="42"/>
      <c r="DM105" s="43"/>
      <c r="DN105" s="41"/>
      <c r="DO105" s="42"/>
      <c r="DP105" s="43"/>
      <c r="DQ105" s="41"/>
      <c r="DR105" s="42"/>
      <c r="DS105" s="43"/>
      <c r="DT105" s="42"/>
      <c r="DU105" s="42"/>
      <c r="DV105" s="44"/>
      <c r="DX105" s="213"/>
      <c r="DY105" s="1"/>
      <c r="DZ105" s="1"/>
      <c r="EA105" s="1"/>
      <c r="EB105" s="1"/>
    </row>
    <row r="106" spans="4:132" s="6" customFormat="1" ht="9.9499999999999993" customHeight="1">
      <c r="D106" s="10"/>
      <c r="E106" s="83"/>
      <c r="F106" s="143">
        <f t="shared" ref="F106" si="38">DX106</f>
        <v>4.7300000000000007E-3</v>
      </c>
      <c r="G106" s="144">
        <f>Q106-F106</f>
        <v>0</v>
      </c>
      <c r="H106" s="27">
        <v>1</v>
      </c>
      <c r="I106" s="83"/>
      <c r="J106" s="83"/>
      <c r="L106" s="230"/>
      <c r="M106" s="238" t="s">
        <v>142</v>
      </c>
      <c r="N106" s="239">
        <v>1</v>
      </c>
      <c r="O106" s="251" t="s">
        <v>43</v>
      </c>
      <c r="P106" s="249">
        <v>984737</v>
      </c>
      <c r="Q106" s="183">
        <f>ROUND(P106/$P$256,5)</f>
        <v>4.7299999999999998E-3</v>
      </c>
      <c r="R106" s="76"/>
      <c r="S106" s="70"/>
      <c r="T106" s="70"/>
      <c r="U106" s="70"/>
      <c r="V106" s="69"/>
      <c r="W106" s="70"/>
      <c r="X106" s="71"/>
      <c r="Y106" s="69"/>
      <c r="Z106" s="70"/>
      <c r="AA106" s="71"/>
      <c r="AB106" s="69"/>
      <c r="AC106" s="70"/>
      <c r="AD106" s="71"/>
      <c r="AE106" s="70"/>
      <c r="AF106" s="70"/>
      <c r="AG106" s="70"/>
      <c r="AH106" s="69"/>
      <c r="AI106" s="70"/>
      <c r="AJ106" s="71"/>
      <c r="AK106" s="70"/>
      <c r="AL106" s="70"/>
      <c r="AM106" s="70"/>
      <c r="AN106" s="69"/>
      <c r="AO106" s="70"/>
      <c r="AP106" s="71"/>
      <c r="AQ106" s="69"/>
      <c r="AR106" s="70"/>
      <c r="AS106" s="70"/>
      <c r="AT106" s="69"/>
      <c r="AU106" s="70"/>
      <c r="AV106" s="71"/>
      <c r="AW106" s="70"/>
      <c r="AX106" s="70"/>
      <c r="AY106" s="70"/>
      <c r="AZ106" s="69"/>
      <c r="BA106" s="70"/>
      <c r="BB106" s="71"/>
      <c r="BC106" s="150"/>
      <c r="BD106" s="150"/>
      <c r="BE106" s="150"/>
      <c r="BF106" s="150"/>
      <c r="BG106" s="150"/>
      <c r="BH106" s="150"/>
      <c r="BI106" s="70"/>
      <c r="BJ106" s="70"/>
      <c r="BK106" s="70"/>
      <c r="BL106" s="69"/>
      <c r="BM106" s="70"/>
      <c r="BN106" s="71"/>
      <c r="BO106" s="70"/>
      <c r="BP106" s="70"/>
      <c r="BQ106" s="70"/>
      <c r="BR106" s="180"/>
      <c r="BS106" s="150"/>
      <c r="BT106" s="181"/>
      <c r="BU106" s="149">
        <v>5.8E-4</v>
      </c>
      <c r="BV106" s="146"/>
      <c r="BW106" s="146"/>
      <c r="BX106" s="146">
        <v>8.8999999999999995E-4</v>
      </c>
      <c r="BY106" s="146"/>
      <c r="BZ106" s="146"/>
      <c r="CA106" s="146">
        <v>8.8999999999999995E-4</v>
      </c>
      <c r="CB106" s="146"/>
      <c r="CC106" s="146"/>
      <c r="CD106" s="146">
        <v>8.8000000000000003E-4</v>
      </c>
      <c r="CE106" s="146"/>
      <c r="CF106" s="146"/>
      <c r="CG106" s="146">
        <v>8.8000000000000003E-4</v>
      </c>
      <c r="CH106" s="146"/>
      <c r="CI106" s="146"/>
      <c r="CJ106" s="146">
        <v>6.0999999999999997E-4</v>
      </c>
      <c r="CK106" s="146"/>
      <c r="CL106" s="146"/>
      <c r="CM106" s="70"/>
      <c r="CN106" s="70"/>
      <c r="CO106" s="71"/>
      <c r="CP106" s="70"/>
      <c r="CQ106" s="70"/>
      <c r="CR106" s="70"/>
      <c r="CS106" s="69"/>
      <c r="CT106" s="70"/>
      <c r="CU106" s="71"/>
      <c r="CV106" s="70"/>
      <c r="CW106" s="70"/>
      <c r="CX106" s="70"/>
      <c r="CY106" s="69"/>
      <c r="CZ106" s="70"/>
      <c r="DA106" s="71"/>
      <c r="DB106" s="69"/>
      <c r="DC106" s="70"/>
      <c r="DD106" s="71"/>
      <c r="DE106" s="69"/>
      <c r="DF106" s="70"/>
      <c r="DG106" s="71"/>
      <c r="DH106" s="69"/>
      <c r="DI106" s="70"/>
      <c r="DJ106" s="71"/>
      <c r="DK106" s="69"/>
      <c r="DL106" s="70"/>
      <c r="DM106" s="71"/>
      <c r="DN106" s="69"/>
      <c r="DO106" s="70"/>
      <c r="DP106" s="71"/>
      <c r="DQ106" s="69"/>
      <c r="DR106" s="70"/>
      <c r="DS106" s="71"/>
      <c r="DT106" s="70"/>
      <c r="DU106" s="70"/>
      <c r="DV106" s="75"/>
      <c r="DX106" s="213">
        <f>SUM(R106:DV106)</f>
        <v>4.7300000000000007E-3</v>
      </c>
      <c r="DY106" s="1"/>
      <c r="DZ106" s="1"/>
      <c r="EA106" s="1"/>
      <c r="EB106" s="1"/>
    </row>
    <row r="107" spans="4:132" s="6" customFormat="1" ht="6.95" customHeight="1" thickBot="1">
      <c r="F107" s="143"/>
      <c r="G107" s="144"/>
      <c r="H107" s="55">
        <v>2</v>
      </c>
      <c r="L107" s="252"/>
      <c r="M107" s="308"/>
      <c r="N107" s="301"/>
      <c r="O107" s="298"/>
      <c r="P107" s="250"/>
      <c r="Q107" s="184"/>
      <c r="R107" s="85"/>
      <c r="S107" s="86"/>
      <c r="T107" s="86"/>
      <c r="U107" s="86"/>
      <c r="V107" s="87"/>
      <c r="W107" s="86"/>
      <c r="X107" s="88"/>
      <c r="Y107" s="87"/>
      <c r="Z107" s="86"/>
      <c r="AA107" s="88"/>
      <c r="AB107" s="87"/>
      <c r="AC107" s="86"/>
      <c r="AD107" s="88"/>
      <c r="AE107" s="86"/>
      <c r="AF107" s="86"/>
      <c r="AG107" s="86"/>
      <c r="AH107" s="87"/>
      <c r="AI107" s="86"/>
      <c r="AJ107" s="88"/>
      <c r="AK107" s="86"/>
      <c r="AL107" s="86"/>
      <c r="AM107" s="86"/>
      <c r="AN107" s="87"/>
      <c r="AO107" s="86"/>
      <c r="AP107" s="88"/>
      <c r="AQ107" s="87"/>
      <c r="AR107" s="86"/>
      <c r="AS107" s="86"/>
      <c r="AT107" s="87"/>
      <c r="AU107" s="86"/>
      <c r="AV107" s="88"/>
      <c r="AW107" s="86"/>
      <c r="AX107" s="86"/>
      <c r="AY107" s="86"/>
      <c r="AZ107" s="87"/>
      <c r="BA107" s="86"/>
      <c r="BB107" s="88"/>
      <c r="BC107" s="87"/>
      <c r="BD107" s="86"/>
      <c r="BE107" s="88"/>
      <c r="BF107" s="87"/>
      <c r="BG107" s="86"/>
      <c r="BH107" s="88"/>
      <c r="BI107" s="86"/>
      <c r="BJ107" s="86"/>
      <c r="BK107" s="86"/>
      <c r="BL107" s="87"/>
      <c r="BM107" s="86"/>
      <c r="BN107" s="88"/>
      <c r="BO107" s="86"/>
      <c r="BP107" s="86"/>
      <c r="BQ107" s="86"/>
      <c r="BR107" s="89"/>
      <c r="BS107" s="86"/>
      <c r="BT107" s="90"/>
      <c r="BU107" s="64"/>
      <c r="BV107" s="65"/>
      <c r="BW107" s="66"/>
      <c r="BX107" s="64"/>
      <c r="BY107" s="65"/>
      <c r="BZ107" s="66"/>
      <c r="CA107" s="64"/>
      <c r="CB107" s="65"/>
      <c r="CC107" s="66"/>
      <c r="CD107" s="64"/>
      <c r="CE107" s="65"/>
      <c r="CF107" s="66"/>
      <c r="CG107" s="64"/>
      <c r="CH107" s="65"/>
      <c r="CI107" s="66"/>
      <c r="CJ107" s="64"/>
      <c r="CK107" s="65"/>
      <c r="CL107" s="66"/>
      <c r="CM107" s="86"/>
      <c r="CN107" s="86"/>
      <c r="CO107" s="88"/>
      <c r="CP107" s="86"/>
      <c r="CQ107" s="86"/>
      <c r="CR107" s="86"/>
      <c r="CS107" s="87"/>
      <c r="CT107" s="86"/>
      <c r="CU107" s="88"/>
      <c r="CV107" s="86"/>
      <c r="CW107" s="86"/>
      <c r="CX107" s="86"/>
      <c r="CY107" s="87"/>
      <c r="CZ107" s="86"/>
      <c r="DA107" s="88"/>
      <c r="DB107" s="87"/>
      <c r="DC107" s="86"/>
      <c r="DD107" s="88"/>
      <c r="DE107" s="87"/>
      <c r="DF107" s="86"/>
      <c r="DG107" s="88"/>
      <c r="DH107" s="87"/>
      <c r="DI107" s="86"/>
      <c r="DJ107" s="88"/>
      <c r="DK107" s="87"/>
      <c r="DL107" s="86"/>
      <c r="DM107" s="88"/>
      <c r="DN107" s="87"/>
      <c r="DO107" s="86"/>
      <c r="DP107" s="88"/>
      <c r="DQ107" s="87"/>
      <c r="DR107" s="86"/>
      <c r="DS107" s="88"/>
      <c r="DT107" s="86"/>
      <c r="DU107" s="86"/>
      <c r="DV107" s="91"/>
      <c r="DX107" s="213"/>
      <c r="DY107" s="1"/>
      <c r="DZ107" s="1"/>
      <c r="EA107" s="1"/>
      <c r="EB107" s="1"/>
    </row>
    <row r="108" spans="4:132" s="6" customFormat="1" ht="9.9499999999999993" customHeight="1">
      <c r="F108" s="141">
        <f t="shared" ref="F108" si="39">DX108</f>
        <v>1.444E-2</v>
      </c>
      <c r="G108" s="142">
        <f>Q108-F108</f>
        <v>0</v>
      </c>
      <c r="H108" s="27">
        <v>1</v>
      </c>
      <c r="L108" s="224" t="s">
        <v>9</v>
      </c>
      <c r="M108" s="225"/>
      <c r="N108" s="225"/>
      <c r="O108" s="226"/>
      <c r="P108" s="187">
        <f>SUM(P110:P133)</f>
        <v>3005799</v>
      </c>
      <c r="Q108" s="185">
        <f>ROUND(SUM(Q110:Q133),5)</f>
        <v>1.444E-2</v>
      </c>
      <c r="R108" s="185">
        <f>ROUND(SUM(R110:R133),5)</f>
        <v>0</v>
      </c>
      <c r="S108" s="160">
        <f>ROUND(SUM(S110:U133),5)</f>
        <v>0</v>
      </c>
      <c r="T108" s="160"/>
      <c r="U108" s="161"/>
      <c r="V108" s="159">
        <f>ROUND(SUM(V110:X133),5)</f>
        <v>0</v>
      </c>
      <c r="W108" s="160"/>
      <c r="X108" s="161"/>
      <c r="Y108" s="159">
        <f>ROUND(SUM(Y110:AA133),5)</f>
        <v>0</v>
      </c>
      <c r="Z108" s="160"/>
      <c r="AA108" s="161"/>
      <c r="AB108" s="159">
        <f>ROUND(SUM(AB110:AD133),5)</f>
        <v>0</v>
      </c>
      <c r="AC108" s="160"/>
      <c r="AD108" s="161"/>
      <c r="AE108" s="159">
        <f>ROUND(SUM(AE110:AG133),5)</f>
        <v>0</v>
      </c>
      <c r="AF108" s="160"/>
      <c r="AG108" s="161"/>
      <c r="AH108" s="159">
        <f>ROUND(SUM(AH110:AJ133),5)</f>
        <v>0</v>
      </c>
      <c r="AI108" s="160"/>
      <c r="AJ108" s="161"/>
      <c r="AK108" s="159">
        <f>ROUND(SUM(AK110:AM133),5)</f>
        <v>0</v>
      </c>
      <c r="AL108" s="160"/>
      <c r="AM108" s="161"/>
      <c r="AN108" s="159">
        <f>ROUND(SUM(AN110:AP133),5)</f>
        <v>0</v>
      </c>
      <c r="AO108" s="160"/>
      <c r="AP108" s="161"/>
      <c r="AQ108" s="159">
        <f>ROUND(SUM(AQ110:AS133),5)</f>
        <v>0</v>
      </c>
      <c r="AR108" s="160"/>
      <c r="AS108" s="161"/>
      <c r="AT108" s="159">
        <f>ROUND(SUM(AT110:AV133),5)</f>
        <v>0</v>
      </c>
      <c r="AU108" s="160"/>
      <c r="AV108" s="161"/>
      <c r="AW108" s="159">
        <f>ROUND(SUM(AW110:AY133),5)</f>
        <v>0</v>
      </c>
      <c r="AX108" s="160"/>
      <c r="AY108" s="161"/>
      <c r="AZ108" s="159">
        <f>ROUND(SUM(AZ110:BB133),5)</f>
        <v>0</v>
      </c>
      <c r="BA108" s="160"/>
      <c r="BB108" s="161"/>
      <c r="BC108" s="159">
        <f>ROUND(SUM(BC110:BE133),5)</f>
        <v>0</v>
      </c>
      <c r="BD108" s="160"/>
      <c r="BE108" s="161"/>
      <c r="BF108" s="159">
        <f>ROUND(SUM(BF110:BH133),5)</f>
        <v>0</v>
      </c>
      <c r="BG108" s="160"/>
      <c r="BH108" s="161"/>
      <c r="BI108" s="159">
        <f>ROUND(SUM(BI110:BK133),5)</f>
        <v>0</v>
      </c>
      <c r="BJ108" s="160"/>
      <c r="BK108" s="161"/>
      <c r="BL108" s="159">
        <f>ROUND(SUM(BL110:BN133),5)</f>
        <v>0</v>
      </c>
      <c r="BM108" s="160"/>
      <c r="BN108" s="161"/>
      <c r="BO108" s="159">
        <f>ROUND(SUM(BO110:BQ133),5)</f>
        <v>0</v>
      </c>
      <c r="BP108" s="160"/>
      <c r="BQ108" s="160"/>
      <c r="BR108" s="176">
        <f>ROUND(SUM(BR110:BT133),5)</f>
        <v>0</v>
      </c>
      <c r="BS108" s="160"/>
      <c r="BT108" s="177"/>
      <c r="BU108" s="160">
        <f>ROUND(SUM(BU110:BW133),5)</f>
        <v>0</v>
      </c>
      <c r="BV108" s="160"/>
      <c r="BW108" s="161"/>
      <c r="BX108" s="159">
        <f>ROUND(SUM(BX110:BZ133),5)</f>
        <v>7.2999999999999996E-4</v>
      </c>
      <c r="BY108" s="160"/>
      <c r="BZ108" s="161"/>
      <c r="CA108" s="159">
        <f>ROUND(SUM(CA110:CC133),5)</f>
        <v>1.2800000000000001E-3</v>
      </c>
      <c r="CB108" s="160"/>
      <c r="CC108" s="161"/>
      <c r="CD108" s="159">
        <f>ROUND(SUM(CD110:CF133),5)</f>
        <v>2.5899999999999999E-3</v>
      </c>
      <c r="CE108" s="160"/>
      <c r="CF108" s="161"/>
      <c r="CG108" s="159">
        <f>ROUND(SUM(CG110:CI133),5)</f>
        <v>3.0100000000000001E-3</v>
      </c>
      <c r="CH108" s="160"/>
      <c r="CI108" s="161"/>
      <c r="CJ108" s="159">
        <f>ROUND(SUM(CJ110:CL133),5)</f>
        <v>2.8400000000000001E-3</v>
      </c>
      <c r="CK108" s="160"/>
      <c r="CL108" s="161"/>
      <c r="CM108" s="159">
        <f>ROUND(SUM(CM110:CO133),5)</f>
        <v>2.81E-3</v>
      </c>
      <c r="CN108" s="160"/>
      <c r="CO108" s="161"/>
      <c r="CP108" s="159">
        <f>ROUND(SUM(CP110:CR133),5)</f>
        <v>9.3999999999999997E-4</v>
      </c>
      <c r="CQ108" s="160"/>
      <c r="CR108" s="161"/>
      <c r="CS108" s="159">
        <f>ROUND(SUM(CS110:CU133),5)</f>
        <v>0</v>
      </c>
      <c r="CT108" s="160"/>
      <c r="CU108" s="161"/>
      <c r="CV108" s="159">
        <f>ROUND(SUM(CV110:CX133),5)</f>
        <v>0</v>
      </c>
      <c r="CW108" s="160"/>
      <c r="CX108" s="161"/>
      <c r="CY108" s="159">
        <f>ROUND(SUM(CY110:DA133),5)</f>
        <v>0</v>
      </c>
      <c r="CZ108" s="160"/>
      <c r="DA108" s="161"/>
      <c r="DB108" s="159">
        <f>ROUND(SUM(DB110:DD133),5)</f>
        <v>2.2000000000000001E-4</v>
      </c>
      <c r="DC108" s="160"/>
      <c r="DD108" s="161"/>
      <c r="DE108" s="159">
        <f>ROUND(SUM(DE110:DG133),5)</f>
        <v>0</v>
      </c>
      <c r="DF108" s="160"/>
      <c r="DG108" s="161"/>
      <c r="DH108" s="159">
        <f>ROUND(SUM(DH110:DJ133),5)</f>
        <v>0</v>
      </c>
      <c r="DI108" s="160"/>
      <c r="DJ108" s="161"/>
      <c r="DK108" s="159">
        <f>ROUND(SUM(DK110:DM133),5)</f>
        <v>0</v>
      </c>
      <c r="DL108" s="160"/>
      <c r="DM108" s="161"/>
      <c r="DN108" s="159">
        <f>ROUND(SUM(DN110:DP133),5)</f>
        <v>0</v>
      </c>
      <c r="DO108" s="160"/>
      <c r="DP108" s="161"/>
      <c r="DQ108" s="159">
        <f>ROUND(SUM(DQ110:DS133),5)</f>
        <v>0</v>
      </c>
      <c r="DR108" s="160"/>
      <c r="DS108" s="161"/>
      <c r="DT108" s="159">
        <f>ROUND(SUM(DT110:DV133),5)</f>
        <v>2.0000000000000002E-5</v>
      </c>
      <c r="DU108" s="160"/>
      <c r="DV108" s="170"/>
      <c r="DX108" s="145">
        <f>SUM(R108:DV108)</f>
        <v>1.444E-2</v>
      </c>
      <c r="DY108" s="145">
        <f>SUM(DX110:DX133)</f>
        <v>1.444E-2</v>
      </c>
      <c r="DZ108" s="1"/>
      <c r="EA108" s="1"/>
      <c r="EB108" s="1"/>
    </row>
    <row r="109" spans="4:132" s="6" customFormat="1" ht="9.9499999999999993" customHeight="1">
      <c r="F109" s="141"/>
      <c r="G109" s="142"/>
      <c r="H109" s="55">
        <v>2</v>
      </c>
      <c r="L109" s="335"/>
      <c r="M109" s="228"/>
      <c r="N109" s="228"/>
      <c r="O109" s="229"/>
      <c r="P109" s="188"/>
      <c r="Q109" s="186"/>
      <c r="R109" s="186"/>
      <c r="S109" s="163"/>
      <c r="T109" s="163"/>
      <c r="U109" s="164"/>
      <c r="V109" s="162"/>
      <c r="W109" s="163"/>
      <c r="X109" s="164"/>
      <c r="Y109" s="162"/>
      <c r="Z109" s="163"/>
      <c r="AA109" s="164"/>
      <c r="AB109" s="162"/>
      <c r="AC109" s="163"/>
      <c r="AD109" s="164"/>
      <c r="AE109" s="162"/>
      <c r="AF109" s="163"/>
      <c r="AG109" s="164"/>
      <c r="AH109" s="162"/>
      <c r="AI109" s="163"/>
      <c r="AJ109" s="164"/>
      <c r="AK109" s="162"/>
      <c r="AL109" s="163"/>
      <c r="AM109" s="164"/>
      <c r="AN109" s="162"/>
      <c r="AO109" s="163"/>
      <c r="AP109" s="164"/>
      <c r="AQ109" s="162"/>
      <c r="AR109" s="163"/>
      <c r="AS109" s="164"/>
      <c r="AT109" s="162"/>
      <c r="AU109" s="163"/>
      <c r="AV109" s="164"/>
      <c r="AW109" s="162"/>
      <c r="AX109" s="163"/>
      <c r="AY109" s="164"/>
      <c r="AZ109" s="162"/>
      <c r="BA109" s="163"/>
      <c r="BB109" s="164"/>
      <c r="BC109" s="162"/>
      <c r="BD109" s="163"/>
      <c r="BE109" s="164"/>
      <c r="BF109" s="162"/>
      <c r="BG109" s="163"/>
      <c r="BH109" s="164"/>
      <c r="BI109" s="162"/>
      <c r="BJ109" s="163"/>
      <c r="BK109" s="164"/>
      <c r="BL109" s="162"/>
      <c r="BM109" s="163"/>
      <c r="BN109" s="164"/>
      <c r="BO109" s="162"/>
      <c r="BP109" s="163"/>
      <c r="BQ109" s="163"/>
      <c r="BR109" s="178"/>
      <c r="BS109" s="163"/>
      <c r="BT109" s="179"/>
      <c r="BU109" s="163"/>
      <c r="BV109" s="163"/>
      <c r="BW109" s="164"/>
      <c r="BX109" s="162"/>
      <c r="BY109" s="163"/>
      <c r="BZ109" s="164"/>
      <c r="CA109" s="162"/>
      <c r="CB109" s="163"/>
      <c r="CC109" s="164"/>
      <c r="CD109" s="162"/>
      <c r="CE109" s="163"/>
      <c r="CF109" s="164"/>
      <c r="CG109" s="162"/>
      <c r="CH109" s="163"/>
      <c r="CI109" s="164"/>
      <c r="CJ109" s="162"/>
      <c r="CK109" s="163"/>
      <c r="CL109" s="164"/>
      <c r="CM109" s="162"/>
      <c r="CN109" s="163"/>
      <c r="CO109" s="164"/>
      <c r="CP109" s="162"/>
      <c r="CQ109" s="163"/>
      <c r="CR109" s="164"/>
      <c r="CS109" s="162"/>
      <c r="CT109" s="163"/>
      <c r="CU109" s="164"/>
      <c r="CV109" s="162"/>
      <c r="CW109" s="163"/>
      <c r="CX109" s="164"/>
      <c r="CY109" s="162"/>
      <c r="CZ109" s="163"/>
      <c r="DA109" s="164"/>
      <c r="DB109" s="162"/>
      <c r="DC109" s="163"/>
      <c r="DD109" s="164"/>
      <c r="DE109" s="162"/>
      <c r="DF109" s="163"/>
      <c r="DG109" s="164"/>
      <c r="DH109" s="162"/>
      <c r="DI109" s="163"/>
      <c r="DJ109" s="164"/>
      <c r="DK109" s="162"/>
      <c r="DL109" s="163"/>
      <c r="DM109" s="164"/>
      <c r="DN109" s="162"/>
      <c r="DO109" s="163"/>
      <c r="DP109" s="164"/>
      <c r="DQ109" s="162"/>
      <c r="DR109" s="163"/>
      <c r="DS109" s="164"/>
      <c r="DT109" s="162"/>
      <c r="DU109" s="163"/>
      <c r="DV109" s="171"/>
      <c r="DX109" s="145"/>
      <c r="DY109" s="145"/>
      <c r="DZ109" s="1"/>
      <c r="EA109" s="1"/>
      <c r="EB109" s="1"/>
    </row>
    <row r="110" spans="4:132" s="6" customFormat="1" ht="9.9499999999999993" customHeight="1">
      <c r="E110" s="82"/>
      <c r="F110" s="143">
        <f t="shared" ref="F110" si="40">DX110</f>
        <v>6.0000000000000006E-4</v>
      </c>
      <c r="G110" s="144">
        <f>Q110-F110</f>
        <v>0</v>
      </c>
      <c r="H110" s="27">
        <v>1</v>
      </c>
      <c r="I110" s="19" t="s">
        <v>223</v>
      </c>
      <c r="J110" s="19" t="s">
        <v>186</v>
      </c>
      <c r="K110" s="19" t="s">
        <v>224</v>
      </c>
      <c r="L110" s="312" t="s">
        <v>143</v>
      </c>
      <c r="M110" s="304" t="s">
        <v>53</v>
      </c>
      <c r="N110" s="254">
        <v>41764</v>
      </c>
      <c r="O110" s="299" t="s">
        <v>34</v>
      </c>
      <c r="P110" s="245">
        <v>125951</v>
      </c>
      <c r="Q110" s="183">
        <f>ROUND(P110/$P$256,5)</f>
        <v>5.9999999999999995E-4</v>
      </c>
      <c r="R110" s="79"/>
      <c r="S110" s="57"/>
      <c r="T110" s="57"/>
      <c r="U110" s="57"/>
      <c r="V110" s="56"/>
      <c r="W110" s="57"/>
      <c r="X110" s="58"/>
      <c r="Y110" s="56"/>
      <c r="Z110" s="57"/>
      <c r="AA110" s="58"/>
      <c r="AB110" s="56"/>
      <c r="AC110" s="57"/>
      <c r="AD110" s="58"/>
      <c r="AE110" s="57"/>
      <c r="AF110" s="57"/>
      <c r="AG110" s="57"/>
      <c r="AH110" s="56"/>
      <c r="AI110" s="57"/>
      <c r="AJ110" s="58"/>
      <c r="AK110" s="57"/>
      <c r="AL110" s="57"/>
      <c r="AM110" s="57"/>
      <c r="AN110" s="56"/>
      <c r="AO110" s="57"/>
      <c r="AP110" s="58"/>
      <c r="AQ110" s="56"/>
      <c r="AR110" s="57"/>
      <c r="AS110" s="57"/>
      <c r="AT110" s="56"/>
      <c r="AU110" s="57"/>
      <c r="AV110" s="58"/>
      <c r="AW110" s="57"/>
      <c r="AX110" s="57"/>
      <c r="AY110" s="57"/>
      <c r="AZ110" s="56"/>
      <c r="BA110" s="57"/>
      <c r="BB110" s="58"/>
      <c r="BC110" s="57"/>
      <c r="BD110" s="57"/>
      <c r="BE110" s="57"/>
      <c r="BF110" s="56"/>
      <c r="BG110" s="57"/>
      <c r="BH110" s="58"/>
      <c r="BI110" s="57"/>
      <c r="BJ110" s="57"/>
      <c r="BK110" s="57"/>
      <c r="BL110" s="56"/>
      <c r="BM110" s="57"/>
      <c r="BN110" s="58"/>
      <c r="BO110" s="57"/>
      <c r="BP110" s="57"/>
      <c r="BQ110" s="57"/>
      <c r="BR110" s="60"/>
      <c r="BS110" s="57"/>
      <c r="BT110" s="61"/>
      <c r="BU110" s="57"/>
      <c r="BV110" s="57"/>
      <c r="BW110" s="57"/>
      <c r="BX110" s="146">
        <v>6.0000000000000002E-5</v>
      </c>
      <c r="BY110" s="146"/>
      <c r="BZ110" s="146"/>
      <c r="CA110" s="148">
        <v>1.1E-4</v>
      </c>
      <c r="CB110" s="148"/>
      <c r="CC110" s="149"/>
      <c r="CD110" s="146">
        <v>1.1E-4</v>
      </c>
      <c r="CE110" s="146"/>
      <c r="CF110" s="146"/>
      <c r="CG110" s="146">
        <v>1.1E-4</v>
      </c>
      <c r="CH110" s="146"/>
      <c r="CI110" s="146"/>
      <c r="CJ110" s="146">
        <v>1.1E-4</v>
      </c>
      <c r="CK110" s="146"/>
      <c r="CL110" s="146"/>
      <c r="CM110" s="146">
        <v>1E-4</v>
      </c>
      <c r="CN110" s="146"/>
      <c r="CO110" s="146"/>
      <c r="CP110" s="56"/>
      <c r="CQ110" s="57"/>
      <c r="CR110" s="58"/>
      <c r="CS110" s="57"/>
      <c r="CT110" s="57"/>
      <c r="CU110" s="57"/>
      <c r="CV110" s="56"/>
      <c r="CW110" s="57"/>
      <c r="CX110" s="58"/>
      <c r="CY110" s="56"/>
      <c r="CZ110" s="57"/>
      <c r="DA110" s="58"/>
      <c r="DB110" s="57"/>
      <c r="DC110" s="57"/>
      <c r="DD110" s="57"/>
      <c r="DE110" s="56"/>
      <c r="DF110" s="57"/>
      <c r="DG110" s="58"/>
      <c r="DH110" s="56"/>
      <c r="DI110" s="57"/>
      <c r="DJ110" s="58"/>
      <c r="DK110" s="56"/>
      <c r="DL110" s="57"/>
      <c r="DM110" s="58"/>
      <c r="DN110" s="56"/>
      <c r="DO110" s="57"/>
      <c r="DP110" s="58"/>
      <c r="DQ110" s="56"/>
      <c r="DR110" s="57"/>
      <c r="DS110" s="58"/>
      <c r="DT110" s="57"/>
      <c r="DU110" s="57"/>
      <c r="DV110" s="62"/>
      <c r="DX110" s="213">
        <f>SUM(R110:DV110)</f>
        <v>6.0000000000000006E-4</v>
      </c>
      <c r="DY110" s="1"/>
      <c r="DZ110" s="1"/>
      <c r="EA110" s="1"/>
      <c r="EB110" s="1"/>
    </row>
    <row r="111" spans="4:132" s="6" customFormat="1" ht="6.95" customHeight="1">
      <c r="E111" s="83"/>
      <c r="F111" s="143"/>
      <c r="G111" s="144"/>
      <c r="H111" s="55">
        <v>2</v>
      </c>
      <c r="I111" s="83"/>
      <c r="J111" s="83"/>
      <c r="L111" s="313"/>
      <c r="M111" s="305"/>
      <c r="N111" s="255"/>
      <c r="O111" s="300"/>
      <c r="P111" s="246"/>
      <c r="Q111" s="184"/>
      <c r="R111" s="63"/>
      <c r="S111" s="42"/>
      <c r="T111" s="42"/>
      <c r="U111" s="42"/>
      <c r="V111" s="41"/>
      <c r="W111" s="42"/>
      <c r="X111" s="43"/>
      <c r="Y111" s="41"/>
      <c r="Z111" s="42"/>
      <c r="AA111" s="43"/>
      <c r="AB111" s="41"/>
      <c r="AC111" s="42"/>
      <c r="AD111" s="43"/>
      <c r="AE111" s="42"/>
      <c r="AF111" s="42"/>
      <c r="AG111" s="42"/>
      <c r="AH111" s="41"/>
      <c r="AI111" s="42"/>
      <c r="AJ111" s="43"/>
      <c r="AK111" s="42"/>
      <c r="AL111" s="42"/>
      <c r="AM111" s="42"/>
      <c r="AN111" s="41"/>
      <c r="AO111" s="42"/>
      <c r="AP111" s="43"/>
      <c r="AQ111" s="41"/>
      <c r="AR111" s="42"/>
      <c r="AS111" s="42"/>
      <c r="AT111" s="41"/>
      <c r="AU111" s="42"/>
      <c r="AV111" s="43"/>
      <c r="AW111" s="42"/>
      <c r="AX111" s="42"/>
      <c r="AY111" s="42"/>
      <c r="AZ111" s="41"/>
      <c r="BA111" s="42"/>
      <c r="BB111" s="43"/>
      <c r="BC111" s="42"/>
      <c r="BD111" s="42"/>
      <c r="BE111" s="42"/>
      <c r="BF111" s="41"/>
      <c r="BG111" s="42"/>
      <c r="BH111" s="43"/>
      <c r="BI111" s="42"/>
      <c r="BJ111" s="42"/>
      <c r="BK111" s="42"/>
      <c r="BL111" s="41"/>
      <c r="BM111" s="42"/>
      <c r="BN111" s="43"/>
      <c r="BO111" s="42"/>
      <c r="BP111" s="42"/>
      <c r="BQ111" s="42"/>
      <c r="BR111" s="67"/>
      <c r="BS111" s="42"/>
      <c r="BT111" s="68"/>
      <c r="BU111" s="42"/>
      <c r="BV111" s="42"/>
      <c r="BW111" s="42"/>
      <c r="BX111" s="64"/>
      <c r="BY111" s="65"/>
      <c r="BZ111" s="66"/>
      <c r="CA111" s="64"/>
      <c r="CB111" s="65"/>
      <c r="CC111" s="66"/>
      <c r="CD111" s="64"/>
      <c r="CE111" s="65"/>
      <c r="CF111" s="66"/>
      <c r="CG111" s="64"/>
      <c r="CH111" s="65"/>
      <c r="CI111" s="66"/>
      <c r="CJ111" s="64"/>
      <c r="CK111" s="65"/>
      <c r="CL111" s="66"/>
      <c r="CM111" s="64"/>
      <c r="CN111" s="65"/>
      <c r="CO111" s="66"/>
      <c r="CP111" s="41"/>
      <c r="CQ111" s="42"/>
      <c r="CR111" s="43"/>
      <c r="CS111" s="42"/>
      <c r="CT111" s="42"/>
      <c r="CU111" s="42"/>
      <c r="CV111" s="41"/>
      <c r="CW111" s="42"/>
      <c r="CX111" s="43"/>
      <c r="CY111" s="41"/>
      <c r="CZ111" s="42"/>
      <c r="DA111" s="43"/>
      <c r="DB111" s="42"/>
      <c r="DC111" s="42"/>
      <c r="DD111" s="42"/>
      <c r="DE111" s="41"/>
      <c r="DF111" s="42"/>
      <c r="DG111" s="43"/>
      <c r="DH111" s="41"/>
      <c r="DI111" s="42"/>
      <c r="DJ111" s="43"/>
      <c r="DK111" s="41"/>
      <c r="DL111" s="42"/>
      <c r="DM111" s="43"/>
      <c r="DN111" s="41"/>
      <c r="DO111" s="42"/>
      <c r="DP111" s="43"/>
      <c r="DQ111" s="41"/>
      <c r="DR111" s="42"/>
      <c r="DS111" s="43"/>
      <c r="DT111" s="42"/>
      <c r="DU111" s="42"/>
      <c r="DV111" s="44"/>
      <c r="DX111" s="213"/>
      <c r="DY111" s="1"/>
      <c r="DZ111" s="1"/>
      <c r="EA111" s="1"/>
      <c r="EB111" s="1"/>
    </row>
    <row r="112" spans="4:132" s="6" customFormat="1" ht="9.9499999999999993" customHeight="1">
      <c r="E112" s="83"/>
      <c r="F112" s="143">
        <f t="shared" ref="F112" si="41">DX112</f>
        <v>2.64E-3</v>
      </c>
      <c r="G112" s="144">
        <f>Q112-F112</f>
        <v>0</v>
      </c>
      <c r="H112" s="27">
        <v>1</v>
      </c>
      <c r="I112" s="19" t="s">
        <v>223</v>
      </c>
      <c r="J112" s="19" t="s">
        <v>186</v>
      </c>
      <c r="K112" s="19" t="s">
        <v>225</v>
      </c>
      <c r="L112" s="313"/>
      <c r="M112" s="296" t="s">
        <v>56</v>
      </c>
      <c r="N112" s="239">
        <v>1976</v>
      </c>
      <c r="O112" s="251" t="s">
        <v>55</v>
      </c>
      <c r="P112" s="249">
        <v>549048</v>
      </c>
      <c r="Q112" s="183">
        <f>ROUND(P112/$P$256,5)</f>
        <v>2.64E-3</v>
      </c>
      <c r="R112" s="76"/>
      <c r="S112" s="70"/>
      <c r="T112" s="70"/>
      <c r="U112" s="70"/>
      <c r="V112" s="69"/>
      <c r="W112" s="70"/>
      <c r="X112" s="71"/>
      <c r="Y112" s="69"/>
      <c r="Z112" s="70"/>
      <c r="AA112" s="71"/>
      <c r="AB112" s="69"/>
      <c r="AC112" s="70"/>
      <c r="AD112" s="71"/>
      <c r="AE112" s="70"/>
      <c r="AF112" s="70"/>
      <c r="AG112" s="70"/>
      <c r="AH112" s="69"/>
      <c r="AI112" s="70"/>
      <c r="AJ112" s="71"/>
      <c r="AK112" s="70"/>
      <c r="AL112" s="70"/>
      <c r="AM112" s="70"/>
      <c r="AN112" s="69"/>
      <c r="AO112" s="70"/>
      <c r="AP112" s="71"/>
      <c r="AQ112" s="69"/>
      <c r="AR112" s="70"/>
      <c r="AS112" s="70"/>
      <c r="AT112" s="69"/>
      <c r="AU112" s="70"/>
      <c r="AV112" s="71"/>
      <c r="AW112" s="70"/>
      <c r="AX112" s="70"/>
      <c r="AY112" s="70"/>
      <c r="AZ112" s="69"/>
      <c r="BA112" s="70"/>
      <c r="BB112" s="71"/>
      <c r="BC112" s="70"/>
      <c r="BD112" s="70"/>
      <c r="BE112" s="70"/>
      <c r="BF112" s="69"/>
      <c r="BG112" s="70"/>
      <c r="BH112" s="71"/>
      <c r="BI112" s="70"/>
      <c r="BJ112" s="70"/>
      <c r="BK112" s="70"/>
      <c r="BL112" s="69"/>
      <c r="BM112" s="70"/>
      <c r="BN112" s="71"/>
      <c r="BO112" s="70"/>
      <c r="BP112" s="70"/>
      <c r="BQ112" s="70"/>
      <c r="BR112" s="73"/>
      <c r="BS112" s="70"/>
      <c r="BT112" s="74"/>
      <c r="BU112" s="70"/>
      <c r="BV112" s="70"/>
      <c r="BW112" s="70"/>
      <c r="BX112" s="150">
        <v>2.9999999999999997E-4</v>
      </c>
      <c r="BY112" s="150"/>
      <c r="BZ112" s="150"/>
      <c r="CA112" s="165">
        <v>4.4999999999999999E-4</v>
      </c>
      <c r="CB112" s="150"/>
      <c r="CC112" s="150"/>
      <c r="CD112" s="150">
        <v>5.5000000000000003E-4</v>
      </c>
      <c r="CE112" s="150"/>
      <c r="CF112" s="150"/>
      <c r="CG112" s="150">
        <v>5.5000000000000003E-4</v>
      </c>
      <c r="CH112" s="150"/>
      <c r="CI112" s="150"/>
      <c r="CJ112" s="150">
        <v>4.4999999999999999E-4</v>
      </c>
      <c r="CK112" s="150"/>
      <c r="CL112" s="150"/>
      <c r="CM112" s="150">
        <v>3.4000000000000002E-4</v>
      </c>
      <c r="CN112" s="150"/>
      <c r="CO112" s="150"/>
      <c r="CP112" s="69"/>
      <c r="CQ112" s="70"/>
      <c r="CR112" s="71"/>
      <c r="CS112" s="70"/>
      <c r="CT112" s="70"/>
      <c r="CU112" s="70"/>
      <c r="CV112" s="69"/>
      <c r="CW112" s="70"/>
      <c r="CX112" s="71"/>
      <c r="CY112" s="69"/>
      <c r="CZ112" s="70"/>
      <c r="DA112" s="71"/>
      <c r="DB112" s="70"/>
      <c r="DC112" s="70"/>
      <c r="DD112" s="70"/>
      <c r="DE112" s="69"/>
      <c r="DF112" s="70"/>
      <c r="DG112" s="71"/>
      <c r="DH112" s="69"/>
      <c r="DI112" s="70"/>
      <c r="DJ112" s="71"/>
      <c r="DK112" s="69"/>
      <c r="DL112" s="70"/>
      <c r="DM112" s="71"/>
      <c r="DN112" s="69"/>
      <c r="DO112" s="70"/>
      <c r="DP112" s="71"/>
      <c r="DQ112" s="69"/>
      <c r="DR112" s="70"/>
      <c r="DS112" s="71"/>
      <c r="DT112" s="70"/>
      <c r="DU112" s="70"/>
      <c r="DV112" s="75"/>
      <c r="DX112" s="213">
        <f>SUM(R112:DV112)</f>
        <v>2.64E-3</v>
      </c>
      <c r="DY112" s="1"/>
      <c r="DZ112" s="1"/>
      <c r="EA112" s="1"/>
      <c r="EB112" s="1"/>
    </row>
    <row r="113" spans="5:132" s="6" customFormat="1" ht="6.95" customHeight="1">
      <c r="E113" s="83"/>
      <c r="F113" s="143"/>
      <c r="G113" s="144"/>
      <c r="H113" s="55">
        <v>2</v>
      </c>
      <c r="I113" s="83"/>
      <c r="J113" s="83"/>
      <c r="L113" s="313"/>
      <c r="M113" s="238"/>
      <c r="N113" s="239"/>
      <c r="O113" s="240"/>
      <c r="P113" s="249"/>
      <c r="Q113" s="184"/>
      <c r="R113" s="76"/>
      <c r="S113" s="70"/>
      <c r="T113" s="70"/>
      <c r="U113" s="70"/>
      <c r="V113" s="69"/>
      <c r="W113" s="70"/>
      <c r="X113" s="71"/>
      <c r="Y113" s="69"/>
      <c r="Z113" s="70"/>
      <c r="AA113" s="71"/>
      <c r="AB113" s="69"/>
      <c r="AC113" s="70"/>
      <c r="AD113" s="71"/>
      <c r="AE113" s="70"/>
      <c r="AF113" s="70"/>
      <c r="AG113" s="70"/>
      <c r="AH113" s="69"/>
      <c r="AI113" s="70"/>
      <c r="AJ113" s="71"/>
      <c r="AK113" s="70"/>
      <c r="AL113" s="70"/>
      <c r="AM113" s="70"/>
      <c r="AN113" s="69"/>
      <c r="AO113" s="70"/>
      <c r="AP113" s="71"/>
      <c r="AQ113" s="69"/>
      <c r="AR113" s="70"/>
      <c r="AS113" s="70"/>
      <c r="AT113" s="69"/>
      <c r="AU113" s="70"/>
      <c r="AV113" s="71"/>
      <c r="AW113" s="70"/>
      <c r="AX113" s="70"/>
      <c r="AY113" s="70"/>
      <c r="AZ113" s="69"/>
      <c r="BA113" s="70"/>
      <c r="BB113" s="71"/>
      <c r="BC113" s="70"/>
      <c r="BD113" s="70"/>
      <c r="BE113" s="70"/>
      <c r="BF113" s="69"/>
      <c r="BG113" s="70"/>
      <c r="BH113" s="71"/>
      <c r="BI113" s="70"/>
      <c r="BJ113" s="70"/>
      <c r="BK113" s="70"/>
      <c r="BL113" s="69"/>
      <c r="BM113" s="70"/>
      <c r="BN113" s="71"/>
      <c r="BO113" s="70"/>
      <c r="BP113" s="70"/>
      <c r="BQ113" s="70"/>
      <c r="BR113" s="73"/>
      <c r="BS113" s="70"/>
      <c r="BT113" s="74"/>
      <c r="BU113" s="70"/>
      <c r="BV113" s="70"/>
      <c r="BW113" s="70"/>
      <c r="BX113" s="64"/>
      <c r="BY113" s="65"/>
      <c r="BZ113" s="66"/>
      <c r="CA113" s="64"/>
      <c r="CB113" s="65"/>
      <c r="CC113" s="66"/>
      <c r="CD113" s="64"/>
      <c r="CE113" s="65"/>
      <c r="CF113" s="66"/>
      <c r="CG113" s="64"/>
      <c r="CH113" s="65"/>
      <c r="CI113" s="66"/>
      <c r="CJ113" s="64"/>
      <c r="CK113" s="65"/>
      <c r="CL113" s="66"/>
      <c r="CM113" s="64"/>
      <c r="CN113" s="65"/>
      <c r="CO113" s="66"/>
      <c r="CP113" s="69"/>
      <c r="CQ113" s="70"/>
      <c r="CR113" s="71"/>
      <c r="CS113" s="70"/>
      <c r="CT113" s="70"/>
      <c r="CU113" s="70"/>
      <c r="CV113" s="69"/>
      <c r="CW113" s="70"/>
      <c r="CX113" s="71"/>
      <c r="CY113" s="69"/>
      <c r="CZ113" s="70"/>
      <c r="DA113" s="71"/>
      <c r="DB113" s="70"/>
      <c r="DC113" s="70"/>
      <c r="DD113" s="70"/>
      <c r="DE113" s="69"/>
      <c r="DF113" s="70"/>
      <c r="DG113" s="71"/>
      <c r="DH113" s="69"/>
      <c r="DI113" s="70"/>
      <c r="DJ113" s="71"/>
      <c r="DK113" s="69"/>
      <c r="DL113" s="70"/>
      <c r="DM113" s="71"/>
      <c r="DN113" s="69"/>
      <c r="DO113" s="70"/>
      <c r="DP113" s="71"/>
      <c r="DQ113" s="69"/>
      <c r="DR113" s="70"/>
      <c r="DS113" s="71"/>
      <c r="DT113" s="70"/>
      <c r="DU113" s="70"/>
      <c r="DV113" s="75"/>
      <c r="DX113" s="213"/>
      <c r="DY113" s="1"/>
      <c r="DZ113" s="1"/>
      <c r="EA113" s="1"/>
      <c r="EB113" s="1"/>
    </row>
    <row r="114" spans="5:132" s="6" customFormat="1" ht="9.9499999999999993" customHeight="1">
      <c r="F114" s="143">
        <f t="shared" ref="F114" si="42">DX114</f>
        <v>1.47E-3</v>
      </c>
      <c r="G114" s="144">
        <f>Q114-F114</f>
        <v>0</v>
      </c>
      <c r="H114" s="27">
        <v>1</v>
      </c>
      <c r="I114" s="19" t="s">
        <v>223</v>
      </c>
      <c r="J114" s="19" t="s">
        <v>186</v>
      </c>
      <c r="K114" s="19" t="s">
        <v>231</v>
      </c>
      <c r="L114" s="313"/>
      <c r="M114" s="304" t="s">
        <v>58</v>
      </c>
      <c r="N114" s="254">
        <v>305</v>
      </c>
      <c r="O114" s="253" t="s">
        <v>57</v>
      </c>
      <c r="P114" s="245">
        <v>307005</v>
      </c>
      <c r="Q114" s="183">
        <f>ROUND(P114/$P$256,5)</f>
        <v>1.47E-3</v>
      </c>
      <c r="R114" s="21"/>
      <c r="S114" s="57"/>
      <c r="T114" s="57"/>
      <c r="U114" s="57"/>
      <c r="V114" s="56"/>
      <c r="W114" s="57"/>
      <c r="X114" s="58"/>
      <c r="Y114" s="56"/>
      <c r="Z114" s="57"/>
      <c r="AA114" s="58"/>
      <c r="AB114" s="56"/>
      <c r="AC114" s="57"/>
      <c r="AD114" s="58"/>
      <c r="AE114" s="57"/>
      <c r="AF114" s="57"/>
      <c r="AG114" s="57"/>
      <c r="AH114" s="56"/>
      <c r="AI114" s="57"/>
      <c r="AJ114" s="58"/>
      <c r="AK114" s="57"/>
      <c r="AL114" s="57"/>
      <c r="AM114" s="57"/>
      <c r="AN114" s="56"/>
      <c r="AO114" s="57"/>
      <c r="AP114" s="58"/>
      <c r="AQ114" s="56"/>
      <c r="AR114" s="57"/>
      <c r="AS114" s="57"/>
      <c r="AT114" s="56"/>
      <c r="AU114" s="57"/>
      <c r="AV114" s="58"/>
      <c r="AW114" s="57"/>
      <c r="AX114" s="57"/>
      <c r="AY114" s="57"/>
      <c r="AZ114" s="56"/>
      <c r="BA114" s="57"/>
      <c r="BB114" s="58"/>
      <c r="BC114" s="57"/>
      <c r="BD114" s="57"/>
      <c r="BE114" s="57"/>
      <c r="BF114" s="56"/>
      <c r="BG114" s="57"/>
      <c r="BH114" s="58"/>
      <c r="BI114" s="57"/>
      <c r="BJ114" s="57"/>
      <c r="BK114" s="57"/>
      <c r="BL114" s="56"/>
      <c r="BM114" s="57"/>
      <c r="BN114" s="58"/>
      <c r="BO114" s="57"/>
      <c r="BP114" s="57"/>
      <c r="BQ114" s="57"/>
      <c r="BR114" s="60"/>
      <c r="BS114" s="57"/>
      <c r="BT114" s="61"/>
      <c r="BU114" s="57"/>
      <c r="BV114" s="57"/>
      <c r="BW114" s="57"/>
      <c r="BX114" s="146"/>
      <c r="BY114" s="146"/>
      <c r="BZ114" s="146"/>
      <c r="CA114" s="149"/>
      <c r="CB114" s="146"/>
      <c r="CC114" s="146"/>
      <c r="CD114" s="146">
        <v>2.3000000000000001E-4</v>
      </c>
      <c r="CE114" s="146"/>
      <c r="CF114" s="146"/>
      <c r="CG114" s="146">
        <v>2.3000000000000001E-4</v>
      </c>
      <c r="CH114" s="146"/>
      <c r="CI114" s="146"/>
      <c r="CJ114" s="146">
        <v>2.3000000000000001E-4</v>
      </c>
      <c r="CK114" s="146"/>
      <c r="CL114" s="146"/>
      <c r="CM114" s="146">
        <v>2.3000000000000001E-4</v>
      </c>
      <c r="CN114" s="146"/>
      <c r="CO114" s="146"/>
      <c r="CP114" s="146">
        <v>3.3E-4</v>
      </c>
      <c r="CQ114" s="146"/>
      <c r="CR114" s="146"/>
      <c r="CS114" s="57"/>
      <c r="CT114" s="57"/>
      <c r="CU114" s="57"/>
      <c r="CV114" s="56"/>
      <c r="CW114" s="57"/>
      <c r="CX114" s="58"/>
      <c r="CY114" s="56"/>
      <c r="CZ114" s="57"/>
      <c r="DA114" s="58"/>
      <c r="DB114" s="146">
        <v>2.2000000000000001E-4</v>
      </c>
      <c r="DC114" s="146"/>
      <c r="DD114" s="146"/>
      <c r="DE114" s="56"/>
      <c r="DF114" s="57"/>
      <c r="DG114" s="58"/>
      <c r="DH114" s="56"/>
      <c r="DI114" s="57"/>
      <c r="DJ114" s="58"/>
      <c r="DK114" s="56"/>
      <c r="DL114" s="57"/>
      <c r="DM114" s="58"/>
      <c r="DN114" s="56"/>
      <c r="DO114" s="57"/>
      <c r="DP114" s="58"/>
      <c r="DQ114" s="56"/>
      <c r="DR114" s="57"/>
      <c r="DS114" s="58"/>
      <c r="DT114" s="57"/>
      <c r="DU114" s="57"/>
      <c r="DV114" s="62"/>
      <c r="DX114" s="213">
        <f>SUM(R114:DV114)</f>
        <v>1.47E-3</v>
      </c>
      <c r="DY114" s="1"/>
      <c r="DZ114" s="1"/>
      <c r="EA114" s="1"/>
      <c r="EB114" s="1"/>
    </row>
    <row r="115" spans="5:132" s="6" customFormat="1" ht="6.95" customHeight="1">
      <c r="F115" s="143"/>
      <c r="G115" s="144"/>
      <c r="H115" s="55">
        <v>2</v>
      </c>
      <c r="L115" s="313"/>
      <c r="M115" s="305"/>
      <c r="N115" s="255"/>
      <c r="O115" s="244"/>
      <c r="P115" s="246"/>
      <c r="Q115" s="184"/>
      <c r="R115" s="63"/>
      <c r="S115" s="42"/>
      <c r="T115" s="42"/>
      <c r="U115" s="42"/>
      <c r="V115" s="41"/>
      <c r="W115" s="42"/>
      <c r="X115" s="43"/>
      <c r="Y115" s="41"/>
      <c r="Z115" s="42"/>
      <c r="AA115" s="43"/>
      <c r="AB115" s="41"/>
      <c r="AC115" s="42"/>
      <c r="AD115" s="43"/>
      <c r="AE115" s="42"/>
      <c r="AF115" s="42"/>
      <c r="AG115" s="42"/>
      <c r="AH115" s="41"/>
      <c r="AI115" s="42"/>
      <c r="AJ115" s="43"/>
      <c r="AK115" s="42"/>
      <c r="AL115" s="42"/>
      <c r="AM115" s="42"/>
      <c r="AN115" s="41"/>
      <c r="AO115" s="42"/>
      <c r="AP115" s="43"/>
      <c r="AQ115" s="41"/>
      <c r="AR115" s="42"/>
      <c r="AS115" s="42"/>
      <c r="AT115" s="41"/>
      <c r="AU115" s="42"/>
      <c r="AV115" s="43"/>
      <c r="AW115" s="42"/>
      <c r="AX115" s="42"/>
      <c r="AY115" s="42"/>
      <c r="AZ115" s="41"/>
      <c r="BA115" s="42"/>
      <c r="BB115" s="43"/>
      <c r="BC115" s="42"/>
      <c r="BD115" s="42"/>
      <c r="BE115" s="42"/>
      <c r="BF115" s="41"/>
      <c r="BG115" s="42"/>
      <c r="BH115" s="43"/>
      <c r="BI115" s="42"/>
      <c r="BJ115" s="42"/>
      <c r="BK115" s="42"/>
      <c r="BL115" s="41"/>
      <c r="BM115" s="42"/>
      <c r="BN115" s="43"/>
      <c r="BO115" s="42"/>
      <c r="BP115" s="42"/>
      <c r="BQ115" s="42"/>
      <c r="BR115" s="67"/>
      <c r="BS115" s="42"/>
      <c r="BT115" s="68"/>
      <c r="BU115" s="42"/>
      <c r="BV115" s="42"/>
      <c r="BW115" s="42"/>
      <c r="BX115" s="41"/>
      <c r="BY115" s="42"/>
      <c r="BZ115" s="43"/>
      <c r="CA115" s="42"/>
      <c r="CB115" s="42"/>
      <c r="CC115" s="43"/>
      <c r="CD115" s="64"/>
      <c r="CE115" s="65"/>
      <c r="CF115" s="66"/>
      <c r="CG115" s="64"/>
      <c r="CH115" s="65"/>
      <c r="CI115" s="66"/>
      <c r="CJ115" s="64"/>
      <c r="CK115" s="65"/>
      <c r="CL115" s="66"/>
      <c r="CM115" s="64"/>
      <c r="CN115" s="65"/>
      <c r="CO115" s="66"/>
      <c r="CP115" s="64"/>
      <c r="CQ115" s="65"/>
      <c r="CR115" s="66"/>
      <c r="CS115" s="42"/>
      <c r="CT115" s="42"/>
      <c r="CU115" s="42"/>
      <c r="CV115" s="41"/>
      <c r="CW115" s="42"/>
      <c r="CX115" s="43"/>
      <c r="CY115" s="41"/>
      <c r="CZ115" s="42"/>
      <c r="DA115" s="43"/>
      <c r="DB115" s="64"/>
      <c r="DC115" s="65"/>
      <c r="DD115" s="66"/>
      <c r="DE115" s="41"/>
      <c r="DF115" s="42"/>
      <c r="DG115" s="43"/>
      <c r="DH115" s="41"/>
      <c r="DI115" s="42"/>
      <c r="DJ115" s="43"/>
      <c r="DK115" s="41"/>
      <c r="DL115" s="42"/>
      <c r="DM115" s="43"/>
      <c r="DN115" s="41"/>
      <c r="DO115" s="42"/>
      <c r="DP115" s="43"/>
      <c r="DQ115" s="41"/>
      <c r="DR115" s="42"/>
      <c r="DS115" s="43"/>
      <c r="DT115" s="42"/>
      <c r="DU115" s="42"/>
      <c r="DV115" s="44"/>
      <c r="DX115" s="213"/>
      <c r="DY115" s="1"/>
      <c r="DZ115" s="1"/>
      <c r="EA115" s="1"/>
      <c r="EB115" s="1"/>
    </row>
    <row r="116" spans="5:132" s="6" customFormat="1" ht="9.9499999999999993" customHeight="1">
      <c r="F116" s="143">
        <f t="shared" ref="F116" si="43">DX116</f>
        <v>1.8100000000000002E-3</v>
      </c>
      <c r="G116" s="144">
        <f>Q116-F116</f>
        <v>0</v>
      </c>
      <c r="H116" s="27">
        <v>1</v>
      </c>
      <c r="I116" s="19" t="s">
        <v>226</v>
      </c>
      <c r="J116" s="19" t="s">
        <v>186</v>
      </c>
      <c r="K116" s="19" t="s">
        <v>227</v>
      </c>
      <c r="L116" s="313"/>
      <c r="M116" s="238" t="s">
        <v>10</v>
      </c>
      <c r="N116" s="239">
        <v>61</v>
      </c>
      <c r="O116" s="240" t="s">
        <v>297</v>
      </c>
      <c r="P116" s="249">
        <v>377084</v>
      </c>
      <c r="Q116" s="183">
        <f>ROUND(P116/$P$256,5)</f>
        <v>1.81E-3</v>
      </c>
      <c r="R116" s="76"/>
      <c r="S116" s="70"/>
      <c r="T116" s="70"/>
      <c r="U116" s="70"/>
      <c r="V116" s="69"/>
      <c r="W116" s="70"/>
      <c r="X116" s="71"/>
      <c r="Y116" s="69"/>
      <c r="Z116" s="70"/>
      <c r="AA116" s="71"/>
      <c r="AB116" s="69"/>
      <c r="AC116" s="70"/>
      <c r="AD116" s="71"/>
      <c r="AE116" s="70"/>
      <c r="AF116" s="70"/>
      <c r="AG116" s="70"/>
      <c r="AH116" s="69"/>
      <c r="AI116" s="70"/>
      <c r="AJ116" s="71"/>
      <c r="AK116" s="70"/>
      <c r="AL116" s="70"/>
      <c r="AM116" s="70"/>
      <c r="AN116" s="69"/>
      <c r="AO116" s="70"/>
      <c r="AP116" s="71"/>
      <c r="AQ116" s="69"/>
      <c r="AR116" s="70"/>
      <c r="AS116" s="70"/>
      <c r="AT116" s="69"/>
      <c r="AU116" s="70"/>
      <c r="AV116" s="71"/>
      <c r="AW116" s="70"/>
      <c r="AX116" s="70"/>
      <c r="AY116" s="70"/>
      <c r="AZ116" s="69"/>
      <c r="BA116" s="70"/>
      <c r="BB116" s="71"/>
      <c r="BC116" s="70"/>
      <c r="BD116" s="70"/>
      <c r="BE116" s="70"/>
      <c r="BF116" s="69"/>
      <c r="BG116" s="70"/>
      <c r="BH116" s="71"/>
      <c r="BI116" s="70"/>
      <c r="BJ116" s="70"/>
      <c r="BK116" s="70"/>
      <c r="BL116" s="69"/>
      <c r="BM116" s="70"/>
      <c r="BN116" s="71"/>
      <c r="BO116" s="70"/>
      <c r="BP116" s="70"/>
      <c r="BQ116" s="70"/>
      <c r="BR116" s="73"/>
      <c r="BS116" s="70"/>
      <c r="BT116" s="74"/>
      <c r="BU116" s="70"/>
      <c r="BV116" s="70"/>
      <c r="BW116" s="70"/>
      <c r="BX116" s="69"/>
      <c r="BY116" s="70"/>
      <c r="BZ116" s="71"/>
      <c r="CA116" s="150">
        <v>3.4000000000000002E-4</v>
      </c>
      <c r="CB116" s="150"/>
      <c r="CC116" s="150"/>
      <c r="CD116" s="150">
        <v>3.4000000000000002E-4</v>
      </c>
      <c r="CE116" s="150"/>
      <c r="CF116" s="150"/>
      <c r="CG116" s="150">
        <v>4.2999999999999999E-4</v>
      </c>
      <c r="CH116" s="150"/>
      <c r="CI116" s="150"/>
      <c r="CJ116" s="150">
        <v>3.6000000000000002E-4</v>
      </c>
      <c r="CK116" s="150"/>
      <c r="CL116" s="150"/>
      <c r="CM116" s="150">
        <v>3.4000000000000002E-4</v>
      </c>
      <c r="CN116" s="150"/>
      <c r="CO116" s="150"/>
      <c r="CP116" s="150"/>
      <c r="CQ116" s="150"/>
      <c r="CR116" s="150"/>
      <c r="CS116" s="70"/>
      <c r="CT116" s="70"/>
      <c r="CU116" s="70"/>
      <c r="CV116" s="69"/>
      <c r="CW116" s="70"/>
      <c r="CX116" s="71"/>
      <c r="CY116" s="69"/>
      <c r="CZ116" s="70"/>
      <c r="DA116" s="71"/>
      <c r="DB116" s="70"/>
      <c r="DC116" s="70"/>
      <c r="DD116" s="70"/>
      <c r="DE116" s="69"/>
      <c r="DF116" s="70"/>
      <c r="DG116" s="71"/>
      <c r="DH116" s="69"/>
      <c r="DI116" s="70"/>
      <c r="DJ116" s="71"/>
      <c r="DK116" s="69"/>
      <c r="DL116" s="70"/>
      <c r="DM116" s="71"/>
      <c r="DN116" s="69"/>
      <c r="DO116" s="70"/>
      <c r="DP116" s="71"/>
      <c r="DQ116" s="69"/>
      <c r="DR116" s="70"/>
      <c r="DS116" s="71"/>
      <c r="DT116" s="70"/>
      <c r="DU116" s="70"/>
      <c r="DV116" s="75"/>
      <c r="DX116" s="213">
        <f>SUM(R116:DV116)</f>
        <v>1.8100000000000002E-3</v>
      </c>
      <c r="DY116" s="1"/>
      <c r="DZ116" s="1"/>
      <c r="EA116" s="1"/>
      <c r="EB116" s="1"/>
    </row>
    <row r="117" spans="5:132" s="6" customFormat="1" ht="6.95" customHeight="1">
      <c r="F117" s="143"/>
      <c r="G117" s="144"/>
      <c r="H117" s="55">
        <v>2</v>
      </c>
      <c r="L117" s="313"/>
      <c r="M117" s="238"/>
      <c r="N117" s="239"/>
      <c r="O117" s="240"/>
      <c r="P117" s="249"/>
      <c r="Q117" s="184"/>
      <c r="R117" s="76"/>
      <c r="S117" s="70"/>
      <c r="T117" s="70"/>
      <c r="U117" s="70"/>
      <c r="V117" s="69"/>
      <c r="W117" s="70"/>
      <c r="X117" s="71"/>
      <c r="Y117" s="69"/>
      <c r="Z117" s="70"/>
      <c r="AA117" s="71"/>
      <c r="AB117" s="69"/>
      <c r="AC117" s="70"/>
      <c r="AD117" s="71"/>
      <c r="AE117" s="70"/>
      <c r="AF117" s="70"/>
      <c r="AG117" s="70"/>
      <c r="AH117" s="69"/>
      <c r="AI117" s="70"/>
      <c r="AJ117" s="71"/>
      <c r="AK117" s="70"/>
      <c r="AL117" s="70"/>
      <c r="AM117" s="70"/>
      <c r="AN117" s="69"/>
      <c r="AO117" s="70"/>
      <c r="AP117" s="71"/>
      <c r="AQ117" s="69"/>
      <c r="AR117" s="70"/>
      <c r="AS117" s="70"/>
      <c r="AT117" s="69"/>
      <c r="AU117" s="70"/>
      <c r="AV117" s="71"/>
      <c r="AW117" s="70"/>
      <c r="AX117" s="70"/>
      <c r="AY117" s="70"/>
      <c r="AZ117" s="69"/>
      <c r="BA117" s="70"/>
      <c r="BB117" s="71"/>
      <c r="BC117" s="70"/>
      <c r="BD117" s="70"/>
      <c r="BE117" s="70"/>
      <c r="BF117" s="69"/>
      <c r="BG117" s="70"/>
      <c r="BH117" s="71"/>
      <c r="BI117" s="70"/>
      <c r="BJ117" s="70"/>
      <c r="BK117" s="70"/>
      <c r="BL117" s="69"/>
      <c r="BM117" s="70"/>
      <c r="BN117" s="71"/>
      <c r="BO117" s="70"/>
      <c r="BP117" s="70"/>
      <c r="BQ117" s="70"/>
      <c r="BR117" s="73"/>
      <c r="BS117" s="70"/>
      <c r="BT117" s="74"/>
      <c r="BU117" s="70"/>
      <c r="BV117" s="70"/>
      <c r="BW117" s="70"/>
      <c r="BX117" s="69"/>
      <c r="BY117" s="70"/>
      <c r="BZ117" s="71"/>
      <c r="CA117" s="64"/>
      <c r="CB117" s="65"/>
      <c r="CC117" s="66"/>
      <c r="CD117" s="64"/>
      <c r="CE117" s="65"/>
      <c r="CF117" s="66"/>
      <c r="CG117" s="64"/>
      <c r="CH117" s="65"/>
      <c r="CI117" s="66"/>
      <c r="CJ117" s="64"/>
      <c r="CK117" s="65"/>
      <c r="CL117" s="66"/>
      <c r="CM117" s="64"/>
      <c r="CN117" s="65"/>
      <c r="CO117" s="66"/>
      <c r="CP117" s="69"/>
      <c r="CQ117" s="70"/>
      <c r="CR117" s="71"/>
      <c r="CS117" s="70"/>
      <c r="CT117" s="70"/>
      <c r="CU117" s="70"/>
      <c r="CV117" s="69"/>
      <c r="CW117" s="70"/>
      <c r="CX117" s="71"/>
      <c r="CY117" s="69"/>
      <c r="CZ117" s="70"/>
      <c r="DA117" s="71"/>
      <c r="DB117" s="70"/>
      <c r="DC117" s="70"/>
      <c r="DD117" s="70"/>
      <c r="DE117" s="69"/>
      <c r="DF117" s="70"/>
      <c r="DG117" s="71"/>
      <c r="DH117" s="69"/>
      <c r="DI117" s="70"/>
      <c r="DJ117" s="71"/>
      <c r="DK117" s="69"/>
      <c r="DL117" s="70"/>
      <c r="DM117" s="71"/>
      <c r="DN117" s="69"/>
      <c r="DO117" s="70"/>
      <c r="DP117" s="71"/>
      <c r="DQ117" s="69"/>
      <c r="DR117" s="70"/>
      <c r="DS117" s="71"/>
      <c r="DT117" s="70"/>
      <c r="DU117" s="70"/>
      <c r="DV117" s="75"/>
      <c r="DX117" s="213"/>
      <c r="DY117" s="1"/>
      <c r="DZ117" s="1"/>
      <c r="EA117" s="1"/>
      <c r="EB117" s="1"/>
    </row>
    <row r="118" spans="5:132" s="6" customFormat="1" ht="9.9499999999999993" customHeight="1">
      <c r="F118" s="143">
        <f t="shared" ref="F118" si="44">DX118</f>
        <v>1.9999999999999998E-5</v>
      </c>
      <c r="G118" s="144">
        <f>Q118-F118</f>
        <v>0</v>
      </c>
      <c r="H118" s="27">
        <v>1</v>
      </c>
      <c r="L118" s="313"/>
      <c r="M118" s="309" t="s">
        <v>66</v>
      </c>
      <c r="N118" s="254">
        <v>476</v>
      </c>
      <c r="O118" s="253" t="s">
        <v>59</v>
      </c>
      <c r="P118" s="245">
        <v>3268</v>
      </c>
      <c r="Q118" s="183">
        <f>ROUND(P118/$P$256,5)</f>
        <v>2.0000000000000002E-5</v>
      </c>
      <c r="R118" s="21"/>
      <c r="S118" s="57"/>
      <c r="T118" s="57"/>
      <c r="U118" s="57"/>
      <c r="V118" s="56"/>
      <c r="W118" s="57"/>
      <c r="X118" s="58"/>
      <c r="Y118" s="56"/>
      <c r="Z118" s="57"/>
      <c r="AA118" s="58"/>
      <c r="AB118" s="56"/>
      <c r="AC118" s="57"/>
      <c r="AD118" s="58"/>
      <c r="AE118" s="57"/>
      <c r="AF118" s="57"/>
      <c r="AG118" s="57"/>
      <c r="AH118" s="56"/>
      <c r="AI118" s="57"/>
      <c r="AJ118" s="58"/>
      <c r="AK118" s="57"/>
      <c r="AL118" s="57"/>
      <c r="AM118" s="57"/>
      <c r="AN118" s="56"/>
      <c r="AO118" s="57"/>
      <c r="AP118" s="58"/>
      <c r="AQ118" s="56"/>
      <c r="AR118" s="57"/>
      <c r="AS118" s="57"/>
      <c r="AT118" s="56"/>
      <c r="AU118" s="57"/>
      <c r="AV118" s="58"/>
      <c r="AW118" s="57"/>
      <c r="AX118" s="57"/>
      <c r="AY118" s="57"/>
      <c r="AZ118" s="56"/>
      <c r="BA118" s="57"/>
      <c r="BB118" s="58"/>
      <c r="BC118" s="57"/>
      <c r="BD118" s="57"/>
      <c r="BE118" s="57"/>
      <c r="BF118" s="56"/>
      <c r="BG118" s="57"/>
      <c r="BH118" s="58"/>
      <c r="BI118" s="57"/>
      <c r="BJ118" s="57"/>
      <c r="BK118" s="57"/>
      <c r="BL118" s="56"/>
      <c r="BM118" s="57"/>
      <c r="BN118" s="58"/>
      <c r="BO118" s="57"/>
      <c r="BP118" s="57"/>
      <c r="BQ118" s="57"/>
      <c r="BR118" s="60"/>
      <c r="BS118" s="57"/>
      <c r="BT118" s="61"/>
      <c r="BU118" s="57"/>
      <c r="BV118" s="57"/>
      <c r="BW118" s="57"/>
      <c r="BX118" s="56"/>
      <c r="BY118" s="57"/>
      <c r="BZ118" s="58"/>
      <c r="CA118" s="57"/>
      <c r="CB118" s="57"/>
      <c r="CC118" s="58"/>
      <c r="CD118" s="56"/>
      <c r="CE118" s="57"/>
      <c r="CF118" s="58"/>
      <c r="CG118" s="56"/>
      <c r="CH118" s="57"/>
      <c r="CI118" s="58"/>
      <c r="CJ118" s="56"/>
      <c r="CK118" s="57"/>
      <c r="CL118" s="58"/>
      <c r="CM118" s="146">
        <v>7.9999999999999996E-6</v>
      </c>
      <c r="CN118" s="146"/>
      <c r="CO118" s="146"/>
      <c r="CP118" s="56"/>
      <c r="CQ118" s="57"/>
      <c r="CR118" s="58"/>
      <c r="CS118" s="57"/>
      <c r="CT118" s="57"/>
      <c r="CU118" s="57"/>
      <c r="CV118" s="56"/>
      <c r="CW118" s="57"/>
      <c r="CX118" s="58"/>
      <c r="CY118" s="56"/>
      <c r="CZ118" s="57"/>
      <c r="DA118" s="58"/>
      <c r="DB118" s="57"/>
      <c r="DC118" s="57"/>
      <c r="DD118" s="57"/>
      <c r="DE118" s="56"/>
      <c r="DF118" s="57"/>
      <c r="DG118" s="58"/>
      <c r="DH118" s="56"/>
      <c r="DI118" s="57"/>
      <c r="DJ118" s="58"/>
      <c r="DK118" s="56"/>
      <c r="DL118" s="57"/>
      <c r="DM118" s="58"/>
      <c r="DN118" s="56"/>
      <c r="DO118" s="57"/>
      <c r="DP118" s="58"/>
      <c r="DQ118" s="56"/>
      <c r="DR118" s="57"/>
      <c r="DS118" s="58"/>
      <c r="DT118" s="146">
        <v>1.2E-5</v>
      </c>
      <c r="DU118" s="146"/>
      <c r="DV118" s="214"/>
      <c r="DX118" s="213">
        <f>SUM(R118:DV118)</f>
        <v>1.9999999999999998E-5</v>
      </c>
      <c r="DY118" s="1"/>
      <c r="DZ118" s="1"/>
      <c r="EA118" s="1"/>
      <c r="EB118" s="1"/>
    </row>
    <row r="119" spans="5:132" s="6" customFormat="1" ht="6.95" customHeight="1">
      <c r="F119" s="143"/>
      <c r="G119" s="144"/>
      <c r="H119" s="55">
        <v>2</v>
      </c>
      <c r="L119" s="313"/>
      <c r="M119" s="305"/>
      <c r="N119" s="255"/>
      <c r="O119" s="244"/>
      <c r="P119" s="246"/>
      <c r="Q119" s="184"/>
      <c r="R119" s="63"/>
      <c r="S119" s="42"/>
      <c r="T119" s="42"/>
      <c r="U119" s="42"/>
      <c r="V119" s="41"/>
      <c r="W119" s="42"/>
      <c r="X119" s="43"/>
      <c r="Y119" s="41"/>
      <c r="Z119" s="42"/>
      <c r="AA119" s="43"/>
      <c r="AB119" s="41"/>
      <c r="AC119" s="42"/>
      <c r="AD119" s="43"/>
      <c r="AE119" s="42"/>
      <c r="AF119" s="42"/>
      <c r="AG119" s="42"/>
      <c r="AH119" s="41"/>
      <c r="AI119" s="42"/>
      <c r="AJ119" s="43"/>
      <c r="AK119" s="42"/>
      <c r="AL119" s="42"/>
      <c r="AM119" s="42"/>
      <c r="AN119" s="41"/>
      <c r="AO119" s="42"/>
      <c r="AP119" s="43"/>
      <c r="AQ119" s="41"/>
      <c r="AR119" s="42"/>
      <c r="AS119" s="42"/>
      <c r="AT119" s="41"/>
      <c r="AU119" s="42"/>
      <c r="AV119" s="43"/>
      <c r="AW119" s="42"/>
      <c r="AX119" s="42"/>
      <c r="AY119" s="42"/>
      <c r="AZ119" s="41"/>
      <c r="BA119" s="42"/>
      <c r="BB119" s="43"/>
      <c r="BC119" s="42"/>
      <c r="BD119" s="42"/>
      <c r="BE119" s="42"/>
      <c r="BF119" s="41"/>
      <c r="BG119" s="42"/>
      <c r="BH119" s="43"/>
      <c r="BI119" s="42"/>
      <c r="BJ119" s="42"/>
      <c r="BK119" s="42"/>
      <c r="BL119" s="41"/>
      <c r="BM119" s="42"/>
      <c r="BN119" s="43"/>
      <c r="BO119" s="42"/>
      <c r="BP119" s="42"/>
      <c r="BQ119" s="42"/>
      <c r="BR119" s="67"/>
      <c r="BS119" s="42"/>
      <c r="BT119" s="68"/>
      <c r="BU119" s="42"/>
      <c r="BV119" s="42"/>
      <c r="BW119" s="42"/>
      <c r="BX119" s="41"/>
      <c r="BY119" s="42"/>
      <c r="BZ119" s="43"/>
      <c r="CA119" s="42"/>
      <c r="CB119" s="42"/>
      <c r="CC119" s="43"/>
      <c r="CD119" s="41"/>
      <c r="CE119" s="42"/>
      <c r="CF119" s="43"/>
      <c r="CG119" s="41"/>
      <c r="CH119" s="42"/>
      <c r="CI119" s="43"/>
      <c r="CJ119" s="41"/>
      <c r="CK119" s="42"/>
      <c r="CL119" s="43"/>
      <c r="CM119" s="64"/>
      <c r="CN119" s="65"/>
      <c r="CO119" s="66"/>
      <c r="CP119" s="41"/>
      <c r="CQ119" s="42"/>
      <c r="CR119" s="43"/>
      <c r="CS119" s="42"/>
      <c r="CT119" s="42"/>
      <c r="CU119" s="42"/>
      <c r="CV119" s="41"/>
      <c r="CW119" s="42"/>
      <c r="CX119" s="43"/>
      <c r="CY119" s="41"/>
      <c r="CZ119" s="42"/>
      <c r="DA119" s="43"/>
      <c r="DB119" s="42"/>
      <c r="DC119" s="42"/>
      <c r="DD119" s="42"/>
      <c r="DE119" s="41"/>
      <c r="DF119" s="42"/>
      <c r="DG119" s="43"/>
      <c r="DH119" s="41"/>
      <c r="DI119" s="42"/>
      <c r="DJ119" s="43"/>
      <c r="DK119" s="41"/>
      <c r="DL119" s="42"/>
      <c r="DM119" s="43"/>
      <c r="DN119" s="41"/>
      <c r="DO119" s="42"/>
      <c r="DP119" s="43"/>
      <c r="DQ119" s="41"/>
      <c r="DR119" s="42"/>
      <c r="DS119" s="43"/>
      <c r="DT119" s="64"/>
      <c r="DU119" s="65"/>
      <c r="DV119" s="94"/>
      <c r="DX119" s="213"/>
      <c r="DY119" s="1"/>
      <c r="DZ119" s="1"/>
      <c r="EA119" s="1"/>
      <c r="EB119" s="1"/>
    </row>
    <row r="120" spans="5:132" s="6" customFormat="1" ht="9.9499999999999993" customHeight="1">
      <c r="F120" s="143">
        <f t="shared" ref="F120" si="45">DX120</f>
        <v>4.7100000000000006E-3</v>
      </c>
      <c r="G120" s="144">
        <f>Q120-F120</f>
        <v>0</v>
      </c>
      <c r="H120" s="27">
        <v>1</v>
      </c>
      <c r="L120" s="313"/>
      <c r="M120" s="238" t="s">
        <v>142</v>
      </c>
      <c r="N120" s="239">
        <v>1</v>
      </c>
      <c r="O120" s="251" t="s">
        <v>60</v>
      </c>
      <c r="P120" s="249">
        <v>979677</v>
      </c>
      <c r="Q120" s="183">
        <f>ROUND(P120/$P$256,5)</f>
        <v>4.7099999999999998E-3</v>
      </c>
      <c r="R120" s="76"/>
      <c r="S120" s="70"/>
      <c r="T120" s="70"/>
      <c r="U120" s="70"/>
      <c r="V120" s="69"/>
      <c r="W120" s="70"/>
      <c r="X120" s="71"/>
      <c r="Y120" s="69"/>
      <c r="Z120" s="70"/>
      <c r="AA120" s="71"/>
      <c r="AB120" s="69"/>
      <c r="AC120" s="70"/>
      <c r="AD120" s="71"/>
      <c r="AE120" s="70"/>
      <c r="AF120" s="70"/>
      <c r="AG120" s="70"/>
      <c r="AH120" s="69"/>
      <c r="AI120" s="70"/>
      <c r="AJ120" s="71"/>
      <c r="AK120" s="70"/>
      <c r="AL120" s="70"/>
      <c r="AM120" s="70"/>
      <c r="AN120" s="69"/>
      <c r="AO120" s="70"/>
      <c r="AP120" s="71"/>
      <c r="AQ120" s="69"/>
      <c r="AR120" s="70"/>
      <c r="AS120" s="70"/>
      <c r="AT120" s="69"/>
      <c r="AU120" s="70"/>
      <c r="AV120" s="71"/>
      <c r="AW120" s="70"/>
      <c r="AX120" s="70"/>
      <c r="AY120" s="70"/>
      <c r="AZ120" s="69"/>
      <c r="BA120" s="70"/>
      <c r="BB120" s="71"/>
      <c r="BC120" s="70"/>
      <c r="BD120" s="70"/>
      <c r="BE120" s="70"/>
      <c r="BF120" s="69"/>
      <c r="BG120" s="70"/>
      <c r="BH120" s="71"/>
      <c r="BI120" s="70"/>
      <c r="BJ120" s="70"/>
      <c r="BK120" s="70"/>
      <c r="BL120" s="69"/>
      <c r="BM120" s="70"/>
      <c r="BN120" s="71"/>
      <c r="BO120" s="70"/>
      <c r="BP120" s="70"/>
      <c r="BQ120" s="70"/>
      <c r="BR120" s="73"/>
      <c r="BS120" s="70"/>
      <c r="BT120" s="74"/>
      <c r="BU120" s="70"/>
      <c r="BV120" s="70"/>
      <c r="BW120" s="70"/>
      <c r="BX120" s="150">
        <v>3.6999999999999999E-4</v>
      </c>
      <c r="BY120" s="150"/>
      <c r="BZ120" s="150"/>
      <c r="CA120" s="150">
        <v>3.8000000000000002E-4</v>
      </c>
      <c r="CB120" s="150"/>
      <c r="CC120" s="150"/>
      <c r="CD120" s="150">
        <v>8.7000000000000001E-4</v>
      </c>
      <c r="CE120" s="150"/>
      <c r="CF120" s="150"/>
      <c r="CG120" s="150">
        <v>8.7000000000000001E-4</v>
      </c>
      <c r="CH120" s="150"/>
      <c r="CI120" s="150"/>
      <c r="CJ120" s="150">
        <v>8.7000000000000001E-4</v>
      </c>
      <c r="CK120" s="150"/>
      <c r="CL120" s="150"/>
      <c r="CM120" s="150">
        <v>1.08E-3</v>
      </c>
      <c r="CN120" s="150"/>
      <c r="CO120" s="150"/>
      <c r="CP120" s="150">
        <v>2.7E-4</v>
      </c>
      <c r="CQ120" s="150"/>
      <c r="CR120" s="150"/>
      <c r="CS120" s="70"/>
      <c r="CT120" s="70"/>
      <c r="CU120" s="70"/>
      <c r="CV120" s="69"/>
      <c r="CW120" s="70"/>
      <c r="CX120" s="71"/>
      <c r="CY120" s="69"/>
      <c r="CZ120" s="70"/>
      <c r="DA120" s="71"/>
      <c r="DB120" s="70"/>
      <c r="DC120" s="70"/>
      <c r="DD120" s="70"/>
      <c r="DE120" s="69"/>
      <c r="DF120" s="70"/>
      <c r="DG120" s="71"/>
      <c r="DH120" s="69"/>
      <c r="DI120" s="70"/>
      <c r="DJ120" s="71"/>
      <c r="DK120" s="69"/>
      <c r="DL120" s="70"/>
      <c r="DM120" s="71"/>
      <c r="DN120" s="69"/>
      <c r="DO120" s="70"/>
      <c r="DP120" s="71"/>
      <c r="DQ120" s="69"/>
      <c r="DR120" s="70"/>
      <c r="DS120" s="71"/>
      <c r="DT120" s="70"/>
      <c r="DU120" s="70"/>
      <c r="DV120" s="75"/>
      <c r="DX120" s="213">
        <f>SUM(R120:DV120)</f>
        <v>4.7100000000000006E-3</v>
      </c>
      <c r="DY120" s="1"/>
      <c r="DZ120" s="1"/>
      <c r="EA120" s="1"/>
      <c r="EB120" s="1"/>
    </row>
    <row r="121" spans="5:132" s="6" customFormat="1" ht="6.95" customHeight="1">
      <c r="F121" s="143"/>
      <c r="G121" s="144"/>
      <c r="H121" s="55">
        <v>2</v>
      </c>
      <c r="L121" s="314"/>
      <c r="M121" s="238"/>
      <c r="N121" s="239"/>
      <c r="O121" s="240"/>
      <c r="P121" s="249"/>
      <c r="Q121" s="184"/>
      <c r="R121" s="76"/>
      <c r="S121" s="70"/>
      <c r="T121" s="70"/>
      <c r="U121" s="70"/>
      <c r="V121" s="69"/>
      <c r="W121" s="70"/>
      <c r="X121" s="71"/>
      <c r="Y121" s="69"/>
      <c r="Z121" s="70"/>
      <c r="AA121" s="71"/>
      <c r="AB121" s="69"/>
      <c r="AC121" s="70"/>
      <c r="AD121" s="71"/>
      <c r="AE121" s="70"/>
      <c r="AF121" s="70"/>
      <c r="AG121" s="70"/>
      <c r="AH121" s="69"/>
      <c r="AI121" s="70"/>
      <c r="AJ121" s="71"/>
      <c r="AK121" s="70"/>
      <c r="AL121" s="70"/>
      <c r="AM121" s="70"/>
      <c r="AN121" s="69"/>
      <c r="AO121" s="70"/>
      <c r="AP121" s="71"/>
      <c r="AQ121" s="69"/>
      <c r="AR121" s="70"/>
      <c r="AS121" s="70"/>
      <c r="AT121" s="69"/>
      <c r="AU121" s="70"/>
      <c r="AV121" s="71"/>
      <c r="AW121" s="70"/>
      <c r="AX121" s="70"/>
      <c r="AY121" s="70"/>
      <c r="AZ121" s="69"/>
      <c r="BA121" s="70"/>
      <c r="BB121" s="71"/>
      <c r="BC121" s="70"/>
      <c r="BD121" s="70"/>
      <c r="BE121" s="70"/>
      <c r="BF121" s="69"/>
      <c r="BG121" s="70"/>
      <c r="BH121" s="71"/>
      <c r="BI121" s="70"/>
      <c r="BJ121" s="70"/>
      <c r="BK121" s="70"/>
      <c r="BL121" s="69"/>
      <c r="BM121" s="70"/>
      <c r="BN121" s="71"/>
      <c r="BO121" s="70"/>
      <c r="BP121" s="70"/>
      <c r="BQ121" s="70"/>
      <c r="BR121" s="73"/>
      <c r="BS121" s="70"/>
      <c r="BT121" s="74"/>
      <c r="BU121" s="70"/>
      <c r="BV121" s="70"/>
      <c r="BW121" s="70"/>
      <c r="BX121" s="64"/>
      <c r="BY121" s="65"/>
      <c r="BZ121" s="66"/>
      <c r="CA121" s="64"/>
      <c r="CB121" s="65"/>
      <c r="CC121" s="66"/>
      <c r="CD121" s="64"/>
      <c r="CE121" s="65"/>
      <c r="CF121" s="66"/>
      <c r="CG121" s="64"/>
      <c r="CH121" s="65"/>
      <c r="CI121" s="66"/>
      <c r="CJ121" s="64"/>
      <c r="CK121" s="65"/>
      <c r="CL121" s="66"/>
      <c r="CM121" s="64"/>
      <c r="CN121" s="65"/>
      <c r="CO121" s="66"/>
      <c r="CP121" s="64"/>
      <c r="CQ121" s="65"/>
      <c r="CR121" s="66"/>
      <c r="CS121" s="70"/>
      <c r="CT121" s="70"/>
      <c r="CU121" s="70"/>
      <c r="CV121" s="69"/>
      <c r="CW121" s="70"/>
      <c r="CX121" s="71"/>
      <c r="CY121" s="69"/>
      <c r="CZ121" s="70"/>
      <c r="DA121" s="71"/>
      <c r="DB121" s="70"/>
      <c r="DC121" s="70"/>
      <c r="DD121" s="70"/>
      <c r="DE121" s="69"/>
      <c r="DF121" s="70"/>
      <c r="DG121" s="71"/>
      <c r="DH121" s="69"/>
      <c r="DI121" s="70"/>
      <c r="DJ121" s="71"/>
      <c r="DK121" s="69"/>
      <c r="DL121" s="70"/>
      <c r="DM121" s="71"/>
      <c r="DN121" s="69"/>
      <c r="DO121" s="70"/>
      <c r="DP121" s="71"/>
      <c r="DQ121" s="69"/>
      <c r="DR121" s="70"/>
      <c r="DS121" s="71"/>
      <c r="DT121" s="70"/>
      <c r="DU121" s="70"/>
      <c r="DV121" s="75"/>
      <c r="DX121" s="213"/>
      <c r="DY121" s="1"/>
      <c r="DZ121" s="1"/>
      <c r="EA121" s="1"/>
      <c r="EB121" s="1"/>
    </row>
    <row r="122" spans="5:132" s="6" customFormat="1" ht="9.9499999999999993" customHeight="1">
      <c r="F122" s="143">
        <f t="shared" ref="F122" si="46">DX122</f>
        <v>1.5000000000000001E-4</v>
      </c>
      <c r="G122" s="144">
        <f>Q122-F122</f>
        <v>0</v>
      </c>
      <c r="H122" s="27">
        <v>1</v>
      </c>
      <c r="I122" s="19" t="s">
        <v>226</v>
      </c>
      <c r="J122" s="19" t="s">
        <v>186</v>
      </c>
      <c r="K122" s="19" t="s">
        <v>228</v>
      </c>
      <c r="L122" s="312" t="s">
        <v>144</v>
      </c>
      <c r="M122" s="309" t="s">
        <v>61</v>
      </c>
      <c r="N122" s="254">
        <v>9433</v>
      </c>
      <c r="O122" s="299" t="s">
        <v>34</v>
      </c>
      <c r="P122" s="245">
        <v>30930</v>
      </c>
      <c r="Q122" s="183">
        <f>ROUND(P122/$P$256,5)</f>
        <v>1.4999999999999999E-4</v>
      </c>
      <c r="R122" s="79"/>
      <c r="S122" s="57"/>
      <c r="T122" s="57"/>
      <c r="U122" s="57"/>
      <c r="V122" s="56"/>
      <c r="W122" s="57"/>
      <c r="X122" s="58"/>
      <c r="Y122" s="56"/>
      <c r="Z122" s="57"/>
      <c r="AA122" s="58"/>
      <c r="AB122" s="56"/>
      <c r="AC122" s="57"/>
      <c r="AD122" s="58"/>
      <c r="AE122" s="57"/>
      <c r="AF122" s="57"/>
      <c r="AG122" s="57"/>
      <c r="AH122" s="56"/>
      <c r="AI122" s="57"/>
      <c r="AJ122" s="58"/>
      <c r="AK122" s="57"/>
      <c r="AL122" s="57"/>
      <c r="AM122" s="57"/>
      <c r="AN122" s="56"/>
      <c r="AO122" s="57"/>
      <c r="AP122" s="58"/>
      <c r="AQ122" s="56"/>
      <c r="AR122" s="57"/>
      <c r="AS122" s="57"/>
      <c r="AT122" s="56"/>
      <c r="AU122" s="57"/>
      <c r="AV122" s="58"/>
      <c r="AW122" s="57"/>
      <c r="AX122" s="57"/>
      <c r="AY122" s="57"/>
      <c r="AZ122" s="56"/>
      <c r="BA122" s="57"/>
      <c r="BB122" s="58"/>
      <c r="BC122" s="57"/>
      <c r="BD122" s="57"/>
      <c r="BE122" s="57"/>
      <c r="BF122" s="56"/>
      <c r="BG122" s="57"/>
      <c r="BH122" s="58"/>
      <c r="BI122" s="57"/>
      <c r="BJ122" s="57"/>
      <c r="BK122" s="57"/>
      <c r="BL122" s="56"/>
      <c r="BM122" s="57"/>
      <c r="BN122" s="58"/>
      <c r="BO122" s="57"/>
      <c r="BP122" s="57"/>
      <c r="BQ122" s="57"/>
      <c r="BR122" s="60"/>
      <c r="BS122" s="57"/>
      <c r="BT122" s="61"/>
      <c r="BU122" s="57"/>
      <c r="BV122" s="57"/>
      <c r="BW122" s="57"/>
      <c r="BX122" s="56"/>
      <c r="BY122" s="57"/>
      <c r="BZ122" s="58"/>
      <c r="CA122" s="57"/>
      <c r="CB122" s="57"/>
      <c r="CC122" s="57"/>
      <c r="CD122" s="146">
        <v>3.0000000000000001E-5</v>
      </c>
      <c r="CE122" s="146"/>
      <c r="CF122" s="146"/>
      <c r="CG122" s="146">
        <v>3.0000000000000001E-5</v>
      </c>
      <c r="CH122" s="146"/>
      <c r="CI122" s="146"/>
      <c r="CJ122" s="146">
        <v>5.0000000000000002E-5</v>
      </c>
      <c r="CK122" s="146"/>
      <c r="CL122" s="146"/>
      <c r="CM122" s="146">
        <v>4.0000000000000003E-5</v>
      </c>
      <c r="CN122" s="146"/>
      <c r="CO122" s="146"/>
      <c r="CP122" s="56"/>
      <c r="CQ122" s="57"/>
      <c r="CR122" s="58"/>
      <c r="CS122" s="57"/>
      <c r="CT122" s="57"/>
      <c r="CU122" s="57"/>
      <c r="CV122" s="56"/>
      <c r="CW122" s="57"/>
      <c r="CX122" s="58"/>
      <c r="CY122" s="56"/>
      <c r="CZ122" s="57"/>
      <c r="DA122" s="58"/>
      <c r="DB122" s="57"/>
      <c r="DC122" s="57"/>
      <c r="DD122" s="57"/>
      <c r="DE122" s="56"/>
      <c r="DF122" s="57"/>
      <c r="DG122" s="58"/>
      <c r="DH122" s="56"/>
      <c r="DI122" s="57"/>
      <c r="DJ122" s="58"/>
      <c r="DK122" s="56"/>
      <c r="DL122" s="57"/>
      <c r="DM122" s="58"/>
      <c r="DN122" s="56"/>
      <c r="DO122" s="57"/>
      <c r="DP122" s="58"/>
      <c r="DQ122" s="56"/>
      <c r="DR122" s="57"/>
      <c r="DS122" s="58"/>
      <c r="DT122" s="57"/>
      <c r="DU122" s="57"/>
      <c r="DV122" s="62"/>
      <c r="DX122" s="213">
        <f>SUM(R122:DV122)</f>
        <v>1.5000000000000001E-4</v>
      </c>
      <c r="DY122" s="1"/>
      <c r="DZ122" s="1"/>
      <c r="EA122" s="1"/>
      <c r="EB122" s="1"/>
    </row>
    <row r="123" spans="5:132" s="6" customFormat="1" ht="6.95" customHeight="1">
      <c r="E123" s="367"/>
      <c r="F123" s="143"/>
      <c r="G123" s="144"/>
      <c r="H123" s="55">
        <v>2</v>
      </c>
      <c r="L123" s="313"/>
      <c r="M123" s="305"/>
      <c r="N123" s="255"/>
      <c r="O123" s="300"/>
      <c r="P123" s="246"/>
      <c r="Q123" s="184"/>
      <c r="R123" s="63"/>
      <c r="S123" s="42"/>
      <c r="T123" s="42"/>
      <c r="U123" s="42"/>
      <c r="V123" s="41"/>
      <c r="W123" s="42"/>
      <c r="X123" s="43"/>
      <c r="Y123" s="41"/>
      <c r="Z123" s="42"/>
      <c r="AA123" s="43"/>
      <c r="AB123" s="41"/>
      <c r="AC123" s="42"/>
      <c r="AD123" s="43"/>
      <c r="AE123" s="42"/>
      <c r="AF123" s="42"/>
      <c r="AG123" s="42"/>
      <c r="AH123" s="41"/>
      <c r="AI123" s="42"/>
      <c r="AJ123" s="43"/>
      <c r="AK123" s="42"/>
      <c r="AL123" s="42"/>
      <c r="AM123" s="42"/>
      <c r="AN123" s="41"/>
      <c r="AO123" s="42"/>
      <c r="AP123" s="43"/>
      <c r="AQ123" s="41"/>
      <c r="AR123" s="42"/>
      <c r="AS123" s="42"/>
      <c r="AT123" s="41"/>
      <c r="AU123" s="42"/>
      <c r="AV123" s="43"/>
      <c r="AW123" s="42"/>
      <c r="AX123" s="42"/>
      <c r="AY123" s="42"/>
      <c r="AZ123" s="41"/>
      <c r="BA123" s="42"/>
      <c r="BB123" s="43"/>
      <c r="BC123" s="42"/>
      <c r="BD123" s="42"/>
      <c r="BE123" s="42"/>
      <c r="BF123" s="41"/>
      <c r="BG123" s="42"/>
      <c r="BH123" s="43"/>
      <c r="BI123" s="42"/>
      <c r="BJ123" s="42"/>
      <c r="BK123" s="42"/>
      <c r="BL123" s="41"/>
      <c r="BM123" s="42"/>
      <c r="BN123" s="43"/>
      <c r="BO123" s="42"/>
      <c r="BP123" s="42"/>
      <c r="BQ123" s="42"/>
      <c r="BR123" s="67"/>
      <c r="BS123" s="42"/>
      <c r="BT123" s="68"/>
      <c r="BU123" s="42"/>
      <c r="BV123" s="42"/>
      <c r="BW123" s="42"/>
      <c r="BX123" s="41"/>
      <c r="BY123" s="42"/>
      <c r="BZ123" s="43"/>
      <c r="CA123" s="42"/>
      <c r="CB123" s="42"/>
      <c r="CC123" s="42"/>
      <c r="CD123" s="64"/>
      <c r="CE123" s="65"/>
      <c r="CF123" s="66"/>
      <c r="CG123" s="64"/>
      <c r="CH123" s="65"/>
      <c r="CI123" s="66"/>
      <c r="CJ123" s="64"/>
      <c r="CK123" s="65"/>
      <c r="CL123" s="66"/>
      <c r="CM123" s="64"/>
      <c r="CN123" s="65"/>
      <c r="CO123" s="66"/>
      <c r="CP123" s="41"/>
      <c r="CQ123" s="42"/>
      <c r="CR123" s="43"/>
      <c r="CS123" s="42"/>
      <c r="CT123" s="42"/>
      <c r="CU123" s="42"/>
      <c r="CV123" s="41"/>
      <c r="CW123" s="42"/>
      <c r="CX123" s="43"/>
      <c r="CY123" s="41"/>
      <c r="CZ123" s="42"/>
      <c r="DA123" s="43"/>
      <c r="DB123" s="42"/>
      <c r="DC123" s="42"/>
      <c r="DD123" s="42"/>
      <c r="DE123" s="41"/>
      <c r="DF123" s="42"/>
      <c r="DG123" s="43"/>
      <c r="DH123" s="41"/>
      <c r="DI123" s="42"/>
      <c r="DJ123" s="43"/>
      <c r="DK123" s="41"/>
      <c r="DL123" s="42"/>
      <c r="DM123" s="43"/>
      <c r="DN123" s="41"/>
      <c r="DO123" s="42"/>
      <c r="DP123" s="43"/>
      <c r="DQ123" s="41"/>
      <c r="DR123" s="42"/>
      <c r="DS123" s="43"/>
      <c r="DT123" s="42"/>
      <c r="DU123" s="42"/>
      <c r="DV123" s="44"/>
      <c r="DX123" s="213"/>
      <c r="DY123" s="1"/>
      <c r="DZ123" s="1"/>
      <c r="EA123" s="1"/>
      <c r="EB123" s="1"/>
    </row>
    <row r="124" spans="5:132" s="6" customFormat="1" ht="9.9499999999999993" customHeight="1">
      <c r="E124" s="367"/>
      <c r="F124" s="143">
        <f t="shared" ref="F124" si="47">DX124</f>
        <v>9.8999999999999999E-4</v>
      </c>
      <c r="G124" s="144">
        <f>Q124-F124</f>
        <v>0</v>
      </c>
      <c r="H124" s="27">
        <v>1</v>
      </c>
      <c r="I124" s="19" t="s">
        <v>226</v>
      </c>
      <c r="J124" s="19" t="s">
        <v>186</v>
      </c>
      <c r="K124" s="19" t="s">
        <v>229</v>
      </c>
      <c r="L124" s="313"/>
      <c r="M124" s="310" t="s">
        <v>145</v>
      </c>
      <c r="N124" s="239">
        <v>861</v>
      </c>
      <c r="O124" s="251" t="s">
        <v>62</v>
      </c>
      <c r="P124" s="249">
        <v>205750</v>
      </c>
      <c r="Q124" s="183">
        <f>ROUND(P124/$P$256,5)</f>
        <v>9.8999999999999999E-4</v>
      </c>
      <c r="R124" s="76"/>
      <c r="S124" s="70"/>
      <c r="T124" s="70"/>
      <c r="U124" s="70"/>
      <c r="V124" s="69"/>
      <c r="W124" s="70"/>
      <c r="X124" s="71"/>
      <c r="Y124" s="69"/>
      <c r="Z124" s="70"/>
      <c r="AA124" s="71"/>
      <c r="AB124" s="69"/>
      <c r="AC124" s="70"/>
      <c r="AD124" s="71"/>
      <c r="AE124" s="70"/>
      <c r="AF124" s="70"/>
      <c r="AG124" s="70"/>
      <c r="AH124" s="69"/>
      <c r="AI124" s="70"/>
      <c r="AJ124" s="71"/>
      <c r="AK124" s="70"/>
      <c r="AL124" s="70"/>
      <c r="AM124" s="70"/>
      <c r="AN124" s="69"/>
      <c r="AO124" s="70"/>
      <c r="AP124" s="71"/>
      <c r="AQ124" s="69"/>
      <c r="AR124" s="70"/>
      <c r="AS124" s="70"/>
      <c r="AT124" s="69"/>
      <c r="AU124" s="70"/>
      <c r="AV124" s="71"/>
      <c r="AW124" s="70"/>
      <c r="AX124" s="70"/>
      <c r="AY124" s="70"/>
      <c r="AZ124" s="69"/>
      <c r="BA124" s="70"/>
      <c r="BB124" s="71"/>
      <c r="BC124" s="70"/>
      <c r="BD124" s="70"/>
      <c r="BE124" s="70"/>
      <c r="BF124" s="69"/>
      <c r="BG124" s="70"/>
      <c r="BH124" s="71"/>
      <c r="BI124" s="70"/>
      <c r="BJ124" s="70"/>
      <c r="BK124" s="70"/>
      <c r="BL124" s="69"/>
      <c r="BM124" s="70"/>
      <c r="BN124" s="71"/>
      <c r="BO124" s="70"/>
      <c r="BP124" s="70"/>
      <c r="BQ124" s="70"/>
      <c r="BR124" s="73"/>
      <c r="BS124" s="70"/>
      <c r="BT124" s="74"/>
      <c r="BU124" s="70"/>
      <c r="BV124" s="70"/>
      <c r="BW124" s="70"/>
      <c r="BX124" s="69"/>
      <c r="BY124" s="70"/>
      <c r="BZ124" s="71"/>
      <c r="CA124" s="70"/>
      <c r="CB124" s="70"/>
      <c r="CC124" s="70"/>
      <c r="CD124" s="150">
        <v>2.3000000000000001E-4</v>
      </c>
      <c r="CE124" s="150"/>
      <c r="CF124" s="150"/>
      <c r="CG124" s="150">
        <v>3.2000000000000003E-4</v>
      </c>
      <c r="CH124" s="150"/>
      <c r="CI124" s="150"/>
      <c r="CJ124" s="150">
        <v>2.3000000000000001E-4</v>
      </c>
      <c r="CK124" s="150"/>
      <c r="CL124" s="150"/>
      <c r="CM124" s="150">
        <v>2.1000000000000001E-4</v>
      </c>
      <c r="CN124" s="150"/>
      <c r="CO124" s="150"/>
      <c r="CP124" s="69"/>
      <c r="CQ124" s="70"/>
      <c r="CR124" s="71"/>
      <c r="CS124" s="70"/>
      <c r="CT124" s="70"/>
      <c r="CU124" s="70"/>
      <c r="CV124" s="69"/>
      <c r="CW124" s="70"/>
      <c r="CX124" s="71"/>
      <c r="CY124" s="69"/>
      <c r="CZ124" s="70"/>
      <c r="DA124" s="71"/>
      <c r="DB124" s="70"/>
      <c r="DC124" s="70"/>
      <c r="DD124" s="70"/>
      <c r="DE124" s="69"/>
      <c r="DF124" s="70"/>
      <c r="DG124" s="71"/>
      <c r="DH124" s="69"/>
      <c r="DI124" s="70"/>
      <c r="DJ124" s="71"/>
      <c r="DK124" s="69"/>
      <c r="DL124" s="70"/>
      <c r="DM124" s="71"/>
      <c r="DN124" s="69"/>
      <c r="DO124" s="70"/>
      <c r="DP124" s="71"/>
      <c r="DQ124" s="69"/>
      <c r="DR124" s="70"/>
      <c r="DS124" s="71"/>
      <c r="DT124" s="70"/>
      <c r="DU124" s="70"/>
      <c r="DV124" s="75"/>
      <c r="DX124" s="213">
        <f>SUM(R124:DV124)</f>
        <v>9.8999999999999999E-4</v>
      </c>
      <c r="DY124" s="1"/>
      <c r="DZ124" s="1"/>
      <c r="EA124" s="1"/>
      <c r="EB124" s="1"/>
    </row>
    <row r="125" spans="5:132" s="6" customFormat="1" ht="6.95" customHeight="1">
      <c r="F125" s="143"/>
      <c r="G125" s="144"/>
      <c r="H125" s="55">
        <v>2</v>
      </c>
      <c r="L125" s="313"/>
      <c r="M125" s="311"/>
      <c r="N125" s="239"/>
      <c r="O125" s="240"/>
      <c r="P125" s="249"/>
      <c r="Q125" s="184"/>
      <c r="R125" s="76"/>
      <c r="S125" s="70"/>
      <c r="T125" s="70"/>
      <c r="U125" s="70"/>
      <c r="V125" s="69"/>
      <c r="W125" s="70"/>
      <c r="X125" s="71"/>
      <c r="Y125" s="69"/>
      <c r="Z125" s="70"/>
      <c r="AA125" s="71"/>
      <c r="AB125" s="69"/>
      <c r="AC125" s="70"/>
      <c r="AD125" s="71"/>
      <c r="AE125" s="70"/>
      <c r="AF125" s="70"/>
      <c r="AG125" s="70"/>
      <c r="AH125" s="69"/>
      <c r="AI125" s="70"/>
      <c r="AJ125" s="71"/>
      <c r="AK125" s="70"/>
      <c r="AL125" s="70"/>
      <c r="AM125" s="70"/>
      <c r="AN125" s="69"/>
      <c r="AO125" s="70"/>
      <c r="AP125" s="71"/>
      <c r="AQ125" s="69"/>
      <c r="AR125" s="70"/>
      <c r="AS125" s="70"/>
      <c r="AT125" s="69"/>
      <c r="AU125" s="70"/>
      <c r="AV125" s="71"/>
      <c r="AW125" s="70"/>
      <c r="AX125" s="70"/>
      <c r="AY125" s="70"/>
      <c r="AZ125" s="69"/>
      <c r="BA125" s="70"/>
      <c r="BB125" s="71"/>
      <c r="BC125" s="70"/>
      <c r="BD125" s="70"/>
      <c r="BE125" s="70"/>
      <c r="BF125" s="69"/>
      <c r="BG125" s="70"/>
      <c r="BH125" s="71"/>
      <c r="BI125" s="70"/>
      <c r="BJ125" s="70"/>
      <c r="BK125" s="70"/>
      <c r="BL125" s="69"/>
      <c r="BM125" s="70"/>
      <c r="BN125" s="71"/>
      <c r="BO125" s="70"/>
      <c r="BP125" s="70"/>
      <c r="BQ125" s="70"/>
      <c r="BR125" s="73"/>
      <c r="BS125" s="70"/>
      <c r="BT125" s="74"/>
      <c r="BU125" s="70"/>
      <c r="BV125" s="70"/>
      <c r="BW125" s="70"/>
      <c r="BX125" s="69"/>
      <c r="BY125" s="70"/>
      <c r="BZ125" s="71"/>
      <c r="CA125" s="70"/>
      <c r="CB125" s="70"/>
      <c r="CC125" s="70"/>
      <c r="CD125" s="64"/>
      <c r="CE125" s="65"/>
      <c r="CF125" s="66"/>
      <c r="CG125" s="64"/>
      <c r="CH125" s="65"/>
      <c r="CI125" s="66"/>
      <c r="CJ125" s="64"/>
      <c r="CK125" s="65"/>
      <c r="CL125" s="66"/>
      <c r="CM125" s="64"/>
      <c r="CN125" s="65"/>
      <c r="CO125" s="66"/>
      <c r="CP125" s="69"/>
      <c r="CQ125" s="70"/>
      <c r="CR125" s="71"/>
      <c r="CS125" s="70"/>
      <c r="CT125" s="70"/>
      <c r="CU125" s="70"/>
      <c r="CV125" s="69"/>
      <c r="CW125" s="70"/>
      <c r="CX125" s="71"/>
      <c r="CY125" s="69"/>
      <c r="CZ125" s="70"/>
      <c r="DA125" s="71"/>
      <c r="DB125" s="70"/>
      <c r="DC125" s="70"/>
      <c r="DD125" s="70"/>
      <c r="DE125" s="69"/>
      <c r="DF125" s="70"/>
      <c r="DG125" s="71"/>
      <c r="DH125" s="69"/>
      <c r="DI125" s="70"/>
      <c r="DJ125" s="71"/>
      <c r="DK125" s="69"/>
      <c r="DL125" s="70"/>
      <c r="DM125" s="71"/>
      <c r="DN125" s="69"/>
      <c r="DO125" s="70"/>
      <c r="DP125" s="71"/>
      <c r="DQ125" s="69"/>
      <c r="DR125" s="70"/>
      <c r="DS125" s="71"/>
      <c r="DT125" s="70"/>
      <c r="DU125" s="70"/>
      <c r="DV125" s="75"/>
      <c r="DX125" s="213"/>
      <c r="DY125" s="1"/>
      <c r="DZ125" s="1"/>
      <c r="EA125" s="1"/>
      <c r="EB125" s="1"/>
    </row>
    <row r="126" spans="5:132" s="6" customFormat="1" ht="9.9499999999999993" customHeight="1">
      <c r="F126" s="143">
        <f t="shared" ref="F126" si="48">DX126</f>
        <v>4.1000000000000005E-4</v>
      </c>
      <c r="G126" s="144">
        <f>Q126-F126</f>
        <v>0</v>
      </c>
      <c r="H126" s="27">
        <v>1</v>
      </c>
      <c r="I126" s="19" t="s">
        <v>226</v>
      </c>
      <c r="J126" s="19" t="s">
        <v>186</v>
      </c>
      <c r="K126" s="19" t="s">
        <v>230</v>
      </c>
      <c r="L126" s="313"/>
      <c r="M126" s="304" t="s">
        <v>63</v>
      </c>
      <c r="N126" s="254">
        <v>71</v>
      </c>
      <c r="O126" s="253" t="s">
        <v>57</v>
      </c>
      <c r="P126" s="245">
        <v>84868</v>
      </c>
      <c r="Q126" s="183">
        <f>ROUND(P126/$P$256,5)</f>
        <v>4.0999999999999999E-4</v>
      </c>
      <c r="R126" s="79"/>
      <c r="S126" s="57"/>
      <c r="T126" s="57"/>
      <c r="U126" s="57"/>
      <c r="V126" s="56"/>
      <c r="W126" s="57"/>
      <c r="X126" s="58"/>
      <c r="Y126" s="56"/>
      <c r="Z126" s="57"/>
      <c r="AA126" s="58"/>
      <c r="AB126" s="56"/>
      <c r="AC126" s="57"/>
      <c r="AD126" s="58"/>
      <c r="AE126" s="57"/>
      <c r="AF126" s="57"/>
      <c r="AG126" s="57"/>
      <c r="AH126" s="56"/>
      <c r="AI126" s="57"/>
      <c r="AJ126" s="58"/>
      <c r="AK126" s="57"/>
      <c r="AL126" s="57"/>
      <c r="AM126" s="57"/>
      <c r="AN126" s="56"/>
      <c r="AO126" s="57"/>
      <c r="AP126" s="58"/>
      <c r="AQ126" s="56"/>
      <c r="AR126" s="57"/>
      <c r="AS126" s="57"/>
      <c r="AT126" s="56"/>
      <c r="AU126" s="57"/>
      <c r="AV126" s="58"/>
      <c r="AW126" s="57"/>
      <c r="AX126" s="57"/>
      <c r="AY126" s="57"/>
      <c r="AZ126" s="56"/>
      <c r="BA126" s="57"/>
      <c r="BB126" s="58"/>
      <c r="BC126" s="57"/>
      <c r="BD126" s="57"/>
      <c r="BE126" s="57"/>
      <c r="BF126" s="56"/>
      <c r="BG126" s="57"/>
      <c r="BH126" s="58"/>
      <c r="BI126" s="57"/>
      <c r="BJ126" s="57"/>
      <c r="BK126" s="57"/>
      <c r="BL126" s="56"/>
      <c r="BM126" s="57"/>
      <c r="BN126" s="58"/>
      <c r="BO126" s="57"/>
      <c r="BP126" s="57"/>
      <c r="BQ126" s="57"/>
      <c r="BR126" s="60"/>
      <c r="BS126" s="57"/>
      <c r="BT126" s="61"/>
      <c r="BU126" s="57"/>
      <c r="BV126" s="57"/>
      <c r="BW126" s="57"/>
      <c r="BX126" s="56"/>
      <c r="BY126" s="57"/>
      <c r="BZ126" s="58"/>
      <c r="CA126" s="57"/>
      <c r="CB126" s="57"/>
      <c r="CC126" s="57"/>
      <c r="CD126" s="146"/>
      <c r="CE126" s="146"/>
      <c r="CF126" s="146"/>
      <c r="CG126" s="146">
        <v>8.0000000000000007E-5</v>
      </c>
      <c r="CH126" s="146"/>
      <c r="CI126" s="146"/>
      <c r="CJ126" s="146">
        <v>1.1E-4</v>
      </c>
      <c r="CK126" s="146"/>
      <c r="CL126" s="146"/>
      <c r="CM126" s="146">
        <v>1.1E-4</v>
      </c>
      <c r="CN126" s="146"/>
      <c r="CO126" s="146"/>
      <c r="CP126" s="146">
        <v>1.1E-4</v>
      </c>
      <c r="CQ126" s="146"/>
      <c r="CR126" s="146"/>
      <c r="CS126" s="57"/>
      <c r="CT126" s="57"/>
      <c r="CU126" s="57"/>
      <c r="CV126" s="56"/>
      <c r="CW126" s="57"/>
      <c r="CX126" s="58"/>
      <c r="CY126" s="56"/>
      <c r="CZ126" s="57"/>
      <c r="DA126" s="58"/>
      <c r="DB126" s="57"/>
      <c r="DC126" s="57"/>
      <c r="DD126" s="57"/>
      <c r="DE126" s="56"/>
      <c r="DF126" s="57"/>
      <c r="DG126" s="58"/>
      <c r="DH126" s="56"/>
      <c r="DI126" s="57"/>
      <c r="DJ126" s="58"/>
      <c r="DK126" s="56"/>
      <c r="DL126" s="57"/>
      <c r="DM126" s="58"/>
      <c r="DN126" s="56"/>
      <c r="DO126" s="57"/>
      <c r="DP126" s="58"/>
      <c r="DQ126" s="56"/>
      <c r="DR126" s="57"/>
      <c r="DS126" s="58"/>
      <c r="DT126" s="57"/>
      <c r="DU126" s="57"/>
      <c r="DV126" s="62"/>
      <c r="DX126" s="213">
        <f>SUM(R126:DV126)</f>
        <v>4.1000000000000005E-4</v>
      </c>
      <c r="DY126" s="1"/>
      <c r="DZ126" s="1"/>
      <c r="EA126" s="1"/>
      <c r="EB126" s="1"/>
    </row>
    <row r="127" spans="5:132" s="6" customFormat="1" ht="6.95" customHeight="1">
      <c r="F127" s="143"/>
      <c r="G127" s="144"/>
      <c r="H127" s="55">
        <v>2</v>
      </c>
      <c r="L127" s="313"/>
      <c r="M127" s="305"/>
      <c r="N127" s="255"/>
      <c r="O127" s="244"/>
      <c r="P127" s="246"/>
      <c r="Q127" s="184"/>
      <c r="R127" s="63"/>
      <c r="S127" s="42"/>
      <c r="T127" s="42"/>
      <c r="U127" s="42"/>
      <c r="V127" s="41"/>
      <c r="W127" s="42"/>
      <c r="X127" s="43"/>
      <c r="Y127" s="41"/>
      <c r="Z127" s="42"/>
      <c r="AA127" s="43"/>
      <c r="AB127" s="41"/>
      <c r="AC127" s="42"/>
      <c r="AD127" s="43"/>
      <c r="AE127" s="42"/>
      <c r="AF127" s="42"/>
      <c r="AG127" s="42"/>
      <c r="AH127" s="41"/>
      <c r="AI127" s="42"/>
      <c r="AJ127" s="43"/>
      <c r="AK127" s="42"/>
      <c r="AL127" s="42"/>
      <c r="AM127" s="42"/>
      <c r="AN127" s="41"/>
      <c r="AO127" s="42"/>
      <c r="AP127" s="43"/>
      <c r="AQ127" s="41"/>
      <c r="AR127" s="42"/>
      <c r="AS127" s="42"/>
      <c r="AT127" s="41"/>
      <c r="AU127" s="42"/>
      <c r="AV127" s="43"/>
      <c r="AW127" s="42"/>
      <c r="AX127" s="42"/>
      <c r="AY127" s="42"/>
      <c r="AZ127" s="41"/>
      <c r="BA127" s="42"/>
      <c r="BB127" s="43"/>
      <c r="BC127" s="42"/>
      <c r="BD127" s="42"/>
      <c r="BE127" s="42"/>
      <c r="BF127" s="41"/>
      <c r="BG127" s="42"/>
      <c r="BH127" s="43"/>
      <c r="BI127" s="42"/>
      <c r="BJ127" s="42"/>
      <c r="BK127" s="42"/>
      <c r="BL127" s="41"/>
      <c r="BM127" s="42"/>
      <c r="BN127" s="43"/>
      <c r="BO127" s="42"/>
      <c r="BP127" s="42"/>
      <c r="BQ127" s="42"/>
      <c r="BR127" s="67"/>
      <c r="BS127" s="42"/>
      <c r="BT127" s="68"/>
      <c r="BU127" s="42"/>
      <c r="BV127" s="42"/>
      <c r="BW127" s="42"/>
      <c r="BX127" s="41"/>
      <c r="BY127" s="42"/>
      <c r="BZ127" s="43"/>
      <c r="CA127" s="42"/>
      <c r="CB127" s="42"/>
      <c r="CC127" s="42"/>
      <c r="CD127" s="41"/>
      <c r="CE127" s="42"/>
      <c r="CF127" s="43"/>
      <c r="CG127" s="64"/>
      <c r="CH127" s="65"/>
      <c r="CI127" s="66"/>
      <c r="CJ127" s="64"/>
      <c r="CK127" s="65"/>
      <c r="CL127" s="66"/>
      <c r="CM127" s="64"/>
      <c r="CN127" s="65"/>
      <c r="CO127" s="66"/>
      <c r="CP127" s="64"/>
      <c r="CQ127" s="65"/>
      <c r="CR127" s="66"/>
      <c r="CS127" s="42"/>
      <c r="CT127" s="42"/>
      <c r="CU127" s="42"/>
      <c r="CV127" s="41"/>
      <c r="CW127" s="42"/>
      <c r="CX127" s="43"/>
      <c r="CY127" s="41"/>
      <c r="CZ127" s="42"/>
      <c r="DA127" s="43"/>
      <c r="DB127" s="42"/>
      <c r="DC127" s="42"/>
      <c r="DD127" s="42"/>
      <c r="DE127" s="41"/>
      <c r="DF127" s="42"/>
      <c r="DG127" s="43"/>
      <c r="DH127" s="41"/>
      <c r="DI127" s="42"/>
      <c r="DJ127" s="43"/>
      <c r="DK127" s="41"/>
      <c r="DL127" s="42"/>
      <c r="DM127" s="43"/>
      <c r="DN127" s="41"/>
      <c r="DO127" s="42"/>
      <c r="DP127" s="43"/>
      <c r="DQ127" s="41"/>
      <c r="DR127" s="42"/>
      <c r="DS127" s="43"/>
      <c r="DT127" s="42"/>
      <c r="DU127" s="42"/>
      <c r="DV127" s="44"/>
      <c r="DX127" s="213"/>
      <c r="DY127" s="1"/>
      <c r="DZ127" s="1"/>
      <c r="EA127" s="1"/>
      <c r="EB127" s="1"/>
    </row>
    <row r="128" spans="5:132" s="6" customFormat="1" ht="9.9499999999999993" customHeight="1">
      <c r="F128" s="143">
        <f t="shared" ref="F128" si="49">DX128</f>
        <v>2.2000000000000001E-4</v>
      </c>
      <c r="G128" s="144">
        <f>Q128-F128</f>
        <v>0</v>
      </c>
      <c r="H128" s="27">
        <v>1</v>
      </c>
      <c r="I128" s="19" t="s">
        <v>226</v>
      </c>
      <c r="J128" s="19" t="s">
        <v>186</v>
      </c>
      <c r="K128" s="19" t="s">
        <v>232</v>
      </c>
      <c r="L128" s="313"/>
      <c r="M128" s="238" t="s">
        <v>64</v>
      </c>
      <c r="N128" s="239">
        <v>15</v>
      </c>
      <c r="O128" s="251" t="s">
        <v>65</v>
      </c>
      <c r="P128" s="249">
        <v>46555</v>
      </c>
      <c r="Q128" s="183">
        <f>ROUND(P128/$P$256,5)</f>
        <v>2.2000000000000001E-4</v>
      </c>
      <c r="R128" s="76"/>
      <c r="S128" s="70"/>
      <c r="T128" s="70"/>
      <c r="U128" s="70"/>
      <c r="V128" s="69"/>
      <c r="W128" s="70"/>
      <c r="X128" s="71"/>
      <c r="Y128" s="69"/>
      <c r="Z128" s="70"/>
      <c r="AA128" s="71"/>
      <c r="AB128" s="69"/>
      <c r="AC128" s="70"/>
      <c r="AD128" s="71"/>
      <c r="AE128" s="70"/>
      <c r="AF128" s="70"/>
      <c r="AG128" s="70"/>
      <c r="AH128" s="69"/>
      <c r="AI128" s="70"/>
      <c r="AJ128" s="71"/>
      <c r="AK128" s="70"/>
      <c r="AL128" s="70"/>
      <c r="AM128" s="70"/>
      <c r="AN128" s="69"/>
      <c r="AO128" s="70"/>
      <c r="AP128" s="71"/>
      <c r="AQ128" s="69"/>
      <c r="AR128" s="70"/>
      <c r="AS128" s="70"/>
      <c r="AT128" s="69"/>
      <c r="AU128" s="70"/>
      <c r="AV128" s="71"/>
      <c r="AW128" s="70"/>
      <c r="AX128" s="70"/>
      <c r="AY128" s="70"/>
      <c r="AZ128" s="69"/>
      <c r="BA128" s="70"/>
      <c r="BB128" s="71"/>
      <c r="BC128" s="70"/>
      <c r="BD128" s="70"/>
      <c r="BE128" s="70"/>
      <c r="BF128" s="69"/>
      <c r="BG128" s="70"/>
      <c r="BH128" s="71"/>
      <c r="BI128" s="70"/>
      <c r="BJ128" s="70"/>
      <c r="BK128" s="70"/>
      <c r="BL128" s="69"/>
      <c r="BM128" s="70"/>
      <c r="BN128" s="71"/>
      <c r="BO128" s="70"/>
      <c r="BP128" s="70"/>
      <c r="BQ128" s="70"/>
      <c r="BR128" s="73"/>
      <c r="BS128" s="70"/>
      <c r="BT128" s="74"/>
      <c r="BU128" s="70"/>
      <c r="BV128" s="70"/>
      <c r="BW128" s="70"/>
      <c r="BX128" s="69"/>
      <c r="BY128" s="70"/>
      <c r="BZ128" s="71"/>
      <c r="CA128" s="70"/>
      <c r="CB128" s="70"/>
      <c r="CC128" s="71"/>
      <c r="CD128" s="70"/>
      <c r="CE128" s="70"/>
      <c r="CF128" s="71"/>
      <c r="CG128" s="150">
        <v>6.0000000000000002E-5</v>
      </c>
      <c r="CH128" s="150"/>
      <c r="CI128" s="150"/>
      <c r="CJ128" s="150">
        <v>1E-4</v>
      </c>
      <c r="CK128" s="150"/>
      <c r="CL128" s="150"/>
      <c r="CM128" s="150">
        <v>6.0000000000000002E-5</v>
      </c>
      <c r="CN128" s="150"/>
      <c r="CO128" s="150"/>
      <c r="CP128" s="69"/>
      <c r="CQ128" s="70"/>
      <c r="CR128" s="71"/>
      <c r="CS128" s="70"/>
      <c r="CT128" s="70"/>
      <c r="CU128" s="70"/>
      <c r="CV128" s="69"/>
      <c r="CW128" s="70"/>
      <c r="CX128" s="71"/>
      <c r="CY128" s="69"/>
      <c r="CZ128" s="70"/>
      <c r="DA128" s="71"/>
      <c r="DB128" s="70"/>
      <c r="DC128" s="70"/>
      <c r="DD128" s="70"/>
      <c r="DE128" s="69"/>
      <c r="DF128" s="70"/>
      <c r="DG128" s="71"/>
      <c r="DH128" s="69"/>
      <c r="DI128" s="70"/>
      <c r="DJ128" s="71"/>
      <c r="DK128" s="69"/>
      <c r="DL128" s="70"/>
      <c r="DM128" s="71"/>
      <c r="DN128" s="69"/>
      <c r="DO128" s="70"/>
      <c r="DP128" s="71"/>
      <c r="DQ128" s="69"/>
      <c r="DR128" s="70"/>
      <c r="DS128" s="71"/>
      <c r="DT128" s="70"/>
      <c r="DU128" s="70"/>
      <c r="DV128" s="75"/>
      <c r="DX128" s="213">
        <f>SUM(R128:DV128)</f>
        <v>2.2000000000000001E-4</v>
      </c>
      <c r="DY128" s="1"/>
      <c r="DZ128" s="1"/>
      <c r="EA128" s="1"/>
      <c r="EB128" s="1"/>
    </row>
    <row r="129" spans="6:132" s="6" customFormat="1" ht="6.95" customHeight="1">
      <c r="F129" s="143"/>
      <c r="G129" s="144"/>
      <c r="H129" s="55">
        <v>2</v>
      </c>
      <c r="L129" s="313"/>
      <c r="M129" s="238"/>
      <c r="N129" s="239"/>
      <c r="O129" s="240"/>
      <c r="P129" s="249"/>
      <c r="Q129" s="184"/>
      <c r="R129" s="76"/>
      <c r="S129" s="70"/>
      <c r="T129" s="70"/>
      <c r="U129" s="70"/>
      <c r="V129" s="69"/>
      <c r="W129" s="70"/>
      <c r="X129" s="71"/>
      <c r="Y129" s="69"/>
      <c r="Z129" s="70"/>
      <c r="AA129" s="71"/>
      <c r="AB129" s="69"/>
      <c r="AC129" s="70"/>
      <c r="AD129" s="71"/>
      <c r="AE129" s="70"/>
      <c r="AF129" s="70"/>
      <c r="AG129" s="70"/>
      <c r="AH129" s="69"/>
      <c r="AI129" s="70"/>
      <c r="AJ129" s="71"/>
      <c r="AK129" s="70"/>
      <c r="AL129" s="70"/>
      <c r="AM129" s="70"/>
      <c r="AN129" s="69"/>
      <c r="AO129" s="70"/>
      <c r="AP129" s="71"/>
      <c r="AQ129" s="69"/>
      <c r="AR129" s="70"/>
      <c r="AS129" s="70"/>
      <c r="AT129" s="69"/>
      <c r="AU129" s="70"/>
      <c r="AV129" s="71"/>
      <c r="AW129" s="70"/>
      <c r="AX129" s="70"/>
      <c r="AY129" s="70"/>
      <c r="AZ129" s="69"/>
      <c r="BA129" s="70"/>
      <c r="BB129" s="71"/>
      <c r="BC129" s="70"/>
      <c r="BD129" s="70"/>
      <c r="BE129" s="70"/>
      <c r="BF129" s="69"/>
      <c r="BG129" s="70"/>
      <c r="BH129" s="71"/>
      <c r="BI129" s="70"/>
      <c r="BJ129" s="70"/>
      <c r="BK129" s="70"/>
      <c r="BL129" s="69"/>
      <c r="BM129" s="70"/>
      <c r="BN129" s="71"/>
      <c r="BO129" s="70"/>
      <c r="BP129" s="70"/>
      <c r="BQ129" s="70"/>
      <c r="BR129" s="73"/>
      <c r="BS129" s="70"/>
      <c r="BT129" s="74"/>
      <c r="BU129" s="70"/>
      <c r="BV129" s="70"/>
      <c r="BW129" s="70"/>
      <c r="BX129" s="69"/>
      <c r="BY129" s="70"/>
      <c r="BZ129" s="71"/>
      <c r="CA129" s="70"/>
      <c r="CB129" s="70"/>
      <c r="CC129" s="71"/>
      <c r="CD129" s="70"/>
      <c r="CE129" s="70"/>
      <c r="CF129" s="71"/>
      <c r="CG129" s="64"/>
      <c r="CH129" s="65"/>
      <c r="CI129" s="66"/>
      <c r="CJ129" s="64"/>
      <c r="CK129" s="65"/>
      <c r="CL129" s="66"/>
      <c r="CM129" s="64"/>
      <c r="CN129" s="65"/>
      <c r="CO129" s="66"/>
      <c r="CP129" s="69"/>
      <c r="CQ129" s="70"/>
      <c r="CR129" s="71"/>
      <c r="CS129" s="70"/>
      <c r="CT129" s="70"/>
      <c r="CU129" s="70"/>
      <c r="CV129" s="69"/>
      <c r="CW129" s="70"/>
      <c r="CX129" s="71"/>
      <c r="CY129" s="69"/>
      <c r="CZ129" s="70"/>
      <c r="DA129" s="71"/>
      <c r="DB129" s="70"/>
      <c r="DC129" s="70"/>
      <c r="DD129" s="70"/>
      <c r="DE129" s="69"/>
      <c r="DF129" s="70"/>
      <c r="DG129" s="71"/>
      <c r="DH129" s="69"/>
      <c r="DI129" s="70"/>
      <c r="DJ129" s="71"/>
      <c r="DK129" s="69"/>
      <c r="DL129" s="70"/>
      <c r="DM129" s="71"/>
      <c r="DN129" s="69"/>
      <c r="DO129" s="70"/>
      <c r="DP129" s="71"/>
      <c r="DQ129" s="69"/>
      <c r="DR129" s="70"/>
      <c r="DS129" s="71"/>
      <c r="DT129" s="70"/>
      <c r="DU129" s="70"/>
      <c r="DV129" s="75"/>
      <c r="DX129" s="213"/>
      <c r="DY129" s="1"/>
      <c r="DZ129" s="1"/>
      <c r="EA129" s="1"/>
      <c r="EB129" s="1"/>
    </row>
    <row r="130" spans="6:132" s="6" customFormat="1" ht="9.9499999999999993" customHeight="1">
      <c r="F130" s="143">
        <f t="shared" ref="F130" si="50">DX130</f>
        <v>1.0000000000000001E-5</v>
      </c>
      <c r="G130" s="144">
        <f>Q130-F130</f>
        <v>0</v>
      </c>
      <c r="H130" s="27">
        <v>1</v>
      </c>
      <c r="L130" s="313"/>
      <c r="M130" s="306" t="s">
        <v>67</v>
      </c>
      <c r="N130" s="254">
        <v>218</v>
      </c>
      <c r="O130" s="253" t="s">
        <v>68</v>
      </c>
      <c r="P130" s="245">
        <v>2043</v>
      </c>
      <c r="Q130" s="183">
        <f>ROUND(P130/$P$256,5)</f>
        <v>1.0000000000000001E-5</v>
      </c>
      <c r="R130" s="21"/>
      <c r="S130" s="57"/>
      <c r="T130" s="57"/>
      <c r="U130" s="57"/>
      <c r="V130" s="56"/>
      <c r="W130" s="57"/>
      <c r="X130" s="58"/>
      <c r="Y130" s="56"/>
      <c r="Z130" s="57"/>
      <c r="AA130" s="58"/>
      <c r="AB130" s="56"/>
      <c r="AC130" s="57"/>
      <c r="AD130" s="58"/>
      <c r="AE130" s="57"/>
      <c r="AF130" s="57"/>
      <c r="AG130" s="57"/>
      <c r="AH130" s="56"/>
      <c r="AI130" s="57"/>
      <c r="AJ130" s="58"/>
      <c r="AK130" s="57"/>
      <c r="AL130" s="57"/>
      <c r="AM130" s="57"/>
      <c r="AN130" s="56"/>
      <c r="AO130" s="57"/>
      <c r="AP130" s="58"/>
      <c r="AQ130" s="56"/>
      <c r="AR130" s="57"/>
      <c r="AS130" s="57"/>
      <c r="AT130" s="56"/>
      <c r="AU130" s="57"/>
      <c r="AV130" s="58"/>
      <c r="AW130" s="57"/>
      <c r="AX130" s="57"/>
      <c r="AY130" s="57"/>
      <c r="AZ130" s="56"/>
      <c r="BA130" s="57"/>
      <c r="BB130" s="58"/>
      <c r="BC130" s="57"/>
      <c r="BD130" s="57"/>
      <c r="BE130" s="57"/>
      <c r="BF130" s="56"/>
      <c r="BG130" s="57"/>
      <c r="BH130" s="58"/>
      <c r="BI130" s="57"/>
      <c r="BJ130" s="57"/>
      <c r="BK130" s="57"/>
      <c r="BL130" s="56"/>
      <c r="BM130" s="57"/>
      <c r="BN130" s="58"/>
      <c r="BO130" s="57"/>
      <c r="BP130" s="57"/>
      <c r="BQ130" s="57"/>
      <c r="BR130" s="60"/>
      <c r="BS130" s="57"/>
      <c r="BT130" s="61"/>
      <c r="BU130" s="57"/>
      <c r="BV130" s="57"/>
      <c r="BW130" s="57"/>
      <c r="BX130" s="56"/>
      <c r="BY130" s="57"/>
      <c r="BZ130" s="58"/>
      <c r="CA130" s="57"/>
      <c r="CB130" s="57"/>
      <c r="CC130" s="58"/>
      <c r="CD130" s="56"/>
      <c r="CE130" s="57"/>
      <c r="CF130" s="58"/>
      <c r="CG130" s="56"/>
      <c r="CH130" s="57"/>
      <c r="CI130" s="58"/>
      <c r="CJ130" s="146"/>
      <c r="CK130" s="146"/>
      <c r="CL130" s="146"/>
      <c r="CM130" s="146">
        <v>5.0000000000000004E-6</v>
      </c>
      <c r="CN130" s="146"/>
      <c r="CO130" s="146"/>
      <c r="CP130" s="56"/>
      <c r="CQ130" s="57"/>
      <c r="CR130" s="58"/>
      <c r="CS130" s="57"/>
      <c r="CT130" s="57"/>
      <c r="CU130" s="57"/>
      <c r="CV130" s="56"/>
      <c r="CW130" s="57"/>
      <c r="CX130" s="58"/>
      <c r="CY130" s="56"/>
      <c r="CZ130" s="57"/>
      <c r="DA130" s="58"/>
      <c r="DB130" s="57"/>
      <c r="DC130" s="57"/>
      <c r="DD130" s="57"/>
      <c r="DE130" s="56"/>
      <c r="DF130" s="57"/>
      <c r="DG130" s="58"/>
      <c r="DH130" s="56"/>
      <c r="DI130" s="57"/>
      <c r="DJ130" s="58"/>
      <c r="DK130" s="56"/>
      <c r="DL130" s="57"/>
      <c r="DM130" s="58"/>
      <c r="DN130" s="56"/>
      <c r="DO130" s="57"/>
      <c r="DP130" s="58"/>
      <c r="DQ130" s="56"/>
      <c r="DR130" s="57"/>
      <c r="DS130" s="58"/>
      <c r="DT130" s="146">
        <v>5.0000000000000004E-6</v>
      </c>
      <c r="DU130" s="146"/>
      <c r="DV130" s="214"/>
      <c r="DX130" s="213">
        <f>SUM(R130:DV130)</f>
        <v>1.0000000000000001E-5</v>
      </c>
      <c r="DY130" s="1"/>
      <c r="DZ130" s="1"/>
      <c r="EA130" s="1"/>
      <c r="EB130" s="1"/>
    </row>
    <row r="131" spans="6:132" s="6" customFormat="1" ht="6.95" customHeight="1">
      <c r="F131" s="143"/>
      <c r="G131" s="144"/>
      <c r="H131" s="55">
        <v>2</v>
      </c>
      <c r="L131" s="313"/>
      <c r="M131" s="307"/>
      <c r="N131" s="255"/>
      <c r="O131" s="244"/>
      <c r="P131" s="246"/>
      <c r="Q131" s="184"/>
      <c r="R131" s="63"/>
      <c r="S131" s="42"/>
      <c r="T131" s="42"/>
      <c r="U131" s="42"/>
      <c r="V131" s="41"/>
      <c r="W131" s="42"/>
      <c r="X131" s="43"/>
      <c r="Y131" s="41"/>
      <c r="Z131" s="42"/>
      <c r="AA131" s="43"/>
      <c r="AB131" s="41"/>
      <c r="AC131" s="42"/>
      <c r="AD131" s="43"/>
      <c r="AE131" s="42"/>
      <c r="AF131" s="42"/>
      <c r="AG131" s="42"/>
      <c r="AH131" s="41"/>
      <c r="AI131" s="42"/>
      <c r="AJ131" s="43"/>
      <c r="AK131" s="42"/>
      <c r="AL131" s="42"/>
      <c r="AM131" s="42"/>
      <c r="AN131" s="41"/>
      <c r="AO131" s="42"/>
      <c r="AP131" s="43"/>
      <c r="AQ131" s="41"/>
      <c r="AR131" s="42"/>
      <c r="AS131" s="42"/>
      <c r="AT131" s="41"/>
      <c r="AU131" s="42"/>
      <c r="AV131" s="43"/>
      <c r="AW131" s="42"/>
      <c r="AX131" s="42"/>
      <c r="AY131" s="42"/>
      <c r="AZ131" s="41"/>
      <c r="BA131" s="42"/>
      <c r="BB131" s="43"/>
      <c r="BC131" s="42"/>
      <c r="BD131" s="42"/>
      <c r="BE131" s="42"/>
      <c r="BF131" s="41"/>
      <c r="BG131" s="42"/>
      <c r="BH131" s="43"/>
      <c r="BI131" s="42"/>
      <c r="BJ131" s="42"/>
      <c r="BK131" s="42"/>
      <c r="BL131" s="41"/>
      <c r="BM131" s="42"/>
      <c r="BN131" s="43"/>
      <c r="BO131" s="42"/>
      <c r="BP131" s="42"/>
      <c r="BQ131" s="42"/>
      <c r="BR131" s="67"/>
      <c r="BS131" s="42"/>
      <c r="BT131" s="68"/>
      <c r="BU131" s="42"/>
      <c r="BV131" s="42"/>
      <c r="BW131" s="42"/>
      <c r="BX131" s="41"/>
      <c r="BY131" s="42"/>
      <c r="BZ131" s="43"/>
      <c r="CA131" s="42"/>
      <c r="CB131" s="42"/>
      <c r="CC131" s="43"/>
      <c r="CD131" s="41"/>
      <c r="CE131" s="42"/>
      <c r="CF131" s="43"/>
      <c r="CG131" s="41"/>
      <c r="CH131" s="42"/>
      <c r="CI131" s="43"/>
      <c r="CJ131" s="41"/>
      <c r="CK131" s="42"/>
      <c r="CL131" s="43"/>
      <c r="CM131" s="64"/>
      <c r="CN131" s="65"/>
      <c r="CO131" s="66"/>
      <c r="CP131" s="41"/>
      <c r="CQ131" s="42"/>
      <c r="CR131" s="43"/>
      <c r="CS131" s="42"/>
      <c r="CT131" s="42"/>
      <c r="CU131" s="42"/>
      <c r="CV131" s="41"/>
      <c r="CW131" s="42"/>
      <c r="CX131" s="43"/>
      <c r="CY131" s="41"/>
      <c r="CZ131" s="42"/>
      <c r="DA131" s="43"/>
      <c r="DB131" s="42"/>
      <c r="DC131" s="42"/>
      <c r="DD131" s="42"/>
      <c r="DE131" s="41"/>
      <c r="DF131" s="42"/>
      <c r="DG131" s="43"/>
      <c r="DH131" s="41"/>
      <c r="DI131" s="42"/>
      <c r="DJ131" s="43"/>
      <c r="DK131" s="41"/>
      <c r="DL131" s="42"/>
      <c r="DM131" s="43"/>
      <c r="DN131" s="41"/>
      <c r="DO131" s="42"/>
      <c r="DP131" s="43"/>
      <c r="DQ131" s="41"/>
      <c r="DR131" s="42"/>
      <c r="DS131" s="43"/>
      <c r="DT131" s="64"/>
      <c r="DU131" s="65"/>
      <c r="DV131" s="94"/>
      <c r="DX131" s="213"/>
      <c r="DY131" s="1"/>
      <c r="DZ131" s="1"/>
      <c r="EA131" s="1"/>
      <c r="EB131" s="1"/>
    </row>
    <row r="132" spans="6:132" s="6" customFormat="1" ht="9.9499999999999993" customHeight="1">
      <c r="F132" s="143">
        <f t="shared" ref="F132" si="51">DX132</f>
        <v>1.41E-3</v>
      </c>
      <c r="G132" s="144">
        <f>Q132-F132</f>
        <v>0</v>
      </c>
      <c r="H132" s="27">
        <v>1</v>
      </c>
      <c r="L132" s="313"/>
      <c r="M132" s="238" t="s">
        <v>146</v>
      </c>
      <c r="N132" s="239">
        <v>1</v>
      </c>
      <c r="O132" s="251" t="s">
        <v>60</v>
      </c>
      <c r="P132" s="249">
        <v>293620</v>
      </c>
      <c r="Q132" s="183">
        <f>ROUND(P132/$P$256,5)</f>
        <v>1.41E-3</v>
      </c>
      <c r="R132" s="76"/>
      <c r="S132" s="70"/>
      <c r="T132" s="70"/>
      <c r="U132" s="70"/>
      <c r="V132" s="69"/>
      <c r="W132" s="70"/>
      <c r="X132" s="71"/>
      <c r="Y132" s="69"/>
      <c r="Z132" s="70"/>
      <c r="AA132" s="71"/>
      <c r="AB132" s="69"/>
      <c r="AC132" s="70"/>
      <c r="AD132" s="71"/>
      <c r="AE132" s="70"/>
      <c r="AF132" s="70"/>
      <c r="AG132" s="70"/>
      <c r="AH132" s="69"/>
      <c r="AI132" s="70"/>
      <c r="AJ132" s="71"/>
      <c r="AK132" s="70"/>
      <c r="AL132" s="70"/>
      <c r="AM132" s="70"/>
      <c r="AN132" s="69"/>
      <c r="AO132" s="70"/>
      <c r="AP132" s="71"/>
      <c r="AQ132" s="69"/>
      <c r="AR132" s="70"/>
      <c r="AS132" s="70"/>
      <c r="AT132" s="69"/>
      <c r="AU132" s="70"/>
      <c r="AV132" s="71"/>
      <c r="AW132" s="70"/>
      <c r="AX132" s="70"/>
      <c r="AY132" s="70"/>
      <c r="AZ132" s="69"/>
      <c r="BA132" s="70"/>
      <c r="BB132" s="71"/>
      <c r="BC132" s="70"/>
      <c r="BD132" s="70"/>
      <c r="BE132" s="70"/>
      <c r="BF132" s="69"/>
      <c r="BG132" s="70"/>
      <c r="BH132" s="71"/>
      <c r="BI132" s="70"/>
      <c r="BJ132" s="70"/>
      <c r="BK132" s="70"/>
      <c r="BL132" s="69"/>
      <c r="BM132" s="70"/>
      <c r="BN132" s="71"/>
      <c r="BO132" s="70"/>
      <c r="BP132" s="70"/>
      <c r="BQ132" s="70"/>
      <c r="BR132" s="73"/>
      <c r="BS132" s="70"/>
      <c r="BT132" s="74"/>
      <c r="BU132" s="70"/>
      <c r="BV132" s="70"/>
      <c r="BW132" s="70"/>
      <c r="BX132" s="150"/>
      <c r="BY132" s="150"/>
      <c r="BZ132" s="150"/>
      <c r="CA132" s="70"/>
      <c r="CB132" s="70"/>
      <c r="CC132" s="71"/>
      <c r="CD132" s="150">
        <v>2.3000000000000001E-4</v>
      </c>
      <c r="CE132" s="150"/>
      <c r="CF132" s="150"/>
      <c r="CG132" s="150">
        <v>3.3E-4</v>
      </c>
      <c r="CH132" s="150"/>
      <c r="CI132" s="150"/>
      <c r="CJ132" s="150">
        <v>3.3E-4</v>
      </c>
      <c r="CK132" s="150"/>
      <c r="CL132" s="150"/>
      <c r="CM132" s="150">
        <v>2.9E-4</v>
      </c>
      <c r="CN132" s="150"/>
      <c r="CO132" s="150"/>
      <c r="CP132" s="150">
        <v>2.3000000000000001E-4</v>
      </c>
      <c r="CQ132" s="150"/>
      <c r="CR132" s="150"/>
      <c r="CS132" s="70"/>
      <c r="CT132" s="70"/>
      <c r="CU132" s="70"/>
      <c r="CV132" s="69"/>
      <c r="CW132" s="70"/>
      <c r="CX132" s="71"/>
      <c r="CY132" s="69"/>
      <c r="CZ132" s="70"/>
      <c r="DA132" s="71"/>
      <c r="DB132" s="70"/>
      <c r="DC132" s="70"/>
      <c r="DD132" s="70"/>
      <c r="DE132" s="69"/>
      <c r="DF132" s="70"/>
      <c r="DG132" s="71"/>
      <c r="DH132" s="69"/>
      <c r="DI132" s="70"/>
      <c r="DJ132" s="71"/>
      <c r="DK132" s="69"/>
      <c r="DL132" s="70"/>
      <c r="DM132" s="71"/>
      <c r="DN132" s="69"/>
      <c r="DO132" s="70"/>
      <c r="DP132" s="71"/>
      <c r="DQ132" s="69"/>
      <c r="DR132" s="70"/>
      <c r="DS132" s="71"/>
      <c r="DT132" s="70"/>
      <c r="DU132" s="70"/>
      <c r="DV132" s="75"/>
      <c r="DX132" s="213">
        <f>SUM(R132:DV132)</f>
        <v>1.41E-3</v>
      </c>
      <c r="DY132" s="1"/>
      <c r="DZ132" s="1"/>
      <c r="EA132" s="1"/>
      <c r="EB132" s="1"/>
    </row>
    <row r="133" spans="6:132" s="6" customFormat="1" ht="6.95" customHeight="1" thickBot="1">
      <c r="F133" s="143"/>
      <c r="G133" s="144"/>
      <c r="H133" s="55">
        <v>2</v>
      </c>
      <c r="L133" s="313"/>
      <c r="M133" s="238"/>
      <c r="N133" s="239"/>
      <c r="O133" s="240"/>
      <c r="P133" s="249"/>
      <c r="Q133" s="184"/>
      <c r="R133" s="85"/>
      <c r="S133" s="86"/>
      <c r="T133" s="86"/>
      <c r="U133" s="86"/>
      <c r="V133" s="87"/>
      <c r="W133" s="86"/>
      <c r="X133" s="88"/>
      <c r="Y133" s="87"/>
      <c r="Z133" s="86"/>
      <c r="AA133" s="88"/>
      <c r="AB133" s="87"/>
      <c r="AC133" s="86"/>
      <c r="AD133" s="88"/>
      <c r="AE133" s="86"/>
      <c r="AF133" s="86"/>
      <c r="AG133" s="86"/>
      <c r="AH133" s="87"/>
      <c r="AI133" s="86"/>
      <c r="AJ133" s="88"/>
      <c r="AK133" s="86"/>
      <c r="AL133" s="86"/>
      <c r="AM133" s="86"/>
      <c r="AN133" s="87"/>
      <c r="AO133" s="86"/>
      <c r="AP133" s="88"/>
      <c r="AQ133" s="87"/>
      <c r="AR133" s="86"/>
      <c r="AS133" s="86"/>
      <c r="AT133" s="87"/>
      <c r="AU133" s="86"/>
      <c r="AV133" s="88"/>
      <c r="AW133" s="86"/>
      <c r="AX133" s="86"/>
      <c r="AY133" s="86"/>
      <c r="AZ133" s="87"/>
      <c r="BA133" s="86"/>
      <c r="BB133" s="88"/>
      <c r="BC133" s="86"/>
      <c r="BD133" s="86"/>
      <c r="BE133" s="86"/>
      <c r="BF133" s="87"/>
      <c r="BG133" s="86"/>
      <c r="BH133" s="88"/>
      <c r="BI133" s="86"/>
      <c r="BJ133" s="86"/>
      <c r="BK133" s="86"/>
      <c r="BL133" s="87"/>
      <c r="BM133" s="86"/>
      <c r="BN133" s="88"/>
      <c r="BO133" s="86"/>
      <c r="BP133" s="86"/>
      <c r="BQ133" s="86"/>
      <c r="BR133" s="89"/>
      <c r="BS133" s="86"/>
      <c r="BT133" s="90"/>
      <c r="BU133" s="86"/>
      <c r="BV133" s="86"/>
      <c r="BW133" s="86"/>
      <c r="BX133" s="87"/>
      <c r="BY133" s="86"/>
      <c r="BZ133" s="88"/>
      <c r="CA133" s="86"/>
      <c r="CB133" s="86"/>
      <c r="CC133" s="88"/>
      <c r="CD133" s="64"/>
      <c r="CE133" s="65"/>
      <c r="CF133" s="66"/>
      <c r="CG133" s="64"/>
      <c r="CH133" s="65"/>
      <c r="CI133" s="66"/>
      <c r="CJ133" s="64"/>
      <c r="CK133" s="65"/>
      <c r="CL133" s="66"/>
      <c r="CM133" s="64"/>
      <c r="CN133" s="65"/>
      <c r="CO133" s="66"/>
      <c r="CP133" s="64"/>
      <c r="CQ133" s="65"/>
      <c r="CR133" s="66"/>
      <c r="CS133" s="86"/>
      <c r="CT133" s="86"/>
      <c r="CU133" s="86"/>
      <c r="CV133" s="87"/>
      <c r="CW133" s="86"/>
      <c r="CX133" s="88"/>
      <c r="CY133" s="87"/>
      <c r="CZ133" s="86"/>
      <c r="DA133" s="88"/>
      <c r="DB133" s="86"/>
      <c r="DC133" s="86"/>
      <c r="DD133" s="86"/>
      <c r="DE133" s="87"/>
      <c r="DF133" s="86"/>
      <c r="DG133" s="88"/>
      <c r="DH133" s="87"/>
      <c r="DI133" s="86"/>
      <c r="DJ133" s="88"/>
      <c r="DK133" s="87"/>
      <c r="DL133" s="86"/>
      <c r="DM133" s="88"/>
      <c r="DN133" s="87"/>
      <c r="DO133" s="86"/>
      <c r="DP133" s="88"/>
      <c r="DQ133" s="87"/>
      <c r="DR133" s="86"/>
      <c r="DS133" s="88"/>
      <c r="DT133" s="86"/>
      <c r="DU133" s="86"/>
      <c r="DV133" s="91"/>
      <c r="DX133" s="213"/>
      <c r="DY133" s="1"/>
      <c r="DZ133" s="1"/>
      <c r="EA133" s="1"/>
      <c r="EB133" s="1"/>
    </row>
    <row r="134" spans="6:132" s="6" customFormat="1" ht="9.9499999999999993" customHeight="1">
      <c r="F134" s="141">
        <f t="shared" ref="F134" si="52">DX134</f>
        <v>4.7470000000000005E-2</v>
      </c>
      <c r="G134" s="142">
        <f>Q134-F134</f>
        <v>0</v>
      </c>
      <c r="H134" s="27">
        <v>1</v>
      </c>
      <c r="L134" s="224" t="s">
        <v>147</v>
      </c>
      <c r="M134" s="225"/>
      <c r="N134" s="225"/>
      <c r="O134" s="226"/>
      <c r="P134" s="187">
        <f>SUM(P136:P159)</f>
        <v>9883678</v>
      </c>
      <c r="Q134" s="185">
        <f>ROUND(SUM(Q136:Q159),5)</f>
        <v>4.7469999999999998E-2</v>
      </c>
      <c r="R134" s="185">
        <f>ROUND(SUM(R136:R159),5)</f>
        <v>0</v>
      </c>
      <c r="S134" s="160">
        <f>ROUND(SUM(S136:U159),5)</f>
        <v>0</v>
      </c>
      <c r="T134" s="160"/>
      <c r="U134" s="161"/>
      <c r="V134" s="159">
        <f>ROUND(SUM(V136:X159),5)</f>
        <v>0</v>
      </c>
      <c r="W134" s="160"/>
      <c r="X134" s="161"/>
      <c r="Y134" s="159">
        <f>ROUND(SUM(Y136:AA159),5)</f>
        <v>0</v>
      </c>
      <c r="Z134" s="160"/>
      <c r="AA134" s="161"/>
      <c r="AB134" s="159">
        <f>ROUND(SUM(AB136:AD159),5)</f>
        <v>0</v>
      </c>
      <c r="AC134" s="160"/>
      <c r="AD134" s="161"/>
      <c r="AE134" s="159">
        <f>ROUND(SUM(AE136:AG159),5)</f>
        <v>0</v>
      </c>
      <c r="AF134" s="160"/>
      <c r="AG134" s="161"/>
      <c r="AH134" s="159">
        <f>ROUND(SUM(AH136:AJ159),5)</f>
        <v>0</v>
      </c>
      <c r="AI134" s="160"/>
      <c r="AJ134" s="161"/>
      <c r="AK134" s="159">
        <f>ROUND(SUM(AK136:AM159),5)</f>
        <v>0</v>
      </c>
      <c r="AL134" s="160"/>
      <c r="AM134" s="161"/>
      <c r="AN134" s="159">
        <f>ROUND(SUM(AN136:AP159),5)</f>
        <v>0</v>
      </c>
      <c r="AO134" s="160"/>
      <c r="AP134" s="161"/>
      <c r="AQ134" s="159">
        <f>ROUND(SUM(AQ136:AS159),5)</f>
        <v>0</v>
      </c>
      <c r="AR134" s="160"/>
      <c r="AS134" s="161"/>
      <c r="AT134" s="159">
        <f>ROUND(SUM(AT136:AV159),5)</f>
        <v>0</v>
      </c>
      <c r="AU134" s="160"/>
      <c r="AV134" s="161"/>
      <c r="AW134" s="159">
        <f>ROUND(SUM(AW136:AY159),5)</f>
        <v>0</v>
      </c>
      <c r="AX134" s="160"/>
      <c r="AY134" s="161"/>
      <c r="AZ134" s="159">
        <f>ROUND(SUM(AZ136:BB159),5)</f>
        <v>0</v>
      </c>
      <c r="BA134" s="160"/>
      <c r="BB134" s="161"/>
      <c r="BC134" s="159">
        <f>ROUND(SUM(BC136:BE159),5)</f>
        <v>0</v>
      </c>
      <c r="BD134" s="160"/>
      <c r="BE134" s="161"/>
      <c r="BF134" s="159">
        <f>ROUND(SUM(BF136:BH159),5)</f>
        <v>0</v>
      </c>
      <c r="BG134" s="160"/>
      <c r="BH134" s="161"/>
      <c r="BI134" s="159">
        <f>ROUND(SUM(BI136:BK159),5)</f>
        <v>0</v>
      </c>
      <c r="BJ134" s="160"/>
      <c r="BK134" s="161"/>
      <c r="BL134" s="159">
        <f>ROUND(SUM(BL136:BN159),5)</f>
        <v>0</v>
      </c>
      <c r="BM134" s="160"/>
      <c r="BN134" s="161"/>
      <c r="BO134" s="159">
        <f>ROUND(SUM(BO136:BQ159),5)</f>
        <v>0</v>
      </c>
      <c r="BP134" s="160"/>
      <c r="BQ134" s="160"/>
      <c r="BR134" s="176">
        <f>ROUND(SUM(BR136:BT159),5)</f>
        <v>0</v>
      </c>
      <c r="BS134" s="160"/>
      <c r="BT134" s="177"/>
      <c r="BU134" s="160">
        <f>ROUND(SUM(BU136:BW159),5)</f>
        <v>0</v>
      </c>
      <c r="BV134" s="160"/>
      <c r="BW134" s="161"/>
      <c r="BX134" s="159">
        <f>ROUND(SUM(BX136:BZ159),5)</f>
        <v>0</v>
      </c>
      <c r="BY134" s="160"/>
      <c r="BZ134" s="161"/>
      <c r="CA134" s="159">
        <f>ROUND(SUM(CA136:CC159),5)</f>
        <v>0</v>
      </c>
      <c r="CB134" s="160"/>
      <c r="CC134" s="161"/>
      <c r="CD134" s="159">
        <f>ROUND(SUM(CD136:CF159),5)</f>
        <v>0</v>
      </c>
      <c r="CE134" s="160"/>
      <c r="CF134" s="161"/>
      <c r="CG134" s="159">
        <f>ROUND(SUM(CG136:CI159),5)</f>
        <v>0</v>
      </c>
      <c r="CH134" s="160"/>
      <c r="CI134" s="161"/>
      <c r="CJ134" s="159">
        <f>ROUND(SUM(CJ136:CL159),5)</f>
        <v>0</v>
      </c>
      <c r="CK134" s="160"/>
      <c r="CL134" s="161"/>
      <c r="CM134" s="159">
        <f>ROUND(SUM(CM136:CO159),5)</f>
        <v>0</v>
      </c>
      <c r="CN134" s="160"/>
      <c r="CO134" s="161"/>
      <c r="CP134" s="159">
        <f>ROUND(SUM(CP136:CR159),5)</f>
        <v>0</v>
      </c>
      <c r="CQ134" s="160"/>
      <c r="CR134" s="161"/>
      <c r="CS134" s="159">
        <f>ROUND(SUM(CS136:CU159),5)</f>
        <v>1.9499999999999999E-3</v>
      </c>
      <c r="CT134" s="160"/>
      <c r="CU134" s="161"/>
      <c r="CV134" s="159">
        <f>ROUND(SUM(CV136:CX159),5)</f>
        <v>4.7400000000000003E-3</v>
      </c>
      <c r="CW134" s="160"/>
      <c r="CX134" s="161"/>
      <c r="CY134" s="159">
        <f>ROUND(SUM(CY136:DA159),5)</f>
        <v>5.5999999999999999E-3</v>
      </c>
      <c r="CZ134" s="160"/>
      <c r="DA134" s="161"/>
      <c r="DB134" s="159">
        <f>ROUND(SUM(DB136:DD159),5)</f>
        <v>5.8700000000000002E-3</v>
      </c>
      <c r="DC134" s="160"/>
      <c r="DD134" s="161"/>
      <c r="DE134" s="159">
        <f>ROUND(SUM(DE136:DG159),5)</f>
        <v>7.6299999999999996E-3</v>
      </c>
      <c r="DF134" s="160"/>
      <c r="DG134" s="161"/>
      <c r="DH134" s="159">
        <f>ROUND(SUM(DH136:DJ159),5)</f>
        <v>6.4200000000000004E-3</v>
      </c>
      <c r="DI134" s="160"/>
      <c r="DJ134" s="161"/>
      <c r="DK134" s="159">
        <f>ROUND(SUM(DK136:DM159),5)</f>
        <v>8.9099999999999995E-3</v>
      </c>
      <c r="DL134" s="160"/>
      <c r="DM134" s="161"/>
      <c r="DN134" s="159">
        <f>ROUND(SUM(DN136:DP159),5)</f>
        <v>5.7800000000000004E-3</v>
      </c>
      <c r="DO134" s="160"/>
      <c r="DP134" s="161"/>
      <c r="DQ134" s="159">
        <f>ROUND(SUM(DQ136:DS159),5)</f>
        <v>5.6999999999999998E-4</v>
      </c>
      <c r="DR134" s="160"/>
      <c r="DS134" s="161"/>
      <c r="DT134" s="159">
        <f>ROUND(SUM(DT136:DV159),5)</f>
        <v>0</v>
      </c>
      <c r="DU134" s="160"/>
      <c r="DV134" s="170"/>
      <c r="DX134" s="145">
        <f>SUM(R134:DV134)</f>
        <v>4.7470000000000005E-2</v>
      </c>
      <c r="DY134" s="145">
        <f>SUM(DX136:DX159)</f>
        <v>4.7469999999999998E-2</v>
      </c>
      <c r="DZ134" s="1"/>
      <c r="EA134" s="1"/>
      <c r="EB134" s="1"/>
    </row>
    <row r="135" spans="6:132" s="6" customFormat="1" ht="9.9499999999999993" customHeight="1">
      <c r="F135" s="141"/>
      <c r="G135" s="142"/>
      <c r="H135" s="55">
        <v>2</v>
      </c>
      <c r="L135" s="227"/>
      <c r="M135" s="228"/>
      <c r="N135" s="228"/>
      <c r="O135" s="229"/>
      <c r="P135" s="188"/>
      <c r="Q135" s="186"/>
      <c r="R135" s="186"/>
      <c r="S135" s="163"/>
      <c r="T135" s="163"/>
      <c r="U135" s="164"/>
      <c r="V135" s="162"/>
      <c r="W135" s="163"/>
      <c r="X135" s="164"/>
      <c r="Y135" s="162"/>
      <c r="Z135" s="163"/>
      <c r="AA135" s="164"/>
      <c r="AB135" s="162"/>
      <c r="AC135" s="163"/>
      <c r="AD135" s="164"/>
      <c r="AE135" s="162"/>
      <c r="AF135" s="163"/>
      <c r="AG135" s="164"/>
      <c r="AH135" s="162"/>
      <c r="AI135" s="163"/>
      <c r="AJ135" s="164"/>
      <c r="AK135" s="162"/>
      <c r="AL135" s="163"/>
      <c r="AM135" s="164"/>
      <c r="AN135" s="162"/>
      <c r="AO135" s="163"/>
      <c r="AP135" s="164"/>
      <c r="AQ135" s="162"/>
      <c r="AR135" s="163"/>
      <c r="AS135" s="164"/>
      <c r="AT135" s="162"/>
      <c r="AU135" s="163"/>
      <c r="AV135" s="164"/>
      <c r="AW135" s="162"/>
      <c r="AX135" s="163"/>
      <c r="AY135" s="164"/>
      <c r="AZ135" s="162"/>
      <c r="BA135" s="163"/>
      <c r="BB135" s="164"/>
      <c r="BC135" s="162"/>
      <c r="BD135" s="163"/>
      <c r="BE135" s="164"/>
      <c r="BF135" s="162"/>
      <c r="BG135" s="163"/>
      <c r="BH135" s="164"/>
      <c r="BI135" s="162"/>
      <c r="BJ135" s="163"/>
      <c r="BK135" s="164"/>
      <c r="BL135" s="162"/>
      <c r="BM135" s="163"/>
      <c r="BN135" s="164"/>
      <c r="BO135" s="162"/>
      <c r="BP135" s="163"/>
      <c r="BQ135" s="163"/>
      <c r="BR135" s="178"/>
      <c r="BS135" s="163"/>
      <c r="BT135" s="179"/>
      <c r="BU135" s="163"/>
      <c r="BV135" s="163"/>
      <c r="BW135" s="164"/>
      <c r="BX135" s="162"/>
      <c r="BY135" s="163"/>
      <c r="BZ135" s="164"/>
      <c r="CA135" s="162"/>
      <c r="CB135" s="163"/>
      <c r="CC135" s="164"/>
      <c r="CD135" s="162"/>
      <c r="CE135" s="163"/>
      <c r="CF135" s="164"/>
      <c r="CG135" s="162"/>
      <c r="CH135" s="163"/>
      <c r="CI135" s="164"/>
      <c r="CJ135" s="162"/>
      <c r="CK135" s="163"/>
      <c r="CL135" s="164"/>
      <c r="CM135" s="162"/>
      <c r="CN135" s="163"/>
      <c r="CO135" s="164"/>
      <c r="CP135" s="162"/>
      <c r="CQ135" s="163"/>
      <c r="CR135" s="164"/>
      <c r="CS135" s="162"/>
      <c r="CT135" s="163"/>
      <c r="CU135" s="164"/>
      <c r="CV135" s="162"/>
      <c r="CW135" s="163"/>
      <c r="CX135" s="164"/>
      <c r="CY135" s="162"/>
      <c r="CZ135" s="163"/>
      <c r="DA135" s="164"/>
      <c r="DB135" s="162"/>
      <c r="DC135" s="163"/>
      <c r="DD135" s="164"/>
      <c r="DE135" s="162"/>
      <c r="DF135" s="163"/>
      <c r="DG135" s="164"/>
      <c r="DH135" s="162"/>
      <c r="DI135" s="163"/>
      <c r="DJ135" s="164"/>
      <c r="DK135" s="162"/>
      <c r="DL135" s="163"/>
      <c r="DM135" s="164"/>
      <c r="DN135" s="162"/>
      <c r="DO135" s="163"/>
      <c r="DP135" s="164"/>
      <c r="DQ135" s="162"/>
      <c r="DR135" s="163"/>
      <c r="DS135" s="164"/>
      <c r="DT135" s="162"/>
      <c r="DU135" s="163"/>
      <c r="DV135" s="171"/>
      <c r="DX135" s="145"/>
      <c r="DY135" s="145"/>
      <c r="DZ135" s="1"/>
      <c r="EA135" s="1"/>
      <c r="EB135" s="1"/>
    </row>
    <row r="136" spans="6:132" s="6" customFormat="1" ht="9.9499999999999993" customHeight="1">
      <c r="F136" s="143">
        <f t="shared" ref="F136" si="53">DX136</f>
        <v>9.0000000000000006E-5</v>
      </c>
      <c r="G136" s="144">
        <f>Q136-F136</f>
        <v>0</v>
      </c>
      <c r="H136" s="27">
        <v>1</v>
      </c>
      <c r="L136" s="271"/>
      <c r="M136" s="237" t="s">
        <v>53</v>
      </c>
      <c r="N136" s="254">
        <v>3905</v>
      </c>
      <c r="O136" s="299" t="s">
        <v>34</v>
      </c>
      <c r="P136" s="245">
        <v>19038</v>
      </c>
      <c r="Q136" s="183">
        <f>ROUND(P136/$P$256,5)</f>
        <v>9.0000000000000006E-5</v>
      </c>
      <c r="R136" s="21"/>
      <c r="S136" s="57"/>
      <c r="T136" s="57"/>
      <c r="U136" s="57"/>
      <c r="V136" s="56"/>
      <c r="W136" s="57"/>
      <c r="X136" s="58"/>
      <c r="Y136" s="56"/>
      <c r="Z136" s="57"/>
      <c r="AA136" s="58"/>
      <c r="AB136" s="56"/>
      <c r="AC136" s="57"/>
      <c r="AD136" s="58"/>
      <c r="AE136" s="57"/>
      <c r="AF136" s="57"/>
      <c r="AG136" s="57"/>
      <c r="AH136" s="56"/>
      <c r="AI136" s="57"/>
      <c r="AJ136" s="58"/>
      <c r="AK136" s="57"/>
      <c r="AL136" s="57"/>
      <c r="AM136" s="57"/>
      <c r="AN136" s="56"/>
      <c r="AO136" s="57"/>
      <c r="AP136" s="58"/>
      <c r="AQ136" s="56"/>
      <c r="AR136" s="57"/>
      <c r="AS136" s="57"/>
      <c r="AT136" s="56"/>
      <c r="AU136" s="57"/>
      <c r="AV136" s="58"/>
      <c r="AW136" s="57"/>
      <c r="AX136" s="57"/>
      <c r="AY136" s="57"/>
      <c r="AZ136" s="56"/>
      <c r="BA136" s="57"/>
      <c r="BB136" s="58"/>
      <c r="BC136" s="57"/>
      <c r="BD136" s="57"/>
      <c r="BE136" s="57"/>
      <c r="BF136" s="56"/>
      <c r="BG136" s="57"/>
      <c r="BH136" s="58"/>
      <c r="BI136" s="57"/>
      <c r="BJ136" s="57"/>
      <c r="BK136" s="57"/>
      <c r="BL136" s="56"/>
      <c r="BM136" s="57"/>
      <c r="BN136" s="58"/>
      <c r="BO136" s="57"/>
      <c r="BP136" s="57"/>
      <c r="BQ136" s="57"/>
      <c r="BR136" s="60"/>
      <c r="BS136" s="57"/>
      <c r="BT136" s="61"/>
      <c r="BU136" s="57"/>
      <c r="BV136" s="57"/>
      <c r="BW136" s="57"/>
      <c r="BX136" s="56"/>
      <c r="BY136" s="57"/>
      <c r="BZ136" s="58"/>
      <c r="CA136" s="56"/>
      <c r="CB136" s="57"/>
      <c r="CC136" s="58"/>
      <c r="CD136" s="56"/>
      <c r="CE136" s="57"/>
      <c r="CF136" s="58"/>
      <c r="CG136" s="56"/>
      <c r="CH136" s="57"/>
      <c r="CI136" s="58"/>
      <c r="CJ136" s="95"/>
      <c r="CK136" s="96"/>
      <c r="CL136" s="97"/>
      <c r="CM136" s="96"/>
      <c r="CN136" s="96"/>
      <c r="CO136" s="96"/>
      <c r="CP136" s="95"/>
      <c r="CQ136" s="96"/>
      <c r="CR136" s="97"/>
      <c r="CS136" s="95"/>
      <c r="CT136" s="96"/>
      <c r="CU136" s="97"/>
      <c r="CV136" s="96"/>
      <c r="CW136" s="96"/>
      <c r="CX136" s="96"/>
      <c r="CY136" s="95"/>
      <c r="CZ136" s="96"/>
      <c r="DA136" s="97"/>
      <c r="DB136" s="147">
        <v>5.0000000000000002E-5</v>
      </c>
      <c r="DC136" s="148"/>
      <c r="DD136" s="149"/>
      <c r="DE136" s="147">
        <v>4.0000000000000003E-5</v>
      </c>
      <c r="DF136" s="148"/>
      <c r="DG136" s="149"/>
      <c r="DH136" s="95"/>
      <c r="DI136" s="96"/>
      <c r="DJ136" s="97"/>
      <c r="DK136" s="96"/>
      <c r="DL136" s="96"/>
      <c r="DM136" s="96"/>
      <c r="DN136" s="95"/>
      <c r="DO136" s="96"/>
      <c r="DP136" s="97"/>
      <c r="DQ136" s="95"/>
      <c r="DR136" s="96"/>
      <c r="DS136" s="97"/>
      <c r="DT136" s="96"/>
      <c r="DU136" s="96"/>
      <c r="DV136" s="98"/>
      <c r="DX136" s="213">
        <f>SUM(R136:DV136)</f>
        <v>9.0000000000000006E-5</v>
      </c>
      <c r="DY136" s="1"/>
      <c r="DZ136" s="1"/>
      <c r="EA136" s="1"/>
      <c r="EB136" s="1"/>
    </row>
    <row r="137" spans="6:132" s="6" customFormat="1" ht="6.95" customHeight="1">
      <c r="F137" s="143"/>
      <c r="G137" s="144"/>
      <c r="H137" s="55">
        <v>2</v>
      </c>
      <c r="L137" s="272"/>
      <c r="M137" s="232"/>
      <c r="N137" s="255"/>
      <c r="O137" s="300"/>
      <c r="P137" s="246"/>
      <c r="Q137" s="184"/>
      <c r="R137" s="63"/>
      <c r="S137" s="42"/>
      <c r="T137" s="42"/>
      <c r="U137" s="42"/>
      <c r="V137" s="41"/>
      <c r="W137" s="42"/>
      <c r="X137" s="43"/>
      <c r="Y137" s="41"/>
      <c r="Z137" s="42"/>
      <c r="AA137" s="43"/>
      <c r="AB137" s="41"/>
      <c r="AC137" s="42"/>
      <c r="AD137" s="43"/>
      <c r="AE137" s="42"/>
      <c r="AF137" s="42"/>
      <c r="AG137" s="42"/>
      <c r="AH137" s="41"/>
      <c r="AI137" s="42"/>
      <c r="AJ137" s="43"/>
      <c r="AK137" s="42"/>
      <c r="AL137" s="42"/>
      <c r="AM137" s="42"/>
      <c r="AN137" s="41"/>
      <c r="AO137" s="42"/>
      <c r="AP137" s="43"/>
      <c r="AQ137" s="41"/>
      <c r="AR137" s="42"/>
      <c r="AS137" s="42"/>
      <c r="AT137" s="41"/>
      <c r="AU137" s="42"/>
      <c r="AV137" s="43"/>
      <c r="AW137" s="42"/>
      <c r="AX137" s="42"/>
      <c r="AY137" s="42"/>
      <c r="AZ137" s="41"/>
      <c r="BA137" s="42"/>
      <c r="BB137" s="43"/>
      <c r="BC137" s="42"/>
      <c r="BD137" s="42"/>
      <c r="BE137" s="42"/>
      <c r="BF137" s="41"/>
      <c r="BG137" s="42"/>
      <c r="BH137" s="43"/>
      <c r="BI137" s="42"/>
      <c r="BJ137" s="42"/>
      <c r="BK137" s="42"/>
      <c r="BL137" s="41"/>
      <c r="BM137" s="42"/>
      <c r="BN137" s="43"/>
      <c r="BO137" s="42"/>
      <c r="BP137" s="42"/>
      <c r="BQ137" s="42"/>
      <c r="BR137" s="67"/>
      <c r="BS137" s="42"/>
      <c r="BT137" s="68"/>
      <c r="BU137" s="42"/>
      <c r="BV137" s="42"/>
      <c r="BW137" s="42"/>
      <c r="BX137" s="41"/>
      <c r="BY137" s="42"/>
      <c r="BZ137" s="43"/>
      <c r="CA137" s="41"/>
      <c r="CB137" s="42"/>
      <c r="CC137" s="43"/>
      <c r="CD137" s="41"/>
      <c r="CE137" s="42"/>
      <c r="CF137" s="43"/>
      <c r="CG137" s="41"/>
      <c r="CH137" s="42"/>
      <c r="CI137" s="43"/>
      <c r="CJ137" s="99"/>
      <c r="CK137" s="100"/>
      <c r="CL137" s="101"/>
      <c r="CM137" s="100"/>
      <c r="CN137" s="100"/>
      <c r="CO137" s="100"/>
      <c r="CP137" s="99"/>
      <c r="CQ137" s="100"/>
      <c r="CR137" s="101"/>
      <c r="CS137" s="99"/>
      <c r="CT137" s="100"/>
      <c r="CU137" s="101"/>
      <c r="CV137" s="100"/>
      <c r="CW137" s="100"/>
      <c r="CX137" s="100"/>
      <c r="CY137" s="99"/>
      <c r="CZ137" s="100"/>
      <c r="DA137" s="101"/>
      <c r="DB137" s="64"/>
      <c r="DC137" s="65"/>
      <c r="DD137" s="66"/>
      <c r="DE137" s="64"/>
      <c r="DF137" s="65"/>
      <c r="DG137" s="66"/>
      <c r="DH137" s="99"/>
      <c r="DI137" s="100"/>
      <c r="DJ137" s="101"/>
      <c r="DK137" s="100"/>
      <c r="DL137" s="100"/>
      <c r="DM137" s="100"/>
      <c r="DN137" s="99"/>
      <c r="DO137" s="100"/>
      <c r="DP137" s="101"/>
      <c r="DQ137" s="99"/>
      <c r="DR137" s="100"/>
      <c r="DS137" s="101"/>
      <c r="DT137" s="100"/>
      <c r="DU137" s="100"/>
      <c r="DV137" s="102"/>
      <c r="DX137" s="213"/>
      <c r="DY137" s="1"/>
      <c r="DZ137" s="1"/>
      <c r="EA137" s="1"/>
      <c r="EB137" s="1"/>
    </row>
    <row r="138" spans="6:132" s="6" customFormat="1" ht="9.9499999999999993" customHeight="1">
      <c r="F138" s="143">
        <f t="shared" ref="F138" si="54">DX138</f>
        <v>5.1000000000000004E-4</v>
      </c>
      <c r="G138" s="144">
        <f>Q138-F138</f>
        <v>0</v>
      </c>
      <c r="H138" s="27">
        <v>1</v>
      </c>
      <c r="I138" s="19" t="s">
        <v>233</v>
      </c>
      <c r="J138" s="19" t="s">
        <v>186</v>
      </c>
      <c r="K138" s="6" t="s">
        <v>234</v>
      </c>
      <c r="L138" s="230"/>
      <c r="M138" s="238" t="s">
        <v>11</v>
      </c>
      <c r="N138" s="239">
        <v>24909</v>
      </c>
      <c r="O138" s="235" t="s">
        <v>34</v>
      </c>
      <c r="P138" s="249">
        <v>105215</v>
      </c>
      <c r="Q138" s="183">
        <f>ROUND(P138/$P$256,5)</f>
        <v>5.1000000000000004E-4</v>
      </c>
      <c r="R138" s="76"/>
      <c r="S138" s="70"/>
      <c r="T138" s="70"/>
      <c r="U138" s="70"/>
      <c r="V138" s="69"/>
      <c r="W138" s="70"/>
      <c r="X138" s="71"/>
      <c r="Y138" s="69"/>
      <c r="Z138" s="70"/>
      <c r="AA138" s="71"/>
      <c r="AB138" s="69"/>
      <c r="AC138" s="70"/>
      <c r="AD138" s="71"/>
      <c r="AE138" s="70"/>
      <c r="AF138" s="70"/>
      <c r="AG138" s="70"/>
      <c r="AH138" s="69"/>
      <c r="AI138" s="70"/>
      <c r="AJ138" s="71"/>
      <c r="AK138" s="70"/>
      <c r="AL138" s="70"/>
      <c r="AM138" s="70"/>
      <c r="AN138" s="69"/>
      <c r="AO138" s="70"/>
      <c r="AP138" s="71"/>
      <c r="AQ138" s="69"/>
      <c r="AR138" s="70"/>
      <c r="AS138" s="70"/>
      <c r="AT138" s="69"/>
      <c r="AU138" s="70"/>
      <c r="AV138" s="71"/>
      <c r="AW138" s="70"/>
      <c r="AX138" s="70"/>
      <c r="AY138" s="70"/>
      <c r="AZ138" s="69"/>
      <c r="BA138" s="70"/>
      <c r="BB138" s="71"/>
      <c r="BC138" s="70"/>
      <c r="BD138" s="70"/>
      <c r="BE138" s="70"/>
      <c r="BF138" s="69"/>
      <c r="BG138" s="70"/>
      <c r="BH138" s="71"/>
      <c r="BI138" s="70"/>
      <c r="BJ138" s="70"/>
      <c r="BK138" s="70"/>
      <c r="BL138" s="69"/>
      <c r="BM138" s="70"/>
      <c r="BN138" s="71"/>
      <c r="BO138" s="70"/>
      <c r="BP138" s="70"/>
      <c r="BQ138" s="70"/>
      <c r="BR138" s="73"/>
      <c r="BS138" s="70"/>
      <c r="BT138" s="74"/>
      <c r="BU138" s="70"/>
      <c r="BV138" s="70"/>
      <c r="BW138" s="70"/>
      <c r="BX138" s="69"/>
      <c r="BY138" s="70"/>
      <c r="BZ138" s="71"/>
      <c r="CA138" s="69"/>
      <c r="CB138" s="70"/>
      <c r="CC138" s="71"/>
      <c r="CD138" s="150"/>
      <c r="CE138" s="150"/>
      <c r="CF138" s="150"/>
      <c r="CG138" s="150"/>
      <c r="CH138" s="150"/>
      <c r="CI138" s="150"/>
      <c r="CJ138" s="150"/>
      <c r="CK138" s="150"/>
      <c r="CL138" s="150"/>
      <c r="CM138" s="150"/>
      <c r="CN138" s="150"/>
      <c r="CO138" s="150"/>
      <c r="CP138" s="150"/>
      <c r="CQ138" s="150"/>
      <c r="CR138" s="150"/>
      <c r="CS138" s="150">
        <v>6.9999999999999994E-5</v>
      </c>
      <c r="CT138" s="150"/>
      <c r="CU138" s="150"/>
      <c r="CV138" s="150">
        <v>1.1E-4</v>
      </c>
      <c r="CW138" s="150"/>
      <c r="CX138" s="150"/>
      <c r="CY138" s="150">
        <v>1.1E-4</v>
      </c>
      <c r="CZ138" s="150"/>
      <c r="DA138" s="150"/>
      <c r="DB138" s="150">
        <v>1.1E-4</v>
      </c>
      <c r="DC138" s="150"/>
      <c r="DD138" s="150"/>
      <c r="DE138" s="150">
        <v>1.1E-4</v>
      </c>
      <c r="DF138" s="150"/>
      <c r="DG138" s="150"/>
      <c r="DH138" s="69"/>
      <c r="DI138" s="70"/>
      <c r="DJ138" s="71"/>
      <c r="DK138" s="70"/>
      <c r="DL138" s="70"/>
      <c r="DM138" s="70"/>
      <c r="DN138" s="69"/>
      <c r="DO138" s="70"/>
      <c r="DP138" s="71"/>
      <c r="DQ138" s="69"/>
      <c r="DR138" s="70"/>
      <c r="DS138" s="71"/>
      <c r="DT138" s="70"/>
      <c r="DU138" s="70"/>
      <c r="DV138" s="75"/>
      <c r="DX138" s="213">
        <f>SUM(R138:DV138)</f>
        <v>5.1000000000000004E-4</v>
      </c>
      <c r="DY138" s="1"/>
      <c r="DZ138" s="1"/>
      <c r="EA138" s="1"/>
      <c r="EB138" s="1"/>
    </row>
    <row r="139" spans="6:132" s="6" customFormat="1" ht="6.95" customHeight="1">
      <c r="F139" s="143"/>
      <c r="G139" s="144"/>
      <c r="H139" s="55">
        <v>2</v>
      </c>
      <c r="L139" s="230"/>
      <c r="M139" s="238"/>
      <c r="N139" s="239"/>
      <c r="O139" s="236"/>
      <c r="P139" s="249"/>
      <c r="Q139" s="184"/>
      <c r="R139" s="76"/>
      <c r="S139" s="70"/>
      <c r="T139" s="70"/>
      <c r="U139" s="70"/>
      <c r="V139" s="69"/>
      <c r="W139" s="70"/>
      <c r="X139" s="71"/>
      <c r="Y139" s="69"/>
      <c r="Z139" s="70"/>
      <c r="AA139" s="71"/>
      <c r="AB139" s="69"/>
      <c r="AC139" s="70"/>
      <c r="AD139" s="71"/>
      <c r="AE139" s="70"/>
      <c r="AF139" s="70"/>
      <c r="AG139" s="70"/>
      <c r="AH139" s="69"/>
      <c r="AI139" s="70"/>
      <c r="AJ139" s="71"/>
      <c r="AK139" s="70"/>
      <c r="AL139" s="70"/>
      <c r="AM139" s="70"/>
      <c r="AN139" s="69"/>
      <c r="AO139" s="70"/>
      <c r="AP139" s="71"/>
      <c r="AQ139" s="69"/>
      <c r="AR139" s="70"/>
      <c r="AS139" s="70"/>
      <c r="AT139" s="69"/>
      <c r="AU139" s="70"/>
      <c r="AV139" s="71"/>
      <c r="AW139" s="70"/>
      <c r="AX139" s="70"/>
      <c r="AY139" s="70"/>
      <c r="AZ139" s="69"/>
      <c r="BA139" s="70"/>
      <c r="BB139" s="71"/>
      <c r="BC139" s="70"/>
      <c r="BD139" s="70"/>
      <c r="BE139" s="70"/>
      <c r="BF139" s="69"/>
      <c r="BG139" s="70"/>
      <c r="BH139" s="71"/>
      <c r="BI139" s="70"/>
      <c r="BJ139" s="70"/>
      <c r="BK139" s="70"/>
      <c r="BL139" s="69"/>
      <c r="BM139" s="70"/>
      <c r="BN139" s="71"/>
      <c r="BO139" s="70"/>
      <c r="BP139" s="70"/>
      <c r="BQ139" s="70"/>
      <c r="BR139" s="73"/>
      <c r="BS139" s="70"/>
      <c r="BT139" s="74"/>
      <c r="BU139" s="70"/>
      <c r="BV139" s="70"/>
      <c r="BW139" s="70"/>
      <c r="BX139" s="69"/>
      <c r="BY139" s="70"/>
      <c r="BZ139" s="71"/>
      <c r="CA139" s="69"/>
      <c r="CB139" s="70"/>
      <c r="CC139" s="71"/>
      <c r="CD139" s="69"/>
      <c r="CE139" s="70"/>
      <c r="CF139" s="71"/>
      <c r="CG139" s="69"/>
      <c r="CH139" s="70"/>
      <c r="CI139" s="71"/>
      <c r="CJ139" s="69"/>
      <c r="CK139" s="70"/>
      <c r="CL139" s="71"/>
      <c r="CM139" s="70"/>
      <c r="CN139" s="70"/>
      <c r="CO139" s="70"/>
      <c r="CP139" s="69"/>
      <c r="CQ139" s="70"/>
      <c r="CR139" s="71"/>
      <c r="CS139" s="64"/>
      <c r="CT139" s="65"/>
      <c r="CU139" s="66"/>
      <c r="CV139" s="64"/>
      <c r="CW139" s="65"/>
      <c r="CX139" s="66"/>
      <c r="CY139" s="64"/>
      <c r="CZ139" s="65"/>
      <c r="DA139" s="66"/>
      <c r="DB139" s="64"/>
      <c r="DC139" s="65"/>
      <c r="DD139" s="66"/>
      <c r="DE139" s="64"/>
      <c r="DF139" s="65"/>
      <c r="DG139" s="66"/>
      <c r="DH139" s="69"/>
      <c r="DI139" s="70"/>
      <c r="DJ139" s="71"/>
      <c r="DK139" s="70"/>
      <c r="DL139" s="70"/>
      <c r="DM139" s="70"/>
      <c r="DN139" s="69"/>
      <c r="DO139" s="70"/>
      <c r="DP139" s="71"/>
      <c r="DQ139" s="69"/>
      <c r="DR139" s="70"/>
      <c r="DS139" s="71"/>
      <c r="DT139" s="70"/>
      <c r="DU139" s="70"/>
      <c r="DV139" s="75"/>
      <c r="DX139" s="213"/>
      <c r="DY139" s="1"/>
      <c r="DZ139" s="1"/>
      <c r="EA139" s="1"/>
      <c r="EB139" s="1"/>
    </row>
    <row r="140" spans="6:132" s="6" customFormat="1" ht="9.9499999999999993" customHeight="1">
      <c r="F140" s="143">
        <f t="shared" ref="F140" si="55">DX140</f>
        <v>1E-3</v>
      </c>
      <c r="G140" s="144">
        <f>Q140-F140</f>
        <v>0</v>
      </c>
      <c r="H140" s="27">
        <v>1</v>
      </c>
      <c r="I140" s="19" t="s">
        <v>236</v>
      </c>
      <c r="J140" s="19" t="s">
        <v>186</v>
      </c>
      <c r="K140" s="6" t="s">
        <v>235</v>
      </c>
      <c r="L140" s="271"/>
      <c r="M140" s="237" t="s">
        <v>135</v>
      </c>
      <c r="N140" s="254">
        <v>240214</v>
      </c>
      <c r="O140" s="299" t="s">
        <v>69</v>
      </c>
      <c r="P140" s="245">
        <v>209013</v>
      </c>
      <c r="Q140" s="183">
        <f>ROUND(P140/$P$256,5)</f>
        <v>1E-3</v>
      </c>
      <c r="R140" s="79"/>
      <c r="S140" s="57"/>
      <c r="T140" s="57"/>
      <c r="U140" s="57"/>
      <c r="V140" s="56"/>
      <c r="W140" s="57"/>
      <c r="X140" s="58"/>
      <c r="Y140" s="56"/>
      <c r="Z140" s="57"/>
      <c r="AA140" s="58"/>
      <c r="AB140" s="56"/>
      <c r="AC140" s="57"/>
      <c r="AD140" s="58"/>
      <c r="AE140" s="57"/>
      <c r="AF140" s="57"/>
      <c r="AG140" s="57"/>
      <c r="AH140" s="56"/>
      <c r="AI140" s="57"/>
      <c r="AJ140" s="58"/>
      <c r="AK140" s="57"/>
      <c r="AL140" s="57"/>
      <c r="AM140" s="57"/>
      <c r="AN140" s="56"/>
      <c r="AO140" s="57"/>
      <c r="AP140" s="58"/>
      <c r="AQ140" s="56"/>
      <c r="AR140" s="57"/>
      <c r="AS140" s="57"/>
      <c r="AT140" s="56"/>
      <c r="AU140" s="57"/>
      <c r="AV140" s="58"/>
      <c r="AW140" s="57"/>
      <c r="AX140" s="57"/>
      <c r="AY140" s="57"/>
      <c r="AZ140" s="56"/>
      <c r="BA140" s="57"/>
      <c r="BB140" s="58"/>
      <c r="BC140" s="57"/>
      <c r="BD140" s="57"/>
      <c r="BE140" s="57"/>
      <c r="BF140" s="56"/>
      <c r="BG140" s="57"/>
      <c r="BH140" s="58"/>
      <c r="BI140" s="57"/>
      <c r="BJ140" s="57"/>
      <c r="BK140" s="57"/>
      <c r="BL140" s="56"/>
      <c r="BM140" s="57"/>
      <c r="BN140" s="58"/>
      <c r="BO140" s="57"/>
      <c r="BP140" s="57"/>
      <c r="BQ140" s="57"/>
      <c r="BR140" s="60"/>
      <c r="BS140" s="57"/>
      <c r="BT140" s="61"/>
      <c r="BU140" s="57"/>
      <c r="BV140" s="57"/>
      <c r="BW140" s="57"/>
      <c r="BX140" s="56"/>
      <c r="BY140" s="57"/>
      <c r="BZ140" s="58"/>
      <c r="CA140" s="56"/>
      <c r="CB140" s="57"/>
      <c r="CC140" s="58"/>
      <c r="CD140" s="56"/>
      <c r="CE140" s="57"/>
      <c r="CF140" s="58"/>
      <c r="CG140" s="56"/>
      <c r="CH140" s="57"/>
      <c r="CI140" s="58"/>
      <c r="CJ140" s="56"/>
      <c r="CK140" s="57"/>
      <c r="CL140" s="58"/>
      <c r="CM140" s="57"/>
      <c r="CN140" s="57"/>
      <c r="CO140" s="57"/>
      <c r="CP140" s="146"/>
      <c r="CQ140" s="146"/>
      <c r="CR140" s="146"/>
      <c r="CS140" s="56"/>
      <c r="CT140" s="57"/>
      <c r="CU140" s="58"/>
      <c r="CV140" s="57"/>
      <c r="CW140" s="57"/>
      <c r="CX140" s="57"/>
      <c r="CY140" s="146"/>
      <c r="CZ140" s="146"/>
      <c r="DA140" s="146"/>
      <c r="DB140" s="57"/>
      <c r="DC140" s="57"/>
      <c r="DD140" s="57"/>
      <c r="DE140" s="147">
        <v>2.9999999999999997E-4</v>
      </c>
      <c r="DF140" s="148"/>
      <c r="DG140" s="149"/>
      <c r="DH140" s="147">
        <v>4.0000000000000002E-4</v>
      </c>
      <c r="DI140" s="148"/>
      <c r="DJ140" s="149"/>
      <c r="DK140" s="147">
        <v>2.9999999999999997E-4</v>
      </c>
      <c r="DL140" s="148"/>
      <c r="DM140" s="149"/>
      <c r="DN140" s="56"/>
      <c r="DO140" s="57"/>
      <c r="DP140" s="58"/>
      <c r="DQ140" s="56"/>
      <c r="DR140" s="57"/>
      <c r="DS140" s="58"/>
      <c r="DT140" s="57"/>
      <c r="DU140" s="57"/>
      <c r="DV140" s="62"/>
      <c r="DX140" s="213">
        <f>SUM(R140:DV140)</f>
        <v>1E-3</v>
      </c>
      <c r="DY140" s="1"/>
      <c r="DZ140" s="1"/>
      <c r="EA140" s="1"/>
      <c r="EB140" s="1"/>
    </row>
    <row r="141" spans="6:132" s="6" customFormat="1" ht="6.95" customHeight="1">
      <c r="F141" s="143"/>
      <c r="G141" s="144"/>
      <c r="H141" s="55">
        <v>2</v>
      </c>
      <c r="L141" s="272"/>
      <c r="M141" s="232"/>
      <c r="N141" s="255"/>
      <c r="O141" s="300"/>
      <c r="P141" s="246"/>
      <c r="Q141" s="184"/>
      <c r="R141" s="63"/>
      <c r="S141" s="42"/>
      <c r="T141" s="42"/>
      <c r="U141" s="42"/>
      <c r="V141" s="41"/>
      <c r="W141" s="42"/>
      <c r="X141" s="43"/>
      <c r="Y141" s="41"/>
      <c r="Z141" s="42"/>
      <c r="AA141" s="43"/>
      <c r="AB141" s="41"/>
      <c r="AC141" s="42"/>
      <c r="AD141" s="43"/>
      <c r="AE141" s="42"/>
      <c r="AF141" s="42"/>
      <c r="AG141" s="42"/>
      <c r="AH141" s="41"/>
      <c r="AI141" s="42"/>
      <c r="AJ141" s="43"/>
      <c r="AK141" s="42"/>
      <c r="AL141" s="42"/>
      <c r="AM141" s="42"/>
      <c r="AN141" s="41"/>
      <c r="AO141" s="42"/>
      <c r="AP141" s="43"/>
      <c r="AQ141" s="41"/>
      <c r="AR141" s="42"/>
      <c r="AS141" s="42"/>
      <c r="AT141" s="41"/>
      <c r="AU141" s="42"/>
      <c r="AV141" s="43"/>
      <c r="AW141" s="42"/>
      <c r="AX141" s="42"/>
      <c r="AY141" s="42"/>
      <c r="AZ141" s="41"/>
      <c r="BA141" s="42"/>
      <c r="BB141" s="43"/>
      <c r="BC141" s="42"/>
      <c r="BD141" s="42"/>
      <c r="BE141" s="42"/>
      <c r="BF141" s="41"/>
      <c r="BG141" s="42"/>
      <c r="BH141" s="43"/>
      <c r="BI141" s="42"/>
      <c r="BJ141" s="42"/>
      <c r="BK141" s="42"/>
      <c r="BL141" s="41"/>
      <c r="BM141" s="42"/>
      <c r="BN141" s="43"/>
      <c r="BO141" s="42"/>
      <c r="BP141" s="42"/>
      <c r="BQ141" s="42"/>
      <c r="BR141" s="67"/>
      <c r="BS141" s="42"/>
      <c r="BT141" s="68"/>
      <c r="BU141" s="42"/>
      <c r="BV141" s="42"/>
      <c r="BW141" s="42"/>
      <c r="BX141" s="41"/>
      <c r="BY141" s="42"/>
      <c r="BZ141" s="43"/>
      <c r="CA141" s="41"/>
      <c r="CB141" s="42"/>
      <c r="CC141" s="43"/>
      <c r="CD141" s="41"/>
      <c r="CE141" s="42"/>
      <c r="CF141" s="43"/>
      <c r="CG141" s="41"/>
      <c r="CH141" s="42"/>
      <c r="CI141" s="43"/>
      <c r="CJ141" s="41"/>
      <c r="CK141" s="42"/>
      <c r="CL141" s="43"/>
      <c r="CM141" s="42"/>
      <c r="CN141" s="42"/>
      <c r="CO141" s="42"/>
      <c r="CP141" s="41"/>
      <c r="CQ141" s="42"/>
      <c r="CR141" s="43"/>
      <c r="CS141" s="41"/>
      <c r="CT141" s="42"/>
      <c r="CU141" s="43"/>
      <c r="CV141" s="42"/>
      <c r="CW141" s="42"/>
      <c r="CX141" s="42"/>
      <c r="CY141" s="41"/>
      <c r="CZ141" s="42"/>
      <c r="DA141" s="43"/>
      <c r="DB141" s="42"/>
      <c r="DC141" s="42"/>
      <c r="DD141" s="42"/>
      <c r="DE141" s="64"/>
      <c r="DF141" s="65"/>
      <c r="DG141" s="66"/>
      <c r="DH141" s="64"/>
      <c r="DI141" s="65"/>
      <c r="DJ141" s="66"/>
      <c r="DK141" s="64"/>
      <c r="DL141" s="65"/>
      <c r="DM141" s="66"/>
      <c r="DN141" s="41"/>
      <c r="DO141" s="42"/>
      <c r="DP141" s="43"/>
      <c r="DQ141" s="41"/>
      <c r="DR141" s="42"/>
      <c r="DS141" s="43"/>
      <c r="DT141" s="42"/>
      <c r="DU141" s="42"/>
      <c r="DV141" s="44"/>
      <c r="DX141" s="213"/>
      <c r="DY141" s="1"/>
      <c r="DZ141" s="1"/>
      <c r="EA141" s="1"/>
      <c r="EB141" s="1"/>
    </row>
    <row r="142" spans="6:132" s="6" customFormat="1" ht="9.9499999999999993" customHeight="1">
      <c r="F142" s="143">
        <f t="shared" ref="F142" si="56">DX142</f>
        <v>2.9199999999999999E-3</v>
      </c>
      <c r="G142" s="144">
        <f>Q142-F142</f>
        <v>0</v>
      </c>
      <c r="H142" s="27">
        <v>1</v>
      </c>
      <c r="I142" s="19" t="s">
        <v>237</v>
      </c>
      <c r="J142" s="19" t="s">
        <v>186</v>
      </c>
      <c r="K142" s="19" t="s">
        <v>238</v>
      </c>
      <c r="L142" s="271"/>
      <c r="M142" s="231" t="s">
        <v>70</v>
      </c>
      <c r="N142" s="254">
        <v>55155</v>
      </c>
      <c r="O142" s="299" t="s">
        <v>69</v>
      </c>
      <c r="P142" s="245">
        <v>607792</v>
      </c>
      <c r="Q142" s="183">
        <f>ROUND(P142/$P$256,5)</f>
        <v>2.9199999999999999E-3</v>
      </c>
      <c r="R142" s="79"/>
      <c r="S142" s="57"/>
      <c r="T142" s="57"/>
      <c r="U142" s="57"/>
      <c r="V142" s="56"/>
      <c r="W142" s="57"/>
      <c r="X142" s="58"/>
      <c r="Y142" s="56"/>
      <c r="Z142" s="57"/>
      <c r="AA142" s="58"/>
      <c r="AB142" s="56"/>
      <c r="AC142" s="57"/>
      <c r="AD142" s="58"/>
      <c r="AE142" s="57"/>
      <c r="AF142" s="57"/>
      <c r="AG142" s="57"/>
      <c r="AH142" s="56"/>
      <c r="AI142" s="57"/>
      <c r="AJ142" s="58"/>
      <c r="AK142" s="57"/>
      <c r="AL142" s="57"/>
      <c r="AM142" s="57"/>
      <c r="AN142" s="56"/>
      <c r="AO142" s="57"/>
      <c r="AP142" s="58"/>
      <c r="AQ142" s="56"/>
      <c r="AR142" s="57"/>
      <c r="AS142" s="57"/>
      <c r="AT142" s="56"/>
      <c r="AU142" s="57"/>
      <c r="AV142" s="58"/>
      <c r="AW142" s="57"/>
      <c r="AX142" s="57"/>
      <c r="AY142" s="57"/>
      <c r="AZ142" s="56"/>
      <c r="BA142" s="57"/>
      <c r="BB142" s="58"/>
      <c r="BC142" s="57"/>
      <c r="BD142" s="57"/>
      <c r="BE142" s="57"/>
      <c r="BF142" s="56"/>
      <c r="BG142" s="57"/>
      <c r="BH142" s="58"/>
      <c r="BI142" s="57"/>
      <c r="BJ142" s="57"/>
      <c r="BK142" s="57"/>
      <c r="BL142" s="56"/>
      <c r="BM142" s="57"/>
      <c r="BN142" s="58"/>
      <c r="BO142" s="57"/>
      <c r="BP142" s="57"/>
      <c r="BQ142" s="57"/>
      <c r="BR142" s="60"/>
      <c r="BS142" s="57"/>
      <c r="BT142" s="61"/>
      <c r="BU142" s="57"/>
      <c r="BV142" s="57"/>
      <c r="BW142" s="57"/>
      <c r="BX142" s="56"/>
      <c r="BY142" s="57"/>
      <c r="BZ142" s="58"/>
      <c r="CA142" s="56"/>
      <c r="CB142" s="57"/>
      <c r="CC142" s="58"/>
      <c r="CD142" s="56"/>
      <c r="CE142" s="57"/>
      <c r="CF142" s="58"/>
      <c r="CG142" s="56"/>
      <c r="CH142" s="57"/>
      <c r="CI142" s="58"/>
      <c r="CJ142" s="56"/>
      <c r="CK142" s="57"/>
      <c r="CL142" s="58"/>
      <c r="CM142" s="146"/>
      <c r="CN142" s="146"/>
      <c r="CO142" s="146"/>
      <c r="CP142" s="146"/>
      <c r="CQ142" s="146"/>
      <c r="CR142" s="146"/>
      <c r="CS142" s="56"/>
      <c r="CT142" s="57"/>
      <c r="CU142" s="58"/>
      <c r="CV142" s="146"/>
      <c r="CW142" s="146"/>
      <c r="CX142" s="146"/>
      <c r="CY142" s="146">
        <v>5.5999999999999995E-4</v>
      </c>
      <c r="CZ142" s="146"/>
      <c r="DA142" s="146"/>
      <c r="DB142" s="146">
        <v>5.5999999999999995E-4</v>
      </c>
      <c r="DC142" s="146"/>
      <c r="DD142" s="146"/>
      <c r="DE142" s="146">
        <v>6.6E-4</v>
      </c>
      <c r="DF142" s="146"/>
      <c r="DG142" s="146"/>
      <c r="DH142" s="146">
        <v>5.6999999999999998E-4</v>
      </c>
      <c r="DI142" s="146"/>
      <c r="DJ142" s="146"/>
      <c r="DK142" s="146">
        <v>5.6999999999999998E-4</v>
      </c>
      <c r="DL142" s="146"/>
      <c r="DM142" s="146"/>
      <c r="DN142" s="56"/>
      <c r="DO142" s="57"/>
      <c r="DP142" s="58"/>
      <c r="DQ142" s="56"/>
      <c r="DR142" s="57"/>
      <c r="DS142" s="58"/>
      <c r="DT142" s="57"/>
      <c r="DU142" s="57"/>
      <c r="DV142" s="62"/>
      <c r="DX142" s="213">
        <f>SUM(R142:DV142)</f>
        <v>2.9199999999999999E-3</v>
      </c>
      <c r="DY142" s="1"/>
      <c r="DZ142" s="1"/>
      <c r="EA142" s="1"/>
      <c r="EB142" s="1"/>
    </row>
    <row r="143" spans="6:132" s="6" customFormat="1" ht="6.95" customHeight="1">
      <c r="F143" s="143"/>
      <c r="G143" s="144"/>
      <c r="H143" s="55">
        <v>2</v>
      </c>
      <c r="L143" s="272"/>
      <c r="M143" s="232"/>
      <c r="N143" s="255"/>
      <c r="O143" s="300"/>
      <c r="P143" s="246"/>
      <c r="Q143" s="184"/>
      <c r="R143" s="63"/>
      <c r="S143" s="42"/>
      <c r="T143" s="42"/>
      <c r="U143" s="42"/>
      <c r="V143" s="41"/>
      <c r="W143" s="42"/>
      <c r="X143" s="43"/>
      <c r="Y143" s="41"/>
      <c r="Z143" s="42"/>
      <c r="AA143" s="43"/>
      <c r="AB143" s="41"/>
      <c r="AC143" s="42"/>
      <c r="AD143" s="43"/>
      <c r="AE143" s="42"/>
      <c r="AF143" s="42"/>
      <c r="AG143" s="42"/>
      <c r="AH143" s="41"/>
      <c r="AI143" s="42"/>
      <c r="AJ143" s="43"/>
      <c r="AK143" s="42"/>
      <c r="AL143" s="42"/>
      <c r="AM143" s="42"/>
      <c r="AN143" s="41"/>
      <c r="AO143" s="42"/>
      <c r="AP143" s="43"/>
      <c r="AQ143" s="41"/>
      <c r="AR143" s="42"/>
      <c r="AS143" s="42"/>
      <c r="AT143" s="41"/>
      <c r="AU143" s="42"/>
      <c r="AV143" s="43"/>
      <c r="AW143" s="42"/>
      <c r="AX143" s="42"/>
      <c r="AY143" s="42"/>
      <c r="AZ143" s="41"/>
      <c r="BA143" s="42"/>
      <c r="BB143" s="43"/>
      <c r="BC143" s="42"/>
      <c r="BD143" s="42"/>
      <c r="BE143" s="42"/>
      <c r="BF143" s="41"/>
      <c r="BG143" s="42"/>
      <c r="BH143" s="43"/>
      <c r="BI143" s="42"/>
      <c r="BJ143" s="42"/>
      <c r="BK143" s="42"/>
      <c r="BL143" s="41"/>
      <c r="BM143" s="42"/>
      <c r="BN143" s="43"/>
      <c r="BO143" s="42"/>
      <c r="BP143" s="42"/>
      <c r="BQ143" s="42"/>
      <c r="BR143" s="67"/>
      <c r="BS143" s="42"/>
      <c r="BT143" s="68"/>
      <c r="BU143" s="42"/>
      <c r="BV143" s="42"/>
      <c r="BW143" s="42"/>
      <c r="BX143" s="41"/>
      <c r="BY143" s="42"/>
      <c r="BZ143" s="43"/>
      <c r="CA143" s="41"/>
      <c r="CB143" s="42"/>
      <c r="CC143" s="43"/>
      <c r="CD143" s="41"/>
      <c r="CE143" s="42"/>
      <c r="CF143" s="43"/>
      <c r="CG143" s="41"/>
      <c r="CH143" s="42"/>
      <c r="CI143" s="43"/>
      <c r="CJ143" s="41"/>
      <c r="CK143" s="42"/>
      <c r="CL143" s="43"/>
      <c r="CM143" s="41"/>
      <c r="CN143" s="42"/>
      <c r="CO143" s="43"/>
      <c r="CP143" s="41"/>
      <c r="CQ143" s="42"/>
      <c r="CR143" s="43"/>
      <c r="CS143" s="41"/>
      <c r="CT143" s="42"/>
      <c r="CU143" s="43"/>
      <c r="CV143" s="41"/>
      <c r="CW143" s="42"/>
      <c r="CX143" s="43"/>
      <c r="CY143" s="64"/>
      <c r="CZ143" s="65"/>
      <c r="DA143" s="66"/>
      <c r="DB143" s="64"/>
      <c r="DC143" s="65"/>
      <c r="DD143" s="66"/>
      <c r="DE143" s="64"/>
      <c r="DF143" s="65"/>
      <c r="DG143" s="66"/>
      <c r="DH143" s="64"/>
      <c r="DI143" s="65"/>
      <c r="DJ143" s="66"/>
      <c r="DK143" s="64"/>
      <c r="DL143" s="65"/>
      <c r="DM143" s="66"/>
      <c r="DN143" s="41"/>
      <c r="DO143" s="42"/>
      <c r="DP143" s="43"/>
      <c r="DQ143" s="41"/>
      <c r="DR143" s="42"/>
      <c r="DS143" s="43"/>
      <c r="DT143" s="42"/>
      <c r="DU143" s="42"/>
      <c r="DV143" s="44"/>
      <c r="DX143" s="213"/>
      <c r="DY143" s="1"/>
      <c r="DZ143" s="1"/>
      <c r="EA143" s="1"/>
      <c r="EB143" s="1"/>
    </row>
    <row r="144" spans="6:132" s="6" customFormat="1" ht="9.9499999999999993" customHeight="1">
      <c r="F144" s="143">
        <f t="shared" ref="F144" si="57">DX144</f>
        <v>5.96E-3</v>
      </c>
      <c r="G144" s="144">
        <f>Q144-F144</f>
        <v>0</v>
      </c>
      <c r="H144" s="27">
        <v>1</v>
      </c>
      <c r="I144" s="19" t="s">
        <v>208</v>
      </c>
      <c r="J144" s="19" t="s">
        <v>186</v>
      </c>
      <c r="K144" s="19" t="s">
        <v>239</v>
      </c>
      <c r="L144" s="271"/>
      <c r="M144" s="231" t="s">
        <v>71</v>
      </c>
      <c r="N144" s="254">
        <v>51189</v>
      </c>
      <c r="O144" s="243" t="s">
        <v>15</v>
      </c>
      <c r="P144" s="245">
        <v>1240413</v>
      </c>
      <c r="Q144" s="183">
        <f>ROUND(P144/$P$256,5)</f>
        <v>5.96E-3</v>
      </c>
      <c r="R144" s="79"/>
      <c r="S144" s="57"/>
      <c r="T144" s="57"/>
      <c r="U144" s="57"/>
      <c r="V144" s="56"/>
      <c r="W144" s="57"/>
      <c r="X144" s="58"/>
      <c r="Y144" s="56"/>
      <c r="Z144" s="57"/>
      <c r="AA144" s="58"/>
      <c r="AB144" s="56"/>
      <c r="AC144" s="57"/>
      <c r="AD144" s="58"/>
      <c r="AE144" s="57"/>
      <c r="AF144" s="57"/>
      <c r="AG144" s="57"/>
      <c r="AH144" s="56"/>
      <c r="AI144" s="57"/>
      <c r="AJ144" s="58"/>
      <c r="AK144" s="57"/>
      <c r="AL144" s="57"/>
      <c r="AM144" s="57"/>
      <c r="AN144" s="56"/>
      <c r="AO144" s="57"/>
      <c r="AP144" s="58"/>
      <c r="AQ144" s="56"/>
      <c r="AR144" s="57"/>
      <c r="AS144" s="57"/>
      <c r="AT144" s="56"/>
      <c r="AU144" s="57"/>
      <c r="AV144" s="58"/>
      <c r="AW144" s="57"/>
      <c r="AX144" s="57"/>
      <c r="AY144" s="57"/>
      <c r="AZ144" s="56"/>
      <c r="BA144" s="57"/>
      <c r="BB144" s="58"/>
      <c r="BC144" s="57"/>
      <c r="BD144" s="57"/>
      <c r="BE144" s="57"/>
      <c r="BF144" s="56"/>
      <c r="BG144" s="57"/>
      <c r="BH144" s="58"/>
      <c r="BI144" s="57"/>
      <c r="BJ144" s="57"/>
      <c r="BK144" s="57"/>
      <c r="BL144" s="56"/>
      <c r="BM144" s="57"/>
      <c r="BN144" s="58"/>
      <c r="BO144" s="57"/>
      <c r="BP144" s="57"/>
      <c r="BQ144" s="57"/>
      <c r="BR144" s="60"/>
      <c r="BS144" s="57"/>
      <c r="BT144" s="61"/>
      <c r="BU144" s="57"/>
      <c r="BV144" s="57"/>
      <c r="BW144" s="57"/>
      <c r="BX144" s="56"/>
      <c r="BY144" s="57"/>
      <c r="BZ144" s="58"/>
      <c r="CA144" s="56"/>
      <c r="CB144" s="57"/>
      <c r="CC144" s="58"/>
      <c r="CD144" s="56"/>
      <c r="CE144" s="57"/>
      <c r="CF144" s="58"/>
      <c r="CG144" s="146"/>
      <c r="CH144" s="146"/>
      <c r="CI144" s="146"/>
      <c r="CJ144" s="146"/>
      <c r="CK144" s="146"/>
      <c r="CL144" s="146"/>
      <c r="CM144" s="146"/>
      <c r="CN144" s="146"/>
      <c r="CO144" s="146"/>
      <c r="CP144" s="146"/>
      <c r="CQ144" s="146"/>
      <c r="CR144" s="146"/>
      <c r="CS144" s="146">
        <v>6.2E-4</v>
      </c>
      <c r="CT144" s="146"/>
      <c r="CU144" s="146"/>
      <c r="CV144" s="146">
        <v>1.4300000000000001E-3</v>
      </c>
      <c r="CW144" s="146"/>
      <c r="CX144" s="146"/>
      <c r="CY144" s="146">
        <v>1.6299999999999999E-3</v>
      </c>
      <c r="CZ144" s="146"/>
      <c r="DA144" s="146"/>
      <c r="DB144" s="146">
        <v>1.6299999999999999E-3</v>
      </c>
      <c r="DC144" s="146"/>
      <c r="DD144" s="146"/>
      <c r="DE144" s="146">
        <v>6.4999999999999997E-4</v>
      </c>
      <c r="DF144" s="146"/>
      <c r="DG144" s="146"/>
      <c r="DH144" s="146"/>
      <c r="DI144" s="146"/>
      <c r="DJ144" s="146"/>
      <c r="DK144" s="57"/>
      <c r="DL144" s="57"/>
      <c r="DM144" s="57"/>
      <c r="DN144" s="56"/>
      <c r="DO144" s="57"/>
      <c r="DP144" s="58"/>
      <c r="DQ144" s="56"/>
      <c r="DR144" s="57"/>
      <c r="DS144" s="58"/>
      <c r="DT144" s="57"/>
      <c r="DU144" s="57"/>
      <c r="DV144" s="62"/>
      <c r="DX144" s="213">
        <f>SUM(R144:DV144)</f>
        <v>5.96E-3</v>
      </c>
      <c r="DY144" s="1"/>
      <c r="DZ144" s="1"/>
      <c r="EA144" s="1"/>
      <c r="EB144" s="1"/>
    </row>
    <row r="145" spans="5:132" s="6" customFormat="1" ht="6.95" customHeight="1">
      <c r="F145" s="143"/>
      <c r="G145" s="144"/>
      <c r="H145" s="55">
        <v>2</v>
      </c>
      <c r="L145" s="272"/>
      <c r="M145" s="232"/>
      <c r="N145" s="255"/>
      <c r="O145" s="244"/>
      <c r="P145" s="246"/>
      <c r="Q145" s="184"/>
      <c r="R145" s="63"/>
      <c r="S145" s="42"/>
      <c r="T145" s="42"/>
      <c r="U145" s="42"/>
      <c r="V145" s="41"/>
      <c r="W145" s="42"/>
      <c r="X145" s="43"/>
      <c r="Y145" s="41"/>
      <c r="Z145" s="42"/>
      <c r="AA145" s="43"/>
      <c r="AB145" s="41"/>
      <c r="AC145" s="42"/>
      <c r="AD145" s="43"/>
      <c r="AE145" s="42"/>
      <c r="AF145" s="42"/>
      <c r="AG145" s="42"/>
      <c r="AH145" s="41"/>
      <c r="AI145" s="42"/>
      <c r="AJ145" s="43"/>
      <c r="AK145" s="42"/>
      <c r="AL145" s="42"/>
      <c r="AM145" s="42"/>
      <c r="AN145" s="41"/>
      <c r="AO145" s="42"/>
      <c r="AP145" s="43"/>
      <c r="AQ145" s="41"/>
      <c r="AR145" s="42"/>
      <c r="AS145" s="42"/>
      <c r="AT145" s="41"/>
      <c r="AU145" s="42"/>
      <c r="AV145" s="43"/>
      <c r="AW145" s="42"/>
      <c r="AX145" s="42"/>
      <c r="AY145" s="42"/>
      <c r="AZ145" s="41"/>
      <c r="BA145" s="42"/>
      <c r="BB145" s="43"/>
      <c r="BC145" s="42"/>
      <c r="BD145" s="42"/>
      <c r="BE145" s="42"/>
      <c r="BF145" s="41"/>
      <c r="BG145" s="42"/>
      <c r="BH145" s="43"/>
      <c r="BI145" s="42"/>
      <c r="BJ145" s="42"/>
      <c r="BK145" s="42"/>
      <c r="BL145" s="41"/>
      <c r="BM145" s="42"/>
      <c r="BN145" s="43"/>
      <c r="BO145" s="42"/>
      <c r="BP145" s="42"/>
      <c r="BQ145" s="42"/>
      <c r="BR145" s="67"/>
      <c r="BS145" s="42"/>
      <c r="BT145" s="68"/>
      <c r="BU145" s="42"/>
      <c r="BV145" s="42"/>
      <c r="BW145" s="42"/>
      <c r="BX145" s="41"/>
      <c r="BY145" s="42"/>
      <c r="BZ145" s="43"/>
      <c r="CA145" s="41"/>
      <c r="CB145" s="42"/>
      <c r="CC145" s="43"/>
      <c r="CD145" s="41"/>
      <c r="CE145" s="42"/>
      <c r="CF145" s="43"/>
      <c r="CG145" s="41"/>
      <c r="CH145" s="42"/>
      <c r="CI145" s="43"/>
      <c r="CJ145" s="41"/>
      <c r="CK145" s="42"/>
      <c r="CL145" s="43"/>
      <c r="CM145" s="41"/>
      <c r="CN145" s="42"/>
      <c r="CO145" s="43"/>
      <c r="CP145" s="41"/>
      <c r="CQ145" s="42"/>
      <c r="CR145" s="43"/>
      <c r="CS145" s="64"/>
      <c r="CT145" s="65"/>
      <c r="CU145" s="66"/>
      <c r="CV145" s="64"/>
      <c r="CW145" s="65"/>
      <c r="CX145" s="66"/>
      <c r="CY145" s="64"/>
      <c r="CZ145" s="65"/>
      <c r="DA145" s="66"/>
      <c r="DB145" s="64"/>
      <c r="DC145" s="65"/>
      <c r="DD145" s="66"/>
      <c r="DE145" s="64"/>
      <c r="DF145" s="65"/>
      <c r="DG145" s="66"/>
      <c r="DH145" s="41"/>
      <c r="DI145" s="42"/>
      <c r="DJ145" s="43"/>
      <c r="DK145" s="42"/>
      <c r="DL145" s="42"/>
      <c r="DM145" s="42"/>
      <c r="DN145" s="41"/>
      <c r="DO145" s="42"/>
      <c r="DP145" s="43"/>
      <c r="DQ145" s="41"/>
      <c r="DR145" s="42"/>
      <c r="DS145" s="43"/>
      <c r="DT145" s="42"/>
      <c r="DU145" s="42"/>
      <c r="DV145" s="44"/>
      <c r="DX145" s="213"/>
      <c r="DY145" s="1"/>
      <c r="DZ145" s="1"/>
      <c r="EA145" s="1"/>
      <c r="EB145" s="1"/>
    </row>
    <row r="146" spans="5:132" s="6" customFormat="1" ht="9.9499999999999993" customHeight="1">
      <c r="F146" s="143">
        <f t="shared" ref="F146" si="58">DX146</f>
        <v>1.5100000000000001E-3</v>
      </c>
      <c r="G146" s="144">
        <f>Q146-F146</f>
        <v>0</v>
      </c>
      <c r="H146" s="27">
        <v>1</v>
      </c>
      <c r="I146" s="19" t="s">
        <v>210</v>
      </c>
      <c r="J146" s="19" t="s">
        <v>186</v>
      </c>
      <c r="K146" s="19" t="s">
        <v>240</v>
      </c>
      <c r="L146" s="230"/>
      <c r="M146" s="238" t="s">
        <v>72</v>
      </c>
      <c r="N146" s="234">
        <v>7434</v>
      </c>
      <c r="O146" s="235" t="s">
        <v>69</v>
      </c>
      <c r="P146" s="249">
        <v>314434</v>
      </c>
      <c r="Q146" s="183">
        <f>ROUND(P146/$P$256,5)</f>
        <v>1.5100000000000001E-3</v>
      </c>
      <c r="R146" s="76"/>
      <c r="S146" s="70"/>
      <c r="T146" s="70"/>
      <c r="U146" s="70"/>
      <c r="V146" s="69"/>
      <c r="W146" s="70"/>
      <c r="X146" s="71"/>
      <c r="Y146" s="69"/>
      <c r="Z146" s="70"/>
      <c r="AA146" s="71"/>
      <c r="AB146" s="69"/>
      <c r="AC146" s="70"/>
      <c r="AD146" s="71"/>
      <c r="AE146" s="70"/>
      <c r="AF146" s="70"/>
      <c r="AG146" s="70"/>
      <c r="AH146" s="69"/>
      <c r="AI146" s="70"/>
      <c r="AJ146" s="71"/>
      <c r="AK146" s="70"/>
      <c r="AL146" s="70"/>
      <c r="AM146" s="70"/>
      <c r="AN146" s="69"/>
      <c r="AO146" s="70"/>
      <c r="AP146" s="71"/>
      <c r="AQ146" s="69"/>
      <c r="AR146" s="70"/>
      <c r="AS146" s="70"/>
      <c r="AT146" s="69"/>
      <c r="AU146" s="70"/>
      <c r="AV146" s="71"/>
      <c r="AW146" s="70"/>
      <c r="AX146" s="70"/>
      <c r="AY146" s="70"/>
      <c r="AZ146" s="69"/>
      <c r="BA146" s="70"/>
      <c r="BB146" s="71"/>
      <c r="BC146" s="70"/>
      <c r="BD146" s="70"/>
      <c r="BE146" s="70"/>
      <c r="BF146" s="69"/>
      <c r="BG146" s="70"/>
      <c r="BH146" s="71"/>
      <c r="BI146" s="70"/>
      <c r="BJ146" s="70"/>
      <c r="BK146" s="70"/>
      <c r="BL146" s="69"/>
      <c r="BM146" s="70"/>
      <c r="BN146" s="71"/>
      <c r="BO146" s="70"/>
      <c r="BP146" s="70"/>
      <c r="BQ146" s="70"/>
      <c r="BR146" s="73"/>
      <c r="BS146" s="70"/>
      <c r="BT146" s="74"/>
      <c r="BU146" s="70"/>
      <c r="BV146" s="70"/>
      <c r="BW146" s="70"/>
      <c r="BX146" s="69"/>
      <c r="BY146" s="70"/>
      <c r="BZ146" s="71"/>
      <c r="CA146" s="69"/>
      <c r="CB146" s="70"/>
      <c r="CC146" s="71"/>
      <c r="CD146" s="69"/>
      <c r="CE146" s="70"/>
      <c r="CF146" s="71"/>
      <c r="CG146" s="69"/>
      <c r="CH146" s="70"/>
      <c r="CI146" s="71"/>
      <c r="CJ146" s="69"/>
      <c r="CK146" s="70"/>
      <c r="CL146" s="71"/>
      <c r="CM146" s="70"/>
      <c r="CN146" s="70"/>
      <c r="CO146" s="70"/>
      <c r="CP146" s="69"/>
      <c r="CQ146" s="70"/>
      <c r="CR146" s="71"/>
      <c r="CS146" s="69"/>
      <c r="CT146" s="70"/>
      <c r="CU146" s="71"/>
      <c r="CV146" s="70"/>
      <c r="CW146" s="70"/>
      <c r="CX146" s="70"/>
      <c r="CY146" s="69"/>
      <c r="CZ146" s="70"/>
      <c r="DA146" s="71"/>
      <c r="DB146" s="70"/>
      <c r="DC146" s="70"/>
      <c r="DD146" s="70"/>
      <c r="DE146" s="69"/>
      <c r="DF146" s="70"/>
      <c r="DG146" s="71"/>
      <c r="DH146" s="69"/>
      <c r="DI146" s="70"/>
      <c r="DJ146" s="71"/>
      <c r="DK146" s="146">
        <v>7.7999999999999999E-4</v>
      </c>
      <c r="DL146" s="146"/>
      <c r="DM146" s="146"/>
      <c r="DN146" s="146">
        <v>7.2999999999999996E-4</v>
      </c>
      <c r="DO146" s="146"/>
      <c r="DP146" s="146"/>
      <c r="DQ146" s="150"/>
      <c r="DR146" s="150"/>
      <c r="DS146" s="150"/>
      <c r="DT146" s="70"/>
      <c r="DU146" s="70"/>
      <c r="DV146" s="75"/>
      <c r="DX146" s="213">
        <f>SUM(R146:DV146)</f>
        <v>1.5100000000000001E-3</v>
      </c>
      <c r="DY146" s="1"/>
      <c r="DZ146" s="1"/>
      <c r="EA146" s="1"/>
      <c r="EB146" s="1"/>
    </row>
    <row r="147" spans="5:132" s="6" customFormat="1" ht="6.95" customHeight="1">
      <c r="F147" s="143"/>
      <c r="G147" s="144"/>
      <c r="H147" s="55">
        <v>2</v>
      </c>
      <c r="L147" s="230"/>
      <c r="M147" s="238"/>
      <c r="N147" s="234"/>
      <c r="O147" s="236"/>
      <c r="P147" s="249"/>
      <c r="Q147" s="184"/>
      <c r="R147" s="76"/>
      <c r="S147" s="70"/>
      <c r="T147" s="70"/>
      <c r="U147" s="70"/>
      <c r="V147" s="69"/>
      <c r="W147" s="70"/>
      <c r="X147" s="71"/>
      <c r="Y147" s="69"/>
      <c r="Z147" s="70"/>
      <c r="AA147" s="71"/>
      <c r="AB147" s="69"/>
      <c r="AC147" s="70"/>
      <c r="AD147" s="71"/>
      <c r="AE147" s="70"/>
      <c r="AF147" s="70"/>
      <c r="AG147" s="70"/>
      <c r="AH147" s="69"/>
      <c r="AI147" s="70"/>
      <c r="AJ147" s="71"/>
      <c r="AK147" s="70"/>
      <c r="AL147" s="70"/>
      <c r="AM147" s="70"/>
      <c r="AN147" s="69"/>
      <c r="AO147" s="70"/>
      <c r="AP147" s="71"/>
      <c r="AQ147" s="69"/>
      <c r="AR147" s="70"/>
      <c r="AS147" s="70"/>
      <c r="AT147" s="69"/>
      <c r="AU147" s="70"/>
      <c r="AV147" s="71"/>
      <c r="AW147" s="70"/>
      <c r="AX147" s="70"/>
      <c r="AY147" s="70"/>
      <c r="AZ147" s="69"/>
      <c r="BA147" s="70"/>
      <c r="BB147" s="71"/>
      <c r="BC147" s="70"/>
      <c r="BD147" s="70"/>
      <c r="BE147" s="70"/>
      <c r="BF147" s="69"/>
      <c r="BG147" s="70"/>
      <c r="BH147" s="71"/>
      <c r="BI147" s="70"/>
      <c r="BJ147" s="70"/>
      <c r="BK147" s="70"/>
      <c r="BL147" s="69"/>
      <c r="BM147" s="70"/>
      <c r="BN147" s="71"/>
      <c r="BO147" s="70"/>
      <c r="BP147" s="70"/>
      <c r="BQ147" s="70"/>
      <c r="BR147" s="73"/>
      <c r="BS147" s="70"/>
      <c r="BT147" s="74"/>
      <c r="BU147" s="70"/>
      <c r="BV147" s="70"/>
      <c r="BW147" s="70"/>
      <c r="BX147" s="69"/>
      <c r="BY147" s="70"/>
      <c r="BZ147" s="71"/>
      <c r="CA147" s="69"/>
      <c r="CB147" s="70"/>
      <c r="CC147" s="71"/>
      <c r="CD147" s="69"/>
      <c r="CE147" s="70"/>
      <c r="CF147" s="71"/>
      <c r="CG147" s="69"/>
      <c r="CH147" s="70"/>
      <c r="CI147" s="71"/>
      <c r="CJ147" s="69"/>
      <c r="CK147" s="70"/>
      <c r="CL147" s="71"/>
      <c r="CM147" s="70"/>
      <c r="CN147" s="70"/>
      <c r="CO147" s="70"/>
      <c r="CP147" s="69"/>
      <c r="CQ147" s="70"/>
      <c r="CR147" s="71"/>
      <c r="CS147" s="69"/>
      <c r="CT147" s="70"/>
      <c r="CU147" s="71"/>
      <c r="CV147" s="70"/>
      <c r="CW147" s="70"/>
      <c r="CX147" s="70"/>
      <c r="CY147" s="69"/>
      <c r="CZ147" s="70"/>
      <c r="DA147" s="71"/>
      <c r="DB147" s="70"/>
      <c r="DC147" s="70"/>
      <c r="DD147" s="70"/>
      <c r="DE147" s="69"/>
      <c r="DF147" s="70"/>
      <c r="DG147" s="71"/>
      <c r="DH147" s="69"/>
      <c r="DI147" s="70"/>
      <c r="DJ147" s="71"/>
      <c r="DK147" s="64"/>
      <c r="DL147" s="65"/>
      <c r="DM147" s="66"/>
      <c r="DN147" s="64"/>
      <c r="DO147" s="65"/>
      <c r="DP147" s="66"/>
      <c r="DQ147" s="69"/>
      <c r="DR147" s="70"/>
      <c r="DS147" s="71"/>
      <c r="DT147" s="70"/>
      <c r="DU147" s="70"/>
      <c r="DV147" s="75"/>
      <c r="DX147" s="213"/>
      <c r="DY147" s="1"/>
      <c r="DZ147" s="1"/>
      <c r="EA147" s="1"/>
      <c r="EB147" s="1"/>
    </row>
    <row r="148" spans="5:132" s="6" customFormat="1" ht="9.9499999999999993" customHeight="1">
      <c r="E148" s="82"/>
      <c r="F148" s="143">
        <f t="shared" ref="F148" si="59">DX148</f>
        <v>1.1000000000000001E-3</v>
      </c>
      <c r="G148" s="144">
        <f>Q148-F148</f>
        <v>0</v>
      </c>
      <c r="H148" s="27">
        <v>1</v>
      </c>
      <c r="I148" s="83"/>
      <c r="J148" s="83"/>
      <c r="L148" s="271"/>
      <c r="M148" s="231" t="s">
        <v>12</v>
      </c>
      <c r="N148" s="254">
        <v>11462</v>
      </c>
      <c r="O148" s="299" t="s">
        <v>69</v>
      </c>
      <c r="P148" s="245">
        <v>228020</v>
      </c>
      <c r="Q148" s="183">
        <f>ROUND(P148/$P$256,5)</f>
        <v>1.1000000000000001E-3</v>
      </c>
      <c r="R148" s="79"/>
      <c r="S148" s="57"/>
      <c r="T148" s="57"/>
      <c r="U148" s="57"/>
      <c r="V148" s="56"/>
      <c r="W148" s="57"/>
      <c r="X148" s="58"/>
      <c r="Y148" s="56"/>
      <c r="Z148" s="57"/>
      <c r="AA148" s="58"/>
      <c r="AB148" s="56"/>
      <c r="AC148" s="57"/>
      <c r="AD148" s="58"/>
      <c r="AE148" s="57"/>
      <c r="AF148" s="57"/>
      <c r="AG148" s="57"/>
      <c r="AH148" s="56"/>
      <c r="AI148" s="57"/>
      <c r="AJ148" s="58"/>
      <c r="AK148" s="57"/>
      <c r="AL148" s="57"/>
      <c r="AM148" s="57"/>
      <c r="AN148" s="56"/>
      <c r="AO148" s="57"/>
      <c r="AP148" s="58"/>
      <c r="AQ148" s="56"/>
      <c r="AR148" s="57"/>
      <c r="AS148" s="57"/>
      <c r="AT148" s="56"/>
      <c r="AU148" s="57"/>
      <c r="AV148" s="58"/>
      <c r="AW148" s="57"/>
      <c r="AX148" s="57"/>
      <c r="AY148" s="57"/>
      <c r="AZ148" s="56"/>
      <c r="BA148" s="57"/>
      <c r="BB148" s="58"/>
      <c r="BC148" s="57"/>
      <c r="BD148" s="57"/>
      <c r="BE148" s="57"/>
      <c r="BF148" s="56"/>
      <c r="BG148" s="57"/>
      <c r="BH148" s="58"/>
      <c r="BI148" s="57"/>
      <c r="BJ148" s="57"/>
      <c r="BK148" s="57"/>
      <c r="BL148" s="56"/>
      <c r="BM148" s="57"/>
      <c r="BN148" s="58"/>
      <c r="BO148" s="57"/>
      <c r="BP148" s="57"/>
      <c r="BQ148" s="57"/>
      <c r="BR148" s="60"/>
      <c r="BS148" s="57"/>
      <c r="BT148" s="61"/>
      <c r="BU148" s="57"/>
      <c r="BV148" s="57"/>
      <c r="BW148" s="57"/>
      <c r="BX148" s="56"/>
      <c r="BY148" s="57"/>
      <c r="BZ148" s="58"/>
      <c r="CA148" s="56"/>
      <c r="CB148" s="57"/>
      <c r="CC148" s="58"/>
      <c r="CD148" s="56"/>
      <c r="CE148" s="57"/>
      <c r="CF148" s="58"/>
      <c r="CG148" s="56"/>
      <c r="CH148" s="57"/>
      <c r="CI148" s="58"/>
      <c r="CJ148" s="56"/>
      <c r="CK148" s="57"/>
      <c r="CL148" s="58"/>
      <c r="CM148" s="57"/>
      <c r="CN148" s="57"/>
      <c r="CO148" s="57"/>
      <c r="CP148" s="56"/>
      <c r="CQ148" s="57"/>
      <c r="CR148" s="58"/>
      <c r="CS148" s="56"/>
      <c r="CT148" s="57"/>
      <c r="CU148" s="58"/>
      <c r="CV148" s="57"/>
      <c r="CW148" s="57"/>
      <c r="CX148" s="57"/>
      <c r="CY148" s="56"/>
      <c r="CZ148" s="57"/>
      <c r="DA148" s="58"/>
      <c r="DB148" s="57"/>
      <c r="DC148" s="57"/>
      <c r="DD148" s="57"/>
      <c r="DE148" s="56"/>
      <c r="DF148" s="57"/>
      <c r="DG148" s="58"/>
      <c r="DH148" s="56"/>
      <c r="DI148" s="57"/>
      <c r="DJ148" s="58"/>
      <c r="DK148" s="57"/>
      <c r="DL148" s="57"/>
      <c r="DM148" s="57"/>
      <c r="DN148" s="146">
        <v>6.6E-4</v>
      </c>
      <c r="DO148" s="146"/>
      <c r="DP148" s="146"/>
      <c r="DQ148" s="146">
        <v>4.4000000000000002E-4</v>
      </c>
      <c r="DR148" s="146"/>
      <c r="DS148" s="146"/>
      <c r="DT148" s="57"/>
      <c r="DU148" s="57"/>
      <c r="DV148" s="62"/>
      <c r="DX148" s="213">
        <f>SUM(R148:DV148)</f>
        <v>1.1000000000000001E-3</v>
      </c>
      <c r="DY148" s="1"/>
      <c r="DZ148" s="1"/>
      <c r="EA148" s="1"/>
      <c r="EB148" s="1"/>
    </row>
    <row r="149" spans="5:132" s="6" customFormat="1" ht="6.95" customHeight="1">
      <c r="E149" s="83"/>
      <c r="F149" s="143"/>
      <c r="G149" s="144"/>
      <c r="H149" s="55">
        <v>2</v>
      </c>
      <c r="I149" s="83"/>
      <c r="J149" s="83"/>
      <c r="L149" s="272"/>
      <c r="M149" s="232"/>
      <c r="N149" s="255"/>
      <c r="O149" s="300"/>
      <c r="P149" s="246"/>
      <c r="Q149" s="184"/>
      <c r="R149" s="63"/>
      <c r="S149" s="42"/>
      <c r="T149" s="42"/>
      <c r="U149" s="42"/>
      <c r="V149" s="41"/>
      <c r="W149" s="42"/>
      <c r="X149" s="43"/>
      <c r="Y149" s="41"/>
      <c r="Z149" s="42"/>
      <c r="AA149" s="43"/>
      <c r="AB149" s="41"/>
      <c r="AC149" s="42"/>
      <c r="AD149" s="43"/>
      <c r="AE149" s="42"/>
      <c r="AF149" s="42"/>
      <c r="AG149" s="42"/>
      <c r="AH149" s="41"/>
      <c r="AI149" s="42"/>
      <c r="AJ149" s="43"/>
      <c r="AK149" s="42"/>
      <c r="AL149" s="42"/>
      <c r="AM149" s="42"/>
      <c r="AN149" s="41"/>
      <c r="AO149" s="42"/>
      <c r="AP149" s="43"/>
      <c r="AQ149" s="41"/>
      <c r="AR149" s="42"/>
      <c r="AS149" s="42"/>
      <c r="AT149" s="41"/>
      <c r="AU149" s="42"/>
      <c r="AV149" s="43"/>
      <c r="AW149" s="42"/>
      <c r="AX149" s="42"/>
      <c r="AY149" s="42"/>
      <c r="AZ149" s="41"/>
      <c r="BA149" s="42"/>
      <c r="BB149" s="43"/>
      <c r="BC149" s="42"/>
      <c r="BD149" s="42"/>
      <c r="BE149" s="42"/>
      <c r="BF149" s="41"/>
      <c r="BG149" s="42"/>
      <c r="BH149" s="43"/>
      <c r="BI149" s="42"/>
      <c r="BJ149" s="42"/>
      <c r="BK149" s="42"/>
      <c r="BL149" s="41"/>
      <c r="BM149" s="42"/>
      <c r="BN149" s="43"/>
      <c r="BO149" s="42"/>
      <c r="BP149" s="42"/>
      <c r="BQ149" s="42"/>
      <c r="BR149" s="67"/>
      <c r="BS149" s="42"/>
      <c r="BT149" s="68"/>
      <c r="BU149" s="42"/>
      <c r="BV149" s="42"/>
      <c r="BW149" s="42"/>
      <c r="BX149" s="41"/>
      <c r="BY149" s="42"/>
      <c r="BZ149" s="43"/>
      <c r="CA149" s="41"/>
      <c r="CB149" s="42"/>
      <c r="CC149" s="43"/>
      <c r="CD149" s="41"/>
      <c r="CE149" s="42"/>
      <c r="CF149" s="43"/>
      <c r="CG149" s="41"/>
      <c r="CH149" s="42"/>
      <c r="CI149" s="43"/>
      <c r="CJ149" s="41"/>
      <c r="CK149" s="42"/>
      <c r="CL149" s="43"/>
      <c r="CM149" s="42"/>
      <c r="CN149" s="42"/>
      <c r="CO149" s="42"/>
      <c r="CP149" s="41"/>
      <c r="CQ149" s="42"/>
      <c r="CR149" s="43"/>
      <c r="CS149" s="41"/>
      <c r="CT149" s="42"/>
      <c r="CU149" s="43"/>
      <c r="CV149" s="42"/>
      <c r="CW149" s="42"/>
      <c r="CX149" s="42"/>
      <c r="CY149" s="41"/>
      <c r="CZ149" s="42"/>
      <c r="DA149" s="43"/>
      <c r="DB149" s="42"/>
      <c r="DC149" s="42"/>
      <c r="DD149" s="42"/>
      <c r="DE149" s="41"/>
      <c r="DF149" s="42"/>
      <c r="DG149" s="43"/>
      <c r="DH149" s="41"/>
      <c r="DI149" s="42"/>
      <c r="DJ149" s="43"/>
      <c r="DK149" s="42"/>
      <c r="DL149" s="42"/>
      <c r="DM149" s="42"/>
      <c r="DN149" s="64"/>
      <c r="DO149" s="65"/>
      <c r="DP149" s="66"/>
      <c r="DQ149" s="64"/>
      <c r="DR149" s="65"/>
      <c r="DS149" s="66"/>
      <c r="DT149" s="42"/>
      <c r="DU149" s="42"/>
      <c r="DV149" s="44"/>
      <c r="DX149" s="213"/>
      <c r="DY149" s="1"/>
      <c r="DZ149" s="1"/>
      <c r="EA149" s="1"/>
      <c r="EB149" s="1"/>
    </row>
    <row r="150" spans="5:132" s="6" customFormat="1" ht="9.9499999999999993" customHeight="1">
      <c r="E150" s="83"/>
      <c r="F150" s="143">
        <f t="shared" ref="F150" si="60">DX150</f>
        <v>6.6E-4</v>
      </c>
      <c r="G150" s="144">
        <f>Q150-F150</f>
        <v>0</v>
      </c>
      <c r="H150" s="27">
        <v>1</v>
      </c>
      <c r="I150" s="83"/>
      <c r="J150" s="83"/>
      <c r="L150" s="230"/>
      <c r="M150" s="238" t="s">
        <v>73</v>
      </c>
      <c r="N150" s="239">
        <v>302</v>
      </c>
      <c r="O150" s="251" t="s">
        <v>57</v>
      </c>
      <c r="P150" s="249">
        <v>138162</v>
      </c>
      <c r="Q150" s="183">
        <f>ROUND(P150/$P$256,5)</f>
        <v>6.6E-4</v>
      </c>
      <c r="R150" s="76"/>
      <c r="S150" s="70"/>
      <c r="T150" s="70"/>
      <c r="U150" s="70"/>
      <c r="V150" s="69"/>
      <c r="W150" s="70"/>
      <c r="X150" s="71"/>
      <c r="Y150" s="69"/>
      <c r="Z150" s="70"/>
      <c r="AA150" s="71"/>
      <c r="AB150" s="69"/>
      <c r="AC150" s="70"/>
      <c r="AD150" s="71"/>
      <c r="AE150" s="70"/>
      <c r="AF150" s="70"/>
      <c r="AG150" s="70"/>
      <c r="AH150" s="69"/>
      <c r="AI150" s="70"/>
      <c r="AJ150" s="71"/>
      <c r="AK150" s="70"/>
      <c r="AL150" s="70"/>
      <c r="AM150" s="70"/>
      <c r="AN150" s="69"/>
      <c r="AO150" s="70"/>
      <c r="AP150" s="71"/>
      <c r="AQ150" s="69"/>
      <c r="AR150" s="70"/>
      <c r="AS150" s="70"/>
      <c r="AT150" s="69"/>
      <c r="AU150" s="70"/>
      <c r="AV150" s="71"/>
      <c r="AW150" s="70"/>
      <c r="AX150" s="70"/>
      <c r="AY150" s="70"/>
      <c r="AZ150" s="69"/>
      <c r="BA150" s="70"/>
      <c r="BB150" s="71"/>
      <c r="BC150" s="70"/>
      <c r="BD150" s="70"/>
      <c r="BE150" s="70"/>
      <c r="BF150" s="69"/>
      <c r="BG150" s="70"/>
      <c r="BH150" s="71"/>
      <c r="BI150" s="70"/>
      <c r="BJ150" s="70"/>
      <c r="BK150" s="70"/>
      <c r="BL150" s="69"/>
      <c r="BM150" s="70"/>
      <c r="BN150" s="71"/>
      <c r="BO150" s="70"/>
      <c r="BP150" s="70"/>
      <c r="BQ150" s="70"/>
      <c r="BR150" s="73"/>
      <c r="BS150" s="70"/>
      <c r="BT150" s="74"/>
      <c r="BU150" s="70"/>
      <c r="BV150" s="70"/>
      <c r="BW150" s="70"/>
      <c r="BX150" s="69"/>
      <c r="BY150" s="70"/>
      <c r="BZ150" s="71"/>
      <c r="CA150" s="69"/>
      <c r="CB150" s="70"/>
      <c r="CC150" s="71"/>
      <c r="CD150" s="69"/>
      <c r="CE150" s="70"/>
      <c r="CF150" s="71"/>
      <c r="CG150" s="69"/>
      <c r="CH150" s="70"/>
      <c r="CI150" s="71"/>
      <c r="CJ150" s="69"/>
      <c r="CK150" s="70"/>
      <c r="CL150" s="71"/>
      <c r="CM150" s="70"/>
      <c r="CN150" s="70"/>
      <c r="CO150" s="70"/>
      <c r="CP150" s="69"/>
      <c r="CQ150" s="70"/>
      <c r="CR150" s="71"/>
      <c r="CS150" s="69"/>
      <c r="CT150" s="70"/>
      <c r="CU150" s="71"/>
      <c r="CV150" s="70"/>
      <c r="CW150" s="70"/>
      <c r="CX150" s="70"/>
      <c r="CY150" s="69"/>
      <c r="CZ150" s="70"/>
      <c r="DA150" s="71"/>
      <c r="DB150" s="146"/>
      <c r="DC150" s="146"/>
      <c r="DD150" s="146"/>
      <c r="DE150" s="146">
        <v>3.1E-4</v>
      </c>
      <c r="DF150" s="146"/>
      <c r="DG150" s="146"/>
      <c r="DH150" s="146">
        <v>2.2000000000000001E-4</v>
      </c>
      <c r="DI150" s="146"/>
      <c r="DJ150" s="146"/>
      <c r="DK150" s="70"/>
      <c r="DL150" s="70"/>
      <c r="DM150" s="70"/>
      <c r="DN150" s="69"/>
      <c r="DO150" s="70"/>
      <c r="DP150" s="71"/>
      <c r="DQ150" s="146">
        <v>1.2999999999999999E-4</v>
      </c>
      <c r="DR150" s="146"/>
      <c r="DS150" s="146"/>
      <c r="DT150" s="150"/>
      <c r="DU150" s="150"/>
      <c r="DV150" s="198"/>
      <c r="DX150" s="213">
        <f>SUM(R150:DV150)</f>
        <v>6.6E-4</v>
      </c>
      <c r="DY150" s="1"/>
      <c r="DZ150" s="1"/>
      <c r="EA150" s="1"/>
      <c r="EB150" s="1"/>
    </row>
    <row r="151" spans="5:132" s="6" customFormat="1" ht="6.95" customHeight="1">
      <c r="E151" s="83"/>
      <c r="F151" s="143"/>
      <c r="G151" s="144"/>
      <c r="H151" s="55">
        <v>2</v>
      </c>
      <c r="I151" s="83"/>
      <c r="J151" s="83"/>
      <c r="L151" s="230"/>
      <c r="M151" s="238"/>
      <c r="N151" s="239"/>
      <c r="O151" s="240"/>
      <c r="P151" s="249"/>
      <c r="Q151" s="184"/>
      <c r="R151" s="76"/>
      <c r="S151" s="70"/>
      <c r="T151" s="70"/>
      <c r="U151" s="70"/>
      <c r="V151" s="69"/>
      <c r="W151" s="70"/>
      <c r="X151" s="71"/>
      <c r="Y151" s="69"/>
      <c r="Z151" s="70"/>
      <c r="AA151" s="71"/>
      <c r="AB151" s="69"/>
      <c r="AC151" s="70"/>
      <c r="AD151" s="71"/>
      <c r="AE151" s="70"/>
      <c r="AF151" s="70"/>
      <c r="AG151" s="70"/>
      <c r="AH151" s="69"/>
      <c r="AI151" s="70"/>
      <c r="AJ151" s="71"/>
      <c r="AK151" s="70"/>
      <c r="AL151" s="70"/>
      <c r="AM151" s="70"/>
      <c r="AN151" s="69"/>
      <c r="AO151" s="70"/>
      <c r="AP151" s="71"/>
      <c r="AQ151" s="69"/>
      <c r="AR151" s="70"/>
      <c r="AS151" s="70"/>
      <c r="AT151" s="69"/>
      <c r="AU151" s="70"/>
      <c r="AV151" s="71"/>
      <c r="AW151" s="70"/>
      <c r="AX151" s="70"/>
      <c r="AY151" s="70"/>
      <c r="AZ151" s="69"/>
      <c r="BA151" s="70"/>
      <c r="BB151" s="71"/>
      <c r="BC151" s="70"/>
      <c r="BD151" s="70"/>
      <c r="BE151" s="70"/>
      <c r="BF151" s="69"/>
      <c r="BG151" s="70"/>
      <c r="BH151" s="71"/>
      <c r="BI151" s="70"/>
      <c r="BJ151" s="70"/>
      <c r="BK151" s="70"/>
      <c r="BL151" s="69"/>
      <c r="BM151" s="70"/>
      <c r="BN151" s="71"/>
      <c r="BO151" s="70"/>
      <c r="BP151" s="70"/>
      <c r="BQ151" s="70"/>
      <c r="BR151" s="73"/>
      <c r="BS151" s="70"/>
      <c r="BT151" s="74"/>
      <c r="BU151" s="70"/>
      <c r="BV151" s="70"/>
      <c r="BW151" s="70"/>
      <c r="BX151" s="69"/>
      <c r="BY151" s="70"/>
      <c r="BZ151" s="71"/>
      <c r="CA151" s="69"/>
      <c r="CB151" s="70"/>
      <c r="CC151" s="71"/>
      <c r="CD151" s="69"/>
      <c r="CE151" s="70"/>
      <c r="CF151" s="71"/>
      <c r="CG151" s="69"/>
      <c r="CH151" s="70"/>
      <c r="CI151" s="71"/>
      <c r="CJ151" s="69"/>
      <c r="CK151" s="70"/>
      <c r="CL151" s="71"/>
      <c r="CM151" s="70"/>
      <c r="CN151" s="70"/>
      <c r="CO151" s="70"/>
      <c r="CP151" s="69"/>
      <c r="CQ151" s="70"/>
      <c r="CR151" s="71"/>
      <c r="CS151" s="69"/>
      <c r="CT151" s="70"/>
      <c r="CU151" s="71"/>
      <c r="CV151" s="70"/>
      <c r="CW151" s="70"/>
      <c r="CX151" s="70"/>
      <c r="CY151" s="69"/>
      <c r="CZ151" s="70"/>
      <c r="DA151" s="71"/>
      <c r="DB151" s="69"/>
      <c r="DC151" s="70"/>
      <c r="DD151" s="71"/>
      <c r="DE151" s="64"/>
      <c r="DF151" s="65"/>
      <c r="DG151" s="66"/>
      <c r="DH151" s="64"/>
      <c r="DI151" s="65"/>
      <c r="DJ151" s="66"/>
      <c r="DK151" s="70"/>
      <c r="DL151" s="70"/>
      <c r="DM151" s="70"/>
      <c r="DN151" s="69"/>
      <c r="DO151" s="70"/>
      <c r="DP151" s="71"/>
      <c r="DQ151" s="64"/>
      <c r="DR151" s="65"/>
      <c r="DS151" s="66"/>
      <c r="DT151" s="69"/>
      <c r="DU151" s="70"/>
      <c r="DV151" s="75"/>
      <c r="DX151" s="213"/>
      <c r="DY151" s="1"/>
      <c r="DZ151" s="1"/>
      <c r="EA151" s="1"/>
      <c r="EB151" s="1"/>
    </row>
    <row r="152" spans="5:132" s="6" customFormat="1" ht="9.9499999999999993" customHeight="1">
      <c r="F152" s="143">
        <f t="shared" ref="F152" si="61">DX152</f>
        <v>3.63E-3</v>
      </c>
      <c r="G152" s="144">
        <f>Q152-F152</f>
        <v>0</v>
      </c>
      <c r="H152" s="27">
        <v>1</v>
      </c>
      <c r="I152" s="19" t="s">
        <v>210</v>
      </c>
      <c r="J152" s="19" t="s">
        <v>186</v>
      </c>
      <c r="K152" s="19" t="s">
        <v>241</v>
      </c>
      <c r="L152" s="271"/>
      <c r="M152" s="231" t="s">
        <v>74</v>
      </c>
      <c r="N152" s="254">
        <v>1559</v>
      </c>
      <c r="O152" s="253" t="s">
        <v>75</v>
      </c>
      <c r="P152" s="245">
        <v>756369</v>
      </c>
      <c r="Q152" s="183">
        <f>ROUND(P152/$P$256,5)</f>
        <v>3.63E-3</v>
      </c>
      <c r="R152" s="79"/>
      <c r="S152" s="57"/>
      <c r="T152" s="57"/>
      <c r="U152" s="57"/>
      <c r="V152" s="56"/>
      <c r="W152" s="57"/>
      <c r="X152" s="58"/>
      <c r="Y152" s="56"/>
      <c r="Z152" s="57"/>
      <c r="AA152" s="58"/>
      <c r="AB152" s="56"/>
      <c r="AC152" s="57"/>
      <c r="AD152" s="58"/>
      <c r="AE152" s="57"/>
      <c r="AF152" s="57"/>
      <c r="AG152" s="57"/>
      <c r="AH152" s="56" t="s">
        <v>281</v>
      </c>
      <c r="AI152" s="57"/>
      <c r="AJ152" s="58"/>
      <c r="AK152" s="57"/>
      <c r="AL152" s="57"/>
      <c r="AM152" s="57"/>
      <c r="AN152" s="56"/>
      <c r="AO152" s="57"/>
      <c r="AP152" s="58"/>
      <c r="AQ152" s="56"/>
      <c r="AR152" s="57"/>
      <c r="AS152" s="57"/>
      <c r="AT152" s="56"/>
      <c r="AU152" s="57"/>
      <c r="AV152" s="58"/>
      <c r="AW152" s="57"/>
      <c r="AX152" s="57"/>
      <c r="AY152" s="57"/>
      <c r="AZ152" s="56"/>
      <c r="BA152" s="57"/>
      <c r="BB152" s="58"/>
      <c r="BC152" s="57"/>
      <c r="BD152" s="57"/>
      <c r="BE152" s="57"/>
      <c r="BF152" s="56"/>
      <c r="BG152" s="57"/>
      <c r="BH152" s="58"/>
      <c r="BI152" s="57"/>
      <c r="BJ152" s="57"/>
      <c r="BK152" s="57"/>
      <c r="BL152" s="56"/>
      <c r="BM152" s="57"/>
      <c r="BN152" s="58"/>
      <c r="BO152" s="57"/>
      <c r="BP152" s="57"/>
      <c r="BQ152" s="57"/>
      <c r="BR152" s="60"/>
      <c r="BS152" s="57"/>
      <c r="BT152" s="61"/>
      <c r="BU152" s="57"/>
      <c r="BV152" s="57"/>
      <c r="BW152" s="57"/>
      <c r="BX152" s="56"/>
      <c r="BY152" s="57"/>
      <c r="BZ152" s="58"/>
      <c r="CA152" s="56"/>
      <c r="CB152" s="57"/>
      <c r="CC152" s="58"/>
      <c r="CD152" s="56"/>
      <c r="CE152" s="57"/>
      <c r="CF152" s="58"/>
      <c r="CG152" s="56"/>
      <c r="CH152" s="57"/>
      <c r="CI152" s="58"/>
      <c r="CJ152" s="56"/>
      <c r="CK152" s="57"/>
      <c r="CL152" s="58"/>
      <c r="CM152" s="57"/>
      <c r="CN152" s="57"/>
      <c r="CO152" s="57"/>
      <c r="CP152" s="56"/>
      <c r="CQ152" s="57"/>
      <c r="CR152" s="58"/>
      <c r="CS152" s="56"/>
      <c r="CT152" s="57"/>
      <c r="CU152" s="58"/>
      <c r="CV152" s="57"/>
      <c r="CW152" s="57"/>
      <c r="CX152" s="57"/>
      <c r="CY152" s="56"/>
      <c r="CZ152" s="57"/>
      <c r="DA152" s="58"/>
      <c r="DB152" s="57"/>
      <c r="DC152" s="57"/>
      <c r="DD152" s="57"/>
      <c r="DE152" s="56"/>
      <c r="DF152" s="57"/>
      <c r="DG152" s="58"/>
      <c r="DH152" s="56"/>
      <c r="DI152" s="57"/>
      <c r="DJ152" s="58"/>
      <c r="DK152" s="146">
        <v>1.89E-3</v>
      </c>
      <c r="DL152" s="146"/>
      <c r="DM152" s="146"/>
      <c r="DN152" s="146">
        <v>1.74E-3</v>
      </c>
      <c r="DO152" s="146"/>
      <c r="DP152" s="146"/>
      <c r="DQ152" s="146"/>
      <c r="DR152" s="146"/>
      <c r="DS152" s="146"/>
      <c r="DT152" s="57"/>
      <c r="DU152" s="57"/>
      <c r="DV152" s="62"/>
      <c r="DX152" s="213">
        <f>SUM(R152:DV152)</f>
        <v>3.63E-3</v>
      </c>
      <c r="DY152" s="1"/>
      <c r="DZ152" s="1"/>
      <c r="EA152" s="1"/>
      <c r="EB152" s="1"/>
    </row>
    <row r="153" spans="5:132" s="6" customFormat="1" ht="6.95" customHeight="1">
      <c r="F153" s="143"/>
      <c r="G153" s="144"/>
      <c r="H153" s="55">
        <v>2</v>
      </c>
      <c r="L153" s="272"/>
      <c r="M153" s="232"/>
      <c r="N153" s="255"/>
      <c r="O153" s="244"/>
      <c r="P153" s="246"/>
      <c r="Q153" s="184"/>
      <c r="R153" s="63"/>
      <c r="S153" s="42"/>
      <c r="T153" s="42"/>
      <c r="U153" s="42"/>
      <c r="V153" s="41"/>
      <c r="W153" s="42"/>
      <c r="X153" s="43"/>
      <c r="Y153" s="41"/>
      <c r="Z153" s="42"/>
      <c r="AA153" s="43"/>
      <c r="AB153" s="41"/>
      <c r="AC153" s="42"/>
      <c r="AD153" s="43"/>
      <c r="AE153" s="42"/>
      <c r="AF153" s="42"/>
      <c r="AG153" s="42"/>
      <c r="AH153" s="41"/>
      <c r="AI153" s="42"/>
      <c r="AJ153" s="43"/>
      <c r="AK153" s="42"/>
      <c r="AL153" s="42"/>
      <c r="AM153" s="42"/>
      <c r="AN153" s="41"/>
      <c r="AO153" s="42"/>
      <c r="AP153" s="43"/>
      <c r="AQ153" s="41"/>
      <c r="AR153" s="42"/>
      <c r="AS153" s="42"/>
      <c r="AT153" s="41"/>
      <c r="AU153" s="42"/>
      <c r="AV153" s="43"/>
      <c r="AW153" s="42"/>
      <c r="AX153" s="42"/>
      <c r="AY153" s="42"/>
      <c r="AZ153" s="41"/>
      <c r="BA153" s="42"/>
      <c r="BB153" s="43"/>
      <c r="BC153" s="42"/>
      <c r="BD153" s="42"/>
      <c r="BE153" s="42"/>
      <c r="BF153" s="41"/>
      <c r="BG153" s="42"/>
      <c r="BH153" s="43"/>
      <c r="BI153" s="42"/>
      <c r="BJ153" s="42"/>
      <c r="BK153" s="42"/>
      <c r="BL153" s="41"/>
      <c r="BM153" s="42"/>
      <c r="BN153" s="43"/>
      <c r="BO153" s="42"/>
      <c r="BP153" s="42"/>
      <c r="BQ153" s="42"/>
      <c r="BR153" s="67"/>
      <c r="BS153" s="42"/>
      <c r="BT153" s="68"/>
      <c r="BU153" s="42"/>
      <c r="BV153" s="42"/>
      <c r="BW153" s="42"/>
      <c r="BX153" s="41"/>
      <c r="BY153" s="42"/>
      <c r="BZ153" s="43"/>
      <c r="CA153" s="41"/>
      <c r="CB153" s="42"/>
      <c r="CC153" s="43"/>
      <c r="CD153" s="41"/>
      <c r="CE153" s="42"/>
      <c r="CF153" s="43"/>
      <c r="CG153" s="41"/>
      <c r="CH153" s="42"/>
      <c r="CI153" s="43"/>
      <c r="CJ153" s="41"/>
      <c r="CK153" s="42"/>
      <c r="CL153" s="43"/>
      <c r="CM153" s="42"/>
      <c r="CN153" s="42"/>
      <c r="CO153" s="42"/>
      <c r="CP153" s="41"/>
      <c r="CQ153" s="42"/>
      <c r="CR153" s="43"/>
      <c r="CS153" s="41"/>
      <c r="CT153" s="42"/>
      <c r="CU153" s="43"/>
      <c r="CV153" s="42"/>
      <c r="CW153" s="42"/>
      <c r="CX153" s="42"/>
      <c r="CY153" s="41"/>
      <c r="CZ153" s="42"/>
      <c r="DA153" s="43"/>
      <c r="DB153" s="42"/>
      <c r="DC153" s="42"/>
      <c r="DD153" s="42"/>
      <c r="DE153" s="41"/>
      <c r="DF153" s="42"/>
      <c r="DG153" s="43"/>
      <c r="DH153" s="41"/>
      <c r="DI153" s="42"/>
      <c r="DJ153" s="43"/>
      <c r="DK153" s="64"/>
      <c r="DL153" s="65"/>
      <c r="DM153" s="66"/>
      <c r="DN153" s="64"/>
      <c r="DO153" s="65"/>
      <c r="DP153" s="66"/>
      <c r="DQ153" s="41"/>
      <c r="DR153" s="42"/>
      <c r="DS153" s="43"/>
      <c r="DT153" s="42"/>
      <c r="DU153" s="42"/>
      <c r="DV153" s="44"/>
      <c r="DX153" s="213"/>
      <c r="DY153" s="1"/>
      <c r="DZ153" s="1"/>
      <c r="EA153" s="1"/>
      <c r="EB153" s="1"/>
    </row>
    <row r="154" spans="5:132" s="6" customFormat="1" ht="9.9499999999999993" customHeight="1">
      <c r="F154" s="143">
        <f t="shared" ref="F154" si="62">DX154</f>
        <v>7.3999999999999999E-4</v>
      </c>
      <c r="G154" s="144">
        <f>Q154-F154</f>
        <v>0</v>
      </c>
      <c r="H154" s="27">
        <v>1</v>
      </c>
      <c r="I154" s="19" t="s">
        <v>226</v>
      </c>
      <c r="J154" s="19" t="s">
        <v>186</v>
      </c>
      <c r="K154" s="19" t="s">
        <v>242</v>
      </c>
      <c r="L154" s="230"/>
      <c r="M154" s="238" t="s">
        <v>76</v>
      </c>
      <c r="N154" s="239">
        <v>814</v>
      </c>
      <c r="O154" s="251" t="s">
        <v>77</v>
      </c>
      <c r="P154" s="249">
        <v>154158</v>
      </c>
      <c r="Q154" s="183">
        <f>ROUND(P154/$P$256,5)</f>
        <v>7.3999999999999999E-4</v>
      </c>
      <c r="R154" s="76"/>
      <c r="S154" s="70"/>
      <c r="T154" s="70"/>
      <c r="U154" s="70"/>
      <c r="V154" s="69"/>
      <c r="W154" s="70"/>
      <c r="X154" s="71"/>
      <c r="Y154" s="69"/>
      <c r="Z154" s="70"/>
      <c r="AA154" s="71"/>
      <c r="AB154" s="69"/>
      <c r="AC154" s="70"/>
      <c r="AD154" s="71"/>
      <c r="AE154" s="70"/>
      <c r="AF154" s="70"/>
      <c r="AG154" s="70"/>
      <c r="AH154" s="69"/>
      <c r="AI154" s="70"/>
      <c r="AJ154" s="71"/>
      <c r="AK154" s="70"/>
      <c r="AL154" s="70"/>
      <c r="AM154" s="70"/>
      <c r="AN154" s="69"/>
      <c r="AO154" s="70"/>
      <c r="AP154" s="71"/>
      <c r="AQ154" s="69"/>
      <c r="AR154" s="70"/>
      <c r="AS154" s="70"/>
      <c r="AT154" s="69"/>
      <c r="AU154" s="70"/>
      <c r="AV154" s="71"/>
      <c r="AW154" s="70"/>
      <c r="AX154" s="70"/>
      <c r="AY154" s="70"/>
      <c r="AZ154" s="69"/>
      <c r="BA154" s="70"/>
      <c r="BB154" s="71"/>
      <c r="BC154" s="70"/>
      <c r="BD154" s="70"/>
      <c r="BE154" s="70"/>
      <c r="BF154" s="69"/>
      <c r="BG154" s="70"/>
      <c r="BH154" s="71"/>
      <c r="BI154" s="70"/>
      <c r="BJ154" s="70"/>
      <c r="BK154" s="70"/>
      <c r="BL154" s="69"/>
      <c r="BM154" s="70"/>
      <c r="BN154" s="71"/>
      <c r="BO154" s="70"/>
      <c r="BP154" s="70"/>
      <c r="BQ154" s="70"/>
      <c r="BR154" s="73"/>
      <c r="BS154" s="70"/>
      <c r="BT154" s="74"/>
      <c r="BU154" s="70"/>
      <c r="BV154" s="70"/>
      <c r="BW154" s="70"/>
      <c r="BX154" s="69"/>
      <c r="BY154" s="70"/>
      <c r="BZ154" s="71"/>
      <c r="CA154" s="69"/>
      <c r="CB154" s="70"/>
      <c r="CC154" s="71"/>
      <c r="CD154" s="69"/>
      <c r="CE154" s="70"/>
      <c r="CF154" s="71"/>
      <c r="CG154" s="69"/>
      <c r="CH154" s="70"/>
      <c r="CI154" s="71"/>
      <c r="CJ154" s="69"/>
      <c r="CK154" s="70"/>
      <c r="CL154" s="71"/>
      <c r="CM154" s="70"/>
      <c r="CN154" s="70"/>
      <c r="CO154" s="70"/>
      <c r="CP154" s="69"/>
      <c r="CQ154" s="70"/>
      <c r="CR154" s="71"/>
      <c r="CS154" s="69"/>
      <c r="CT154" s="70"/>
      <c r="CU154" s="71"/>
      <c r="CV154" s="70"/>
      <c r="CW154" s="70"/>
      <c r="CX154" s="70"/>
      <c r="CY154" s="69"/>
      <c r="CZ154" s="70"/>
      <c r="DA154" s="71"/>
      <c r="DB154" s="146">
        <v>2.2000000000000001E-4</v>
      </c>
      <c r="DC154" s="146"/>
      <c r="DD154" s="146"/>
      <c r="DE154" s="146">
        <v>2.9999999999999997E-4</v>
      </c>
      <c r="DF154" s="146"/>
      <c r="DG154" s="146"/>
      <c r="DH154" s="69"/>
      <c r="DI154" s="70"/>
      <c r="DJ154" s="71"/>
      <c r="DK154" s="70"/>
      <c r="DL154" s="70"/>
      <c r="DM154" s="70"/>
      <c r="DN154" s="146">
        <v>2.2000000000000001E-4</v>
      </c>
      <c r="DO154" s="146"/>
      <c r="DP154" s="146"/>
      <c r="DQ154" s="150"/>
      <c r="DR154" s="150"/>
      <c r="DS154" s="150"/>
      <c r="DT154" s="70"/>
      <c r="DU154" s="70"/>
      <c r="DV154" s="75"/>
      <c r="DX154" s="213">
        <f>SUM(R154:DV154)</f>
        <v>7.3999999999999999E-4</v>
      </c>
      <c r="DY154" s="1"/>
      <c r="DZ154" s="1"/>
      <c r="EA154" s="1"/>
      <c r="EB154" s="1"/>
    </row>
    <row r="155" spans="5:132" s="6" customFormat="1" ht="6.95" customHeight="1">
      <c r="F155" s="143"/>
      <c r="G155" s="144"/>
      <c r="H155" s="55">
        <v>2</v>
      </c>
      <c r="L155" s="230"/>
      <c r="M155" s="238"/>
      <c r="N155" s="239"/>
      <c r="O155" s="240"/>
      <c r="P155" s="249"/>
      <c r="Q155" s="184"/>
      <c r="R155" s="76"/>
      <c r="S155" s="70"/>
      <c r="T155" s="70"/>
      <c r="U155" s="70"/>
      <c r="V155" s="69"/>
      <c r="W155" s="70"/>
      <c r="X155" s="71"/>
      <c r="Y155" s="69"/>
      <c r="Z155" s="70"/>
      <c r="AA155" s="71"/>
      <c r="AB155" s="69"/>
      <c r="AC155" s="70"/>
      <c r="AD155" s="71"/>
      <c r="AE155" s="70"/>
      <c r="AF155" s="70"/>
      <c r="AG155" s="70"/>
      <c r="AH155" s="69"/>
      <c r="AI155" s="70"/>
      <c r="AJ155" s="71"/>
      <c r="AK155" s="70"/>
      <c r="AL155" s="70"/>
      <c r="AM155" s="70"/>
      <c r="AN155" s="69"/>
      <c r="AO155" s="70"/>
      <c r="AP155" s="71"/>
      <c r="AQ155" s="69"/>
      <c r="AR155" s="70"/>
      <c r="AS155" s="70"/>
      <c r="AT155" s="69"/>
      <c r="AU155" s="70"/>
      <c r="AV155" s="71"/>
      <c r="AW155" s="70"/>
      <c r="AX155" s="70"/>
      <c r="AY155" s="70"/>
      <c r="AZ155" s="69"/>
      <c r="BA155" s="70"/>
      <c r="BB155" s="71"/>
      <c r="BC155" s="70"/>
      <c r="BD155" s="70"/>
      <c r="BE155" s="70"/>
      <c r="BF155" s="69"/>
      <c r="BG155" s="70"/>
      <c r="BH155" s="71"/>
      <c r="BI155" s="70"/>
      <c r="BJ155" s="70"/>
      <c r="BK155" s="70"/>
      <c r="BL155" s="69"/>
      <c r="BM155" s="70"/>
      <c r="BN155" s="71"/>
      <c r="BO155" s="70"/>
      <c r="BP155" s="70"/>
      <c r="BQ155" s="70"/>
      <c r="BR155" s="73"/>
      <c r="BS155" s="70"/>
      <c r="BT155" s="74"/>
      <c r="BU155" s="70"/>
      <c r="BV155" s="70"/>
      <c r="BW155" s="70"/>
      <c r="BX155" s="69"/>
      <c r="BY155" s="70"/>
      <c r="BZ155" s="71"/>
      <c r="CA155" s="69"/>
      <c r="CB155" s="70"/>
      <c r="CC155" s="71"/>
      <c r="CD155" s="69"/>
      <c r="CE155" s="70"/>
      <c r="CF155" s="71"/>
      <c r="CG155" s="69"/>
      <c r="CH155" s="70"/>
      <c r="CI155" s="71"/>
      <c r="CJ155" s="69"/>
      <c r="CK155" s="70"/>
      <c r="CL155" s="71"/>
      <c r="CM155" s="70"/>
      <c r="CN155" s="70"/>
      <c r="CO155" s="70"/>
      <c r="CP155" s="69"/>
      <c r="CQ155" s="70"/>
      <c r="CR155" s="71"/>
      <c r="CS155" s="69"/>
      <c r="CT155" s="70"/>
      <c r="CU155" s="71"/>
      <c r="CV155" s="70"/>
      <c r="CW155" s="70"/>
      <c r="CX155" s="70"/>
      <c r="CY155" s="69"/>
      <c r="CZ155" s="70"/>
      <c r="DA155" s="71"/>
      <c r="DB155" s="64"/>
      <c r="DC155" s="65"/>
      <c r="DD155" s="66"/>
      <c r="DE155" s="64"/>
      <c r="DF155" s="65"/>
      <c r="DG155" s="66"/>
      <c r="DH155" s="69"/>
      <c r="DI155" s="70"/>
      <c r="DJ155" s="71"/>
      <c r="DK155" s="70"/>
      <c r="DL155" s="70"/>
      <c r="DM155" s="70"/>
      <c r="DN155" s="64"/>
      <c r="DO155" s="65"/>
      <c r="DP155" s="66"/>
      <c r="DQ155" s="69"/>
      <c r="DR155" s="70"/>
      <c r="DS155" s="71"/>
      <c r="DT155" s="70"/>
      <c r="DU155" s="70"/>
      <c r="DV155" s="75"/>
      <c r="DX155" s="213"/>
      <c r="DY155" s="1"/>
      <c r="DZ155" s="1"/>
      <c r="EA155" s="1"/>
      <c r="EB155" s="1"/>
    </row>
    <row r="156" spans="5:132" s="6" customFormat="1" ht="9.9499999999999993" customHeight="1">
      <c r="F156" s="143">
        <f t="shared" ref="F156" si="63">DX156</f>
        <v>1.64E-3</v>
      </c>
      <c r="G156" s="144">
        <f>Q156-F156</f>
        <v>0</v>
      </c>
      <c r="H156" s="27">
        <v>1</v>
      </c>
      <c r="L156" s="271"/>
      <c r="M156" s="237" t="s">
        <v>17</v>
      </c>
      <c r="N156" s="254">
        <v>43826</v>
      </c>
      <c r="O156" s="243" t="s">
        <v>15</v>
      </c>
      <c r="P156" s="245">
        <v>342106</v>
      </c>
      <c r="Q156" s="183">
        <f>ROUND(P156/$P$256,5)</f>
        <v>1.64E-3</v>
      </c>
      <c r="R156" s="79"/>
      <c r="S156" s="57"/>
      <c r="T156" s="57"/>
      <c r="U156" s="57"/>
      <c r="V156" s="56"/>
      <c r="W156" s="57"/>
      <c r="X156" s="58"/>
      <c r="Y156" s="56"/>
      <c r="Z156" s="57"/>
      <c r="AA156" s="58"/>
      <c r="AB156" s="56"/>
      <c r="AC156" s="57"/>
      <c r="AD156" s="58"/>
      <c r="AE156" s="57"/>
      <c r="AF156" s="57"/>
      <c r="AG156" s="57"/>
      <c r="AH156" s="56"/>
      <c r="AI156" s="57"/>
      <c r="AJ156" s="58"/>
      <c r="AK156" s="57"/>
      <c r="AL156" s="57"/>
      <c r="AM156" s="57"/>
      <c r="AN156" s="56"/>
      <c r="AO156" s="57"/>
      <c r="AP156" s="58"/>
      <c r="AQ156" s="56"/>
      <c r="AR156" s="57"/>
      <c r="AS156" s="57"/>
      <c r="AT156" s="56"/>
      <c r="AU156" s="57"/>
      <c r="AV156" s="58"/>
      <c r="AW156" s="57"/>
      <c r="AX156" s="57"/>
      <c r="AY156" s="57"/>
      <c r="AZ156" s="56"/>
      <c r="BA156" s="57"/>
      <c r="BB156" s="58"/>
      <c r="BC156" s="57"/>
      <c r="BD156" s="57"/>
      <c r="BE156" s="57"/>
      <c r="BF156" s="56"/>
      <c r="BG156" s="57"/>
      <c r="BH156" s="58"/>
      <c r="BI156" s="57"/>
      <c r="BJ156" s="57"/>
      <c r="BK156" s="57"/>
      <c r="BL156" s="56"/>
      <c r="BM156" s="57"/>
      <c r="BN156" s="58"/>
      <c r="BO156" s="57"/>
      <c r="BP156" s="57"/>
      <c r="BQ156" s="57"/>
      <c r="BR156" s="60"/>
      <c r="BS156" s="57"/>
      <c r="BT156" s="61"/>
      <c r="BU156" s="57"/>
      <c r="BV156" s="57"/>
      <c r="BW156" s="57"/>
      <c r="BX156" s="56"/>
      <c r="BY156" s="57"/>
      <c r="BZ156" s="58"/>
      <c r="CA156" s="56"/>
      <c r="CB156" s="57"/>
      <c r="CC156" s="58"/>
      <c r="CD156" s="56"/>
      <c r="CE156" s="57"/>
      <c r="CF156" s="58"/>
      <c r="CG156" s="56"/>
      <c r="CH156" s="57"/>
      <c r="CI156" s="58"/>
      <c r="CJ156" s="56"/>
      <c r="CK156" s="57"/>
      <c r="CL156" s="58"/>
      <c r="CM156" s="146"/>
      <c r="CN156" s="146"/>
      <c r="CO156" s="146"/>
      <c r="CP156" s="146"/>
      <c r="CQ156" s="146"/>
      <c r="CR156" s="146"/>
      <c r="CS156" s="56"/>
      <c r="CT156" s="57"/>
      <c r="CU156" s="58"/>
      <c r="CV156" s="146">
        <v>2.3000000000000001E-4</v>
      </c>
      <c r="CW156" s="146"/>
      <c r="CX156" s="146"/>
      <c r="CY156" s="146">
        <v>3.3E-4</v>
      </c>
      <c r="CZ156" s="146"/>
      <c r="DA156" s="146"/>
      <c r="DB156" s="146">
        <v>3.3E-4</v>
      </c>
      <c r="DC156" s="146"/>
      <c r="DD156" s="146"/>
      <c r="DE156" s="146">
        <v>3.8999999999999999E-4</v>
      </c>
      <c r="DF156" s="146"/>
      <c r="DG156" s="146"/>
      <c r="DH156" s="146">
        <v>3.6000000000000002E-4</v>
      </c>
      <c r="DI156" s="146"/>
      <c r="DJ156" s="146"/>
      <c r="DK156" s="57"/>
      <c r="DL156" s="57"/>
      <c r="DM156" s="57"/>
      <c r="DN156" s="56"/>
      <c r="DO156" s="57"/>
      <c r="DP156" s="58"/>
      <c r="DQ156" s="56"/>
      <c r="DR156" s="57"/>
      <c r="DS156" s="58"/>
      <c r="DT156" s="57"/>
      <c r="DU156" s="57"/>
      <c r="DV156" s="62"/>
      <c r="DX156" s="213">
        <f>SUM(R156:DV156)</f>
        <v>1.64E-3</v>
      </c>
      <c r="DY156" s="1"/>
      <c r="DZ156" s="1"/>
      <c r="EA156" s="1"/>
      <c r="EB156" s="1"/>
    </row>
    <row r="157" spans="5:132" s="6" customFormat="1" ht="6.95" customHeight="1">
      <c r="F157" s="143"/>
      <c r="G157" s="144"/>
      <c r="H157" s="55">
        <v>2</v>
      </c>
      <c r="L157" s="272"/>
      <c r="M157" s="232"/>
      <c r="N157" s="255"/>
      <c r="O157" s="244"/>
      <c r="P157" s="246"/>
      <c r="Q157" s="184"/>
      <c r="R157" s="63"/>
      <c r="S157" s="42"/>
      <c r="T157" s="42"/>
      <c r="U157" s="42"/>
      <c r="V157" s="41"/>
      <c r="W157" s="42"/>
      <c r="X157" s="43"/>
      <c r="Y157" s="41"/>
      <c r="Z157" s="42"/>
      <c r="AA157" s="43"/>
      <c r="AB157" s="41"/>
      <c r="AC157" s="42"/>
      <c r="AD157" s="43"/>
      <c r="AE157" s="42"/>
      <c r="AF157" s="42"/>
      <c r="AG157" s="42"/>
      <c r="AH157" s="41"/>
      <c r="AI157" s="42"/>
      <c r="AJ157" s="43"/>
      <c r="AK157" s="42"/>
      <c r="AL157" s="42"/>
      <c r="AM157" s="42"/>
      <c r="AN157" s="41"/>
      <c r="AO157" s="42"/>
      <c r="AP157" s="43"/>
      <c r="AQ157" s="41"/>
      <c r="AR157" s="42"/>
      <c r="AS157" s="42"/>
      <c r="AT157" s="41"/>
      <c r="AU157" s="42"/>
      <c r="AV157" s="43"/>
      <c r="AW157" s="42"/>
      <c r="AX157" s="42"/>
      <c r="AY157" s="42"/>
      <c r="AZ157" s="41"/>
      <c r="BA157" s="42"/>
      <c r="BB157" s="43"/>
      <c r="BC157" s="42"/>
      <c r="BD157" s="42"/>
      <c r="BE157" s="42"/>
      <c r="BF157" s="41"/>
      <c r="BG157" s="42"/>
      <c r="BH157" s="43"/>
      <c r="BI157" s="42"/>
      <c r="BJ157" s="42"/>
      <c r="BK157" s="42"/>
      <c r="BL157" s="41"/>
      <c r="BM157" s="42"/>
      <c r="BN157" s="43"/>
      <c r="BO157" s="42"/>
      <c r="BP157" s="42"/>
      <c r="BQ157" s="42"/>
      <c r="BR157" s="67"/>
      <c r="BS157" s="42"/>
      <c r="BT157" s="68"/>
      <c r="BU157" s="42"/>
      <c r="BV157" s="42"/>
      <c r="BW157" s="42"/>
      <c r="BX157" s="41"/>
      <c r="BY157" s="42"/>
      <c r="BZ157" s="43"/>
      <c r="CA157" s="41"/>
      <c r="CB157" s="42"/>
      <c r="CC157" s="43"/>
      <c r="CD157" s="41"/>
      <c r="CE157" s="42"/>
      <c r="CF157" s="43"/>
      <c r="CG157" s="41"/>
      <c r="CH157" s="42"/>
      <c r="CI157" s="43"/>
      <c r="CJ157" s="41"/>
      <c r="CK157" s="42"/>
      <c r="CL157" s="43"/>
      <c r="CM157" s="41"/>
      <c r="CN157" s="42"/>
      <c r="CO157" s="43"/>
      <c r="CP157" s="41"/>
      <c r="CQ157" s="42"/>
      <c r="CR157" s="43"/>
      <c r="CS157" s="41"/>
      <c r="CT157" s="42"/>
      <c r="CU157" s="43"/>
      <c r="CV157" s="64"/>
      <c r="CW157" s="65"/>
      <c r="CX157" s="66"/>
      <c r="CY157" s="64"/>
      <c r="CZ157" s="65"/>
      <c r="DA157" s="66"/>
      <c r="DB157" s="64"/>
      <c r="DC157" s="65"/>
      <c r="DD157" s="66"/>
      <c r="DE157" s="64"/>
      <c r="DF157" s="65"/>
      <c r="DG157" s="66"/>
      <c r="DH157" s="64"/>
      <c r="DI157" s="65"/>
      <c r="DJ157" s="66"/>
      <c r="DK157" s="42"/>
      <c r="DL157" s="42"/>
      <c r="DM157" s="42"/>
      <c r="DN157" s="41"/>
      <c r="DO157" s="42"/>
      <c r="DP157" s="43"/>
      <c r="DQ157" s="41"/>
      <c r="DR157" s="42"/>
      <c r="DS157" s="43"/>
      <c r="DT157" s="42"/>
      <c r="DU157" s="42"/>
      <c r="DV157" s="44"/>
      <c r="DX157" s="213"/>
      <c r="DY157" s="1"/>
      <c r="DZ157" s="1"/>
      <c r="EA157" s="1"/>
      <c r="EB157" s="1"/>
    </row>
    <row r="158" spans="5:132" s="6" customFormat="1" ht="9.9499999999999993" customHeight="1">
      <c r="F158" s="143">
        <f t="shared" ref="F158" si="64">DX158</f>
        <v>2.7709999999999999E-2</v>
      </c>
      <c r="G158" s="144">
        <f>Q158-F158</f>
        <v>0</v>
      </c>
      <c r="H158" s="27">
        <v>1</v>
      </c>
      <c r="L158" s="230"/>
      <c r="M158" s="238" t="s">
        <v>78</v>
      </c>
      <c r="N158" s="239">
        <v>1</v>
      </c>
      <c r="O158" s="251" t="s">
        <v>60</v>
      </c>
      <c r="P158" s="249">
        <v>5768958</v>
      </c>
      <c r="Q158" s="183">
        <f>ROUND(P158/$P$256,5)</f>
        <v>2.7709999999999999E-2</v>
      </c>
      <c r="R158" s="76"/>
      <c r="S158" s="70"/>
      <c r="T158" s="70"/>
      <c r="U158" s="70"/>
      <c r="V158" s="69"/>
      <c r="W158" s="70"/>
      <c r="X158" s="71"/>
      <c r="Y158" s="69"/>
      <c r="Z158" s="70"/>
      <c r="AA158" s="71"/>
      <c r="AB158" s="69"/>
      <c r="AC158" s="70"/>
      <c r="AD158" s="71"/>
      <c r="AE158" s="70"/>
      <c r="AF158" s="70"/>
      <c r="AG158" s="70"/>
      <c r="AH158" s="69"/>
      <c r="AI158" s="70"/>
      <c r="AJ158" s="71"/>
      <c r="AK158" s="70"/>
      <c r="AL158" s="70"/>
      <c r="AM158" s="70"/>
      <c r="AN158" s="69"/>
      <c r="AO158" s="70"/>
      <c r="AP158" s="71"/>
      <c r="AQ158" s="69"/>
      <c r="AR158" s="70"/>
      <c r="AS158" s="70"/>
      <c r="AT158" s="69"/>
      <c r="AU158" s="70"/>
      <c r="AV158" s="71"/>
      <c r="AW158" s="70"/>
      <c r="AX158" s="70"/>
      <c r="AY158" s="70"/>
      <c r="AZ158" s="69"/>
      <c r="BA158" s="70"/>
      <c r="BB158" s="71"/>
      <c r="BC158" s="70"/>
      <c r="BD158" s="70"/>
      <c r="BE158" s="70"/>
      <c r="BF158" s="69"/>
      <c r="BG158" s="70"/>
      <c r="BH158" s="71"/>
      <c r="BI158" s="70"/>
      <c r="BJ158" s="70"/>
      <c r="BK158" s="70"/>
      <c r="BL158" s="69"/>
      <c r="BM158" s="70"/>
      <c r="BN158" s="71"/>
      <c r="BO158" s="70"/>
      <c r="BP158" s="70"/>
      <c r="BQ158" s="70"/>
      <c r="BR158" s="73"/>
      <c r="BS158" s="70"/>
      <c r="BT158" s="74"/>
      <c r="BU158" s="70"/>
      <c r="BV158" s="70"/>
      <c r="BW158" s="70"/>
      <c r="BX158" s="69"/>
      <c r="BY158" s="70"/>
      <c r="BZ158" s="71"/>
      <c r="CA158" s="69"/>
      <c r="CB158" s="70"/>
      <c r="CC158" s="71"/>
      <c r="CD158" s="150"/>
      <c r="CE158" s="150"/>
      <c r="CF158" s="150"/>
      <c r="CG158" s="166"/>
      <c r="CH158" s="167"/>
      <c r="CI158" s="165"/>
      <c r="CJ158" s="166"/>
      <c r="CK158" s="167"/>
      <c r="CL158" s="165"/>
      <c r="CM158" s="166"/>
      <c r="CN158" s="167"/>
      <c r="CO158" s="165"/>
      <c r="CP158" s="166"/>
      <c r="CQ158" s="167"/>
      <c r="CR158" s="165"/>
      <c r="CS158" s="166">
        <v>1.2600000000000001E-3</v>
      </c>
      <c r="CT158" s="167"/>
      <c r="CU158" s="165"/>
      <c r="CV158" s="166">
        <v>2.97E-3</v>
      </c>
      <c r="CW158" s="167"/>
      <c r="CX158" s="165"/>
      <c r="CY158" s="166">
        <v>2.97E-3</v>
      </c>
      <c r="CZ158" s="167"/>
      <c r="DA158" s="165"/>
      <c r="DB158" s="166">
        <v>2.97E-3</v>
      </c>
      <c r="DC158" s="167"/>
      <c r="DD158" s="165"/>
      <c r="DE158" s="166">
        <v>4.8700000000000002E-3</v>
      </c>
      <c r="DF158" s="167"/>
      <c r="DG158" s="165"/>
      <c r="DH158" s="166">
        <v>4.8700000000000002E-3</v>
      </c>
      <c r="DI158" s="167"/>
      <c r="DJ158" s="165"/>
      <c r="DK158" s="166">
        <v>5.3699999999999998E-3</v>
      </c>
      <c r="DL158" s="167"/>
      <c r="DM158" s="165"/>
      <c r="DN158" s="166">
        <v>2.4299999999999999E-3</v>
      </c>
      <c r="DO158" s="167"/>
      <c r="DP158" s="165"/>
      <c r="DQ158" s="150"/>
      <c r="DR158" s="150"/>
      <c r="DS158" s="150"/>
      <c r="DT158" s="70"/>
      <c r="DU158" s="70"/>
      <c r="DV158" s="75"/>
      <c r="DX158" s="213">
        <f>SUM(R158:DV158)</f>
        <v>2.7709999999999999E-2</v>
      </c>
      <c r="DY158" s="1"/>
      <c r="DZ158" s="1"/>
      <c r="EA158" s="1"/>
      <c r="EB158" s="1"/>
    </row>
    <row r="159" spans="5:132" s="6" customFormat="1" ht="6.95" customHeight="1" thickBot="1">
      <c r="F159" s="143"/>
      <c r="G159" s="144"/>
      <c r="H159" s="55">
        <v>2</v>
      </c>
      <c r="L159" s="230"/>
      <c r="M159" s="238"/>
      <c r="N159" s="239"/>
      <c r="O159" s="240"/>
      <c r="P159" s="249"/>
      <c r="Q159" s="184"/>
      <c r="R159" s="85"/>
      <c r="S159" s="86"/>
      <c r="T159" s="86"/>
      <c r="U159" s="86"/>
      <c r="V159" s="87"/>
      <c r="W159" s="86"/>
      <c r="X159" s="88"/>
      <c r="Y159" s="87"/>
      <c r="Z159" s="86"/>
      <c r="AA159" s="88"/>
      <c r="AB159" s="87"/>
      <c r="AC159" s="86"/>
      <c r="AD159" s="88"/>
      <c r="AE159" s="86"/>
      <c r="AF159" s="86"/>
      <c r="AG159" s="86"/>
      <c r="AH159" s="87"/>
      <c r="AI159" s="86"/>
      <c r="AJ159" s="88"/>
      <c r="AK159" s="86"/>
      <c r="AL159" s="86"/>
      <c r="AM159" s="86"/>
      <c r="AN159" s="87"/>
      <c r="AO159" s="86"/>
      <c r="AP159" s="88"/>
      <c r="AQ159" s="87"/>
      <c r="AR159" s="86"/>
      <c r="AS159" s="86"/>
      <c r="AT159" s="87"/>
      <c r="AU159" s="86"/>
      <c r="AV159" s="88"/>
      <c r="AW159" s="86"/>
      <c r="AX159" s="86"/>
      <c r="AY159" s="86"/>
      <c r="AZ159" s="87"/>
      <c r="BA159" s="86"/>
      <c r="BB159" s="88"/>
      <c r="BC159" s="86"/>
      <c r="BD159" s="86"/>
      <c r="BE159" s="86"/>
      <c r="BF159" s="87"/>
      <c r="BG159" s="86"/>
      <c r="BH159" s="88"/>
      <c r="BI159" s="86"/>
      <c r="BJ159" s="86"/>
      <c r="BK159" s="86"/>
      <c r="BL159" s="87"/>
      <c r="BM159" s="86"/>
      <c r="BN159" s="88"/>
      <c r="BO159" s="86"/>
      <c r="BP159" s="86"/>
      <c r="BQ159" s="86"/>
      <c r="BR159" s="89"/>
      <c r="BS159" s="86"/>
      <c r="BT159" s="90"/>
      <c r="BU159" s="86"/>
      <c r="BV159" s="86"/>
      <c r="BW159" s="86"/>
      <c r="BX159" s="87"/>
      <c r="BY159" s="86"/>
      <c r="BZ159" s="88"/>
      <c r="CA159" s="87"/>
      <c r="CB159" s="86"/>
      <c r="CC159" s="88"/>
      <c r="CD159" s="87"/>
      <c r="CE159" s="86"/>
      <c r="CF159" s="88"/>
      <c r="CG159" s="87"/>
      <c r="CH159" s="86"/>
      <c r="CI159" s="88"/>
      <c r="CJ159" s="87"/>
      <c r="CK159" s="86"/>
      <c r="CL159" s="88"/>
      <c r="CM159" s="87"/>
      <c r="CN159" s="86"/>
      <c r="CO159" s="88"/>
      <c r="CP159" s="87"/>
      <c r="CQ159" s="86"/>
      <c r="CR159" s="88"/>
      <c r="CS159" s="64"/>
      <c r="CT159" s="65"/>
      <c r="CU159" s="66"/>
      <c r="CV159" s="64"/>
      <c r="CW159" s="65"/>
      <c r="CX159" s="66"/>
      <c r="CY159" s="64"/>
      <c r="CZ159" s="65"/>
      <c r="DA159" s="66"/>
      <c r="DB159" s="64"/>
      <c r="DC159" s="65"/>
      <c r="DD159" s="66"/>
      <c r="DE159" s="64"/>
      <c r="DF159" s="65"/>
      <c r="DG159" s="66"/>
      <c r="DH159" s="64"/>
      <c r="DI159" s="65"/>
      <c r="DJ159" s="66"/>
      <c r="DK159" s="64"/>
      <c r="DL159" s="65"/>
      <c r="DM159" s="66"/>
      <c r="DN159" s="64"/>
      <c r="DO159" s="65"/>
      <c r="DP159" s="66"/>
      <c r="DQ159" s="87"/>
      <c r="DR159" s="86"/>
      <c r="DS159" s="88"/>
      <c r="DT159" s="86"/>
      <c r="DU159" s="86"/>
      <c r="DV159" s="91"/>
      <c r="DX159" s="213"/>
      <c r="DY159" s="1"/>
      <c r="DZ159" s="1"/>
      <c r="EA159" s="1"/>
      <c r="EB159" s="1"/>
    </row>
    <row r="160" spans="5:132" s="6" customFormat="1" ht="9.9499999999999993" customHeight="1">
      <c r="F160" s="141">
        <f t="shared" ref="F160" si="65">DX160</f>
        <v>2.1221E-2</v>
      </c>
      <c r="G160" s="142">
        <f>Q160-F160</f>
        <v>-1.0000000000010001E-6</v>
      </c>
      <c r="H160" s="27">
        <v>1</v>
      </c>
      <c r="L160" s="224" t="s">
        <v>27</v>
      </c>
      <c r="M160" s="225"/>
      <c r="N160" s="225"/>
      <c r="O160" s="226"/>
      <c r="P160" s="187">
        <f>SUM(P162:P177)</f>
        <v>4417192</v>
      </c>
      <c r="Q160" s="185">
        <f>ROUND(SUM(Q162:Q177),5)</f>
        <v>2.1219999999999999E-2</v>
      </c>
      <c r="R160" s="283">
        <f>ROUND(SUM(R162:R177),5)</f>
        <v>0</v>
      </c>
      <c r="S160" s="160">
        <f>ROUND(SUM(S162:U177),5)</f>
        <v>1.1E-4</v>
      </c>
      <c r="T160" s="160"/>
      <c r="U160" s="161"/>
      <c r="V160" s="159">
        <f>ROUND(SUM(V162:X177),5)</f>
        <v>4.0000000000000003E-5</v>
      </c>
      <c r="W160" s="160"/>
      <c r="X160" s="161"/>
      <c r="Y160" s="159">
        <f>ROUND(SUM(Y162:AA177),5)</f>
        <v>4.0000000000000003E-5</v>
      </c>
      <c r="Z160" s="160"/>
      <c r="AA160" s="161"/>
      <c r="AB160" s="159">
        <f>ROUND(SUM(AB162:AD177),5)</f>
        <v>4.0000000000000003E-5</v>
      </c>
      <c r="AC160" s="160"/>
      <c r="AD160" s="161"/>
      <c r="AE160" s="159">
        <f>ROUND(SUM(AE162:AG177),5)</f>
        <v>4.0000000000000003E-5</v>
      </c>
      <c r="AF160" s="160"/>
      <c r="AG160" s="161"/>
      <c r="AH160" s="159">
        <f>ROUND(SUM(AH162:AJ177),5)</f>
        <v>4.0000000000000003E-5</v>
      </c>
      <c r="AI160" s="160"/>
      <c r="AJ160" s="161"/>
      <c r="AK160" s="159">
        <f>ROUND(SUM(AK162:AM177),5)</f>
        <v>4.0000000000000003E-5</v>
      </c>
      <c r="AL160" s="160"/>
      <c r="AM160" s="161"/>
      <c r="AN160" s="159">
        <f>ROUND(SUM(AN162:AP177),5)</f>
        <v>4.0000000000000003E-5</v>
      </c>
      <c r="AO160" s="160"/>
      <c r="AP160" s="161"/>
      <c r="AQ160" s="159">
        <f>ROUND(SUM(AQ162:AS177),5)</f>
        <v>4.0000000000000003E-5</v>
      </c>
      <c r="AR160" s="160"/>
      <c r="AS160" s="161"/>
      <c r="AT160" s="159">
        <f>ROUND(SUM(AT162:AV177),5)</f>
        <v>4.0000000000000003E-5</v>
      </c>
      <c r="AU160" s="160"/>
      <c r="AV160" s="161"/>
      <c r="AW160" s="159">
        <f>ROUND(SUM(AW162:AY177),5)</f>
        <v>4.0000000000000003E-5</v>
      </c>
      <c r="AX160" s="160"/>
      <c r="AY160" s="161"/>
      <c r="AZ160" s="159">
        <f>ROUND(SUM(AZ162:BB177),5)</f>
        <v>4.0000000000000003E-5</v>
      </c>
      <c r="BA160" s="160"/>
      <c r="BB160" s="161"/>
      <c r="BC160" s="159">
        <f>ROUND(SUM(BC162:BE177),5)</f>
        <v>4.0000000000000003E-5</v>
      </c>
      <c r="BD160" s="160"/>
      <c r="BE160" s="161"/>
      <c r="BF160" s="159">
        <f>ROUND(SUM(BF162:BH177),5)</f>
        <v>4.0000000000000003E-5</v>
      </c>
      <c r="BG160" s="160"/>
      <c r="BH160" s="161"/>
      <c r="BI160" s="159">
        <f>ROUND(SUM(BI162:BK177),5)</f>
        <v>4.0000000000000003E-5</v>
      </c>
      <c r="BJ160" s="160"/>
      <c r="BK160" s="161"/>
      <c r="BL160" s="159">
        <f>ROUND(SUM(BL162:BN177),5)</f>
        <v>4.0000000000000003E-5</v>
      </c>
      <c r="BM160" s="160"/>
      <c r="BN160" s="161"/>
      <c r="BO160" s="159">
        <f>ROUND(SUM(BO162:BQ177),5)</f>
        <v>4.0000000000000003E-5</v>
      </c>
      <c r="BP160" s="160"/>
      <c r="BQ160" s="160"/>
      <c r="BR160" s="176">
        <f>ROUND(SUM(BR162:BT177),5)</f>
        <v>4.0000000000000003E-5</v>
      </c>
      <c r="BS160" s="160"/>
      <c r="BT160" s="177"/>
      <c r="BU160" s="160">
        <f>ROUND(SUM(BU162:BW177),5)</f>
        <v>4.0000000000000003E-5</v>
      </c>
      <c r="BV160" s="160"/>
      <c r="BW160" s="161"/>
      <c r="BX160" s="159">
        <f>ROUND(SUM(BX162:BZ177),5)</f>
        <v>4.0000000000000003E-5</v>
      </c>
      <c r="BY160" s="160"/>
      <c r="BZ160" s="161"/>
      <c r="CA160" s="159">
        <f>ROUND(SUM(CA162:CC177),5)</f>
        <v>4.0000000000000003E-5</v>
      </c>
      <c r="CB160" s="160"/>
      <c r="CC160" s="161"/>
      <c r="CD160" s="159">
        <f>ROUND(SUM(CD162:CF177),5)</f>
        <v>4.0000000000000003E-5</v>
      </c>
      <c r="CE160" s="160"/>
      <c r="CF160" s="161"/>
      <c r="CG160" s="159">
        <f>ROUND(SUM(CG162:CI177),5)</f>
        <v>4.0000000000000003E-5</v>
      </c>
      <c r="CH160" s="160"/>
      <c r="CI160" s="161"/>
      <c r="CJ160" s="159">
        <f>ROUND(SUM(CJ162:CL177),5)</f>
        <v>4.0000000000000003E-5</v>
      </c>
      <c r="CK160" s="160"/>
      <c r="CL160" s="161"/>
      <c r="CM160" s="159">
        <f>ROUND(SUM(CM162:CO177),5)</f>
        <v>4.0000000000000003E-5</v>
      </c>
      <c r="CN160" s="160"/>
      <c r="CO160" s="161"/>
      <c r="CP160" s="159">
        <f>ROUND(SUM(CP162:CR177),5)</f>
        <v>4.0000000000000003E-5</v>
      </c>
      <c r="CQ160" s="160"/>
      <c r="CR160" s="161"/>
      <c r="CS160" s="159">
        <f>ROUND(SUM(CS162:CU177),5)</f>
        <v>4.0000000000000003E-5</v>
      </c>
      <c r="CT160" s="160"/>
      <c r="CU160" s="161"/>
      <c r="CV160" s="159">
        <f>ROUND(SUM(CV162:CX177),5)</f>
        <v>4.0000000000000003E-5</v>
      </c>
      <c r="CW160" s="160"/>
      <c r="CX160" s="161"/>
      <c r="CY160" s="159">
        <f>ROUND(SUM(CY162:DA177),5)</f>
        <v>1.98E-3</v>
      </c>
      <c r="CZ160" s="160"/>
      <c r="DA160" s="161"/>
      <c r="DB160" s="159">
        <f>ROUND(SUM(DB162:DD177),5)</f>
        <v>3.29E-3</v>
      </c>
      <c r="DC160" s="160"/>
      <c r="DD160" s="161"/>
      <c r="DE160" s="159">
        <f>ROUND(SUM(DE162:DG177),5)</f>
        <v>3.4399999999999999E-3</v>
      </c>
      <c r="DF160" s="160"/>
      <c r="DG160" s="161"/>
      <c r="DH160" s="159">
        <f>ROUND(SUM(DH162:DJ177),5)</f>
        <v>3.5799999999999998E-3</v>
      </c>
      <c r="DI160" s="160"/>
      <c r="DJ160" s="161"/>
      <c r="DK160" s="159">
        <f>ROUND(SUM(DK162:DM177),5)</f>
        <v>3.48E-3</v>
      </c>
      <c r="DL160" s="160"/>
      <c r="DM160" s="161"/>
      <c r="DN160" s="159">
        <f>ROUND(SUM(DN162:DP177),5)</f>
        <v>2.8800000000000002E-3</v>
      </c>
      <c r="DO160" s="160"/>
      <c r="DP160" s="161"/>
      <c r="DQ160" s="159">
        <f>ROUND(SUM(DQ162:DS177),5)</f>
        <v>0</v>
      </c>
      <c r="DR160" s="160"/>
      <c r="DS160" s="161"/>
      <c r="DT160" s="159">
        <f>SUM(DT162:DV177)</f>
        <v>1.3809999999999998E-3</v>
      </c>
      <c r="DU160" s="160"/>
      <c r="DV160" s="170"/>
      <c r="DX160" s="145">
        <f>SUM(R160:DV160)</f>
        <v>2.1221E-2</v>
      </c>
      <c r="DY160" s="145">
        <f>SUM(DX162:DX177)</f>
        <v>2.1221000000000004E-2</v>
      </c>
      <c r="DZ160" s="1"/>
      <c r="EA160" s="1"/>
      <c r="EB160" s="1"/>
    </row>
    <row r="161" spans="4:132" s="6" customFormat="1" ht="9.9499999999999993" customHeight="1">
      <c r="F161" s="141"/>
      <c r="G161" s="142"/>
      <c r="H161" s="55">
        <v>2</v>
      </c>
      <c r="L161" s="227"/>
      <c r="M161" s="228"/>
      <c r="N161" s="228"/>
      <c r="O161" s="229"/>
      <c r="P161" s="188"/>
      <c r="Q161" s="186"/>
      <c r="R161" s="342"/>
      <c r="S161" s="163"/>
      <c r="T161" s="163"/>
      <c r="U161" s="164"/>
      <c r="V161" s="162"/>
      <c r="W161" s="163"/>
      <c r="X161" s="164"/>
      <c r="Y161" s="162"/>
      <c r="Z161" s="163"/>
      <c r="AA161" s="164"/>
      <c r="AB161" s="162"/>
      <c r="AC161" s="163"/>
      <c r="AD161" s="164"/>
      <c r="AE161" s="162"/>
      <c r="AF161" s="163"/>
      <c r="AG161" s="164"/>
      <c r="AH161" s="162"/>
      <c r="AI161" s="163"/>
      <c r="AJ161" s="164"/>
      <c r="AK161" s="162"/>
      <c r="AL161" s="163"/>
      <c r="AM161" s="164"/>
      <c r="AN161" s="162"/>
      <c r="AO161" s="163"/>
      <c r="AP161" s="164"/>
      <c r="AQ161" s="162"/>
      <c r="AR161" s="163"/>
      <c r="AS161" s="164"/>
      <c r="AT161" s="162"/>
      <c r="AU161" s="163"/>
      <c r="AV161" s="164"/>
      <c r="AW161" s="162"/>
      <c r="AX161" s="163"/>
      <c r="AY161" s="164"/>
      <c r="AZ161" s="162"/>
      <c r="BA161" s="163"/>
      <c r="BB161" s="164"/>
      <c r="BC161" s="162"/>
      <c r="BD161" s="163"/>
      <c r="BE161" s="164"/>
      <c r="BF161" s="162"/>
      <c r="BG161" s="163"/>
      <c r="BH161" s="164"/>
      <c r="BI161" s="162"/>
      <c r="BJ161" s="163"/>
      <c r="BK161" s="164"/>
      <c r="BL161" s="162"/>
      <c r="BM161" s="163"/>
      <c r="BN161" s="164"/>
      <c r="BO161" s="162"/>
      <c r="BP161" s="163"/>
      <c r="BQ161" s="163"/>
      <c r="BR161" s="178"/>
      <c r="BS161" s="163"/>
      <c r="BT161" s="179"/>
      <c r="BU161" s="163"/>
      <c r="BV161" s="163"/>
      <c r="BW161" s="164"/>
      <c r="BX161" s="162"/>
      <c r="BY161" s="163"/>
      <c r="BZ161" s="164"/>
      <c r="CA161" s="162"/>
      <c r="CB161" s="163"/>
      <c r="CC161" s="164"/>
      <c r="CD161" s="162"/>
      <c r="CE161" s="163"/>
      <c r="CF161" s="164"/>
      <c r="CG161" s="162"/>
      <c r="CH161" s="163"/>
      <c r="CI161" s="164"/>
      <c r="CJ161" s="162"/>
      <c r="CK161" s="163"/>
      <c r="CL161" s="164"/>
      <c r="CM161" s="162"/>
      <c r="CN161" s="163"/>
      <c r="CO161" s="164"/>
      <c r="CP161" s="162"/>
      <c r="CQ161" s="163"/>
      <c r="CR161" s="164"/>
      <c r="CS161" s="162"/>
      <c r="CT161" s="163"/>
      <c r="CU161" s="164"/>
      <c r="CV161" s="162"/>
      <c r="CW161" s="163"/>
      <c r="CX161" s="164"/>
      <c r="CY161" s="162"/>
      <c r="CZ161" s="163"/>
      <c r="DA161" s="164"/>
      <c r="DB161" s="162"/>
      <c r="DC161" s="163"/>
      <c r="DD161" s="164"/>
      <c r="DE161" s="162"/>
      <c r="DF161" s="163"/>
      <c r="DG161" s="164"/>
      <c r="DH161" s="162"/>
      <c r="DI161" s="163"/>
      <c r="DJ161" s="164"/>
      <c r="DK161" s="162"/>
      <c r="DL161" s="163"/>
      <c r="DM161" s="164"/>
      <c r="DN161" s="162"/>
      <c r="DO161" s="163"/>
      <c r="DP161" s="164"/>
      <c r="DQ161" s="162"/>
      <c r="DR161" s="163"/>
      <c r="DS161" s="164"/>
      <c r="DT161" s="162"/>
      <c r="DU161" s="163"/>
      <c r="DV161" s="171"/>
      <c r="DX161" s="145"/>
      <c r="DY161" s="145"/>
      <c r="DZ161" s="1"/>
      <c r="EA161" s="1"/>
      <c r="EB161" s="1"/>
    </row>
    <row r="162" spans="4:132" s="6" customFormat="1" ht="9.9499999999999993" customHeight="1">
      <c r="F162" s="143">
        <f t="shared" ref="F162" si="66">DX162</f>
        <v>4.4000000000000011E-3</v>
      </c>
      <c r="G162" s="144">
        <f>Q162-F162</f>
        <v>0</v>
      </c>
      <c r="H162" s="27">
        <v>1</v>
      </c>
      <c r="L162" s="271"/>
      <c r="M162" s="237" t="s">
        <v>148</v>
      </c>
      <c r="N162" s="254">
        <v>1</v>
      </c>
      <c r="O162" s="297" t="s">
        <v>1</v>
      </c>
      <c r="P162" s="245">
        <v>915406</v>
      </c>
      <c r="Q162" s="183">
        <f>ROUND(P162/$P$256,5)</f>
        <v>4.4000000000000003E-3</v>
      </c>
      <c r="R162" s="79"/>
      <c r="S162" s="57"/>
      <c r="T162" s="57"/>
      <c r="U162" s="57"/>
      <c r="V162" s="56"/>
      <c r="W162" s="57"/>
      <c r="X162" s="58"/>
      <c r="Y162" s="56"/>
      <c r="Z162" s="57"/>
      <c r="AA162" s="58"/>
      <c r="AB162" s="56"/>
      <c r="AC162" s="57"/>
      <c r="AD162" s="58"/>
      <c r="AE162" s="57"/>
      <c r="AF162" s="57"/>
      <c r="AG162" s="57"/>
      <c r="AH162" s="56"/>
      <c r="AI162" s="57"/>
      <c r="AJ162" s="58"/>
      <c r="AK162" s="57"/>
      <c r="AL162" s="57"/>
      <c r="AM162" s="57"/>
      <c r="AN162" s="56"/>
      <c r="AO162" s="57"/>
      <c r="AP162" s="58"/>
      <c r="AQ162" s="56"/>
      <c r="AR162" s="57"/>
      <c r="AS162" s="57"/>
      <c r="AT162" s="56"/>
      <c r="AU162" s="57"/>
      <c r="AV162" s="58"/>
      <c r="AW162" s="57"/>
      <c r="AX162" s="57"/>
      <c r="AY162" s="57"/>
      <c r="AZ162" s="56"/>
      <c r="BA162" s="57"/>
      <c r="BB162" s="58"/>
      <c r="BC162" s="57"/>
      <c r="BD162" s="57"/>
      <c r="BE162" s="57"/>
      <c r="BF162" s="56"/>
      <c r="BG162" s="57"/>
      <c r="BH162" s="58"/>
      <c r="BI162" s="57"/>
      <c r="BJ162" s="57"/>
      <c r="BK162" s="57"/>
      <c r="BL162" s="56"/>
      <c r="BM162" s="57"/>
      <c r="BN162" s="58"/>
      <c r="BO162" s="57"/>
      <c r="BP162" s="57"/>
      <c r="BQ162" s="57"/>
      <c r="BR162" s="60"/>
      <c r="BS162" s="57"/>
      <c r="BT162" s="61"/>
      <c r="BU162" s="57"/>
      <c r="BV162" s="57"/>
      <c r="BW162" s="57"/>
      <c r="BX162" s="56"/>
      <c r="BY162" s="57"/>
      <c r="BZ162" s="58"/>
      <c r="CA162" s="56"/>
      <c r="CB162" s="57"/>
      <c r="CC162" s="58"/>
      <c r="CD162" s="56"/>
      <c r="CE162" s="57"/>
      <c r="CF162" s="58"/>
      <c r="CG162" s="56"/>
      <c r="CH162" s="57"/>
      <c r="CI162" s="58"/>
      <c r="CJ162" s="56"/>
      <c r="CK162" s="57"/>
      <c r="CL162" s="58"/>
      <c r="CM162" s="57"/>
      <c r="CN162" s="57"/>
      <c r="CO162" s="57"/>
      <c r="CP162" s="56"/>
      <c r="CQ162" s="57"/>
      <c r="CR162" s="58"/>
      <c r="CS162" s="57"/>
      <c r="CT162" s="57"/>
      <c r="CU162" s="57"/>
      <c r="CV162" s="56"/>
      <c r="CW162" s="57"/>
      <c r="CX162" s="58"/>
      <c r="CY162" s="147"/>
      <c r="CZ162" s="148"/>
      <c r="DA162" s="149"/>
      <c r="DB162" s="147">
        <v>5.9000000000000003E-4</v>
      </c>
      <c r="DC162" s="148"/>
      <c r="DD162" s="149"/>
      <c r="DE162" s="147">
        <v>7.9000000000000001E-4</v>
      </c>
      <c r="DF162" s="148"/>
      <c r="DG162" s="149"/>
      <c r="DH162" s="147">
        <v>1.1000000000000001E-3</v>
      </c>
      <c r="DI162" s="148"/>
      <c r="DJ162" s="149"/>
      <c r="DK162" s="147">
        <v>1.1000000000000001E-3</v>
      </c>
      <c r="DL162" s="148"/>
      <c r="DM162" s="149"/>
      <c r="DN162" s="147">
        <v>8.1999999999999998E-4</v>
      </c>
      <c r="DO162" s="148"/>
      <c r="DP162" s="149"/>
      <c r="DQ162" s="146"/>
      <c r="DR162" s="146"/>
      <c r="DS162" s="146"/>
      <c r="DT162" s="146"/>
      <c r="DU162" s="146"/>
      <c r="DV162" s="214"/>
      <c r="DX162" s="213">
        <f>SUM(R162:DV162)</f>
        <v>4.4000000000000011E-3</v>
      </c>
      <c r="DY162" s="1"/>
      <c r="DZ162" s="1"/>
      <c r="EA162" s="1"/>
      <c r="EB162" s="1"/>
    </row>
    <row r="163" spans="4:132" s="6" customFormat="1" ht="6.95" customHeight="1">
      <c r="F163" s="143"/>
      <c r="G163" s="144"/>
      <c r="H163" s="55">
        <v>2</v>
      </c>
      <c r="L163" s="272"/>
      <c r="M163" s="232"/>
      <c r="N163" s="255"/>
      <c r="O163" s="244"/>
      <c r="P163" s="246"/>
      <c r="Q163" s="184"/>
      <c r="R163" s="63"/>
      <c r="S163" s="42"/>
      <c r="T163" s="42"/>
      <c r="U163" s="42"/>
      <c r="V163" s="41"/>
      <c r="W163" s="42"/>
      <c r="X163" s="43"/>
      <c r="Y163" s="41"/>
      <c r="Z163" s="42"/>
      <c r="AA163" s="43"/>
      <c r="AB163" s="41"/>
      <c r="AC163" s="42"/>
      <c r="AD163" s="43"/>
      <c r="AE163" s="42"/>
      <c r="AF163" s="42"/>
      <c r="AG163" s="42"/>
      <c r="AH163" s="41"/>
      <c r="AI163" s="42"/>
      <c r="AJ163" s="43"/>
      <c r="AK163" s="42"/>
      <c r="AL163" s="42"/>
      <c r="AM163" s="42"/>
      <c r="AN163" s="41"/>
      <c r="AO163" s="42"/>
      <c r="AP163" s="43"/>
      <c r="AQ163" s="41"/>
      <c r="AR163" s="42"/>
      <c r="AS163" s="42"/>
      <c r="AT163" s="41"/>
      <c r="AU163" s="42"/>
      <c r="AV163" s="43"/>
      <c r="AW163" s="42"/>
      <c r="AX163" s="42"/>
      <c r="AY163" s="42"/>
      <c r="AZ163" s="41"/>
      <c r="BA163" s="42"/>
      <c r="BB163" s="43"/>
      <c r="BC163" s="42"/>
      <c r="BD163" s="42"/>
      <c r="BE163" s="42"/>
      <c r="BF163" s="41"/>
      <c r="BG163" s="42"/>
      <c r="BH163" s="43"/>
      <c r="BI163" s="42"/>
      <c r="BJ163" s="42"/>
      <c r="BK163" s="42"/>
      <c r="BL163" s="41"/>
      <c r="BM163" s="42"/>
      <c r="BN163" s="43"/>
      <c r="BO163" s="42"/>
      <c r="BP163" s="42"/>
      <c r="BQ163" s="42"/>
      <c r="BR163" s="67"/>
      <c r="BS163" s="42"/>
      <c r="BT163" s="68"/>
      <c r="BU163" s="42"/>
      <c r="BV163" s="42"/>
      <c r="BW163" s="42"/>
      <c r="BX163" s="41"/>
      <c r="BY163" s="42"/>
      <c r="BZ163" s="43"/>
      <c r="CA163" s="41"/>
      <c r="CB163" s="42"/>
      <c r="CC163" s="43"/>
      <c r="CD163" s="41"/>
      <c r="CE163" s="42"/>
      <c r="CF163" s="43"/>
      <c r="CG163" s="41"/>
      <c r="CH163" s="42"/>
      <c r="CI163" s="43"/>
      <c r="CJ163" s="41"/>
      <c r="CK163" s="42"/>
      <c r="CL163" s="43"/>
      <c r="CM163" s="42"/>
      <c r="CN163" s="42"/>
      <c r="CO163" s="42"/>
      <c r="CP163" s="41"/>
      <c r="CQ163" s="42"/>
      <c r="CR163" s="43"/>
      <c r="CS163" s="42"/>
      <c r="CT163" s="42"/>
      <c r="CU163" s="42"/>
      <c r="CV163" s="41"/>
      <c r="CW163" s="42"/>
      <c r="CX163" s="43"/>
      <c r="CY163" s="41"/>
      <c r="CZ163" s="42"/>
      <c r="DA163" s="43"/>
      <c r="DB163" s="64"/>
      <c r="DC163" s="65"/>
      <c r="DD163" s="66"/>
      <c r="DE163" s="64"/>
      <c r="DF163" s="65"/>
      <c r="DG163" s="66"/>
      <c r="DH163" s="64"/>
      <c r="DI163" s="65"/>
      <c r="DJ163" s="66"/>
      <c r="DK163" s="64"/>
      <c r="DL163" s="65"/>
      <c r="DM163" s="66"/>
      <c r="DN163" s="64"/>
      <c r="DO163" s="65"/>
      <c r="DP163" s="66"/>
      <c r="DQ163" s="41"/>
      <c r="DR163" s="42"/>
      <c r="DS163" s="43"/>
      <c r="DT163" s="41"/>
      <c r="DU163" s="42"/>
      <c r="DV163" s="44" t="s">
        <v>261</v>
      </c>
      <c r="DX163" s="213"/>
      <c r="DY163" s="1"/>
      <c r="DZ163" s="1"/>
      <c r="EA163" s="1"/>
      <c r="EB163" s="1"/>
    </row>
    <row r="164" spans="4:132" s="6" customFormat="1" ht="9.9499999999999993" customHeight="1">
      <c r="F164" s="143">
        <f t="shared" ref="F164" si="67">DX164</f>
        <v>1.2500000000000001E-2</v>
      </c>
      <c r="G164" s="144">
        <f>Q164-F164</f>
        <v>0</v>
      </c>
      <c r="H164" s="27">
        <v>1</v>
      </c>
      <c r="L164" s="230"/>
      <c r="M164" s="296" t="s">
        <v>149</v>
      </c>
      <c r="N164" s="239">
        <v>1</v>
      </c>
      <c r="O164" s="247" t="s">
        <v>1</v>
      </c>
      <c r="P164" s="249">
        <v>2601595</v>
      </c>
      <c r="Q164" s="183">
        <f>ROUND(P164/$P$256,5)</f>
        <v>1.2500000000000001E-2</v>
      </c>
      <c r="R164" s="76"/>
      <c r="S164" s="70"/>
      <c r="T164" s="70"/>
      <c r="U164" s="70"/>
      <c r="V164" s="69"/>
      <c r="W164" s="70"/>
      <c r="X164" s="71"/>
      <c r="Y164" s="69"/>
      <c r="Z164" s="70"/>
      <c r="AA164" s="71"/>
      <c r="AB164" s="69"/>
      <c r="AC164" s="70"/>
      <c r="AD164" s="71"/>
      <c r="AE164" s="70"/>
      <c r="AF164" s="70"/>
      <c r="AG164" s="70"/>
      <c r="AH164" s="69"/>
      <c r="AI164" s="70"/>
      <c r="AJ164" s="71"/>
      <c r="AK164" s="70"/>
      <c r="AL164" s="70"/>
      <c r="AM164" s="70"/>
      <c r="AN164" s="69"/>
      <c r="AO164" s="70"/>
      <c r="AP164" s="71"/>
      <c r="AQ164" s="69"/>
      <c r="AR164" s="70"/>
      <c r="AS164" s="70"/>
      <c r="AT164" s="69"/>
      <c r="AU164" s="70"/>
      <c r="AV164" s="71"/>
      <c r="AW164" s="70"/>
      <c r="AX164" s="70"/>
      <c r="AY164" s="70"/>
      <c r="AZ164" s="69"/>
      <c r="BA164" s="70"/>
      <c r="BB164" s="71"/>
      <c r="BC164" s="70"/>
      <c r="BD164" s="70"/>
      <c r="BE164" s="70"/>
      <c r="BF164" s="69"/>
      <c r="BG164" s="70"/>
      <c r="BH164" s="71"/>
      <c r="BI164" s="70"/>
      <c r="BJ164" s="70"/>
      <c r="BK164" s="70"/>
      <c r="BL164" s="69"/>
      <c r="BM164" s="70"/>
      <c r="BN164" s="71"/>
      <c r="BO164" s="70"/>
      <c r="BP164" s="70"/>
      <c r="BQ164" s="70"/>
      <c r="BR164" s="73"/>
      <c r="BS164" s="70"/>
      <c r="BT164" s="74"/>
      <c r="BU164" s="70"/>
      <c r="BV164" s="70"/>
      <c r="BW164" s="70"/>
      <c r="BX164" s="69"/>
      <c r="BY164" s="70"/>
      <c r="BZ164" s="71"/>
      <c r="CA164" s="69"/>
      <c r="CB164" s="70"/>
      <c r="CC164" s="71"/>
      <c r="CD164" s="69"/>
      <c r="CE164" s="70"/>
      <c r="CF164" s="71"/>
      <c r="CG164" s="69"/>
      <c r="CH164" s="70"/>
      <c r="CI164" s="71"/>
      <c r="CJ164" s="69"/>
      <c r="CK164" s="70"/>
      <c r="CL164" s="71"/>
      <c r="CM164" s="150"/>
      <c r="CN164" s="150"/>
      <c r="CO164" s="150"/>
      <c r="CP164" s="150"/>
      <c r="CQ164" s="150"/>
      <c r="CR164" s="150"/>
      <c r="CS164" s="150"/>
      <c r="CT164" s="150"/>
      <c r="CU164" s="150"/>
      <c r="CV164" s="150"/>
      <c r="CW164" s="150"/>
      <c r="CX164" s="150"/>
      <c r="CY164" s="150">
        <v>1.72E-3</v>
      </c>
      <c r="CZ164" s="150"/>
      <c r="DA164" s="150"/>
      <c r="DB164" s="150">
        <v>2.2200000000000002E-3</v>
      </c>
      <c r="DC164" s="150"/>
      <c r="DD164" s="150"/>
      <c r="DE164" s="150">
        <v>2.2200000000000002E-3</v>
      </c>
      <c r="DF164" s="150"/>
      <c r="DG164" s="150"/>
      <c r="DH164" s="150">
        <v>2.2200000000000002E-3</v>
      </c>
      <c r="DI164" s="150"/>
      <c r="DJ164" s="150"/>
      <c r="DK164" s="150">
        <v>2.2200000000000002E-3</v>
      </c>
      <c r="DL164" s="150"/>
      <c r="DM164" s="150"/>
      <c r="DN164" s="150">
        <v>1.9E-3</v>
      </c>
      <c r="DO164" s="150"/>
      <c r="DP164" s="150"/>
      <c r="DQ164" s="69"/>
      <c r="DR164" s="70"/>
      <c r="DS164" s="71"/>
      <c r="DT164" s="70"/>
      <c r="DU164" s="70"/>
      <c r="DV164" s="75"/>
      <c r="DX164" s="213">
        <f>SUM(R164:DV164)</f>
        <v>1.2500000000000001E-2</v>
      </c>
      <c r="DY164" s="1"/>
      <c r="DZ164" s="1"/>
      <c r="EA164" s="1"/>
      <c r="EB164" s="1"/>
    </row>
    <row r="165" spans="4:132" s="6" customFormat="1" ht="6.95" customHeight="1">
      <c r="D165" s="6">
        <v>0</v>
      </c>
      <c r="F165" s="143"/>
      <c r="G165" s="144"/>
      <c r="H165" s="55">
        <v>2</v>
      </c>
      <c r="L165" s="230"/>
      <c r="M165" s="238"/>
      <c r="N165" s="239"/>
      <c r="O165" s="240"/>
      <c r="P165" s="249"/>
      <c r="Q165" s="184"/>
      <c r="R165" s="76"/>
      <c r="S165" s="70"/>
      <c r="T165" s="70"/>
      <c r="U165" s="70"/>
      <c r="V165" s="69"/>
      <c r="W165" s="70"/>
      <c r="X165" s="71"/>
      <c r="Y165" s="69"/>
      <c r="Z165" s="70"/>
      <c r="AA165" s="71"/>
      <c r="AB165" s="69"/>
      <c r="AC165" s="70"/>
      <c r="AD165" s="71"/>
      <c r="AE165" s="70"/>
      <c r="AF165" s="70"/>
      <c r="AG165" s="70"/>
      <c r="AH165" s="69"/>
      <c r="AI165" s="70"/>
      <c r="AJ165" s="71"/>
      <c r="AK165" s="70"/>
      <c r="AL165" s="70"/>
      <c r="AM165" s="70"/>
      <c r="AN165" s="69"/>
      <c r="AO165" s="70"/>
      <c r="AP165" s="71"/>
      <c r="AQ165" s="69"/>
      <c r="AR165" s="70"/>
      <c r="AS165" s="70"/>
      <c r="AT165" s="69"/>
      <c r="AU165" s="70"/>
      <c r="AV165" s="71"/>
      <c r="AW165" s="70"/>
      <c r="AX165" s="70"/>
      <c r="AY165" s="70"/>
      <c r="AZ165" s="69"/>
      <c r="BA165" s="70"/>
      <c r="BB165" s="71"/>
      <c r="BC165" s="70"/>
      <c r="BD165" s="70"/>
      <c r="BE165" s="70"/>
      <c r="BF165" s="69"/>
      <c r="BG165" s="70"/>
      <c r="BH165" s="71"/>
      <c r="BI165" s="70"/>
      <c r="BJ165" s="70"/>
      <c r="BK165" s="70"/>
      <c r="BL165" s="69"/>
      <c r="BM165" s="70"/>
      <c r="BN165" s="71"/>
      <c r="BO165" s="70"/>
      <c r="BP165" s="70"/>
      <c r="BQ165" s="70"/>
      <c r="BR165" s="73"/>
      <c r="BS165" s="70"/>
      <c r="BT165" s="74"/>
      <c r="BU165" s="70"/>
      <c r="BV165" s="70"/>
      <c r="BW165" s="70"/>
      <c r="BX165" s="69"/>
      <c r="BY165" s="70"/>
      <c r="BZ165" s="71"/>
      <c r="CA165" s="69"/>
      <c r="CB165" s="70"/>
      <c r="CC165" s="71"/>
      <c r="CD165" s="69"/>
      <c r="CE165" s="70"/>
      <c r="CF165" s="71"/>
      <c r="CG165" s="69"/>
      <c r="CH165" s="70"/>
      <c r="CI165" s="71"/>
      <c r="CJ165" s="69"/>
      <c r="CK165" s="70"/>
      <c r="CL165" s="71"/>
      <c r="CM165" s="69"/>
      <c r="CN165" s="70"/>
      <c r="CO165" s="71"/>
      <c r="CP165" s="69"/>
      <c r="CQ165" s="70"/>
      <c r="CR165" s="71"/>
      <c r="CS165" s="69"/>
      <c r="CT165" s="70"/>
      <c r="CU165" s="71"/>
      <c r="CV165" s="41"/>
      <c r="CW165" s="42"/>
      <c r="CX165" s="43"/>
      <c r="CY165" s="64"/>
      <c r="CZ165" s="65"/>
      <c r="DA165" s="66"/>
      <c r="DB165" s="64"/>
      <c r="DC165" s="65"/>
      <c r="DD165" s="66"/>
      <c r="DE165" s="64"/>
      <c r="DF165" s="65"/>
      <c r="DG165" s="66"/>
      <c r="DH165" s="64"/>
      <c r="DI165" s="65"/>
      <c r="DJ165" s="66"/>
      <c r="DK165" s="64"/>
      <c r="DL165" s="65"/>
      <c r="DM165" s="66"/>
      <c r="DN165" s="64"/>
      <c r="DO165" s="65"/>
      <c r="DP165" s="66"/>
      <c r="DQ165" s="69"/>
      <c r="DR165" s="70"/>
      <c r="DS165" s="71"/>
      <c r="DT165" s="70"/>
      <c r="DU165" s="70"/>
      <c r="DV165" s="75"/>
      <c r="DX165" s="213"/>
      <c r="DY165" s="1"/>
      <c r="DZ165" s="1"/>
      <c r="EA165" s="1"/>
      <c r="EB165" s="1"/>
    </row>
    <row r="166" spans="4:132" s="6" customFormat="1" ht="9.9499999999999993" customHeight="1">
      <c r="F166" s="143">
        <f t="shared" ref="F166" si="68">DX166</f>
        <v>5.0000000000000001E-4</v>
      </c>
      <c r="G166" s="144">
        <f>Q166-F166</f>
        <v>0</v>
      </c>
      <c r="H166" s="27">
        <v>1</v>
      </c>
      <c r="I166" s="19"/>
      <c r="J166" s="19"/>
      <c r="K166" s="19"/>
      <c r="L166" s="271"/>
      <c r="M166" s="237" t="s">
        <v>150</v>
      </c>
      <c r="N166" s="254">
        <v>412</v>
      </c>
      <c r="O166" s="297" t="s">
        <v>151</v>
      </c>
      <c r="P166" s="245">
        <v>103683</v>
      </c>
      <c r="Q166" s="183">
        <f>ROUND(P166/$P$256,5)</f>
        <v>5.0000000000000001E-4</v>
      </c>
      <c r="R166" s="79"/>
      <c r="S166" s="57"/>
      <c r="T166" s="57"/>
      <c r="U166" s="57"/>
      <c r="V166" s="56"/>
      <c r="W166" s="57"/>
      <c r="X166" s="58"/>
      <c r="Y166" s="56"/>
      <c r="Z166" s="57"/>
      <c r="AA166" s="58"/>
      <c r="AB166" s="56"/>
      <c r="AC166" s="57"/>
      <c r="AD166" s="58"/>
      <c r="AE166" s="57"/>
      <c r="AF166" s="57"/>
      <c r="AG166" s="57"/>
      <c r="AH166" s="56"/>
      <c r="AI166" s="57"/>
      <c r="AJ166" s="58"/>
      <c r="AK166" s="57"/>
      <c r="AL166" s="57"/>
      <c r="AM166" s="57"/>
      <c r="AN166" s="56"/>
      <c r="AO166" s="57"/>
      <c r="AP166" s="58"/>
      <c r="AQ166" s="56"/>
      <c r="AR166" s="57"/>
      <c r="AS166" s="57"/>
      <c r="AT166" s="56"/>
      <c r="AU166" s="57"/>
      <c r="AV166" s="58"/>
      <c r="AW166" s="57"/>
      <c r="AX166" s="57"/>
      <c r="AY166" s="57"/>
      <c r="AZ166" s="56"/>
      <c r="BA166" s="57"/>
      <c r="BB166" s="58"/>
      <c r="BC166" s="57"/>
      <c r="BD166" s="57"/>
      <c r="BE166" s="57"/>
      <c r="BF166" s="56"/>
      <c r="BG166" s="57"/>
      <c r="BH166" s="58"/>
      <c r="BI166" s="57"/>
      <c r="BJ166" s="57"/>
      <c r="BK166" s="57"/>
      <c r="BL166" s="56"/>
      <c r="BM166" s="57"/>
      <c r="BN166" s="58"/>
      <c r="BO166" s="57"/>
      <c r="BP166" s="57"/>
      <c r="BQ166" s="57"/>
      <c r="BR166" s="60"/>
      <c r="BS166" s="57"/>
      <c r="BT166" s="61"/>
      <c r="BU166" s="57"/>
      <c r="BV166" s="57"/>
      <c r="BW166" s="57"/>
      <c r="BX166" s="56"/>
      <c r="BY166" s="57"/>
      <c r="BZ166" s="58"/>
      <c r="CA166" s="56"/>
      <c r="CB166" s="57"/>
      <c r="CC166" s="58"/>
      <c r="CD166" s="56"/>
      <c r="CE166" s="57"/>
      <c r="CF166" s="58"/>
      <c r="CG166" s="56"/>
      <c r="CH166" s="57"/>
      <c r="CI166" s="58"/>
      <c r="CJ166" s="56"/>
      <c r="CK166" s="57"/>
      <c r="CL166" s="58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50"/>
      <c r="CW166" s="150"/>
      <c r="CX166" s="150"/>
      <c r="CY166" s="150">
        <v>1.1E-4</v>
      </c>
      <c r="CZ166" s="150"/>
      <c r="DA166" s="150"/>
      <c r="DB166" s="150">
        <v>2.2000000000000001E-4</v>
      </c>
      <c r="DC166" s="150"/>
      <c r="DD166" s="150"/>
      <c r="DE166" s="150">
        <v>1.7000000000000001E-4</v>
      </c>
      <c r="DF166" s="150"/>
      <c r="DG166" s="150"/>
      <c r="DH166" s="57"/>
      <c r="DI166" s="57"/>
      <c r="DJ166" s="57"/>
      <c r="DK166" s="56"/>
      <c r="DL166" s="57"/>
      <c r="DM166" s="58"/>
      <c r="DN166" s="56"/>
      <c r="DO166" s="57"/>
      <c r="DP166" s="58"/>
      <c r="DQ166" s="56"/>
      <c r="DR166" s="57"/>
      <c r="DS166" s="58"/>
      <c r="DT166" s="57"/>
      <c r="DU166" s="57"/>
      <c r="DV166" s="62"/>
      <c r="DX166" s="213">
        <f>SUM(R166:DV166)</f>
        <v>5.0000000000000001E-4</v>
      </c>
      <c r="DY166" s="1"/>
      <c r="DZ166" s="1"/>
      <c r="EA166" s="1"/>
      <c r="EB166" s="1"/>
    </row>
    <row r="167" spans="4:132" s="6" customFormat="1" ht="6.95" customHeight="1">
      <c r="F167" s="143"/>
      <c r="G167" s="144"/>
      <c r="H167" s="55">
        <v>2</v>
      </c>
      <c r="L167" s="272"/>
      <c r="M167" s="232"/>
      <c r="N167" s="255"/>
      <c r="O167" s="244"/>
      <c r="P167" s="246"/>
      <c r="Q167" s="184"/>
      <c r="R167" s="63"/>
      <c r="S167" s="42"/>
      <c r="T167" s="42"/>
      <c r="U167" s="42"/>
      <c r="V167" s="41"/>
      <c r="W167" s="42"/>
      <c r="X167" s="43"/>
      <c r="Y167" s="41"/>
      <c r="Z167" s="42"/>
      <c r="AA167" s="43"/>
      <c r="AB167" s="41"/>
      <c r="AC167" s="42"/>
      <c r="AD167" s="43"/>
      <c r="AE167" s="42"/>
      <c r="AF167" s="42"/>
      <c r="AG167" s="42"/>
      <c r="AH167" s="41"/>
      <c r="AI167" s="42"/>
      <c r="AJ167" s="43"/>
      <c r="AK167" s="42"/>
      <c r="AL167" s="42"/>
      <c r="AM167" s="42"/>
      <c r="AN167" s="41"/>
      <c r="AO167" s="42"/>
      <c r="AP167" s="43"/>
      <c r="AQ167" s="41"/>
      <c r="AR167" s="42"/>
      <c r="AS167" s="42"/>
      <c r="AT167" s="41"/>
      <c r="AU167" s="42"/>
      <c r="AV167" s="43"/>
      <c r="AW167" s="42"/>
      <c r="AX167" s="42"/>
      <c r="AY167" s="42"/>
      <c r="AZ167" s="41"/>
      <c r="BA167" s="42"/>
      <c r="BB167" s="43"/>
      <c r="BC167" s="42"/>
      <c r="BD167" s="42"/>
      <c r="BE167" s="42"/>
      <c r="BF167" s="41"/>
      <c r="BG167" s="42"/>
      <c r="BH167" s="43"/>
      <c r="BI167" s="42"/>
      <c r="BJ167" s="42"/>
      <c r="BK167" s="42"/>
      <c r="BL167" s="41"/>
      <c r="BM167" s="42"/>
      <c r="BN167" s="43"/>
      <c r="BO167" s="42"/>
      <c r="BP167" s="42"/>
      <c r="BQ167" s="42"/>
      <c r="BR167" s="67"/>
      <c r="BS167" s="42"/>
      <c r="BT167" s="68"/>
      <c r="BU167" s="42"/>
      <c r="BV167" s="42"/>
      <c r="BW167" s="42"/>
      <c r="BX167" s="41"/>
      <c r="BY167" s="42"/>
      <c r="BZ167" s="43"/>
      <c r="CA167" s="41"/>
      <c r="CB167" s="42"/>
      <c r="CC167" s="43"/>
      <c r="CD167" s="41"/>
      <c r="CE167" s="42"/>
      <c r="CF167" s="43"/>
      <c r="CG167" s="41"/>
      <c r="CH167" s="42"/>
      <c r="CI167" s="43"/>
      <c r="CJ167" s="41"/>
      <c r="CK167" s="42"/>
      <c r="CL167" s="43"/>
      <c r="CM167" s="41"/>
      <c r="CN167" s="42"/>
      <c r="CO167" s="43"/>
      <c r="CP167" s="41"/>
      <c r="CQ167" s="42"/>
      <c r="CR167" s="43"/>
      <c r="CS167" s="41"/>
      <c r="CT167" s="42"/>
      <c r="CU167" s="43"/>
      <c r="CV167" s="41"/>
      <c r="CW167" s="42"/>
      <c r="CX167" s="43"/>
      <c r="CY167" s="64"/>
      <c r="CZ167" s="65"/>
      <c r="DA167" s="66"/>
      <c r="DB167" s="64"/>
      <c r="DC167" s="65"/>
      <c r="DD167" s="66"/>
      <c r="DE167" s="64"/>
      <c r="DF167" s="65"/>
      <c r="DG167" s="66"/>
      <c r="DH167" s="42"/>
      <c r="DI167" s="42"/>
      <c r="DJ167" s="42"/>
      <c r="DK167" s="41"/>
      <c r="DL167" s="42"/>
      <c r="DM167" s="43"/>
      <c r="DN167" s="41"/>
      <c r="DO167" s="42"/>
      <c r="DP167" s="43"/>
      <c r="DQ167" s="41"/>
      <c r="DR167" s="42"/>
      <c r="DS167" s="43"/>
      <c r="DT167" s="42"/>
      <c r="DU167" s="42"/>
      <c r="DV167" s="44"/>
      <c r="DX167" s="213"/>
      <c r="DY167" s="1"/>
      <c r="DZ167" s="1"/>
      <c r="EA167" s="1"/>
      <c r="EB167" s="1"/>
    </row>
    <row r="168" spans="4:132" s="6" customFormat="1" ht="9.9499999999999993" hidden="1" customHeight="1" outlineLevel="1">
      <c r="E168" s="82"/>
      <c r="F168" s="143">
        <f t="shared" ref="F168" si="69">DX168</f>
        <v>0</v>
      </c>
      <c r="G168" s="144">
        <f>Q168-F168</f>
        <v>0</v>
      </c>
      <c r="H168" s="27">
        <v>1</v>
      </c>
      <c r="I168" s="19" t="s">
        <v>219</v>
      </c>
      <c r="J168" s="19" t="s">
        <v>186</v>
      </c>
      <c r="K168" s="19" t="s">
        <v>243</v>
      </c>
      <c r="L168" s="230"/>
      <c r="M168" s="296" t="s">
        <v>260</v>
      </c>
      <c r="N168" s="239">
        <v>0</v>
      </c>
      <c r="O168" s="247" t="s">
        <v>152</v>
      </c>
      <c r="P168" s="249">
        <v>0</v>
      </c>
      <c r="Q168" s="183">
        <f>ROUND(P168/$P$256,5)</f>
        <v>0</v>
      </c>
      <c r="R168" s="21"/>
      <c r="S168" s="165"/>
      <c r="T168" s="150"/>
      <c r="U168" s="150"/>
      <c r="V168" s="165"/>
      <c r="W168" s="150"/>
      <c r="X168" s="150"/>
      <c r="Y168" s="165"/>
      <c r="Z168" s="150"/>
      <c r="AA168" s="150"/>
      <c r="AB168" s="165"/>
      <c r="AC168" s="150"/>
      <c r="AD168" s="150"/>
      <c r="AE168" s="165"/>
      <c r="AF168" s="150"/>
      <c r="AG168" s="150"/>
      <c r="AH168" s="165"/>
      <c r="AI168" s="150"/>
      <c r="AJ168" s="150"/>
      <c r="AK168" s="165"/>
      <c r="AL168" s="150"/>
      <c r="AM168" s="150"/>
      <c r="AN168" s="69"/>
      <c r="AO168" s="70"/>
      <c r="AP168" s="71"/>
      <c r="AQ168" s="69"/>
      <c r="AR168" s="70"/>
      <c r="AS168" s="70"/>
      <c r="AT168" s="69"/>
      <c r="AU168" s="70"/>
      <c r="AV168" s="71"/>
      <c r="AW168" s="70"/>
      <c r="AX168" s="70"/>
      <c r="AY168" s="70"/>
      <c r="AZ168" s="69"/>
      <c r="BA168" s="70"/>
      <c r="BB168" s="71"/>
      <c r="BC168" s="70"/>
      <c r="BD168" s="70"/>
      <c r="BE168" s="70"/>
      <c r="BF168" s="69"/>
      <c r="BG168" s="70"/>
      <c r="BH168" s="71"/>
      <c r="BI168" s="70"/>
      <c r="BJ168" s="70"/>
      <c r="BK168" s="70"/>
      <c r="BL168" s="69"/>
      <c r="BM168" s="70"/>
      <c r="BN168" s="71"/>
      <c r="BO168" s="70"/>
      <c r="BP168" s="70"/>
      <c r="BQ168" s="70"/>
      <c r="BR168" s="73"/>
      <c r="BS168" s="70"/>
      <c r="BT168" s="74"/>
      <c r="BU168" s="70"/>
      <c r="BV168" s="70"/>
      <c r="BW168" s="70"/>
      <c r="BX168" s="69"/>
      <c r="BY168" s="70"/>
      <c r="BZ168" s="71"/>
      <c r="CA168" s="69"/>
      <c r="CB168" s="70"/>
      <c r="CC168" s="71"/>
      <c r="CD168" s="69"/>
      <c r="CE168" s="70"/>
      <c r="CF168" s="71"/>
      <c r="CG168" s="69"/>
      <c r="CH168" s="70"/>
      <c r="CI168" s="71"/>
      <c r="CJ168" s="69"/>
      <c r="CK168" s="70"/>
      <c r="CL168" s="71"/>
      <c r="CM168" s="70"/>
      <c r="CN168" s="70"/>
      <c r="CO168" s="70"/>
      <c r="CP168" s="69"/>
      <c r="CQ168" s="70"/>
      <c r="CR168" s="71"/>
      <c r="CS168" s="70"/>
      <c r="CT168" s="70"/>
      <c r="CU168" s="70"/>
      <c r="CV168" s="69"/>
      <c r="CW168" s="70"/>
      <c r="CX168" s="71"/>
      <c r="CY168" s="70"/>
      <c r="CZ168" s="70"/>
      <c r="DA168" s="70"/>
      <c r="DB168" s="69"/>
      <c r="DC168" s="70"/>
      <c r="DD168" s="71"/>
      <c r="DE168" s="69"/>
      <c r="DF168" s="70"/>
      <c r="DG168" s="71"/>
      <c r="DH168" s="70"/>
      <c r="DI168" s="70"/>
      <c r="DJ168" s="70"/>
      <c r="DK168" s="69"/>
      <c r="DL168" s="70"/>
      <c r="DM168" s="71"/>
      <c r="DN168" s="69"/>
      <c r="DO168" s="70"/>
      <c r="DP168" s="71"/>
      <c r="DQ168" s="69"/>
      <c r="DR168" s="70"/>
      <c r="DS168" s="71"/>
      <c r="DT168" s="70"/>
      <c r="DU168" s="70"/>
      <c r="DV168" s="75"/>
      <c r="DX168" s="213">
        <f>SUM(R168:DV168)</f>
        <v>0</v>
      </c>
      <c r="DY168" s="1"/>
      <c r="DZ168" s="1"/>
      <c r="EA168" s="1"/>
      <c r="EB168" s="1"/>
    </row>
    <row r="169" spans="4:132" s="6" customFormat="1" ht="9.9499999999999993" hidden="1" customHeight="1" outlineLevel="1">
      <c r="E169" s="83"/>
      <c r="F169" s="143"/>
      <c r="G169" s="144"/>
      <c r="H169" s="55">
        <v>2</v>
      </c>
      <c r="I169" s="83"/>
      <c r="J169" s="83"/>
      <c r="L169" s="230"/>
      <c r="M169" s="238"/>
      <c r="N169" s="239"/>
      <c r="O169" s="240"/>
      <c r="P169" s="249"/>
      <c r="Q169" s="184"/>
      <c r="R169" s="93"/>
      <c r="S169" s="70"/>
      <c r="T169" s="70"/>
      <c r="U169" s="71"/>
      <c r="V169" s="69"/>
      <c r="W169" s="70"/>
      <c r="X169" s="71"/>
      <c r="Y169" s="69"/>
      <c r="Z169" s="70"/>
      <c r="AA169" s="71"/>
      <c r="AB169" s="69"/>
      <c r="AC169" s="70"/>
      <c r="AD169" s="71"/>
      <c r="AE169" s="69"/>
      <c r="AF169" s="70"/>
      <c r="AG169" s="71"/>
      <c r="AH169" s="69"/>
      <c r="AI169" s="70"/>
      <c r="AJ169" s="71"/>
      <c r="AK169" s="70"/>
      <c r="AL169" s="70"/>
      <c r="AM169" s="70"/>
      <c r="AN169" s="69"/>
      <c r="AO169" s="70"/>
      <c r="AP169" s="71"/>
      <c r="AQ169" s="69"/>
      <c r="AR169" s="70"/>
      <c r="AS169" s="70"/>
      <c r="AT169" s="69"/>
      <c r="AU169" s="70"/>
      <c r="AV169" s="71"/>
      <c r="AW169" s="70"/>
      <c r="AX169" s="70"/>
      <c r="AY169" s="70"/>
      <c r="AZ169" s="69"/>
      <c r="BA169" s="70"/>
      <c r="BB169" s="71"/>
      <c r="BC169" s="70"/>
      <c r="BD169" s="70"/>
      <c r="BE169" s="70"/>
      <c r="BF169" s="69"/>
      <c r="BG169" s="70"/>
      <c r="BH169" s="71"/>
      <c r="BI169" s="70"/>
      <c r="BJ169" s="70"/>
      <c r="BK169" s="70"/>
      <c r="BL169" s="69"/>
      <c r="BM169" s="70"/>
      <c r="BN169" s="71"/>
      <c r="BO169" s="70"/>
      <c r="BP169" s="70"/>
      <c r="BQ169" s="70"/>
      <c r="BR169" s="73"/>
      <c r="BS169" s="70"/>
      <c r="BT169" s="74"/>
      <c r="BU169" s="70"/>
      <c r="BV169" s="70"/>
      <c r="BW169" s="70"/>
      <c r="BX169" s="69"/>
      <c r="BY169" s="70"/>
      <c r="BZ169" s="71"/>
      <c r="CA169" s="69"/>
      <c r="CB169" s="70"/>
      <c r="CC169" s="71"/>
      <c r="CD169" s="69"/>
      <c r="CE169" s="70"/>
      <c r="CF169" s="71"/>
      <c r="CG169" s="69"/>
      <c r="CH169" s="70"/>
      <c r="CI169" s="71"/>
      <c r="CJ169" s="69"/>
      <c r="CK169" s="70"/>
      <c r="CL169" s="71"/>
      <c r="CM169" s="70"/>
      <c r="CN169" s="70"/>
      <c r="CO169" s="70"/>
      <c r="CP169" s="69"/>
      <c r="CQ169" s="70"/>
      <c r="CR169" s="71"/>
      <c r="CS169" s="70"/>
      <c r="CT169" s="70"/>
      <c r="CU169" s="70"/>
      <c r="CV169" s="69"/>
      <c r="CW169" s="70"/>
      <c r="CX169" s="71"/>
      <c r="CY169" s="70"/>
      <c r="CZ169" s="70"/>
      <c r="DA169" s="70"/>
      <c r="DB169" s="69"/>
      <c r="DC169" s="70"/>
      <c r="DD169" s="71"/>
      <c r="DE169" s="69"/>
      <c r="DF169" s="70"/>
      <c r="DG169" s="71"/>
      <c r="DH169" s="70"/>
      <c r="DI169" s="70"/>
      <c r="DJ169" s="70"/>
      <c r="DK169" s="69"/>
      <c r="DL169" s="70"/>
      <c r="DM169" s="71"/>
      <c r="DN169" s="69"/>
      <c r="DO169" s="70"/>
      <c r="DP169" s="71"/>
      <c r="DQ169" s="69"/>
      <c r="DR169" s="70"/>
      <c r="DS169" s="71"/>
      <c r="DT169" s="70"/>
      <c r="DU169" s="70"/>
      <c r="DV169" s="75"/>
      <c r="DX169" s="213"/>
      <c r="DY169" s="1"/>
      <c r="DZ169" s="1"/>
      <c r="EA169" s="1"/>
      <c r="EB169" s="1"/>
    </row>
    <row r="170" spans="4:132" s="6" customFormat="1" ht="9.9499999999999993" customHeight="1" collapsed="1">
      <c r="E170" s="83"/>
      <c r="F170" s="143">
        <f t="shared" ref="F170" si="70">DX170</f>
        <v>1.3799999999999999E-3</v>
      </c>
      <c r="G170" s="144">
        <f>Q170-F170</f>
        <v>0</v>
      </c>
      <c r="H170" s="27">
        <v>1</v>
      </c>
      <c r="I170" s="83"/>
      <c r="J170" s="83"/>
      <c r="L170" s="271"/>
      <c r="M170" s="237" t="s">
        <v>80</v>
      </c>
      <c r="N170" s="302">
        <v>1</v>
      </c>
      <c r="O170" s="297" t="s">
        <v>1</v>
      </c>
      <c r="P170" s="245">
        <v>287393</v>
      </c>
      <c r="Q170" s="183">
        <f>ROUND(P170/$P$256,5)</f>
        <v>1.3799999999999999E-3</v>
      </c>
      <c r="R170" s="79"/>
      <c r="S170" s="57"/>
      <c r="T170" s="57"/>
      <c r="U170" s="57"/>
      <c r="V170" s="56"/>
      <c r="W170" s="57"/>
      <c r="X170" s="58"/>
      <c r="Y170" s="56"/>
      <c r="Z170" s="57"/>
      <c r="AA170" s="58"/>
      <c r="AB170" s="56"/>
      <c r="AC170" s="57"/>
      <c r="AD170" s="58"/>
      <c r="AE170" s="57"/>
      <c r="AF170" s="57"/>
      <c r="AG170" s="57"/>
      <c r="AH170" s="56"/>
      <c r="AI170" s="57"/>
      <c r="AJ170" s="58"/>
      <c r="AK170" s="57"/>
      <c r="AL170" s="57"/>
      <c r="AM170" s="57"/>
      <c r="AN170" s="56"/>
      <c r="AO170" s="57"/>
      <c r="AP170" s="58"/>
      <c r="AQ170" s="56"/>
      <c r="AR170" s="57"/>
      <c r="AS170" s="57"/>
      <c r="AT170" s="56"/>
      <c r="AU170" s="57"/>
      <c r="AV170" s="58"/>
      <c r="AW170" s="57"/>
      <c r="AX170" s="57"/>
      <c r="AY170" s="57"/>
      <c r="AZ170" s="56"/>
      <c r="BA170" s="57"/>
      <c r="BB170" s="58"/>
      <c r="BC170" s="57"/>
      <c r="BD170" s="57"/>
      <c r="BE170" s="57"/>
      <c r="BF170" s="56"/>
      <c r="BG170" s="57"/>
      <c r="BH170" s="58"/>
      <c r="BI170" s="57"/>
      <c r="BJ170" s="57"/>
      <c r="BK170" s="57"/>
      <c r="BL170" s="56"/>
      <c r="BM170" s="57"/>
      <c r="BN170" s="58"/>
      <c r="BO170" s="57"/>
      <c r="BP170" s="57"/>
      <c r="BQ170" s="57"/>
      <c r="BR170" s="60"/>
      <c r="BS170" s="57"/>
      <c r="BT170" s="61"/>
      <c r="BU170" s="57"/>
      <c r="BV170" s="57"/>
      <c r="BW170" s="57"/>
      <c r="BX170" s="56"/>
      <c r="BY170" s="57"/>
      <c r="BZ170" s="58"/>
      <c r="CA170" s="56"/>
      <c r="CB170" s="57"/>
      <c r="CC170" s="58"/>
      <c r="CD170" s="56"/>
      <c r="CE170" s="57"/>
      <c r="CF170" s="58"/>
      <c r="CG170" s="56"/>
      <c r="CH170" s="57"/>
      <c r="CI170" s="58"/>
      <c r="CJ170" s="56"/>
      <c r="CK170" s="57"/>
      <c r="CL170" s="58"/>
      <c r="CM170" s="57"/>
      <c r="CN170" s="57"/>
      <c r="CO170" s="57"/>
      <c r="CP170" s="56"/>
      <c r="CQ170" s="57"/>
      <c r="CR170" s="58"/>
      <c r="CS170" s="57"/>
      <c r="CT170" s="57"/>
      <c r="CU170" s="57"/>
      <c r="CV170" s="56"/>
      <c r="CW170" s="57"/>
      <c r="CX170" s="58"/>
      <c r="CY170" s="57"/>
      <c r="CZ170" s="57"/>
      <c r="DA170" s="57"/>
      <c r="DB170" s="56"/>
      <c r="DC170" s="57"/>
      <c r="DD170" s="58"/>
      <c r="DE170" s="56"/>
      <c r="DF170" s="57"/>
      <c r="DG170" s="58"/>
      <c r="DH170" s="57"/>
      <c r="DI170" s="57"/>
      <c r="DJ170" s="57"/>
      <c r="DK170" s="56"/>
      <c r="DL170" s="57"/>
      <c r="DM170" s="58"/>
      <c r="DN170" s="56"/>
      <c r="DO170" s="57"/>
      <c r="DP170" s="58"/>
      <c r="DQ170" s="56"/>
      <c r="DR170" s="57"/>
      <c r="DS170" s="58"/>
      <c r="DT170" s="146">
        <v>1.3799999999999999E-3</v>
      </c>
      <c r="DU170" s="146"/>
      <c r="DV170" s="214"/>
      <c r="DX170" s="213">
        <f>SUM(R170:DV170)</f>
        <v>1.3799999999999999E-3</v>
      </c>
      <c r="DY170" s="1"/>
      <c r="DZ170" s="1"/>
      <c r="EA170" s="1"/>
      <c r="EB170" s="1"/>
    </row>
    <row r="171" spans="4:132" s="6" customFormat="1" ht="6.95" customHeight="1">
      <c r="E171" s="83"/>
      <c r="F171" s="143"/>
      <c r="G171" s="144"/>
      <c r="H171" s="55">
        <v>2</v>
      </c>
      <c r="I171" s="83"/>
      <c r="J171" s="83"/>
      <c r="L171" s="272"/>
      <c r="M171" s="232"/>
      <c r="N171" s="303"/>
      <c r="O171" s="244"/>
      <c r="P171" s="246"/>
      <c r="Q171" s="184"/>
      <c r="R171" s="63"/>
      <c r="S171" s="42"/>
      <c r="T171" s="42"/>
      <c r="U171" s="42"/>
      <c r="V171" s="41"/>
      <c r="W171" s="42"/>
      <c r="X171" s="43"/>
      <c r="Y171" s="41"/>
      <c r="Z171" s="42"/>
      <c r="AA171" s="43"/>
      <c r="AB171" s="41"/>
      <c r="AC171" s="42"/>
      <c r="AD171" s="43"/>
      <c r="AE171" s="42"/>
      <c r="AF171" s="42"/>
      <c r="AG171" s="42"/>
      <c r="AH171" s="41"/>
      <c r="AI171" s="42"/>
      <c r="AJ171" s="43"/>
      <c r="AK171" s="42"/>
      <c r="AL171" s="42"/>
      <c r="AM171" s="42"/>
      <c r="AN171" s="41"/>
      <c r="AO171" s="42"/>
      <c r="AP171" s="43"/>
      <c r="AQ171" s="41"/>
      <c r="AR171" s="42"/>
      <c r="AS171" s="42"/>
      <c r="AT171" s="41"/>
      <c r="AU171" s="42"/>
      <c r="AV171" s="43"/>
      <c r="AW171" s="42"/>
      <c r="AX171" s="42"/>
      <c r="AY171" s="42"/>
      <c r="AZ171" s="41"/>
      <c r="BA171" s="42"/>
      <c r="BB171" s="43"/>
      <c r="BC171" s="42"/>
      <c r="BD171" s="42"/>
      <c r="BE171" s="42"/>
      <c r="BF171" s="41"/>
      <c r="BG171" s="42"/>
      <c r="BH171" s="43"/>
      <c r="BI171" s="42"/>
      <c r="BJ171" s="42"/>
      <c r="BK171" s="42"/>
      <c r="BL171" s="41"/>
      <c r="BM171" s="42"/>
      <c r="BN171" s="43"/>
      <c r="BO171" s="42"/>
      <c r="BP171" s="42"/>
      <c r="BQ171" s="42"/>
      <c r="BR171" s="67"/>
      <c r="BS171" s="42"/>
      <c r="BT171" s="68"/>
      <c r="BU171" s="42"/>
      <c r="BV171" s="42"/>
      <c r="BW171" s="42"/>
      <c r="BX171" s="41"/>
      <c r="BY171" s="42"/>
      <c r="BZ171" s="43"/>
      <c r="CA171" s="41"/>
      <c r="CB171" s="42"/>
      <c r="CC171" s="43"/>
      <c r="CD171" s="41"/>
      <c r="CE171" s="42"/>
      <c r="CF171" s="43"/>
      <c r="CG171" s="41"/>
      <c r="CH171" s="42"/>
      <c r="CI171" s="43"/>
      <c r="CJ171" s="41"/>
      <c r="CK171" s="42"/>
      <c r="CL171" s="43"/>
      <c r="CM171" s="42"/>
      <c r="CN171" s="42"/>
      <c r="CO171" s="42"/>
      <c r="CP171" s="41"/>
      <c r="CQ171" s="42"/>
      <c r="CR171" s="43"/>
      <c r="CS171" s="42"/>
      <c r="CT171" s="42"/>
      <c r="CU171" s="42"/>
      <c r="CV171" s="41"/>
      <c r="CW171" s="42"/>
      <c r="CX171" s="43"/>
      <c r="CY171" s="42"/>
      <c r="CZ171" s="42"/>
      <c r="DA171" s="42"/>
      <c r="DB171" s="41"/>
      <c r="DC171" s="42"/>
      <c r="DD171" s="43"/>
      <c r="DE171" s="41"/>
      <c r="DF171" s="42"/>
      <c r="DG171" s="43"/>
      <c r="DH171" s="42"/>
      <c r="DI171" s="42"/>
      <c r="DJ171" s="42"/>
      <c r="DK171" s="41"/>
      <c r="DL171" s="42"/>
      <c r="DM171" s="43"/>
      <c r="DN171" s="41"/>
      <c r="DO171" s="42"/>
      <c r="DP171" s="43"/>
      <c r="DQ171" s="41"/>
      <c r="DR171" s="42"/>
      <c r="DS171" s="43"/>
      <c r="DT171" s="64"/>
      <c r="DU171" s="65"/>
      <c r="DV171" s="94"/>
      <c r="DX171" s="213"/>
      <c r="DY171" s="1"/>
      <c r="DZ171" s="1"/>
      <c r="EA171" s="1"/>
      <c r="EB171" s="1"/>
    </row>
    <row r="172" spans="4:132" s="6" customFormat="1" ht="9.9499999999999993" customHeight="1">
      <c r="F172" s="143">
        <f t="shared" ref="F172" si="71">DX172</f>
        <v>9.9999999999999995E-7</v>
      </c>
      <c r="G172" s="144">
        <f>Q172-F172</f>
        <v>-9.9999999999999995E-7</v>
      </c>
      <c r="H172" s="27">
        <v>1</v>
      </c>
      <c r="L172" s="230"/>
      <c r="M172" s="238" t="s">
        <v>79</v>
      </c>
      <c r="N172" s="239">
        <v>1</v>
      </c>
      <c r="O172" s="247" t="s">
        <v>1</v>
      </c>
      <c r="P172" s="249">
        <v>152</v>
      </c>
      <c r="Q172" s="183">
        <f>ROUND(P172/$P$256,5)</f>
        <v>0</v>
      </c>
      <c r="R172" s="103"/>
      <c r="S172" s="70"/>
      <c r="T172" s="70"/>
      <c r="U172" s="70"/>
      <c r="V172" s="69"/>
      <c r="W172" s="70"/>
      <c r="X172" s="71"/>
      <c r="Y172" s="69"/>
      <c r="Z172" s="70"/>
      <c r="AA172" s="71"/>
      <c r="AB172" s="69"/>
      <c r="AC172" s="70"/>
      <c r="AD172" s="71"/>
      <c r="AE172" s="70"/>
      <c r="AF172" s="70"/>
      <c r="AG172" s="70"/>
      <c r="AH172" s="69"/>
      <c r="AI172" s="70"/>
      <c r="AJ172" s="71"/>
      <c r="AK172" s="70"/>
      <c r="AL172" s="70"/>
      <c r="AM172" s="70"/>
      <c r="AN172" s="69"/>
      <c r="AO172" s="70"/>
      <c r="AP172" s="71"/>
      <c r="AQ172" s="69"/>
      <c r="AR172" s="70"/>
      <c r="AS172" s="70"/>
      <c r="AT172" s="69"/>
      <c r="AU172" s="70"/>
      <c r="AV172" s="71"/>
      <c r="AW172" s="70"/>
      <c r="AX172" s="70"/>
      <c r="AY172" s="70"/>
      <c r="AZ172" s="69"/>
      <c r="BA172" s="70"/>
      <c r="BB172" s="71"/>
      <c r="BC172" s="70"/>
      <c r="BD172" s="70"/>
      <c r="BE172" s="70"/>
      <c r="BF172" s="69"/>
      <c r="BG172" s="70"/>
      <c r="BH172" s="71"/>
      <c r="BI172" s="70"/>
      <c r="BJ172" s="70"/>
      <c r="BK172" s="70"/>
      <c r="BL172" s="69"/>
      <c r="BM172" s="70"/>
      <c r="BN172" s="71"/>
      <c r="BO172" s="70"/>
      <c r="BP172" s="70"/>
      <c r="BQ172" s="70"/>
      <c r="BR172" s="73"/>
      <c r="BS172" s="70"/>
      <c r="BT172" s="74"/>
      <c r="BU172" s="70"/>
      <c r="BV172" s="70"/>
      <c r="BW172" s="70"/>
      <c r="BX172" s="69"/>
      <c r="BY172" s="70"/>
      <c r="BZ172" s="71"/>
      <c r="CA172" s="69"/>
      <c r="CB172" s="70"/>
      <c r="CC172" s="71"/>
      <c r="CD172" s="69"/>
      <c r="CE172" s="70"/>
      <c r="CF172" s="71"/>
      <c r="CG172" s="69"/>
      <c r="CH172" s="70"/>
      <c r="CI172" s="71"/>
      <c r="CJ172" s="69"/>
      <c r="CK172" s="70"/>
      <c r="CL172" s="71"/>
      <c r="CM172" s="70"/>
      <c r="CN172" s="70"/>
      <c r="CO172" s="70"/>
      <c r="CP172" s="69"/>
      <c r="CQ172" s="70"/>
      <c r="CR172" s="71"/>
      <c r="CS172" s="70"/>
      <c r="CT172" s="70"/>
      <c r="CU172" s="70"/>
      <c r="CV172" s="69"/>
      <c r="CW172" s="70"/>
      <c r="CX172" s="71"/>
      <c r="CY172" s="70"/>
      <c r="CZ172" s="70"/>
      <c r="DA172" s="70"/>
      <c r="DB172" s="69"/>
      <c r="DC172" s="70"/>
      <c r="DD172" s="71"/>
      <c r="DE172" s="69"/>
      <c r="DF172" s="70"/>
      <c r="DG172" s="71"/>
      <c r="DH172" s="70"/>
      <c r="DI172" s="70"/>
      <c r="DJ172" s="70"/>
      <c r="DK172" s="69"/>
      <c r="DL172" s="70"/>
      <c r="DM172" s="71"/>
      <c r="DN172" s="69"/>
      <c r="DO172" s="70"/>
      <c r="DP172" s="71"/>
      <c r="DQ172" s="69"/>
      <c r="DR172" s="70"/>
      <c r="DS172" s="71"/>
      <c r="DT172" s="150">
        <v>9.9999999999999995E-7</v>
      </c>
      <c r="DU172" s="150"/>
      <c r="DV172" s="198"/>
      <c r="DX172" s="215">
        <f>SUM(R172:DV172)</f>
        <v>9.9999999999999995E-7</v>
      </c>
      <c r="DY172" s="1"/>
      <c r="DZ172" s="1"/>
      <c r="EA172" s="1"/>
      <c r="EB172" s="1"/>
    </row>
    <row r="173" spans="4:132" s="6" customFormat="1" ht="6.95" customHeight="1">
      <c r="F173" s="143"/>
      <c r="G173" s="144"/>
      <c r="H173" s="55">
        <v>2</v>
      </c>
      <c r="L173" s="230"/>
      <c r="M173" s="238"/>
      <c r="N173" s="239"/>
      <c r="O173" s="240"/>
      <c r="P173" s="249"/>
      <c r="Q173" s="184"/>
      <c r="R173" s="76"/>
      <c r="S173" s="70"/>
      <c r="T173" s="70"/>
      <c r="U173" s="70"/>
      <c r="V173" s="69"/>
      <c r="W173" s="70"/>
      <c r="X173" s="71"/>
      <c r="Y173" s="69"/>
      <c r="Z173" s="70"/>
      <c r="AA173" s="71"/>
      <c r="AB173" s="69"/>
      <c r="AC173" s="70"/>
      <c r="AD173" s="71"/>
      <c r="AE173" s="70"/>
      <c r="AF173" s="70"/>
      <c r="AG173" s="70"/>
      <c r="AH173" s="69"/>
      <c r="AI173" s="70"/>
      <c r="AJ173" s="71"/>
      <c r="AK173" s="70"/>
      <c r="AL173" s="70"/>
      <c r="AM173" s="70"/>
      <c r="AN173" s="69"/>
      <c r="AO173" s="70"/>
      <c r="AP173" s="71"/>
      <c r="AQ173" s="69"/>
      <c r="AR173" s="70"/>
      <c r="AS173" s="70"/>
      <c r="AT173" s="69"/>
      <c r="AU173" s="70"/>
      <c r="AV173" s="71"/>
      <c r="AW173" s="70"/>
      <c r="AX173" s="70"/>
      <c r="AY173" s="70"/>
      <c r="AZ173" s="69"/>
      <c r="BA173" s="70"/>
      <c r="BB173" s="71"/>
      <c r="BC173" s="70"/>
      <c r="BD173" s="70"/>
      <c r="BE173" s="70"/>
      <c r="BF173" s="69"/>
      <c r="BG173" s="70"/>
      <c r="BH173" s="71"/>
      <c r="BI173" s="70"/>
      <c r="BJ173" s="70"/>
      <c r="BK173" s="70"/>
      <c r="BL173" s="69"/>
      <c r="BM173" s="70"/>
      <c r="BN173" s="71"/>
      <c r="BO173" s="70"/>
      <c r="BP173" s="70"/>
      <c r="BQ173" s="70"/>
      <c r="BR173" s="73"/>
      <c r="BS173" s="70"/>
      <c r="BT173" s="74"/>
      <c r="BU173" s="70"/>
      <c r="BV173" s="70"/>
      <c r="BW173" s="70"/>
      <c r="BX173" s="69"/>
      <c r="BY173" s="70"/>
      <c r="BZ173" s="71"/>
      <c r="CA173" s="69"/>
      <c r="CB173" s="70"/>
      <c r="CC173" s="71"/>
      <c r="CD173" s="69"/>
      <c r="CE173" s="70"/>
      <c r="CF173" s="71"/>
      <c r="CG173" s="69"/>
      <c r="CH173" s="70"/>
      <c r="CI173" s="71"/>
      <c r="CJ173" s="69"/>
      <c r="CK173" s="70"/>
      <c r="CL173" s="71"/>
      <c r="CM173" s="70"/>
      <c r="CN173" s="70"/>
      <c r="CO173" s="70"/>
      <c r="CP173" s="69"/>
      <c r="CQ173" s="70"/>
      <c r="CR173" s="71"/>
      <c r="CS173" s="70"/>
      <c r="CT173" s="70"/>
      <c r="CU173" s="70"/>
      <c r="CV173" s="69"/>
      <c r="CW173" s="70"/>
      <c r="CX173" s="71"/>
      <c r="CY173" s="70"/>
      <c r="CZ173" s="70"/>
      <c r="DA173" s="70"/>
      <c r="DB173" s="69"/>
      <c r="DC173" s="70"/>
      <c r="DD173" s="71"/>
      <c r="DE173" s="69"/>
      <c r="DF173" s="70"/>
      <c r="DG173" s="71"/>
      <c r="DH173" s="70"/>
      <c r="DI173" s="70"/>
      <c r="DJ173" s="70"/>
      <c r="DK173" s="69"/>
      <c r="DL173" s="70"/>
      <c r="DM173" s="71"/>
      <c r="DN173" s="69"/>
      <c r="DO173" s="70"/>
      <c r="DP173" s="71"/>
      <c r="DQ173" s="69"/>
      <c r="DR173" s="70"/>
      <c r="DS173" s="71"/>
      <c r="DT173" s="64"/>
      <c r="DU173" s="65"/>
      <c r="DV173" s="94"/>
      <c r="DX173" s="215"/>
      <c r="DY173" s="1"/>
      <c r="DZ173" s="1"/>
      <c r="EA173" s="1"/>
      <c r="EB173" s="1"/>
    </row>
    <row r="174" spans="4:132" s="6" customFormat="1" ht="9.9499999999999993" customHeight="1">
      <c r="F174" s="143">
        <f t="shared" ref="F174" si="72">DX174</f>
        <v>1.4300000000000011E-3</v>
      </c>
      <c r="G174" s="144">
        <f>Q174-F174</f>
        <v>0</v>
      </c>
      <c r="H174" s="27">
        <v>1</v>
      </c>
      <c r="L174" s="271"/>
      <c r="M174" s="231" t="s">
        <v>153</v>
      </c>
      <c r="N174" s="254">
        <v>1</v>
      </c>
      <c r="O174" s="297" t="s">
        <v>1</v>
      </c>
      <c r="P174" s="245">
        <v>297762</v>
      </c>
      <c r="Q174" s="183">
        <f>ROUND(P174/$P$256,5)</f>
        <v>1.4300000000000001E-3</v>
      </c>
      <c r="R174" s="21"/>
      <c r="S174" s="149">
        <v>1.1E-4</v>
      </c>
      <c r="T174" s="146"/>
      <c r="U174" s="146"/>
      <c r="V174" s="149">
        <v>4.0000000000000003E-5</v>
      </c>
      <c r="W174" s="146"/>
      <c r="X174" s="146"/>
      <c r="Y174" s="149">
        <v>4.0000000000000003E-5</v>
      </c>
      <c r="Z174" s="146"/>
      <c r="AA174" s="146"/>
      <c r="AB174" s="149">
        <v>4.0000000000000003E-5</v>
      </c>
      <c r="AC174" s="146"/>
      <c r="AD174" s="146"/>
      <c r="AE174" s="149">
        <v>4.0000000000000003E-5</v>
      </c>
      <c r="AF174" s="146"/>
      <c r="AG174" s="146"/>
      <c r="AH174" s="149">
        <v>4.0000000000000003E-5</v>
      </c>
      <c r="AI174" s="146"/>
      <c r="AJ174" s="146"/>
      <c r="AK174" s="149">
        <v>4.0000000000000003E-5</v>
      </c>
      <c r="AL174" s="146"/>
      <c r="AM174" s="146"/>
      <c r="AN174" s="149">
        <v>4.0000000000000003E-5</v>
      </c>
      <c r="AO174" s="146"/>
      <c r="AP174" s="146"/>
      <c r="AQ174" s="149">
        <v>4.0000000000000003E-5</v>
      </c>
      <c r="AR174" s="146"/>
      <c r="AS174" s="146"/>
      <c r="AT174" s="149">
        <v>4.0000000000000003E-5</v>
      </c>
      <c r="AU174" s="146"/>
      <c r="AV174" s="146"/>
      <c r="AW174" s="149">
        <v>4.0000000000000003E-5</v>
      </c>
      <c r="AX174" s="146"/>
      <c r="AY174" s="146"/>
      <c r="AZ174" s="149">
        <v>4.0000000000000003E-5</v>
      </c>
      <c r="BA174" s="146"/>
      <c r="BB174" s="146"/>
      <c r="BC174" s="149">
        <v>4.0000000000000003E-5</v>
      </c>
      <c r="BD174" s="146"/>
      <c r="BE174" s="146"/>
      <c r="BF174" s="149">
        <v>4.0000000000000003E-5</v>
      </c>
      <c r="BG174" s="146"/>
      <c r="BH174" s="146"/>
      <c r="BI174" s="149">
        <v>4.0000000000000003E-5</v>
      </c>
      <c r="BJ174" s="146"/>
      <c r="BK174" s="146"/>
      <c r="BL174" s="149">
        <v>4.0000000000000003E-5</v>
      </c>
      <c r="BM174" s="146"/>
      <c r="BN174" s="146"/>
      <c r="BO174" s="149">
        <v>4.0000000000000003E-5</v>
      </c>
      <c r="BP174" s="146"/>
      <c r="BQ174" s="147"/>
      <c r="BR174" s="168">
        <v>4.0000000000000003E-5</v>
      </c>
      <c r="BS174" s="146"/>
      <c r="BT174" s="169"/>
      <c r="BU174" s="149">
        <v>4.0000000000000003E-5</v>
      </c>
      <c r="BV174" s="146"/>
      <c r="BW174" s="146"/>
      <c r="BX174" s="149">
        <v>4.0000000000000003E-5</v>
      </c>
      <c r="BY174" s="146"/>
      <c r="BZ174" s="146"/>
      <c r="CA174" s="149">
        <v>4.0000000000000003E-5</v>
      </c>
      <c r="CB174" s="146"/>
      <c r="CC174" s="146"/>
      <c r="CD174" s="149">
        <v>4.0000000000000003E-5</v>
      </c>
      <c r="CE174" s="146"/>
      <c r="CF174" s="146"/>
      <c r="CG174" s="149">
        <v>4.0000000000000003E-5</v>
      </c>
      <c r="CH174" s="146"/>
      <c r="CI174" s="146"/>
      <c r="CJ174" s="149">
        <v>4.0000000000000003E-5</v>
      </c>
      <c r="CK174" s="146"/>
      <c r="CL174" s="146"/>
      <c r="CM174" s="149">
        <v>4.0000000000000003E-5</v>
      </c>
      <c r="CN174" s="146"/>
      <c r="CO174" s="146"/>
      <c r="CP174" s="149">
        <v>4.0000000000000003E-5</v>
      </c>
      <c r="CQ174" s="146"/>
      <c r="CR174" s="146"/>
      <c r="CS174" s="149">
        <v>4.0000000000000003E-5</v>
      </c>
      <c r="CT174" s="146"/>
      <c r="CU174" s="146"/>
      <c r="CV174" s="149">
        <v>4.0000000000000003E-5</v>
      </c>
      <c r="CW174" s="146"/>
      <c r="CX174" s="146"/>
      <c r="CY174" s="149">
        <v>4.0000000000000003E-5</v>
      </c>
      <c r="CZ174" s="146"/>
      <c r="DA174" s="146"/>
      <c r="DB174" s="149">
        <v>4.0000000000000003E-5</v>
      </c>
      <c r="DC174" s="146"/>
      <c r="DD174" s="146"/>
      <c r="DE174" s="149">
        <v>4.0000000000000003E-5</v>
      </c>
      <c r="DF174" s="146"/>
      <c r="DG174" s="146"/>
      <c r="DH174" s="149">
        <v>4.0000000000000003E-5</v>
      </c>
      <c r="DI174" s="146"/>
      <c r="DJ174" s="146"/>
      <c r="DK174" s="149">
        <v>4.0000000000000003E-5</v>
      </c>
      <c r="DL174" s="146"/>
      <c r="DM174" s="146"/>
      <c r="DN174" s="149">
        <v>4.0000000000000003E-5</v>
      </c>
      <c r="DO174" s="146"/>
      <c r="DP174" s="146"/>
      <c r="DQ174" s="149"/>
      <c r="DR174" s="146"/>
      <c r="DS174" s="146"/>
      <c r="DT174" s="149"/>
      <c r="DU174" s="146"/>
      <c r="DV174" s="214"/>
      <c r="DX174" s="213">
        <f>SUM(R174:DV174)</f>
        <v>1.4300000000000011E-3</v>
      </c>
      <c r="DY174" s="1"/>
      <c r="DZ174" s="1"/>
      <c r="EA174" s="1"/>
      <c r="EB174" s="1"/>
    </row>
    <row r="175" spans="4:132" s="6" customFormat="1" ht="6.95" customHeight="1">
      <c r="F175" s="143"/>
      <c r="G175" s="144"/>
      <c r="H175" s="55">
        <v>2</v>
      </c>
      <c r="L175" s="272"/>
      <c r="M175" s="232"/>
      <c r="N175" s="255"/>
      <c r="O175" s="244"/>
      <c r="P175" s="246"/>
      <c r="Q175" s="184"/>
      <c r="R175" s="93"/>
      <c r="S175" s="64"/>
      <c r="T175" s="65"/>
      <c r="U175" s="66"/>
      <c r="V175" s="64"/>
      <c r="W175" s="65"/>
      <c r="X175" s="66"/>
      <c r="Y175" s="64"/>
      <c r="Z175" s="65"/>
      <c r="AA175" s="66"/>
      <c r="AB175" s="64"/>
      <c r="AC175" s="65"/>
      <c r="AD175" s="66"/>
      <c r="AE175" s="64"/>
      <c r="AF175" s="65"/>
      <c r="AG175" s="66"/>
      <c r="AH175" s="64"/>
      <c r="AI175" s="65"/>
      <c r="AJ175" s="66"/>
      <c r="AK175" s="64"/>
      <c r="AL175" s="65"/>
      <c r="AM175" s="66"/>
      <c r="AN175" s="64"/>
      <c r="AO175" s="65"/>
      <c r="AP175" s="66"/>
      <c r="AQ175" s="64"/>
      <c r="AR175" s="65"/>
      <c r="AS175" s="66"/>
      <c r="AT175" s="64"/>
      <c r="AU175" s="65"/>
      <c r="AV175" s="66"/>
      <c r="AW175" s="64"/>
      <c r="AX175" s="65"/>
      <c r="AY175" s="66"/>
      <c r="AZ175" s="64"/>
      <c r="BA175" s="65"/>
      <c r="BB175" s="66"/>
      <c r="BC175" s="64"/>
      <c r="BD175" s="65"/>
      <c r="BE175" s="66"/>
      <c r="BF175" s="64"/>
      <c r="BG175" s="65"/>
      <c r="BH175" s="66"/>
      <c r="BI175" s="64"/>
      <c r="BJ175" s="65"/>
      <c r="BK175" s="66"/>
      <c r="BL175" s="64"/>
      <c r="BM175" s="65"/>
      <c r="BN175" s="66"/>
      <c r="BO175" s="64"/>
      <c r="BP175" s="65"/>
      <c r="BQ175" s="66"/>
      <c r="BR175" s="64"/>
      <c r="BS175" s="65"/>
      <c r="BT175" s="66"/>
      <c r="BU175" s="64"/>
      <c r="BV175" s="65"/>
      <c r="BW175" s="66"/>
      <c r="BX175" s="64"/>
      <c r="BY175" s="65"/>
      <c r="BZ175" s="66"/>
      <c r="CA175" s="64"/>
      <c r="CB175" s="65"/>
      <c r="CC175" s="66"/>
      <c r="CD175" s="64"/>
      <c r="CE175" s="65"/>
      <c r="CF175" s="66"/>
      <c r="CG175" s="64"/>
      <c r="CH175" s="65"/>
      <c r="CI175" s="66"/>
      <c r="CJ175" s="64"/>
      <c r="CK175" s="65"/>
      <c r="CL175" s="66"/>
      <c r="CM175" s="64"/>
      <c r="CN175" s="65"/>
      <c r="CO175" s="66"/>
      <c r="CP175" s="64"/>
      <c r="CQ175" s="65"/>
      <c r="CR175" s="66"/>
      <c r="CS175" s="64"/>
      <c r="CT175" s="65"/>
      <c r="CU175" s="66"/>
      <c r="CV175" s="64"/>
      <c r="CW175" s="65"/>
      <c r="CX175" s="66"/>
      <c r="CY175" s="64"/>
      <c r="CZ175" s="65"/>
      <c r="DA175" s="66"/>
      <c r="DB175" s="64"/>
      <c r="DC175" s="65"/>
      <c r="DD175" s="66"/>
      <c r="DE175" s="64"/>
      <c r="DF175" s="65"/>
      <c r="DG175" s="66"/>
      <c r="DH175" s="64"/>
      <c r="DI175" s="65"/>
      <c r="DJ175" s="66"/>
      <c r="DK175" s="64"/>
      <c r="DL175" s="65"/>
      <c r="DM175" s="66"/>
      <c r="DN175" s="64"/>
      <c r="DO175" s="65"/>
      <c r="DP175" s="66"/>
      <c r="DQ175" s="41"/>
      <c r="DR175" s="42"/>
      <c r="DS175" s="43"/>
      <c r="DT175" s="41"/>
      <c r="DU175" s="42"/>
      <c r="DV175" s="44"/>
      <c r="DX175" s="213"/>
      <c r="DY175" s="1"/>
      <c r="DZ175" s="1"/>
      <c r="EA175" s="1"/>
      <c r="EB175" s="1"/>
    </row>
    <row r="176" spans="4:132" s="6" customFormat="1" ht="9.9499999999999993" customHeight="1">
      <c r="F176" s="143">
        <f t="shared" ref="F176" si="73">DX176</f>
        <v>1.01E-3</v>
      </c>
      <c r="G176" s="144">
        <f>Q176-F176</f>
        <v>0</v>
      </c>
      <c r="H176" s="27">
        <v>1</v>
      </c>
      <c r="L176" s="230"/>
      <c r="M176" s="238" t="s">
        <v>52</v>
      </c>
      <c r="N176" s="239">
        <v>1</v>
      </c>
      <c r="O176" s="247" t="s">
        <v>1</v>
      </c>
      <c r="P176" s="249">
        <v>211201</v>
      </c>
      <c r="Q176" s="183">
        <f>ROUND(P176/$P$256,5)</f>
        <v>1.01E-3</v>
      </c>
      <c r="R176" s="76"/>
      <c r="S176" s="70"/>
      <c r="T176" s="70"/>
      <c r="U176" s="71"/>
      <c r="V176" s="69"/>
      <c r="W176" s="70"/>
      <c r="X176" s="71"/>
      <c r="Y176" s="69"/>
      <c r="Z176" s="70"/>
      <c r="AA176" s="71"/>
      <c r="AB176" s="69"/>
      <c r="AC176" s="70"/>
      <c r="AD176" s="71"/>
      <c r="AE176" s="69"/>
      <c r="AF176" s="70"/>
      <c r="AG176" s="71"/>
      <c r="AH176" s="69"/>
      <c r="AI176" s="70"/>
      <c r="AJ176" s="71"/>
      <c r="AK176" s="69"/>
      <c r="AL176" s="70"/>
      <c r="AM176" s="71"/>
      <c r="AN176" s="69"/>
      <c r="AO176" s="70"/>
      <c r="AP176" s="71"/>
      <c r="AQ176" s="69"/>
      <c r="AR176" s="70"/>
      <c r="AS176" s="70"/>
      <c r="AT176" s="69"/>
      <c r="AU176" s="70"/>
      <c r="AV176" s="71"/>
      <c r="AW176" s="69"/>
      <c r="AX176" s="70"/>
      <c r="AY176" s="71"/>
      <c r="AZ176" s="69"/>
      <c r="BA176" s="70"/>
      <c r="BB176" s="71"/>
      <c r="BC176" s="69"/>
      <c r="BD176" s="70"/>
      <c r="BE176" s="71"/>
      <c r="BF176" s="69"/>
      <c r="BG176" s="70"/>
      <c r="BH176" s="71"/>
      <c r="BI176" s="69"/>
      <c r="BJ176" s="70"/>
      <c r="BK176" s="71"/>
      <c r="BL176" s="69"/>
      <c r="BM176" s="70"/>
      <c r="BN176" s="71"/>
      <c r="BO176" s="69"/>
      <c r="BP176" s="70"/>
      <c r="BQ176" s="70"/>
      <c r="BR176" s="73"/>
      <c r="BS176" s="70"/>
      <c r="BT176" s="74"/>
      <c r="BU176" s="70"/>
      <c r="BV176" s="70"/>
      <c r="BW176" s="71"/>
      <c r="BX176" s="69"/>
      <c r="BY176" s="70"/>
      <c r="BZ176" s="71"/>
      <c r="CA176" s="69"/>
      <c r="CB176" s="70"/>
      <c r="CC176" s="71"/>
      <c r="CD176" s="69"/>
      <c r="CE176" s="70"/>
      <c r="CF176" s="71"/>
      <c r="CG176" s="69"/>
      <c r="CH176" s="70"/>
      <c r="CI176" s="71"/>
      <c r="CJ176" s="69"/>
      <c r="CK176" s="70"/>
      <c r="CL176" s="71"/>
      <c r="CM176" s="165"/>
      <c r="CN176" s="150"/>
      <c r="CO176" s="150"/>
      <c r="CP176" s="165"/>
      <c r="CQ176" s="150"/>
      <c r="CR176" s="150"/>
      <c r="CS176" s="165"/>
      <c r="CT176" s="150"/>
      <c r="CU176" s="150"/>
      <c r="CV176" s="165"/>
      <c r="CW176" s="150"/>
      <c r="CX176" s="150"/>
      <c r="CY176" s="147">
        <v>1.1E-4</v>
      </c>
      <c r="CZ176" s="148"/>
      <c r="DA176" s="149"/>
      <c r="DB176" s="147">
        <v>2.2000000000000001E-4</v>
      </c>
      <c r="DC176" s="148"/>
      <c r="DD176" s="149"/>
      <c r="DE176" s="147">
        <v>2.2000000000000001E-4</v>
      </c>
      <c r="DF176" s="148"/>
      <c r="DG176" s="149"/>
      <c r="DH176" s="147">
        <v>2.2000000000000001E-4</v>
      </c>
      <c r="DI176" s="148"/>
      <c r="DJ176" s="149"/>
      <c r="DK176" s="147">
        <v>1.2E-4</v>
      </c>
      <c r="DL176" s="148"/>
      <c r="DM176" s="149"/>
      <c r="DN176" s="165">
        <v>1.2E-4</v>
      </c>
      <c r="DO176" s="150"/>
      <c r="DP176" s="150"/>
      <c r="DQ176" s="165"/>
      <c r="DR176" s="150"/>
      <c r="DS176" s="150"/>
      <c r="DT176" s="69"/>
      <c r="DU176" s="70"/>
      <c r="DV176" s="75"/>
      <c r="DX176" s="213">
        <f>SUM(R176:DV176)</f>
        <v>1.01E-3</v>
      </c>
      <c r="DY176" s="1"/>
      <c r="DZ176" s="1"/>
      <c r="EA176" s="1"/>
      <c r="EB176" s="1"/>
    </row>
    <row r="177" spans="5:132" s="6" customFormat="1" ht="6.95" customHeight="1" thickBot="1">
      <c r="F177" s="143"/>
      <c r="G177" s="144"/>
      <c r="H177" s="55">
        <v>2</v>
      </c>
      <c r="L177" s="230"/>
      <c r="M177" s="238"/>
      <c r="N177" s="239"/>
      <c r="O177" s="240"/>
      <c r="P177" s="249"/>
      <c r="Q177" s="184"/>
      <c r="R177" s="85"/>
      <c r="S177" s="70"/>
      <c r="T177" s="70"/>
      <c r="U177" s="71"/>
      <c r="V177" s="69"/>
      <c r="W177" s="70"/>
      <c r="X177" s="71"/>
      <c r="Y177" s="69"/>
      <c r="Z177" s="70"/>
      <c r="AA177" s="71"/>
      <c r="AB177" s="69"/>
      <c r="AC177" s="70"/>
      <c r="AD177" s="71"/>
      <c r="AE177" s="69"/>
      <c r="AF177" s="70"/>
      <c r="AG177" s="71"/>
      <c r="AH177" s="69"/>
      <c r="AI177" s="70"/>
      <c r="AJ177" s="71"/>
      <c r="AK177" s="69"/>
      <c r="AL177" s="70"/>
      <c r="AM177" s="71"/>
      <c r="AN177" s="69"/>
      <c r="AO177" s="70"/>
      <c r="AP177" s="71"/>
      <c r="AQ177" s="69"/>
      <c r="AR177" s="70"/>
      <c r="AS177" s="70"/>
      <c r="AT177" s="69"/>
      <c r="AU177" s="70"/>
      <c r="AV177" s="71"/>
      <c r="AW177" s="69"/>
      <c r="AX177" s="70"/>
      <c r="AY177" s="71"/>
      <c r="AZ177" s="69"/>
      <c r="BA177" s="70"/>
      <c r="BB177" s="71"/>
      <c r="BC177" s="69"/>
      <c r="BD177" s="70"/>
      <c r="BE177" s="71"/>
      <c r="BF177" s="69"/>
      <c r="BG177" s="70"/>
      <c r="BH177" s="71"/>
      <c r="BI177" s="69"/>
      <c r="BJ177" s="70"/>
      <c r="BK177" s="71"/>
      <c r="BL177" s="69"/>
      <c r="BM177" s="70"/>
      <c r="BN177" s="71"/>
      <c r="BO177" s="69"/>
      <c r="BP177" s="70"/>
      <c r="BQ177" s="70"/>
      <c r="BR177" s="73"/>
      <c r="BS177" s="70"/>
      <c r="BT177" s="74"/>
      <c r="BU177" s="70"/>
      <c r="BV177" s="70"/>
      <c r="BW177" s="71"/>
      <c r="BX177" s="69"/>
      <c r="BY177" s="70"/>
      <c r="BZ177" s="71"/>
      <c r="CA177" s="69"/>
      <c r="CB177" s="70"/>
      <c r="CC177" s="71"/>
      <c r="CD177" s="69"/>
      <c r="CE177" s="70"/>
      <c r="CF177" s="71"/>
      <c r="CG177" s="69"/>
      <c r="CH177" s="70"/>
      <c r="CI177" s="71"/>
      <c r="CJ177" s="69"/>
      <c r="CK177" s="70"/>
      <c r="CL177" s="71"/>
      <c r="CM177" s="69"/>
      <c r="CN177" s="70"/>
      <c r="CO177" s="71"/>
      <c r="CP177" s="69"/>
      <c r="CQ177" s="70"/>
      <c r="CR177" s="71"/>
      <c r="CS177" s="69"/>
      <c r="CT177" s="70"/>
      <c r="CU177" s="71"/>
      <c r="CV177" s="69"/>
      <c r="CW177" s="70"/>
      <c r="CX177" s="71"/>
      <c r="CY177" s="64"/>
      <c r="CZ177" s="65"/>
      <c r="DA177" s="66"/>
      <c r="DB177" s="64"/>
      <c r="DC177" s="65"/>
      <c r="DD177" s="66"/>
      <c r="DE177" s="64"/>
      <c r="DF177" s="65"/>
      <c r="DG177" s="66"/>
      <c r="DH177" s="64"/>
      <c r="DI177" s="65"/>
      <c r="DJ177" s="66"/>
      <c r="DK177" s="64"/>
      <c r="DL177" s="65"/>
      <c r="DM177" s="66"/>
      <c r="DN177" s="64"/>
      <c r="DO177" s="65"/>
      <c r="DP177" s="66"/>
      <c r="DQ177" s="69"/>
      <c r="DR177" s="70"/>
      <c r="DS177" s="71"/>
      <c r="DT177" s="69"/>
      <c r="DU177" s="70"/>
      <c r="DV177" s="75"/>
      <c r="DX177" s="213"/>
      <c r="DY177" s="1"/>
      <c r="DZ177" s="1"/>
      <c r="EA177" s="1"/>
      <c r="EB177" s="1"/>
    </row>
    <row r="178" spans="5:132" s="6" customFormat="1" ht="9.9499999999999993" customHeight="1">
      <c r="F178" s="141">
        <f t="shared" ref="F178" si="74">DX178</f>
        <v>6.6700000000000006E-3</v>
      </c>
      <c r="G178" s="142">
        <f>Q178-F178</f>
        <v>0</v>
      </c>
      <c r="H178" s="27">
        <v>1</v>
      </c>
      <c r="L178" s="224" t="s">
        <v>81</v>
      </c>
      <c r="M178" s="225"/>
      <c r="N178" s="225"/>
      <c r="O178" s="226"/>
      <c r="P178" s="187">
        <f>SUM(P180:P185)</f>
        <v>1388434</v>
      </c>
      <c r="Q178" s="185">
        <f>ROUND(SUM(Q180:Q185),5)</f>
        <v>6.6699999999999997E-3</v>
      </c>
      <c r="R178" s="185">
        <f>ROUND(SUM(R180:R185),5)</f>
        <v>0</v>
      </c>
      <c r="S178" s="160">
        <f>ROUND(SUM(S180:U185),5)</f>
        <v>0</v>
      </c>
      <c r="T178" s="160"/>
      <c r="U178" s="161"/>
      <c r="V178" s="159">
        <f>ROUND(SUM(V180:X185),5)</f>
        <v>0</v>
      </c>
      <c r="W178" s="160"/>
      <c r="X178" s="161"/>
      <c r="Y178" s="159">
        <f>ROUND(SUM(Y180:AA185),5)</f>
        <v>0</v>
      </c>
      <c r="Z178" s="160"/>
      <c r="AA178" s="161"/>
      <c r="AB178" s="159">
        <f>ROUND(SUM(AB180:AD185),5)</f>
        <v>0</v>
      </c>
      <c r="AC178" s="160"/>
      <c r="AD178" s="161"/>
      <c r="AE178" s="159">
        <f>ROUND(SUM(AE180:AG185),5)</f>
        <v>0</v>
      </c>
      <c r="AF178" s="160"/>
      <c r="AG178" s="161"/>
      <c r="AH178" s="159">
        <f>ROUND(SUM(AH180:AJ185),5)</f>
        <v>0</v>
      </c>
      <c r="AI178" s="160"/>
      <c r="AJ178" s="161"/>
      <c r="AK178" s="159">
        <f>ROUND(SUM(AK180:AM185),5)</f>
        <v>0</v>
      </c>
      <c r="AL178" s="160"/>
      <c r="AM178" s="161"/>
      <c r="AN178" s="159">
        <f>ROUND(SUM(AN180:AP185),5)</f>
        <v>0</v>
      </c>
      <c r="AO178" s="160"/>
      <c r="AP178" s="161"/>
      <c r="AQ178" s="159">
        <f>ROUND(SUM(AQ180:AS185),5)</f>
        <v>0</v>
      </c>
      <c r="AR178" s="160"/>
      <c r="AS178" s="161"/>
      <c r="AT178" s="159">
        <f>ROUND(SUM(AT180:AV185),5)</f>
        <v>0</v>
      </c>
      <c r="AU178" s="160"/>
      <c r="AV178" s="161"/>
      <c r="AW178" s="159">
        <f>ROUND(SUM(AW180:AY185),5)</f>
        <v>0</v>
      </c>
      <c r="AX178" s="160"/>
      <c r="AY178" s="161"/>
      <c r="AZ178" s="159">
        <f>ROUND(SUM(AZ180:BB185),5)</f>
        <v>0</v>
      </c>
      <c r="BA178" s="160"/>
      <c r="BB178" s="161"/>
      <c r="BC178" s="159">
        <f>ROUND(SUM(BC180:BE185),5)</f>
        <v>0</v>
      </c>
      <c r="BD178" s="160"/>
      <c r="BE178" s="161"/>
      <c r="BF178" s="159">
        <f>ROUND(SUM(BF180:BH185),5)</f>
        <v>0</v>
      </c>
      <c r="BG178" s="160"/>
      <c r="BH178" s="161"/>
      <c r="BI178" s="159">
        <f>ROUND(SUM(BI180:BK185),5)</f>
        <v>0</v>
      </c>
      <c r="BJ178" s="160"/>
      <c r="BK178" s="161"/>
      <c r="BL178" s="159">
        <f>ROUND(SUM(BL180:BN185),5)</f>
        <v>0</v>
      </c>
      <c r="BM178" s="160"/>
      <c r="BN178" s="161"/>
      <c r="BO178" s="159">
        <f>ROUND(SUM(BO180:BQ185),5)</f>
        <v>0</v>
      </c>
      <c r="BP178" s="160"/>
      <c r="BQ178" s="160"/>
      <c r="BR178" s="176">
        <f>ROUND(SUM(BR180:BT185),5)</f>
        <v>0</v>
      </c>
      <c r="BS178" s="160"/>
      <c r="BT178" s="177"/>
      <c r="BU178" s="160">
        <f>ROUND(SUM(BU180:BW185),5)</f>
        <v>0</v>
      </c>
      <c r="BV178" s="160"/>
      <c r="BW178" s="161"/>
      <c r="BX178" s="159">
        <f>ROUND(SUM(BX180:BZ185),5)</f>
        <v>0</v>
      </c>
      <c r="BY178" s="160"/>
      <c r="BZ178" s="161"/>
      <c r="CA178" s="159">
        <f>ROUND(SUM(CA180:CC185),5)</f>
        <v>8.0999999999999996E-4</v>
      </c>
      <c r="CB178" s="160"/>
      <c r="CC178" s="161"/>
      <c r="CD178" s="159">
        <f>ROUND(SUM(CD180:CF185),5)</f>
        <v>1E-3</v>
      </c>
      <c r="CE178" s="160"/>
      <c r="CF178" s="161"/>
      <c r="CG178" s="159">
        <f>ROUND(SUM(CG180:CI185),5)</f>
        <v>1E-3</v>
      </c>
      <c r="CH178" s="160"/>
      <c r="CI178" s="161"/>
      <c r="CJ178" s="159">
        <f>ROUND(SUM(CJ180:CL185),5)</f>
        <v>1E-3</v>
      </c>
      <c r="CK178" s="160"/>
      <c r="CL178" s="161"/>
      <c r="CM178" s="159">
        <f>ROUND(SUM(CM180:CO185),5)</f>
        <v>1.5100000000000001E-3</v>
      </c>
      <c r="CN178" s="160"/>
      <c r="CO178" s="161"/>
      <c r="CP178" s="159">
        <f>ROUND(SUM(CP180:CR185),5)</f>
        <v>1.3500000000000001E-3</v>
      </c>
      <c r="CQ178" s="160"/>
      <c r="CR178" s="161"/>
      <c r="CS178" s="159">
        <f>ROUND(SUM(CS180:CU185),5)</f>
        <v>0</v>
      </c>
      <c r="CT178" s="160"/>
      <c r="CU178" s="161"/>
      <c r="CV178" s="159">
        <f>ROUND(SUM(CV180:CX185),5)</f>
        <v>0</v>
      </c>
      <c r="CW178" s="160"/>
      <c r="CX178" s="161"/>
      <c r="CY178" s="159">
        <f>ROUND(SUM(CY180:DA185),5)</f>
        <v>0</v>
      </c>
      <c r="CZ178" s="160"/>
      <c r="DA178" s="161"/>
      <c r="DB178" s="159">
        <f>ROUND(SUM(DB180:DD185),5)</f>
        <v>0</v>
      </c>
      <c r="DC178" s="160"/>
      <c r="DD178" s="161"/>
      <c r="DE178" s="159">
        <f>ROUND(SUM(DE180:DG185),5)</f>
        <v>0</v>
      </c>
      <c r="DF178" s="160"/>
      <c r="DG178" s="161"/>
      <c r="DH178" s="159">
        <f>ROUND(SUM(DH180:DJ185),5)</f>
        <v>0</v>
      </c>
      <c r="DI178" s="160"/>
      <c r="DJ178" s="161"/>
      <c r="DK178" s="159">
        <f>ROUND(SUM(DK180:DM185),5)</f>
        <v>0</v>
      </c>
      <c r="DL178" s="160"/>
      <c r="DM178" s="161"/>
      <c r="DN178" s="159">
        <f>ROUND(SUM(DN180:DP185),5)</f>
        <v>0</v>
      </c>
      <c r="DO178" s="160"/>
      <c r="DP178" s="161"/>
      <c r="DQ178" s="159">
        <f>ROUND(SUM(DQ180:DS185),5)</f>
        <v>0</v>
      </c>
      <c r="DR178" s="160"/>
      <c r="DS178" s="161"/>
      <c r="DT178" s="159">
        <f>ROUND(SUM(DT180:DV185),5)</f>
        <v>0</v>
      </c>
      <c r="DU178" s="160"/>
      <c r="DV178" s="170"/>
      <c r="DX178" s="145">
        <f>SUM(R178:DV178)</f>
        <v>6.6700000000000006E-3</v>
      </c>
      <c r="DY178" s="145">
        <f>SUM(DX180:DX185)</f>
        <v>6.6700000000000006E-3</v>
      </c>
      <c r="DZ178" s="1"/>
      <c r="EA178" s="1"/>
      <c r="EB178" s="1"/>
    </row>
    <row r="179" spans="5:132" s="6" customFormat="1" ht="9.9499999999999993" customHeight="1">
      <c r="F179" s="141"/>
      <c r="G179" s="142"/>
      <c r="H179" s="55">
        <v>2</v>
      </c>
      <c r="L179" s="227"/>
      <c r="M179" s="228"/>
      <c r="N179" s="228"/>
      <c r="O179" s="229"/>
      <c r="P179" s="188"/>
      <c r="Q179" s="186"/>
      <c r="R179" s="186"/>
      <c r="S179" s="163"/>
      <c r="T179" s="163"/>
      <c r="U179" s="164"/>
      <c r="V179" s="162"/>
      <c r="W179" s="163"/>
      <c r="X179" s="164"/>
      <c r="Y179" s="162"/>
      <c r="Z179" s="163"/>
      <c r="AA179" s="164"/>
      <c r="AB179" s="162"/>
      <c r="AC179" s="163"/>
      <c r="AD179" s="164"/>
      <c r="AE179" s="162"/>
      <c r="AF179" s="163"/>
      <c r="AG179" s="164"/>
      <c r="AH179" s="162"/>
      <c r="AI179" s="163"/>
      <c r="AJ179" s="164"/>
      <c r="AK179" s="162"/>
      <c r="AL179" s="163"/>
      <c r="AM179" s="164"/>
      <c r="AN179" s="162"/>
      <c r="AO179" s="163"/>
      <c r="AP179" s="164"/>
      <c r="AQ179" s="162"/>
      <c r="AR179" s="163"/>
      <c r="AS179" s="164"/>
      <c r="AT179" s="162"/>
      <c r="AU179" s="163"/>
      <c r="AV179" s="164"/>
      <c r="AW179" s="162"/>
      <c r="AX179" s="163"/>
      <c r="AY179" s="164"/>
      <c r="AZ179" s="162"/>
      <c r="BA179" s="163"/>
      <c r="BB179" s="164"/>
      <c r="BC179" s="162"/>
      <c r="BD179" s="163"/>
      <c r="BE179" s="164"/>
      <c r="BF179" s="162"/>
      <c r="BG179" s="163"/>
      <c r="BH179" s="164"/>
      <c r="BI179" s="162"/>
      <c r="BJ179" s="163"/>
      <c r="BK179" s="164"/>
      <c r="BL179" s="162"/>
      <c r="BM179" s="163"/>
      <c r="BN179" s="164"/>
      <c r="BO179" s="162"/>
      <c r="BP179" s="163"/>
      <c r="BQ179" s="163"/>
      <c r="BR179" s="178"/>
      <c r="BS179" s="163"/>
      <c r="BT179" s="179"/>
      <c r="BU179" s="163"/>
      <c r="BV179" s="163"/>
      <c r="BW179" s="164"/>
      <c r="BX179" s="162"/>
      <c r="BY179" s="163"/>
      <c r="BZ179" s="164"/>
      <c r="CA179" s="162"/>
      <c r="CB179" s="163"/>
      <c r="CC179" s="164"/>
      <c r="CD179" s="162"/>
      <c r="CE179" s="163"/>
      <c r="CF179" s="164"/>
      <c r="CG179" s="162"/>
      <c r="CH179" s="163"/>
      <c r="CI179" s="164"/>
      <c r="CJ179" s="162"/>
      <c r="CK179" s="163"/>
      <c r="CL179" s="164"/>
      <c r="CM179" s="162"/>
      <c r="CN179" s="163"/>
      <c r="CO179" s="164"/>
      <c r="CP179" s="162"/>
      <c r="CQ179" s="163"/>
      <c r="CR179" s="164"/>
      <c r="CS179" s="162"/>
      <c r="CT179" s="163"/>
      <c r="CU179" s="164"/>
      <c r="CV179" s="162"/>
      <c r="CW179" s="163"/>
      <c r="CX179" s="164"/>
      <c r="CY179" s="162"/>
      <c r="CZ179" s="163"/>
      <c r="DA179" s="164"/>
      <c r="DB179" s="162"/>
      <c r="DC179" s="163"/>
      <c r="DD179" s="164"/>
      <c r="DE179" s="162"/>
      <c r="DF179" s="163"/>
      <c r="DG179" s="164"/>
      <c r="DH179" s="162"/>
      <c r="DI179" s="163"/>
      <c r="DJ179" s="164"/>
      <c r="DK179" s="162"/>
      <c r="DL179" s="163"/>
      <c r="DM179" s="164"/>
      <c r="DN179" s="162"/>
      <c r="DO179" s="163"/>
      <c r="DP179" s="164"/>
      <c r="DQ179" s="162"/>
      <c r="DR179" s="163"/>
      <c r="DS179" s="164"/>
      <c r="DT179" s="162"/>
      <c r="DU179" s="163"/>
      <c r="DV179" s="171"/>
      <c r="DX179" s="145"/>
      <c r="DY179" s="145"/>
      <c r="DZ179" s="1"/>
      <c r="EA179" s="1"/>
      <c r="EB179" s="1"/>
    </row>
    <row r="180" spans="5:132" s="6" customFormat="1" ht="9.9499999999999993" customHeight="1">
      <c r="E180" s="6" t="s">
        <v>244</v>
      </c>
      <c r="F180" s="143">
        <f t="shared" ref="F180" si="75">DX180</f>
        <v>3.1100000000000004E-3</v>
      </c>
      <c r="G180" s="144">
        <f>Q180-F180</f>
        <v>0</v>
      </c>
      <c r="H180" s="27">
        <v>1</v>
      </c>
      <c r="I180" s="19" t="s">
        <v>219</v>
      </c>
      <c r="J180" s="19" t="s">
        <v>186</v>
      </c>
      <c r="K180" s="19" t="s">
        <v>245</v>
      </c>
      <c r="L180" s="271"/>
      <c r="M180" s="231" t="s">
        <v>13</v>
      </c>
      <c r="N180" s="254">
        <v>6859</v>
      </c>
      <c r="O180" s="299" t="s">
        <v>82</v>
      </c>
      <c r="P180" s="245">
        <v>647554</v>
      </c>
      <c r="Q180" s="183">
        <f>ROUND(P180/$P$256,5)</f>
        <v>3.1099999999999999E-3</v>
      </c>
      <c r="R180" s="79"/>
      <c r="S180" s="57"/>
      <c r="T180" s="57"/>
      <c r="U180" s="57"/>
      <c r="V180" s="56"/>
      <c r="W180" s="57"/>
      <c r="X180" s="58"/>
      <c r="Y180" s="56"/>
      <c r="Z180" s="57"/>
      <c r="AA180" s="58"/>
      <c r="AB180" s="56"/>
      <c r="AC180" s="57"/>
      <c r="AD180" s="58"/>
      <c r="AE180" s="57"/>
      <c r="AF180" s="57"/>
      <c r="AG180" s="57"/>
      <c r="AH180" s="56"/>
      <c r="AI180" s="57"/>
      <c r="AJ180" s="58"/>
      <c r="AK180" s="57"/>
      <c r="AL180" s="57"/>
      <c r="AM180" s="57"/>
      <c r="AN180" s="56"/>
      <c r="AO180" s="57"/>
      <c r="AP180" s="57"/>
      <c r="AQ180" s="56"/>
      <c r="AR180" s="57"/>
      <c r="AS180" s="57"/>
      <c r="AT180" s="56"/>
      <c r="AU180" s="57"/>
      <c r="AV180" s="58"/>
      <c r="AW180" s="146"/>
      <c r="AX180" s="146"/>
      <c r="AY180" s="146"/>
      <c r="AZ180" s="146"/>
      <c r="BA180" s="146"/>
      <c r="BB180" s="146"/>
      <c r="BC180" s="57"/>
      <c r="BD180" s="57"/>
      <c r="BE180" s="57"/>
      <c r="BF180" s="56"/>
      <c r="BG180" s="57"/>
      <c r="BH180" s="58"/>
      <c r="BI180" s="146"/>
      <c r="BJ180" s="146"/>
      <c r="BK180" s="146"/>
      <c r="BL180" s="146"/>
      <c r="BM180" s="146"/>
      <c r="BN180" s="146"/>
      <c r="BO180" s="146"/>
      <c r="BP180" s="146"/>
      <c r="BQ180" s="147"/>
      <c r="BR180" s="168"/>
      <c r="BS180" s="146"/>
      <c r="BT180" s="169"/>
      <c r="BU180" s="149"/>
      <c r="BV180" s="146"/>
      <c r="BW180" s="146"/>
      <c r="BX180" s="146"/>
      <c r="BY180" s="146"/>
      <c r="BZ180" s="146"/>
      <c r="CA180" s="146">
        <v>4.6000000000000001E-4</v>
      </c>
      <c r="CB180" s="146"/>
      <c r="CC180" s="146"/>
      <c r="CD180" s="146">
        <v>5.5000000000000003E-4</v>
      </c>
      <c r="CE180" s="146"/>
      <c r="CF180" s="146"/>
      <c r="CG180" s="146">
        <v>5.5000000000000003E-4</v>
      </c>
      <c r="CH180" s="146"/>
      <c r="CI180" s="146"/>
      <c r="CJ180" s="146">
        <v>5.5000000000000003E-4</v>
      </c>
      <c r="CK180" s="146"/>
      <c r="CL180" s="146"/>
      <c r="CM180" s="146">
        <v>5.5999999999999995E-4</v>
      </c>
      <c r="CN180" s="146"/>
      <c r="CO180" s="146"/>
      <c r="CP180" s="146">
        <v>4.4000000000000002E-4</v>
      </c>
      <c r="CQ180" s="146"/>
      <c r="CR180" s="146"/>
      <c r="CS180" s="57"/>
      <c r="CT180" s="57"/>
      <c r="CU180" s="57"/>
      <c r="CV180" s="56"/>
      <c r="CW180" s="57"/>
      <c r="CX180" s="58"/>
      <c r="CY180" s="56"/>
      <c r="CZ180" s="57"/>
      <c r="DA180" s="58"/>
      <c r="DB180" s="57"/>
      <c r="DC180" s="57"/>
      <c r="DD180" s="57"/>
      <c r="DE180" s="56"/>
      <c r="DF180" s="57"/>
      <c r="DG180" s="58"/>
      <c r="DH180" s="56"/>
      <c r="DI180" s="57"/>
      <c r="DJ180" s="58"/>
      <c r="DK180" s="56"/>
      <c r="DL180" s="57"/>
      <c r="DM180" s="58"/>
      <c r="DN180" s="56"/>
      <c r="DO180" s="57"/>
      <c r="DP180" s="58"/>
      <c r="DQ180" s="56"/>
      <c r="DR180" s="57"/>
      <c r="DS180" s="58"/>
      <c r="DT180" s="57"/>
      <c r="DU180" s="57"/>
      <c r="DV180" s="62"/>
      <c r="DX180" s="213">
        <f>SUM(R180:DV180)</f>
        <v>3.1100000000000004E-3</v>
      </c>
      <c r="DY180" s="1"/>
      <c r="DZ180" s="1"/>
      <c r="EA180" s="1"/>
      <c r="EB180" s="1"/>
    </row>
    <row r="181" spans="5:132" s="6" customFormat="1" ht="6.95" customHeight="1">
      <c r="F181" s="143"/>
      <c r="G181" s="144"/>
      <c r="H181" s="55">
        <v>2</v>
      </c>
      <c r="L181" s="272"/>
      <c r="M181" s="232"/>
      <c r="N181" s="255"/>
      <c r="O181" s="300"/>
      <c r="P181" s="246"/>
      <c r="Q181" s="184"/>
      <c r="R181" s="63"/>
      <c r="S181" s="42"/>
      <c r="T181" s="42"/>
      <c r="U181" s="42"/>
      <c r="V181" s="41"/>
      <c r="W181" s="42"/>
      <c r="X181" s="43"/>
      <c r="Y181" s="41"/>
      <c r="Z181" s="42"/>
      <c r="AA181" s="43"/>
      <c r="AB181" s="41"/>
      <c r="AC181" s="42"/>
      <c r="AD181" s="43"/>
      <c r="AE181" s="42"/>
      <c r="AF181" s="42"/>
      <c r="AG181" s="42"/>
      <c r="AH181" s="41"/>
      <c r="AI181" s="42"/>
      <c r="AJ181" s="43"/>
      <c r="AK181" s="42"/>
      <c r="AL181" s="42"/>
      <c r="AM181" s="42"/>
      <c r="AN181" s="41"/>
      <c r="AO181" s="42"/>
      <c r="AP181" s="42"/>
      <c r="AQ181" s="41"/>
      <c r="AR181" s="42"/>
      <c r="AS181" s="42"/>
      <c r="AT181" s="41"/>
      <c r="AU181" s="42"/>
      <c r="AV181" s="43"/>
      <c r="AW181" s="41"/>
      <c r="AX181" s="104"/>
      <c r="AY181" s="43"/>
      <c r="AZ181" s="41"/>
      <c r="BA181" s="42"/>
      <c r="BB181" s="43"/>
      <c r="BC181" s="42"/>
      <c r="BD181" s="42"/>
      <c r="BE181" s="42"/>
      <c r="BF181" s="41"/>
      <c r="BG181" s="42"/>
      <c r="BH181" s="43"/>
      <c r="BI181" s="41"/>
      <c r="BJ181" s="42"/>
      <c r="BK181" s="43"/>
      <c r="BL181" s="41"/>
      <c r="BM181" s="42"/>
      <c r="BN181" s="43"/>
      <c r="BO181" s="41"/>
      <c r="BP181" s="42"/>
      <c r="BQ181" s="42"/>
      <c r="BR181" s="67"/>
      <c r="BS181" s="42"/>
      <c r="BT181" s="68"/>
      <c r="BU181" s="42"/>
      <c r="BV181" s="42"/>
      <c r="BW181" s="43"/>
      <c r="BX181" s="41"/>
      <c r="BY181" s="42"/>
      <c r="BZ181" s="43"/>
      <c r="CA181" s="64"/>
      <c r="CB181" s="65"/>
      <c r="CC181" s="66"/>
      <c r="CD181" s="64"/>
      <c r="CE181" s="65"/>
      <c r="CF181" s="66"/>
      <c r="CG181" s="64"/>
      <c r="CH181" s="65"/>
      <c r="CI181" s="66"/>
      <c r="CJ181" s="64"/>
      <c r="CK181" s="65"/>
      <c r="CL181" s="66"/>
      <c r="CM181" s="64"/>
      <c r="CN181" s="65"/>
      <c r="CO181" s="66"/>
      <c r="CP181" s="64"/>
      <c r="CQ181" s="65"/>
      <c r="CR181" s="66"/>
      <c r="CS181" s="42"/>
      <c r="CT181" s="42"/>
      <c r="CU181" s="42"/>
      <c r="CV181" s="41"/>
      <c r="CW181" s="42"/>
      <c r="CX181" s="43"/>
      <c r="CY181" s="41"/>
      <c r="CZ181" s="42"/>
      <c r="DA181" s="43"/>
      <c r="DB181" s="42"/>
      <c r="DC181" s="42"/>
      <c r="DD181" s="42"/>
      <c r="DE181" s="41"/>
      <c r="DF181" s="42"/>
      <c r="DG181" s="43"/>
      <c r="DH181" s="41"/>
      <c r="DI181" s="42"/>
      <c r="DJ181" s="43"/>
      <c r="DK181" s="41"/>
      <c r="DL181" s="42"/>
      <c r="DM181" s="43"/>
      <c r="DN181" s="41"/>
      <c r="DO181" s="42"/>
      <c r="DP181" s="43"/>
      <c r="DQ181" s="41"/>
      <c r="DR181" s="42"/>
      <c r="DS181" s="43"/>
      <c r="DT181" s="42"/>
      <c r="DU181" s="42"/>
      <c r="DV181" s="44"/>
      <c r="DX181" s="213"/>
      <c r="DY181" s="1"/>
      <c r="DZ181" s="1"/>
      <c r="EA181" s="1"/>
      <c r="EB181" s="1"/>
    </row>
    <row r="182" spans="5:132" s="6" customFormat="1" ht="9.9499999999999993" customHeight="1">
      <c r="E182" s="6" t="s">
        <v>246</v>
      </c>
      <c r="F182" s="143">
        <f t="shared" ref="F182" si="76">DX182</f>
        <v>8.0000000000000004E-4</v>
      </c>
      <c r="G182" s="144">
        <f>Q182-F182</f>
        <v>0</v>
      </c>
      <c r="H182" s="27">
        <v>1</v>
      </c>
      <c r="L182" s="271"/>
      <c r="M182" s="231" t="s">
        <v>156</v>
      </c>
      <c r="N182" s="254">
        <v>486</v>
      </c>
      <c r="O182" s="299" t="s">
        <v>155</v>
      </c>
      <c r="P182" s="245">
        <v>166760</v>
      </c>
      <c r="Q182" s="183">
        <f>ROUND(P182/$P$256,5)</f>
        <v>8.0000000000000004E-4</v>
      </c>
      <c r="R182" s="79"/>
      <c r="S182" s="57"/>
      <c r="T182" s="57"/>
      <c r="U182" s="57"/>
      <c r="V182" s="56"/>
      <c r="W182" s="57"/>
      <c r="X182" s="58"/>
      <c r="Y182" s="56"/>
      <c r="Z182" s="57"/>
      <c r="AA182" s="58"/>
      <c r="AB182" s="56"/>
      <c r="AC182" s="57"/>
      <c r="AD182" s="58"/>
      <c r="AE182" s="57"/>
      <c r="AF182" s="57"/>
      <c r="AG182" s="57"/>
      <c r="AH182" s="56"/>
      <c r="AI182" s="57"/>
      <c r="AJ182" s="58"/>
      <c r="AK182" s="57"/>
      <c r="AL182" s="57"/>
      <c r="AM182" s="57"/>
      <c r="AN182" s="56"/>
      <c r="AO182" s="57"/>
      <c r="AP182" s="57"/>
      <c r="AQ182" s="56"/>
      <c r="AR182" s="57"/>
      <c r="AS182" s="57"/>
      <c r="AT182" s="56"/>
      <c r="AU182" s="57"/>
      <c r="AV182" s="58"/>
      <c r="AW182" s="56"/>
      <c r="AX182" s="105"/>
      <c r="AY182" s="58"/>
      <c r="AZ182" s="56"/>
      <c r="BA182" s="57"/>
      <c r="BB182" s="58"/>
      <c r="BC182" s="57"/>
      <c r="BD182" s="57"/>
      <c r="BE182" s="57"/>
      <c r="BF182" s="56"/>
      <c r="BG182" s="57"/>
      <c r="BH182" s="58"/>
      <c r="BI182" s="106"/>
      <c r="BJ182" s="107"/>
      <c r="BK182" s="108"/>
      <c r="BL182" s="106"/>
      <c r="BM182" s="107"/>
      <c r="BN182" s="108"/>
      <c r="BO182" s="106"/>
      <c r="BP182" s="107"/>
      <c r="BQ182" s="107"/>
      <c r="BR182" s="109"/>
      <c r="BS182" s="107"/>
      <c r="BT182" s="110"/>
      <c r="BU182" s="107"/>
      <c r="BV182" s="107"/>
      <c r="BW182" s="108"/>
      <c r="BX182" s="106"/>
      <c r="BY182" s="107"/>
      <c r="BZ182" s="108"/>
      <c r="CA182" s="106"/>
      <c r="CB182" s="107"/>
      <c r="CC182" s="108"/>
      <c r="CD182" s="106"/>
      <c r="CE182" s="107"/>
      <c r="CF182" s="108"/>
      <c r="CG182" s="106"/>
      <c r="CH182" s="107"/>
      <c r="CI182" s="108"/>
      <c r="CJ182" s="106"/>
      <c r="CK182" s="107"/>
      <c r="CL182" s="108"/>
      <c r="CM182" s="150">
        <v>4.0000000000000002E-4</v>
      </c>
      <c r="CN182" s="150"/>
      <c r="CO182" s="150"/>
      <c r="CP182" s="150">
        <v>4.0000000000000002E-4</v>
      </c>
      <c r="CQ182" s="150"/>
      <c r="CR182" s="150"/>
      <c r="CS182" s="57"/>
      <c r="CT182" s="57"/>
      <c r="CU182" s="57"/>
      <c r="CV182" s="56"/>
      <c r="CW182" s="57"/>
      <c r="CX182" s="58"/>
      <c r="CY182" s="56"/>
      <c r="CZ182" s="57"/>
      <c r="DA182" s="58"/>
      <c r="DB182" s="57"/>
      <c r="DC182" s="57"/>
      <c r="DD182" s="57"/>
      <c r="DE182" s="56"/>
      <c r="DF182" s="57"/>
      <c r="DG182" s="58"/>
      <c r="DH182" s="56"/>
      <c r="DI182" s="57"/>
      <c r="DJ182" s="58"/>
      <c r="DK182" s="56"/>
      <c r="DL182" s="57"/>
      <c r="DM182" s="58"/>
      <c r="DN182" s="56"/>
      <c r="DO182" s="57"/>
      <c r="DP182" s="58"/>
      <c r="DQ182" s="56"/>
      <c r="DR182" s="57"/>
      <c r="DS182" s="58"/>
      <c r="DT182" s="57"/>
      <c r="DU182" s="57"/>
      <c r="DV182" s="62"/>
      <c r="DX182" s="213">
        <f>SUM(R182:DV182)</f>
        <v>8.0000000000000004E-4</v>
      </c>
      <c r="DY182" s="1"/>
      <c r="DZ182" s="1"/>
      <c r="EA182" s="1"/>
      <c r="EB182" s="1"/>
    </row>
    <row r="183" spans="5:132" s="6" customFormat="1" ht="6.95" customHeight="1">
      <c r="F183" s="143"/>
      <c r="G183" s="144"/>
      <c r="H183" s="55">
        <v>2</v>
      </c>
      <c r="L183" s="272"/>
      <c r="M183" s="232"/>
      <c r="N183" s="255"/>
      <c r="O183" s="300"/>
      <c r="P183" s="246"/>
      <c r="Q183" s="184"/>
      <c r="R183" s="63"/>
      <c r="S183" s="42"/>
      <c r="T183" s="42"/>
      <c r="U183" s="42"/>
      <c r="V183" s="41"/>
      <c r="W183" s="42"/>
      <c r="X183" s="43"/>
      <c r="Y183" s="41"/>
      <c r="Z183" s="42"/>
      <c r="AA183" s="43"/>
      <c r="AB183" s="41"/>
      <c r="AC183" s="42"/>
      <c r="AD183" s="43"/>
      <c r="AE183" s="42"/>
      <c r="AF183" s="42"/>
      <c r="AG183" s="42"/>
      <c r="AH183" s="41"/>
      <c r="AI183" s="42"/>
      <c r="AJ183" s="43"/>
      <c r="AK183" s="42"/>
      <c r="AL183" s="42"/>
      <c r="AM183" s="42"/>
      <c r="AN183" s="41"/>
      <c r="AO183" s="42"/>
      <c r="AP183" s="42"/>
      <c r="AQ183" s="41"/>
      <c r="AR183" s="42"/>
      <c r="AS183" s="42"/>
      <c r="AT183" s="41"/>
      <c r="AU183" s="42"/>
      <c r="AV183" s="43"/>
      <c r="AW183" s="41"/>
      <c r="AX183" s="104"/>
      <c r="AY183" s="43"/>
      <c r="AZ183" s="41"/>
      <c r="BA183" s="42"/>
      <c r="BB183" s="43"/>
      <c r="BC183" s="42"/>
      <c r="BD183" s="42"/>
      <c r="BE183" s="42"/>
      <c r="BF183" s="41"/>
      <c r="BG183" s="42"/>
      <c r="BH183" s="43"/>
      <c r="BI183" s="111"/>
      <c r="BJ183" s="112"/>
      <c r="BK183" s="113"/>
      <c r="BL183" s="111"/>
      <c r="BM183" s="112"/>
      <c r="BN183" s="113"/>
      <c r="BO183" s="111"/>
      <c r="BP183" s="112"/>
      <c r="BQ183" s="112"/>
      <c r="BR183" s="114"/>
      <c r="BS183" s="112"/>
      <c r="BT183" s="115"/>
      <c r="BU183" s="112"/>
      <c r="BV183" s="112"/>
      <c r="BW183" s="113"/>
      <c r="BX183" s="111"/>
      <c r="BY183" s="112"/>
      <c r="BZ183" s="113"/>
      <c r="CA183" s="111"/>
      <c r="CB183" s="112"/>
      <c r="CC183" s="113"/>
      <c r="CD183" s="111"/>
      <c r="CE183" s="112"/>
      <c r="CF183" s="113"/>
      <c r="CG183" s="111"/>
      <c r="CH183" s="112"/>
      <c r="CI183" s="113"/>
      <c r="CJ183" s="111"/>
      <c r="CK183" s="112"/>
      <c r="CL183" s="113"/>
      <c r="CM183" s="64"/>
      <c r="CN183" s="65"/>
      <c r="CO183" s="66"/>
      <c r="CP183" s="64"/>
      <c r="CQ183" s="65"/>
      <c r="CR183" s="66"/>
      <c r="CS183" s="42"/>
      <c r="CT183" s="42"/>
      <c r="CU183" s="42"/>
      <c r="CV183" s="41"/>
      <c r="CW183" s="42"/>
      <c r="CX183" s="43"/>
      <c r="CY183" s="41"/>
      <c r="CZ183" s="42"/>
      <c r="DA183" s="43"/>
      <c r="DB183" s="42"/>
      <c r="DC183" s="42"/>
      <c r="DD183" s="42"/>
      <c r="DE183" s="41"/>
      <c r="DF183" s="42"/>
      <c r="DG183" s="43"/>
      <c r="DH183" s="41"/>
      <c r="DI183" s="42"/>
      <c r="DJ183" s="43"/>
      <c r="DK183" s="41"/>
      <c r="DL183" s="42"/>
      <c r="DM183" s="43"/>
      <c r="DN183" s="41"/>
      <c r="DO183" s="42"/>
      <c r="DP183" s="43"/>
      <c r="DQ183" s="41"/>
      <c r="DR183" s="42"/>
      <c r="DS183" s="43"/>
      <c r="DT183" s="42"/>
      <c r="DU183" s="42"/>
      <c r="DV183" s="44"/>
      <c r="DX183" s="213"/>
      <c r="DY183" s="1"/>
      <c r="DZ183" s="1"/>
      <c r="EA183" s="1"/>
      <c r="EB183" s="1"/>
    </row>
    <row r="184" spans="5:132" s="6" customFormat="1" ht="9.9499999999999993" customHeight="1">
      <c r="F184" s="143">
        <f t="shared" ref="F184" si="77">DX184</f>
        <v>2.7599999999999999E-3</v>
      </c>
      <c r="G184" s="144">
        <f>Q184-F184</f>
        <v>0</v>
      </c>
      <c r="H184" s="27">
        <v>1</v>
      </c>
      <c r="L184" s="230"/>
      <c r="M184" s="354" t="s">
        <v>154</v>
      </c>
      <c r="N184" s="239">
        <v>1</v>
      </c>
      <c r="O184" s="251" t="s">
        <v>60</v>
      </c>
      <c r="P184" s="249">
        <v>574120</v>
      </c>
      <c r="Q184" s="183">
        <f>ROUND(P184/$P$256,5)</f>
        <v>2.7599999999999999E-3</v>
      </c>
      <c r="R184" s="79"/>
      <c r="S184" s="70"/>
      <c r="T184" s="70"/>
      <c r="U184" s="70"/>
      <c r="V184" s="69"/>
      <c r="W184" s="70"/>
      <c r="X184" s="71"/>
      <c r="Y184" s="69"/>
      <c r="Z184" s="70"/>
      <c r="AA184" s="71"/>
      <c r="AB184" s="69"/>
      <c r="AC184" s="70"/>
      <c r="AD184" s="71"/>
      <c r="AE184" s="70"/>
      <c r="AF184" s="70"/>
      <c r="AG184" s="70"/>
      <c r="AH184" s="69"/>
      <c r="AI184" s="70"/>
      <c r="AJ184" s="71"/>
      <c r="AK184" s="70"/>
      <c r="AL184" s="70"/>
      <c r="AM184" s="70"/>
      <c r="AN184" s="69"/>
      <c r="AO184" s="70"/>
      <c r="AP184" s="70"/>
      <c r="AQ184" s="69"/>
      <c r="AR184" s="70"/>
      <c r="AS184" s="70"/>
      <c r="AT184" s="69"/>
      <c r="AU184" s="70"/>
      <c r="AV184" s="71"/>
      <c r="AW184" s="150"/>
      <c r="AX184" s="150"/>
      <c r="AY184" s="150"/>
      <c r="AZ184" s="150"/>
      <c r="BA184" s="150"/>
      <c r="BB184" s="150"/>
      <c r="BC184" s="70"/>
      <c r="BD184" s="70"/>
      <c r="BE184" s="70"/>
      <c r="BF184" s="69"/>
      <c r="BG184" s="70"/>
      <c r="BH184" s="71"/>
      <c r="BI184" s="150"/>
      <c r="BJ184" s="150"/>
      <c r="BK184" s="150"/>
      <c r="BL184" s="150"/>
      <c r="BM184" s="150"/>
      <c r="BN184" s="150"/>
      <c r="BO184" s="150"/>
      <c r="BP184" s="150"/>
      <c r="BQ184" s="166"/>
      <c r="BR184" s="180"/>
      <c r="BS184" s="150"/>
      <c r="BT184" s="181"/>
      <c r="BU184" s="165"/>
      <c r="BV184" s="150"/>
      <c r="BW184" s="150"/>
      <c r="BX184" s="150"/>
      <c r="BY184" s="150"/>
      <c r="BZ184" s="150"/>
      <c r="CA184" s="150">
        <v>3.5E-4</v>
      </c>
      <c r="CB184" s="150"/>
      <c r="CC184" s="150"/>
      <c r="CD184" s="150">
        <v>4.4999999999999999E-4</v>
      </c>
      <c r="CE184" s="150"/>
      <c r="CF184" s="150"/>
      <c r="CG184" s="150">
        <v>4.4999999999999999E-4</v>
      </c>
      <c r="CH184" s="150"/>
      <c r="CI184" s="150"/>
      <c r="CJ184" s="150">
        <v>4.4999999999999999E-4</v>
      </c>
      <c r="CK184" s="150"/>
      <c r="CL184" s="150"/>
      <c r="CM184" s="150">
        <v>5.5000000000000003E-4</v>
      </c>
      <c r="CN184" s="150"/>
      <c r="CO184" s="150"/>
      <c r="CP184" s="150">
        <v>5.1000000000000004E-4</v>
      </c>
      <c r="CQ184" s="150"/>
      <c r="CR184" s="150"/>
      <c r="CS184" s="70"/>
      <c r="CT184" s="70"/>
      <c r="CU184" s="70"/>
      <c r="CV184" s="69"/>
      <c r="CW184" s="70"/>
      <c r="CX184" s="71"/>
      <c r="CY184" s="69"/>
      <c r="CZ184" s="70"/>
      <c r="DA184" s="71"/>
      <c r="DB184" s="70"/>
      <c r="DC184" s="70"/>
      <c r="DD184" s="70"/>
      <c r="DE184" s="69"/>
      <c r="DF184" s="70"/>
      <c r="DG184" s="71"/>
      <c r="DH184" s="69"/>
      <c r="DI184" s="70"/>
      <c r="DJ184" s="71"/>
      <c r="DK184" s="69"/>
      <c r="DL184" s="70"/>
      <c r="DM184" s="71"/>
      <c r="DN184" s="69"/>
      <c r="DO184" s="70"/>
      <c r="DP184" s="71"/>
      <c r="DQ184" s="69"/>
      <c r="DR184" s="70"/>
      <c r="DS184" s="71"/>
      <c r="DT184" s="70"/>
      <c r="DU184" s="70"/>
      <c r="DV184" s="75"/>
      <c r="DX184" s="213">
        <f>SUM(R184:DV184)</f>
        <v>2.7599999999999999E-3</v>
      </c>
      <c r="DY184" s="1"/>
      <c r="DZ184" s="1"/>
      <c r="EA184" s="1"/>
      <c r="EB184" s="1"/>
    </row>
    <row r="185" spans="5:132" s="6" customFormat="1" ht="6.95" customHeight="1" thickBot="1">
      <c r="F185" s="143"/>
      <c r="G185" s="144"/>
      <c r="H185" s="55">
        <v>2</v>
      </c>
      <c r="L185" s="252"/>
      <c r="M185" s="355"/>
      <c r="N185" s="301"/>
      <c r="O185" s="298"/>
      <c r="P185" s="250"/>
      <c r="Q185" s="184"/>
      <c r="R185" s="63"/>
      <c r="S185" s="86"/>
      <c r="T185" s="86"/>
      <c r="U185" s="86"/>
      <c r="V185" s="87"/>
      <c r="W185" s="86"/>
      <c r="X185" s="88"/>
      <c r="Y185" s="87"/>
      <c r="Z185" s="86"/>
      <c r="AA185" s="88"/>
      <c r="AB185" s="87"/>
      <c r="AC185" s="86"/>
      <c r="AD185" s="88"/>
      <c r="AE185" s="86"/>
      <c r="AF185" s="86"/>
      <c r="AG185" s="86"/>
      <c r="AH185" s="87"/>
      <c r="AI185" s="86"/>
      <c r="AJ185" s="88"/>
      <c r="AK185" s="86"/>
      <c r="AL185" s="86"/>
      <c r="AM185" s="86"/>
      <c r="AN185" s="87"/>
      <c r="AO185" s="86"/>
      <c r="AP185" s="86"/>
      <c r="AQ185" s="87"/>
      <c r="AR185" s="86"/>
      <c r="AS185" s="86"/>
      <c r="AT185" s="87"/>
      <c r="AU185" s="86"/>
      <c r="AV185" s="88"/>
      <c r="AW185" s="87"/>
      <c r="AX185" s="116"/>
      <c r="AY185" s="88"/>
      <c r="AZ185" s="87"/>
      <c r="BA185" s="86"/>
      <c r="BB185" s="88"/>
      <c r="BC185" s="86"/>
      <c r="BD185" s="86"/>
      <c r="BE185" s="86"/>
      <c r="BF185" s="87"/>
      <c r="BG185" s="86"/>
      <c r="BH185" s="88"/>
      <c r="BI185" s="87"/>
      <c r="BJ185" s="86"/>
      <c r="BK185" s="88"/>
      <c r="BL185" s="87"/>
      <c r="BM185" s="86"/>
      <c r="BN185" s="88"/>
      <c r="BO185" s="87"/>
      <c r="BP185" s="86"/>
      <c r="BQ185" s="86"/>
      <c r="BR185" s="89"/>
      <c r="BS185" s="86"/>
      <c r="BT185" s="90"/>
      <c r="BU185" s="86"/>
      <c r="BV185" s="86"/>
      <c r="BW185" s="88"/>
      <c r="BX185" s="87"/>
      <c r="BY185" s="86"/>
      <c r="BZ185" s="88"/>
      <c r="CA185" s="64"/>
      <c r="CB185" s="65"/>
      <c r="CC185" s="66"/>
      <c r="CD185" s="64"/>
      <c r="CE185" s="65"/>
      <c r="CF185" s="66"/>
      <c r="CG185" s="64"/>
      <c r="CH185" s="65"/>
      <c r="CI185" s="66"/>
      <c r="CJ185" s="64"/>
      <c r="CK185" s="65"/>
      <c r="CL185" s="66"/>
      <c r="CM185" s="64"/>
      <c r="CN185" s="65"/>
      <c r="CO185" s="66"/>
      <c r="CP185" s="64"/>
      <c r="CQ185" s="65"/>
      <c r="CR185" s="66"/>
      <c r="CS185" s="86"/>
      <c r="CT185" s="86"/>
      <c r="CU185" s="86"/>
      <c r="CV185" s="87"/>
      <c r="CW185" s="86"/>
      <c r="CX185" s="88"/>
      <c r="CY185" s="87"/>
      <c r="CZ185" s="86"/>
      <c r="DA185" s="88"/>
      <c r="DB185" s="86"/>
      <c r="DC185" s="86"/>
      <c r="DD185" s="86"/>
      <c r="DE185" s="87"/>
      <c r="DF185" s="86"/>
      <c r="DG185" s="88"/>
      <c r="DH185" s="87"/>
      <c r="DI185" s="86"/>
      <c r="DJ185" s="88"/>
      <c r="DK185" s="87"/>
      <c r="DL185" s="86"/>
      <c r="DM185" s="88"/>
      <c r="DN185" s="87"/>
      <c r="DO185" s="86"/>
      <c r="DP185" s="88"/>
      <c r="DQ185" s="87"/>
      <c r="DR185" s="86"/>
      <c r="DS185" s="88"/>
      <c r="DT185" s="86"/>
      <c r="DU185" s="86"/>
      <c r="DV185" s="91"/>
      <c r="DX185" s="213"/>
      <c r="DY185" s="1"/>
      <c r="DZ185" s="1"/>
      <c r="EA185" s="1"/>
      <c r="EB185" s="1"/>
    </row>
    <row r="186" spans="5:132" s="18" customFormat="1" ht="9.9499999999999993" customHeight="1">
      <c r="F186" s="141">
        <f t="shared" ref="F186" si="78">DX186</f>
        <v>2.5999999999999998E-4</v>
      </c>
      <c r="G186" s="142">
        <f>Q186-F186</f>
        <v>0</v>
      </c>
      <c r="H186" s="27">
        <v>1</v>
      </c>
      <c r="L186" s="224" t="s">
        <v>86</v>
      </c>
      <c r="M186" s="225"/>
      <c r="N186" s="225"/>
      <c r="O186" s="226"/>
      <c r="P186" s="187">
        <f>SUM(P188:P195)</f>
        <v>55947</v>
      </c>
      <c r="Q186" s="185">
        <f>ROUND(SUM(Q188:Q195),5)</f>
        <v>2.5999999999999998E-4</v>
      </c>
      <c r="R186" s="185">
        <f>ROUND(SUM(R188:R195),5)</f>
        <v>0</v>
      </c>
      <c r="S186" s="160">
        <f>ROUND(SUM(S188:U195),5)</f>
        <v>0</v>
      </c>
      <c r="T186" s="160"/>
      <c r="U186" s="161"/>
      <c r="V186" s="159">
        <f>ROUND(SUM(V188:X195),5)</f>
        <v>0</v>
      </c>
      <c r="W186" s="160"/>
      <c r="X186" s="161"/>
      <c r="Y186" s="159">
        <f t="shared" ref="Y186" si="79">ROUND(SUM(Y188:AA195),5)</f>
        <v>0</v>
      </c>
      <c r="Z186" s="160"/>
      <c r="AA186" s="161"/>
      <c r="AB186" s="159">
        <f t="shared" ref="AB186" si="80">ROUND(SUM(AB188:AD195),5)</f>
        <v>0</v>
      </c>
      <c r="AC186" s="160"/>
      <c r="AD186" s="161"/>
      <c r="AE186" s="159">
        <f t="shared" ref="AE186" si="81">ROUND(SUM(AE188:AG195),5)</f>
        <v>0</v>
      </c>
      <c r="AF186" s="160"/>
      <c r="AG186" s="161"/>
      <c r="AH186" s="159">
        <f t="shared" ref="AH186" si="82">ROUND(SUM(AH188:AJ195),5)</f>
        <v>0</v>
      </c>
      <c r="AI186" s="160"/>
      <c r="AJ186" s="161"/>
      <c r="AK186" s="159">
        <f t="shared" ref="AK186" si="83">ROUND(SUM(AK188:AM195),5)</f>
        <v>0</v>
      </c>
      <c r="AL186" s="160"/>
      <c r="AM186" s="161"/>
      <c r="AN186" s="159">
        <f t="shared" ref="AN186" si="84">ROUND(SUM(AN188:AP195),5)</f>
        <v>0</v>
      </c>
      <c r="AO186" s="160"/>
      <c r="AP186" s="161"/>
      <c r="AQ186" s="159">
        <f t="shared" ref="AQ186" si="85">ROUND(SUM(AQ188:AS195),5)</f>
        <v>0</v>
      </c>
      <c r="AR186" s="160"/>
      <c r="AS186" s="161"/>
      <c r="AT186" s="159">
        <f t="shared" ref="AT186" si="86">ROUND(SUM(AT188:AV195),5)</f>
        <v>0</v>
      </c>
      <c r="AU186" s="160"/>
      <c r="AV186" s="161"/>
      <c r="AW186" s="159">
        <f t="shared" ref="AW186" si="87">ROUND(SUM(AW188:AY195),5)</f>
        <v>0</v>
      </c>
      <c r="AX186" s="160"/>
      <c r="AY186" s="161"/>
      <c r="AZ186" s="159">
        <f t="shared" ref="AZ186" si="88">ROUND(SUM(AZ188:BB195),5)</f>
        <v>0</v>
      </c>
      <c r="BA186" s="160"/>
      <c r="BB186" s="161"/>
      <c r="BC186" s="159">
        <f t="shared" ref="BC186" si="89">ROUND(SUM(BC188:BE195),5)</f>
        <v>0</v>
      </c>
      <c r="BD186" s="160"/>
      <c r="BE186" s="161"/>
      <c r="BF186" s="159">
        <f t="shared" ref="BF186" si="90">ROUND(SUM(BF188:BH195),5)</f>
        <v>0</v>
      </c>
      <c r="BG186" s="160"/>
      <c r="BH186" s="161"/>
      <c r="BI186" s="159">
        <f t="shared" ref="BI186" si="91">ROUND(SUM(BI188:BK195),5)</f>
        <v>0</v>
      </c>
      <c r="BJ186" s="160"/>
      <c r="BK186" s="161"/>
      <c r="BL186" s="159">
        <f t="shared" ref="BL186" si="92">ROUND(SUM(BL188:BN195),5)</f>
        <v>0</v>
      </c>
      <c r="BM186" s="160"/>
      <c r="BN186" s="161"/>
      <c r="BO186" s="159">
        <f t="shared" ref="BO186" si="93">ROUND(SUM(BO188:BQ195),5)</f>
        <v>0</v>
      </c>
      <c r="BP186" s="160"/>
      <c r="BQ186" s="160"/>
      <c r="BR186" s="176">
        <f t="shared" ref="BR186" si="94">ROUND(SUM(BR188:BT195),5)</f>
        <v>0</v>
      </c>
      <c r="BS186" s="160"/>
      <c r="BT186" s="177"/>
      <c r="BU186" s="160">
        <f t="shared" ref="BU186" si="95">ROUND(SUM(BU188:BW195),5)</f>
        <v>0</v>
      </c>
      <c r="BV186" s="160"/>
      <c r="BW186" s="161"/>
      <c r="BX186" s="159">
        <f t="shared" ref="BX186" si="96">ROUND(SUM(BX188:BZ195),5)</f>
        <v>0</v>
      </c>
      <c r="BY186" s="160"/>
      <c r="BZ186" s="161"/>
      <c r="CA186" s="159">
        <f t="shared" ref="CA186" si="97">ROUND(SUM(CA188:CC195),5)</f>
        <v>1.2E-4</v>
      </c>
      <c r="CB186" s="160"/>
      <c r="CC186" s="161"/>
      <c r="CD186" s="159">
        <f t="shared" ref="CD186" si="98">ROUND(SUM(CD188:CF195),5)</f>
        <v>1.3999999999999999E-4</v>
      </c>
      <c r="CE186" s="160"/>
      <c r="CF186" s="161"/>
      <c r="CG186" s="159">
        <f t="shared" ref="CG186" si="99">ROUND(SUM(CG188:CI195),5)</f>
        <v>0</v>
      </c>
      <c r="CH186" s="160"/>
      <c r="CI186" s="161"/>
      <c r="CJ186" s="159">
        <f t="shared" ref="CJ186" si="100">ROUND(SUM(CJ188:CL195),5)</f>
        <v>0</v>
      </c>
      <c r="CK186" s="160"/>
      <c r="CL186" s="161"/>
      <c r="CM186" s="159">
        <f t="shared" ref="CM186" si="101">ROUND(SUM(CM188:CO195),5)</f>
        <v>0</v>
      </c>
      <c r="CN186" s="160"/>
      <c r="CO186" s="161"/>
      <c r="CP186" s="159">
        <f t="shared" ref="CP186" si="102">ROUND(SUM(CP188:CR195),5)</f>
        <v>0</v>
      </c>
      <c r="CQ186" s="160"/>
      <c r="CR186" s="161"/>
      <c r="CS186" s="159">
        <f t="shared" ref="CS186" si="103">ROUND(SUM(CS188:CU195),5)</f>
        <v>0</v>
      </c>
      <c r="CT186" s="160"/>
      <c r="CU186" s="161"/>
      <c r="CV186" s="159">
        <f t="shared" ref="CV186" si="104">ROUND(SUM(CV188:CX195),5)</f>
        <v>0</v>
      </c>
      <c r="CW186" s="160"/>
      <c r="CX186" s="161"/>
      <c r="CY186" s="159">
        <f t="shared" ref="CY186" si="105">ROUND(SUM(CY188:DA195),5)</f>
        <v>0</v>
      </c>
      <c r="CZ186" s="160"/>
      <c r="DA186" s="161"/>
      <c r="DB186" s="159">
        <f t="shared" ref="DB186" si="106">ROUND(SUM(DB188:DD195),5)</f>
        <v>0</v>
      </c>
      <c r="DC186" s="160"/>
      <c r="DD186" s="161"/>
      <c r="DE186" s="159">
        <f t="shared" ref="DE186" si="107">ROUND(SUM(DE188:DG195),5)</f>
        <v>0</v>
      </c>
      <c r="DF186" s="160"/>
      <c r="DG186" s="161"/>
      <c r="DH186" s="159">
        <f t="shared" ref="DH186" si="108">ROUND(SUM(DH188:DJ195),5)</f>
        <v>0</v>
      </c>
      <c r="DI186" s="160"/>
      <c r="DJ186" s="161"/>
      <c r="DK186" s="159">
        <f t="shared" ref="DK186" si="109">ROUND(SUM(DK188:DM195),5)</f>
        <v>0</v>
      </c>
      <c r="DL186" s="160"/>
      <c r="DM186" s="161"/>
      <c r="DN186" s="159">
        <f t="shared" ref="DN186" si="110">ROUND(SUM(DN188:DP195),5)</f>
        <v>0</v>
      </c>
      <c r="DO186" s="160"/>
      <c r="DP186" s="161"/>
      <c r="DQ186" s="159">
        <f t="shared" ref="DQ186" si="111">ROUND(SUM(DQ188:DS195),5)</f>
        <v>0</v>
      </c>
      <c r="DR186" s="160"/>
      <c r="DS186" s="161"/>
      <c r="DT186" s="159">
        <f>ROUND(SUM(DT188:DV195),5)</f>
        <v>0</v>
      </c>
      <c r="DU186" s="160"/>
      <c r="DV186" s="170"/>
      <c r="DX186" s="145">
        <f>SUM(R186:DV186)</f>
        <v>2.5999999999999998E-4</v>
      </c>
      <c r="DY186" s="145">
        <f>SUM(DX188:DX195)</f>
        <v>2.6000000000000003E-4</v>
      </c>
      <c r="DZ186" s="117"/>
      <c r="EA186" s="117"/>
      <c r="EB186" s="117"/>
    </row>
    <row r="187" spans="5:132" s="18" customFormat="1" ht="9.9499999999999993" customHeight="1">
      <c r="F187" s="141"/>
      <c r="G187" s="142"/>
      <c r="H187" s="55">
        <v>2</v>
      </c>
      <c r="L187" s="227"/>
      <c r="M187" s="228"/>
      <c r="N187" s="228"/>
      <c r="O187" s="229"/>
      <c r="P187" s="188"/>
      <c r="Q187" s="186"/>
      <c r="R187" s="186"/>
      <c r="S187" s="163"/>
      <c r="T187" s="163"/>
      <c r="U187" s="164"/>
      <c r="V187" s="162"/>
      <c r="W187" s="163"/>
      <c r="X187" s="164"/>
      <c r="Y187" s="162"/>
      <c r="Z187" s="163"/>
      <c r="AA187" s="164"/>
      <c r="AB187" s="162"/>
      <c r="AC187" s="163"/>
      <c r="AD187" s="164"/>
      <c r="AE187" s="162"/>
      <c r="AF187" s="163"/>
      <c r="AG187" s="164"/>
      <c r="AH187" s="162"/>
      <c r="AI187" s="163"/>
      <c r="AJ187" s="164"/>
      <c r="AK187" s="162"/>
      <c r="AL187" s="163"/>
      <c r="AM187" s="164"/>
      <c r="AN187" s="162"/>
      <c r="AO187" s="163"/>
      <c r="AP187" s="164"/>
      <c r="AQ187" s="162"/>
      <c r="AR187" s="163"/>
      <c r="AS187" s="164"/>
      <c r="AT187" s="162"/>
      <c r="AU187" s="163"/>
      <c r="AV187" s="164"/>
      <c r="AW187" s="162"/>
      <c r="AX187" s="163"/>
      <c r="AY187" s="164"/>
      <c r="AZ187" s="162"/>
      <c r="BA187" s="163"/>
      <c r="BB187" s="164"/>
      <c r="BC187" s="162"/>
      <c r="BD187" s="163"/>
      <c r="BE187" s="164"/>
      <c r="BF187" s="162"/>
      <c r="BG187" s="163"/>
      <c r="BH187" s="164"/>
      <c r="BI187" s="162"/>
      <c r="BJ187" s="163"/>
      <c r="BK187" s="164"/>
      <c r="BL187" s="162"/>
      <c r="BM187" s="163"/>
      <c r="BN187" s="164"/>
      <c r="BO187" s="162"/>
      <c r="BP187" s="163"/>
      <c r="BQ187" s="163"/>
      <c r="BR187" s="178"/>
      <c r="BS187" s="163"/>
      <c r="BT187" s="179"/>
      <c r="BU187" s="163"/>
      <c r="BV187" s="163"/>
      <c r="BW187" s="164"/>
      <c r="BX187" s="162"/>
      <c r="BY187" s="163"/>
      <c r="BZ187" s="164"/>
      <c r="CA187" s="162"/>
      <c r="CB187" s="163"/>
      <c r="CC187" s="164"/>
      <c r="CD187" s="162"/>
      <c r="CE187" s="163"/>
      <c r="CF187" s="164"/>
      <c r="CG187" s="162"/>
      <c r="CH187" s="163"/>
      <c r="CI187" s="164"/>
      <c r="CJ187" s="162"/>
      <c r="CK187" s="163"/>
      <c r="CL187" s="164"/>
      <c r="CM187" s="162"/>
      <c r="CN187" s="163"/>
      <c r="CO187" s="164"/>
      <c r="CP187" s="162"/>
      <c r="CQ187" s="163"/>
      <c r="CR187" s="164"/>
      <c r="CS187" s="162"/>
      <c r="CT187" s="163"/>
      <c r="CU187" s="164"/>
      <c r="CV187" s="162"/>
      <c r="CW187" s="163"/>
      <c r="CX187" s="164"/>
      <c r="CY187" s="162"/>
      <c r="CZ187" s="163"/>
      <c r="DA187" s="164"/>
      <c r="DB187" s="162"/>
      <c r="DC187" s="163"/>
      <c r="DD187" s="164"/>
      <c r="DE187" s="162"/>
      <c r="DF187" s="163"/>
      <c r="DG187" s="164"/>
      <c r="DH187" s="162"/>
      <c r="DI187" s="163"/>
      <c r="DJ187" s="164"/>
      <c r="DK187" s="162"/>
      <c r="DL187" s="163"/>
      <c r="DM187" s="164"/>
      <c r="DN187" s="162"/>
      <c r="DO187" s="163"/>
      <c r="DP187" s="164"/>
      <c r="DQ187" s="162"/>
      <c r="DR187" s="163"/>
      <c r="DS187" s="164"/>
      <c r="DT187" s="162"/>
      <c r="DU187" s="163"/>
      <c r="DV187" s="171"/>
      <c r="DX187" s="145"/>
      <c r="DY187" s="145"/>
      <c r="DZ187" s="117"/>
      <c r="EA187" s="117"/>
      <c r="EB187" s="117"/>
    </row>
    <row r="188" spans="5:132" s="6" customFormat="1" ht="9.9499999999999993" customHeight="1">
      <c r="F188" s="143">
        <f t="shared" ref="F188" si="112">DX188</f>
        <v>1.0000000000000001E-5</v>
      </c>
      <c r="G188" s="144">
        <f>Q188-F188</f>
        <v>0</v>
      </c>
      <c r="H188" s="27">
        <v>1</v>
      </c>
      <c r="L188" s="271"/>
      <c r="M188" s="237" t="s">
        <v>53</v>
      </c>
      <c r="N188" s="254">
        <v>809</v>
      </c>
      <c r="O188" s="299" t="s">
        <v>34</v>
      </c>
      <c r="P188" s="245">
        <v>2788</v>
      </c>
      <c r="Q188" s="183">
        <f>ROUND(P188/$P$256,5)</f>
        <v>1.0000000000000001E-5</v>
      </c>
      <c r="R188" s="21"/>
      <c r="S188" s="57"/>
      <c r="T188" s="57"/>
      <c r="U188" s="57"/>
      <c r="V188" s="56"/>
      <c r="W188" s="57"/>
      <c r="X188" s="58"/>
      <c r="Y188" s="56"/>
      <c r="Z188" s="57"/>
      <c r="AA188" s="58"/>
      <c r="AB188" s="56"/>
      <c r="AC188" s="57"/>
      <c r="AD188" s="58"/>
      <c r="AE188" s="57"/>
      <c r="AF188" s="57"/>
      <c r="AG188" s="57"/>
      <c r="AH188" s="56"/>
      <c r="AI188" s="57"/>
      <c r="AJ188" s="58"/>
      <c r="AK188" s="56"/>
      <c r="AL188" s="57"/>
      <c r="AM188" s="58"/>
      <c r="AN188" s="56"/>
      <c r="AO188" s="57"/>
      <c r="AP188" s="57"/>
      <c r="AQ188" s="56"/>
      <c r="AR188" s="57"/>
      <c r="AS188" s="57"/>
      <c r="AT188" s="56"/>
      <c r="AU188" s="57"/>
      <c r="AV188" s="58"/>
      <c r="AW188" s="57"/>
      <c r="AX188" s="57"/>
      <c r="AY188" s="57"/>
      <c r="AZ188" s="56"/>
      <c r="BA188" s="57"/>
      <c r="BB188" s="58"/>
      <c r="BC188" s="146"/>
      <c r="BD188" s="146"/>
      <c r="BE188" s="146"/>
      <c r="BF188" s="146"/>
      <c r="BG188" s="146"/>
      <c r="BH188" s="146"/>
      <c r="BI188" s="57"/>
      <c r="BJ188" s="57"/>
      <c r="BK188" s="57"/>
      <c r="BL188" s="56"/>
      <c r="BM188" s="57"/>
      <c r="BN188" s="58"/>
      <c r="BO188" s="146"/>
      <c r="BP188" s="146"/>
      <c r="BQ188" s="147"/>
      <c r="BR188" s="168"/>
      <c r="BS188" s="146"/>
      <c r="BT188" s="169"/>
      <c r="BU188" s="57"/>
      <c r="BV188" s="57"/>
      <c r="BW188" s="57"/>
      <c r="BX188" s="56"/>
      <c r="BY188" s="57"/>
      <c r="BZ188" s="58"/>
      <c r="CA188" s="146">
        <v>5.0000000000000004E-6</v>
      </c>
      <c r="CB188" s="146"/>
      <c r="CC188" s="146"/>
      <c r="CD188" s="146">
        <v>5.0000000000000004E-6</v>
      </c>
      <c r="CE188" s="146"/>
      <c r="CF188" s="146"/>
      <c r="CG188" s="56"/>
      <c r="CH188" s="57"/>
      <c r="CI188" s="58"/>
      <c r="CJ188" s="56"/>
      <c r="CK188" s="57"/>
      <c r="CL188" s="58"/>
      <c r="CM188" s="57"/>
      <c r="CN188" s="57"/>
      <c r="CO188" s="57"/>
      <c r="CP188" s="56"/>
      <c r="CQ188" s="57"/>
      <c r="CR188" s="58"/>
      <c r="CS188" s="57"/>
      <c r="CT188" s="57"/>
      <c r="CU188" s="57"/>
      <c r="CV188" s="56"/>
      <c r="CW188" s="57"/>
      <c r="CX188" s="58"/>
      <c r="CY188" s="56"/>
      <c r="CZ188" s="57"/>
      <c r="DA188" s="58"/>
      <c r="DB188" s="57"/>
      <c r="DC188" s="57"/>
      <c r="DD188" s="57"/>
      <c r="DE188" s="56"/>
      <c r="DF188" s="57"/>
      <c r="DG188" s="58"/>
      <c r="DH188" s="56"/>
      <c r="DI188" s="57"/>
      <c r="DJ188" s="58"/>
      <c r="DK188" s="56"/>
      <c r="DL188" s="57"/>
      <c r="DM188" s="58"/>
      <c r="DN188" s="56"/>
      <c r="DO188" s="57"/>
      <c r="DP188" s="58"/>
      <c r="DQ188" s="56"/>
      <c r="DR188" s="57"/>
      <c r="DS188" s="58"/>
      <c r="DT188" s="57"/>
      <c r="DU188" s="57"/>
      <c r="DV188" s="62"/>
      <c r="DX188" s="213">
        <f>SUM(R188:DV188)</f>
        <v>1.0000000000000001E-5</v>
      </c>
      <c r="DY188" s="1"/>
      <c r="DZ188" s="1"/>
      <c r="EA188" s="1"/>
      <c r="EB188" s="1"/>
    </row>
    <row r="189" spans="5:132" s="6" customFormat="1" ht="6.95" customHeight="1">
      <c r="F189" s="143"/>
      <c r="G189" s="144"/>
      <c r="H189" s="55">
        <v>2</v>
      </c>
      <c r="L189" s="272"/>
      <c r="M189" s="232"/>
      <c r="N189" s="255"/>
      <c r="O189" s="300"/>
      <c r="P189" s="246"/>
      <c r="Q189" s="184"/>
      <c r="R189" s="93"/>
      <c r="S189" s="42"/>
      <c r="T189" s="42"/>
      <c r="U189" s="42"/>
      <c r="V189" s="41"/>
      <c r="W189" s="42"/>
      <c r="X189" s="43"/>
      <c r="Y189" s="41"/>
      <c r="Z189" s="42"/>
      <c r="AA189" s="43"/>
      <c r="AB189" s="41"/>
      <c r="AC189" s="42"/>
      <c r="AD189" s="43"/>
      <c r="AE189" s="42"/>
      <c r="AF189" s="42"/>
      <c r="AG189" s="42"/>
      <c r="AH189" s="41"/>
      <c r="AI189" s="42"/>
      <c r="AJ189" s="43"/>
      <c r="AK189" s="41"/>
      <c r="AL189" s="42"/>
      <c r="AM189" s="43"/>
      <c r="AN189" s="41"/>
      <c r="AO189" s="42"/>
      <c r="AP189" s="42"/>
      <c r="AQ189" s="41"/>
      <c r="AR189" s="42"/>
      <c r="AS189" s="42"/>
      <c r="AT189" s="41"/>
      <c r="AU189" s="42"/>
      <c r="AV189" s="43"/>
      <c r="AW189" s="42"/>
      <c r="AX189" s="42"/>
      <c r="AY189" s="42"/>
      <c r="AZ189" s="41"/>
      <c r="BA189" s="42"/>
      <c r="BB189" s="43"/>
      <c r="BC189" s="41"/>
      <c r="BD189" s="104"/>
      <c r="BE189" s="43"/>
      <c r="BF189" s="41"/>
      <c r="BG189" s="104"/>
      <c r="BH189" s="43"/>
      <c r="BI189" s="42"/>
      <c r="BJ189" s="42"/>
      <c r="BK189" s="42"/>
      <c r="BL189" s="41"/>
      <c r="BM189" s="42"/>
      <c r="BN189" s="43"/>
      <c r="BO189" s="41"/>
      <c r="BP189" s="104"/>
      <c r="BQ189" s="42"/>
      <c r="BR189" s="67"/>
      <c r="BS189" s="104"/>
      <c r="BT189" s="68"/>
      <c r="BU189" s="42"/>
      <c r="BV189" s="42"/>
      <c r="BW189" s="42"/>
      <c r="BX189" s="41"/>
      <c r="BY189" s="42"/>
      <c r="BZ189" s="43"/>
      <c r="CA189" s="64"/>
      <c r="CB189" s="65"/>
      <c r="CC189" s="66"/>
      <c r="CD189" s="64"/>
      <c r="CE189" s="65"/>
      <c r="CF189" s="66"/>
      <c r="CG189" s="41"/>
      <c r="CH189" s="42"/>
      <c r="CI189" s="43"/>
      <c r="CJ189" s="41"/>
      <c r="CK189" s="42"/>
      <c r="CL189" s="43"/>
      <c r="CM189" s="42"/>
      <c r="CN189" s="42"/>
      <c r="CO189" s="42"/>
      <c r="CP189" s="41"/>
      <c r="CQ189" s="42"/>
      <c r="CR189" s="43"/>
      <c r="CS189" s="42"/>
      <c r="CT189" s="42"/>
      <c r="CU189" s="42"/>
      <c r="CV189" s="41"/>
      <c r="CW189" s="42"/>
      <c r="CX189" s="43"/>
      <c r="CY189" s="41"/>
      <c r="CZ189" s="42"/>
      <c r="DA189" s="43"/>
      <c r="DB189" s="42"/>
      <c r="DC189" s="42"/>
      <c r="DD189" s="42"/>
      <c r="DE189" s="41"/>
      <c r="DF189" s="42"/>
      <c r="DG189" s="43"/>
      <c r="DH189" s="41"/>
      <c r="DI189" s="42"/>
      <c r="DJ189" s="43"/>
      <c r="DK189" s="41"/>
      <c r="DL189" s="42"/>
      <c r="DM189" s="43"/>
      <c r="DN189" s="41"/>
      <c r="DO189" s="42"/>
      <c r="DP189" s="43"/>
      <c r="DQ189" s="41"/>
      <c r="DR189" s="42"/>
      <c r="DS189" s="43"/>
      <c r="DT189" s="42"/>
      <c r="DU189" s="42"/>
      <c r="DV189" s="44"/>
      <c r="DX189" s="213"/>
      <c r="DY189" s="1"/>
      <c r="DZ189" s="1"/>
      <c r="EA189" s="1"/>
      <c r="EB189" s="1"/>
    </row>
    <row r="190" spans="5:132" s="6" customFormat="1" ht="9.9499999999999993" customHeight="1">
      <c r="F190" s="143">
        <f t="shared" ref="F190" si="113">DX190</f>
        <v>9.0000000000000006E-5</v>
      </c>
      <c r="G190" s="144">
        <f>Q190-F190</f>
        <v>0</v>
      </c>
      <c r="H190" s="27">
        <v>1</v>
      </c>
      <c r="L190" s="230"/>
      <c r="M190" s="296" t="s">
        <v>83</v>
      </c>
      <c r="N190" s="239">
        <v>42</v>
      </c>
      <c r="O190" s="251" t="s">
        <v>84</v>
      </c>
      <c r="P190" s="249">
        <v>19460</v>
      </c>
      <c r="Q190" s="183">
        <f>ROUND(P190/$P$256,5)</f>
        <v>9.0000000000000006E-5</v>
      </c>
      <c r="R190" s="92"/>
      <c r="S190" s="70"/>
      <c r="T190" s="70"/>
      <c r="U190" s="70"/>
      <c r="V190" s="69"/>
      <c r="W190" s="70"/>
      <c r="X190" s="71"/>
      <c r="Y190" s="69"/>
      <c r="Z190" s="70"/>
      <c r="AA190" s="71"/>
      <c r="AB190" s="69"/>
      <c r="AC190" s="70"/>
      <c r="AD190" s="71"/>
      <c r="AE190" s="70"/>
      <c r="AF190" s="70"/>
      <c r="AG190" s="70"/>
      <c r="AH190" s="69"/>
      <c r="AI190" s="70"/>
      <c r="AJ190" s="71"/>
      <c r="AK190" s="69"/>
      <c r="AL190" s="70"/>
      <c r="AM190" s="71"/>
      <c r="AN190" s="69"/>
      <c r="AO190" s="70"/>
      <c r="AP190" s="70"/>
      <c r="AQ190" s="150"/>
      <c r="AR190" s="150"/>
      <c r="AS190" s="150"/>
      <c r="AT190" s="150"/>
      <c r="AU190" s="150"/>
      <c r="AV190" s="150"/>
      <c r="AW190" s="70"/>
      <c r="AX190" s="70"/>
      <c r="AY190" s="70"/>
      <c r="AZ190" s="69"/>
      <c r="BA190" s="70"/>
      <c r="BB190" s="71"/>
      <c r="BC190" s="150"/>
      <c r="BD190" s="150"/>
      <c r="BE190" s="150"/>
      <c r="BF190" s="150"/>
      <c r="BG190" s="150"/>
      <c r="BH190" s="150"/>
      <c r="BI190" s="70"/>
      <c r="BJ190" s="70"/>
      <c r="BK190" s="70"/>
      <c r="BL190" s="69"/>
      <c r="BM190" s="70"/>
      <c r="BN190" s="71"/>
      <c r="BO190" s="150"/>
      <c r="BP190" s="150"/>
      <c r="BQ190" s="166"/>
      <c r="BR190" s="180"/>
      <c r="BS190" s="150"/>
      <c r="BT190" s="181"/>
      <c r="BU190" s="70"/>
      <c r="BV190" s="70"/>
      <c r="BW190" s="70"/>
      <c r="BX190" s="69"/>
      <c r="BY190" s="70"/>
      <c r="BZ190" s="71"/>
      <c r="CA190" s="150">
        <v>4.0000000000000003E-5</v>
      </c>
      <c r="CB190" s="150"/>
      <c r="CC190" s="150"/>
      <c r="CD190" s="150">
        <v>5.0000000000000002E-5</v>
      </c>
      <c r="CE190" s="150"/>
      <c r="CF190" s="150"/>
      <c r="CG190" s="69"/>
      <c r="CH190" s="70"/>
      <c r="CI190" s="71"/>
      <c r="CJ190" s="69"/>
      <c r="CK190" s="70"/>
      <c r="CL190" s="71"/>
      <c r="CM190" s="70"/>
      <c r="CN190" s="70"/>
      <c r="CO190" s="70"/>
      <c r="CP190" s="69"/>
      <c r="CQ190" s="70"/>
      <c r="CR190" s="71"/>
      <c r="CS190" s="70"/>
      <c r="CT190" s="70"/>
      <c r="CU190" s="70"/>
      <c r="CV190" s="69"/>
      <c r="CW190" s="70"/>
      <c r="CX190" s="71"/>
      <c r="CY190" s="69"/>
      <c r="CZ190" s="70"/>
      <c r="DA190" s="71"/>
      <c r="DB190" s="70"/>
      <c r="DC190" s="70"/>
      <c r="DD190" s="70"/>
      <c r="DE190" s="69"/>
      <c r="DF190" s="70"/>
      <c r="DG190" s="71"/>
      <c r="DH190" s="69"/>
      <c r="DI190" s="70"/>
      <c r="DJ190" s="71"/>
      <c r="DK190" s="69"/>
      <c r="DL190" s="70"/>
      <c r="DM190" s="71"/>
      <c r="DN190" s="69"/>
      <c r="DO190" s="70"/>
      <c r="DP190" s="71"/>
      <c r="DQ190" s="69"/>
      <c r="DR190" s="70"/>
      <c r="DS190" s="71"/>
      <c r="DT190" s="70"/>
      <c r="DU190" s="70"/>
      <c r="DV190" s="75"/>
      <c r="DX190" s="213">
        <f>SUM(R190:DV190)</f>
        <v>9.0000000000000006E-5</v>
      </c>
      <c r="DY190" s="1"/>
      <c r="DZ190" s="1"/>
      <c r="EA190" s="1"/>
      <c r="EB190" s="1"/>
    </row>
    <row r="191" spans="5:132" s="6" customFormat="1" ht="6.95" customHeight="1">
      <c r="F191" s="143"/>
      <c r="G191" s="144"/>
      <c r="H191" s="55">
        <v>2</v>
      </c>
      <c r="L191" s="230"/>
      <c r="M191" s="238"/>
      <c r="N191" s="239"/>
      <c r="O191" s="240"/>
      <c r="P191" s="249"/>
      <c r="Q191" s="184"/>
      <c r="R191" s="92"/>
      <c r="S191" s="70"/>
      <c r="T191" s="70"/>
      <c r="U191" s="70"/>
      <c r="V191" s="69"/>
      <c r="W191" s="70"/>
      <c r="X191" s="71"/>
      <c r="Y191" s="69"/>
      <c r="Z191" s="70"/>
      <c r="AA191" s="71"/>
      <c r="AB191" s="69"/>
      <c r="AC191" s="70"/>
      <c r="AD191" s="71"/>
      <c r="AE191" s="70"/>
      <c r="AF191" s="70"/>
      <c r="AG191" s="70"/>
      <c r="AH191" s="69"/>
      <c r="AI191" s="70"/>
      <c r="AJ191" s="71"/>
      <c r="AK191" s="69"/>
      <c r="AL191" s="70"/>
      <c r="AM191" s="71"/>
      <c r="AN191" s="69"/>
      <c r="AO191" s="70"/>
      <c r="AP191" s="70"/>
      <c r="AQ191" s="69"/>
      <c r="AR191" s="118"/>
      <c r="AS191" s="71"/>
      <c r="AT191" s="69"/>
      <c r="AU191" s="118"/>
      <c r="AV191" s="71"/>
      <c r="AW191" s="70"/>
      <c r="AX191" s="70"/>
      <c r="AY191" s="70"/>
      <c r="AZ191" s="69"/>
      <c r="BA191" s="70"/>
      <c r="BB191" s="71"/>
      <c r="BC191" s="69"/>
      <c r="BD191" s="118"/>
      <c r="BE191" s="71"/>
      <c r="BF191" s="69"/>
      <c r="BG191" s="118"/>
      <c r="BH191" s="71"/>
      <c r="BI191" s="70"/>
      <c r="BJ191" s="70"/>
      <c r="BK191" s="70"/>
      <c r="BL191" s="69"/>
      <c r="BM191" s="70"/>
      <c r="BN191" s="71"/>
      <c r="BO191" s="69"/>
      <c r="BP191" s="118"/>
      <c r="BQ191" s="70"/>
      <c r="BR191" s="73"/>
      <c r="BS191" s="118"/>
      <c r="BT191" s="74"/>
      <c r="BU191" s="70"/>
      <c r="BV191" s="70"/>
      <c r="BW191" s="70"/>
      <c r="BX191" s="69"/>
      <c r="BY191" s="70"/>
      <c r="BZ191" s="71"/>
      <c r="CA191" s="64"/>
      <c r="CB191" s="65"/>
      <c r="CC191" s="66"/>
      <c r="CD191" s="64"/>
      <c r="CE191" s="65"/>
      <c r="CF191" s="66"/>
      <c r="CG191" s="69"/>
      <c r="CH191" s="70"/>
      <c r="CI191" s="71"/>
      <c r="CJ191" s="69"/>
      <c r="CK191" s="70"/>
      <c r="CL191" s="71"/>
      <c r="CM191" s="70"/>
      <c r="CN191" s="70"/>
      <c r="CO191" s="70"/>
      <c r="CP191" s="69"/>
      <c r="CQ191" s="70"/>
      <c r="CR191" s="71"/>
      <c r="CS191" s="70"/>
      <c r="CT191" s="70"/>
      <c r="CU191" s="70"/>
      <c r="CV191" s="69"/>
      <c r="CW191" s="70"/>
      <c r="CX191" s="71"/>
      <c r="CY191" s="69"/>
      <c r="CZ191" s="70"/>
      <c r="DA191" s="71"/>
      <c r="DB191" s="70"/>
      <c r="DC191" s="70"/>
      <c r="DD191" s="70"/>
      <c r="DE191" s="69"/>
      <c r="DF191" s="70"/>
      <c r="DG191" s="71"/>
      <c r="DH191" s="69"/>
      <c r="DI191" s="70"/>
      <c r="DJ191" s="71"/>
      <c r="DK191" s="69"/>
      <c r="DL191" s="70"/>
      <c r="DM191" s="71"/>
      <c r="DN191" s="69"/>
      <c r="DO191" s="70"/>
      <c r="DP191" s="71"/>
      <c r="DQ191" s="69"/>
      <c r="DR191" s="70"/>
      <c r="DS191" s="71"/>
      <c r="DT191" s="70"/>
      <c r="DU191" s="70"/>
      <c r="DV191" s="75"/>
      <c r="DX191" s="213"/>
      <c r="DY191" s="1"/>
      <c r="DZ191" s="1"/>
      <c r="EA191" s="1"/>
      <c r="EB191" s="1"/>
    </row>
    <row r="192" spans="5:132" s="6" customFormat="1" ht="9.9499999999999993" customHeight="1">
      <c r="F192" s="143">
        <f t="shared" ref="F192" si="114">DX192</f>
        <v>1.0000000000000001E-5</v>
      </c>
      <c r="G192" s="144">
        <f>Q192-F192</f>
        <v>0</v>
      </c>
      <c r="H192" s="27">
        <v>1</v>
      </c>
      <c r="L192" s="271"/>
      <c r="M192" s="237" t="s">
        <v>157</v>
      </c>
      <c r="N192" s="254">
        <v>1</v>
      </c>
      <c r="O192" s="253" t="s">
        <v>43</v>
      </c>
      <c r="P192" s="245">
        <v>1435</v>
      </c>
      <c r="Q192" s="183">
        <f>ROUND(P192/$P$256,5)</f>
        <v>1.0000000000000001E-5</v>
      </c>
      <c r="R192" s="21"/>
      <c r="S192" s="57"/>
      <c r="T192" s="57"/>
      <c r="U192" s="57"/>
      <c r="V192" s="56"/>
      <c r="W192" s="57"/>
      <c r="X192" s="58"/>
      <c r="Y192" s="56"/>
      <c r="Z192" s="57"/>
      <c r="AA192" s="58"/>
      <c r="AB192" s="56"/>
      <c r="AC192" s="57"/>
      <c r="AD192" s="58"/>
      <c r="AE192" s="57"/>
      <c r="AF192" s="57"/>
      <c r="AG192" s="57"/>
      <c r="AH192" s="56"/>
      <c r="AI192" s="57"/>
      <c r="AJ192" s="58"/>
      <c r="AK192" s="56"/>
      <c r="AL192" s="57"/>
      <c r="AM192" s="58"/>
      <c r="AN192" s="56"/>
      <c r="AO192" s="57"/>
      <c r="AP192" s="57"/>
      <c r="AQ192" s="56"/>
      <c r="AR192" s="105"/>
      <c r="AS192" s="57"/>
      <c r="AT192" s="56"/>
      <c r="AU192" s="105"/>
      <c r="AV192" s="58"/>
      <c r="AW192" s="57"/>
      <c r="AX192" s="57"/>
      <c r="AY192" s="57"/>
      <c r="AZ192" s="56"/>
      <c r="BA192" s="57"/>
      <c r="BB192" s="58"/>
      <c r="BC192" s="146"/>
      <c r="BD192" s="146"/>
      <c r="BE192" s="146"/>
      <c r="BF192" s="146"/>
      <c r="BG192" s="146"/>
      <c r="BH192" s="146"/>
      <c r="BI192" s="57"/>
      <c r="BJ192" s="57"/>
      <c r="BK192" s="57"/>
      <c r="BL192" s="56"/>
      <c r="BM192" s="57"/>
      <c r="BN192" s="58"/>
      <c r="BO192" s="146"/>
      <c r="BP192" s="146"/>
      <c r="BQ192" s="147"/>
      <c r="BR192" s="168"/>
      <c r="BS192" s="146"/>
      <c r="BT192" s="169"/>
      <c r="BU192" s="57"/>
      <c r="BV192" s="57"/>
      <c r="BW192" s="57"/>
      <c r="BX192" s="56"/>
      <c r="BY192" s="57"/>
      <c r="BZ192" s="58"/>
      <c r="CA192" s="146">
        <v>5.0000000000000004E-6</v>
      </c>
      <c r="CB192" s="146"/>
      <c r="CC192" s="146"/>
      <c r="CD192" s="146">
        <v>5.0000000000000004E-6</v>
      </c>
      <c r="CE192" s="146"/>
      <c r="CF192" s="146"/>
      <c r="CG192" s="56"/>
      <c r="CH192" s="57"/>
      <c r="CI192" s="58"/>
      <c r="CJ192" s="56"/>
      <c r="CK192" s="57"/>
      <c r="CL192" s="58"/>
      <c r="CM192" s="57"/>
      <c r="CN192" s="57"/>
      <c r="CO192" s="57"/>
      <c r="CP192" s="56"/>
      <c r="CQ192" s="57"/>
      <c r="CR192" s="58"/>
      <c r="CS192" s="57"/>
      <c r="CT192" s="57"/>
      <c r="CU192" s="57"/>
      <c r="CV192" s="56"/>
      <c r="CW192" s="57"/>
      <c r="CX192" s="58"/>
      <c r="CY192" s="56"/>
      <c r="CZ192" s="57"/>
      <c r="DA192" s="58"/>
      <c r="DB192" s="57"/>
      <c r="DC192" s="57"/>
      <c r="DD192" s="57"/>
      <c r="DE192" s="56"/>
      <c r="DF192" s="57"/>
      <c r="DG192" s="58"/>
      <c r="DH192" s="56"/>
      <c r="DI192" s="57"/>
      <c r="DJ192" s="58"/>
      <c r="DK192" s="56"/>
      <c r="DL192" s="57"/>
      <c r="DM192" s="58"/>
      <c r="DN192" s="56"/>
      <c r="DO192" s="57"/>
      <c r="DP192" s="58"/>
      <c r="DQ192" s="56"/>
      <c r="DR192" s="57"/>
      <c r="DS192" s="58"/>
      <c r="DT192" s="57"/>
      <c r="DU192" s="57"/>
      <c r="DV192" s="62"/>
      <c r="DX192" s="213">
        <f>SUM(R192:DV192)</f>
        <v>1.0000000000000001E-5</v>
      </c>
      <c r="DY192" s="1"/>
      <c r="DZ192" s="1"/>
      <c r="EA192" s="1"/>
      <c r="EB192" s="1"/>
    </row>
    <row r="193" spans="5:132" s="6" customFormat="1" ht="6.95" customHeight="1">
      <c r="F193" s="143"/>
      <c r="G193" s="144"/>
      <c r="H193" s="55">
        <v>2</v>
      </c>
      <c r="L193" s="272"/>
      <c r="M193" s="232"/>
      <c r="N193" s="255"/>
      <c r="O193" s="244"/>
      <c r="P193" s="246"/>
      <c r="Q193" s="184"/>
      <c r="R193" s="93"/>
      <c r="S193" s="42"/>
      <c r="T193" s="42"/>
      <c r="U193" s="42"/>
      <c r="V193" s="41"/>
      <c r="W193" s="42"/>
      <c r="X193" s="43"/>
      <c r="Y193" s="41"/>
      <c r="Z193" s="42"/>
      <c r="AA193" s="43"/>
      <c r="AB193" s="41"/>
      <c r="AC193" s="42"/>
      <c r="AD193" s="43"/>
      <c r="AE193" s="42"/>
      <c r="AF193" s="42"/>
      <c r="AG193" s="42"/>
      <c r="AH193" s="41"/>
      <c r="AI193" s="42"/>
      <c r="AJ193" s="43"/>
      <c r="AK193" s="41"/>
      <c r="AL193" s="42"/>
      <c r="AM193" s="43"/>
      <c r="AN193" s="41"/>
      <c r="AO193" s="42"/>
      <c r="AP193" s="42"/>
      <c r="AQ193" s="41"/>
      <c r="AR193" s="104"/>
      <c r="AS193" s="42"/>
      <c r="AT193" s="41"/>
      <c r="AU193" s="104"/>
      <c r="AV193" s="43"/>
      <c r="AW193" s="42"/>
      <c r="AX193" s="42"/>
      <c r="AY193" s="42"/>
      <c r="AZ193" s="41"/>
      <c r="BA193" s="42"/>
      <c r="BB193" s="43"/>
      <c r="BC193" s="41"/>
      <c r="BD193" s="104"/>
      <c r="BE193" s="43"/>
      <c r="BF193" s="41"/>
      <c r="BG193" s="104"/>
      <c r="BH193" s="43"/>
      <c r="BI193" s="42"/>
      <c r="BJ193" s="42"/>
      <c r="BK193" s="42"/>
      <c r="BL193" s="41"/>
      <c r="BM193" s="42"/>
      <c r="BN193" s="43"/>
      <c r="BO193" s="41"/>
      <c r="BP193" s="104"/>
      <c r="BQ193" s="42"/>
      <c r="BR193" s="67"/>
      <c r="BS193" s="104"/>
      <c r="BT193" s="68"/>
      <c r="BU193" s="42"/>
      <c r="BV193" s="42"/>
      <c r="BW193" s="42"/>
      <c r="BX193" s="41"/>
      <c r="BY193" s="42"/>
      <c r="BZ193" s="43"/>
      <c r="CA193" s="64"/>
      <c r="CB193" s="65"/>
      <c r="CC193" s="66"/>
      <c r="CD193" s="64"/>
      <c r="CE193" s="65"/>
      <c r="CF193" s="66"/>
      <c r="CG193" s="41"/>
      <c r="CH193" s="42"/>
      <c r="CI193" s="43"/>
      <c r="CJ193" s="41"/>
      <c r="CK193" s="42"/>
      <c r="CL193" s="43"/>
      <c r="CM193" s="42"/>
      <c r="CN193" s="42"/>
      <c r="CO193" s="42"/>
      <c r="CP193" s="41"/>
      <c r="CQ193" s="42"/>
      <c r="CR193" s="43"/>
      <c r="CS193" s="42"/>
      <c r="CT193" s="42"/>
      <c r="CU193" s="42"/>
      <c r="CV193" s="41"/>
      <c r="CW193" s="42"/>
      <c r="CX193" s="43"/>
      <c r="CY193" s="41"/>
      <c r="CZ193" s="42"/>
      <c r="DA193" s="43"/>
      <c r="DB193" s="42"/>
      <c r="DC193" s="42"/>
      <c r="DD193" s="42"/>
      <c r="DE193" s="41"/>
      <c r="DF193" s="42"/>
      <c r="DG193" s="43"/>
      <c r="DH193" s="41"/>
      <c r="DI193" s="42"/>
      <c r="DJ193" s="43"/>
      <c r="DK193" s="41"/>
      <c r="DL193" s="42"/>
      <c r="DM193" s="43"/>
      <c r="DN193" s="41"/>
      <c r="DO193" s="42"/>
      <c r="DP193" s="43"/>
      <c r="DQ193" s="41"/>
      <c r="DR193" s="42"/>
      <c r="DS193" s="43"/>
      <c r="DT193" s="42"/>
      <c r="DU193" s="42"/>
      <c r="DV193" s="44"/>
      <c r="DX193" s="213"/>
      <c r="DY193" s="1"/>
      <c r="DZ193" s="1"/>
      <c r="EA193" s="1"/>
      <c r="EB193" s="1"/>
    </row>
    <row r="194" spans="5:132" s="6" customFormat="1" ht="9.9499999999999993" customHeight="1">
      <c r="F194" s="143">
        <f t="shared" ref="F194" si="115">DX194</f>
        <v>1.5000000000000001E-4</v>
      </c>
      <c r="G194" s="144">
        <f>Q194-F194</f>
        <v>0</v>
      </c>
      <c r="H194" s="27">
        <v>1</v>
      </c>
      <c r="L194" s="230"/>
      <c r="M194" s="238" t="s">
        <v>78</v>
      </c>
      <c r="N194" s="239">
        <v>1</v>
      </c>
      <c r="O194" s="251" t="s">
        <v>85</v>
      </c>
      <c r="P194" s="249">
        <v>32264</v>
      </c>
      <c r="Q194" s="183">
        <f>ROUND(P194/$P$256,5)</f>
        <v>1.4999999999999999E-4</v>
      </c>
      <c r="R194" s="76"/>
      <c r="S194" s="70"/>
      <c r="T194" s="70"/>
      <c r="U194" s="70"/>
      <c r="V194" s="69"/>
      <c r="W194" s="70"/>
      <c r="X194" s="71"/>
      <c r="Y194" s="69"/>
      <c r="Z194" s="70"/>
      <c r="AA194" s="71"/>
      <c r="AB194" s="69"/>
      <c r="AC194" s="70"/>
      <c r="AD194" s="71"/>
      <c r="AE194" s="70"/>
      <c r="AF194" s="70"/>
      <c r="AG194" s="70"/>
      <c r="AH194" s="69"/>
      <c r="AI194" s="70"/>
      <c r="AJ194" s="71"/>
      <c r="AK194" s="69"/>
      <c r="AL194" s="70"/>
      <c r="AM194" s="71"/>
      <c r="AN194" s="69"/>
      <c r="AO194" s="70"/>
      <c r="AP194" s="70"/>
      <c r="AQ194" s="69"/>
      <c r="AR194" s="70"/>
      <c r="AS194" s="70"/>
      <c r="AT194" s="69"/>
      <c r="AU194" s="70"/>
      <c r="AV194" s="71"/>
      <c r="AW194" s="70"/>
      <c r="AX194" s="70"/>
      <c r="AY194" s="70"/>
      <c r="AZ194" s="69"/>
      <c r="BA194" s="70"/>
      <c r="BB194" s="71"/>
      <c r="BC194" s="150"/>
      <c r="BD194" s="150"/>
      <c r="BE194" s="150"/>
      <c r="BF194" s="150"/>
      <c r="BG194" s="150"/>
      <c r="BH194" s="150"/>
      <c r="BI194" s="70"/>
      <c r="BJ194" s="70"/>
      <c r="BK194" s="70"/>
      <c r="BL194" s="69"/>
      <c r="BM194" s="70"/>
      <c r="BN194" s="71"/>
      <c r="BO194" s="146"/>
      <c r="BP194" s="146"/>
      <c r="BQ194" s="147"/>
      <c r="BR194" s="168"/>
      <c r="BS194" s="146"/>
      <c r="BT194" s="169"/>
      <c r="BU194" s="70"/>
      <c r="BV194" s="70"/>
      <c r="BW194" s="70"/>
      <c r="BX194" s="69"/>
      <c r="BY194" s="70"/>
      <c r="BZ194" s="71"/>
      <c r="CA194" s="146">
        <v>6.9999999999999994E-5</v>
      </c>
      <c r="CB194" s="146"/>
      <c r="CC194" s="146"/>
      <c r="CD194" s="146">
        <v>8.0000000000000007E-5</v>
      </c>
      <c r="CE194" s="146"/>
      <c r="CF194" s="146"/>
      <c r="CG194" s="69"/>
      <c r="CH194" s="70"/>
      <c r="CI194" s="71"/>
      <c r="CJ194" s="69"/>
      <c r="CK194" s="70"/>
      <c r="CL194" s="71"/>
      <c r="CM194" s="70"/>
      <c r="CN194" s="70"/>
      <c r="CO194" s="70"/>
      <c r="CP194" s="69"/>
      <c r="CQ194" s="70"/>
      <c r="CR194" s="71"/>
      <c r="CS194" s="70"/>
      <c r="CT194" s="70"/>
      <c r="CU194" s="70"/>
      <c r="CV194" s="69"/>
      <c r="CW194" s="70"/>
      <c r="CX194" s="71"/>
      <c r="CY194" s="69"/>
      <c r="CZ194" s="70"/>
      <c r="DA194" s="71"/>
      <c r="DB194" s="70"/>
      <c r="DC194" s="70"/>
      <c r="DD194" s="70"/>
      <c r="DE194" s="69"/>
      <c r="DF194" s="70"/>
      <c r="DG194" s="71"/>
      <c r="DH194" s="69"/>
      <c r="DI194" s="70"/>
      <c r="DJ194" s="71"/>
      <c r="DK194" s="69"/>
      <c r="DL194" s="70"/>
      <c r="DM194" s="71"/>
      <c r="DN194" s="69"/>
      <c r="DO194" s="70"/>
      <c r="DP194" s="71"/>
      <c r="DQ194" s="69"/>
      <c r="DR194" s="70"/>
      <c r="DS194" s="71"/>
      <c r="DT194" s="70"/>
      <c r="DU194" s="70"/>
      <c r="DV194" s="75"/>
      <c r="DX194" s="213">
        <f>SUM(R194:DV194)</f>
        <v>1.5000000000000001E-4</v>
      </c>
      <c r="DY194" s="1"/>
      <c r="DZ194" s="1"/>
      <c r="EA194" s="1"/>
      <c r="EB194" s="1"/>
    </row>
    <row r="195" spans="5:132" s="6" customFormat="1" ht="6.95" customHeight="1" thickBot="1">
      <c r="F195" s="143"/>
      <c r="G195" s="144"/>
      <c r="H195" s="55">
        <v>2</v>
      </c>
      <c r="L195" s="252"/>
      <c r="M195" s="308"/>
      <c r="N195" s="301"/>
      <c r="O195" s="298"/>
      <c r="P195" s="250"/>
      <c r="Q195" s="184"/>
      <c r="R195" s="85"/>
      <c r="S195" s="86"/>
      <c r="T195" s="86"/>
      <c r="U195" s="86"/>
      <c r="V195" s="87"/>
      <c r="W195" s="86"/>
      <c r="X195" s="88"/>
      <c r="Y195" s="87"/>
      <c r="Z195" s="86"/>
      <c r="AA195" s="88"/>
      <c r="AB195" s="87"/>
      <c r="AC195" s="86"/>
      <c r="AD195" s="88"/>
      <c r="AE195" s="86"/>
      <c r="AF195" s="86"/>
      <c r="AG195" s="86"/>
      <c r="AH195" s="87"/>
      <c r="AI195" s="86"/>
      <c r="AJ195" s="88"/>
      <c r="AK195" s="87"/>
      <c r="AL195" s="86"/>
      <c r="AM195" s="88"/>
      <c r="AN195" s="87"/>
      <c r="AO195" s="86"/>
      <c r="AP195" s="86"/>
      <c r="AQ195" s="87"/>
      <c r="AR195" s="86"/>
      <c r="AS195" s="86"/>
      <c r="AT195" s="87"/>
      <c r="AU195" s="86"/>
      <c r="AV195" s="88"/>
      <c r="AW195" s="86"/>
      <c r="AX195" s="86"/>
      <c r="AY195" s="86"/>
      <c r="AZ195" s="87"/>
      <c r="BA195" s="86"/>
      <c r="BB195" s="88"/>
      <c r="BC195" s="87"/>
      <c r="BD195" s="116"/>
      <c r="BE195" s="88"/>
      <c r="BF195" s="87"/>
      <c r="BG195" s="116"/>
      <c r="BH195" s="88"/>
      <c r="BI195" s="86"/>
      <c r="BJ195" s="86"/>
      <c r="BK195" s="86"/>
      <c r="BL195" s="87"/>
      <c r="BM195" s="86"/>
      <c r="BN195" s="88"/>
      <c r="BO195" s="87"/>
      <c r="BP195" s="116"/>
      <c r="BQ195" s="86"/>
      <c r="BR195" s="89"/>
      <c r="BS195" s="116"/>
      <c r="BT195" s="90"/>
      <c r="BU195" s="86"/>
      <c r="BV195" s="86"/>
      <c r="BW195" s="86"/>
      <c r="BX195" s="87"/>
      <c r="BY195" s="86"/>
      <c r="BZ195" s="88"/>
      <c r="CA195" s="64"/>
      <c r="CB195" s="65"/>
      <c r="CC195" s="66"/>
      <c r="CD195" s="64"/>
      <c r="CE195" s="65"/>
      <c r="CF195" s="66"/>
      <c r="CG195" s="87"/>
      <c r="CH195" s="86"/>
      <c r="CI195" s="88"/>
      <c r="CJ195" s="87"/>
      <c r="CK195" s="86"/>
      <c r="CL195" s="88"/>
      <c r="CM195" s="86"/>
      <c r="CN195" s="86"/>
      <c r="CO195" s="86"/>
      <c r="CP195" s="87"/>
      <c r="CQ195" s="86"/>
      <c r="CR195" s="88"/>
      <c r="CS195" s="86"/>
      <c r="CT195" s="86"/>
      <c r="CU195" s="86"/>
      <c r="CV195" s="87"/>
      <c r="CW195" s="86"/>
      <c r="CX195" s="88"/>
      <c r="CY195" s="87"/>
      <c r="CZ195" s="86"/>
      <c r="DA195" s="88"/>
      <c r="DB195" s="86"/>
      <c r="DC195" s="86"/>
      <c r="DD195" s="86"/>
      <c r="DE195" s="87"/>
      <c r="DF195" s="86"/>
      <c r="DG195" s="88"/>
      <c r="DH195" s="87"/>
      <c r="DI195" s="86"/>
      <c r="DJ195" s="88"/>
      <c r="DK195" s="87"/>
      <c r="DL195" s="86"/>
      <c r="DM195" s="88"/>
      <c r="DN195" s="87"/>
      <c r="DO195" s="86"/>
      <c r="DP195" s="88"/>
      <c r="DQ195" s="87"/>
      <c r="DR195" s="86"/>
      <c r="DS195" s="88"/>
      <c r="DT195" s="86"/>
      <c r="DU195" s="86"/>
      <c r="DV195" s="91"/>
      <c r="DX195" s="213"/>
      <c r="DY195" s="1"/>
      <c r="DZ195" s="1"/>
      <c r="EA195" s="1"/>
      <c r="EB195" s="1"/>
    </row>
    <row r="196" spans="5:132" s="18" customFormat="1" ht="9.9499999999999993" customHeight="1">
      <c r="F196" s="141">
        <f t="shared" ref="F196" si="116">DX196</f>
        <v>6.4800000000000014E-3</v>
      </c>
      <c r="G196" s="142">
        <f>Q196-F196</f>
        <v>0</v>
      </c>
      <c r="H196" s="27">
        <v>1</v>
      </c>
      <c r="L196" s="224" t="s">
        <v>87</v>
      </c>
      <c r="M196" s="225"/>
      <c r="N196" s="225"/>
      <c r="O196" s="226"/>
      <c r="P196" s="187">
        <f>SUM(P198:P207)</f>
        <v>1348297</v>
      </c>
      <c r="Q196" s="185">
        <f>ROUND(SUM(Q198:Q207),5)</f>
        <v>6.4799999999999996E-3</v>
      </c>
      <c r="R196" s="185">
        <f>ROUND(SUM(R198:R207),5)</f>
        <v>0</v>
      </c>
      <c r="S196" s="160">
        <f>ROUND(SUM(S198:U207),5)</f>
        <v>0</v>
      </c>
      <c r="T196" s="160"/>
      <c r="U196" s="161"/>
      <c r="V196" s="159">
        <f>ROUND(SUM(V198:X207),5)</f>
        <v>0</v>
      </c>
      <c r="W196" s="160"/>
      <c r="X196" s="161"/>
      <c r="Y196" s="159">
        <f>ROUND(SUM(Y198:AA207),5)</f>
        <v>0</v>
      </c>
      <c r="Z196" s="160"/>
      <c r="AA196" s="161"/>
      <c r="AB196" s="159">
        <f>ROUND(SUM(AB198:AD207),5)</f>
        <v>0</v>
      </c>
      <c r="AC196" s="160"/>
      <c r="AD196" s="161"/>
      <c r="AE196" s="159">
        <f>ROUND(SUM(AE198:AG207),5)</f>
        <v>0</v>
      </c>
      <c r="AF196" s="160"/>
      <c r="AG196" s="161"/>
      <c r="AH196" s="159">
        <f>ROUND(SUM(AH198:AJ207),5)</f>
        <v>0</v>
      </c>
      <c r="AI196" s="160"/>
      <c r="AJ196" s="161"/>
      <c r="AK196" s="159">
        <f>ROUND(SUM(AK198:AM207),5)</f>
        <v>0</v>
      </c>
      <c r="AL196" s="160"/>
      <c r="AM196" s="161"/>
      <c r="AN196" s="159">
        <f>ROUND(SUM(AN198:AP207),5)</f>
        <v>0</v>
      </c>
      <c r="AO196" s="160"/>
      <c r="AP196" s="161"/>
      <c r="AQ196" s="159">
        <f>ROUND(SUM(AQ198:AS207),5)</f>
        <v>0</v>
      </c>
      <c r="AR196" s="160"/>
      <c r="AS196" s="161"/>
      <c r="AT196" s="159">
        <f>ROUND(SUM(AT198:AV207),5)</f>
        <v>0</v>
      </c>
      <c r="AU196" s="160"/>
      <c r="AV196" s="161"/>
      <c r="AW196" s="159">
        <f>ROUND(SUM(AW198:AY207),5)</f>
        <v>0</v>
      </c>
      <c r="AX196" s="160"/>
      <c r="AY196" s="161"/>
      <c r="AZ196" s="159">
        <f>ROUND(SUM(AZ198:BB207),5)</f>
        <v>0</v>
      </c>
      <c r="BA196" s="160"/>
      <c r="BB196" s="161"/>
      <c r="BC196" s="159">
        <f>ROUND(SUM(BC198:BE207),5)</f>
        <v>0</v>
      </c>
      <c r="BD196" s="160"/>
      <c r="BE196" s="161"/>
      <c r="BF196" s="159">
        <f>ROUND(SUM(BF198:BH207),5)</f>
        <v>0</v>
      </c>
      <c r="BG196" s="160"/>
      <c r="BH196" s="161"/>
      <c r="BI196" s="159">
        <f>ROUND(SUM(BI198:BK207),5)</f>
        <v>0</v>
      </c>
      <c r="BJ196" s="160"/>
      <c r="BK196" s="161"/>
      <c r="BL196" s="159">
        <f>ROUND(SUM(BL198:BN207),5)</f>
        <v>4.6000000000000001E-4</v>
      </c>
      <c r="BM196" s="160"/>
      <c r="BN196" s="161"/>
      <c r="BO196" s="159">
        <f>ROUND(SUM(BO198:BQ207),5)</f>
        <v>9.3999999999999997E-4</v>
      </c>
      <c r="BP196" s="160"/>
      <c r="BQ196" s="160"/>
      <c r="BR196" s="176">
        <f>ROUND(SUM(BR198:BT207),5)</f>
        <v>9.6000000000000002E-4</v>
      </c>
      <c r="BS196" s="160"/>
      <c r="BT196" s="177"/>
      <c r="BU196" s="160">
        <f>ROUND(SUM(BU198:BW207),5)</f>
        <v>8.1999999999999998E-4</v>
      </c>
      <c r="BV196" s="160"/>
      <c r="BW196" s="161"/>
      <c r="BX196" s="159">
        <f>ROUND(SUM(BX198:BZ207),5)</f>
        <v>7.5000000000000002E-4</v>
      </c>
      <c r="BY196" s="160"/>
      <c r="BZ196" s="161"/>
      <c r="CA196" s="159">
        <f>ROUND(SUM(CA198:CC207),5)</f>
        <v>9.3000000000000005E-4</v>
      </c>
      <c r="CB196" s="160"/>
      <c r="CC196" s="161"/>
      <c r="CD196" s="159">
        <f>ROUND(SUM(CD198:CF207),5)</f>
        <v>9.5E-4</v>
      </c>
      <c r="CE196" s="160"/>
      <c r="CF196" s="161"/>
      <c r="CG196" s="159">
        <f>ROUND(SUM(CG198:CI207),5)</f>
        <v>6.7000000000000002E-4</v>
      </c>
      <c r="CH196" s="160"/>
      <c r="CI196" s="161"/>
      <c r="CJ196" s="159">
        <f>ROUND(SUM(CJ198:CL207),5)</f>
        <v>0</v>
      </c>
      <c r="CK196" s="160"/>
      <c r="CL196" s="161"/>
      <c r="CM196" s="159">
        <f>ROUND(SUM(CM198:CO207),5)</f>
        <v>0</v>
      </c>
      <c r="CN196" s="160"/>
      <c r="CO196" s="161"/>
      <c r="CP196" s="159">
        <f>ROUND(SUM(CP198:CR207),5)</f>
        <v>0</v>
      </c>
      <c r="CQ196" s="160"/>
      <c r="CR196" s="161"/>
      <c r="CS196" s="159">
        <f>ROUND(SUM(CS198:CU207),5)</f>
        <v>0</v>
      </c>
      <c r="CT196" s="160"/>
      <c r="CU196" s="161"/>
      <c r="CV196" s="159">
        <f>ROUND(SUM(CV198:CX207),5)</f>
        <v>0</v>
      </c>
      <c r="CW196" s="160"/>
      <c r="CX196" s="161"/>
      <c r="CY196" s="159">
        <f>ROUND(SUM(CY198:DA207),5)</f>
        <v>0</v>
      </c>
      <c r="CZ196" s="160"/>
      <c r="DA196" s="161"/>
      <c r="DB196" s="159">
        <f>ROUND(SUM(DB198:DD207),5)</f>
        <v>0</v>
      </c>
      <c r="DC196" s="160"/>
      <c r="DD196" s="161"/>
      <c r="DE196" s="159">
        <f>ROUND(SUM(DE198:DG207),5)</f>
        <v>0</v>
      </c>
      <c r="DF196" s="160"/>
      <c r="DG196" s="161"/>
      <c r="DH196" s="159">
        <f>ROUND(SUM(DH198:DJ207),5)</f>
        <v>0</v>
      </c>
      <c r="DI196" s="160"/>
      <c r="DJ196" s="161"/>
      <c r="DK196" s="159">
        <f>ROUND(SUM(DK198:DM207),5)</f>
        <v>0</v>
      </c>
      <c r="DL196" s="160"/>
      <c r="DM196" s="161"/>
      <c r="DN196" s="159">
        <f>ROUND(SUM(DN198:DP207),5)</f>
        <v>0</v>
      </c>
      <c r="DO196" s="160"/>
      <c r="DP196" s="161"/>
      <c r="DQ196" s="159">
        <f>ROUND(SUM(DQ198:DS207),5)</f>
        <v>0</v>
      </c>
      <c r="DR196" s="160"/>
      <c r="DS196" s="161"/>
      <c r="DT196" s="159">
        <f>ROUND(SUM(DT198:DV207),5)</f>
        <v>0</v>
      </c>
      <c r="DU196" s="160"/>
      <c r="DV196" s="170"/>
      <c r="DX196" s="145">
        <f>SUM(R196:DV196)</f>
        <v>6.4800000000000014E-3</v>
      </c>
      <c r="DY196" s="145">
        <f>SUM(DX198:DX207)</f>
        <v>6.4799999999999996E-3</v>
      </c>
      <c r="DZ196" s="117"/>
      <c r="EA196" s="117"/>
      <c r="EB196" s="117"/>
    </row>
    <row r="197" spans="5:132" s="18" customFormat="1" ht="9.9499999999999993" customHeight="1">
      <c r="F197" s="141"/>
      <c r="G197" s="142"/>
      <c r="H197" s="55">
        <v>2</v>
      </c>
      <c r="L197" s="227"/>
      <c r="M197" s="228"/>
      <c r="N197" s="228"/>
      <c r="O197" s="229"/>
      <c r="P197" s="188"/>
      <c r="Q197" s="186"/>
      <c r="R197" s="186"/>
      <c r="S197" s="163"/>
      <c r="T197" s="163"/>
      <c r="U197" s="164"/>
      <c r="V197" s="162"/>
      <c r="W197" s="163"/>
      <c r="X197" s="164"/>
      <c r="Y197" s="162"/>
      <c r="Z197" s="163"/>
      <c r="AA197" s="164"/>
      <c r="AB197" s="162"/>
      <c r="AC197" s="163"/>
      <c r="AD197" s="164"/>
      <c r="AE197" s="162"/>
      <c r="AF197" s="163"/>
      <c r="AG197" s="164"/>
      <c r="AH197" s="162"/>
      <c r="AI197" s="163"/>
      <c r="AJ197" s="164"/>
      <c r="AK197" s="162"/>
      <c r="AL197" s="163"/>
      <c r="AM197" s="164"/>
      <c r="AN197" s="162"/>
      <c r="AO197" s="163"/>
      <c r="AP197" s="164"/>
      <c r="AQ197" s="162"/>
      <c r="AR197" s="163"/>
      <c r="AS197" s="164"/>
      <c r="AT197" s="162"/>
      <c r="AU197" s="163"/>
      <c r="AV197" s="164"/>
      <c r="AW197" s="162"/>
      <c r="AX197" s="163"/>
      <c r="AY197" s="164"/>
      <c r="AZ197" s="162"/>
      <c r="BA197" s="163"/>
      <c r="BB197" s="164"/>
      <c r="BC197" s="162"/>
      <c r="BD197" s="163"/>
      <c r="BE197" s="164"/>
      <c r="BF197" s="162"/>
      <c r="BG197" s="163"/>
      <c r="BH197" s="164"/>
      <c r="BI197" s="162"/>
      <c r="BJ197" s="163"/>
      <c r="BK197" s="164"/>
      <c r="BL197" s="162"/>
      <c r="BM197" s="163"/>
      <c r="BN197" s="164"/>
      <c r="BO197" s="162"/>
      <c r="BP197" s="163"/>
      <c r="BQ197" s="163"/>
      <c r="BR197" s="178"/>
      <c r="BS197" s="163"/>
      <c r="BT197" s="179"/>
      <c r="BU197" s="163"/>
      <c r="BV197" s="163"/>
      <c r="BW197" s="164"/>
      <c r="BX197" s="162"/>
      <c r="BY197" s="163"/>
      <c r="BZ197" s="164"/>
      <c r="CA197" s="162"/>
      <c r="CB197" s="163"/>
      <c r="CC197" s="164"/>
      <c r="CD197" s="162"/>
      <c r="CE197" s="163"/>
      <c r="CF197" s="164"/>
      <c r="CG197" s="162"/>
      <c r="CH197" s="163"/>
      <c r="CI197" s="164"/>
      <c r="CJ197" s="162"/>
      <c r="CK197" s="163"/>
      <c r="CL197" s="164"/>
      <c r="CM197" s="162"/>
      <c r="CN197" s="163"/>
      <c r="CO197" s="164"/>
      <c r="CP197" s="162"/>
      <c r="CQ197" s="163"/>
      <c r="CR197" s="164"/>
      <c r="CS197" s="162"/>
      <c r="CT197" s="163"/>
      <c r="CU197" s="164"/>
      <c r="CV197" s="162"/>
      <c r="CW197" s="163"/>
      <c r="CX197" s="164"/>
      <c r="CY197" s="162"/>
      <c r="CZ197" s="163"/>
      <c r="DA197" s="164"/>
      <c r="DB197" s="162"/>
      <c r="DC197" s="163"/>
      <c r="DD197" s="164"/>
      <c r="DE197" s="162"/>
      <c r="DF197" s="163"/>
      <c r="DG197" s="164"/>
      <c r="DH197" s="162"/>
      <c r="DI197" s="163"/>
      <c r="DJ197" s="164"/>
      <c r="DK197" s="162"/>
      <c r="DL197" s="163"/>
      <c r="DM197" s="164"/>
      <c r="DN197" s="162"/>
      <c r="DO197" s="163"/>
      <c r="DP197" s="164"/>
      <c r="DQ197" s="162"/>
      <c r="DR197" s="163"/>
      <c r="DS197" s="164"/>
      <c r="DT197" s="162"/>
      <c r="DU197" s="163"/>
      <c r="DV197" s="171"/>
      <c r="DX197" s="145"/>
      <c r="DY197" s="145"/>
      <c r="DZ197" s="117"/>
      <c r="EA197" s="117"/>
      <c r="EB197" s="117"/>
    </row>
    <row r="198" spans="5:132" s="6" customFormat="1" ht="9.9499999999999993" customHeight="1">
      <c r="F198" s="143">
        <f t="shared" ref="F198" si="117">DX198</f>
        <v>5.1999999999999995E-4</v>
      </c>
      <c r="G198" s="144">
        <f>Q198-F198</f>
        <v>0</v>
      </c>
      <c r="H198" s="27">
        <v>1</v>
      </c>
      <c r="I198" s="19" t="s">
        <v>248</v>
      </c>
      <c r="J198" s="19" t="s">
        <v>186</v>
      </c>
      <c r="K198" s="19" t="s">
        <v>247</v>
      </c>
      <c r="L198" s="271"/>
      <c r="M198" s="231" t="s">
        <v>159</v>
      </c>
      <c r="N198" s="254">
        <v>40107</v>
      </c>
      <c r="O198" s="243" t="s">
        <v>158</v>
      </c>
      <c r="P198" s="245">
        <v>108363</v>
      </c>
      <c r="Q198" s="183">
        <f>ROUND(P198/$P$256,5)</f>
        <v>5.1999999999999995E-4</v>
      </c>
      <c r="R198" s="79"/>
      <c r="S198" s="57"/>
      <c r="T198" s="57"/>
      <c r="U198" s="57"/>
      <c r="V198" s="56"/>
      <c r="W198" s="57"/>
      <c r="X198" s="58"/>
      <c r="Y198" s="56"/>
      <c r="Z198" s="57"/>
      <c r="AA198" s="58"/>
      <c r="AB198" s="56"/>
      <c r="AC198" s="57"/>
      <c r="AD198" s="58"/>
      <c r="AE198" s="57"/>
      <c r="AF198" s="57"/>
      <c r="AG198" s="57"/>
      <c r="AH198" s="146"/>
      <c r="AI198" s="146"/>
      <c r="AJ198" s="146"/>
      <c r="AK198" s="149"/>
      <c r="AL198" s="146"/>
      <c r="AM198" s="147"/>
      <c r="AN198" s="146"/>
      <c r="AO198" s="146"/>
      <c r="AP198" s="146"/>
      <c r="AQ198" s="146"/>
      <c r="AR198" s="146"/>
      <c r="AS198" s="146"/>
      <c r="AT198" s="149"/>
      <c r="AU198" s="146"/>
      <c r="AV198" s="147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9"/>
      <c r="BG198" s="146"/>
      <c r="BH198" s="147"/>
      <c r="BI198" s="146"/>
      <c r="BJ198" s="146"/>
      <c r="BK198" s="146"/>
      <c r="BL198" s="147">
        <v>3.0000000000000001E-5</v>
      </c>
      <c r="BM198" s="148"/>
      <c r="BN198" s="149"/>
      <c r="BO198" s="147">
        <v>6.0000000000000002E-5</v>
      </c>
      <c r="BP198" s="148"/>
      <c r="BQ198" s="352"/>
      <c r="BR198" s="353">
        <v>8.0000000000000007E-5</v>
      </c>
      <c r="BS198" s="148"/>
      <c r="BT198" s="352"/>
      <c r="BU198" s="353">
        <v>8.0000000000000007E-5</v>
      </c>
      <c r="BV198" s="148"/>
      <c r="BW198" s="149"/>
      <c r="BX198" s="147">
        <v>8.0000000000000007E-5</v>
      </c>
      <c r="BY198" s="148"/>
      <c r="BZ198" s="149"/>
      <c r="CA198" s="147">
        <v>8.0000000000000007E-5</v>
      </c>
      <c r="CB198" s="148"/>
      <c r="CC198" s="149"/>
      <c r="CD198" s="147">
        <v>6.9999999999999994E-5</v>
      </c>
      <c r="CE198" s="148"/>
      <c r="CF198" s="149"/>
      <c r="CG198" s="147">
        <v>4.0000000000000003E-5</v>
      </c>
      <c r="CH198" s="148"/>
      <c r="CI198" s="149"/>
      <c r="CJ198" s="56"/>
      <c r="CK198" s="57"/>
      <c r="CL198" s="58"/>
      <c r="CM198" s="57"/>
      <c r="CN198" s="57"/>
      <c r="CO198" s="57"/>
      <c r="CP198" s="56"/>
      <c r="CQ198" s="57"/>
      <c r="CR198" s="58"/>
      <c r="CS198" s="57"/>
      <c r="CT198" s="57"/>
      <c r="CU198" s="57"/>
      <c r="CV198" s="56"/>
      <c r="CW198" s="57"/>
      <c r="CX198" s="58"/>
      <c r="CY198" s="56"/>
      <c r="CZ198" s="57"/>
      <c r="DA198" s="58"/>
      <c r="DB198" s="57"/>
      <c r="DC198" s="57"/>
      <c r="DD198" s="57"/>
      <c r="DE198" s="56"/>
      <c r="DF198" s="57"/>
      <c r="DG198" s="58"/>
      <c r="DH198" s="56"/>
      <c r="DI198" s="57"/>
      <c r="DJ198" s="58"/>
      <c r="DK198" s="56"/>
      <c r="DL198" s="57"/>
      <c r="DM198" s="58"/>
      <c r="DN198" s="56"/>
      <c r="DO198" s="57"/>
      <c r="DP198" s="58"/>
      <c r="DQ198" s="56"/>
      <c r="DR198" s="57"/>
      <c r="DS198" s="58"/>
      <c r="DT198" s="57"/>
      <c r="DU198" s="57"/>
      <c r="DV198" s="62"/>
      <c r="DX198" s="213">
        <f>SUM(R198:DV198)</f>
        <v>5.1999999999999995E-4</v>
      </c>
      <c r="DY198" s="1"/>
      <c r="DZ198" s="1"/>
      <c r="EA198" s="1"/>
      <c r="EB198" s="1"/>
    </row>
    <row r="199" spans="5:132" s="6" customFormat="1" ht="6.95" customHeight="1">
      <c r="F199" s="143"/>
      <c r="G199" s="144"/>
      <c r="H199" s="55">
        <v>2</v>
      </c>
      <c r="L199" s="272"/>
      <c r="M199" s="232"/>
      <c r="N199" s="255"/>
      <c r="O199" s="244"/>
      <c r="P199" s="246"/>
      <c r="Q199" s="184"/>
      <c r="R199" s="63"/>
      <c r="S199" s="42"/>
      <c r="T199" s="42"/>
      <c r="U199" s="42"/>
      <c r="V199" s="41"/>
      <c r="W199" s="42"/>
      <c r="X199" s="43"/>
      <c r="Y199" s="41"/>
      <c r="Z199" s="42"/>
      <c r="AA199" s="43"/>
      <c r="AB199" s="41"/>
      <c r="AC199" s="42"/>
      <c r="AD199" s="43"/>
      <c r="AE199" s="42"/>
      <c r="AF199" s="42"/>
      <c r="AG199" s="42"/>
      <c r="AH199" s="41"/>
      <c r="AI199" s="104"/>
      <c r="AJ199" s="43"/>
      <c r="AK199" s="42"/>
      <c r="AL199" s="104"/>
      <c r="AM199" s="42"/>
      <c r="AN199" s="41"/>
      <c r="AO199" s="104"/>
      <c r="AP199" s="43"/>
      <c r="AQ199" s="41"/>
      <c r="AR199" s="104"/>
      <c r="AS199" s="43"/>
      <c r="AT199" s="42"/>
      <c r="AU199" s="104"/>
      <c r="AV199" s="42"/>
      <c r="AW199" s="41"/>
      <c r="AX199" s="104"/>
      <c r="AY199" s="43"/>
      <c r="AZ199" s="42"/>
      <c r="BA199" s="104"/>
      <c r="BB199" s="42"/>
      <c r="BC199" s="41"/>
      <c r="BD199" s="104"/>
      <c r="BE199" s="43"/>
      <c r="BF199" s="42"/>
      <c r="BG199" s="104"/>
      <c r="BH199" s="42"/>
      <c r="BI199" s="41"/>
      <c r="BJ199" s="104"/>
      <c r="BK199" s="43"/>
      <c r="BL199" s="64"/>
      <c r="BM199" s="65"/>
      <c r="BN199" s="66"/>
      <c r="BO199" s="64"/>
      <c r="BP199" s="65"/>
      <c r="BQ199" s="66"/>
      <c r="BR199" s="64"/>
      <c r="BS199" s="65"/>
      <c r="BT199" s="66"/>
      <c r="BU199" s="64"/>
      <c r="BV199" s="65"/>
      <c r="BW199" s="66"/>
      <c r="BX199" s="64"/>
      <c r="BY199" s="65"/>
      <c r="BZ199" s="66"/>
      <c r="CA199" s="64"/>
      <c r="CB199" s="65"/>
      <c r="CC199" s="66"/>
      <c r="CD199" s="64"/>
      <c r="CE199" s="65"/>
      <c r="CF199" s="66"/>
      <c r="CG199" s="64"/>
      <c r="CH199" s="65"/>
      <c r="CI199" s="66"/>
      <c r="CJ199" s="41"/>
      <c r="CK199" s="42"/>
      <c r="CL199" s="43"/>
      <c r="CM199" s="42"/>
      <c r="CN199" s="42"/>
      <c r="CO199" s="42"/>
      <c r="CP199" s="41"/>
      <c r="CQ199" s="42"/>
      <c r="CR199" s="43"/>
      <c r="CS199" s="42"/>
      <c r="CT199" s="42"/>
      <c r="CU199" s="42"/>
      <c r="CV199" s="41"/>
      <c r="CW199" s="42"/>
      <c r="CX199" s="43"/>
      <c r="CY199" s="41"/>
      <c r="CZ199" s="42"/>
      <c r="DA199" s="43"/>
      <c r="DB199" s="42"/>
      <c r="DC199" s="42"/>
      <c r="DD199" s="42"/>
      <c r="DE199" s="41"/>
      <c r="DF199" s="42"/>
      <c r="DG199" s="43"/>
      <c r="DH199" s="41"/>
      <c r="DI199" s="42"/>
      <c r="DJ199" s="43"/>
      <c r="DK199" s="41"/>
      <c r="DL199" s="42"/>
      <c r="DM199" s="43"/>
      <c r="DN199" s="41"/>
      <c r="DO199" s="42"/>
      <c r="DP199" s="43"/>
      <c r="DQ199" s="41"/>
      <c r="DR199" s="42"/>
      <c r="DS199" s="43"/>
      <c r="DT199" s="42"/>
      <c r="DU199" s="42"/>
      <c r="DV199" s="44"/>
      <c r="DX199" s="213"/>
      <c r="DY199" s="1"/>
      <c r="DZ199" s="1"/>
      <c r="EA199" s="1"/>
      <c r="EB199" s="1"/>
    </row>
    <row r="200" spans="5:132" s="6" customFormat="1" ht="9.9499999999999993" customHeight="1">
      <c r="E200" s="6" t="s">
        <v>249</v>
      </c>
      <c r="F200" s="143">
        <f t="shared" ref="F200" si="118">DX200</f>
        <v>1.8100000000000002E-3</v>
      </c>
      <c r="G200" s="144">
        <f>Q200-F200</f>
        <v>0</v>
      </c>
      <c r="H200" s="27">
        <v>1</v>
      </c>
      <c r="I200" s="19" t="s">
        <v>219</v>
      </c>
      <c r="J200" s="19" t="s">
        <v>186</v>
      </c>
      <c r="K200" s="19" t="s">
        <v>250</v>
      </c>
      <c r="L200" s="230"/>
      <c r="M200" s="238" t="s">
        <v>160</v>
      </c>
      <c r="N200" s="239">
        <v>3861</v>
      </c>
      <c r="O200" s="240" t="s">
        <v>161</v>
      </c>
      <c r="P200" s="249">
        <v>377162</v>
      </c>
      <c r="Q200" s="183">
        <f>ROUND(P200/$P$256,5)</f>
        <v>1.81E-3</v>
      </c>
      <c r="R200" s="76"/>
      <c r="S200" s="70"/>
      <c r="T200" s="70"/>
      <c r="U200" s="70"/>
      <c r="V200" s="69"/>
      <c r="W200" s="70"/>
      <c r="X200" s="71"/>
      <c r="Y200" s="69"/>
      <c r="Z200" s="70"/>
      <c r="AA200" s="71"/>
      <c r="AB200" s="69"/>
      <c r="AC200" s="70"/>
      <c r="AD200" s="71"/>
      <c r="AE200" s="70"/>
      <c r="AF200" s="70"/>
      <c r="AG200" s="70"/>
      <c r="AH200" s="150"/>
      <c r="AI200" s="150"/>
      <c r="AJ200" s="150"/>
      <c r="AK200" s="165"/>
      <c r="AL200" s="150"/>
      <c r="AM200" s="166"/>
      <c r="AN200" s="150"/>
      <c r="AO200" s="150"/>
      <c r="AP200" s="150"/>
      <c r="AQ200" s="150"/>
      <c r="AR200" s="150"/>
      <c r="AS200" s="150"/>
      <c r="AT200" s="165"/>
      <c r="AU200" s="150"/>
      <c r="AV200" s="166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65"/>
      <c r="BG200" s="150"/>
      <c r="BH200" s="166"/>
      <c r="BI200" s="150"/>
      <c r="BJ200" s="150"/>
      <c r="BK200" s="150"/>
      <c r="BL200" s="150">
        <v>2.5000000000000001E-4</v>
      </c>
      <c r="BM200" s="150"/>
      <c r="BN200" s="150"/>
      <c r="BO200" s="165">
        <v>4.4000000000000002E-4</v>
      </c>
      <c r="BP200" s="150"/>
      <c r="BQ200" s="166"/>
      <c r="BR200" s="180">
        <v>4.4000000000000002E-4</v>
      </c>
      <c r="BS200" s="150"/>
      <c r="BT200" s="181"/>
      <c r="BU200" s="165">
        <v>3.4000000000000002E-4</v>
      </c>
      <c r="BV200" s="150"/>
      <c r="BW200" s="150"/>
      <c r="BX200" s="150">
        <v>3.4000000000000002E-4</v>
      </c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  <c r="CJ200" s="69"/>
      <c r="CK200" s="70"/>
      <c r="CL200" s="71"/>
      <c r="CM200" s="70"/>
      <c r="CN200" s="70"/>
      <c r="CO200" s="70"/>
      <c r="CP200" s="69"/>
      <c r="CQ200" s="70"/>
      <c r="CR200" s="71"/>
      <c r="CS200" s="70"/>
      <c r="CT200" s="70"/>
      <c r="CU200" s="70"/>
      <c r="CV200" s="69"/>
      <c r="CW200" s="70"/>
      <c r="CX200" s="71"/>
      <c r="CY200" s="69"/>
      <c r="CZ200" s="70"/>
      <c r="DA200" s="71"/>
      <c r="DB200" s="70"/>
      <c r="DC200" s="70"/>
      <c r="DD200" s="70"/>
      <c r="DE200" s="69"/>
      <c r="DF200" s="70"/>
      <c r="DG200" s="71"/>
      <c r="DH200" s="69"/>
      <c r="DI200" s="70"/>
      <c r="DJ200" s="71"/>
      <c r="DK200" s="69"/>
      <c r="DL200" s="70"/>
      <c r="DM200" s="71"/>
      <c r="DN200" s="69"/>
      <c r="DO200" s="70"/>
      <c r="DP200" s="71"/>
      <c r="DQ200" s="69"/>
      <c r="DR200" s="70"/>
      <c r="DS200" s="71"/>
      <c r="DT200" s="70"/>
      <c r="DU200" s="70"/>
      <c r="DV200" s="75"/>
      <c r="DX200" s="213">
        <f>SUM(R200:DV200)</f>
        <v>1.8100000000000002E-3</v>
      </c>
      <c r="DY200" s="1"/>
      <c r="DZ200" s="1"/>
      <c r="EA200" s="1"/>
      <c r="EB200" s="1"/>
    </row>
    <row r="201" spans="5:132" s="6" customFormat="1" ht="6.95" customHeight="1">
      <c r="F201" s="143"/>
      <c r="G201" s="144"/>
      <c r="H201" s="55">
        <v>2</v>
      </c>
      <c r="L201" s="230"/>
      <c r="M201" s="238"/>
      <c r="N201" s="239"/>
      <c r="O201" s="240"/>
      <c r="P201" s="249"/>
      <c r="Q201" s="184"/>
      <c r="R201" s="76"/>
      <c r="S201" s="70"/>
      <c r="T201" s="70"/>
      <c r="U201" s="70"/>
      <c r="V201" s="69"/>
      <c r="W201" s="70"/>
      <c r="X201" s="71"/>
      <c r="Y201" s="69"/>
      <c r="Z201" s="70"/>
      <c r="AA201" s="71"/>
      <c r="AB201" s="69"/>
      <c r="AC201" s="70"/>
      <c r="AD201" s="71"/>
      <c r="AE201" s="70"/>
      <c r="AF201" s="70"/>
      <c r="AG201" s="70"/>
      <c r="AH201" s="69"/>
      <c r="AI201" s="118"/>
      <c r="AJ201" s="71"/>
      <c r="AK201" s="70"/>
      <c r="AL201" s="118"/>
      <c r="AM201" s="70"/>
      <c r="AN201" s="69"/>
      <c r="AO201" s="118"/>
      <c r="AP201" s="71"/>
      <c r="AQ201" s="69"/>
      <c r="AR201" s="118"/>
      <c r="AS201" s="71"/>
      <c r="AT201" s="70"/>
      <c r="AU201" s="118"/>
      <c r="AV201" s="70"/>
      <c r="AW201" s="69"/>
      <c r="AX201" s="118"/>
      <c r="AY201" s="71"/>
      <c r="AZ201" s="70"/>
      <c r="BA201" s="118"/>
      <c r="BB201" s="70"/>
      <c r="BC201" s="69"/>
      <c r="BD201" s="118"/>
      <c r="BE201" s="71"/>
      <c r="BF201" s="70"/>
      <c r="BG201" s="118"/>
      <c r="BH201" s="70"/>
      <c r="BI201" s="69"/>
      <c r="BJ201" s="118"/>
      <c r="BK201" s="71"/>
      <c r="BL201" s="64"/>
      <c r="BM201" s="65"/>
      <c r="BN201" s="66"/>
      <c r="BO201" s="64"/>
      <c r="BP201" s="65"/>
      <c r="BQ201" s="66"/>
      <c r="BR201" s="64"/>
      <c r="BS201" s="65"/>
      <c r="BT201" s="66"/>
      <c r="BU201" s="64"/>
      <c r="BV201" s="65"/>
      <c r="BW201" s="66"/>
      <c r="BX201" s="64"/>
      <c r="BY201" s="65"/>
      <c r="BZ201" s="66"/>
      <c r="CA201" s="41"/>
      <c r="CB201" s="104"/>
      <c r="CC201" s="43"/>
      <c r="CD201" s="41"/>
      <c r="CE201" s="104"/>
      <c r="CF201" s="43"/>
      <c r="CG201" s="41"/>
      <c r="CH201" s="104"/>
      <c r="CI201" s="43"/>
      <c r="CJ201" s="69"/>
      <c r="CK201" s="70"/>
      <c r="CL201" s="71"/>
      <c r="CM201" s="70"/>
      <c r="CN201" s="70"/>
      <c r="CO201" s="70"/>
      <c r="CP201" s="69"/>
      <c r="CQ201" s="70"/>
      <c r="CR201" s="71"/>
      <c r="CS201" s="70"/>
      <c r="CT201" s="70"/>
      <c r="CU201" s="70"/>
      <c r="CV201" s="69"/>
      <c r="CW201" s="70"/>
      <c r="CX201" s="71"/>
      <c r="CY201" s="69"/>
      <c r="CZ201" s="70"/>
      <c r="DA201" s="71"/>
      <c r="DB201" s="70"/>
      <c r="DC201" s="70"/>
      <c r="DD201" s="70"/>
      <c r="DE201" s="69"/>
      <c r="DF201" s="70"/>
      <c r="DG201" s="71"/>
      <c r="DH201" s="69"/>
      <c r="DI201" s="70"/>
      <c r="DJ201" s="71"/>
      <c r="DK201" s="69"/>
      <c r="DL201" s="70"/>
      <c r="DM201" s="71"/>
      <c r="DN201" s="69"/>
      <c r="DO201" s="70"/>
      <c r="DP201" s="71"/>
      <c r="DQ201" s="69"/>
      <c r="DR201" s="70"/>
      <c r="DS201" s="71"/>
      <c r="DT201" s="70"/>
      <c r="DU201" s="70"/>
      <c r="DV201" s="75"/>
      <c r="DX201" s="213"/>
      <c r="DY201" s="1"/>
      <c r="DZ201" s="1"/>
      <c r="EA201" s="1"/>
      <c r="EB201" s="1"/>
    </row>
    <row r="202" spans="5:132" s="6" customFormat="1" ht="9.9499999999999993" customHeight="1">
      <c r="F202" s="143">
        <f t="shared" ref="F202" si="119">DX202</f>
        <v>1.09E-3</v>
      </c>
      <c r="G202" s="144">
        <f>Q202-F202</f>
        <v>0</v>
      </c>
      <c r="H202" s="27">
        <v>1</v>
      </c>
      <c r="L202" s="271"/>
      <c r="M202" s="231" t="s">
        <v>162</v>
      </c>
      <c r="N202" s="254">
        <v>214</v>
      </c>
      <c r="O202" s="243" t="s">
        <v>15</v>
      </c>
      <c r="P202" s="245">
        <v>226452</v>
      </c>
      <c r="Q202" s="183">
        <f>ROUND(P202/$P$256,5)</f>
        <v>1.09E-3</v>
      </c>
      <c r="R202" s="79"/>
      <c r="S202" s="57"/>
      <c r="T202" s="57"/>
      <c r="U202" s="57"/>
      <c r="V202" s="56"/>
      <c r="W202" s="57"/>
      <c r="X202" s="58"/>
      <c r="Y202" s="56"/>
      <c r="Z202" s="57"/>
      <c r="AA202" s="58"/>
      <c r="AB202" s="56"/>
      <c r="AC202" s="57"/>
      <c r="AD202" s="58"/>
      <c r="AE202" s="57"/>
      <c r="AF202" s="57"/>
      <c r="AG202" s="57"/>
      <c r="AH202" s="56"/>
      <c r="AI202" s="57"/>
      <c r="AJ202" s="58"/>
      <c r="AK202" s="57"/>
      <c r="AL202" s="57"/>
      <c r="AM202" s="57"/>
      <c r="AN202" s="56"/>
      <c r="AO202" s="57"/>
      <c r="AP202" s="58"/>
      <c r="AQ202" s="56"/>
      <c r="AR202" s="57"/>
      <c r="AS202" s="58"/>
      <c r="AT202" s="57"/>
      <c r="AU202" s="57"/>
      <c r="AV202" s="57"/>
      <c r="AW202" s="56"/>
      <c r="AX202" s="57"/>
      <c r="AY202" s="58"/>
      <c r="AZ202" s="57"/>
      <c r="BA202" s="57"/>
      <c r="BB202" s="57"/>
      <c r="BC202" s="56"/>
      <c r="BD202" s="57"/>
      <c r="BE202" s="58"/>
      <c r="BF202" s="57"/>
      <c r="BG202" s="57"/>
      <c r="BH202" s="57"/>
      <c r="BI202" s="56"/>
      <c r="BJ202" s="57"/>
      <c r="BK202" s="58"/>
      <c r="BL202" s="56"/>
      <c r="BM202" s="57"/>
      <c r="BN202" s="58"/>
      <c r="BO202" s="57"/>
      <c r="BP202" s="57"/>
      <c r="BQ202" s="57"/>
      <c r="BR202" s="60"/>
      <c r="BS202" s="57"/>
      <c r="BT202" s="61"/>
      <c r="BU202" s="57"/>
      <c r="BV202" s="57"/>
      <c r="BW202" s="58"/>
      <c r="BX202" s="69"/>
      <c r="BY202" s="70"/>
      <c r="BZ202" s="71"/>
      <c r="CA202" s="150">
        <v>4.0999999999999999E-4</v>
      </c>
      <c r="CB202" s="150"/>
      <c r="CC202" s="150"/>
      <c r="CD202" s="150">
        <v>4.4000000000000002E-4</v>
      </c>
      <c r="CE202" s="150"/>
      <c r="CF202" s="150"/>
      <c r="CG202" s="150">
        <v>2.4000000000000001E-4</v>
      </c>
      <c r="CH202" s="150"/>
      <c r="CI202" s="150"/>
      <c r="CJ202" s="56"/>
      <c r="CK202" s="57"/>
      <c r="CL202" s="58"/>
      <c r="CM202" s="57"/>
      <c r="CN202" s="57"/>
      <c r="CO202" s="57"/>
      <c r="CP202" s="56"/>
      <c r="CQ202" s="57"/>
      <c r="CR202" s="58"/>
      <c r="CS202" s="57"/>
      <c r="CT202" s="57"/>
      <c r="CU202" s="57"/>
      <c r="CV202" s="56"/>
      <c r="CW202" s="57"/>
      <c r="CX202" s="58"/>
      <c r="CY202" s="56"/>
      <c r="CZ202" s="57"/>
      <c r="DA202" s="58"/>
      <c r="DB202" s="57"/>
      <c r="DC202" s="57"/>
      <c r="DD202" s="57"/>
      <c r="DE202" s="56"/>
      <c r="DF202" s="57"/>
      <c r="DG202" s="58"/>
      <c r="DH202" s="56"/>
      <c r="DI202" s="57"/>
      <c r="DJ202" s="58"/>
      <c r="DK202" s="56"/>
      <c r="DL202" s="57"/>
      <c r="DM202" s="58"/>
      <c r="DN202" s="56"/>
      <c r="DO202" s="57"/>
      <c r="DP202" s="58"/>
      <c r="DQ202" s="56"/>
      <c r="DR202" s="57"/>
      <c r="DS202" s="58"/>
      <c r="DT202" s="57"/>
      <c r="DU202" s="57"/>
      <c r="DV202" s="62"/>
      <c r="DX202" s="213">
        <f>SUM(R202:DV202)</f>
        <v>1.09E-3</v>
      </c>
      <c r="DY202" s="1"/>
      <c r="DZ202" s="1"/>
      <c r="EA202" s="1"/>
      <c r="EB202" s="1"/>
    </row>
    <row r="203" spans="5:132" s="6" customFormat="1" ht="6.95" customHeight="1">
      <c r="F203" s="143"/>
      <c r="G203" s="144"/>
      <c r="H203" s="55">
        <v>2</v>
      </c>
      <c r="L203" s="272"/>
      <c r="M203" s="232"/>
      <c r="N203" s="255"/>
      <c r="O203" s="244"/>
      <c r="P203" s="246"/>
      <c r="Q203" s="184"/>
      <c r="R203" s="63"/>
      <c r="S203" s="42"/>
      <c r="T203" s="42"/>
      <c r="U203" s="42"/>
      <c r="V203" s="41"/>
      <c r="W203" s="42"/>
      <c r="X203" s="43"/>
      <c r="Y203" s="41"/>
      <c r="Z203" s="42"/>
      <c r="AA203" s="43"/>
      <c r="AB203" s="41"/>
      <c r="AC203" s="42"/>
      <c r="AD203" s="43"/>
      <c r="AE203" s="42"/>
      <c r="AF203" s="42"/>
      <c r="AG203" s="42"/>
      <c r="AH203" s="41"/>
      <c r="AI203" s="42"/>
      <c r="AJ203" s="43"/>
      <c r="AK203" s="42"/>
      <c r="AL203" s="42"/>
      <c r="AM203" s="42"/>
      <c r="AN203" s="41"/>
      <c r="AO203" s="42"/>
      <c r="AP203" s="43"/>
      <c r="AQ203" s="41"/>
      <c r="AR203" s="42"/>
      <c r="AS203" s="43"/>
      <c r="AT203" s="42"/>
      <c r="AU203" s="42"/>
      <c r="AV203" s="42"/>
      <c r="AW203" s="41"/>
      <c r="AX203" s="42"/>
      <c r="AY203" s="43"/>
      <c r="AZ203" s="42"/>
      <c r="BA203" s="42"/>
      <c r="BB203" s="42"/>
      <c r="BC203" s="41"/>
      <c r="BD203" s="42"/>
      <c r="BE203" s="43"/>
      <c r="BF203" s="42"/>
      <c r="BG203" s="42"/>
      <c r="BH203" s="42"/>
      <c r="BI203" s="41"/>
      <c r="BJ203" s="42"/>
      <c r="BK203" s="43"/>
      <c r="BL203" s="41"/>
      <c r="BM203" s="42"/>
      <c r="BN203" s="43"/>
      <c r="BO203" s="42"/>
      <c r="BP203" s="42"/>
      <c r="BQ203" s="42"/>
      <c r="BR203" s="67"/>
      <c r="BS203" s="42"/>
      <c r="BT203" s="68"/>
      <c r="BU203" s="42"/>
      <c r="BV203" s="42"/>
      <c r="BW203" s="43"/>
      <c r="BX203" s="41"/>
      <c r="BY203" s="42"/>
      <c r="BZ203" s="43"/>
      <c r="CA203" s="64"/>
      <c r="CB203" s="65"/>
      <c r="CC203" s="66"/>
      <c r="CD203" s="64"/>
      <c r="CE203" s="65"/>
      <c r="CF203" s="66"/>
      <c r="CG203" s="64"/>
      <c r="CH203" s="65"/>
      <c r="CI203" s="66"/>
      <c r="CJ203" s="41"/>
      <c r="CK203" s="42"/>
      <c r="CL203" s="43"/>
      <c r="CM203" s="42"/>
      <c r="CN203" s="42"/>
      <c r="CO203" s="42"/>
      <c r="CP203" s="41"/>
      <c r="CQ203" s="42"/>
      <c r="CR203" s="43"/>
      <c r="CS203" s="42"/>
      <c r="CT203" s="42"/>
      <c r="CU203" s="42"/>
      <c r="CV203" s="41"/>
      <c r="CW203" s="42"/>
      <c r="CX203" s="43"/>
      <c r="CY203" s="41"/>
      <c r="CZ203" s="42"/>
      <c r="DA203" s="43"/>
      <c r="DB203" s="42"/>
      <c r="DC203" s="42"/>
      <c r="DD203" s="42"/>
      <c r="DE203" s="41"/>
      <c r="DF203" s="42"/>
      <c r="DG203" s="43"/>
      <c r="DH203" s="41"/>
      <c r="DI203" s="42"/>
      <c r="DJ203" s="43"/>
      <c r="DK203" s="41"/>
      <c r="DL203" s="42"/>
      <c r="DM203" s="43"/>
      <c r="DN203" s="41"/>
      <c r="DO203" s="42"/>
      <c r="DP203" s="43"/>
      <c r="DQ203" s="41"/>
      <c r="DR203" s="42"/>
      <c r="DS203" s="43"/>
      <c r="DT203" s="42"/>
      <c r="DU203" s="42"/>
      <c r="DV203" s="44"/>
      <c r="DX203" s="213"/>
      <c r="DY203" s="1"/>
      <c r="DZ203" s="1"/>
      <c r="EA203" s="1"/>
      <c r="EB203" s="1"/>
    </row>
    <row r="204" spans="5:132" s="6" customFormat="1" ht="9.9499999999999993" customHeight="1">
      <c r="F204" s="143">
        <f t="shared" ref="F204" si="120">DX204</f>
        <v>1.2E-4</v>
      </c>
      <c r="G204" s="144">
        <f>Q204-F204</f>
        <v>0</v>
      </c>
      <c r="H204" s="27">
        <v>1</v>
      </c>
      <c r="L204" s="271"/>
      <c r="M204" s="231" t="s">
        <v>163</v>
      </c>
      <c r="N204" s="254">
        <v>66</v>
      </c>
      <c r="O204" s="243" t="s">
        <v>15</v>
      </c>
      <c r="P204" s="245">
        <v>24793</v>
      </c>
      <c r="Q204" s="183">
        <f>ROUND(P204/$P$256,5)</f>
        <v>1.2E-4</v>
      </c>
      <c r="R204" s="21"/>
      <c r="S204" s="57"/>
      <c r="T204" s="57"/>
      <c r="U204" s="57"/>
      <c r="V204" s="56"/>
      <c r="W204" s="57"/>
      <c r="X204" s="58"/>
      <c r="Y204" s="56"/>
      <c r="Z204" s="57"/>
      <c r="AA204" s="58"/>
      <c r="AB204" s="56"/>
      <c r="AC204" s="57"/>
      <c r="AD204" s="58"/>
      <c r="AE204" s="57"/>
      <c r="AF204" s="57"/>
      <c r="AG204" s="57"/>
      <c r="AH204" s="56"/>
      <c r="AI204" s="57"/>
      <c r="AJ204" s="58"/>
      <c r="AK204" s="57"/>
      <c r="AL204" s="57"/>
      <c r="AM204" s="57"/>
      <c r="AN204" s="56"/>
      <c r="AO204" s="57"/>
      <c r="AP204" s="58"/>
      <c r="AQ204" s="56"/>
      <c r="AR204" s="57"/>
      <c r="AS204" s="58"/>
      <c r="AT204" s="57"/>
      <c r="AU204" s="57"/>
      <c r="AV204" s="57"/>
      <c r="AW204" s="56"/>
      <c r="AX204" s="57"/>
      <c r="AY204" s="58"/>
      <c r="AZ204" s="150"/>
      <c r="BA204" s="150"/>
      <c r="BB204" s="150"/>
      <c r="BC204" s="56"/>
      <c r="BD204" s="57"/>
      <c r="BE204" s="58"/>
      <c r="BF204" s="57"/>
      <c r="BG204" s="57"/>
      <c r="BH204" s="57"/>
      <c r="BI204" s="56"/>
      <c r="BJ204" s="57"/>
      <c r="BK204" s="58"/>
      <c r="BL204" s="56"/>
      <c r="BM204" s="57"/>
      <c r="BN204" s="58"/>
      <c r="BO204" s="57"/>
      <c r="BP204" s="57"/>
      <c r="BQ204" s="57"/>
      <c r="BR204" s="60"/>
      <c r="BS204" s="57"/>
      <c r="BT204" s="61"/>
      <c r="BU204" s="165">
        <v>6.0000000000000002E-5</v>
      </c>
      <c r="BV204" s="150"/>
      <c r="BW204" s="150"/>
      <c r="BX204" s="150">
        <v>6.0000000000000002E-5</v>
      </c>
      <c r="BY204" s="150"/>
      <c r="BZ204" s="150"/>
      <c r="CA204" s="150"/>
      <c r="CB204" s="150"/>
      <c r="CC204" s="150"/>
      <c r="CD204" s="56"/>
      <c r="CE204" s="57"/>
      <c r="CF204" s="58"/>
      <c r="CG204" s="57"/>
      <c r="CH204" s="57"/>
      <c r="CI204" s="58"/>
      <c r="CJ204" s="56"/>
      <c r="CK204" s="57"/>
      <c r="CL204" s="58"/>
      <c r="CM204" s="57"/>
      <c r="CN204" s="57"/>
      <c r="CO204" s="57"/>
      <c r="CP204" s="56"/>
      <c r="CQ204" s="57"/>
      <c r="CR204" s="58"/>
      <c r="CS204" s="57"/>
      <c r="CT204" s="57"/>
      <c r="CU204" s="57"/>
      <c r="CV204" s="56"/>
      <c r="CW204" s="57"/>
      <c r="CX204" s="58"/>
      <c r="CY204" s="56"/>
      <c r="CZ204" s="57"/>
      <c r="DA204" s="58"/>
      <c r="DB204" s="57"/>
      <c r="DC204" s="57"/>
      <c r="DD204" s="57"/>
      <c r="DE204" s="56"/>
      <c r="DF204" s="57"/>
      <c r="DG204" s="58"/>
      <c r="DH204" s="56"/>
      <c r="DI204" s="57"/>
      <c r="DJ204" s="58"/>
      <c r="DK204" s="56"/>
      <c r="DL204" s="57"/>
      <c r="DM204" s="58"/>
      <c r="DN204" s="56"/>
      <c r="DO204" s="57"/>
      <c r="DP204" s="58"/>
      <c r="DQ204" s="56"/>
      <c r="DR204" s="57"/>
      <c r="DS204" s="58"/>
      <c r="DT204" s="57"/>
      <c r="DU204" s="57"/>
      <c r="DV204" s="62"/>
      <c r="DX204" s="213">
        <f>SUM(R204:DV204)</f>
        <v>1.2E-4</v>
      </c>
      <c r="DY204" s="1"/>
      <c r="DZ204" s="1"/>
      <c r="EA204" s="1"/>
      <c r="EB204" s="1"/>
    </row>
    <row r="205" spans="5:132" s="6" customFormat="1" ht="6.95" customHeight="1">
      <c r="F205" s="143"/>
      <c r="G205" s="144"/>
      <c r="H205" s="55">
        <v>2</v>
      </c>
      <c r="L205" s="272"/>
      <c r="M205" s="232"/>
      <c r="N205" s="255"/>
      <c r="O205" s="244"/>
      <c r="P205" s="246"/>
      <c r="Q205" s="184"/>
      <c r="R205" s="63"/>
      <c r="S205" s="42"/>
      <c r="T205" s="42"/>
      <c r="U205" s="42"/>
      <c r="V205" s="41"/>
      <c r="W205" s="42"/>
      <c r="X205" s="43"/>
      <c r="Y205" s="41"/>
      <c r="Z205" s="42"/>
      <c r="AA205" s="43"/>
      <c r="AB205" s="41"/>
      <c r="AC205" s="42"/>
      <c r="AD205" s="43"/>
      <c r="AE205" s="42"/>
      <c r="AF205" s="42"/>
      <c r="AG205" s="42"/>
      <c r="AH205" s="41"/>
      <c r="AI205" s="42"/>
      <c r="AJ205" s="43"/>
      <c r="AK205" s="42"/>
      <c r="AL205" s="42"/>
      <c r="AM205" s="42"/>
      <c r="AN205" s="41"/>
      <c r="AO205" s="42"/>
      <c r="AP205" s="43"/>
      <c r="AQ205" s="41"/>
      <c r="AR205" s="42"/>
      <c r="AS205" s="43"/>
      <c r="AT205" s="42"/>
      <c r="AU205" s="42"/>
      <c r="AV205" s="42"/>
      <c r="AW205" s="41"/>
      <c r="AX205" s="42"/>
      <c r="AY205" s="43"/>
      <c r="AZ205" s="42"/>
      <c r="BA205" s="104"/>
      <c r="BB205" s="42"/>
      <c r="BC205" s="41"/>
      <c r="BD205" s="42"/>
      <c r="BE205" s="43"/>
      <c r="BF205" s="42"/>
      <c r="BG205" s="42"/>
      <c r="BH205" s="42"/>
      <c r="BI205" s="41"/>
      <c r="BJ205" s="42"/>
      <c r="BK205" s="43"/>
      <c r="BL205" s="41"/>
      <c r="BM205" s="42"/>
      <c r="BN205" s="43"/>
      <c r="BO205" s="42"/>
      <c r="BP205" s="42"/>
      <c r="BQ205" s="42"/>
      <c r="BR205" s="67"/>
      <c r="BS205" s="42"/>
      <c r="BT205" s="68"/>
      <c r="BU205" s="64"/>
      <c r="BV205" s="65"/>
      <c r="BW205" s="66"/>
      <c r="BX205" s="64"/>
      <c r="BY205" s="65"/>
      <c r="BZ205" s="66"/>
      <c r="CA205" s="41"/>
      <c r="CB205" s="104"/>
      <c r="CC205" s="43"/>
      <c r="CD205" s="41"/>
      <c r="CE205" s="42"/>
      <c r="CF205" s="43"/>
      <c r="CG205" s="41"/>
      <c r="CH205" s="42"/>
      <c r="CI205" s="43"/>
      <c r="CJ205" s="41"/>
      <c r="CK205" s="42"/>
      <c r="CL205" s="43"/>
      <c r="CM205" s="42"/>
      <c r="CN205" s="42"/>
      <c r="CO205" s="42"/>
      <c r="CP205" s="41"/>
      <c r="CQ205" s="42"/>
      <c r="CR205" s="43"/>
      <c r="CS205" s="42"/>
      <c r="CT205" s="42"/>
      <c r="CU205" s="42"/>
      <c r="CV205" s="41"/>
      <c r="CW205" s="42"/>
      <c r="CX205" s="43"/>
      <c r="CY205" s="41"/>
      <c r="CZ205" s="42"/>
      <c r="DA205" s="43"/>
      <c r="DB205" s="42"/>
      <c r="DC205" s="42"/>
      <c r="DD205" s="42"/>
      <c r="DE205" s="41"/>
      <c r="DF205" s="42"/>
      <c r="DG205" s="43"/>
      <c r="DH205" s="41"/>
      <c r="DI205" s="42"/>
      <c r="DJ205" s="43"/>
      <c r="DK205" s="41"/>
      <c r="DL205" s="42"/>
      <c r="DM205" s="43"/>
      <c r="DN205" s="41"/>
      <c r="DO205" s="42"/>
      <c r="DP205" s="43"/>
      <c r="DQ205" s="41"/>
      <c r="DR205" s="42"/>
      <c r="DS205" s="43"/>
      <c r="DT205" s="42"/>
      <c r="DU205" s="42"/>
      <c r="DV205" s="44"/>
      <c r="DX205" s="213"/>
      <c r="DY205" s="1"/>
      <c r="DZ205" s="1"/>
      <c r="EA205" s="1"/>
      <c r="EB205" s="1"/>
    </row>
    <row r="206" spans="5:132" s="6" customFormat="1" ht="9.9499999999999993" customHeight="1">
      <c r="E206" s="119"/>
      <c r="F206" s="143">
        <f t="shared" ref="F206" si="121">DX206</f>
        <v>2.9399999999999999E-3</v>
      </c>
      <c r="G206" s="144">
        <f>Q206-F206</f>
        <v>0</v>
      </c>
      <c r="H206" s="27">
        <v>1</v>
      </c>
      <c r="I206" s="119"/>
      <c r="J206" s="119"/>
      <c r="L206" s="230"/>
      <c r="M206" s="238" t="s">
        <v>78</v>
      </c>
      <c r="N206" s="239">
        <v>1</v>
      </c>
      <c r="O206" s="251" t="s">
        <v>88</v>
      </c>
      <c r="P206" s="249">
        <v>611527</v>
      </c>
      <c r="Q206" s="183">
        <f>ROUND(P206/$P$256,5)</f>
        <v>2.9399999999999999E-3</v>
      </c>
      <c r="R206" s="76"/>
      <c r="S206" s="70"/>
      <c r="T206" s="70"/>
      <c r="U206" s="70"/>
      <c r="V206" s="69"/>
      <c r="W206" s="70"/>
      <c r="X206" s="71"/>
      <c r="Y206" s="69"/>
      <c r="Z206" s="70"/>
      <c r="AA206" s="71"/>
      <c r="AB206" s="69"/>
      <c r="AC206" s="70"/>
      <c r="AD206" s="71"/>
      <c r="AE206" s="70"/>
      <c r="AF206" s="70"/>
      <c r="AG206" s="7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>
        <v>1.8000000000000001E-4</v>
      </c>
      <c r="BM206" s="150"/>
      <c r="BN206" s="150"/>
      <c r="BO206" s="150">
        <v>4.4000000000000002E-4</v>
      </c>
      <c r="BP206" s="150"/>
      <c r="BQ206" s="166"/>
      <c r="BR206" s="180">
        <v>4.4000000000000002E-4</v>
      </c>
      <c r="BS206" s="150"/>
      <c r="BT206" s="181"/>
      <c r="BU206" s="165">
        <v>3.4000000000000002E-4</v>
      </c>
      <c r="BV206" s="150"/>
      <c r="BW206" s="150"/>
      <c r="BX206" s="150">
        <v>2.7E-4</v>
      </c>
      <c r="BY206" s="150"/>
      <c r="BZ206" s="150"/>
      <c r="CA206" s="150">
        <v>4.4000000000000002E-4</v>
      </c>
      <c r="CB206" s="150"/>
      <c r="CC206" s="150"/>
      <c r="CD206" s="150">
        <v>4.4000000000000002E-4</v>
      </c>
      <c r="CE206" s="150"/>
      <c r="CF206" s="150"/>
      <c r="CG206" s="150">
        <v>3.8999999999999999E-4</v>
      </c>
      <c r="CH206" s="150"/>
      <c r="CI206" s="150"/>
      <c r="CJ206" s="69"/>
      <c r="CK206" s="70"/>
      <c r="CL206" s="71"/>
      <c r="CM206" s="70"/>
      <c r="CN206" s="70"/>
      <c r="CO206" s="70"/>
      <c r="CP206" s="69"/>
      <c r="CQ206" s="70"/>
      <c r="CR206" s="71"/>
      <c r="CS206" s="70"/>
      <c r="CT206" s="70"/>
      <c r="CU206" s="70"/>
      <c r="CV206" s="69"/>
      <c r="CW206" s="70"/>
      <c r="CX206" s="71"/>
      <c r="CY206" s="69"/>
      <c r="CZ206" s="70"/>
      <c r="DA206" s="71"/>
      <c r="DB206" s="70"/>
      <c r="DC206" s="70"/>
      <c r="DD206" s="70"/>
      <c r="DE206" s="69"/>
      <c r="DF206" s="70"/>
      <c r="DG206" s="71"/>
      <c r="DH206" s="69"/>
      <c r="DI206" s="70"/>
      <c r="DJ206" s="71"/>
      <c r="DK206" s="69"/>
      <c r="DL206" s="70"/>
      <c r="DM206" s="71"/>
      <c r="DN206" s="69"/>
      <c r="DO206" s="70"/>
      <c r="DP206" s="71"/>
      <c r="DQ206" s="69"/>
      <c r="DR206" s="70"/>
      <c r="DS206" s="71"/>
      <c r="DT206" s="70"/>
      <c r="DU206" s="70"/>
      <c r="DV206" s="75"/>
      <c r="DX206" s="213">
        <f>SUM(R206:DV206)</f>
        <v>2.9399999999999999E-3</v>
      </c>
      <c r="DY206" s="1"/>
      <c r="DZ206" s="1"/>
      <c r="EA206" s="1"/>
      <c r="EB206" s="1"/>
    </row>
    <row r="207" spans="5:132" s="6" customFormat="1" ht="6.95" customHeight="1" thickBot="1">
      <c r="E207" s="119"/>
      <c r="F207" s="143"/>
      <c r="G207" s="144"/>
      <c r="H207" s="55">
        <v>2</v>
      </c>
      <c r="I207" s="119"/>
      <c r="J207" s="119"/>
      <c r="L207" s="252"/>
      <c r="M207" s="308"/>
      <c r="N207" s="301"/>
      <c r="O207" s="298"/>
      <c r="P207" s="250"/>
      <c r="Q207" s="184"/>
      <c r="R207" s="85"/>
      <c r="S207" s="86"/>
      <c r="T207" s="86"/>
      <c r="U207" s="86"/>
      <c r="V207" s="87"/>
      <c r="W207" s="86"/>
      <c r="X207" s="88"/>
      <c r="Y207" s="87"/>
      <c r="Z207" s="86"/>
      <c r="AA207" s="88"/>
      <c r="AB207" s="87"/>
      <c r="AC207" s="86"/>
      <c r="AD207" s="88"/>
      <c r="AE207" s="86"/>
      <c r="AF207" s="86"/>
      <c r="AG207" s="86"/>
      <c r="AH207" s="87"/>
      <c r="AI207" s="116"/>
      <c r="AJ207" s="88"/>
      <c r="AK207" s="87"/>
      <c r="AL207" s="116"/>
      <c r="AM207" s="88"/>
      <c r="AN207" s="87"/>
      <c r="AO207" s="116"/>
      <c r="AP207" s="88"/>
      <c r="AQ207" s="87"/>
      <c r="AR207" s="116"/>
      <c r="AS207" s="88"/>
      <c r="AT207" s="87"/>
      <c r="AU207" s="116"/>
      <c r="AV207" s="88"/>
      <c r="AW207" s="87"/>
      <c r="AX207" s="116"/>
      <c r="AY207" s="88"/>
      <c r="AZ207" s="87"/>
      <c r="BA207" s="116"/>
      <c r="BB207" s="88"/>
      <c r="BC207" s="87"/>
      <c r="BD207" s="116"/>
      <c r="BE207" s="88"/>
      <c r="BF207" s="87"/>
      <c r="BG207" s="116"/>
      <c r="BH207" s="88"/>
      <c r="BI207" s="87"/>
      <c r="BJ207" s="116"/>
      <c r="BK207" s="88"/>
      <c r="BL207" s="64"/>
      <c r="BM207" s="65"/>
      <c r="BN207" s="66"/>
      <c r="BO207" s="64"/>
      <c r="BP207" s="65"/>
      <c r="BQ207" s="66"/>
      <c r="BR207" s="64"/>
      <c r="BS207" s="65"/>
      <c r="BT207" s="66"/>
      <c r="BU207" s="64"/>
      <c r="BV207" s="65"/>
      <c r="BW207" s="66"/>
      <c r="BX207" s="64"/>
      <c r="BY207" s="65"/>
      <c r="BZ207" s="66"/>
      <c r="CA207" s="64"/>
      <c r="CB207" s="65"/>
      <c r="CC207" s="66"/>
      <c r="CD207" s="64"/>
      <c r="CE207" s="65"/>
      <c r="CF207" s="66"/>
      <c r="CG207" s="64"/>
      <c r="CH207" s="65"/>
      <c r="CI207" s="66"/>
      <c r="CJ207" s="87"/>
      <c r="CK207" s="86"/>
      <c r="CL207" s="88"/>
      <c r="CM207" s="86"/>
      <c r="CN207" s="86"/>
      <c r="CO207" s="86"/>
      <c r="CP207" s="87"/>
      <c r="CQ207" s="86"/>
      <c r="CR207" s="88"/>
      <c r="CS207" s="86"/>
      <c r="CT207" s="86"/>
      <c r="CU207" s="86"/>
      <c r="CV207" s="87"/>
      <c r="CW207" s="86"/>
      <c r="CX207" s="88"/>
      <c r="CY207" s="87"/>
      <c r="CZ207" s="86"/>
      <c r="DA207" s="88"/>
      <c r="DB207" s="86"/>
      <c r="DC207" s="86"/>
      <c r="DD207" s="86"/>
      <c r="DE207" s="87"/>
      <c r="DF207" s="86"/>
      <c r="DG207" s="88"/>
      <c r="DH207" s="87"/>
      <c r="DI207" s="86"/>
      <c r="DJ207" s="88"/>
      <c r="DK207" s="87"/>
      <c r="DL207" s="86"/>
      <c r="DM207" s="88"/>
      <c r="DN207" s="87"/>
      <c r="DO207" s="86"/>
      <c r="DP207" s="88"/>
      <c r="DQ207" s="87"/>
      <c r="DR207" s="86"/>
      <c r="DS207" s="88"/>
      <c r="DT207" s="86"/>
      <c r="DU207" s="86"/>
      <c r="DV207" s="91"/>
      <c r="DX207" s="213"/>
      <c r="DY207" s="1"/>
      <c r="DZ207" s="1"/>
      <c r="EA207" s="1"/>
      <c r="EB207" s="1"/>
    </row>
    <row r="208" spans="5:132" s="18" customFormat="1" ht="9.9499999999999993" customHeight="1">
      <c r="F208" s="141">
        <f t="shared" ref="F208" si="122">DX208</f>
        <v>2.7000000000000001E-3</v>
      </c>
      <c r="G208" s="142">
        <f>Q208-F208</f>
        <v>0</v>
      </c>
      <c r="H208" s="27">
        <v>1</v>
      </c>
      <c r="L208" s="224" t="s">
        <v>89</v>
      </c>
      <c r="M208" s="225"/>
      <c r="N208" s="225"/>
      <c r="O208" s="226"/>
      <c r="P208" s="187">
        <f>SUM(P210:P221)</f>
        <v>562755</v>
      </c>
      <c r="Q208" s="185">
        <f>ROUND(SUM(Q210:Q221),5)</f>
        <v>2.7000000000000001E-3</v>
      </c>
      <c r="R208" s="185">
        <f>ROUND(SUM(R210:R221),5)</f>
        <v>0</v>
      </c>
      <c r="S208" s="160">
        <f>ROUND(SUM(S210:U221),5)</f>
        <v>0</v>
      </c>
      <c r="T208" s="160"/>
      <c r="U208" s="161"/>
      <c r="V208" s="159">
        <f>ROUND(SUM(V210:X221),5)</f>
        <v>0</v>
      </c>
      <c r="W208" s="160"/>
      <c r="X208" s="161"/>
      <c r="Y208" s="159">
        <f>ROUND(SUM(Y210:AA221),5)</f>
        <v>0</v>
      </c>
      <c r="Z208" s="160"/>
      <c r="AA208" s="161"/>
      <c r="AB208" s="159">
        <f>ROUND(SUM(AB210:AD221),5)</f>
        <v>0</v>
      </c>
      <c r="AC208" s="160"/>
      <c r="AD208" s="161"/>
      <c r="AE208" s="159">
        <f>ROUND(SUM(AE210:AG221),5)</f>
        <v>0</v>
      </c>
      <c r="AF208" s="160"/>
      <c r="AG208" s="161"/>
      <c r="AH208" s="159">
        <f>ROUND(SUM(AH210:AJ221),5)</f>
        <v>0</v>
      </c>
      <c r="AI208" s="160"/>
      <c r="AJ208" s="161"/>
      <c r="AK208" s="159">
        <f>ROUND(SUM(AK210:AM221),5)</f>
        <v>0</v>
      </c>
      <c r="AL208" s="160"/>
      <c r="AM208" s="161"/>
      <c r="AN208" s="159">
        <f>ROUND(SUM(AN210:AP221),5)</f>
        <v>0</v>
      </c>
      <c r="AO208" s="160"/>
      <c r="AP208" s="161"/>
      <c r="AQ208" s="159">
        <f>ROUND(SUM(AQ210:AS221),5)</f>
        <v>0</v>
      </c>
      <c r="AR208" s="160"/>
      <c r="AS208" s="161"/>
      <c r="AT208" s="159">
        <f>ROUND(SUM(AT210:AV221),5)</f>
        <v>1.0000000000000001E-5</v>
      </c>
      <c r="AU208" s="160"/>
      <c r="AV208" s="161"/>
      <c r="AW208" s="159">
        <f>ROUND(SUM(AW210:AY221),5)</f>
        <v>0</v>
      </c>
      <c r="AX208" s="160"/>
      <c r="AY208" s="161"/>
      <c r="AZ208" s="159">
        <f>ROUND(SUM(AZ210:BB221),5)</f>
        <v>0</v>
      </c>
      <c r="BA208" s="160"/>
      <c r="BB208" s="161"/>
      <c r="BC208" s="159">
        <f>ROUND(SUM(BC210:BE221),5)</f>
        <v>0</v>
      </c>
      <c r="BD208" s="160"/>
      <c r="BE208" s="161"/>
      <c r="BF208" s="159">
        <f>ROUND(SUM(BF210:BH221),5)</f>
        <v>0</v>
      </c>
      <c r="BG208" s="160"/>
      <c r="BH208" s="161"/>
      <c r="BI208" s="159">
        <f>ROUND(SUM(BI210:BK221),5)</f>
        <v>0</v>
      </c>
      <c r="BJ208" s="160"/>
      <c r="BK208" s="161"/>
      <c r="BL208" s="159">
        <f>ROUND(SUM(BL210:BN221),5)</f>
        <v>0</v>
      </c>
      <c r="BM208" s="160"/>
      <c r="BN208" s="161"/>
      <c r="BO208" s="159">
        <f>ROUND(SUM(BO210:BQ221),5)</f>
        <v>0</v>
      </c>
      <c r="BP208" s="160"/>
      <c r="BQ208" s="160"/>
      <c r="BR208" s="176">
        <f>ROUND(SUM(BR210:BT221),5)</f>
        <v>0</v>
      </c>
      <c r="BS208" s="160"/>
      <c r="BT208" s="177"/>
      <c r="BU208" s="160">
        <f>ROUND(SUM(BU210:BW221),5)</f>
        <v>0</v>
      </c>
      <c r="BV208" s="160"/>
      <c r="BW208" s="161"/>
      <c r="BX208" s="159">
        <f>ROUND(SUM(BX210:BZ221),5)</f>
        <v>0</v>
      </c>
      <c r="BY208" s="160"/>
      <c r="BZ208" s="161"/>
      <c r="CA208" s="159">
        <f>ROUND(SUM(CA210:CC221),5)</f>
        <v>0</v>
      </c>
      <c r="CB208" s="160"/>
      <c r="CC208" s="161"/>
      <c r="CD208" s="159">
        <f>ROUND(SUM(CD210:CF221),5)</f>
        <v>0</v>
      </c>
      <c r="CE208" s="160"/>
      <c r="CF208" s="161"/>
      <c r="CG208" s="159">
        <f>ROUND(SUM(CG210:CI221),5)</f>
        <v>0</v>
      </c>
      <c r="CH208" s="160"/>
      <c r="CI208" s="161"/>
      <c r="CJ208" s="159">
        <f>ROUND(SUM(CJ210:CL221),5)</f>
        <v>0</v>
      </c>
      <c r="CK208" s="160"/>
      <c r="CL208" s="161"/>
      <c r="CM208" s="159">
        <f>ROUND(SUM(CM210:CO221),5)</f>
        <v>0</v>
      </c>
      <c r="CN208" s="160"/>
      <c r="CO208" s="161"/>
      <c r="CP208" s="159">
        <f>ROUND(SUM(CP210:CR221),5)</f>
        <v>0</v>
      </c>
      <c r="CQ208" s="160"/>
      <c r="CR208" s="161"/>
      <c r="CS208" s="159">
        <f>ROUND(SUM(CS210:CU221),5)</f>
        <v>7.6999999999999996E-4</v>
      </c>
      <c r="CT208" s="160"/>
      <c r="CU208" s="161"/>
      <c r="CV208" s="159">
        <f>ROUND(SUM(CV210:CX221),5)</f>
        <v>7.6999999999999996E-4</v>
      </c>
      <c r="CW208" s="160"/>
      <c r="CX208" s="161"/>
      <c r="CY208" s="159">
        <f>ROUND(SUM(CY210:DA221),5)</f>
        <v>4.8999999999999998E-4</v>
      </c>
      <c r="CZ208" s="160"/>
      <c r="DA208" s="161"/>
      <c r="DB208" s="159">
        <f>ROUND(SUM(DB210:DD221),5)</f>
        <v>0</v>
      </c>
      <c r="DC208" s="160"/>
      <c r="DD208" s="161"/>
      <c r="DE208" s="159">
        <f>ROUND(SUM(DE210:DG221),5)</f>
        <v>1.9000000000000001E-4</v>
      </c>
      <c r="DF208" s="160"/>
      <c r="DG208" s="161"/>
      <c r="DH208" s="159">
        <f>ROUND(SUM(DH210:DJ221),5)</f>
        <v>4.6999999999999999E-4</v>
      </c>
      <c r="DI208" s="160"/>
      <c r="DJ208" s="161"/>
      <c r="DK208" s="159">
        <f>ROUND(SUM(DK210:DM221),5)</f>
        <v>0</v>
      </c>
      <c r="DL208" s="160"/>
      <c r="DM208" s="161"/>
      <c r="DN208" s="159">
        <f>ROUND(SUM(DN210:DP221),5)</f>
        <v>0</v>
      </c>
      <c r="DO208" s="160"/>
      <c r="DP208" s="161"/>
      <c r="DQ208" s="159">
        <f>ROUND(SUM(DQ210:DS221),5)</f>
        <v>0</v>
      </c>
      <c r="DR208" s="160"/>
      <c r="DS208" s="161"/>
      <c r="DT208" s="159">
        <f>ROUND(SUM(DT210:DV221),5)</f>
        <v>0</v>
      </c>
      <c r="DU208" s="160"/>
      <c r="DV208" s="170"/>
      <c r="DX208" s="145">
        <f>SUM(R208:DV208)</f>
        <v>2.7000000000000001E-3</v>
      </c>
      <c r="DY208" s="145">
        <f>SUM(DX210:DX221)</f>
        <v>2.7004000000000004E-3</v>
      </c>
      <c r="DZ208" s="117"/>
      <c r="EA208" s="117"/>
      <c r="EB208" s="117"/>
    </row>
    <row r="209" spans="5:132" s="18" customFormat="1" ht="9.9499999999999993" customHeight="1">
      <c r="F209" s="141"/>
      <c r="G209" s="142"/>
      <c r="H209" s="55">
        <v>2</v>
      </c>
      <c r="L209" s="227"/>
      <c r="M209" s="228"/>
      <c r="N209" s="228"/>
      <c r="O209" s="229"/>
      <c r="P209" s="188"/>
      <c r="Q209" s="186"/>
      <c r="R209" s="186"/>
      <c r="S209" s="163"/>
      <c r="T209" s="163"/>
      <c r="U209" s="164"/>
      <c r="V209" s="162"/>
      <c r="W209" s="163"/>
      <c r="X209" s="164"/>
      <c r="Y209" s="162"/>
      <c r="Z209" s="163"/>
      <c r="AA209" s="164"/>
      <c r="AB209" s="162"/>
      <c r="AC209" s="163"/>
      <c r="AD209" s="164"/>
      <c r="AE209" s="162"/>
      <c r="AF209" s="163"/>
      <c r="AG209" s="164"/>
      <c r="AH209" s="162"/>
      <c r="AI209" s="163"/>
      <c r="AJ209" s="164"/>
      <c r="AK209" s="162"/>
      <c r="AL209" s="163"/>
      <c r="AM209" s="164"/>
      <c r="AN209" s="162"/>
      <c r="AO209" s="163"/>
      <c r="AP209" s="164"/>
      <c r="AQ209" s="162"/>
      <c r="AR209" s="163"/>
      <c r="AS209" s="164"/>
      <c r="AT209" s="219"/>
      <c r="AU209" s="220"/>
      <c r="AV209" s="221"/>
      <c r="AW209" s="162"/>
      <c r="AX209" s="163"/>
      <c r="AY209" s="164"/>
      <c r="AZ209" s="162"/>
      <c r="BA209" s="163"/>
      <c r="BB209" s="164"/>
      <c r="BC209" s="162"/>
      <c r="BD209" s="163"/>
      <c r="BE209" s="164"/>
      <c r="BF209" s="162"/>
      <c r="BG209" s="163"/>
      <c r="BH209" s="164"/>
      <c r="BI209" s="162"/>
      <c r="BJ209" s="163"/>
      <c r="BK209" s="164"/>
      <c r="BL209" s="162"/>
      <c r="BM209" s="163"/>
      <c r="BN209" s="164"/>
      <c r="BO209" s="162"/>
      <c r="BP209" s="163"/>
      <c r="BQ209" s="163"/>
      <c r="BR209" s="178"/>
      <c r="BS209" s="163"/>
      <c r="BT209" s="179"/>
      <c r="BU209" s="163"/>
      <c r="BV209" s="163"/>
      <c r="BW209" s="164"/>
      <c r="BX209" s="162"/>
      <c r="BY209" s="163"/>
      <c r="BZ209" s="164"/>
      <c r="CA209" s="162"/>
      <c r="CB209" s="163"/>
      <c r="CC209" s="164"/>
      <c r="CD209" s="162"/>
      <c r="CE209" s="163"/>
      <c r="CF209" s="164"/>
      <c r="CG209" s="162"/>
      <c r="CH209" s="163"/>
      <c r="CI209" s="164"/>
      <c r="CJ209" s="162"/>
      <c r="CK209" s="163"/>
      <c r="CL209" s="164"/>
      <c r="CM209" s="162"/>
      <c r="CN209" s="163"/>
      <c r="CO209" s="164"/>
      <c r="CP209" s="162"/>
      <c r="CQ209" s="163"/>
      <c r="CR209" s="164"/>
      <c r="CS209" s="162"/>
      <c r="CT209" s="163"/>
      <c r="CU209" s="164"/>
      <c r="CV209" s="162"/>
      <c r="CW209" s="163"/>
      <c r="CX209" s="164"/>
      <c r="CY209" s="162"/>
      <c r="CZ209" s="163"/>
      <c r="DA209" s="164"/>
      <c r="DB209" s="162"/>
      <c r="DC209" s="163"/>
      <c r="DD209" s="164"/>
      <c r="DE209" s="162"/>
      <c r="DF209" s="163"/>
      <c r="DG209" s="164"/>
      <c r="DH209" s="162"/>
      <c r="DI209" s="163"/>
      <c r="DJ209" s="164"/>
      <c r="DK209" s="162"/>
      <c r="DL209" s="163"/>
      <c r="DM209" s="164"/>
      <c r="DN209" s="162"/>
      <c r="DO209" s="163"/>
      <c r="DP209" s="164"/>
      <c r="DQ209" s="162"/>
      <c r="DR209" s="163"/>
      <c r="DS209" s="164"/>
      <c r="DT209" s="162"/>
      <c r="DU209" s="163"/>
      <c r="DV209" s="171"/>
      <c r="DX209" s="145"/>
      <c r="DY209" s="145"/>
      <c r="DZ209" s="117"/>
      <c r="EA209" s="117"/>
      <c r="EB209" s="117"/>
    </row>
    <row r="210" spans="5:132" s="6" customFormat="1" ht="9.9499999999999993" customHeight="1">
      <c r="F210" s="143">
        <f t="shared" ref="F210" si="123">DX210</f>
        <v>1.0000000000000001E-5</v>
      </c>
      <c r="G210" s="144">
        <f>Q210-F210</f>
        <v>0</v>
      </c>
      <c r="H210" s="27">
        <v>1</v>
      </c>
      <c r="L210" s="271"/>
      <c r="M210" s="231" t="s">
        <v>90</v>
      </c>
      <c r="N210" s="254">
        <v>322</v>
      </c>
      <c r="O210" s="243" t="s">
        <v>91</v>
      </c>
      <c r="P210" s="245">
        <v>1458</v>
      </c>
      <c r="Q210" s="183">
        <f>ROUND(P210/$P$256,5)</f>
        <v>1.0000000000000001E-5</v>
      </c>
      <c r="R210" s="21"/>
      <c r="S210" s="57"/>
      <c r="T210" s="57"/>
      <c r="U210" s="57"/>
      <c r="V210" s="56"/>
      <c r="W210" s="57"/>
      <c r="X210" s="58"/>
      <c r="Y210" s="56"/>
      <c r="Z210" s="57"/>
      <c r="AA210" s="58"/>
      <c r="AB210" s="56"/>
      <c r="AC210" s="57"/>
      <c r="AD210" s="58"/>
      <c r="AE210" s="146"/>
      <c r="AF210" s="146"/>
      <c r="AG210" s="146"/>
      <c r="AH210" s="56"/>
      <c r="AI210" s="57"/>
      <c r="AJ210" s="58"/>
      <c r="AK210" s="57"/>
      <c r="AL210" s="57"/>
      <c r="AM210" s="57"/>
      <c r="AN210" s="56"/>
      <c r="AO210" s="57"/>
      <c r="AP210" s="58"/>
      <c r="AQ210" s="56"/>
      <c r="AR210" s="57"/>
      <c r="AS210" s="57"/>
      <c r="AT210" s="146">
        <v>5.0000000000000004E-6</v>
      </c>
      <c r="AU210" s="146"/>
      <c r="AV210" s="146"/>
      <c r="AW210" s="57"/>
      <c r="AX210" s="57"/>
      <c r="AY210" s="57"/>
      <c r="AZ210" s="56"/>
      <c r="BA210" s="57"/>
      <c r="BB210" s="58"/>
      <c r="BC210" s="56"/>
      <c r="BD210" s="57"/>
      <c r="BE210" s="58"/>
      <c r="BF210" s="146">
        <v>3.0000000000000001E-6</v>
      </c>
      <c r="BG210" s="146"/>
      <c r="BH210" s="146"/>
      <c r="BI210" s="57"/>
      <c r="BJ210" s="57"/>
      <c r="BK210" s="58"/>
      <c r="BL210" s="57"/>
      <c r="BM210" s="57"/>
      <c r="BN210" s="58"/>
      <c r="BO210" s="57"/>
      <c r="BP210" s="57"/>
      <c r="BQ210" s="57"/>
      <c r="BR210" s="168">
        <v>1.9999999999999999E-6</v>
      </c>
      <c r="BS210" s="146"/>
      <c r="BT210" s="169"/>
      <c r="BU210" s="57"/>
      <c r="BV210" s="57"/>
      <c r="BW210" s="57"/>
      <c r="BX210" s="56"/>
      <c r="BY210" s="57"/>
      <c r="BZ210" s="58"/>
      <c r="CA210" s="56"/>
      <c r="CB210" s="57"/>
      <c r="CC210" s="58"/>
      <c r="CD210" s="56"/>
      <c r="CE210" s="57"/>
      <c r="CF210" s="58"/>
      <c r="CG210" s="56"/>
      <c r="CH210" s="57"/>
      <c r="CI210" s="58"/>
      <c r="CJ210" s="56"/>
      <c r="CK210" s="57"/>
      <c r="CL210" s="58"/>
      <c r="CM210" s="57"/>
      <c r="CN210" s="57"/>
      <c r="CO210" s="57"/>
      <c r="CP210" s="56"/>
      <c r="CQ210" s="57"/>
      <c r="CR210" s="58"/>
      <c r="CS210" s="57"/>
      <c r="CT210" s="57"/>
      <c r="CU210" s="57"/>
      <c r="CV210" s="56"/>
      <c r="CW210" s="57"/>
      <c r="CX210" s="58"/>
      <c r="CY210" s="56"/>
      <c r="CZ210" s="57"/>
      <c r="DA210" s="58"/>
      <c r="DB210" s="57"/>
      <c r="DC210" s="57"/>
      <c r="DD210" s="57"/>
      <c r="DE210" s="56"/>
      <c r="DF210" s="57"/>
      <c r="DG210" s="58"/>
      <c r="DH210" s="56"/>
      <c r="DI210" s="57"/>
      <c r="DJ210" s="58"/>
      <c r="DK210" s="56"/>
      <c r="DL210" s="57"/>
      <c r="DM210" s="58"/>
      <c r="DN210" s="56"/>
      <c r="DO210" s="57"/>
      <c r="DP210" s="58"/>
      <c r="DQ210" s="56"/>
      <c r="DR210" s="57"/>
      <c r="DS210" s="58"/>
      <c r="DT210" s="57"/>
      <c r="DU210" s="57"/>
      <c r="DV210" s="62"/>
      <c r="DX210" s="213">
        <f>SUM(R210:DV210)</f>
        <v>1.0000000000000001E-5</v>
      </c>
      <c r="DY210" s="1"/>
      <c r="DZ210" s="1"/>
      <c r="EA210" s="1"/>
      <c r="EB210" s="1"/>
    </row>
    <row r="211" spans="5:132" s="6" customFormat="1" ht="6.95" customHeight="1">
      <c r="F211" s="143"/>
      <c r="G211" s="144"/>
      <c r="H211" s="55">
        <v>2</v>
      </c>
      <c r="L211" s="272"/>
      <c r="M211" s="232"/>
      <c r="N211" s="255"/>
      <c r="O211" s="244"/>
      <c r="P211" s="246"/>
      <c r="Q211" s="184"/>
      <c r="R211" s="93"/>
      <c r="S211" s="42"/>
      <c r="T211" s="42"/>
      <c r="U211" s="42"/>
      <c r="V211" s="41"/>
      <c r="W211" s="42"/>
      <c r="X211" s="43"/>
      <c r="Y211" s="41"/>
      <c r="Z211" s="42"/>
      <c r="AA211" s="43"/>
      <c r="AB211" s="41"/>
      <c r="AC211" s="42"/>
      <c r="AD211" s="43"/>
      <c r="AE211" s="41"/>
      <c r="AF211" s="104"/>
      <c r="AG211" s="43"/>
      <c r="AH211" s="41"/>
      <c r="AI211" s="42"/>
      <c r="AJ211" s="43"/>
      <c r="AK211" s="42"/>
      <c r="AL211" s="42"/>
      <c r="AM211" s="42"/>
      <c r="AN211" s="41"/>
      <c r="AO211" s="42"/>
      <c r="AP211" s="43"/>
      <c r="AQ211" s="41"/>
      <c r="AR211" s="42"/>
      <c r="AS211" s="42"/>
      <c r="AT211" s="41"/>
      <c r="AU211" s="42"/>
      <c r="AV211" s="43"/>
      <c r="AW211" s="42"/>
      <c r="AX211" s="42"/>
      <c r="AY211" s="42"/>
      <c r="AZ211" s="41"/>
      <c r="BA211" s="42"/>
      <c r="BB211" s="43"/>
      <c r="BC211" s="42"/>
      <c r="BD211" s="42"/>
      <c r="BE211" s="42"/>
      <c r="BF211" s="41"/>
      <c r="BG211" s="104"/>
      <c r="BH211" s="43"/>
      <c r="BI211" s="41"/>
      <c r="BJ211" s="42"/>
      <c r="BK211" s="43"/>
      <c r="BL211" s="41"/>
      <c r="BM211" s="42"/>
      <c r="BN211" s="43"/>
      <c r="BO211" s="42"/>
      <c r="BP211" s="42"/>
      <c r="BQ211" s="42"/>
      <c r="BR211" s="67"/>
      <c r="BS211" s="104"/>
      <c r="BT211" s="68"/>
      <c r="BU211" s="42"/>
      <c r="BV211" s="42"/>
      <c r="BW211" s="42"/>
      <c r="BX211" s="41"/>
      <c r="BY211" s="42"/>
      <c r="BZ211" s="43"/>
      <c r="CA211" s="41"/>
      <c r="CB211" s="42"/>
      <c r="CC211" s="43"/>
      <c r="CD211" s="41"/>
      <c r="CE211" s="42"/>
      <c r="CF211" s="43"/>
      <c r="CG211" s="41"/>
      <c r="CH211" s="42"/>
      <c r="CI211" s="43"/>
      <c r="CJ211" s="41"/>
      <c r="CK211" s="42"/>
      <c r="CL211" s="43"/>
      <c r="CM211" s="42"/>
      <c r="CN211" s="42"/>
      <c r="CO211" s="42"/>
      <c r="CP211" s="41"/>
      <c r="CQ211" s="42"/>
      <c r="CR211" s="43"/>
      <c r="CS211" s="42"/>
      <c r="CT211" s="42"/>
      <c r="CU211" s="42"/>
      <c r="CV211" s="41"/>
      <c r="CW211" s="42"/>
      <c r="CX211" s="43"/>
      <c r="CY211" s="41"/>
      <c r="CZ211" s="42"/>
      <c r="DA211" s="43"/>
      <c r="DB211" s="42"/>
      <c r="DC211" s="42"/>
      <c r="DD211" s="42"/>
      <c r="DE211" s="41"/>
      <c r="DF211" s="42"/>
      <c r="DG211" s="43"/>
      <c r="DH211" s="41"/>
      <c r="DI211" s="42"/>
      <c r="DJ211" s="43"/>
      <c r="DK211" s="41"/>
      <c r="DL211" s="42"/>
      <c r="DM211" s="43"/>
      <c r="DN211" s="41"/>
      <c r="DO211" s="42"/>
      <c r="DP211" s="43"/>
      <c r="DQ211" s="41"/>
      <c r="DR211" s="42"/>
      <c r="DS211" s="43"/>
      <c r="DT211" s="42"/>
      <c r="DU211" s="42"/>
      <c r="DV211" s="44"/>
      <c r="DX211" s="213"/>
      <c r="DY211" s="1"/>
      <c r="DZ211" s="1"/>
      <c r="EA211" s="1"/>
      <c r="EB211" s="1"/>
    </row>
    <row r="212" spans="5:132" s="6" customFormat="1" ht="9.9499999999999993" customHeight="1">
      <c r="F212" s="143">
        <f t="shared" ref="F212" si="124">DX212</f>
        <v>8.1999999999999998E-4</v>
      </c>
      <c r="G212" s="144">
        <f>Q212-F212</f>
        <v>0</v>
      </c>
      <c r="H212" s="27">
        <v>1</v>
      </c>
      <c r="I212" s="19" t="s">
        <v>251</v>
      </c>
      <c r="J212" s="19" t="s">
        <v>186</v>
      </c>
      <c r="K212" s="19" t="s">
        <v>252</v>
      </c>
      <c r="L212" s="230"/>
      <c r="M212" s="238" t="s">
        <v>92</v>
      </c>
      <c r="N212" s="239">
        <v>7128</v>
      </c>
      <c r="O212" s="240" t="s">
        <v>93</v>
      </c>
      <c r="P212" s="249">
        <v>171136</v>
      </c>
      <c r="Q212" s="183">
        <f>ROUND(P212/$P$256,5)</f>
        <v>8.1999999999999998E-4</v>
      </c>
      <c r="R212" s="92"/>
      <c r="S212" s="70"/>
      <c r="T212" s="70"/>
      <c r="U212" s="70"/>
      <c r="V212" s="69"/>
      <c r="W212" s="70"/>
      <c r="X212" s="71"/>
      <c r="Y212" s="69"/>
      <c r="Z212" s="70"/>
      <c r="AA212" s="71"/>
      <c r="AB212" s="69"/>
      <c r="AC212" s="70"/>
      <c r="AD212" s="71"/>
      <c r="AE212" s="70"/>
      <c r="AF212" s="70"/>
      <c r="AG212" s="70"/>
      <c r="AH212" s="69"/>
      <c r="AI212" s="70"/>
      <c r="AJ212" s="71"/>
      <c r="AK212" s="70"/>
      <c r="AL212" s="70"/>
      <c r="AM212" s="70"/>
      <c r="AN212" s="69"/>
      <c r="AO212" s="70"/>
      <c r="AP212" s="71"/>
      <c r="AQ212" s="69"/>
      <c r="AR212" s="70"/>
      <c r="AS212" s="70"/>
      <c r="AT212" s="69"/>
      <c r="AU212" s="70"/>
      <c r="AV212" s="71"/>
      <c r="AW212" s="70"/>
      <c r="AX212" s="70"/>
      <c r="AY212" s="70"/>
      <c r="AZ212" s="69"/>
      <c r="BA212" s="70"/>
      <c r="BB212" s="71"/>
      <c r="BC212" s="70"/>
      <c r="BD212" s="70"/>
      <c r="BE212" s="70"/>
      <c r="BF212" s="69"/>
      <c r="BG212" s="70"/>
      <c r="BH212" s="71"/>
      <c r="BI212" s="70"/>
      <c r="BJ212" s="70"/>
      <c r="BK212" s="70"/>
      <c r="BL212" s="69"/>
      <c r="BM212" s="70"/>
      <c r="BN212" s="71"/>
      <c r="BO212" s="70"/>
      <c r="BP212" s="70"/>
      <c r="BQ212" s="70"/>
      <c r="BR212" s="73"/>
      <c r="BS212" s="70"/>
      <c r="BT212" s="74"/>
      <c r="BU212" s="70"/>
      <c r="BV212" s="70"/>
      <c r="BW212" s="70"/>
      <c r="BX212" s="69"/>
      <c r="BY212" s="70"/>
      <c r="BZ212" s="71"/>
      <c r="CA212" s="69"/>
      <c r="CB212" s="70"/>
      <c r="CC212" s="71"/>
      <c r="CD212" s="69"/>
      <c r="CE212" s="70"/>
      <c r="CF212" s="71"/>
      <c r="CG212" s="69"/>
      <c r="CH212" s="70"/>
      <c r="CI212" s="71"/>
      <c r="CJ212" s="69"/>
      <c r="CK212" s="70"/>
      <c r="CL212" s="71"/>
      <c r="CM212" s="70"/>
      <c r="CN212" s="70"/>
      <c r="CO212" s="70"/>
      <c r="CP212" s="150"/>
      <c r="CQ212" s="150"/>
      <c r="CR212" s="150"/>
      <c r="CS212" s="150">
        <v>3.3E-4</v>
      </c>
      <c r="CT212" s="150"/>
      <c r="CU212" s="150"/>
      <c r="CV212" s="150">
        <v>3.3E-4</v>
      </c>
      <c r="CW212" s="150"/>
      <c r="CX212" s="150"/>
      <c r="CY212" s="150">
        <v>1.6000000000000001E-4</v>
      </c>
      <c r="CZ212" s="150"/>
      <c r="DA212" s="150"/>
      <c r="DB212" s="69"/>
      <c r="DC212" s="70"/>
      <c r="DD212" s="71"/>
      <c r="DE212" s="70"/>
      <c r="DF212" s="70"/>
      <c r="DG212" s="70"/>
      <c r="DH212" s="69"/>
      <c r="DI212" s="70"/>
      <c r="DJ212" s="71"/>
      <c r="DK212" s="69"/>
      <c r="DL212" s="70"/>
      <c r="DM212" s="71"/>
      <c r="DN212" s="69"/>
      <c r="DO212" s="70"/>
      <c r="DP212" s="71"/>
      <c r="DQ212" s="69"/>
      <c r="DR212" s="70"/>
      <c r="DS212" s="71"/>
      <c r="DT212" s="70"/>
      <c r="DU212" s="70"/>
      <c r="DV212" s="75"/>
      <c r="DX212" s="213">
        <f>SUM(R212:DV212)</f>
        <v>8.1999999999999998E-4</v>
      </c>
      <c r="DY212" s="1"/>
      <c r="DZ212" s="1"/>
      <c r="EA212" s="1"/>
      <c r="EB212" s="1"/>
    </row>
    <row r="213" spans="5:132" s="6" customFormat="1" ht="6.95" customHeight="1">
      <c r="F213" s="143"/>
      <c r="G213" s="144"/>
      <c r="H213" s="55">
        <v>2</v>
      </c>
      <c r="L213" s="230"/>
      <c r="M213" s="238"/>
      <c r="N213" s="239"/>
      <c r="O213" s="240"/>
      <c r="P213" s="249"/>
      <c r="Q213" s="184"/>
      <c r="R213" s="92"/>
      <c r="S213" s="70"/>
      <c r="T213" s="70"/>
      <c r="U213" s="70"/>
      <c r="V213" s="69"/>
      <c r="W213" s="70"/>
      <c r="X213" s="71"/>
      <c r="Y213" s="69"/>
      <c r="Z213" s="70"/>
      <c r="AA213" s="71"/>
      <c r="AB213" s="69"/>
      <c r="AC213" s="70"/>
      <c r="AD213" s="71"/>
      <c r="AE213" s="70"/>
      <c r="AF213" s="70"/>
      <c r="AG213" s="70"/>
      <c r="AH213" s="69"/>
      <c r="AI213" s="70"/>
      <c r="AJ213" s="71"/>
      <c r="AK213" s="70"/>
      <c r="AL213" s="70"/>
      <c r="AM213" s="70"/>
      <c r="AN213" s="69"/>
      <c r="AO213" s="70"/>
      <c r="AP213" s="71"/>
      <c r="AQ213" s="69"/>
      <c r="AR213" s="70"/>
      <c r="AS213" s="70"/>
      <c r="AT213" s="69"/>
      <c r="AU213" s="70"/>
      <c r="AV213" s="71"/>
      <c r="AW213" s="70"/>
      <c r="AX213" s="70"/>
      <c r="AY213" s="70"/>
      <c r="AZ213" s="69"/>
      <c r="BA213" s="70"/>
      <c r="BB213" s="71"/>
      <c r="BC213" s="70"/>
      <c r="BD213" s="70"/>
      <c r="BE213" s="70"/>
      <c r="BF213" s="69"/>
      <c r="BG213" s="70"/>
      <c r="BH213" s="71"/>
      <c r="BI213" s="70"/>
      <c r="BJ213" s="70"/>
      <c r="BK213" s="70"/>
      <c r="BL213" s="69"/>
      <c r="BM213" s="70"/>
      <c r="BN213" s="71"/>
      <c r="BO213" s="70"/>
      <c r="BP213" s="70"/>
      <c r="BQ213" s="70"/>
      <c r="BR213" s="73"/>
      <c r="BS213" s="70"/>
      <c r="BT213" s="74"/>
      <c r="BU213" s="70"/>
      <c r="BV213" s="70"/>
      <c r="BW213" s="70"/>
      <c r="BX213" s="69"/>
      <c r="BY213" s="70"/>
      <c r="BZ213" s="71"/>
      <c r="CA213" s="69"/>
      <c r="CB213" s="70"/>
      <c r="CC213" s="71"/>
      <c r="CD213" s="69"/>
      <c r="CE213" s="70"/>
      <c r="CF213" s="71"/>
      <c r="CG213" s="69"/>
      <c r="CH213" s="70"/>
      <c r="CI213" s="71"/>
      <c r="CJ213" s="69"/>
      <c r="CK213" s="70"/>
      <c r="CL213" s="71"/>
      <c r="CM213" s="70"/>
      <c r="CN213" s="70"/>
      <c r="CO213" s="70"/>
      <c r="CP213" s="69"/>
      <c r="CQ213" s="70"/>
      <c r="CR213" s="71"/>
      <c r="CS213" s="64"/>
      <c r="CT213" s="65"/>
      <c r="CU213" s="66"/>
      <c r="CV213" s="64"/>
      <c r="CW213" s="65"/>
      <c r="CX213" s="66"/>
      <c r="CY213" s="64"/>
      <c r="CZ213" s="65"/>
      <c r="DA213" s="66"/>
      <c r="DB213" s="69"/>
      <c r="DC213" s="70"/>
      <c r="DD213" s="71"/>
      <c r="DE213" s="70"/>
      <c r="DF213" s="70"/>
      <c r="DG213" s="70"/>
      <c r="DH213" s="41"/>
      <c r="DI213" s="42"/>
      <c r="DJ213" s="43"/>
      <c r="DK213" s="41"/>
      <c r="DL213" s="70"/>
      <c r="DM213" s="71"/>
      <c r="DN213" s="69"/>
      <c r="DO213" s="70"/>
      <c r="DP213" s="71"/>
      <c r="DQ213" s="69"/>
      <c r="DR213" s="70"/>
      <c r="DS213" s="71"/>
      <c r="DT213" s="70"/>
      <c r="DU213" s="70"/>
      <c r="DV213" s="75"/>
      <c r="DX213" s="213"/>
      <c r="DY213" s="1"/>
      <c r="DZ213" s="1"/>
      <c r="EA213" s="1"/>
      <c r="EB213" s="1"/>
    </row>
    <row r="214" spans="5:132" s="6" customFormat="1" ht="9.9499999999999993" customHeight="1">
      <c r="E214" s="82"/>
      <c r="F214" s="143">
        <f t="shared" ref="F214" si="125">DX214</f>
        <v>3.0000000000000001E-5</v>
      </c>
      <c r="G214" s="144">
        <f>Q214-F214</f>
        <v>0</v>
      </c>
      <c r="H214" s="27">
        <v>1</v>
      </c>
      <c r="I214" s="83"/>
      <c r="J214" s="83"/>
      <c r="L214" s="271"/>
      <c r="M214" s="231" t="s">
        <v>94</v>
      </c>
      <c r="N214" s="254">
        <v>394</v>
      </c>
      <c r="O214" s="243" t="s">
        <v>298</v>
      </c>
      <c r="P214" s="245">
        <v>7252</v>
      </c>
      <c r="Q214" s="183">
        <f>ROUND(P214/$P$256,5)</f>
        <v>3.0000000000000001E-5</v>
      </c>
      <c r="R214" s="120"/>
      <c r="S214" s="57"/>
      <c r="T214" s="57"/>
      <c r="U214" s="57"/>
      <c r="V214" s="56"/>
      <c r="W214" s="57"/>
      <c r="X214" s="58"/>
      <c r="Y214" s="56"/>
      <c r="Z214" s="57"/>
      <c r="AA214" s="58"/>
      <c r="AB214" s="56"/>
      <c r="AC214" s="57"/>
      <c r="AD214" s="58"/>
      <c r="AE214" s="57"/>
      <c r="AF214" s="57"/>
      <c r="AG214" s="57"/>
      <c r="AH214" s="56"/>
      <c r="AI214" s="57"/>
      <c r="AJ214" s="58"/>
      <c r="AK214" s="57"/>
      <c r="AL214" s="57"/>
      <c r="AM214" s="57"/>
      <c r="AN214" s="56"/>
      <c r="AO214" s="57"/>
      <c r="AP214" s="58"/>
      <c r="AQ214" s="56"/>
      <c r="AR214" s="57"/>
      <c r="AS214" s="57"/>
      <c r="AT214" s="56"/>
      <c r="AU214" s="57"/>
      <c r="AV214" s="58"/>
      <c r="AW214" s="57"/>
      <c r="AX214" s="57"/>
      <c r="AY214" s="57"/>
      <c r="AZ214" s="56"/>
      <c r="BA214" s="57"/>
      <c r="BB214" s="58"/>
      <c r="BC214" s="57"/>
      <c r="BD214" s="57"/>
      <c r="BE214" s="57"/>
      <c r="BF214" s="56"/>
      <c r="BG214" s="57"/>
      <c r="BH214" s="58"/>
      <c r="BI214" s="57"/>
      <c r="BJ214" s="57"/>
      <c r="BK214" s="57"/>
      <c r="BL214" s="56"/>
      <c r="BM214" s="57"/>
      <c r="BN214" s="58"/>
      <c r="BO214" s="57"/>
      <c r="BP214" s="57"/>
      <c r="BQ214" s="57"/>
      <c r="BR214" s="60"/>
      <c r="BS214" s="57"/>
      <c r="BT214" s="61"/>
      <c r="BU214" s="57"/>
      <c r="BV214" s="57"/>
      <c r="BW214" s="57"/>
      <c r="BX214" s="56"/>
      <c r="BY214" s="57"/>
      <c r="BZ214" s="58"/>
      <c r="CA214" s="56"/>
      <c r="CB214" s="57"/>
      <c r="CC214" s="58"/>
      <c r="CD214" s="56"/>
      <c r="CE214" s="57"/>
      <c r="CF214" s="58"/>
      <c r="CG214" s="56"/>
      <c r="CH214" s="57"/>
      <c r="CI214" s="58"/>
      <c r="CJ214" s="56"/>
      <c r="CK214" s="57"/>
      <c r="CL214" s="58"/>
      <c r="CM214" s="57"/>
      <c r="CN214" s="57"/>
      <c r="CO214" s="57"/>
      <c r="CP214" s="56"/>
      <c r="CQ214" s="57"/>
      <c r="CR214" s="58"/>
      <c r="CS214" s="56"/>
      <c r="CT214" s="57"/>
      <c r="CU214" s="58"/>
      <c r="CV214" s="57"/>
      <c r="CW214" s="57"/>
      <c r="CX214" s="57"/>
      <c r="CY214" s="56"/>
      <c r="CZ214" s="57"/>
      <c r="DA214" s="58"/>
      <c r="DB214" s="56"/>
      <c r="DC214" s="57"/>
      <c r="DD214" s="58"/>
      <c r="DE214" s="57"/>
      <c r="DF214" s="57"/>
      <c r="DG214" s="57"/>
      <c r="DH214" s="150">
        <v>3.0000000000000001E-5</v>
      </c>
      <c r="DI214" s="150"/>
      <c r="DJ214" s="150"/>
      <c r="DK214" s="150"/>
      <c r="DL214" s="146"/>
      <c r="DM214" s="146"/>
      <c r="DN214" s="146"/>
      <c r="DO214" s="146"/>
      <c r="DP214" s="146"/>
      <c r="DQ214" s="146"/>
      <c r="DR214" s="146"/>
      <c r="DS214" s="146"/>
      <c r="DT214" s="57"/>
      <c r="DU214" s="57"/>
      <c r="DV214" s="62"/>
      <c r="DX214" s="213">
        <f>SUM(R214:DV214)</f>
        <v>3.0000000000000001E-5</v>
      </c>
      <c r="DY214" s="1"/>
      <c r="DZ214" s="1"/>
      <c r="EA214" s="1"/>
      <c r="EB214" s="1"/>
    </row>
    <row r="215" spans="5:132" s="6" customFormat="1" ht="6.95" customHeight="1">
      <c r="E215" s="83"/>
      <c r="F215" s="143"/>
      <c r="G215" s="144"/>
      <c r="H215" s="55">
        <v>2</v>
      </c>
      <c r="I215" s="83"/>
      <c r="J215" s="83"/>
      <c r="L215" s="272"/>
      <c r="M215" s="232"/>
      <c r="N215" s="255"/>
      <c r="O215" s="244"/>
      <c r="P215" s="246"/>
      <c r="Q215" s="184"/>
      <c r="R215" s="63"/>
      <c r="S215" s="42"/>
      <c r="T215" s="42"/>
      <c r="U215" s="42"/>
      <c r="V215" s="41"/>
      <c r="W215" s="42"/>
      <c r="X215" s="43"/>
      <c r="Y215" s="41"/>
      <c r="Z215" s="42"/>
      <c r="AA215" s="43"/>
      <c r="AB215" s="41"/>
      <c r="AC215" s="42"/>
      <c r="AD215" s="43"/>
      <c r="AE215" s="42"/>
      <c r="AF215" s="42"/>
      <c r="AG215" s="42"/>
      <c r="AH215" s="41"/>
      <c r="AI215" s="42"/>
      <c r="AJ215" s="43"/>
      <c r="AK215" s="42"/>
      <c r="AL215" s="42"/>
      <c r="AM215" s="42"/>
      <c r="AN215" s="41"/>
      <c r="AO215" s="42"/>
      <c r="AP215" s="43"/>
      <c r="AQ215" s="41"/>
      <c r="AR215" s="42"/>
      <c r="AS215" s="42"/>
      <c r="AT215" s="41"/>
      <c r="AU215" s="42"/>
      <c r="AV215" s="43"/>
      <c r="AW215" s="42"/>
      <c r="AX215" s="42"/>
      <c r="AY215" s="42"/>
      <c r="AZ215" s="41"/>
      <c r="BA215" s="42"/>
      <c r="BB215" s="43"/>
      <c r="BC215" s="42"/>
      <c r="BD215" s="42"/>
      <c r="BE215" s="42"/>
      <c r="BF215" s="41"/>
      <c r="BG215" s="42"/>
      <c r="BH215" s="43"/>
      <c r="BI215" s="42"/>
      <c r="BJ215" s="42"/>
      <c r="BK215" s="42"/>
      <c r="BL215" s="41"/>
      <c r="BM215" s="42"/>
      <c r="BN215" s="43"/>
      <c r="BO215" s="42"/>
      <c r="BP215" s="42"/>
      <c r="BQ215" s="42"/>
      <c r="BR215" s="67"/>
      <c r="BS215" s="42"/>
      <c r="BT215" s="68"/>
      <c r="BU215" s="42"/>
      <c r="BV215" s="42"/>
      <c r="BW215" s="42"/>
      <c r="BX215" s="41"/>
      <c r="BY215" s="42"/>
      <c r="BZ215" s="43"/>
      <c r="CA215" s="41"/>
      <c r="CB215" s="42"/>
      <c r="CC215" s="43"/>
      <c r="CD215" s="41"/>
      <c r="CE215" s="42"/>
      <c r="CF215" s="43"/>
      <c r="CG215" s="41"/>
      <c r="CH215" s="42"/>
      <c r="CI215" s="43"/>
      <c r="CJ215" s="41"/>
      <c r="CK215" s="42"/>
      <c r="CL215" s="43"/>
      <c r="CM215" s="42"/>
      <c r="CN215" s="42"/>
      <c r="CO215" s="42"/>
      <c r="CP215" s="41"/>
      <c r="CQ215" s="42"/>
      <c r="CR215" s="43"/>
      <c r="CS215" s="41"/>
      <c r="CT215" s="42"/>
      <c r="CU215" s="43"/>
      <c r="CV215" s="42"/>
      <c r="CW215" s="42"/>
      <c r="CX215" s="42"/>
      <c r="CY215" s="41"/>
      <c r="CZ215" s="42"/>
      <c r="DA215" s="43"/>
      <c r="DB215" s="41"/>
      <c r="DC215" s="42"/>
      <c r="DD215" s="43"/>
      <c r="DE215" s="42"/>
      <c r="DF215" s="42"/>
      <c r="DG215" s="42"/>
      <c r="DH215" s="64"/>
      <c r="DI215" s="65"/>
      <c r="DJ215" s="66"/>
      <c r="DK215" s="41"/>
      <c r="DL215" s="42"/>
      <c r="DM215" s="43"/>
      <c r="DN215" s="41"/>
      <c r="DO215" s="42"/>
      <c r="DP215" s="43"/>
      <c r="DQ215" s="41"/>
      <c r="DR215" s="42"/>
      <c r="DS215" s="43"/>
      <c r="DT215" s="42"/>
      <c r="DU215" s="42"/>
      <c r="DV215" s="44"/>
      <c r="DX215" s="213"/>
      <c r="DY215" s="1"/>
      <c r="DZ215" s="1"/>
      <c r="EA215" s="1"/>
      <c r="EB215" s="1"/>
    </row>
    <row r="216" spans="5:132" s="6" customFormat="1" ht="9.9499999999999993" customHeight="1">
      <c r="E216" s="83"/>
      <c r="F216" s="143">
        <f t="shared" ref="F216" si="126">DX216</f>
        <v>1.0000000000000001E-5</v>
      </c>
      <c r="G216" s="144">
        <f>Q216-F216</f>
        <v>0</v>
      </c>
      <c r="H216" s="27">
        <v>1</v>
      </c>
      <c r="I216" s="83"/>
      <c r="J216" s="83"/>
      <c r="L216" s="230"/>
      <c r="M216" s="296" t="s">
        <v>164</v>
      </c>
      <c r="N216" s="239">
        <v>60</v>
      </c>
      <c r="O216" s="240" t="s">
        <v>15</v>
      </c>
      <c r="P216" s="249">
        <v>1748</v>
      </c>
      <c r="Q216" s="183">
        <f>ROUND(P216/$P$256,5)</f>
        <v>1.0000000000000001E-5</v>
      </c>
      <c r="R216" s="92"/>
      <c r="S216" s="70"/>
      <c r="T216" s="70"/>
      <c r="U216" s="70"/>
      <c r="V216" s="69"/>
      <c r="W216" s="70"/>
      <c r="X216" s="71"/>
      <c r="Y216" s="69"/>
      <c r="Z216" s="70"/>
      <c r="AA216" s="71"/>
      <c r="AB216" s="69"/>
      <c r="AC216" s="70"/>
      <c r="AD216" s="71"/>
      <c r="AE216" s="70"/>
      <c r="AF216" s="70"/>
      <c r="AG216" s="70"/>
      <c r="AH216" s="69"/>
      <c r="AI216" s="70"/>
      <c r="AJ216" s="71"/>
      <c r="AK216" s="70"/>
      <c r="AL216" s="70"/>
      <c r="AM216" s="70"/>
      <c r="AN216" s="69"/>
      <c r="AO216" s="70"/>
      <c r="AP216" s="71"/>
      <c r="AQ216" s="69"/>
      <c r="AR216" s="70"/>
      <c r="AS216" s="70"/>
      <c r="AT216" s="69"/>
      <c r="AU216" s="70"/>
      <c r="AV216" s="71"/>
      <c r="AW216" s="70"/>
      <c r="AX216" s="70"/>
      <c r="AY216" s="70"/>
      <c r="AZ216" s="69"/>
      <c r="BA216" s="70"/>
      <c r="BB216" s="71"/>
      <c r="BC216" s="70"/>
      <c r="BD216" s="70"/>
      <c r="BE216" s="70"/>
      <c r="BF216" s="69"/>
      <c r="BG216" s="70"/>
      <c r="BH216" s="71"/>
      <c r="BI216" s="70"/>
      <c r="BJ216" s="70"/>
      <c r="BK216" s="70"/>
      <c r="BL216" s="69"/>
      <c r="BM216" s="70"/>
      <c r="BN216" s="71"/>
      <c r="BO216" s="70"/>
      <c r="BP216" s="70"/>
      <c r="BQ216" s="70"/>
      <c r="BR216" s="73"/>
      <c r="BS216" s="70"/>
      <c r="BT216" s="74"/>
      <c r="BU216" s="70"/>
      <c r="BV216" s="70"/>
      <c r="BW216" s="70"/>
      <c r="BX216" s="69"/>
      <c r="BY216" s="70"/>
      <c r="BZ216" s="71"/>
      <c r="CA216" s="69"/>
      <c r="CB216" s="70"/>
      <c r="CC216" s="71"/>
      <c r="CD216" s="69"/>
      <c r="CE216" s="70"/>
      <c r="CF216" s="71"/>
      <c r="CG216" s="69"/>
      <c r="CH216" s="70"/>
      <c r="CI216" s="71"/>
      <c r="CJ216" s="69"/>
      <c r="CK216" s="70"/>
      <c r="CL216" s="71"/>
      <c r="CM216" s="70"/>
      <c r="CN216" s="70"/>
      <c r="CO216" s="70"/>
      <c r="CP216" s="69"/>
      <c r="CQ216" s="70"/>
      <c r="CR216" s="71"/>
      <c r="CS216" s="69"/>
      <c r="CT216" s="70"/>
      <c r="CU216" s="71"/>
      <c r="CV216" s="70"/>
      <c r="CW216" s="70"/>
      <c r="CX216" s="70"/>
      <c r="CY216" s="69"/>
      <c r="CZ216" s="70"/>
      <c r="DA216" s="71"/>
      <c r="DB216" s="69"/>
      <c r="DC216" s="70"/>
      <c r="DD216" s="71"/>
      <c r="DE216" s="150">
        <v>1.0000000000000001E-5</v>
      </c>
      <c r="DF216" s="150"/>
      <c r="DG216" s="150"/>
      <c r="DH216" s="69"/>
      <c r="DI216" s="70"/>
      <c r="DJ216" s="71"/>
      <c r="DK216" s="69"/>
      <c r="DL216" s="70"/>
      <c r="DM216" s="71"/>
      <c r="DN216" s="69"/>
      <c r="DO216" s="70"/>
      <c r="DP216" s="71"/>
      <c r="DQ216" s="69"/>
      <c r="DR216" s="70"/>
      <c r="DS216" s="71"/>
      <c r="DT216" s="70"/>
      <c r="DU216" s="70"/>
      <c r="DV216" s="75"/>
      <c r="DX216" s="213">
        <f>SUM(R216:DV216)</f>
        <v>1.0000000000000001E-5</v>
      </c>
      <c r="DY216" s="1"/>
      <c r="DZ216" s="1"/>
      <c r="EA216" s="1"/>
      <c r="EB216" s="1"/>
    </row>
    <row r="217" spans="5:132" s="6" customFormat="1" ht="6.95" customHeight="1">
      <c r="E217" s="83"/>
      <c r="F217" s="143"/>
      <c r="G217" s="144"/>
      <c r="H217" s="55">
        <v>2</v>
      </c>
      <c r="I217" s="83"/>
      <c r="J217" s="83"/>
      <c r="L217" s="230"/>
      <c r="M217" s="238"/>
      <c r="N217" s="239"/>
      <c r="O217" s="240"/>
      <c r="P217" s="249"/>
      <c r="Q217" s="184"/>
      <c r="R217" s="76"/>
      <c r="S217" s="70"/>
      <c r="T217" s="70"/>
      <c r="U217" s="70"/>
      <c r="V217" s="69"/>
      <c r="W217" s="70"/>
      <c r="X217" s="71"/>
      <c r="Y217" s="69"/>
      <c r="Z217" s="70"/>
      <c r="AA217" s="71"/>
      <c r="AB217" s="69"/>
      <c r="AC217" s="70"/>
      <c r="AD217" s="71"/>
      <c r="AE217" s="70"/>
      <c r="AF217" s="70"/>
      <c r="AG217" s="70"/>
      <c r="AH217" s="69"/>
      <c r="AI217" s="70"/>
      <c r="AJ217" s="71"/>
      <c r="AK217" s="70"/>
      <c r="AL217" s="70"/>
      <c r="AM217" s="70"/>
      <c r="AN217" s="69"/>
      <c r="AO217" s="70"/>
      <c r="AP217" s="71"/>
      <c r="AQ217" s="69"/>
      <c r="AR217" s="70"/>
      <c r="AS217" s="70"/>
      <c r="AT217" s="69"/>
      <c r="AU217" s="70"/>
      <c r="AV217" s="71"/>
      <c r="AW217" s="70"/>
      <c r="AX217" s="70"/>
      <c r="AY217" s="70"/>
      <c r="AZ217" s="69"/>
      <c r="BA217" s="70"/>
      <c r="BB217" s="71"/>
      <c r="BC217" s="70"/>
      <c r="BD217" s="70"/>
      <c r="BE217" s="70"/>
      <c r="BF217" s="69"/>
      <c r="BG217" s="70"/>
      <c r="BH217" s="71"/>
      <c r="BI217" s="70"/>
      <c r="BJ217" s="70"/>
      <c r="BK217" s="70"/>
      <c r="BL217" s="69"/>
      <c r="BM217" s="70"/>
      <c r="BN217" s="71"/>
      <c r="BO217" s="70"/>
      <c r="BP217" s="70"/>
      <c r="BQ217" s="70"/>
      <c r="BR217" s="73"/>
      <c r="BS217" s="70"/>
      <c r="BT217" s="74"/>
      <c r="BU217" s="70"/>
      <c r="BV217" s="70"/>
      <c r="BW217" s="70"/>
      <c r="BX217" s="69"/>
      <c r="BY217" s="70"/>
      <c r="BZ217" s="71"/>
      <c r="CA217" s="69"/>
      <c r="CB217" s="70"/>
      <c r="CC217" s="71"/>
      <c r="CD217" s="69"/>
      <c r="CE217" s="70"/>
      <c r="CF217" s="71"/>
      <c r="CG217" s="69"/>
      <c r="CH217" s="70"/>
      <c r="CI217" s="71"/>
      <c r="CJ217" s="69"/>
      <c r="CK217" s="70"/>
      <c r="CL217" s="71"/>
      <c r="CM217" s="70"/>
      <c r="CN217" s="70"/>
      <c r="CO217" s="70"/>
      <c r="CP217" s="69"/>
      <c r="CQ217" s="70"/>
      <c r="CR217" s="71"/>
      <c r="CS217" s="69"/>
      <c r="CT217" s="70"/>
      <c r="CU217" s="71"/>
      <c r="CV217" s="70"/>
      <c r="CW217" s="70"/>
      <c r="CX217" s="70"/>
      <c r="CY217" s="69"/>
      <c r="CZ217" s="70"/>
      <c r="DA217" s="71"/>
      <c r="DB217" s="69"/>
      <c r="DC217" s="70"/>
      <c r="DD217" s="71"/>
      <c r="DE217" s="64"/>
      <c r="DF217" s="65"/>
      <c r="DG217" s="66"/>
      <c r="DH217" s="41"/>
      <c r="DI217" s="42"/>
      <c r="DJ217" s="43"/>
      <c r="DK217" s="41"/>
      <c r="DL217" s="70"/>
      <c r="DM217" s="71"/>
      <c r="DN217" s="69"/>
      <c r="DO217" s="70"/>
      <c r="DP217" s="71"/>
      <c r="DQ217" s="69"/>
      <c r="DR217" s="70"/>
      <c r="DS217" s="71"/>
      <c r="DT217" s="70"/>
      <c r="DU217" s="70"/>
      <c r="DV217" s="75"/>
      <c r="DX217" s="213"/>
      <c r="DY217" s="1"/>
      <c r="DZ217" s="1"/>
      <c r="EA217" s="1"/>
      <c r="EB217" s="1"/>
    </row>
    <row r="218" spans="5:132" s="6" customFormat="1" ht="9.9499999999999993" customHeight="1">
      <c r="F218" s="143">
        <f t="shared" ref="F218" si="127">DX218</f>
        <v>3.9999999999999998E-7</v>
      </c>
      <c r="G218" s="144">
        <f>Q218-F218</f>
        <v>9.9999999999999995E-8</v>
      </c>
      <c r="H218" s="27">
        <v>1</v>
      </c>
      <c r="L218" s="271"/>
      <c r="M218" s="237" t="s">
        <v>166</v>
      </c>
      <c r="N218" s="254">
        <v>2</v>
      </c>
      <c r="O218" s="253" t="s">
        <v>165</v>
      </c>
      <c r="P218" s="245">
        <v>95</v>
      </c>
      <c r="Q218" s="349">
        <f>ROUND(P218/$P$256,7)</f>
        <v>4.9999999999999998E-7</v>
      </c>
      <c r="R218" s="21"/>
      <c r="S218" s="57"/>
      <c r="T218" s="57"/>
      <c r="U218" s="57"/>
      <c r="V218" s="56"/>
      <c r="W218" s="57"/>
      <c r="X218" s="58"/>
      <c r="Y218" s="56"/>
      <c r="Z218" s="57"/>
      <c r="AA218" s="58"/>
      <c r="AB218" s="56"/>
      <c r="AC218" s="57"/>
      <c r="AD218" s="58"/>
      <c r="AE218" s="57"/>
      <c r="AF218" s="57"/>
      <c r="AG218" s="57"/>
      <c r="AH218" s="56"/>
      <c r="AI218" s="57"/>
      <c r="AJ218" s="58"/>
      <c r="AK218" s="57"/>
      <c r="AL218" s="57"/>
      <c r="AM218" s="57"/>
      <c r="AN218" s="56"/>
      <c r="AO218" s="57"/>
      <c r="AP218" s="58"/>
      <c r="AQ218" s="56"/>
      <c r="AR218" s="57"/>
      <c r="AS218" s="57"/>
      <c r="AT218" s="56"/>
      <c r="AU218" s="57"/>
      <c r="AV218" s="58"/>
      <c r="AW218" s="57"/>
      <c r="AX218" s="57"/>
      <c r="AY218" s="57"/>
      <c r="AZ218" s="56"/>
      <c r="BA218" s="57"/>
      <c r="BB218" s="58"/>
      <c r="BC218" s="57"/>
      <c r="BD218" s="57"/>
      <c r="BE218" s="57"/>
      <c r="BF218" s="56"/>
      <c r="BG218" s="57"/>
      <c r="BH218" s="58"/>
      <c r="BI218" s="57"/>
      <c r="BJ218" s="57"/>
      <c r="BK218" s="57"/>
      <c r="BL218" s="56"/>
      <c r="BM218" s="57"/>
      <c r="BN218" s="58"/>
      <c r="BO218" s="57"/>
      <c r="BP218" s="57"/>
      <c r="BQ218" s="57"/>
      <c r="BR218" s="60"/>
      <c r="BS218" s="57"/>
      <c r="BT218" s="61"/>
      <c r="BU218" s="57"/>
      <c r="BV218" s="57"/>
      <c r="BW218" s="57"/>
      <c r="BX218" s="56"/>
      <c r="BY218" s="57"/>
      <c r="BZ218" s="58"/>
      <c r="CA218" s="56"/>
      <c r="CB218" s="57"/>
      <c r="CC218" s="58"/>
      <c r="CD218" s="56"/>
      <c r="CE218" s="57"/>
      <c r="CF218" s="58"/>
      <c r="CG218" s="56"/>
      <c r="CH218" s="57"/>
      <c r="CI218" s="58"/>
      <c r="CJ218" s="56"/>
      <c r="CK218" s="57"/>
      <c r="CL218" s="58"/>
      <c r="CM218" s="57"/>
      <c r="CN218" s="57"/>
      <c r="CO218" s="57"/>
      <c r="CP218" s="56"/>
      <c r="CQ218" s="57"/>
      <c r="CR218" s="58"/>
      <c r="CS218" s="56"/>
      <c r="CT218" s="57"/>
      <c r="CU218" s="58"/>
      <c r="CV218" s="57"/>
      <c r="CW218" s="57"/>
      <c r="CX218" s="57"/>
      <c r="CY218" s="56"/>
      <c r="CZ218" s="57"/>
      <c r="DA218" s="58"/>
      <c r="DB218" s="56"/>
      <c r="DC218" s="57"/>
      <c r="DD218" s="58"/>
      <c r="DE218" s="57"/>
      <c r="DF218" s="57"/>
      <c r="DG218" s="70"/>
      <c r="DH218" s="150">
        <v>3.9999999999999998E-7</v>
      </c>
      <c r="DI218" s="150"/>
      <c r="DJ218" s="150"/>
      <c r="DK218" s="150"/>
      <c r="DL218" s="146"/>
      <c r="DM218" s="146"/>
      <c r="DN218" s="146"/>
      <c r="DO218" s="146"/>
      <c r="DP218" s="146"/>
      <c r="DQ218" s="146"/>
      <c r="DR218" s="146"/>
      <c r="DS218" s="146"/>
      <c r="DT218" s="57"/>
      <c r="DU218" s="57"/>
      <c r="DV218" s="62"/>
      <c r="DX218" s="222">
        <f>SUM(R218:DV218)</f>
        <v>3.9999999999999998E-7</v>
      </c>
      <c r="DY218" s="1"/>
      <c r="DZ218" s="1"/>
      <c r="EA218" s="1"/>
      <c r="EB218" s="1"/>
    </row>
    <row r="219" spans="5:132" s="6" customFormat="1" ht="6.95" customHeight="1">
      <c r="F219" s="143"/>
      <c r="G219" s="144"/>
      <c r="H219" s="55">
        <v>2</v>
      </c>
      <c r="L219" s="272"/>
      <c r="M219" s="232"/>
      <c r="N219" s="255"/>
      <c r="O219" s="244"/>
      <c r="P219" s="246"/>
      <c r="Q219" s="350"/>
      <c r="R219" s="93"/>
      <c r="S219" s="42"/>
      <c r="T219" s="42"/>
      <c r="U219" s="42"/>
      <c r="V219" s="41"/>
      <c r="W219" s="42"/>
      <c r="X219" s="43"/>
      <c r="Y219" s="41"/>
      <c r="Z219" s="42"/>
      <c r="AA219" s="43"/>
      <c r="AB219" s="41"/>
      <c r="AC219" s="42"/>
      <c r="AD219" s="43"/>
      <c r="AE219" s="42"/>
      <c r="AF219" s="42"/>
      <c r="AG219" s="42"/>
      <c r="AH219" s="41"/>
      <c r="AI219" s="42"/>
      <c r="AJ219" s="43"/>
      <c r="AK219" s="42"/>
      <c r="AL219" s="42"/>
      <c r="AM219" s="42"/>
      <c r="AN219" s="41"/>
      <c r="AO219" s="42"/>
      <c r="AP219" s="43"/>
      <c r="AQ219" s="41"/>
      <c r="AR219" s="42"/>
      <c r="AS219" s="42"/>
      <c r="AT219" s="41"/>
      <c r="AU219" s="42"/>
      <c r="AV219" s="43"/>
      <c r="AW219" s="42"/>
      <c r="AX219" s="42"/>
      <c r="AY219" s="42"/>
      <c r="AZ219" s="41"/>
      <c r="BA219" s="42"/>
      <c r="BB219" s="43"/>
      <c r="BC219" s="42"/>
      <c r="BD219" s="42"/>
      <c r="BE219" s="42"/>
      <c r="BF219" s="41"/>
      <c r="BG219" s="42"/>
      <c r="BH219" s="43"/>
      <c r="BI219" s="42"/>
      <c r="BJ219" s="42"/>
      <c r="BK219" s="42"/>
      <c r="BL219" s="41"/>
      <c r="BM219" s="42"/>
      <c r="BN219" s="43"/>
      <c r="BO219" s="42"/>
      <c r="BP219" s="42"/>
      <c r="BQ219" s="42"/>
      <c r="BR219" s="67"/>
      <c r="BS219" s="42"/>
      <c r="BT219" s="68"/>
      <c r="BU219" s="42"/>
      <c r="BV219" s="42"/>
      <c r="BW219" s="42"/>
      <c r="BX219" s="41"/>
      <c r="BY219" s="42"/>
      <c r="BZ219" s="43"/>
      <c r="CA219" s="41"/>
      <c r="CB219" s="42"/>
      <c r="CC219" s="43"/>
      <c r="CD219" s="41"/>
      <c r="CE219" s="42"/>
      <c r="CF219" s="43"/>
      <c r="CG219" s="41"/>
      <c r="CH219" s="42"/>
      <c r="CI219" s="43"/>
      <c r="CJ219" s="41"/>
      <c r="CK219" s="42"/>
      <c r="CL219" s="43"/>
      <c r="CM219" s="42"/>
      <c r="CN219" s="42"/>
      <c r="CO219" s="42"/>
      <c r="CP219" s="41"/>
      <c r="CQ219" s="42"/>
      <c r="CR219" s="43"/>
      <c r="CS219" s="41"/>
      <c r="CT219" s="42"/>
      <c r="CU219" s="43"/>
      <c r="CV219" s="42"/>
      <c r="CW219" s="42"/>
      <c r="CX219" s="42"/>
      <c r="CY219" s="41"/>
      <c r="CZ219" s="42"/>
      <c r="DA219" s="43"/>
      <c r="DB219" s="41"/>
      <c r="DC219" s="42"/>
      <c r="DD219" s="43"/>
      <c r="DE219" s="42"/>
      <c r="DF219" s="42"/>
      <c r="DG219" s="42"/>
      <c r="DH219" s="64"/>
      <c r="DI219" s="65"/>
      <c r="DJ219" s="66"/>
      <c r="DK219" s="41"/>
      <c r="DL219" s="42"/>
      <c r="DM219" s="43"/>
      <c r="DN219" s="41"/>
      <c r="DO219" s="42"/>
      <c r="DP219" s="43"/>
      <c r="DQ219" s="41"/>
      <c r="DR219" s="42"/>
      <c r="DS219" s="43"/>
      <c r="DT219" s="42"/>
      <c r="DU219" s="42"/>
      <c r="DV219" s="44"/>
      <c r="DX219" s="222"/>
      <c r="DY219" s="1"/>
      <c r="DZ219" s="1"/>
      <c r="EA219" s="1"/>
      <c r="EB219" s="1"/>
    </row>
    <row r="220" spans="5:132" s="6" customFormat="1" ht="9.9499999999999993" customHeight="1">
      <c r="F220" s="143">
        <f t="shared" ref="F220" si="128">DX220</f>
        <v>1.8300000000000002E-3</v>
      </c>
      <c r="G220" s="144">
        <f>Q220-F220</f>
        <v>0</v>
      </c>
      <c r="H220" s="27">
        <v>1</v>
      </c>
      <c r="L220" s="230"/>
      <c r="M220" s="296" t="s">
        <v>95</v>
      </c>
      <c r="N220" s="239">
        <v>1</v>
      </c>
      <c r="O220" s="251" t="s">
        <v>96</v>
      </c>
      <c r="P220" s="249">
        <v>381066</v>
      </c>
      <c r="Q220" s="183">
        <f>ROUND(P220/$P$256,5)</f>
        <v>1.83E-3</v>
      </c>
      <c r="R220" s="76"/>
      <c r="S220" s="70"/>
      <c r="T220" s="70"/>
      <c r="U220" s="70"/>
      <c r="V220" s="69"/>
      <c r="W220" s="70"/>
      <c r="X220" s="71"/>
      <c r="Y220" s="69"/>
      <c r="Z220" s="70"/>
      <c r="AA220" s="71"/>
      <c r="AB220" s="69"/>
      <c r="AC220" s="70"/>
      <c r="AD220" s="71"/>
      <c r="AE220" s="70"/>
      <c r="AF220" s="70"/>
      <c r="AG220" s="70"/>
      <c r="AH220" s="69"/>
      <c r="AI220" s="70"/>
      <c r="AJ220" s="71"/>
      <c r="AK220" s="70"/>
      <c r="AL220" s="70"/>
      <c r="AM220" s="70"/>
      <c r="AN220" s="69"/>
      <c r="AO220" s="70"/>
      <c r="AP220" s="71"/>
      <c r="AQ220" s="69"/>
      <c r="AR220" s="70"/>
      <c r="AS220" s="70"/>
      <c r="AT220" s="69"/>
      <c r="AU220" s="70"/>
      <c r="AV220" s="71"/>
      <c r="AW220" s="70"/>
      <c r="AX220" s="70"/>
      <c r="AY220" s="70"/>
      <c r="AZ220" s="69"/>
      <c r="BA220" s="70"/>
      <c r="BB220" s="71"/>
      <c r="BC220" s="70"/>
      <c r="BD220" s="70"/>
      <c r="BE220" s="70"/>
      <c r="BF220" s="69"/>
      <c r="BG220" s="70"/>
      <c r="BH220" s="71"/>
      <c r="BI220" s="70"/>
      <c r="BJ220" s="70"/>
      <c r="BK220" s="70"/>
      <c r="BL220" s="69"/>
      <c r="BM220" s="70"/>
      <c r="BN220" s="71"/>
      <c r="BO220" s="70"/>
      <c r="BP220" s="70"/>
      <c r="BQ220" s="70"/>
      <c r="BR220" s="73"/>
      <c r="BS220" s="70"/>
      <c r="BT220" s="74"/>
      <c r="BU220" s="70"/>
      <c r="BV220" s="70"/>
      <c r="BW220" s="70"/>
      <c r="BX220" s="69"/>
      <c r="BY220" s="70"/>
      <c r="BZ220" s="71"/>
      <c r="CA220" s="69"/>
      <c r="CB220" s="70"/>
      <c r="CC220" s="71"/>
      <c r="CD220" s="69"/>
      <c r="CE220" s="70"/>
      <c r="CF220" s="71"/>
      <c r="CG220" s="69"/>
      <c r="CH220" s="70"/>
      <c r="CI220" s="71"/>
      <c r="CJ220" s="69"/>
      <c r="CK220" s="70"/>
      <c r="CL220" s="71"/>
      <c r="CM220" s="70"/>
      <c r="CN220" s="70"/>
      <c r="CO220" s="70"/>
      <c r="CP220" s="150"/>
      <c r="CQ220" s="150"/>
      <c r="CR220" s="150"/>
      <c r="CS220" s="150">
        <v>4.4000000000000002E-4</v>
      </c>
      <c r="CT220" s="150"/>
      <c r="CU220" s="150"/>
      <c r="CV220" s="150">
        <v>4.4000000000000002E-4</v>
      </c>
      <c r="CW220" s="150"/>
      <c r="CX220" s="150"/>
      <c r="CY220" s="150">
        <v>3.3E-4</v>
      </c>
      <c r="CZ220" s="150"/>
      <c r="DA220" s="150"/>
      <c r="DB220" s="69"/>
      <c r="DC220" s="70"/>
      <c r="DD220" s="71"/>
      <c r="DE220" s="150">
        <v>1.8000000000000001E-4</v>
      </c>
      <c r="DF220" s="150"/>
      <c r="DG220" s="150"/>
      <c r="DH220" s="150">
        <v>4.4000000000000002E-4</v>
      </c>
      <c r="DI220" s="150"/>
      <c r="DJ220" s="150"/>
      <c r="DK220" s="150"/>
      <c r="DL220" s="150"/>
      <c r="DM220" s="150"/>
      <c r="DN220" s="150"/>
      <c r="DO220" s="150"/>
      <c r="DP220" s="150"/>
      <c r="DQ220" s="150"/>
      <c r="DR220" s="150"/>
      <c r="DS220" s="150"/>
      <c r="DT220" s="70"/>
      <c r="DU220" s="70"/>
      <c r="DV220" s="75"/>
      <c r="DX220" s="213">
        <f>SUM(R220:DV220)</f>
        <v>1.8300000000000002E-3</v>
      </c>
      <c r="DY220" s="1"/>
      <c r="DZ220" s="1"/>
      <c r="EA220" s="1"/>
      <c r="EB220" s="1"/>
    </row>
    <row r="221" spans="5:132" s="6" customFormat="1" ht="6.95" customHeight="1" thickBot="1">
      <c r="F221" s="143"/>
      <c r="G221" s="144"/>
      <c r="H221" s="55">
        <v>2</v>
      </c>
      <c r="L221" s="252"/>
      <c r="M221" s="308"/>
      <c r="N221" s="301"/>
      <c r="O221" s="298"/>
      <c r="P221" s="250"/>
      <c r="Q221" s="184"/>
      <c r="R221" s="85"/>
      <c r="S221" s="86"/>
      <c r="T221" s="86"/>
      <c r="U221" s="86"/>
      <c r="V221" s="87"/>
      <c r="W221" s="86"/>
      <c r="X221" s="88"/>
      <c r="Y221" s="87"/>
      <c r="Z221" s="86"/>
      <c r="AA221" s="88"/>
      <c r="AB221" s="87"/>
      <c r="AC221" s="86"/>
      <c r="AD221" s="88"/>
      <c r="AE221" s="86"/>
      <c r="AF221" s="86"/>
      <c r="AG221" s="86"/>
      <c r="AH221" s="87"/>
      <c r="AI221" s="86"/>
      <c r="AJ221" s="88"/>
      <c r="AK221" s="86"/>
      <c r="AL221" s="86"/>
      <c r="AM221" s="86"/>
      <c r="AN221" s="87"/>
      <c r="AO221" s="86"/>
      <c r="AP221" s="88"/>
      <c r="AQ221" s="87"/>
      <c r="AR221" s="86"/>
      <c r="AS221" s="86"/>
      <c r="AT221" s="87"/>
      <c r="AU221" s="86"/>
      <c r="AV221" s="88"/>
      <c r="AW221" s="86"/>
      <c r="AX221" s="86"/>
      <c r="AY221" s="86"/>
      <c r="AZ221" s="87"/>
      <c r="BA221" s="86"/>
      <c r="BB221" s="88"/>
      <c r="BC221" s="86"/>
      <c r="BD221" s="86"/>
      <c r="BE221" s="86"/>
      <c r="BF221" s="87"/>
      <c r="BG221" s="86"/>
      <c r="BH221" s="88"/>
      <c r="BI221" s="86"/>
      <c r="BJ221" s="86"/>
      <c r="BK221" s="86"/>
      <c r="BL221" s="87"/>
      <c r="BM221" s="86"/>
      <c r="BN221" s="88"/>
      <c r="BO221" s="86"/>
      <c r="BP221" s="86"/>
      <c r="BQ221" s="86"/>
      <c r="BR221" s="89"/>
      <c r="BS221" s="86"/>
      <c r="BT221" s="90"/>
      <c r="BU221" s="86"/>
      <c r="BV221" s="86"/>
      <c r="BW221" s="86"/>
      <c r="BX221" s="87"/>
      <c r="BY221" s="86"/>
      <c r="BZ221" s="88"/>
      <c r="CA221" s="87"/>
      <c r="CB221" s="86"/>
      <c r="CC221" s="88"/>
      <c r="CD221" s="87"/>
      <c r="CE221" s="86"/>
      <c r="CF221" s="88"/>
      <c r="CG221" s="87"/>
      <c r="CH221" s="86"/>
      <c r="CI221" s="88"/>
      <c r="CJ221" s="87"/>
      <c r="CK221" s="86"/>
      <c r="CL221" s="88"/>
      <c r="CM221" s="86"/>
      <c r="CN221" s="86"/>
      <c r="CO221" s="86"/>
      <c r="CP221" s="87"/>
      <c r="CQ221" s="86"/>
      <c r="CR221" s="88"/>
      <c r="CS221" s="64"/>
      <c r="CT221" s="65"/>
      <c r="CU221" s="66"/>
      <c r="CV221" s="64"/>
      <c r="CW221" s="65"/>
      <c r="CX221" s="66"/>
      <c r="CY221" s="64"/>
      <c r="CZ221" s="65"/>
      <c r="DA221" s="66"/>
      <c r="DB221" s="69"/>
      <c r="DC221" s="70"/>
      <c r="DD221" s="71"/>
      <c r="DE221" s="64"/>
      <c r="DF221" s="65"/>
      <c r="DG221" s="66"/>
      <c r="DH221" s="64"/>
      <c r="DI221" s="65"/>
      <c r="DJ221" s="66"/>
      <c r="DK221" s="87"/>
      <c r="DL221" s="86"/>
      <c r="DM221" s="88"/>
      <c r="DN221" s="87"/>
      <c r="DO221" s="86"/>
      <c r="DP221" s="88"/>
      <c r="DQ221" s="87"/>
      <c r="DR221" s="86"/>
      <c r="DS221" s="88"/>
      <c r="DT221" s="86"/>
      <c r="DU221" s="86"/>
      <c r="DV221" s="91"/>
      <c r="DX221" s="213"/>
      <c r="DY221" s="1"/>
      <c r="DZ221" s="1"/>
      <c r="EA221" s="1"/>
      <c r="EB221" s="1"/>
    </row>
    <row r="222" spans="5:132" s="18" customFormat="1" ht="9.9499999999999993" customHeight="1">
      <c r="F222" s="141">
        <f t="shared" ref="F222" si="129">DX222</f>
        <v>1.8259999999999998E-2</v>
      </c>
      <c r="G222" s="142">
        <f>Q222-F222</f>
        <v>1.0000000000003062E-5</v>
      </c>
      <c r="H222" s="27">
        <v>1</v>
      </c>
      <c r="L222" s="224" t="s">
        <v>97</v>
      </c>
      <c r="M222" s="225"/>
      <c r="N222" s="225"/>
      <c r="O222" s="226"/>
      <c r="P222" s="187">
        <f>SUM(P224:P239)</f>
        <v>3806661</v>
      </c>
      <c r="Q222" s="185">
        <f>ROUND(SUM(Q224:Q239),5)</f>
        <v>1.8270000000000002E-2</v>
      </c>
      <c r="R222" s="185">
        <f>ROUND(SUM(R224:R239),5)</f>
        <v>0</v>
      </c>
      <c r="S222" s="160">
        <f>ROUNDDOWN(SUM(S224:U239),5)</f>
        <v>9.7999999999999997E-4</v>
      </c>
      <c r="T222" s="160"/>
      <c r="U222" s="161"/>
      <c r="V222" s="159">
        <f>ROUNDDOWN(SUM(V224:X239),5)</f>
        <v>5.0000000000000001E-4</v>
      </c>
      <c r="W222" s="160"/>
      <c r="X222" s="161"/>
      <c r="Y222" s="159">
        <f>ROUND(SUM(Y224:AA239),5)</f>
        <v>3.8999999999999999E-4</v>
      </c>
      <c r="Z222" s="160"/>
      <c r="AA222" s="161"/>
      <c r="AB222" s="159">
        <f>ROUNDDOWN(SUM(AB224:AD239),5)</f>
        <v>4.0000000000000002E-4</v>
      </c>
      <c r="AC222" s="160"/>
      <c r="AD222" s="161"/>
      <c r="AE222" s="159">
        <f>ROUND(SUM(AE224:AG239),5)</f>
        <v>3.4000000000000002E-4</v>
      </c>
      <c r="AF222" s="160"/>
      <c r="AG222" s="161"/>
      <c r="AH222" s="159">
        <f>ROUNDDOWN(SUM(AH224:AJ239),5)</f>
        <v>3.6000000000000002E-4</v>
      </c>
      <c r="AI222" s="160"/>
      <c r="AJ222" s="161"/>
      <c r="AK222" s="159">
        <f>ROUNDDOWN(SUM(AK224:AM239),5)</f>
        <v>4.2000000000000002E-4</v>
      </c>
      <c r="AL222" s="160"/>
      <c r="AM222" s="161"/>
      <c r="AN222" s="159">
        <f>ROUND(SUM(AN224:AP239),5)</f>
        <v>3.6000000000000002E-4</v>
      </c>
      <c r="AO222" s="160"/>
      <c r="AP222" s="161"/>
      <c r="AQ222" s="159">
        <f>ROUNDDOWN(SUM(AQ224:AS239),5)</f>
        <v>3.4000000000000002E-4</v>
      </c>
      <c r="AR222" s="160"/>
      <c r="AS222" s="161"/>
      <c r="AT222" s="159">
        <f>ROUND(SUM(AT224:AV239),5)</f>
        <v>4.0000000000000002E-4</v>
      </c>
      <c r="AU222" s="160"/>
      <c r="AV222" s="161"/>
      <c r="AW222" s="159">
        <f>ROUNDDOWN(SUM(AW224:AY239),5)</f>
        <v>3.4000000000000002E-4</v>
      </c>
      <c r="AX222" s="160"/>
      <c r="AY222" s="161"/>
      <c r="AZ222" s="159">
        <f>ROUND(SUM(AZ224:BB239),5)</f>
        <v>3.4000000000000002E-4</v>
      </c>
      <c r="BA222" s="160"/>
      <c r="BB222" s="161"/>
      <c r="BC222" s="159">
        <f>ROUNDDOWN(SUM(BC224:BE239),5)</f>
        <v>3.6999999999999999E-4</v>
      </c>
      <c r="BD222" s="160"/>
      <c r="BE222" s="161"/>
      <c r="BF222" s="159">
        <f>ROUND(SUM(BF224:BH239),5)</f>
        <v>3.4000000000000002E-4</v>
      </c>
      <c r="BG222" s="160"/>
      <c r="BH222" s="161"/>
      <c r="BI222" s="159">
        <f>ROUNDDOWN(SUM(BI224:BK239),5)</f>
        <v>3.4000000000000002E-4</v>
      </c>
      <c r="BJ222" s="160"/>
      <c r="BK222" s="161"/>
      <c r="BL222" s="159">
        <f>ROUND(SUM(BL224:BN239),5)</f>
        <v>3.4000000000000002E-4</v>
      </c>
      <c r="BM222" s="160"/>
      <c r="BN222" s="161"/>
      <c r="BO222" s="159">
        <f>ROUNDDOWN(SUM(BO224:BQ239),5)</f>
        <v>3.4000000000000002E-4</v>
      </c>
      <c r="BP222" s="160"/>
      <c r="BQ222" s="160"/>
      <c r="BR222" s="176">
        <f>ROUND(SUM(BR224:BT239),5)</f>
        <v>3.4000000000000002E-4</v>
      </c>
      <c r="BS222" s="160"/>
      <c r="BT222" s="177"/>
      <c r="BU222" s="160">
        <f>ROUNDDOWN(SUM(BU224:BW239),5)</f>
        <v>3.4000000000000002E-4</v>
      </c>
      <c r="BV222" s="160"/>
      <c r="BW222" s="161"/>
      <c r="BX222" s="159">
        <f>ROUND(SUM(BX224:BZ239),5)</f>
        <v>3.4000000000000002E-4</v>
      </c>
      <c r="BY222" s="160"/>
      <c r="BZ222" s="161"/>
      <c r="CA222" s="159">
        <f>ROUNDDOWN(SUM(CA224:CC239),5)</f>
        <v>6.7000000000000002E-4</v>
      </c>
      <c r="CB222" s="160"/>
      <c r="CC222" s="161"/>
      <c r="CD222" s="159">
        <f>ROUND(SUM(CD224:CF239),5)</f>
        <v>6.7000000000000002E-4</v>
      </c>
      <c r="CE222" s="160"/>
      <c r="CF222" s="161"/>
      <c r="CG222" s="159">
        <f>ROUNDDOWN(SUM(CG224:CI239),5)</f>
        <v>6.7000000000000002E-4</v>
      </c>
      <c r="CH222" s="160"/>
      <c r="CI222" s="161"/>
      <c r="CJ222" s="159">
        <f>ROUND(SUM(CJ224:CL239),5)</f>
        <v>6.8000000000000005E-4</v>
      </c>
      <c r="CK222" s="160"/>
      <c r="CL222" s="161"/>
      <c r="CM222" s="159">
        <f>ROUNDDOWN(SUM(CM224:CO239),5)</f>
        <v>6.7000000000000002E-4</v>
      </c>
      <c r="CN222" s="160"/>
      <c r="CO222" s="161"/>
      <c r="CP222" s="159">
        <f>ROUND(SUM(CP224:CR239),5)</f>
        <v>7.6999999999999996E-4</v>
      </c>
      <c r="CQ222" s="160"/>
      <c r="CR222" s="161"/>
      <c r="CS222" s="159">
        <f>ROUNDDOWN(SUM(CS224:CU239),5)</f>
        <v>7.6999999999999996E-4</v>
      </c>
      <c r="CT222" s="160"/>
      <c r="CU222" s="161"/>
      <c r="CV222" s="159">
        <f>ROUND(SUM(CV224:CX239),5)</f>
        <v>6.7000000000000002E-4</v>
      </c>
      <c r="CW222" s="160"/>
      <c r="CX222" s="161"/>
      <c r="CY222" s="159">
        <f>ROUNDDOWN(SUM(CY224:DA239),5)</f>
        <v>6.7000000000000002E-4</v>
      </c>
      <c r="CZ222" s="160"/>
      <c r="DA222" s="161"/>
      <c r="DB222" s="159">
        <f>ROUNDDOWN(SUM(DB224:DD239),5)</f>
        <v>6.7000000000000002E-4</v>
      </c>
      <c r="DC222" s="160"/>
      <c r="DD222" s="161"/>
      <c r="DE222" s="159">
        <f>ROUND(SUM(DE224:DG239),5)</f>
        <v>3.3E-4</v>
      </c>
      <c r="DF222" s="160"/>
      <c r="DG222" s="161"/>
      <c r="DH222" s="159">
        <f>ROUND(SUM(DH224:DJ239),5)</f>
        <v>6.2E-4</v>
      </c>
      <c r="DI222" s="160"/>
      <c r="DJ222" s="161"/>
      <c r="DK222" s="159">
        <f>ROUND(SUM(DK224:DM239),5)</f>
        <v>6.2E-4</v>
      </c>
      <c r="DL222" s="160"/>
      <c r="DM222" s="161"/>
      <c r="DN222" s="159">
        <f>ROUND(SUM(DN224:DP239),5)</f>
        <v>6.2E-4</v>
      </c>
      <c r="DO222" s="160"/>
      <c r="DP222" s="161"/>
      <c r="DQ222" s="159">
        <f>ROUND(SUM(DQ224:DS239),5)</f>
        <v>7.1000000000000002E-4</v>
      </c>
      <c r="DR222" s="160"/>
      <c r="DS222" s="161"/>
      <c r="DT222" s="159">
        <f>ROUND(SUM(DT224:DV239),5)</f>
        <v>5.2999999999999998E-4</v>
      </c>
      <c r="DU222" s="160"/>
      <c r="DV222" s="170"/>
      <c r="DX222" s="145">
        <f>SUM(R222:DV222)</f>
        <v>1.8259999999999998E-2</v>
      </c>
      <c r="DY222" s="145">
        <f>SUM(DX224:DX239)</f>
        <v>1.8270000000000002E-2</v>
      </c>
      <c r="DZ222" s="117"/>
      <c r="EA222" s="117"/>
      <c r="EB222" s="117"/>
    </row>
    <row r="223" spans="5:132" s="18" customFormat="1" ht="9.9499999999999993" customHeight="1">
      <c r="F223" s="141"/>
      <c r="G223" s="142"/>
      <c r="H223" s="55">
        <v>2</v>
      </c>
      <c r="L223" s="227"/>
      <c r="M223" s="228"/>
      <c r="N223" s="228"/>
      <c r="O223" s="229"/>
      <c r="P223" s="188"/>
      <c r="Q223" s="186"/>
      <c r="R223" s="186"/>
      <c r="S223" s="163"/>
      <c r="T223" s="163"/>
      <c r="U223" s="164"/>
      <c r="V223" s="162"/>
      <c r="W223" s="163"/>
      <c r="X223" s="164"/>
      <c r="Y223" s="219"/>
      <c r="Z223" s="220"/>
      <c r="AA223" s="221"/>
      <c r="AB223" s="162"/>
      <c r="AC223" s="163"/>
      <c r="AD223" s="164"/>
      <c r="AE223" s="219"/>
      <c r="AF223" s="220"/>
      <c r="AG223" s="221"/>
      <c r="AH223" s="162"/>
      <c r="AI223" s="163"/>
      <c r="AJ223" s="164"/>
      <c r="AK223" s="162"/>
      <c r="AL223" s="163"/>
      <c r="AM223" s="164"/>
      <c r="AN223" s="219"/>
      <c r="AO223" s="220"/>
      <c r="AP223" s="221"/>
      <c r="AQ223" s="162"/>
      <c r="AR223" s="163"/>
      <c r="AS223" s="164"/>
      <c r="AT223" s="219"/>
      <c r="AU223" s="220"/>
      <c r="AV223" s="221"/>
      <c r="AW223" s="162"/>
      <c r="AX223" s="163"/>
      <c r="AY223" s="164"/>
      <c r="AZ223" s="219"/>
      <c r="BA223" s="220"/>
      <c r="BB223" s="221"/>
      <c r="BC223" s="162"/>
      <c r="BD223" s="163"/>
      <c r="BE223" s="164"/>
      <c r="BF223" s="219"/>
      <c r="BG223" s="220"/>
      <c r="BH223" s="221"/>
      <c r="BI223" s="162"/>
      <c r="BJ223" s="163"/>
      <c r="BK223" s="164"/>
      <c r="BL223" s="219"/>
      <c r="BM223" s="220"/>
      <c r="BN223" s="221"/>
      <c r="BO223" s="162"/>
      <c r="BP223" s="163"/>
      <c r="BQ223" s="163"/>
      <c r="BR223" s="386"/>
      <c r="BS223" s="220"/>
      <c r="BT223" s="387"/>
      <c r="BU223" s="163"/>
      <c r="BV223" s="163"/>
      <c r="BW223" s="164"/>
      <c r="BX223" s="219"/>
      <c r="BY223" s="220"/>
      <c r="BZ223" s="221"/>
      <c r="CA223" s="162"/>
      <c r="CB223" s="163"/>
      <c r="CC223" s="164"/>
      <c r="CD223" s="219"/>
      <c r="CE223" s="220"/>
      <c r="CF223" s="221"/>
      <c r="CG223" s="162"/>
      <c r="CH223" s="163"/>
      <c r="CI223" s="164"/>
      <c r="CJ223" s="219"/>
      <c r="CK223" s="220"/>
      <c r="CL223" s="221"/>
      <c r="CM223" s="162"/>
      <c r="CN223" s="163"/>
      <c r="CO223" s="164"/>
      <c r="CP223" s="219"/>
      <c r="CQ223" s="220"/>
      <c r="CR223" s="221"/>
      <c r="CS223" s="162"/>
      <c r="CT223" s="163"/>
      <c r="CU223" s="164"/>
      <c r="CV223" s="219"/>
      <c r="CW223" s="220"/>
      <c r="CX223" s="221"/>
      <c r="CY223" s="162"/>
      <c r="CZ223" s="163"/>
      <c r="DA223" s="164"/>
      <c r="DB223" s="162"/>
      <c r="DC223" s="163"/>
      <c r="DD223" s="164"/>
      <c r="DE223" s="219"/>
      <c r="DF223" s="220"/>
      <c r="DG223" s="221"/>
      <c r="DH223" s="219"/>
      <c r="DI223" s="220"/>
      <c r="DJ223" s="221"/>
      <c r="DK223" s="219"/>
      <c r="DL223" s="220"/>
      <c r="DM223" s="221"/>
      <c r="DN223" s="219"/>
      <c r="DO223" s="220"/>
      <c r="DP223" s="221"/>
      <c r="DQ223" s="219"/>
      <c r="DR223" s="220"/>
      <c r="DS223" s="221"/>
      <c r="DT223" s="162"/>
      <c r="DU223" s="163"/>
      <c r="DV223" s="171"/>
      <c r="DX223" s="145"/>
      <c r="DY223" s="145"/>
      <c r="DZ223" s="117"/>
      <c r="EA223" s="117"/>
      <c r="EB223" s="117"/>
    </row>
    <row r="224" spans="5:132" s="6" customFormat="1" ht="9.9499999999999993" customHeight="1">
      <c r="F224" s="143">
        <f t="shared" ref="F224" si="130">DX224</f>
        <v>3.5699999999999998E-3</v>
      </c>
      <c r="G224" s="144">
        <f>Q224-F224</f>
        <v>0</v>
      </c>
      <c r="H224" s="27">
        <v>1</v>
      </c>
      <c r="I224" s="19" t="s">
        <v>255</v>
      </c>
      <c r="J224" s="19" t="s">
        <v>186</v>
      </c>
      <c r="K224" s="19" t="s">
        <v>256</v>
      </c>
      <c r="L224" s="271"/>
      <c r="M224" s="231" t="s">
        <v>278</v>
      </c>
      <c r="N224" s="254">
        <v>10264</v>
      </c>
      <c r="O224" s="243" t="s">
        <v>15</v>
      </c>
      <c r="P224" s="245">
        <v>743877</v>
      </c>
      <c r="Q224" s="183">
        <f>ROUND(P224/$P$256,5)</f>
        <v>3.5699999999999998E-3</v>
      </c>
      <c r="R224" s="79"/>
      <c r="S224" s="148"/>
      <c r="T224" s="148"/>
      <c r="U224" s="149"/>
      <c r="V224" s="149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56"/>
      <c r="AI224" s="57"/>
      <c r="AJ224" s="58"/>
      <c r="AK224" s="146"/>
      <c r="AL224" s="146"/>
      <c r="AM224" s="146"/>
      <c r="AN224" s="146"/>
      <c r="AO224" s="146"/>
      <c r="AP224" s="146"/>
      <c r="AQ224" s="56"/>
      <c r="AR224" s="57"/>
      <c r="AS224" s="58"/>
      <c r="AT224" s="146"/>
      <c r="AU224" s="146"/>
      <c r="AV224" s="146"/>
      <c r="AW224" s="146"/>
      <c r="AX224" s="146"/>
      <c r="AY224" s="146"/>
      <c r="AZ224" s="57"/>
      <c r="BA224" s="57"/>
      <c r="BB224" s="57"/>
      <c r="BC224" s="146"/>
      <c r="BD224" s="146"/>
      <c r="BE224" s="146"/>
      <c r="BF224" s="146"/>
      <c r="BG224" s="146"/>
      <c r="BH224" s="146"/>
      <c r="BI224" s="56"/>
      <c r="BJ224" s="57"/>
      <c r="BK224" s="58"/>
      <c r="BL224" s="146"/>
      <c r="BM224" s="146"/>
      <c r="BN224" s="146"/>
      <c r="BO224" s="146"/>
      <c r="BP224" s="146"/>
      <c r="BQ224" s="147"/>
      <c r="BR224" s="168"/>
      <c r="BS224" s="146"/>
      <c r="BT224" s="169"/>
      <c r="BU224" s="149"/>
      <c r="BV224" s="146"/>
      <c r="BW224" s="146"/>
      <c r="BX224" s="146"/>
      <c r="BY224" s="146"/>
      <c r="BZ224" s="146"/>
      <c r="CA224" s="146">
        <v>3.3E-4</v>
      </c>
      <c r="CB224" s="146"/>
      <c r="CC224" s="146"/>
      <c r="CD224" s="147">
        <v>3.3E-4</v>
      </c>
      <c r="CE224" s="148"/>
      <c r="CF224" s="149"/>
      <c r="CG224" s="147">
        <v>3.3E-4</v>
      </c>
      <c r="CH224" s="148"/>
      <c r="CI224" s="149"/>
      <c r="CJ224" s="147">
        <v>3.4000000000000002E-4</v>
      </c>
      <c r="CK224" s="148"/>
      <c r="CL224" s="149"/>
      <c r="CM224" s="147">
        <v>3.4000000000000002E-4</v>
      </c>
      <c r="CN224" s="148"/>
      <c r="CO224" s="149"/>
      <c r="CP224" s="147">
        <v>4.4000000000000002E-4</v>
      </c>
      <c r="CQ224" s="148"/>
      <c r="CR224" s="149"/>
      <c r="CS224" s="147">
        <v>4.4000000000000002E-4</v>
      </c>
      <c r="CT224" s="148"/>
      <c r="CU224" s="149"/>
      <c r="CV224" s="147">
        <v>3.4000000000000002E-4</v>
      </c>
      <c r="CW224" s="148"/>
      <c r="CX224" s="149"/>
      <c r="CY224" s="147">
        <v>3.4000000000000002E-4</v>
      </c>
      <c r="CZ224" s="148"/>
      <c r="DA224" s="149"/>
      <c r="DB224" s="147">
        <v>3.4000000000000002E-4</v>
      </c>
      <c r="DC224" s="148"/>
      <c r="DD224" s="149"/>
      <c r="DE224" s="56"/>
      <c r="DF224" s="57"/>
      <c r="DG224" s="58"/>
      <c r="DH224" s="56"/>
      <c r="DI224" s="57"/>
      <c r="DJ224" s="58"/>
      <c r="DK224" s="56"/>
      <c r="DL224" s="57"/>
      <c r="DM224" s="58"/>
      <c r="DN224" s="56"/>
      <c r="DO224" s="57"/>
      <c r="DP224" s="58"/>
      <c r="DQ224" s="56"/>
      <c r="DR224" s="57"/>
      <c r="DS224" s="58"/>
      <c r="DT224" s="57"/>
      <c r="DU224" s="57"/>
      <c r="DV224" s="62"/>
      <c r="DX224" s="213">
        <f>SUM(R224:DV224)</f>
        <v>3.5699999999999998E-3</v>
      </c>
      <c r="DY224" s="1"/>
      <c r="DZ224" s="1"/>
      <c r="EA224" s="1"/>
      <c r="EB224" s="1"/>
    </row>
    <row r="225" spans="4:132" s="6" customFormat="1" ht="6.95" customHeight="1">
      <c r="F225" s="143"/>
      <c r="G225" s="144"/>
      <c r="H225" s="55">
        <v>2</v>
      </c>
      <c r="L225" s="272"/>
      <c r="M225" s="232"/>
      <c r="N225" s="255"/>
      <c r="O225" s="244"/>
      <c r="P225" s="246"/>
      <c r="Q225" s="184"/>
      <c r="R225" s="63"/>
      <c r="S225" s="42"/>
      <c r="T225" s="42"/>
      <c r="U225" s="43"/>
      <c r="V225" s="42"/>
      <c r="W225" s="42"/>
      <c r="X225" s="43"/>
      <c r="Y225" s="41"/>
      <c r="Z225" s="42"/>
      <c r="AA225" s="43"/>
      <c r="AB225" s="41"/>
      <c r="AC225" s="42"/>
      <c r="AD225" s="43"/>
      <c r="AE225" s="41"/>
      <c r="AF225" s="42"/>
      <c r="AG225" s="43"/>
      <c r="AH225" s="41"/>
      <c r="AI225" s="42"/>
      <c r="AJ225" s="43"/>
      <c r="AK225" s="41"/>
      <c r="AL225" s="42"/>
      <c r="AM225" s="43"/>
      <c r="AN225" s="41"/>
      <c r="AO225" s="42"/>
      <c r="AP225" s="42"/>
      <c r="AQ225" s="41"/>
      <c r="AR225" s="42"/>
      <c r="AS225" s="43"/>
      <c r="AT225" s="41"/>
      <c r="AU225" s="42"/>
      <c r="AV225" s="42"/>
      <c r="AW225" s="41"/>
      <c r="AX225" s="42"/>
      <c r="AY225" s="43"/>
      <c r="AZ225" s="42"/>
      <c r="BA225" s="42"/>
      <c r="BB225" s="42"/>
      <c r="BC225" s="41"/>
      <c r="BD225" s="42"/>
      <c r="BE225" s="42"/>
      <c r="BF225" s="41"/>
      <c r="BG225" s="42"/>
      <c r="BH225" s="42"/>
      <c r="BI225" s="41"/>
      <c r="BJ225" s="42"/>
      <c r="BK225" s="43"/>
      <c r="BL225" s="41"/>
      <c r="BM225" s="42"/>
      <c r="BN225" s="42"/>
      <c r="BO225" s="41"/>
      <c r="BP225" s="42"/>
      <c r="BQ225" s="42"/>
      <c r="BR225" s="67"/>
      <c r="BS225" s="42"/>
      <c r="BT225" s="68"/>
      <c r="BU225" s="42"/>
      <c r="BV225" s="42"/>
      <c r="BW225" s="42"/>
      <c r="BX225" s="41"/>
      <c r="BY225" s="42"/>
      <c r="BZ225" s="42"/>
      <c r="CA225" s="64"/>
      <c r="CB225" s="65"/>
      <c r="CC225" s="66"/>
      <c r="CD225" s="64"/>
      <c r="CE225" s="65"/>
      <c r="CF225" s="66"/>
      <c r="CG225" s="64"/>
      <c r="CH225" s="65"/>
      <c r="CI225" s="66"/>
      <c r="CJ225" s="64"/>
      <c r="CK225" s="65"/>
      <c r="CL225" s="66"/>
      <c r="CM225" s="64"/>
      <c r="CN225" s="65"/>
      <c r="CO225" s="66"/>
      <c r="CP225" s="64"/>
      <c r="CQ225" s="65"/>
      <c r="CR225" s="66"/>
      <c r="CS225" s="64"/>
      <c r="CT225" s="65"/>
      <c r="CU225" s="66"/>
      <c r="CV225" s="64"/>
      <c r="CW225" s="65"/>
      <c r="CX225" s="66"/>
      <c r="CY225" s="64"/>
      <c r="CZ225" s="65"/>
      <c r="DA225" s="66"/>
      <c r="DB225" s="64"/>
      <c r="DC225" s="65"/>
      <c r="DD225" s="66"/>
      <c r="DE225" s="41"/>
      <c r="DF225" s="42"/>
      <c r="DG225" s="43"/>
      <c r="DH225" s="41"/>
      <c r="DI225" s="42"/>
      <c r="DJ225" s="43"/>
      <c r="DK225" s="41"/>
      <c r="DL225" s="42"/>
      <c r="DM225" s="43"/>
      <c r="DN225" s="41"/>
      <c r="DO225" s="42"/>
      <c r="DP225" s="43"/>
      <c r="DQ225" s="41"/>
      <c r="DR225" s="42"/>
      <c r="DS225" s="43"/>
      <c r="DT225" s="42"/>
      <c r="DU225" s="42"/>
      <c r="DV225" s="44"/>
      <c r="DX225" s="213"/>
      <c r="DY225" s="1"/>
      <c r="DZ225" s="1"/>
      <c r="EA225" s="1"/>
      <c r="EB225" s="1"/>
    </row>
    <row r="226" spans="4:132" s="6" customFormat="1" ht="9.9499999999999993" customHeight="1">
      <c r="F226" s="143">
        <f t="shared" ref="F226" si="131">DX226</f>
        <v>1.2600000000000005E-3</v>
      </c>
      <c r="G226" s="144">
        <f>Q226-F226</f>
        <v>0</v>
      </c>
      <c r="H226" s="27">
        <v>1</v>
      </c>
      <c r="I226" s="19"/>
      <c r="J226" s="19"/>
      <c r="K226" s="19"/>
      <c r="L226" s="230"/>
      <c r="M226" s="238" t="s">
        <v>99</v>
      </c>
      <c r="N226" s="239">
        <v>1</v>
      </c>
      <c r="O226" s="240" t="s">
        <v>98</v>
      </c>
      <c r="P226" s="249">
        <v>262721</v>
      </c>
      <c r="Q226" s="183">
        <f>ROUND(P226/$P$256,5)</f>
        <v>1.2600000000000001E-3</v>
      </c>
      <c r="R226" s="76"/>
      <c r="S226" s="167">
        <v>3.4999999999999997E-5</v>
      </c>
      <c r="T226" s="167"/>
      <c r="U226" s="165"/>
      <c r="V226" s="167">
        <v>3.4999999999999997E-5</v>
      </c>
      <c r="W226" s="167"/>
      <c r="X226" s="165"/>
      <c r="Y226" s="167">
        <v>3.4999999999999997E-5</v>
      </c>
      <c r="Z226" s="167"/>
      <c r="AA226" s="165"/>
      <c r="AB226" s="167">
        <v>3.4999999999999997E-5</v>
      </c>
      <c r="AC226" s="167"/>
      <c r="AD226" s="165"/>
      <c r="AE226" s="167">
        <v>3.4999999999999997E-5</v>
      </c>
      <c r="AF226" s="167"/>
      <c r="AG226" s="165"/>
      <c r="AH226" s="167">
        <v>3.4999999999999997E-5</v>
      </c>
      <c r="AI226" s="167"/>
      <c r="AJ226" s="165"/>
      <c r="AK226" s="167">
        <v>3.4999999999999997E-5</v>
      </c>
      <c r="AL226" s="167"/>
      <c r="AM226" s="165"/>
      <c r="AN226" s="167">
        <v>3.4999999999999997E-5</v>
      </c>
      <c r="AO226" s="167"/>
      <c r="AP226" s="165"/>
      <c r="AQ226" s="167">
        <v>3.4999999999999997E-5</v>
      </c>
      <c r="AR226" s="167"/>
      <c r="AS226" s="165"/>
      <c r="AT226" s="167">
        <v>3.4999999999999997E-5</v>
      </c>
      <c r="AU226" s="167"/>
      <c r="AV226" s="165"/>
      <c r="AW226" s="167">
        <v>3.4999999999999997E-5</v>
      </c>
      <c r="AX226" s="167"/>
      <c r="AY226" s="165"/>
      <c r="AZ226" s="167">
        <v>3.4999999999999997E-5</v>
      </c>
      <c r="BA226" s="167"/>
      <c r="BB226" s="165"/>
      <c r="BC226" s="167">
        <v>3.4999999999999997E-5</v>
      </c>
      <c r="BD226" s="167"/>
      <c r="BE226" s="165"/>
      <c r="BF226" s="167">
        <v>3.4999999999999997E-5</v>
      </c>
      <c r="BG226" s="167"/>
      <c r="BH226" s="165"/>
      <c r="BI226" s="167">
        <v>3.4999999999999997E-5</v>
      </c>
      <c r="BJ226" s="167"/>
      <c r="BK226" s="165"/>
      <c r="BL226" s="167">
        <v>3.4999999999999997E-5</v>
      </c>
      <c r="BM226" s="167"/>
      <c r="BN226" s="165"/>
      <c r="BO226" s="167">
        <v>3.4999999999999997E-5</v>
      </c>
      <c r="BP226" s="167"/>
      <c r="BQ226" s="167"/>
      <c r="BR226" s="365">
        <v>3.4999999999999997E-5</v>
      </c>
      <c r="BS226" s="167"/>
      <c r="BT226" s="366"/>
      <c r="BU226" s="167">
        <v>3.4999999999999997E-5</v>
      </c>
      <c r="BV226" s="167"/>
      <c r="BW226" s="165"/>
      <c r="BX226" s="167">
        <v>3.4999999999999997E-5</v>
      </c>
      <c r="BY226" s="167"/>
      <c r="BZ226" s="165"/>
      <c r="CA226" s="167">
        <v>3.4999999999999997E-5</v>
      </c>
      <c r="CB226" s="167"/>
      <c r="CC226" s="165"/>
      <c r="CD226" s="167">
        <v>3.4999999999999997E-5</v>
      </c>
      <c r="CE226" s="167"/>
      <c r="CF226" s="165"/>
      <c r="CG226" s="167">
        <v>3.4999999999999997E-5</v>
      </c>
      <c r="CH226" s="167"/>
      <c r="CI226" s="165"/>
      <c r="CJ226" s="167">
        <v>3.4999999999999997E-5</v>
      </c>
      <c r="CK226" s="167"/>
      <c r="CL226" s="165"/>
      <c r="CM226" s="167">
        <v>3.4999999999999997E-5</v>
      </c>
      <c r="CN226" s="167"/>
      <c r="CO226" s="165"/>
      <c r="CP226" s="167">
        <v>3.4999999999999997E-5</v>
      </c>
      <c r="CQ226" s="167"/>
      <c r="CR226" s="165"/>
      <c r="CS226" s="167">
        <v>3.4999999999999997E-5</v>
      </c>
      <c r="CT226" s="167"/>
      <c r="CU226" s="165"/>
      <c r="CV226" s="167">
        <v>3.4999999999999997E-5</v>
      </c>
      <c r="CW226" s="167"/>
      <c r="CX226" s="165"/>
      <c r="CY226" s="167">
        <v>3.4999999999999997E-5</v>
      </c>
      <c r="CZ226" s="167"/>
      <c r="DA226" s="165"/>
      <c r="DB226" s="167">
        <v>3.4999999999999997E-5</v>
      </c>
      <c r="DC226" s="167"/>
      <c r="DD226" s="165"/>
      <c r="DE226" s="167">
        <v>3.4999999999999997E-5</v>
      </c>
      <c r="DF226" s="167"/>
      <c r="DG226" s="165"/>
      <c r="DH226" s="167">
        <v>3.4999999999999997E-5</v>
      </c>
      <c r="DI226" s="167"/>
      <c r="DJ226" s="165"/>
      <c r="DK226" s="167">
        <v>3.4999999999999997E-5</v>
      </c>
      <c r="DL226" s="167"/>
      <c r="DM226" s="165"/>
      <c r="DN226" s="167">
        <v>3.4999999999999997E-5</v>
      </c>
      <c r="DO226" s="167"/>
      <c r="DP226" s="165"/>
      <c r="DQ226" s="167">
        <v>3.4999999999999997E-5</v>
      </c>
      <c r="DR226" s="167"/>
      <c r="DS226" s="165"/>
      <c r="DT226" s="167">
        <v>3.4999999999999997E-5</v>
      </c>
      <c r="DU226" s="167"/>
      <c r="DV226" s="223"/>
      <c r="DX226" s="213">
        <f>SUM(R226:DV226)</f>
        <v>1.2600000000000005E-3</v>
      </c>
      <c r="DY226" s="1"/>
      <c r="DZ226" s="1"/>
      <c r="EA226" s="1"/>
      <c r="EB226" s="1"/>
    </row>
    <row r="227" spans="4:132" s="6" customFormat="1" ht="6.95" customHeight="1">
      <c r="D227" s="6">
        <v>0</v>
      </c>
      <c r="F227" s="143"/>
      <c r="G227" s="144"/>
      <c r="H227" s="55">
        <v>2</v>
      </c>
      <c r="L227" s="230"/>
      <c r="M227" s="238"/>
      <c r="N227" s="239"/>
      <c r="O227" s="240"/>
      <c r="P227" s="249"/>
      <c r="Q227" s="184"/>
      <c r="R227" s="76"/>
      <c r="S227" s="64"/>
      <c r="T227" s="65"/>
      <c r="U227" s="66"/>
      <c r="V227" s="64"/>
      <c r="W227" s="65"/>
      <c r="X227" s="66"/>
      <c r="Y227" s="64"/>
      <c r="Z227" s="65"/>
      <c r="AA227" s="66"/>
      <c r="AB227" s="64"/>
      <c r="AC227" s="65"/>
      <c r="AD227" s="66"/>
      <c r="AE227" s="64"/>
      <c r="AF227" s="65"/>
      <c r="AG227" s="66"/>
      <c r="AH227" s="64"/>
      <c r="AI227" s="65"/>
      <c r="AJ227" s="66"/>
      <c r="AK227" s="64"/>
      <c r="AL227" s="65"/>
      <c r="AM227" s="66"/>
      <c r="AN227" s="64"/>
      <c r="AO227" s="65"/>
      <c r="AP227" s="66"/>
      <c r="AQ227" s="64"/>
      <c r="AR227" s="65"/>
      <c r="AS227" s="66"/>
      <c r="AT227" s="64"/>
      <c r="AU227" s="65"/>
      <c r="AV227" s="66"/>
      <c r="AW227" s="64"/>
      <c r="AX227" s="65"/>
      <c r="AY227" s="66"/>
      <c r="AZ227" s="64"/>
      <c r="BA227" s="65"/>
      <c r="BB227" s="66"/>
      <c r="BC227" s="64"/>
      <c r="BD227" s="65"/>
      <c r="BE227" s="66"/>
      <c r="BF227" s="64"/>
      <c r="BG227" s="65"/>
      <c r="BH227" s="66"/>
      <c r="BI227" s="64"/>
      <c r="BJ227" s="65"/>
      <c r="BK227" s="66"/>
      <c r="BL227" s="64"/>
      <c r="BM227" s="65"/>
      <c r="BN227" s="66"/>
      <c r="BO227" s="64"/>
      <c r="BP227" s="65"/>
      <c r="BQ227" s="66"/>
      <c r="BR227" s="64"/>
      <c r="BS227" s="65"/>
      <c r="BT227" s="66"/>
      <c r="BU227" s="64"/>
      <c r="BV227" s="65"/>
      <c r="BW227" s="66"/>
      <c r="BX227" s="64"/>
      <c r="BY227" s="65"/>
      <c r="BZ227" s="66"/>
      <c r="CA227" s="64"/>
      <c r="CB227" s="65"/>
      <c r="CC227" s="66"/>
      <c r="CD227" s="64"/>
      <c r="CE227" s="65"/>
      <c r="CF227" s="66"/>
      <c r="CG227" s="64"/>
      <c r="CH227" s="65"/>
      <c r="CI227" s="66"/>
      <c r="CJ227" s="64"/>
      <c r="CK227" s="65"/>
      <c r="CL227" s="66"/>
      <c r="CM227" s="64"/>
      <c r="CN227" s="65"/>
      <c r="CO227" s="66"/>
      <c r="CP227" s="64"/>
      <c r="CQ227" s="65"/>
      <c r="CR227" s="66"/>
      <c r="CS227" s="64"/>
      <c r="CT227" s="65"/>
      <c r="CU227" s="66"/>
      <c r="CV227" s="64"/>
      <c r="CW227" s="65"/>
      <c r="CX227" s="66"/>
      <c r="CY227" s="64"/>
      <c r="CZ227" s="65"/>
      <c r="DA227" s="66"/>
      <c r="DB227" s="64"/>
      <c r="DC227" s="65"/>
      <c r="DD227" s="66"/>
      <c r="DE227" s="64"/>
      <c r="DF227" s="65"/>
      <c r="DG227" s="66"/>
      <c r="DH227" s="64"/>
      <c r="DI227" s="65"/>
      <c r="DJ227" s="66"/>
      <c r="DK227" s="64"/>
      <c r="DL227" s="65"/>
      <c r="DM227" s="66"/>
      <c r="DN227" s="64"/>
      <c r="DO227" s="65"/>
      <c r="DP227" s="66"/>
      <c r="DQ227" s="64"/>
      <c r="DR227" s="65"/>
      <c r="DS227" s="66"/>
      <c r="DT227" s="64"/>
      <c r="DU227" s="65"/>
      <c r="DV227" s="94"/>
      <c r="DX227" s="213"/>
      <c r="DY227" s="1"/>
      <c r="DZ227" s="1"/>
      <c r="EA227" s="1"/>
      <c r="EB227" s="1"/>
    </row>
    <row r="228" spans="4:132" s="6" customFormat="1" ht="9.9499999999999993" customHeight="1">
      <c r="F228" s="143">
        <f t="shared" ref="F228" si="132">DX228</f>
        <v>3.1000000000000033E-4</v>
      </c>
      <c r="G228" s="144">
        <f>Q228-F228</f>
        <v>0</v>
      </c>
      <c r="H228" s="27">
        <v>1</v>
      </c>
      <c r="I228" s="19" t="s">
        <v>253</v>
      </c>
      <c r="J228" s="19" t="s">
        <v>254</v>
      </c>
      <c r="K228" s="19"/>
      <c r="L228" s="271"/>
      <c r="M228" s="231" t="s">
        <v>167</v>
      </c>
      <c r="N228" s="302">
        <v>4</v>
      </c>
      <c r="O228" s="253" t="s">
        <v>26</v>
      </c>
      <c r="P228" s="245">
        <v>65003</v>
      </c>
      <c r="Q228" s="183">
        <f>ROUND(P228/$P$256,5)</f>
        <v>3.1E-4</v>
      </c>
      <c r="R228" s="21"/>
      <c r="S228" s="149">
        <v>2.5999999999999998E-5</v>
      </c>
      <c r="T228" s="146"/>
      <c r="U228" s="146"/>
      <c r="V228" s="149">
        <v>2.5999999999999998E-5</v>
      </c>
      <c r="W228" s="146"/>
      <c r="X228" s="146"/>
      <c r="Y228" s="149">
        <v>2.5999999999999998E-5</v>
      </c>
      <c r="Z228" s="146"/>
      <c r="AA228" s="146"/>
      <c r="AB228" s="149">
        <v>5.0000000000000004E-6</v>
      </c>
      <c r="AC228" s="146"/>
      <c r="AD228" s="146"/>
      <c r="AE228" s="149">
        <v>5.0000000000000004E-6</v>
      </c>
      <c r="AF228" s="146"/>
      <c r="AG228" s="146"/>
      <c r="AH228" s="149">
        <v>2.5999999999999998E-5</v>
      </c>
      <c r="AI228" s="146"/>
      <c r="AJ228" s="146"/>
      <c r="AK228" s="149">
        <v>2.5999999999999998E-5</v>
      </c>
      <c r="AL228" s="146"/>
      <c r="AM228" s="146"/>
      <c r="AN228" s="149">
        <v>2.5999999999999998E-5</v>
      </c>
      <c r="AO228" s="146"/>
      <c r="AP228" s="146"/>
      <c r="AQ228" s="149">
        <v>5.0000000000000004E-6</v>
      </c>
      <c r="AR228" s="146"/>
      <c r="AS228" s="146"/>
      <c r="AT228" s="149">
        <v>5.0000000000000004E-6</v>
      </c>
      <c r="AU228" s="146"/>
      <c r="AV228" s="146"/>
      <c r="AW228" s="149">
        <v>5.0000000000000004E-6</v>
      </c>
      <c r="AX228" s="146"/>
      <c r="AY228" s="146"/>
      <c r="AZ228" s="149">
        <v>5.0000000000000004E-6</v>
      </c>
      <c r="BA228" s="146"/>
      <c r="BB228" s="146"/>
      <c r="BC228" s="149">
        <v>5.0000000000000004E-6</v>
      </c>
      <c r="BD228" s="146"/>
      <c r="BE228" s="146"/>
      <c r="BF228" s="149">
        <v>5.0000000000000004E-6</v>
      </c>
      <c r="BG228" s="146"/>
      <c r="BH228" s="146"/>
      <c r="BI228" s="149">
        <v>5.0000000000000004E-6</v>
      </c>
      <c r="BJ228" s="146"/>
      <c r="BK228" s="146"/>
      <c r="BL228" s="149">
        <v>5.0000000000000004E-6</v>
      </c>
      <c r="BM228" s="146"/>
      <c r="BN228" s="146"/>
      <c r="BO228" s="149">
        <v>5.0000000000000004E-6</v>
      </c>
      <c r="BP228" s="146"/>
      <c r="BQ228" s="147"/>
      <c r="BR228" s="168">
        <v>5.0000000000000004E-6</v>
      </c>
      <c r="BS228" s="146"/>
      <c r="BT228" s="169"/>
      <c r="BU228" s="149">
        <v>5.0000000000000004E-6</v>
      </c>
      <c r="BV228" s="146"/>
      <c r="BW228" s="146"/>
      <c r="BX228" s="149">
        <v>5.0000000000000004E-6</v>
      </c>
      <c r="BY228" s="146"/>
      <c r="BZ228" s="146"/>
      <c r="CA228" s="149">
        <v>5.0000000000000004E-6</v>
      </c>
      <c r="CB228" s="146"/>
      <c r="CC228" s="146"/>
      <c r="CD228" s="149">
        <v>5.0000000000000004E-6</v>
      </c>
      <c r="CE228" s="146"/>
      <c r="CF228" s="146"/>
      <c r="CG228" s="149">
        <v>5.0000000000000004E-6</v>
      </c>
      <c r="CH228" s="146"/>
      <c r="CI228" s="146"/>
      <c r="CJ228" s="149">
        <v>5.0000000000000004E-6</v>
      </c>
      <c r="CK228" s="146"/>
      <c r="CL228" s="146"/>
      <c r="CM228" s="149">
        <v>5.0000000000000004E-6</v>
      </c>
      <c r="CN228" s="146"/>
      <c r="CO228" s="146"/>
      <c r="CP228" s="149">
        <v>5.0000000000000004E-6</v>
      </c>
      <c r="CQ228" s="146"/>
      <c r="CR228" s="146"/>
      <c r="CS228" s="149">
        <v>5.0000000000000004E-6</v>
      </c>
      <c r="CT228" s="146"/>
      <c r="CU228" s="146"/>
      <c r="CV228" s="149">
        <v>5.0000000000000004E-6</v>
      </c>
      <c r="CW228" s="146"/>
      <c r="CX228" s="146"/>
      <c r="CY228" s="149">
        <v>5.0000000000000004E-6</v>
      </c>
      <c r="CZ228" s="146"/>
      <c r="DA228" s="146"/>
      <c r="DB228" s="149">
        <v>5.0000000000000004E-6</v>
      </c>
      <c r="DC228" s="146"/>
      <c r="DD228" s="146"/>
      <c r="DE228" s="149">
        <v>5.0000000000000004E-6</v>
      </c>
      <c r="DF228" s="146"/>
      <c r="DG228" s="146"/>
      <c r="DH228" s="149">
        <v>5.0000000000000004E-6</v>
      </c>
      <c r="DI228" s="146"/>
      <c r="DJ228" s="146"/>
      <c r="DK228" s="149">
        <v>5.0000000000000004E-6</v>
      </c>
      <c r="DL228" s="146"/>
      <c r="DM228" s="146"/>
      <c r="DN228" s="149">
        <v>5.0000000000000004E-6</v>
      </c>
      <c r="DO228" s="146"/>
      <c r="DP228" s="146"/>
      <c r="DQ228" s="149">
        <v>5.0000000000000004E-6</v>
      </c>
      <c r="DR228" s="146"/>
      <c r="DS228" s="146"/>
      <c r="DT228" s="167">
        <v>9.0000000000000002E-6</v>
      </c>
      <c r="DU228" s="167"/>
      <c r="DV228" s="223"/>
      <c r="DX228" s="213">
        <f>SUM(R228:DV228)</f>
        <v>3.1000000000000033E-4</v>
      </c>
      <c r="DY228" s="1"/>
      <c r="DZ228" s="1"/>
      <c r="EA228" s="1"/>
      <c r="EB228" s="1"/>
    </row>
    <row r="229" spans="4:132" s="6" customFormat="1" ht="6.95" customHeight="1">
      <c r="F229" s="143"/>
      <c r="G229" s="144"/>
      <c r="H229" s="55">
        <v>2</v>
      </c>
      <c r="L229" s="272"/>
      <c r="M229" s="232"/>
      <c r="N229" s="303"/>
      <c r="O229" s="244"/>
      <c r="P229" s="246"/>
      <c r="Q229" s="184"/>
      <c r="R229" s="63"/>
      <c r="S229" s="64"/>
      <c r="T229" s="65"/>
      <c r="U229" s="66"/>
      <c r="V229" s="64"/>
      <c r="W229" s="65"/>
      <c r="X229" s="66"/>
      <c r="Y229" s="64"/>
      <c r="Z229" s="65"/>
      <c r="AA229" s="66"/>
      <c r="AB229" s="64"/>
      <c r="AC229" s="65"/>
      <c r="AD229" s="66"/>
      <c r="AE229" s="64"/>
      <c r="AF229" s="65"/>
      <c r="AG229" s="66"/>
      <c r="AH229" s="64"/>
      <c r="AI229" s="65"/>
      <c r="AJ229" s="66"/>
      <c r="AK229" s="64"/>
      <c r="AL229" s="65"/>
      <c r="AM229" s="66"/>
      <c r="AN229" s="64"/>
      <c r="AO229" s="65"/>
      <c r="AP229" s="66"/>
      <c r="AQ229" s="64"/>
      <c r="AR229" s="65"/>
      <c r="AS229" s="66"/>
      <c r="AT229" s="64"/>
      <c r="AU229" s="65"/>
      <c r="AV229" s="66"/>
      <c r="AW229" s="64"/>
      <c r="AX229" s="65"/>
      <c r="AY229" s="66"/>
      <c r="AZ229" s="64"/>
      <c r="BA229" s="65"/>
      <c r="BB229" s="66"/>
      <c r="BC229" s="64"/>
      <c r="BD229" s="65"/>
      <c r="BE229" s="66"/>
      <c r="BF229" s="64"/>
      <c r="BG229" s="65"/>
      <c r="BH229" s="66"/>
      <c r="BI229" s="64"/>
      <c r="BJ229" s="65"/>
      <c r="BK229" s="66"/>
      <c r="BL229" s="64"/>
      <c r="BM229" s="65"/>
      <c r="BN229" s="66"/>
      <c r="BO229" s="64"/>
      <c r="BP229" s="65"/>
      <c r="BQ229" s="66"/>
      <c r="BR229" s="64"/>
      <c r="BS229" s="65"/>
      <c r="BT229" s="66"/>
      <c r="BU229" s="64"/>
      <c r="BV229" s="65"/>
      <c r="BW229" s="66"/>
      <c r="BX229" s="64"/>
      <c r="BY229" s="65"/>
      <c r="BZ229" s="66"/>
      <c r="CA229" s="64"/>
      <c r="CB229" s="65"/>
      <c r="CC229" s="66"/>
      <c r="CD229" s="64"/>
      <c r="CE229" s="65"/>
      <c r="CF229" s="66"/>
      <c r="CG229" s="64"/>
      <c r="CH229" s="65"/>
      <c r="CI229" s="66"/>
      <c r="CJ229" s="64"/>
      <c r="CK229" s="65"/>
      <c r="CL229" s="66"/>
      <c r="CM229" s="64"/>
      <c r="CN229" s="65"/>
      <c r="CO229" s="66"/>
      <c r="CP229" s="64"/>
      <c r="CQ229" s="65"/>
      <c r="CR229" s="66"/>
      <c r="CS229" s="64"/>
      <c r="CT229" s="65"/>
      <c r="CU229" s="66"/>
      <c r="CV229" s="64"/>
      <c r="CW229" s="65"/>
      <c r="CX229" s="66"/>
      <c r="CY229" s="64"/>
      <c r="CZ229" s="65"/>
      <c r="DA229" s="66"/>
      <c r="DB229" s="64"/>
      <c r="DC229" s="65"/>
      <c r="DD229" s="66"/>
      <c r="DE229" s="64"/>
      <c r="DF229" s="65"/>
      <c r="DG229" s="66"/>
      <c r="DH229" s="64"/>
      <c r="DI229" s="65"/>
      <c r="DJ229" s="66"/>
      <c r="DK229" s="64"/>
      <c r="DL229" s="65"/>
      <c r="DM229" s="66"/>
      <c r="DN229" s="64"/>
      <c r="DO229" s="65"/>
      <c r="DP229" s="66"/>
      <c r="DQ229" s="64"/>
      <c r="DR229" s="65"/>
      <c r="DS229" s="66"/>
      <c r="DT229" s="64"/>
      <c r="DU229" s="65"/>
      <c r="DV229" s="94"/>
      <c r="DX229" s="213"/>
      <c r="DY229" s="1"/>
      <c r="DZ229" s="1"/>
      <c r="EA229" s="1"/>
      <c r="EB229" s="1"/>
    </row>
    <row r="230" spans="4:132" s="6" customFormat="1" ht="9.9499999999999993" customHeight="1">
      <c r="E230" s="82"/>
      <c r="F230" s="143">
        <f t="shared" ref="F230" si="133">DX230</f>
        <v>2.6700000000000005E-3</v>
      </c>
      <c r="G230" s="144">
        <f>Q230-F230</f>
        <v>0</v>
      </c>
      <c r="H230" s="27">
        <v>1</v>
      </c>
      <c r="I230" s="83"/>
      <c r="J230" s="83"/>
      <c r="L230" s="230"/>
      <c r="M230" s="238" t="s">
        <v>257</v>
      </c>
      <c r="N230" s="234">
        <v>2437</v>
      </c>
      <c r="O230" s="240" t="s">
        <v>15</v>
      </c>
      <c r="P230" s="249">
        <v>555911</v>
      </c>
      <c r="Q230" s="183">
        <f>ROUND(P230/$P$256,5)</f>
        <v>2.6700000000000001E-3</v>
      </c>
      <c r="R230" s="21"/>
      <c r="S230" s="165">
        <v>1.1E-4</v>
      </c>
      <c r="T230" s="150"/>
      <c r="U230" s="150"/>
      <c r="V230" s="165">
        <v>1E-4</v>
      </c>
      <c r="W230" s="150"/>
      <c r="X230" s="150"/>
      <c r="Y230" s="165">
        <v>1E-4</v>
      </c>
      <c r="Z230" s="150"/>
      <c r="AA230" s="150"/>
      <c r="AB230" s="165">
        <v>6.9999999999999994E-5</v>
      </c>
      <c r="AC230" s="150"/>
      <c r="AD230" s="150"/>
      <c r="AE230" s="165">
        <v>6.9999999999999994E-5</v>
      </c>
      <c r="AF230" s="150"/>
      <c r="AG230" s="150"/>
      <c r="AH230" s="165">
        <v>6.9999999999999994E-5</v>
      </c>
      <c r="AI230" s="150"/>
      <c r="AJ230" s="150"/>
      <c r="AK230" s="165">
        <v>6.9999999999999994E-5</v>
      </c>
      <c r="AL230" s="150"/>
      <c r="AM230" s="150"/>
      <c r="AN230" s="165">
        <v>6.9999999999999994E-5</v>
      </c>
      <c r="AO230" s="150"/>
      <c r="AP230" s="150"/>
      <c r="AQ230" s="165">
        <v>6.9999999999999994E-5</v>
      </c>
      <c r="AR230" s="150"/>
      <c r="AS230" s="150"/>
      <c r="AT230" s="165">
        <v>6.9999999999999994E-5</v>
      </c>
      <c r="AU230" s="150"/>
      <c r="AV230" s="150"/>
      <c r="AW230" s="165">
        <v>6.9999999999999994E-5</v>
      </c>
      <c r="AX230" s="150"/>
      <c r="AY230" s="150"/>
      <c r="AZ230" s="165">
        <v>6.9999999999999994E-5</v>
      </c>
      <c r="BA230" s="150"/>
      <c r="BB230" s="150"/>
      <c r="BC230" s="165">
        <v>6.9999999999999994E-5</v>
      </c>
      <c r="BD230" s="150"/>
      <c r="BE230" s="150"/>
      <c r="BF230" s="165">
        <v>6.9999999999999994E-5</v>
      </c>
      <c r="BG230" s="150"/>
      <c r="BH230" s="150"/>
      <c r="BI230" s="165">
        <v>6.9999999999999994E-5</v>
      </c>
      <c r="BJ230" s="150"/>
      <c r="BK230" s="150"/>
      <c r="BL230" s="165">
        <v>6.9999999999999994E-5</v>
      </c>
      <c r="BM230" s="150"/>
      <c r="BN230" s="150"/>
      <c r="BO230" s="165">
        <v>6.9999999999999994E-5</v>
      </c>
      <c r="BP230" s="150"/>
      <c r="BQ230" s="166"/>
      <c r="BR230" s="180">
        <v>6.9999999999999994E-5</v>
      </c>
      <c r="BS230" s="150"/>
      <c r="BT230" s="181"/>
      <c r="BU230" s="165">
        <v>6.9999999999999994E-5</v>
      </c>
      <c r="BV230" s="150"/>
      <c r="BW230" s="150"/>
      <c r="BX230" s="165">
        <v>6.9999999999999994E-5</v>
      </c>
      <c r="BY230" s="150"/>
      <c r="BZ230" s="150"/>
      <c r="CA230" s="165">
        <v>6.9999999999999994E-5</v>
      </c>
      <c r="CB230" s="150"/>
      <c r="CC230" s="150"/>
      <c r="CD230" s="165">
        <v>6.9999999999999994E-5</v>
      </c>
      <c r="CE230" s="150"/>
      <c r="CF230" s="150"/>
      <c r="CG230" s="165">
        <v>6.9999999999999994E-5</v>
      </c>
      <c r="CH230" s="150"/>
      <c r="CI230" s="150"/>
      <c r="CJ230" s="165">
        <v>6.9999999999999994E-5</v>
      </c>
      <c r="CK230" s="150"/>
      <c r="CL230" s="150"/>
      <c r="CM230" s="165">
        <v>6.9999999999999994E-5</v>
      </c>
      <c r="CN230" s="150"/>
      <c r="CO230" s="150"/>
      <c r="CP230" s="165">
        <v>6.9999999999999994E-5</v>
      </c>
      <c r="CQ230" s="150"/>
      <c r="CR230" s="150"/>
      <c r="CS230" s="165">
        <v>6.9999999999999994E-5</v>
      </c>
      <c r="CT230" s="150"/>
      <c r="CU230" s="150"/>
      <c r="CV230" s="165">
        <v>6.9999999999999994E-5</v>
      </c>
      <c r="CW230" s="150"/>
      <c r="CX230" s="150"/>
      <c r="CY230" s="165">
        <v>6.9999999999999994E-5</v>
      </c>
      <c r="CZ230" s="150"/>
      <c r="DA230" s="150"/>
      <c r="DB230" s="165">
        <v>6.9999999999999994E-5</v>
      </c>
      <c r="DC230" s="150"/>
      <c r="DD230" s="150"/>
      <c r="DE230" s="165">
        <v>6.9999999999999994E-5</v>
      </c>
      <c r="DF230" s="150"/>
      <c r="DG230" s="150"/>
      <c r="DH230" s="165">
        <v>6.9999999999999994E-5</v>
      </c>
      <c r="DI230" s="150"/>
      <c r="DJ230" s="150"/>
      <c r="DK230" s="165">
        <v>6.9999999999999994E-5</v>
      </c>
      <c r="DL230" s="150"/>
      <c r="DM230" s="150"/>
      <c r="DN230" s="165">
        <v>6.9999999999999994E-5</v>
      </c>
      <c r="DO230" s="150"/>
      <c r="DP230" s="150"/>
      <c r="DQ230" s="165">
        <v>9.0000000000000006E-5</v>
      </c>
      <c r="DR230" s="150"/>
      <c r="DS230" s="150"/>
      <c r="DT230" s="167">
        <v>1E-4</v>
      </c>
      <c r="DU230" s="167"/>
      <c r="DV230" s="223"/>
      <c r="DX230" s="213">
        <f>SUM(R230:DV230)</f>
        <v>2.6700000000000005E-3</v>
      </c>
      <c r="DY230" s="1"/>
      <c r="DZ230" s="1"/>
      <c r="EA230" s="1"/>
      <c r="EB230" s="1"/>
    </row>
    <row r="231" spans="4:132" s="6" customFormat="1" ht="6.95" customHeight="1">
      <c r="E231" s="83"/>
      <c r="F231" s="143"/>
      <c r="G231" s="144"/>
      <c r="H231" s="55">
        <v>2</v>
      </c>
      <c r="I231" s="83"/>
      <c r="J231" s="83"/>
      <c r="L231" s="230"/>
      <c r="M231" s="238"/>
      <c r="N231" s="234"/>
      <c r="O231" s="240"/>
      <c r="P231" s="249"/>
      <c r="Q231" s="184"/>
      <c r="R231" s="63"/>
      <c r="S231" s="64"/>
      <c r="T231" s="65"/>
      <c r="U231" s="66"/>
      <c r="V231" s="64"/>
      <c r="W231" s="65"/>
      <c r="X231" s="66"/>
      <c r="Y231" s="64"/>
      <c r="Z231" s="65"/>
      <c r="AA231" s="66"/>
      <c r="AB231" s="64"/>
      <c r="AC231" s="65"/>
      <c r="AD231" s="66"/>
      <c r="AE231" s="64"/>
      <c r="AF231" s="65"/>
      <c r="AG231" s="66"/>
      <c r="AH231" s="64"/>
      <c r="AI231" s="65"/>
      <c r="AJ231" s="66"/>
      <c r="AK231" s="64"/>
      <c r="AL231" s="65"/>
      <c r="AM231" s="66"/>
      <c r="AN231" s="64"/>
      <c r="AO231" s="65"/>
      <c r="AP231" s="66"/>
      <c r="AQ231" s="64"/>
      <c r="AR231" s="65"/>
      <c r="AS231" s="66"/>
      <c r="AT231" s="64"/>
      <c r="AU231" s="65"/>
      <c r="AV231" s="66"/>
      <c r="AW231" s="64"/>
      <c r="AX231" s="65"/>
      <c r="AY231" s="66"/>
      <c r="AZ231" s="64"/>
      <c r="BA231" s="65"/>
      <c r="BB231" s="66"/>
      <c r="BC231" s="64"/>
      <c r="BD231" s="65"/>
      <c r="BE231" s="66"/>
      <c r="BF231" s="64"/>
      <c r="BG231" s="65"/>
      <c r="BH231" s="66"/>
      <c r="BI231" s="64"/>
      <c r="BJ231" s="65"/>
      <c r="BK231" s="66"/>
      <c r="BL231" s="64"/>
      <c r="BM231" s="65"/>
      <c r="BN231" s="66"/>
      <c r="BO231" s="64"/>
      <c r="BP231" s="65"/>
      <c r="BQ231" s="66"/>
      <c r="BR231" s="64"/>
      <c r="BS231" s="65"/>
      <c r="BT231" s="66"/>
      <c r="BU231" s="64"/>
      <c r="BV231" s="65"/>
      <c r="BW231" s="66"/>
      <c r="BX231" s="64"/>
      <c r="BY231" s="65"/>
      <c r="BZ231" s="66"/>
      <c r="CA231" s="64"/>
      <c r="CB231" s="65"/>
      <c r="CC231" s="66"/>
      <c r="CD231" s="64"/>
      <c r="CE231" s="65"/>
      <c r="CF231" s="66"/>
      <c r="CG231" s="64"/>
      <c r="CH231" s="65"/>
      <c r="CI231" s="66"/>
      <c r="CJ231" s="64"/>
      <c r="CK231" s="65"/>
      <c r="CL231" s="66"/>
      <c r="CM231" s="64"/>
      <c r="CN231" s="65"/>
      <c r="CO231" s="66"/>
      <c r="CP231" s="64"/>
      <c r="CQ231" s="65"/>
      <c r="CR231" s="66"/>
      <c r="CS231" s="64"/>
      <c r="CT231" s="65"/>
      <c r="CU231" s="66"/>
      <c r="CV231" s="64"/>
      <c r="CW231" s="65"/>
      <c r="CX231" s="66"/>
      <c r="CY231" s="64"/>
      <c r="CZ231" s="65"/>
      <c r="DA231" s="66"/>
      <c r="DB231" s="64"/>
      <c r="DC231" s="65"/>
      <c r="DD231" s="66"/>
      <c r="DE231" s="64"/>
      <c r="DF231" s="65"/>
      <c r="DG231" s="66"/>
      <c r="DH231" s="64"/>
      <c r="DI231" s="65"/>
      <c r="DJ231" s="66"/>
      <c r="DK231" s="64"/>
      <c r="DL231" s="65"/>
      <c r="DM231" s="66"/>
      <c r="DN231" s="64"/>
      <c r="DO231" s="65"/>
      <c r="DP231" s="66"/>
      <c r="DQ231" s="64"/>
      <c r="DR231" s="65"/>
      <c r="DS231" s="66"/>
      <c r="DT231" s="64"/>
      <c r="DU231" s="65"/>
      <c r="DV231" s="94"/>
      <c r="DX231" s="213"/>
      <c r="DY231" s="1"/>
      <c r="DZ231" s="1"/>
      <c r="EA231" s="1"/>
      <c r="EB231" s="1"/>
    </row>
    <row r="232" spans="4:132" s="6" customFormat="1" ht="9.9499999999999993" customHeight="1">
      <c r="E232" s="83"/>
      <c r="F232" s="143">
        <f t="shared" ref="F232" si="134">DX232</f>
        <v>2.7600000000000016E-3</v>
      </c>
      <c r="G232" s="144">
        <f>Q232-F232</f>
        <v>0</v>
      </c>
      <c r="H232" s="27">
        <v>1</v>
      </c>
      <c r="I232" s="83"/>
      <c r="J232" s="83"/>
      <c r="L232" s="271"/>
      <c r="M232" s="231" t="s">
        <v>168</v>
      </c>
      <c r="N232" s="302">
        <v>982151</v>
      </c>
      <c r="O232" s="243" t="s">
        <v>169</v>
      </c>
      <c r="P232" s="245">
        <v>574558</v>
      </c>
      <c r="Q232" s="183">
        <f>ROUND(P232/$P$256,5)</f>
        <v>2.7599999999999999E-3</v>
      </c>
      <c r="R232" s="21"/>
      <c r="S232" s="148">
        <v>8.0000000000000007E-5</v>
      </c>
      <c r="T232" s="148"/>
      <c r="U232" s="149"/>
      <c r="V232" s="146">
        <v>8.0000000000000007E-5</v>
      </c>
      <c r="W232" s="146"/>
      <c r="X232" s="146"/>
      <c r="Y232" s="146">
        <v>8.0000000000000007E-5</v>
      </c>
      <c r="Z232" s="146"/>
      <c r="AA232" s="146"/>
      <c r="AB232" s="146">
        <v>8.0000000000000007E-5</v>
      </c>
      <c r="AC232" s="146"/>
      <c r="AD232" s="146"/>
      <c r="AE232" s="146">
        <v>8.0000000000000007E-5</v>
      </c>
      <c r="AF232" s="146"/>
      <c r="AG232" s="146"/>
      <c r="AH232" s="146">
        <v>8.0000000000000007E-5</v>
      </c>
      <c r="AI232" s="146"/>
      <c r="AJ232" s="146"/>
      <c r="AK232" s="146">
        <v>8.0000000000000007E-5</v>
      </c>
      <c r="AL232" s="146"/>
      <c r="AM232" s="146"/>
      <c r="AN232" s="146">
        <v>8.0000000000000007E-5</v>
      </c>
      <c r="AO232" s="146"/>
      <c r="AP232" s="146"/>
      <c r="AQ232" s="146">
        <v>8.0000000000000007E-5</v>
      </c>
      <c r="AR232" s="146"/>
      <c r="AS232" s="146"/>
      <c r="AT232" s="146">
        <v>8.0000000000000007E-5</v>
      </c>
      <c r="AU232" s="146"/>
      <c r="AV232" s="146"/>
      <c r="AW232" s="146">
        <v>8.0000000000000007E-5</v>
      </c>
      <c r="AX232" s="146"/>
      <c r="AY232" s="146"/>
      <c r="AZ232" s="146">
        <v>8.0000000000000007E-5</v>
      </c>
      <c r="BA232" s="146"/>
      <c r="BB232" s="146"/>
      <c r="BC232" s="146">
        <v>8.0000000000000007E-5</v>
      </c>
      <c r="BD232" s="146"/>
      <c r="BE232" s="146"/>
      <c r="BF232" s="146">
        <v>8.0000000000000007E-5</v>
      </c>
      <c r="BG232" s="146"/>
      <c r="BH232" s="146"/>
      <c r="BI232" s="146">
        <v>8.0000000000000007E-5</v>
      </c>
      <c r="BJ232" s="146"/>
      <c r="BK232" s="146"/>
      <c r="BL232" s="146">
        <v>8.0000000000000007E-5</v>
      </c>
      <c r="BM232" s="146"/>
      <c r="BN232" s="146"/>
      <c r="BO232" s="146">
        <v>8.0000000000000007E-5</v>
      </c>
      <c r="BP232" s="146"/>
      <c r="BQ232" s="146"/>
      <c r="BR232" s="146">
        <v>8.0000000000000007E-5</v>
      </c>
      <c r="BS232" s="146"/>
      <c r="BT232" s="146"/>
      <c r="BU232" s="146">
        <v>8.0000000000000007E-5</v>
      </c>
      <c r="BV232" s="146"/>
      <c r="BW232" s="146"/>
      <c r="BX232" s="146">
        <v>8.0000000000000007E-5</v>
      </c>
      <c r="BY232" s="146"/>
      <c r="BZ232" s="146"/>
      <c r="CA232" s="146">
        <v>8.0000000000000007E-5</v>
      </c>
      <c r="CB232" s="146"/>
      <c r="CC232" s="146"/>
      <c r="CD232" s="146">
        <v>8.0000000000000007E-5</v>
      </c>
      <c r="CE232" s="146"/>
      <c r="CF232" s="146"/>
      <c r="CG232" s="146">
        <v>8.0000000000000007E-5</v>
      </c>
      <c r="CH232" s="146"/>
      <c r="CI232" s="146"/>
      <c r="CJ232" s="146">
        <v>8.0000000000000007E-5</v>
      </c>
      <c r="CK232" s="146"/>
      <c r="CL232" s="146"/>
      <c r="CM232" s="146">
        <v>6.9999999999999994E-5</v>
      </c>
      <c r="CN232" s="146"/>
      <c r="CO232" s="146"/>
      <c r="CP232" s="146">
        <v>6.9999999999999994E-5</v>
      </c>
      <c r="CQ232" s="146"/>
      <c r="CR232" s="146"/>
      <c r="CS232" s="146">
        <v>6.9999999999999994E-5</v>
      </c>
      <c r="CT232" s="146"/>
      <c r="CU232" s="146"/>
      <c r="CV232" s="146">
        <v>6.9999999999999994E-5</v>
      </c>
      <c r="CW232" s="146"/>
      <c r="CX232" s="146"/>
      <c r="CY232" s="146">
        <v>6.9999999999999994E-5</v>
      </c>
      <c r="CZ232" s="146"/>
      <c r="DA232" s="146"/>
      <c r="DB232" s="146">
        <v>6.9999999999999994E-5</v>
      </c>
      <c r="DC232" s="146"/>
      <c r="DD232" s="146"/>
      <c r="DE232" s="146">
        <v>6.9999999999999994E-5</v>
      </c>
      <c r="DF232" s="146"/>
      <c r="DG232" s="146"/>
      <c r="DH232" s="146">
        <v>6.9999999999999994E-5</v>
      </c>
      <c r="DI232" s="146"/>
      <c r="DJ232" s="146"/>
      <c r="DK232" s="146">
        <v>6.9999999999999994E-5</v>
      </c>
      <c r="DL232" s="146"/>
      <c r="DM232" s="146"/>
      <c r="DN232" s="146">
        <v>6.9999999999999994E-5</v>
      </c>
      <c r="DO232" s="146"/>
      <c r="DP232" s="146"/>
      <c r="DQ232" s="146">
        <v>1E-4</v>
      </c>
      <c r="DR232" s="146"/>
      <c r="DS232" s="146"/>
      <c r="DT232" s="148">
        <v>4.0000000000000003E-5</v>
      </c>
      <c r="DU232" s="148"/>
      <c r="DV232" s="362"/>
      <c r="DX232" s="213">
        <f>SUM(R232:DV232)</f>
        <v>2.7600000000000016E-3</v>
      </c>
      <c r="DY232" s="1"/>
      <c r="DZ232" s="1"/>
      <c r="EA232" s="1"/>
      <c r="EB232" s="1"/>
    </row>
    <row r="233" spans="4:132" s="6" customFormat="1" ht="6.95" customHeight="1">
      <c r="E233" s="83"/>
      <c r="F233" s="143"/>
      <c r="G233" s="144"/>
      <c r="H233" s="55">
        <v>2</v>
      </c>
      <c r="I233" s="83"/>
      <c r="J233" s="83"/>
      <c r="L233" s="272"/>
      <c r="M233" s="232"/>
      <c r="N233" s="303"/>
      <c r="O233" s="244"/>
      <c r="P233" s="246"/>
      <c r="Q233" s="184"/>
      <c r="R233" s="63"/>
      <c r="S233" s="64"/>
      <c r="T233" s="65"/>
      <c r="U233" s="66"/>
      <c r="V233" s="64"/>
      <c r="W233" s="65"/>
      <c r="X233" s="66"/>
      <c r="Y233" s="64"/>
      <c r="Z233" s="65"/>
      <c r="AA233" s="66"/>
      <c r="AB233" s="64"/>
      <c r="AC233" s="65"/>
      <c r="AD233" s="66"/>
      <c r="AE233" s="64"/>
      <c r="AF233" s="65"/>
      <c r="AG233" s="66"/>
      <c r="AH233" s="64"/>
      <c r="AI233" s="65"/>
      <c r="AJ233" s="66"/>
      <c r="AK233" s="64"/>
      <c r="AL233" s="65"/>
      <c r="AM233" s="66"/>
      <c r="AN233" s="64"/>
      <c r="AO233" s="65"/>
      <c r="AP233" s="66"/>
      <c r="AQ233" s="64"/>
      <c r="AR233" s="65"/>
      <c r="AS233" s="66"/>
      <c r="AT233" s="64"/>
      <c r="AU233" s="65"/>
      <c r="AV233" s="66"/>
      <c r="AW233" s="64"/>
      <c r="AX233" s="65"/>
      <c r="AY233" s="66"/>
      <c r="AZ233" s="64"/>
      <c r="BA233" s="65"/>
      <c r="BB233" s="66"/>
      <c r="BC233" s="64"/>
      <c r="BD233" s="65"/>
      <c r="BE233" s="66"/>
      <c r="BF233" s="64"/>
      <c r="BG233" s="65"/>
      <c r="BH233" s="66"/>
      <c r="BI233" s="64"/>
      <c r="BJ233" s="65"/>
      <c r="BK233" s="66"/>
      <c r="BL233" s="64"/>
      <c r="BM233" s="65"/>
      <c r="BN233" s="66"/>
      <c r="BO233" s="64"/>
      <c r="BP233" s="65"/>
      <c r="BQ233" s="66"/>
      <c r="BR233" s="64"/>
      <c r="BS233" s="65"/>
      <c r="BT233" s="66"/>
      <c r="BU233" s="64"/>
      <c r="BV233" s="65"/>
      <c r="BW233" s="66"/>
      <c r="BX233" s="64"/>
      <c r="BY233" s="65"/>
      <c r="BZ233" s="66"/>
      <c r="CA233" s="64"/>
      <c r="CB233" s="65"/>
      <c r="CC233" s="66"/>
      <c r="CD233" s="64"/>
      <c r="CE233" s="65"/>
      <c r="CF233" s="66"/>
      <c r="CG233" s="64"/>
      <c r="CH233" s="65"/>
      <c r="CI233" s="66"/>
      <c r="CJ233" s="64"/>
      <c r="CK233" s="65"/>
      <c r="CL233" s="66"/>
      <c r="CM233" s="64"/>
      <c r="CN233" s="65"/>
      <c r="CO233" s="66"/>
      <c r="CP233" s="64"/>
      <c r="CQ233" s="65"/>
      <c r="CR233" s="66"/>
      <c r="CS233" s="64"/>
      <c r="CT233" s="65"/>
      <c r="CU233" s="66"/>
      <c r="CV233" s="64"/>
      <c r="CW233" s="65"/>
      <c r="CX233" s="66"/>
      <c r="CY233" s="64"/>
      <c r="CZ233" s="65"/>
      <c r="DA233" s="66"/>
      <c r="DB233" s="64"/>
      <c r="DC233" s="65"/>
      <c r="DD233" s="66"/>
      <c r="DE233" s="64"/>
      <c r="DF233" s="65"/>
      <c r="DG233" s="66"/>
      <c r="DH233" s="64"/>
      <c r="DI233" s="65"/>
      <c r="DJ233" s="66"/>
      <c r="DK233" s="64"/>
      <c r="DL233" s="65"/>
      <c r="DM233" s="66"/>
      <c r="DN233" s="64"/>
      <c r="DO233" s="65"/>
      <c r="DP233" s="66"/>
      <c r="DQ233" s="64"/>
      <c r="DR233" s="65"/>
      <c r="DS233" s="66"/>
      <c r="DT233" s="64"/>
      <c r="DU233" s="65"/>
      <c r="DV233" s="94"/>
      <c r="DX233" s="213"/>
      <c r="DY233" s="1"/>
      <c r="DZ233" s="1"/>
      <c r="EA233" s="1"/>
      <c r="EB233" s="1"/>
    </row>
    <row r="234" spans="4:132" s="6" customFormat="1" ht="9.9499999999999993" customHeight="1">
      <c r="E234" s="121"/>
      <c r="F234" s="143">
        <f t="shared" ref="F234" si="135">DX234</f>
        <v>1.1800000000000003E-3</v>
      </c>
      <c r="G234" s="144">
        <f>Q234-F234</f>
        <v>0</v>
      </c>
      <c r="H234" s="27">
        <v>1</v>
      </c>
      <c r="I234" s="121"/>
      <c r="J234" s="121"/>
      <c r="L234" s="230"/>
      <c r="M234" s="238" t="s">
        <v>170</v>
      </c>
      <c r="N234" s="234">
        <v>1</v>
      </c>
      <c r="O234" s="251" t="s">
        <v>171</v>
      </c>
      <c r="P234" s="249">
        <v>245323</v>
      </c>
      <c r="Q234" s="183">
        <f>ROUND(P234/$P$256,5)</f>
        <v>1.1800000000000001E-3</v>
      </c>
      <c r="R234" s="76"/>
      <c r="S234" s="165">
        <v>1.2999999999999999E-4</v>
      </c>
      <c r="T234" s="150"/>
      <c r="U234" s="150"/>
      <c r="V234" s="147">
        <v>3.0000000000000001E-5</v>
      </c>
      <c r="W234" s="148"/>
      <c r="X234" s="149"/>
      <c r="Y234" s="165">
        <v>3.0000000000000001E-5</v>
      </c>
      <c r="Z234" s="150"/>
      <c r="AA234" s="150"/>
      <c r="AB234" s="165">
        <v>3.0000000000000001E-5</v>
      </c>
      <c r="AC234" s="150"/>
      <c r="AD234" s="150"/>
      <c r="AE234" s="165">
        <v>3.0000000000000001E-5</v>
      </c>
      <c r="AF234" s="150"/>
      <c r="AG234" s="150"/>
      <c r="AH234" s="165">
        <v>3.0000000000000001E-5</v>
      </c>
      <c r="AI234" s="150"/>
      <c r="AJ234" s="150"/>
      <c r="AK234" s="165">
        <v>3.0000000000000001E-5</v>
      </c>
      <c r="AL234" s="150"/>
      <c r="AM234" s="150"/>
      <c r="AN234" s="165">
        <v>3.0000000000000001E-5</v>
      </c>
      <c r="AO234" s="150"/>
      <c r="AP234" s="150"/>
      <c r="AQ234" s="165">
        <v>3.0000000000000001E-5</v>
      </c>
      <c r="AR234" s="150"/>
      <c r="AS234" s="150"/>
      <c r="AT234" s="165">
        <v>3.0000000000000001E-5</v>
      </c>
      <c r="AU234" s="150"/>
      <c r="AV234" s="150"/>
      <c r="AW234" s="165">
        <v>3.0000000000000001E-5</v>
      </c>
      <c r="AX234" s="150"/>
      <c r="AY234" s="150"/>
      <c r="AZ234" s="165">
        <v>3.0000000000000001E-5</v>
      </c>
      <c r="BA234" s="150"/>
      <c r="BB234" s="150"/>
      <c r="BC234" s="165">
        <v>3.0000000000000001E-5</v>
      </c>
      <c r="BD234" s="150"/>
      <c r="BE234" s="150"/>
      <c r="BF234" s="165">
        <v>3.0000000000000001E-5</v>
      </c>
      <c r="BG234" s="150"/>
      <c r="BH234" s="150"/>
      <c r="BI234" s="165">
        <v>3.0000000000000001E-5</v>
      </c>
      <c r="BJ234" s="150"/>
      <c r="BK234" s="150"/>
      <c r="BL234" s="165">
        <v>3.0000000000000001E-5</v>
      </c>
      <c r="BM234" s="150"/>
      <c r="BN234" s="150"/>
      <c r="BO234" s="165">
        <v>3.0000000000000001E-5</v>
      </c>
      <c r="BP234" s="150"/>
      <c r="BQ234" s="166"/>
      <c r="BR234" s="180">
        <v>3.0000000000000001E-5</v>
      </c>
      <c r="BS234" s="150"/>
      <c r="BT234" s="181"/>
      <c r="BU234" s="165">
        <v>3.0000000000000001E-5</v>
      </c>
      <c r="BV234" s="150"/>
      <c r="BW234" s="150"/>
      <c r="BX234" s="165">
        <v>3.0000000000000001E-5</v>
      </c>
      <c r="BY234" s="150"/>
      <c r="BZ234" s="150"/>
      <c r="CA234" s="165">
        <v>3.0000000000000001E-5</v>
      </c>
      <c r="CB234" s="150"/>
      <c r="CC234" s="150"/>
      <c r="CD234" s="165">
        <v>3.0000000000000001E-5</v>
      </c>
      <c r="CE234" s="150"/>
      <c r="CF234" s="150"/>
      <c r="CG234" s="165">
        <v>3.0000000000000001E-5</v>
      </c>
      <c r="CH234" s="150"/>
      <c r="CI234" s="150"/>
      <c r="CJ234" s="165">
        <v>3.0000000000000001E-5</v>
      </c>
      <c r="CK234" s="150"/>
      <c r="CL234" s="150"/>
      <c r="CM234" s="165">
        <v>3.0000000000000001E-5</v>
      </c>
      <c r="CN234" s="150"/>
      <c r="CO234" s="150"/>
      <c r="CP234" s="165">
        <v>3.0000000000000001E-5</v>
      </c>
      <c r="CQ234" s="150"/>
      <c r="CR234" s="150"/>
      <c r="CS234" s="165">
        <v>3.0000000000000001E-5</v>
      </c>
      <c r="CT234" s="150"/>
      <c r="CU234" s="150"/>
      <c r="CV234" s="165">
        <v>3.0000000000000001E-5</v>
      </c>
      <c r="CW234" s="150"/>
      <c r="CX234" s="150"/>
      <c r="CY234" s="165">
        <v>3.0000000000000001E-5</v>
      </c>
      <c r="CZ234" s="150"/>
      <c r="DA234" s="150"/>
      <c r="DB234" s="165">
        <v>3.0000000000000001E-5</v>
      </c>
      <c r="DC234" s="150"/>
      <c r="DD234" s="150"/>
      <c r="DE234" s="165">
        <v>3.0000000000000001E-5</v>
      </c>
      <c r="DF234" s="150"/>
      <c r="DG234" s="150"/>
      <c r="DH234" s="165">
        <v>3.0000000000000001E-5</v>
      </c>
      <c r="DI234" s="150"/>
      <c r="DJ234" s="150"/>
      <c r="DK234" s="165">
        <v>3.0000000000000001E-5</v>
      </c>
      <c r="DL234" s="150"/>
      <c r="DM234" s="150"/>
      <c r="DN234" s="165">
        <v>3.0000000000000001E-5</v>
      </c>
      <c r="DO234" s="150"/>
      <c r="DP234" s="150"/>
      <c r="DQ234" s="165">
        <v>3.0000000000000001E-5</v>
      </c>
      <c r="DR234" s="150"/>
      <c r="DS234" s="150"/>
      <c r="DT234" s="150">
        <v>3.0000000000000001E-5</v>
      </c>
      <c r="DU234" s="150"/>
      <c r="DV234" s="198"/>
      <c r="DX234" s="213">
        <f>SUM(R234:DV234)</f>
        <v>1.1800000000000003E-3</v>
      </c>
      <c r="DY234" s="1"/>
      <c r="DZ234" s="1"/>
      <c r="EA234" s="1"/>
      <c r="EB234" s="1"/>
    </row>
    <row r="235" spans="4:132" s="6" customFormat="1" ht="6.95" customHeight="1">
      <c r="E235" s="121"/>
      <c r="F235" s="143"/>
      <c r="G235" s="144"/>
      <c r="H235" s="55">
        <v>2</v>
      </c>
      <c r="I235" s="121"/>
      <c r="J235" s="121"/>
      <c r="L235" s="230"/>
      <c r="M235" s="238"/>
      <c r="N235" s="234"/>
      <c r="O235" s="240"/>
      <c r="P235" s="249"/>
      <c r="Q235" s="184"/>
      <c r="R235" s="76"/>
      <c r="S235" s="64"/>
      <c r="T235" s="65"/>
      <c r="U235" s="66"/>
      <c r="V235" s="64"/>
      <c r="W235" s="65"/>
      <c r="X235" s="66"/>
      <c r="Y235" s="64"/>
      <c r="Z235" s="65"/>
      <c r="AA235" s="66"/>
      <c r="AB235" s="64"/>
      <c r="AC235" s="65"/>
      <c r="AD235" s="66"/>
      <c r="AE235" s="64"/>
      <c r="AF235" s="65"/>
      <c r="AG235" s="66"/>
      <c r="AH235" s="64"/>
      <c r="AI235" s="65"/>
      <c r="AJ235" s="66"/>
      <c r="AK235" s="64"/>
      <c r="AL235" s="65"/>
      <c r="AM235" s="66"/>
      <c r="AN235" s="64"/>
      <c r="AO235" s="65"/>
      <c r="AP235" s="66"/>
      <c r="AQ235" s="64"/>
      <c r="AR235" s="65"/>
      <c r="AS235" s="66"/>
      <c r="AT235" s="64"/>
      <c r="AU235" s="65"/>
      <c r="AV235" s="66"/>
      <c r="AW235" s="64"/>
      <c r="AX235" s="65"/>
      <c r="AY235" s="66"/>
      <c r="AZ235" s="64"/>
      <c r="BA235" s="65"/>
      <c r="BB235" s="66"/>
      <c r="BC235" s="64"/>
      <c r="BD235" s="65"/>
      <c r="BE235" s="66"/>
      <c r="BF235" s="64"/>
      <c r="BG235" s="65"/>
      <c r="BH235" s="66"/>
      <c r="BI235" s="64"/>
      <c r="BJ235" s="65"/>
      <c r="BK235" s="66"/>
      <c r="BL235" s="64"/>
      <c r="BM235" s="65"/>
      <c r="BN235" s="66"/>
      <c r="BO235" s="64"/>
      <c r="BP235" s="65"/>
      <c r="BQ235" s="66"/>
      <c r="BR235" s="64"/>
      <c r="BS235" s="65"/>
      <c r="BT235" s="66"/>
      <c r="BU235" s="64"/>
      <c r="BV235" s="65"/>
      <c r="BW235" s="66"/>
      <c r="BX235" s="64"/>
      <c r="BY235" s="65"/>
      <c r="BZ235" s="66"/>
      <c r="CA235" s="64"/>
      <c r="CB235" s="65"/>
      <c r="CC235" s="66"/>
      <c r="CD235" s="64"/>
      <c r="CE235" s="65"/>
      <c r="CF235" s="66"/>
      <c r="CG235" s="64"/>
      <c r="CH235" s="65"/>
      <c r="CI235" s="66"/>
      <c r="CJ235" s="64"/>
      <c r="CK235" s="65"/>
      <c r="CL235" s="66"/>
      <c r="CM235" s="64"/>
      <c r="CN235" s="65"/>
      <c r="CO235" s="66"/>
      <c r="CP235" s="64"/>
      <c r="CQ235" s="65"/>
      <c r="CR235" s="66"/>
      <c r="CS235" s="64"/>
      <c r="CT235" s="65"/>
      <c r="CU235" s="66"/>
      <c r="CV235" s="64"/>
      <c r="CW235" s="65"/>
      <c r="CX235" s="66"/>
      <c r="CY235" s="64"/>
      <c r="CZ235" s="65"/>
      <c r="DA235" s="66"/>
      <c r="DB235" s="64"/>
      <c r="DC235" s="65"/>
      <c r="DD235" s="66"/>
      <c r="DE235" s="64"/>
      <c r="DF235" s="65"/>
      <c r="DG235" s="66"/>
      <c r="DH235" s="64"/>
      <c r="DI235" s="65"/>
      <c r="DJ235" s="66"/>
      <c r="DK235" s="64"/>
      <c r="DL235" s="65"/>
      <c r="DM235" s="66"/>
      <c r="DN235" s="64"/>
      <c r="DO235" s="65"/>
      <c r="DP235" s="66"/>
      <c r="DQ235" s="64"/>
      <c r="DR235" s="65"/>
      <c r="DS235" s="66"/>
      <c r="DT235" s="64"/>
      <c r="DU235" s="65"/>
      <c r="DV235" s="94"/>
      <c r="DX235" s="213"/>
      <c r="DY235" s="1"/>
      <c r="DZ235" s="1"/>
      <c r="EA235" s="1"/>
      <c r="EB235" s="1"/>
    </row>
    <row r="236" spans="4:132" s="6" customFormat="1" ht="9.9499999999999993" customHeight="1">
      <c r="E236" s="121"/>
      <c r="F236" s="143">
        <f t="shared" ref="F236" si="136">DX236</f>
        <v>8.0000000000000015E-4</v>
      </c>
      <c r="G236" s="144">
        <f>Q236-F236</f>
        <v>0</v>
      </c>
      <c r="H236" s="27">
        <v>1</v>
      </c>
      <c r="I236" s="121"/>
      <c r="J236" s="121"/>
      <c r="L236" s="271"/>
      <c r="M236" s="231" t="s">
        <v>95</v>
      </c>
      <c r="N236" s="302">
        <v>1</v>
      </c>
      <c r="O236" s="253" t="s">
        <v>60</v>
      </c>
      <c r="P236" s="245">
        <v>167586</v>
      </c>
      <c r="Q236" s="183">
        <f>ROUND(P236/$P$256,5)</f>
        <v>8.0000000000000004E-4</v>
      </c>
      <c r="R236" s="79"/>
      <c r="S236" s="148">
        <v>4.8000000000000001E-4</v>
      </c>
      <c r="T236" s="148"/>
      <c r="U236" s="149"/>
      <c r="V236" s="149">
        <v>1.1E-4</v>
      </c>
      <c r="W236" s="146"/>
      <c r="X236" s="146"/>
      <c r="Y236" s="56"/>
      <c r="Z236" s="57"/>
      <c r="AA236" s="58"/>
      <c r="AB236" s="146">
        <v>6.0000000000000002E-5</v>
      </c>
      <c r="AC236" s="146"/>
      <c r="AD236" s="146"/>
      <c r="AE236" s="56"/>
      <c r="AF236" s="57"/>
      <c r="AG236" s="58"/>
      <c r="AH236" s="56"/>
      <c r="AI236" s="57"/>
      <c r="AJ236" s="58"/>
      <c r="AK236" s="146">
        <v>6.0000000000000002E-5</v>
      </c>
      <c r="AL236" s="146"/>
      <c r="AM236" s="146"/>
      <c r="AN236" s="56"/>
      <c r="AO236" s="57"/>
      <c r="AP236" s="57"/>
      <c r="AQ236" s="56"/>
      <c r="AR236" s="57"/>
      <c r="AS236" s="57"/>
      <c r="AT236" s="146">
        <v>6.0000000000000002E-5</v>
      </c>
      <c r="AU236" s="146"/>
      <c r="AV236" s="146"/>
      <c r="AW236" s="56"/>
      <c r="AX236" s="57"/>
      <c r="AY236" s="58"/>
      <c r="AZ236" s="57"/>
      <c r="BA236" s="57"/>
      <c r="BB236" s="57"/>
      <c r="BC236" s="146">
        <v>3.0000000000000001E-5</v>
      </c>
      <c r="BD236" s="146"/>
      <c r="BE236" s="146"/>
      <c r="BF236" s="56"/>
      <c r="BG236" s="57"/>
      <c r="BH236" s="58"/>
      <c r="BI236" s="56"/>
      <c r="BJ236" s="57"/>
      <c r="BK236" s="58"/>
      <c r="BL236" s="57"/>
      <c r="BM236" s="57"/>
      <c r="BN236" s="58"/>
      <c r="BO236" s="57"/>
      <c r="BP236" s="57"/>
      <c r="BQ236" s="57"/>
      <c r="BR236" s="60"/>
      <c r="BS236" s="57"/>
      <c r="BT236" s="61"/>
      <c r="BU236" s="57"/>
      <c r="BV236" s="57"/>
      <c r="BW236" s="57"/>
      <c r="BX236" s="56"/>
      <c r="BY236" s="57"/>
      <c r="BZ236" s="58"/>
      <c r="CA236" s="56"/>
      <c r="CB236" s="57"/>
      <c r="CC236" s="58"/>
      <c r="CD236" s="56"/>
      <c r="CE236" s="57"/>
      <c r="CF236" s="57"/>
      <c r="CG236" s="56"/>
      <c r="CH236" s="57"/>
      <c r="CI236" s="58"/>
      <c r="CJ236" s="56"/>
      <c r="CK236" s="57"/>
      <c r="CL236" s="58"/>
      <c r="CM236" s="57"/>
      <c r="CN236" s="57"/>
      <c r="CO236" s="57"/>
      <c r="CP236" s="56"/>
      <c r="CQ236" s="57"/>
      <c r="CR236" s="58"/>
      <c r="CS236" s="57"/>
      <c r="CT236" s="57"/>
      <c r="CU236" s="57"/>
      <c r="CV236" s="56"/>
      <c r="CW236" s="57"/>
      <c r="CX236" s="58"/>
      <c r="CY236" s="56"/>
      <c r="CZ236" s="57"/>
      <c r="DA236" s="58"/>
      <c r="DB236" s="57"/>
      <c r="DC236" s="57"/>
      <c r="DD236" s="57"/>
      <c r="DE236" s="56"/>
      <c r="DF236" s="57"/>
      <c r="DG236" s="58"/>
      <c r="DH236" s="56"/>
      <c r="DI236" s="57"/>
      <c r="DJ236" s="58"/>
      <c r="DK236" s="56"/>
      <c r="DL236" s="57"/>
      <c r="DM236" s="58"/>
      <c r="DN236" s="56"/>
      <c r="DO236" s="57"/>
      <c r="DP236" s="58"/>
      <c r="DQ236" s="56"/>
      <c r="DR236" s="57"/>
      <c r="DS236" s="58"/>
      <c r="DT236" s="57"/>
      <c r="DU236" s="57"/>
      <c r="DV236" s="62"/>
      <c r="DX236" s="213">
        <f>SUM(R236:DV236)</f>
        <v>8.0000000000000015E-4</v>
      </c>
      <c r="DY236" s="1"/>
      <c r="DZ236" s="1"/>
      <c r="EA236" s="1"/>
      <c r="EB236" s="1"/>
    </row>
    <row r="237" spans="4:132" s="6" customFormat="1" ht="6.95" customHeight="1">
      <c r="E237" s="121"/>
      <c r="F237" s="143"/>
      <c r="G237" s="144"/>
      <c r="H237" s="55">
        <v>2</v>
      </c>
      <c r="I237" s="121"/>
      <c r="J237" s="121"/>
      <c r="L237" s="272"/>
      <c r="M237" s="232"/>
      <c r="N237" s="303"/>
      <c r="O237" s="244"/>
      <c r="P237" s="246"/>
      <c r="Q237" s="184"/>
      <c r="R237" s="63"/>
      <c r="S237" s="64"/>
      <c r="T237" s="65"/>
      <c r="U237" s="66"/>
      <c r="V237" s="64"/>
      <c r="W237" s="65"/>
      <c r="X237" s="66"/>
      <c r="Y237" s="41"/>
      <c r="Z237" s="42"/>
      <c r="AA237" s="43"/>
      <c r="AB237" s="64"/>
      <c r="AC237" s="65"/>
      <c r="AD237" s="66"/>
      <c r="AE237" s="41"/>
      <c r="AF237" s="42"/>
      <c r="AG237" s="43"/>
      <c r="AH237" s="41"/>
      <c r="AI237" s="42"/>
      <c r="AJ237" s="43"/>
      <c r="AK237" s="64"/>
      <c r="AL237" s="65"/>
      <c r="AM237" s="66"/>
      <c r="AN237" s="41"/>
      <c r="AO237" s="42"/>
      <c r="AP237" s="42"/>
      <c r="AQ237" s="41"/>
      <c r="AR237" s="42"/>
      <c r="AS237" s="42"/>
      <c r="AT237" s="64"/>
      <c r="AU237" s="65"/>
      <c r="AV237" s="66"/>
      <c r="AW237" s="41"/>
      <c r="AX237" s="42"/>
      <c r="AY237" s="43"/>
      <c r="AZ237" s="42"/>
      <c r="BA237" s="42"/>
      <c r="BB237" s="42"/>
      <c r="BC237" s="64"/>
      <c r="BD237" s="65"/>
      <c r="BE237" s="66"/>
      <c r="BF237" s="41"/>
      <c r="BG237" s="42"/>
      <c r="BH237" s="43"/>
      <c r="BI237" s="41"/>
      <c r="BJ237" s="42"/>
      <c r="BK237" s="43"/>
      <c r="BL237" s="42"/>
      <c r="BM237" s="42"/>
      <c r="BN237" s="43"/>
      <c r="BO237" s="42"/>
      <c r="BP237" s="42"/>
      <c r="BQ237" s="42"/>
      <c r="BR237" s="67"/>
      <c r="BS237" s="42"/>
      <c r="BT237" s="68"/>
      <c r="BU237" s="42"/>
      <c r="BV237" s="42"/>
      <c r="BW237" s="42"/>
      <c r="BX237" s="41"/>
      <c r="BY237" s="42"/>
      <c r="BZ237" s="43"/>
      <c r="CA237" s="41"/>
      <c r="CB237" s="42"/>
      <c r="CC237" s="43"/>
      <c r="CD237" s="41"/>
      <c r="CE237" s="42"/>
      <c r="CF237" s="42"/>
      <c r="CG237" s="41"/>
      <c r="CH237" s="42"/>
      <c r="CI237" s="43"/>
      <c r="CJ237" s="41"/>
      <c r="CK237" s="42"/>
      <c r="CL237" s="43"/>
      <c r="CM237" s="42"/>
      <c r="CN237" s="42"/>
      <c r="CO237" s="42"/>
      <c r="CP237" s="41"/>
      <c r="CQ237" s="42"/>
      <c r="CR237" s="43"/>
      <c r="CS237" s="42"/>
      <c r="CT237" s="42"/>
      <c r="CU237" s="42"/>
      <c r="CV237" s="41"/>
      <c r="CW237" s="42"/>
      <c r="CX237" s="43"/>
      <c r="CY237" s="41"/>
      <c r="CZ237" s="42"/>
      <c r="DA237" s="43"/>
      <c r="DB237" s="42"/>
      <c r="DC237" s="42"/>
      <c r="DD237" s="42"/>
      <c r="DE237" s="41"/>
      <c r="DF237" s="42"/>
      <c r="DG237" s="43"/>
      <c r="DH237" s="41"/>
      <c r="DI237" s="42"/>
      <c r="DJ237" s="43"/>
      <c r="DK237" s="41"/>
      <c r="DL237" s="42"/>
      <c r="DM237" s="43"/>
      <c r="DN237" s="41"/>
      <c r="DO237" s="42"/>
      <c r="DP237" s="43"/>
      <c r="DQ237" s="41"/>
      <c r="DR237" s="42"/>
      <c r="DS237" s="43"/>
      <c r="DT237" s="42"/>
      <c r="DU237" s="42"/>
      <c r="DV237" s="44"/>
      <c r="DX237" s="213"/>
      <c r="DY237" s="1"/>
      <c r="DZ237" s="1"/>
      <c r="EA237" s="1"/>
      <c r="EB237" s="1"/>
    </row>
    <row r="238" spans="4:132" s="6" customFormat="1" ht="9.9499999999999993" customHeight="1">
      <c r="E238" s="10"/>
      <c r="F238" s="143">
        <f t="shared" ref="F238" si="137">DX238</f>
        <v>5.7199999999999985E-3</v>
      </c>
      <c r="G238" s="144">
        <f>Q238-F238</f>
        <v>0</v>
      </c>
      <c r="H238" s="27">
        <v>1</v>
      </c>
      <c r="L238" s="257"/>
      <c r="M238" s="259" t="s">
        <v>172</v>
      </c>
      <c r="N238" s="261">
        <v>1</v>
      </c>
      <c r="O238" s="263" t="s">
        <v>98</v>
      </c>
      <c r="P238" s="249">
        <v>1191682</v>
      </c>
      <c r="Q238" s="183">
        <f>ROUND(P238/$P$256,5)</f>
        <v>5.7200000000000003E-3</v>
      </c>
      <c r="R238" s="21"/>
      <c r="S238" s="167">
        <v>1.2E-4</v>
      </c>
      <c r="T238" s="167"/>
      <c r="U238" s="165"/>
      <c r="V238" s="147">
        <v>1.2E-4</v>
      </c>
      <c r="W238" s="148"/>
      <c r="X238" s="149"/>
      <c r="Y238" s="147">
        <v>1.2E-4</v>
      </c>
      <c r="Z238" s="148"/>
      <c r="AA238" s="149"/>
      <c r="AB238" s="147">
        <v>1.2E-4</v>
      </c>
      <c r="AC238" s="148"/>
      <c r="AD238" s="149"/>
      <c r="AE238" s="147">
        <v>1.2E-4</v>
      </c>
      <c r="AF238" s="148"/>
      <c r="AG238" s="149"/>
      <c r="AH238" s="147">
        <v>1.2E-4</v>
      </c>
      <c r="AI238" s="148"/>
      <c r="AJ238" s="149"/>
      <c r="AK238" s="147">
        <v>1.2E-4</v>
      </c>
      <c r="AL238" s="148"/>
      <c r="AM238" s="149"/>
      <c r="AN238" s="147">
        <v>1.2E-4</v>
      </c>
      <c r="AO238" s="148"/>
      <c r="AP238" s="149"/>
      <c r="AQ238" s="147">
        <v>1.2E-4</v>
      </c>
      <c r="AR238" s="148"/>
      <c r="AS238" s="149"/>
      <c r="AT238" s="147">
        <v>1.2E-4</v>
      </c>
      <c r="AU238" s="148"/>
      <c r="AV238" s="149"/>
      <c r="AW238" s="147">
        <v>1.2E-4</v>
      </c>
      <c r="AX238" s="148"/>
      <c r="AY238" s="149"/>
      <c r="AZ238" s="147">
        <v>1.2E-4</v>
      </c>
      <c r="BA238" s="148"/>
      <c r="BB238" s="149"/>
      <c r="BC238" s="147">
        <v>1.2E-4</v>
      </c>
      <c r="BD238" s="148"/>
      <c r="BE238" s="149"/>
      <c r="BF238" s="147">
        <v>1.2E-4</v>
      </c>
      <c r="BG238" s="148"/>
      <c r="BH238" s="149"/>
      <c r="BI238" s="147">
        <v>1.2E-4</v>
      </c>
      <c r="BJ238" s="148"/>
      <c r="BK238" s="149"/>
      <c r="BL238" s="147">
        <v>1.2E-4</v>
      </c>
      <c r="BM238" s="148"/>
      <c r="BN238" s="149"/>
      <c r="BO238" s="147">
        <v>1.2E-4</v>
      </c>
      <c r="BP238" s="148"/>
      <c r="BQ238" s="352"/>
      <c r="BR238" s="353">
        <v>1.2E-4</v>
      </c>
      <c r="BS238" s="148"/>
      <c r="BT238" s="352"/>
      <c r="BU238" s="353">
        <v>1.2E-4</v>
      </c>
      <c r="BV238" s="148"/>
      <c r="BW238" s="149"/>
      <c r="BX238" s="165">
        <v>1.2E-4</v>
      </c>
      <c r="BY238" s="150"/>
      <c r="BZ238" s="150"/>
      <c r="CA238" s="165">
        <v>1.2E-4</v>
      </c>
      <c r="CB238" s="150"/>
      <c r="CC238" s="150"/>
      <c r="CD238" s="165">
        <v>1.2E-4</v>
      </c>
      <c r="CE238" s="150"/>
      <c r="CF238" s="150"/>
      <c r="CG238" s="165">
        <v>1.2E-4</v>
      </c>
      <c r="CH238" s="150"/>
      <c r="CI238" s="150"/>
      <c r="CJ238" s="165">
        <v>1.2E-4</v>
      </c>
      <c r="CK238" s="150"/>
      <c r="CL238" s="150"/>
      <c r="CM238" s="165">
        <v>1.2E-4</v>
      </c>
      <c r="CN238" s="150"/>
      <c r="CO238" s="150"/>
      <c r="CP238" s="165">
        <v>1.2E-4</v>
      </c>
      <c r="CQ238" s="150"/>
      <c r="CR238" s="150"/>
      <c r="CS238" s="165">
        <v>1.2E-4</v>
      </c>
      <c r="CT238" s="150"/>
      <c r="CU238" s="150"/>
      <c r="CV238" s="165">
        <v>1.2E-4</v>
      </c>
      <c r="CW238" s="150"/>
      <c r="CX238" s="150"/>
      <c r="CY238" s="165">
        <v>1.2E-4</v>
      </c>
      <c r="CZ238" s="150"/>
      <c r="DA238" s="150"/>
      <c r="DB238" s="165">
        <v>1.2E-4</v>
      </c>
      <c r="DC238" s="150"/>
      <c r="DD238" s="150"/>
      <c r="DE238" s="165">
        <v>1.2E-4</v>
      </c>
      <c r="DF238" s="150"/>
      <c r="DG238" s="150"/>
      <c r="DH238" s="165">
        <v>4.0999999999999999E-4</v>
      </c>
      <c r="DI238" s="150"/>
      <c r="DJ238" s="150"/>
      <c r="DK238" s="165">
        <v>4.0999999999999999E-4</v>
      </c>
      <c r="DL238" s="150"/>
      <c r="DM238" s="150"/>
      <c r="DN238" s="165">
        <v>4.0999999999999999E-4</v>
      </c>
      <c r="DO238" s="150"/>
      <c r="DP238" s="150"/>
      <c r="DQ238" s="165">
        <v>4.4999999999999999E-4</v>
      </c>
      <c r="DR238" s="150"/>
      <c r="DS238" s="150"/>
      <c r="DT238" s="150">
        <v>3.2000000000000003E-4</v>
      </c>
      <c r="DU238" s="150"/>
      <c r="DV238" s="198"/>
      <c r="DX238" s="213">
        <f>SUM(R238:DV238)</f>
        <v>5.7199999999999985E-3</v>
      </c>
      <c r="DY238" s="1"/>
      <c r="DZ238" s="1"/>
      <c r="EA238" s="1"/>
      <c r="EB238" s="1"/>
    </row>
    <row r="239" spans="4:132" s="6" customFormat="1" ht="6.95" customHeight="1" thickBot="1">
      <c r="F239" s="143"/>
      <c r="G239" s="144"/>
      <c r="H239" s="55">
        <v>2</v>
      </c>
      <c r="L239" s="258"/>
      <c r="M239" s="260"/>
      <c r="N239" s="262"/>
      <c r="O239" s="264"/>
      <c r="P239" s="250"/>
      <c r="Q239" s="184"/>
      <c r="R239" s="85"/>
      <c r="S239" s="64"/>
      <c r="T239" s="65"/>
      <c r="U239" s="66"/>
      <c r="V239" s="64"/>
      <c r="W239" s="65"/>
      <c r="X239" s="66"/>
      <c r="Y239" s="64"/>
      <c r="Z239" s="65"/>
      <c r="AA239" s="66"/>
      <c r="AB239" s="64"/>
      <c r="AC239" s="65"/>
      <c r="AD239" s="66"/>
      <c r="AE239" s="64"/>
      <c r="AF239" s="65"/>
      <c r="AG239" s="66"/>
      <c r="AH239" s="64"/>
      <c r="AI239" s="65"/>
      <c r="AJ239" s="66"/>
      <c r="AK239" s="64"/>
      <c r="AL239" s="65"/>
      <c r="AM239" s="66"/>
      <c r="AN239" s="64"/>
      <c r="AO239" s="65"/>
      <c r="AP239" s="66"/>
      <c r="AQ239" s="64"/>
      <c r="AR239" s="65"/>
      <c r="AS239" s="66"/>
      <c r="AT239" s="64"/>
      <c r="AU239" s="65"/>
      <c r="AV239" s="66"/>
      <c r="AW239" s="64"/>
      <c r="AX239" s="65"/>
      <c r="AY239" s="66"/>
      <c r="AZ239" s="64"/>
      <c r="BA239" s="65"/>
      <c r="BB239" s="66"/>
      <c r="BC239" s="64"/>
      <c r="BD239" s="65"/>
      <c r="BE239" s="66"/>
      <c r="BF239" s="64"/>
      <c r="BG239" s="65"/>
      <c r="BH239" s="66"/>
      <c r="BI239" s="64"/>
      <c r="BJ239" s="65"/>
      <c r="BK239" s="66"/>
      <c r="BL239" s="64"/>
      <c r="BM239" s="65"/>
      <c r="BN239" s="66"/>
      <c r="BO239" s="64"/>
      <c r="BP239" s="65"/>
      <c r="BQ239" s="66"/>
      <c r="BR239" s="64"/>
      <c r="BS239" s="65"/>
      <c r="BT239" s="66"/>
      <c r="BU239" s="64"/>
      <c r="BV239" s="65"/>
      <c r="BW239" s="66"/>
      <c r="BX239" s="64"/>
      <c r="BY239" s="65"/>
      <c r="BZ239" s="66"/>
      <c r="CA239" s="64"/>
      <c r="CB239" s="65"/>
      <c r="CC239" s="66"/>
      <c r="CD239" s="64"/>
      <c r="CE239" s="65"/>
      <c r="CF239" s="66"/>
      <c r="CG239" s="64"/>
      <c r="CH239" s="65"/>
      <c r="CI239" s="66"/>
      <c r="CJ239" s="64"/>
      <c r="CK239" s="65"/>
      <c r="CL239" s="66"/>
      <c r="CM239" s="64"/>
      <c r="CN239" s="65"/>
      <c r="CO239" s="66"/>
      <c r="CP239" s="64"/>
      <c r="CQ239" s="65"/>
      <c r="CR239" s="66"/>
      <c r="CS239" s="64"/>
      <c r="CT239" s="65"/>
      <c r="CU239" s="66"/>
      <c r="CV239" s="64"/>
      <c r="CW239" s="65"/>
      <c r="CX239" s="66"/>
      <c r="CY239" s="64"/>
      <c r="CZ239" s="65"/>
      <c r="DA239" s="66"/>
      <c r="DB239" s="64"/>
      <c r="DC239" s="65"/>
      <c r="DD239" s="66"/>
      <c r="DE239" s="64"/>
      <c r="DF239" s="65"/>
      <c r="DG239" s="66"/>
      <c r="DH239" s="64"/>
      <c r="DI239" s="65"/>
      <c r="DJ239" s="66"/>
      <c r="DK239" s="64"/>
      <c r="DL239" s="65"/>
      <c r="DM239" s="66"/>
      <c r="DN239" s="64"/>
      <c r="DO239" s="65"/>
      <c r="DP239" s="66"/>
      <c r="DQ239" s="64"/>
      <c r="DR239" s="65"/>
      <c r="DS239" s="66"/>
      <c r="DT239" s="64"/>
      <c r="DU239" s="65"/>
      <c r="DV239" s="94"/>
      <c r="DX239" s="213"/>
      <c r="DY239" s="1"/>
      <c r="DZ239" s="1"/>
      <c r="EA239" s="1"/>
      <c r="EB239" s="1"/>
    </row>
    <row r="240" spans="4:132" s="6" customFormat="1" ht="9.9499999999999993" customHeight="1">
      <c r="F240" s="143">
        <f t="shared" ref="F240" si="138">DX240</f>
        <v>5.3499999999999997E-3</v>
      </c>
      <c r="G240" s="144">
        <f>Q240-F240</f>
        <v>0</v>
      </c>
      <c r="H240" s="27">
        <v>1</v>
      </c>
      <c r="L240" s="224" t="s">
        <v>100</v>
      </c>
      <c r="M240" s="225"/>
      <c r="N240" s="225"/>
      <c r="O240" s="226"/>
      <c r="P240" s="187">
        <f>SUM(P242)</f>
        <v>1113010</v>
      </c>
      <c r="Q240" s="185">
        <f>ROUND(SUM(Q242:Q243),5)</f>
        <v>5.3499999999999997E-3</v>
      </c>
      <c r="R240" s="282">
        <f>ROUND(SUM(R242:R243),5)</f>
        <v>0</v>
      </c>
      <c r="S240" s="393">
        <f>ROUND(SUM(S242:U243),5)</f>
        <v>6.9999999999999999E-4</v>
      </c>
      <c r="T240" s="160"/>
      <c r="U240" s="161"/>
      <c r="V240" s="159">
        <f>ROUND(SUM(V242:X243),5)</f>
        <v>0</v>
      </c>
      <c r="W240" s="160"/>
      <c r="X240" s="161"/>
      <c r="Y240" s="159">
        <f t="shared" ref="Y240" si="139">ROUND(SUM(Y242:AA243),5)</f>
        <v>8.0999999999999996E-4</v>
      </c>
      <c r="Z240" s="160"/>
      <c r="AA240" s="161"/>
      <c r="AB240" s="159">
        <f t="shared" ref="AB240" si="140">ROUND(SUM(AB242:AD243),5)</f>
        <v>0</v>
      </c>
      <c r="AC240" s="160"/>
      <c r="AD240" s="161"/>
      <c r="AE240" s="159">
        <f t="shared" ref="AE240" si="141">ROUND(SUM(AE242:AG243),5)</f>
        <v>0</v>
      </c>
      <c r="AF240" s="160"/>
      <c r="AG240" s="161"/>
      <c r="AH240" s="159">
        <f t="shared" ref="AH240" si="142">ROUND(SUM(AH242:AJ243),5)</f>
        <v>8.9999999999999998E-4</v>
      </c>
      <c r="AI240" s="160"/>
      <c r="AJ240" s="161"/>
      <c r="AK240" s="159">
        <f t="shared" ref="AK240" si="143">ROUND(SUM(AK242:AM243),5)</f>
        <v>0</v>
      </c>
      <c r="AL240" s="160"/>
      <c r="AM240" s="161"/>
      <c r="AN240" s="159">
        <f t="shared" ref="AN240" si="144">ROUND(SUM(AN242:AP243),5)</f>
        <v>0</v>
      </c>
      <c r="AO240" s="160"/>
      <c r="AP240" s="161"/>
      <c r="AQ240" s="159">
        <f t="shared" ref="AQ240" si="145">ROUND(SUM(AQ242:AS243),5)</f>
        <v>8.0000000000000004E-4</v>
      </c>
      <c r="AR240" s="160"/>
      <c r="AS240" s="161"/>
      <c r="AT240" s="159">
        <f t="shared" ref="AT240" si="146">ROUND(SUM(AT242:AV243),5)</f>
        <v>0</v>
      </c>
      <c r="AU240" s="160"/>
      <c r="AV240" s="161"/>
      <c r="AW240" s="159">
        <f t="shared" ref="AW240" si="147">ROUND(SUM(AW242:AY243),5)</f>
        <v>0</v>
      </c>
      <c r="AX240" s="160"/>
      <c r="AY240" s="161"/>
      <c r="AZ240" s="159">
        <f t="shared" ref="AZ240" si="148">ROUND(SUM(AZ242:BB243),5)</f>
        <v>6.9999999999999999E-4</v>
      </c>
      <c r="BA240" s="160"/>
      <c r="BB240" s="161"/>
      <c r="BC240" s="159">
        <f t="shared" ref="BC240" si="149">ROUND(SUM(BC242:BE243),5)</f>
        <v>0</v>
      </c>
      <c r="BD240" s="160"/>
      <c r="BE240" s="161"/>
      <c r="BF240" s="159">
        <f t="shared" ref="BF240" si="150">ROUND(SUM(BF242:BH243),5)</f>
        <v>0</v>
      </c>
      <c r="BG240" s="160"/>
      <c r="BH240" s="161"/>
      <c r="BI240" s="159">
        <f t="shared" ref="BI240" si="151">ROUND(SUM(BI242:BK243),5)</f>
        <v>6.9999999999999999E-4</v>
      </c>
      <c r="BJ240" s="160"/>
      <c r="BK240" s="161"/>
      <c r="BL240" s="159">
        <f t="shared" ref="BL240" si="152">ROUND(SUM(BL242:BN243),5)</f>
        <v>0</v>
      </c>
      <c r="BM240" s="160"/>
      <c r="BN240" s="161"/>
      <c r="BO240" s="159">
        <f t="shared" ref="BO240" si="153">ROUND(SUM(BO242:BQ243),5)</f>
        <v>0</v>
      </c>
      <c r="BP240" s="160"/>
      <c r="BQ240" s="160"/>
      <c r="BR240" s="176">
        <f t="shared" ref="BR240" si="154">ROUND(SUM(BR242:BT243),5)</f>
        <v>0</v>
      </c>
      <c r="BS240" s="160"/>
      <c r="BT240" s="177"/>
      <c r="BU240" s="160">
        <f t="shared" ref="BU240" si="155">ROUND(SUM(BU242:BW243),5)</f>
        <v>0</v>
      </c>
      <c r="BV240" s="160"/>
      <c r="BW240" s="161"/>
      <c r="BX240" s="159">
        <f t="shared" ref="BX240" si="156">ROUND(SUM(BX242:BZ243),5)</f>
        <v>0</v>
      </c>
      <c r="BY240" s="160"/>
      <c r="BZ240" s="161"/>
      <c r="CA240" s="159">
        <f t="shared" ref="CA240" si="157">ROUND(SUM(CA242:CC243),5)</f>
        <v>0</v>
      </c>
      <c r="CB240" s="160"/>
      <c r="CC240" s="161"/>
      <c r="CD240" s="159">
        <f t="shared" ref="CD240" si="158">ROUND(SUM(CD242:CF243),5)</f>
        <v>0</v>
      </c>
      <c r="CE240" s="160"/>
      <c r="CF240" s="161"/>
      <c r="CG240" s="159">
        <f t="shared" ref="CG240" si="159">ROUND(SUM(CG242:CI243),5)</f>
        <v>0</v>
      </c>
      <c r="CH240" s="160"/>
      <c r="CI240" s="161"/>
      <c r="CJ240" s="159">
        <f t="shared" ref="CJ240" si="160">ROUND(SUM(CJ242:CL243),5)</f>
        <v>0</v>
      </c>
      <c r="CK240" s="160"/>
      <c r="CL240" s="161"/>
      <c r="CM240" s="159">
        <f t="shared" ref="CM240" si="161">ROUND(SUM(CM242:CO243),5)</f>
        <v>0</v>
      </c>
      <c r="CN240" s="160"/>
      <c r="CO240" s="161"/>
      <c r="CP240" s="159">
        <f t="shared" ref="CP240" si="162">ROUND(SUM(CP242:CR243),5)</f>
        <v>0</v>
      </c>
      <c r="CQ240" s="160"/>
      <c r="CR240" s="161"/>
      <c r="CS240" s="159">
        <f t="shared" ref="CS240" si="163">ROUND(SUM(CS242:CU243),5)</f>
        <v>0</v>
      </c>
      <c r="CT240" s="160"/>
      <c r="CU240" s="161"/>
      <c r="CV240" s="159">
        <f t="shared" ref="CV240" si="164">ROUND(SUM(CV242:CX243),5)</f>
        <v>0</v>
      </c>
      <c r="CW240" s="160"/>
      <c r="CX240" s="161"/>
      <c r="CY240" s="159">
        <f t="shared" ref="CY240" si="165">ROUND(SUM(CY242:DA243),5)</f>
        <v>0</v>
      </c>
      <c r="CZ240" s="160"/>
      <c r="DA240" s="161"/>
      <c r="DB240" s="159">
        <f t="shared" ref="DB240" si="166">ROUND(SUM(DB242:DD243),5)</f>
        <v>0</v>
      </c>
      <c r="DC240" s="160"/>
      <c r="DD240" s="161"/>
      <c r="DE240" s="159">
        <f t="shared" ref="DE240" si="167">ROUND(SUM(DE242:DG243),5)</f>
        <v>7.3999999999999999E-4</v>
      </c>
      <c r="DF240" s="160"/>
      <c r="DG240" s="161"/>
      <c r="DH240" s="159">
        <f t="shared" ref="DH240" si="168">ROUND(SUM(DH242:DJ243),5)</f>
        <v>0</v>
      </c>
      <c r="DI240" s="160"/>
      <c r="DJ240" s="161"/>
      <c r="DK240" s="159">
        <f t="shared" ref="DK240" si="169">ROUND(SUM(DK242:DM243),5)</f>
        <v>0</v>
      </c>
      <c r="DL240" s="160"/>
      <c r="DM240" s="161"/>
      <c r="DN240" s="159">
        <f t="shared" ref="DN240" si="170">ROUND(SUM(DN242:DP243),5)</f>
        <v>0</v>
      </c>
      <c r="DO240" s="160"/>
      <c r="DP240" s="161"/>
      <c r="DQ240" s="159">
        <f t="shared" ref="DQ240" si="171">ROUND(SUM(DQ242:DS243),5)</f>
        <v>0</v>
      </c>
      <c r="DR240" s="160"/>
      <c r="DS240" s="161"/>
      <c r="DT240" s="159">
        <f>ROUND(SUM(DT242:DV243),5)</f>
        <v>0</v>
      </c>
      <c r="DU240" s="160"/>
      <c r="DV240" s="170"/>
      <c r="DX240" s="145">
        <f>SUM(R240:DV240)</f>
        <v>5.3499999999999997E-3</v>
      </c>
      <c r="DY240" s="145">
        <f>SUM(DX242)</f>
        <v>5.3499999999999997E-3</v>
      </c>
      <c r="DZ240" s="1"/>
      <c r="EA240" s="1"/>
      <c r="EB240" s="1"/>
    </row>
    <row r="241" spans="5:134" s="6" customFormat="1" ht="9.9499999999999993" customHeight="1">
      <c r="F241" s="143"/>
      <c r="G241" s="144"/>
      <c r="H241" s="55">
        <v>2</v>
      </c>
      <c r="L241" s="227"/>
      <c r="M241" s="228"/>
      <c r="N241" s="228"/>
      <c r="O241" s="229"/>
      <c r="P241" s="188"/>
      <c r="Q241" s="364"/>
      <c r="R241" s="342"/>
      <c r="S241" s="394"/>
      <c r="T241" s="220"/>
      <c r="U241" s="221"/>
      <c r="V241" s="219"/>
      <c r="W241" s="220"/>
      <c r="X241" s="221"/>
      <c r="Y241" s="219"/>
      <c r="Z241" s="220"/>
      <c r="AA241" s="221"/>
      <c r="AB241" s="219"/>
      <c r="AC241" s="220"/>
      <c r="AD241" s="221"/>
      <c r="AE241" s="219"/>
      <c r="AF241" s="220"/>
      <c r="AG241" s="221"/>
      <c r="AH241" s="219"/>
      <c r="AI241" s="220"/>
      <c r="AJ241" s="221"/>
      <c r="AK241" s="219"/>
      <c r="AL241" s="220"/>
      <c r="AM241" s="221"/>
      <c r="AN241" s="219"/>
      <c r="AO241" s="220"/>
      <c r="AP241" s="221"/>
      <c r="AQ241" s="219"/>
      <c r="AR241" s="220"/>
      <c r="AS241" s="221"/>
      <c r="AT241" s="219"/>
      <c r="AU241" s="220"/>
      <c r="AV241" s="221"/>
      <c r="AW241" s="219"/>
      <c r="AX241" s="220"/>
      <c r="AY241" s="221"/>
      <c r="AZ241" s="219"/>
      <c r="BA241" s="220"/>
      <c r="BB241" s="221"/>
      <c r="BC241" s="219"/>
      <c r="BD241" s="220"/>
      <c r="BE241" s="221"/>
      <c r="BF241" s="219"/>
      <c r="BG241" s="220"/>
      <c r="BH241" s="221"/>
      <c r="BI241" s="219"/>
      <c r="BJ241" s="220"/>
      <c r="BK241" s="221"/>
      <c r="BL241" s="219"/>
      <c r="BM241" s="220"/>
      <c r="BN241" s="221"/>
      <c r="BO241" s="219"/>
      <c r="BP241" s="220"/>
      <c r="BQ241" s="220"/>
      <c r="BR241" s="386"/>
      <c r="BS241" s="220"/>
      <c r="BT241" s="387"/>
      <c r="BU241" s="220"/>
      <c r="BV241" s="220"/>
      <c r="BW241" s="221"/>
      <c r="BX241" s="219"/>
      <c r="BY241" s="220"/>
      <c r="BZ241" s="221"/>
      <c r="CA241" s="219"/>
      <c r="CB241" s="220"/>
      <c r="CC241" s="221"/>
      <c r="CD241" s="219"/>
      <c r="CE241" s="220"/>
      <c r="CF241" s="221"/>
      <c r="CG241" s="219"/>
      <c r="CH241" s="220"/>
      <c r="CI241" s="221"/>
      <c r="CJ241" s="219"/>
      <c r="CK241" s="220"/>
      <c r="CL241" s="221"/>
      <c r="CM241" s="219"/>
      <c r="CN241" s="220"/>
      <c r="CO241" s="221"/>
      <c r="CP241" s="219"/>
      <c r="CQ241" s="220"/>
      <c r="CR241" s="221"/>
      <c r="CS241" s="219"/>
      <c r="CT241" s="220"/>
      <c r="CU241" s="221"/>
      <c r="CV241" s="219"/>
      <c r="CW241" s="220"/>
      <c r="CX241" s="221"/>
      <c r="CY241" s="219"/>
      <c r="CZ241" s="220"/>
      <c r="DA241" s="221"/>
      <c r="DB241" s="219"/>
      <c r="DC241" s="220"/>
      <c r="DD241" s="221"/>
      <c r="DE241" s="219"/>
      <c r="DF241" s="220"/>
      <c r="DG241" s="221"/>
      <c r="DH241" s="219"/>
      <c r="DI241" s="220"/>
      <c r="DJ241" s="221"/>
      <c r="DK241" s="219"/>
      <c r="DL241" s="220"/>
      <c r="DM241" s="221"/>
      <c r="DN241" s="219"/>
      <c r="DO241" s="220"/>
      <c r="DP241" s="221"/>
      <c r="DQ241" s="219"/>
      <c r="DR241" s="220"/>
      <c r="DS241" s="221"/>
      <c r="DT241" s="219"/>
      <c r="DU241" s="220"/>
      <c r="DV241" s="368"/>
      <c r="DX241" s="145"/>
      <c r="DY241" s="145"/>
      <c r="DZ241" s="1"/>
      <c r="EA241" s="1"/>
      <c r="EB241" s="1"/>
    </row>
    <row r="242" spans="5:134" s="6" customFormat="1" ht="9.9499999999999993" customHeight="1">
      <c r="F242" s="143">
        <f t="shared" ref="F242" si="172">DX242</f>
        <v>5.3499999999999997E-3</v>
      </c>
      <c r="G242" s="144">
        <f>Q242-F242</f>
        <v>0</v>
      </c>
      <c r="H242" s="27">
        <v>1</v>
      </c>
      <c r="L242" s="271"/>
      <c r="M242" s="231" t="s">
        <v>101</v>
      </c>
      <c r="N242" s="302">
        <v>1</v>
      </c>
      <c r="O242" s="297" t="s">
        <v>102</v>
      </c>
      <c r="P242" s="245">
        <v>1113010</v>
      </c>
      <c r="Q242" s="347">
        <f>ROUND(P242/$P$256,5)</f>
        <v>5.3499999999999997E-3</v>
      </c>
      <c r="R242" s="21"/>
      <c r="S242" s="148">
        <v>6.9999999999999999E-4</v>
      </c>
      <c r="T242" s="148"/>
      <c r="U242" s="148"/>
      <c r="V242" s="146"/>
      <c r="W242" s="146"/>
      <c r="X242" s="146"/>
      <c r="Y242" s="146">
        <v>8.0999999999999996E-4</v>
      </c>
      <c r="Z242" s="146"/>
      <c r="AA242" s="146"/>
      <c r="AB242" s="56"/>
      <c r="AC242" s="57"/>
      <c r="AD242" s="58"/>
      <c r="AE242" s="57"/>
      <c r="AF242" s="57"/>
      <c r="AG242" s="57"/>
      <c r="AH242" s="146">
        <v>8.9999999999999998E-4</v>
      </c>
      <c r="AI242" s="146"/>
      <c r="AJ242" s="146"/>
      <c r="AK242" s="57"/>
      <c r="AL242" s="57"/>
      <c r="AM242" s="57"/>
      <c r="AN242" s="56"/>
      <c r="AO242" s="57"/>
      <c r="AP242" s="58"/>
      <c r="AQ242" s="146">
        <v>8.0000000000000004E-4</v>
      </c>
      <c r="AR242" s="146"/>
      <c r="AS242" s="146"/>
      <c r="AT242" s="56"/>
      <c r="AU242" s="57"/>
      <c r="AV242" s="58"/>
      <c r="AW242" s="57"/>
      <c r="AX242" s="57"/>
      <c r="AY242" s="57"/>
      <c r="AZ242" s="146">
        <v>6.9999999999999999E-4</v>
      </c>
      <c r="BA242" s="146"/>
      <c r="BB242" s="146"/>
      <c r="BC242" s="57"/>
      <c r="BD242" s="57"/>
      <c r="BE242" s="57"/>
      <c r="BF242" s="56"/>
      <c r="BG242" s="57"/>
      <c r="BH242" s="58"/>
      <c r="BI242" s="146">
        <v>6.9999999999999999E-4</v>
      </c>
      <c r="BJ242" s="146"/>
      <c r="BK242" s="146"/>
      <c r="BL242" s="56"/>
      <c r="BM242" s="57"/>
      <c r="BN242" s="58"/>
      <c r="BO242" s="57"/>
      <c r="BP242" s="57"/>
      <c r="BQ242" s="57"/>
      <c r="BR242" s="60"/>
      <c r="BS242" s="57"/>
      <c r="BT242" s="61"/>
      <c r="BU242" s="57"/>
      <c r="BV242" s="57"/>
      <c r="BW242" s="57"/>
      <c r="BX242" s="56"/>
      <c r="BY242" s="57"/>
      <c r="BZ242" s="58"/>
      <c r="CA242" s="56"/>
      <c r="CB242" s="57"/>
      <c r="CC242" s="58"/>
      <c r="CD242" s="56"/>
      <c r="CE242" s="57"/>
      <c r="CF242" s="58"/>
      <c r="CG242" s="56"/>
      <c r="CH242" s="57"/>
      <c r="CI242" s="58"/>
      <c r="CJ242" s="56"/>
      <c r="CK242" s="57"/>
      <c r="CL242" s="58"/>
      <c r="CM242" s="57"/>
      <c r="CN242" s="57"/>
      <c r="CO242" s="57"/>
      <c r="CP242" s="56"/>
      <c r="CQ242" s="57"/>
      <c r="CR242" s="58"/>
      <c r="CS242" s="57"/>
      <c r="CT242" s="57"/>
      <c r="CU242" s="57"/>
      <c r="CV242" s="56"/>
      <c r="CW242" s="57"/>
      <c r="CX242" s="58"/>
      <c r="CY242" s="56"/>
      <c r="CZ242" s="57"/>
      <c r="DA242" s="58"/>
      <c r="DB242" s="146"/>
      <c r="DC242" s="146"/>
      <c r="DD242" s="146"/>
      <c r="DE242" s="146">
        <v>7.3999999999999999E-4</v>
      </c>
      <c r="DF242" s="146"/>
      <c r="DG242" s="146"/>
      <c r="DH242" s="146"/>
      <c r="DI242" s="146"/>
      <c r="DJ242" s="146"/>
      <c r="DK242" s="146"/>
      <c r="DL242" s="146"/>
      <c r="DM242" s="146"/>
      <c r="DN242" s="146"/>
      <c r="DO242" s="146"/>
      <c r="DP242" s="146"/>
      <c r="DQ242" s="146"/>
      <c r="DR242" s="146"/>
      <c r="DS242" s="146"/>
      <c r="DT242" s="57"/>
      <c r="DU242" s="57"/>
      <c r="DV242" s="62"/>
      <c r="DX242" s="213">
        <f>SUM(R242:DV242)</f>
        <v>5.3499999999999997E-3</v>
      </c>
      <c r="DY242" s="1"/>
      <c r="DZ242" s="1"/>
      <c r="EA242" s="1"/>
      <c r="EB242" s="1"/>
    </row>
    <row r="243" spans="5:134" s="6" customFormat="1" ht="6.95" customHeight="1" thickBot="1">
      <c r="F243" s="143"/>
      <c r="G243" s="144"/>
      <c r="H243" s="55">
        <v>2</v>
      </c>
      <c r="L243" s="252"/>
      <c r="M243" s="308"/>
      <c r="N243" s="319"/>
      <c r="O243" s="298"/>
      <c r="P243" s="250"/>
      <c r="Q243" s="348"/>
      <c r="R243" s="85"/>
      <c r="S243" s="86"/>
      <c r="T243" s="86"/>
      <c r="U243" s="86"/>
      <c r="V243" s="87"/>
      <c r="W243" s="86"/>
      <c r="X243" s="88"/>
      <c r="Y243" s="87"/>
      <c r="Z243" s="86"/>
      <c r="AA243" s="88"/>
      <c r="AB243" s="87"/>
      <c r="AC243" s="86"/>
      <c r="AD243" s="88"/>
      <c r="AE243" s="86"/>
      <c r="AF243" s="86"/>
      <c r="AG243" s="86"/>
      <c r="AH243" s="87"/>
      <c r="AI243" s="86"/>
      <c r="AJ243" s="88"/>
      <c r="AK243" s="86"/>
      <c r="AL243" s="86"/>
      <c r="AM243" s="86"/>
      <c r="AN243" s="87"/>
      <c r="AO243" s="86"/>
      <c r="AP243" s="88"/>
      <c r="AQ243" s="87"/>
      <c r="AR243" s="86"/>
      <c r="AS243" s="88"/>
      <c r="AT243" s="87"/>
      <c r="AU243" s="86"/>
      <c r="AV243" s="88"/>
      <c r="AW243" s="86"/>
      <c r="AX243" s="86"/>
      <c r="AY243" s="86"/>
      <c r="AZ243" s="87"/>
      <c r="BA243" s="86"/>
      <c r="BB243" s="88"/>
      <c r="BC243" s="86"/>
      <c r="BD243" s="86"/>
      <c r="BE243" s="86"/>
      <c r="BF243" s="87"/>
      <c r="BG243" s="86"/>
      <c r="BH243" s="88"/>
      <c r="BI243" s="87"/>
      <c r="BJ243" s="86"/>
      <c r="BK243" s="88"/>
      <c r="BL243" s="87"/>
      <c r="BM243" s="86"/>
      <c r="BN243" s="88"/>
      <c r="BO243" s="86"/>
      <c r="BP243" s="86"/>
      <c r="BQ243" s="86"/>
      <c r="BR243" s="89"/>
      <c r="BS243" s="86"/>
      <c r="BT243" s="90"/>
      <c r="BU243" s="86"/>
      <c r="BV243" s="86"/>
      <c r="BW243" s="86"/>
      <c r="BX243" s="87"/>
      <c r="BY243" s="86"/>
      <c r="BZ243" s="88"/>
      <c r="CA243" s="87"/>
      <c r="CB243" s="86"/>
      <c r="CC243" s="88"/>
      <c r="CD243" s="87"/>
      <c r="CE243" s="86"/>
      <c r="CF243" s="88"/>
      <c r="CG243" s="87"/>
      <c r="CH243" s="86"/>
      <c r="CI243" s="88"/>
      <c r="CJ243" s="87"/>
      <c r="CK243" s="86"/>
      <c r="CL243" s="88"/>
      <c r="CM243" s="86"/>
      <c r="CN243" s="86"/>
      <c r="CO243" s="86"/>
      <c r="CP243" s="87"/>
      <c r="CQ243" s="86"/>
      <c r="CR243" s="88"/>
      <c r="CS243" s="86"/>
      <c r="CT243" s="86"/>
      <c r="CU243" s="86"/>
      <c r="CV243" s="87"/>
      <c r="CW243" s="86"/>
      <c r="CX243" s="88"/>
      <c r="CY243" s="87"/>
      <c r="CZ243" s="86"/>
      <c r="DA243" s="88"/>
      <c r="DB243" s="87"/>
      <c r="DC243" s="86"/>
      <c r="DD243" s="88"/>
      <c r="DE243" s="64"/>
      <c r="DF243" s="65"/>
      <c r="DG243" s="66"/>
      <c r="DH243" s="87"/>
      <c r="DI243" s="86"/>
      <c r="DJ243" s="88"/>
      <c r="DK243" s="87"/>
      <c r="DL243" s="86"/>
      <c r="DM243" s="88"/>
      <c r="DN243" s="87"/>
      <c r="DO243" s="86"/>
      <c r="DP243" s="88"/>
      <c r="DQ243" s="87"/>
      <c r="DR243" s="86"/>
      <c r="DS243" s="88"/>
      <c r="DT243" s="86"/>
      <c r="DU243" s="86"/>
      <c r="DV243" s="91"/>
      <c r="DX243" s="213"/>
      <c r="DY243" s="1"/>
      <c r="DZ243" s="1"/>
      <c r="EA243" s="1"/>
      <c r="EB243" s="1"/>
    </row>
    <row r="244" spans="5:134" s="6" customFormat="1" ht="9.9499999999999993" customHeight="1">
      <c r="E244" s="119"/>
      <c r="F244" s="141">
        <f t="shared" ref="F244" si="173">DX244</f>
        <v>0.24457000000000001</v>
      </c>
      <c r="G244" s="142">
        <f>Q244-F244</f>
        <v>-1.0000000000010001E-5</v>
      </c>
      <c r="H244" s="27">
        <v>1</v>
      </c>
      <c r="I244" s="119"/>
      <c r="J244" s="119"/>
      <c r="L244" s="224" t="s">
        <v>282</v>
      </c>
      <c r="M244" s="225"/>
      <c r="N244" s="225"/>
      <c r="O244" s="226"/>
      <c r="P244" s="187">
        <f>SUM(P246:P251)</f>
        <v>50916191</v>
      </c>
      <c r="Q244" s="185">
        <f>ROUND(SUM(Q246:Q251),5)</f>
        <v>0.24456</v>
      </c>
      <c r="R244" s="282">
        <f>ROUND(SUM(R246:R251),5)</f>
        <v>0</v>
      </c>
      <c r="S244" s="160">
        <f>ROUND(SUM(S246:U251),5)</f>
        <v>9.3999999999999997E-4</v>
      </c>
      <c r="T244" s="160"/>
      <c r="U244" s="161"/>
      <c r="V244" s="159">
        <f>ROUND(SUM(V246:X251),5)</f>
        <v>8.5999999999999998E-4</v>
      </c>
      <c r="W244" s="160"/>
      <c r="X244" s="161"/>
      <c r="Y244" s="159">
        <f>ROUND(SUM(Y246:AA251),5)</f>
        <v>1.2099999999999999E-3</v>
      </c>
      <c r="Z244" s="160"/>
      <c r="AA244" s="161"/>
      <c r="AB244" s="159">
        <f>ROUND(SUM(AB246:AD251),5)</f>
        <v>1.1000000000000001E-3</v>
      </c>
      <c r="AC244" s="160"/>
      <c r="AD244" s="161"/>
      <c r="AE244" s="159">
        <f>ROUND(SUM(AE246:AG251),5)</f>
        <v>1.5E-3</v>
      </c>
      <c r="AF244" s="160"/>
      <c r="AG244" s="161"/>
      <c r="AH244" s="159">
        <f>ROUND(SUM(AH246:AJ251),5)</f>
        <v>2.5100000000000001E-3</v>
      </c>
      <c r="AI244" s="160"/>
      <c r="AJ244" s="161"/>
      <c r="AK244" s="159">
        <f>ROUND(SUM(AK246:AM251),5)</f>
        <v>1.8600000000000001E-3</v>
      </c>
      <c r="AL244" s="160"/>
      <c r="AM244" s="161"/>
      <c r="AN244" s="159">
        <f>ROUND(SUM(AN246:AP251),5)</f>
        <v>2.5999999999999999E-3</v>
      </c>
      <c r="AO244" s="160"/>
      <c r="AP244" s="161"/>
      <c r="AQ244" s="159">
        <f>ROUND(SUM(AQ246:AS251),5)</f>
        <v>3.2299999999999998E-3</v>
      </c>
      <c r="AR244" s="160"/>
      <c r="AS244" s="161"/>
      <c r="AT244" s="159">
        <f>ROUND(SUM(AT246:AV251),5)</f>
        <v>1.477E-2</v>
      </c>
      <c r="AU244" s="160"/>
      <c r="AV244" s="161"/>
      <c r="AW244" s="159">
        <f>ROUND(SUM(AW246:AY251),5)</f>
        <v>1.4880000000000001E-2</v>
      </c>
      <c r="AX244" s="160"/>
      <c r="AY244" s="161"/>
      <c r="AZ244" s="159">
        <f>ROUND(SUM(AZ246:BB251),5)</f>
        <v>1.4710000000000001E-2</v>
      </c>
      <c r="BA244" s="160"/>
      <c r="BB244" s="161"/>
      <c r="BC244" s="159">
        <f>ROUND(SUM(BC246:BE251),5)</f>
        <v>1.278E-2</v>
      </c>
      <c r="BD244" s="160"/>
      <c r="BE244" s="161"/>
      <c r="BF244" s="159">
        <f>ROUND(SUM(BF246:BH251),5)</f>
        <v>1.2999999999999999E-2</v>
      </c>
      <c r="BG244" s="160"/>
      <c r="BH244" s="161"/>
      <c r="BI244" s="159">
        <f>ROUND(SUM(BI246:BK251),5)</f>
        <v>1.2880000000000001E-2</v>
      </c>
      <c r="BJ244" s="160"/>
      <c r="BK244" s="161"/>
      <c r="BL244" s="159">
        <f>ROUND(SUM(BL246:BN251),5)</f>
        <v>1.187E-2</v>
      </c>
      <c r="BM244" s="160"/>
      <c r="BN244" s="161"/>
      <c r="BO244" s="159">
        <f>ROUND(SUM(BO246:BQ251),5)</f>
        <v>1.209E-2</v>
      </c>
      <c r="BP244" s="160"/>
      <c r="BQ244" s="160"/>
      <c r="BR244" s="176">
        <f>ROUND(SUM(BR246:BT251),5)</f>
        <v>1.2149999999999999E-2</v>
      </c>
      <c r="BS244" s="160"/>
      <c r="BT244" s="177"/>
      <c r="BU244" s="160">
        <f>ROUND(SUM(BU246:BW251),5)</f>
        <v>1.107E-2</v>
      </c>
      <c r="BV244" s="160"/>
      <c r="BW244" s="161"/>
      <c r="BX244" s="159">
        <f>ROUND(SUM(BX246:BZ251),5)</f>
        <v>1.1299999999999999E-2</v>
      </c>
      <c r="BY244" s="160"/>
      <c r="BZ244" s="161"/>
      <c r="CA244" s="159">
        <f>ROUND(SUM(CA246:CC251),5)</f>
        <v>9.6500000000000006E-3</v>
      </c>
      <c r="CB244" s="160"/>
      <c r="CC244" s="161"/>
      <c r="CD244" s="159">
        <f>ROUND(SUM(CD246:CF251),5)</f>
        <v>9.8700000000000003E-3</v>
      </c>
      <c r="CE244" s="160"/>
      <c r="CF244" s="161"/>
      <c r="CG244" s="159">
        <f>ROUND(SUM(CG246:CI251),5)</f>
        <v>9.6799999999999994E-3</v>
      </c>
      <c r="CH244" s="160"/>
      <c r="CI244" s="161"/>
      <c r="CJ244" s="159">
        <f>ROUND(SUM(CJ246:CL251),5)</f>
        <v>7.92E-3</v>
      </c>
      <c r="CK244" s="160"/>
      <c r="CL244" s="161"/>
      <c r="CM244" s="159">
        <f>ROUND(SUM(CM246:CO251),5)</f>
        <v>7.28E-3</v>
      </c>
      <c r="CN244" s="160"/>
      <c r="CO244" s="161"/>
      <c r="CP244" s="159">
        <f>ROUND(SUM(CP246:CR251),5)</f>
        <v>5.7000000000000002E-3</v>
      </c>
      <c r="CQ244" s="160"/>
      <c r="CR244" s="161"/>
      <c r="CS244" s="159">
        <f>ROUND(SUM(CS246:CU251),5)</f>
        <v>6.0800000000000003E-3</v>
      </c>
      <c r="CT244" s="160"/>
      <c r="CU244" s="161"/>
      <c r="CV244" s="159">
        <f>ROUND(SUM(CV246:CX251),5)</f>
        <v>6.0499999999999998E-3</v>
      </c>
      <c r="CW244" s="160"/>
      <c r="CX244" s="161"/>
      <c r="CY244" s="159">
        <f>ROUND(SUM(CY246:DA251),5)</f>
        <v>4.1099999999999999E-3</v>
      </c>
      <c r="CZ244" s="160"/>
      <c r="DA244" s="161"/>
      <c r="DB244" s="159">
        <f>ROUND(SUM(DB246:DD251),5)</f>
        <v>3.3999999999999998E-3</v>
      </c>
      <c r="DC244" s="160"/>
      <c r="DD244" s="161"/>
      <c r="DE244" s="159">
        <f>ROUND(SUM(DE246:DG251),5)</f>
        <v>4.45E-3</v>
      </c>
      <c r="DF244" s="160"/>
      <c r="DG244" s="161"/>
      <c r="DH244" s="159">
        <f>ROUND(SUM(DH246:DJ251),5)</f>
        <v>4.0400000000000002E-3</v>
      </c>
      <c r="DI244" s="160"/>
      <c r="DJ244" s="161"/>
      <c r="DK244" s="159">
        <f>ROUND(SUM(DK246:DM251),5)</f>
        <v>4.6699999999999997E-3</v>
      </c>
      <c r="DL244" s="160"/>
      <c r="DM244" s="161"/>
      <c r="DN244" s="159">
        <f>ROUND(SUM(DN246:DP251),5)</f>
        <v>3.4399999999999999E-3</v>
      </c>
      <c r="DO244" s="160"/>
      <c r="DP244" s="161"/>
      <c r="DQ244" s="159">
        <f>ROUND(SUM(DQ246:DS251),5)</f>
        <v>3.4000000000000002E-4</v>
      </c>
      <c r="DR244" s="160"/>
      <c r="DS244" s="161"/>
      <c r="DT244" s="399">
        <f>ROUND(SUM(DT246:DV251),5)</f>
        <v>5.8E-4</v>
      </c>
      <c r="DU244" s="358"/>
      <c r="DV244" s="400"/>
      <c r="DX244" s="145">
        <f>SUM(R244:DV244)</f>
        <v>0.24457000000000001</v>
      </c>
      <c r="DY244" s="145">
        <f>SUM(DX246:DX251)</f>
        <v>0.24456725896642298</v>
      </c>
      <c r="DZ244" s="1"/>
      <c r="EA244" s="1"/>
      <c r="EB244" s="1"/>
    </row>
    <row r="245" spans="5:134" s="6" customFormat="1" ht="9.9499999999999993" customHeight="1">
      <c r="F245" s="141"/>
      <c r="G245" s="142"/>
      <c r="H245" s="55">
        <v>2</v>
      </c>
      <c r="L245" s="227"/>
      <c r="M245" s="228"/>
      <c r="N245" s="228"/>
      <c r="O245" s="229"/>
      <c r="P245" s="188"/>
      <c r="Q245" s="186"/>
      <c r="R245" s="342"/>
      <c r="S245" s="163"/>
      <c r="T245" s="163"/>
      <c r="U245" s="164"/>
      <c r="V245" s="162"/>
      <c r="W245" s="163"/>
      <c r="X245" s="164"/>
      <c r="Y245" s="162"/>
      <c r="Z245" s="163"/>
      <c r="AA245" s="164"/>
      <c r="AB245" s="162"/>
      <c r="AC245" s="163"/>
      <c r="AD245" s="164"/>
      <c r="AE245" s="162"/>
      <c r="AF245" s="163"/>
      <c r="AG245" s="164"/>
      <c r="AH245" s="162"/>
      <c r="AI245" s="163"/>
      <c r="AJ245" s="164"/>
      <c r="AK245" s="162"/>
      <c r="AL245" s="163"/>
      <c r="AM245" s="164"/>
      <c r="AN245" s="162"/>
      <c r="AO245" s="163"/>
      <c r="AP245" s="164"/>
      <c r="AQ245" s="162"/>
      <c r="AR245" s="163"/>
      <c r="AS245" s="164"/>
      <c r="AT245" s="162"/>
      <c r="AU245" s="163"/>
      <c r="AV245" s="164"/>
      <c r="AW245" s="162"/>
      <c r="AX245" s="163"/>
      <c r="AY245" s="164"/>
      <c r="AZ245" s="162"/>
      <c r="BA245" s="163"/>
      <c r="BB245" s="164"/>
      <c r="BC245" s="162"/>
      <c r="BD245" s="163"/>
      <c r="BE245" s="164"/>
      <c r="BF245" s="162"/>
      <c r="BG245" s="163"/>
      <c r="BH245" s="164"/>
      <c r="BI245" s="162"/>
      <c r="BJ245" s="163"/>
      <c r="BK245" s="164"/>
      <c r="BL245" s="162"/>
      <c r="BM245" s="163"/>
      <c r="BN245" s="164"/>
      <c r="BO245" s="162"/>
      <c r="BP245" s="163"/>
      <c r="BQ245" s="163"/>
      <c r="BR245" s="178"/>
      <c r="BS245" s="163"/>
      <c r="BT245" s="179"/>
      <c r="BU245" s="163"/>
      <c r="BV245" s="163"/>
      <c r="BW245" s="164"/>
      <c r="BX245" s="162"/>
      <c r="BY245" s="163"/>
      <c r="BZ245" s="164"/>
      <c r="CA245" s="162"/>
      <c r="CB245" s="163"/>
      <c r="CC245" s="164"/>
      <c r="CD245" s="162"/>
      <c r="CE245" s="163"/>
      <c r="CF245" s="164"/>
      <c r="CG245" s="162"/>
      <c r="CH245" s="163"/>
      <c r="CI245" s="164"/>
      <c r="CJ245" s="162"/>
      <c r="CK245" s="163"/>
      <c r="CL245" s="164"/>
      <c r="CM245" s="162"/>
      <c r="CN245" s="163"/>
      <c r="CO245" s="164"/>
      <c r="CP245" s="162"/>
      <c r="CQ245" s="163"/>
      <c r="CR245" s="164"/>
      <c r="CS245" s="162"/>
      <c r="CT245" s="163"/>
      <c r="CU245" s="164"/>
      <c r="CV245" s="162"/>
      <c r="CW245" s="163"/>
      <c r="CX245" s="164"/>
      <c r="CY245" s="162"/>
      <c r="CZ245" s="163"/>
      <c r="DA245" s="164"/>
      <c r="DB245" s="162"/>
      <c r="DC245" s="163"/>
      <c r="DD245" s="164"/>
      <c r="DE245" s="162"/>
      <c r="DF245" s="163"/>
      <c r="DG245" s="164"/>
      <c r="DH245" s="162"/>
      <c r="DI245" s="163"/>
      <c r="DJ245" s="164"/>
      <c r="DK245" s="162"/>
      <c r="DL245" s="163"/>
      <c r="DM245" s="164"/>
      <c r="DN245" s="162"/>
      <c r="DO245" s="163"/>
      <c r="DP245" s="164"/>
      <c r="DQ245" s="162"/>
      <c r="DR245" s="163"/>
      <c r="DS245" s="164"/>
      <c r="DT245" s="401"/>
      <c r="DU245" s="360"/>
      <c r="DV245" s="402"/>
      <c r="DX245" s="145"/>
      <c r="DY245" s="145"/>
      <c r="DZ245" s="1"/>
      <c r="EA245" s="1"/>
      <c r="EB245" s="1"/>
    </row>
    <row r="246" spans="5:134" s="6" customFormat="1" ht="9.9499999999999993" customHeight="1">
      <c r="F246" s="143">
        <f t="shared" ref="F246" si="174">DX246</f>
        <v>2.1800000000000005E-3</v>
      </c>
      <c r="G246" s="144">
        <f>Q246-F246</f>
        <v>0</v>
      </c>
      <c r="H246" s="27">
        <v>1</v>
      </c>
      <c r="L246" s="343" t="s">
        <v>22</v>
      </c>
      <c r="M246" s="344"/>
      <c r="N246" s="284">
        <v>1</v>
      </c>
      <c r="O246" s="269" t="s">
        <v>24</v>
      </c>
      <c r="P246" s="245">
        <v>453609</v>
      </c>
      <c r="Q246" s="183">
        <f>ROUND(P246/$P$256,5)</f>
        <v>2.1800000000000001E-3</v>
      </c>
      <c r="R246" s="79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>
        <v>1.2E-4</v>
      </c>
      <c r="BM246" s="146"/>
      <c r="BN246" s="146"/>
      <c r="BO246" s="146">
        <v>1.9000000000000001E-4</v>
      </c>
      <c r="BP246" s="146"/>
      <c r="BQ246" s="147"/>
      <c r="BR246" s="168">
        <v>1.9000000000000001E-4</v>
      </c>
      <c r="BS246" s="146"/>
      <c r="BT246" s="169"/>
      <c r="BU246" s="149">
        <v>1.9000000000000001E-4</v>
      </c>
      <c r="BV246" s="146"/>
      <c r="BW246" s="146"/>
      <c r="BX246" s="146">
        <v>1.9000000000000001E-4</v>
      </c>
      <c r="BY246" s="146"/>
      <c r="BZ246" s="146"/>
      <c r="CA246" s="146">
        <v>1.9000000000000001E-4</v>
      </c>
      <c r="CB246" s="146"/>
      <c r="CC246" s="146"/>
      <c r="CD246" s="146">
        <v>1.9000000000000001E-4</v>
      </c>
      <c r="CE246" s="146"/>
      <c r="CF246" s="146"/>
      <c r="CG246" s="146">
        <v>1.9000000000000001E-4</v>
      </c>
      <c r="CH246" s="146"/>
      <c r="CI246" s="146"/>
      <c r="CJ246" s="146">
        <v>1.9000000000000001E-4</v>
      </c>
      <c r="CK246" s="146"/>
      <c r="CL246" s="146"/>
      <c r="CM246" s="146">
        <v>1.9000000000000001E-4</v>
      </c>
      <c r="CN246" s="146"/>
      <c r="CO246" s="146"/>
      <c r="CP246" s="146">
        <v>1.9000000000000001E-4</v>
      </c>
      <c r="CQ246" s="146"/>
      <c r="CR246" s="146"/>
      <c r="CS246" s="146">
        <v>1.6000000000000001E-4</v>
      </c>
      <c r="CT246" s="146"/>
      <c r="CU246" s="146"/>
      <c r="CV246" s="146"/>
      <c r="CW246" s="146"/>
      <c r="CX246" s="146"/>
      <c r="CY246" s="146"/>
      <c r="CZ246" s="146"/>
      <c r="DA246" s="146"/>
      <c r="DB246" s="146"/>
      <c r="DC246" s="146"/>
      <c r="DD246" s="146"/>
      <c r="DE246" s="146"/>
      <c r="DF246" s="146"/>
      <c r="DG246" s="146"/>
      <c r="DH246" s="146"/>
      <c r="DI246" s="146"/>
      <c r="DJ246" s="146"/>
      <c r="DK246" s="146"/>
      <c r="DL246" s="146"/>
      <c r="DM246" s="146"/>
      <c r="DN246" s="146"/>
      <c r="DO246" s="146"/>
      <c r="DP246" s="146"/>
      <c r="DQ246" s="146"/>
      <c r="DR246" s="146"/>
      <c r="DS246" s="146"/>
      <c r="DT246" s="148"/>
      <c r="DU246" s="148"/>
      <c r="DV246" s="362"/>
      <c r="DX246" s="213">
        <f>SUM(R246:DV246)</f>
        <v>2.1800000000000005E-3</v>
      </c>
      <c r="DY246" s="1"/>
      <c r="DZ246" s="1"/>
      <c r="EA246" s="1"/>
      <c r="EB246" s="1"/>
      <c r="EC246" s="7"/>
      <c r="ED246" s="7"/>
    </row>
    <row r="247" spans="5:134" s="6" customFormat="1" ht="6.95" customHeight="1">
      <c r="F247" s="143"/>
      <c r="G247" s="144"/>
      <c r="H247" s="55">
        <v>2</v>
      </c>
      <c r="L247" s="345"/>
      <c r="M247" s="346"/>
      <c r="N247" s="285"/>
      <c r="O247" s="270"/>
      <c r="P247" s="246"/>
      <c r="Q247" s="184"/>
      <c r="R247" s="63"/>
      <c r="S247" s="42"/>
      <c r="T247" s="42"/>
      <c r="U247" s="42"/>
      <c r="V247" s="41"/>
      <c r="W247" s="42"/>
      <c r="X247" s="43"/>
      <c r="Y247" s="41"/>
      <c r="Z247" s="42"/>
      <c r="AA247" s="43"/>
      <c r="AB247" s="41"/>
      <c r="AC247" s="42"/>
      <c r="AD247" s="43"/>
      <c r="AE247" s="41"/>
      <c r="AF247" s="42"/>
      <c r="AG247" s="43"/>
      <c r="AH247" s="41"/>
      <c r="AI247" s="42"/>
      <c r="AJ247" s="43"/>
      <c r="AK247" s="41"/>
      <c r="AL247" s="42"/>
      <c r="AM247" s="43"/>
      <c r="AN247" s="41"/>
      <c r="AO247" s="42"/>
      <c r="AP247" s="43"/>
      <c r="AQ247" s="41"/>
      <c r="AR247" s="42"/>
      <c r="AS247" s="43"/>
      <c r="AT247" s="41"/>
      <c r="AU247" s="42"/>
      <c r="AV247" s="43"/>
      <c r="AW247" s="41"/>
      <c r="AX247" s="42"/>
      <c r="AY247" s="43"/>
      <c r="AZ247" s="41"/>
      <c r="BA247" s="42"/>
      <c r="BB247" s="43"/>
      <c r="BC247" s="41"/>
      <c r="BD247" s="42"/>
      <c r="BE247" s="43"/>
      <c r="BF247" s="41"/>
      <c r="BG247" s="42"/>
      <c r="BH247" s="43"/>
      <c r="BI247" s="41"/>
      <c r="BJ247" s="42"/>
      <c r="BK247" s="43"/>
      <c r="BL247" s="64"/>
      <c r="BM247" s="65"/>
      <c r="BN247" s="66"/>
      <c r="BO247" s="64"/>
      <c r="BP247" s="65"/>
      <c r="BQ247" s="66"/>
      <c r="BR247" s="64"/>
      <c r="BS247" s="65"/>
      <c r="BT247" s="66"/>
      <c r="BU247" s="64"/>
      <c r="BV247" s="65"/>
      <c r="BW247" s="66"/>
      <c r="BX247" s="64"/>
      <c r="BY247" s="65"/>
      <c r="BZ247" s="66"/>
      <c r="CA247" s="64"/>
      <c r="CB247" s="65"/>
      <c r="CC247" s="66"/>
      <c r="CD247" s="64"/>
      <c r="CE247" s="65"/>
      <c r="CF247" s="66"/>
      <c r="CG247" s="64"/>
      <c r="CH247" s="65"/>
      <c r="CI247" s="66"/>
      <c r="CJ247" s="64"/>
      <c r="CK247" s="65"/>
      <c r="CL247" s="66"/>
      <c r="CM247" s="64"/>
      <c r="CN247" s="65"/>
      <c r="CO247" s="66"/>
      <c r="CP247" s="64"/>
      <c r="CQ247" s="65"/>
      <c r="CR247" s="66"/>
      <c r="CS247" s="64"/>
      <c r="CT247" s="65"/>
      <c r="CU247" s="66"/>
      <c r="CV247" s="42"/>
      <c r="CW247" s="42"/>
      <c r="CX247" s="42"/>
      <c r="CY247" s="41"/>
      <c r="CZ247" s="42"/>
      <c r="DA247" s="43"/>
      <c r="DB247" s="42"/>
      <c r="DC247" s="42"/>
      <c r="DD247" s="42"/>
      <c r="DE247" s="41"/>
      <c r="DF247" s="42"/>
      <c r="DG247" s="43"/>
      <c r="DH247" s="41"/>
      <c r="DI247" s="42"/>
      <c r="DJ247" s="43"/>
      <c r="DK247" s="41"/>
      <c r="DL247" s="42"/>
      <c r="DM247" s="43"/>
      <c r="DN247" s="41"/>
      <c r="DO247" s="42"/>
      <c r="DP247" s="43"/>
      <c r="DQ247" s="41"/>
      <c r="DR247" s="42"/>
      <c r="DS247" s="43"/>
      <c r="DT247" s="42"/>
      <c r="DU247" s="42"/>
      <c r="DV247" s="44"/>
      <c r="DX247" s="213"/>
      <c r="DY247" s="1"/>
      <c r="DZ247" s="1"/>
      <c r="EA247" s="1"/>
      <c r="EB247" s="1"/>
      <c r="EC247" s="7"/>
      <c r="ED247" s="7"/>
    </row>
    <row r="248" spans="5:134" s="6" customFormat="1" ht="9.9499999999999993" customHeight="1">
      <c r="F248" s="143">
        <f t="shared" ref="F248" si="175">DX248</f>
        <v>6.8000000000000005E-4</v>
      </c>
      <c r="G248" s="144">
        <f>Q248-F248</f>
        <v>0</v>
      </c>
      <c r="H248" s="27">
        <v>1</v>
      </c>
      <c r="L248" s="343" t="s">
        <v>23</v>
      </c>
      <c r="M248" s="344"/>
      <c r="N248" s="284">
        <v>21</v>
      </c>
      <c r="O248" s="269" t="s">
        <v>25</v>
      </c>
      <c r="P248" s="245">
        <v>142023</v>
      </c>
      <c r="Q248" s="183">
        <f>ROUND(P248/$P$256,5)</f>
        <v>6.8000000000000005E-4</v>
      </c>
      <c r="R248" s="79"/>
      <c r="S248" s="148">
        <v>2.4000000000000001E-4</v>
      </c>
      <c r="T248" s="148"/>
      <c r="U248" s="148"/>
      <c r="V248" s="146">
        <v>2.2000000000000001E-4</v>
      </c>
      <c r="W248" s="146"/>
      <c r="X248" s="146"/>
      <c r="Y248" s="147">
        <v>2.2000000000000001E-4</v>
      </c>
      <c r="Z248" s="148"/>
      <c r="AA248" s="149"/>
      <c r="AB248" s="147"/>
      <c r="AC248" s="148"/>
      <c r="AD248" s="149"/>
      <c r="AE248" s="147"/>
      <c r="AF248" s="148"/>
      <c r="AG248" s="149"/>
      <c r="AH248" s="147"/>
      <c r="AI248" s="148"/>
      <c r="AJ248" s="149"/>
      <c r="AK248" s="147"/>
      <c r="AL248" s="148"/>
      <c r="AM248" s="149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7"/>
      <c r="BR248" s="168"/>
      <c r="BS248" s="146"/>
      <c r="BT248" s="169"/>
      <c r="BU248" s="149"/>
      <c r="BV248" s="146"/>
      <c r="BW248" s="146"/>
      <c r="BX248" s="146"/>
      <c r="BY248" s="146"/>
      <c r="BZ248" s="146"/>
      <c r="CA248" s="146"/>
      <c r="CB248" s="146"/>
      <c r="CC248" s="146"/>
      <c r="CD248" s="146"/>
      <c r="CE248" s="146"/>
      <c r="CF248" s="146"/>
      <c r="CG248" s="146"/>
      <c r="CH248" s="146"/>
      <c r="CI248" s="146"/>
      <c r="CJ248" s="146"/>
      <c r="CK248" s="146"/>
      <c r="CL248" s="146"/>
      <c r="CM248" s="146"/>
      <c r="CN248" s="146"/>
      <c r="CO248" s="146"/>
      <c r="CP248" s="146"/>
      <c r="CQ248" s="146"/>
      <c r="CR248" s="146"/>
      <c r="CS248" s="146"/>
      <c r="CT248" s="146"/>
      <c r="CU248" s="146"/>
      <c r="CV248" s="146"/>
      <c r="CW248" s="146"/>
      <c r="CX248" s="146"/>
      <c r="CY248" s="146"/>
      <c r="CZ248" s="146"/>
      <c r="DA248" s="146"/>
      <c r="DB248" s="146"/>
      <c r="DC248" s="146"/>
      <c r="DD248" s="146"/>
      <c r="DE248" s="146"/>
      <c r="DF248" s="146"/>
      <c r="DG248" s="146"/>
      <c r="DH248" s="146"/>
      <c r="DI248" s="146"/>
      <c r="DJ248" s="146"/>
      <c r="DK248" s="146"/>
      <c r="DL248" s="146"/>
      <c r="DM248" s="146"/>
      <c r="DN248" s="146"/>
      <c r="DO248" s="146"/>
      <c r="DP248" s="146"/>
      <c r="DQ248" s="146"/>
      <c r="DR248" s="146"/>
      <c r="DS248" s="146"/>
      <c r="DT248" s="146"/>
      <c r="DU248" s="146"/>
      <c r="DV248" s="214"/>
      <c r="DX248" s="213">
        <f>SUM(R248:DV248)</f>
        <v>6.8000000000000005E-4</v>
      </c>
      <c r="DY248" s="1"/>
      <c r="DZ248" s="1"/>
      <c r="EA248" s="1"/>
      <c r="EB248" s="1"/>
    </row>
    <row r="249" spans="5:134" s="6" customFormat="1" ht="6.95" customHeight="1">
      <c r="F249" s="143"/>
      <c r="G249" s="144"/>
      <c r="H249" s="55">
        <v>2</v>
      </c>
      <c r="L249" s="345"/>
      <c r="M249" s="346"/>
      <c r="N249" s="285"/>
      <c r="O249" s="270"/>
      <c r="P249" s="246"/>
      <c r="Q249" s="184"/>
      <c r="R249" s="63"/>
      <c r="S249" s="64"/>
      <c r="T249" s="65"/>
      <c r="U249" s="66"/>
      <c r="V249" s="64"/>
      <c r="W249" s="65"/>
      <c r="X249" s="66"/>
      <c r="Y249" s="64"/>
      <c r="Z249" s="65"/>
      <c r="AA249" s="66"/>
      <c r="AB249" s="41"/>
      <c r="AC249" s="42"/>
      <c r="AD249" s="43"/>
      <c r="AE249" s="41"/>
      <c r="AF249" s="42"/>
      <c r="AG249" s="43"/>
      <c r="AH249" s="41"/>
      <c r="AI249" s="42"/>
      <c r="AJ249" s="43"/>
      <c r="AK249" s="41"/>
      <c r="AL249" s="42"/>
      <c r="AM249" s="43"/>
      <c r="AN249" s="41"/>
      <c r="AO249" s="42"/>
      <c r="AP249" s="43"/>
      <c r="AQ249" s="41"/>
      <c r="AR249" s="42"/>
      <c r="AS249" s="43"/>
      <c r="AT249" s="41"/>
      <c r="AU249" s="42"/>
      <c r="AV249" s="43"/>
      <c r="AW249" s="41"/>
      <c r="AX249" s="42"/>
      <c r="AY249" s="43"/>
      <c r="AZ249" s="41"/>
      <c r="BA249" s="42"/>
      <c r="BB249" s="43"/>
      <c r="BC249" s="41"/>
      <c r="BD249" s="42"/>
      <c r="BE249" s="43"/>
      <c r="BF249" s="41"/>
      <c r="BG249" s="42"/>
      <c r="BH249" s="43"/>
      <c r="BI249" s="41"/>
      <c r="BJ249" s="42"/>
      <c r="BK249" s="43"/>
      <c r="BL249" s="41"/>
      <c r="BM249" s="42"/>
      <c r="BN249" s="43"/>
      <c r="BO249" s="41"/>
      <c r="BP249" s="42"/>
      <c r="BQ249" s="42"/>
      <c r="BR249" s="67"/>
      <c r="BS249" s="42"/>
      <c r="BT249" s="68"/>
      <c r="BU249" s="42"/>
      <c r="BV249" s="42"/>
      <c r="BW249" s="43"/>
      <c r="BX249" s="41"/>
      <c r="BY249" s="42"/>
      <c r="BZ249" s="43"/>
      <c r="CA249" s="41"/>
      <c r="CB249" s="42"/>
      <c r="CC249" s="43"/>
      <c r="CD249" s="41"/>
      <c r="CE249" s="42"/>
      <c r="CF249" s="43"/>
      <c r="CG249" s="41"/>
      <c r="CH249" s="42"/>
      <c r="CI249" s="43"/>
      <c r="CJ249" s="41"/>
      <c r="CK249" s="42"/>
      <c r="CL249" s="43"/>
      <c r="CM249" s="41"/>
      <c r="CN249" s="42"/>
      <c r="CO249" s="43"/>
      <c r="CP249" s="41"/>
      <c r="CQ249" s="42"/>
      <c r="CR249" s="43"/>
      <c r="CS249" s="41"/>
      <c r="CT249" s="42"/>
      <c r="CU249" s="43"/>
      <c r="CV249" s="41"/>
      <c r="CW249" s="42"/>
      <c r="CX249" s="43"/>
      <c r="CY249" s="41"/>
      <c r="CZ249" s="42"/>
      <c r="DA249" s="43"/>
      <c r="DB249" s="41"/>
      <c r="DC249" s="42"/>
      <c r="DD249" s="43"/>
      <c r="DE249" s="41"/>
      <c r="DF249" s="42"/>
      <c r="DG249" s="43"/>
      <c r="DH249" s="41"/>
      <c r="DI249" s="42"/>
      <c r="DJ249" s="43"/>
      <c r="DK249" s="41"/>
      <c r="DL249" s="42"/>
      <c r="DM249" s="43"/>
      <c r="DN249" s="41"/>
      <c r="DO249" s="42"/>
      <c r="DP249" s="43"/>
      <c r="DQ249" s="41"/>
      <c r="DR249" s="42"/>
      <c r="DS249" s="43"/>
      <c r="DT249" s="41"/>
      <c r="DU249" s="42"/>
      <c r="DV249" s="44"/>
      <c r="DX249" s="213"/>
      <c r="DY249" s="1"/>
      <c r="DZ249" s="1"/>
      <c r="EA249" s="1"/>
      <c r="EB249" s="1"/>
    </row>
    <row r="250" spans="5:134" s="6" customFormat="1" ht="9.9499999999999993" customHeight="1">
      <c r="F250" s="143">
        <f t="shared" ref="F250" si="176">DX250</f>
        <v>0.24170725896642298</v>
      </c>
      <c r="G250" s="144">
        <f>Q250-F250</f>
        <v>-7.2589664229794071E-6</v>
      </c>
      <c r="H250" s="27">
        <v>1</v>
      </c>
      <c r="L250" s="265" t="s">
        <v>283</v>
      </c>
      <c r="M250" s="266"/>
      <c r="N250" s="286">
        <v>1</v>
      </c>
      <c r="O250" s="280" t="s">
        <v>24</v>
      </c>
      <c r="P250" s="249">
        <v>50320559</v>
      </c>
      <c r="Q250" s="183">
        <f>ROUND(P250/$P$256,5)</f>
        <v>0.2417</v>
      </c>
      <c r="R250" s="21"/>
      <c r="S250" s="201">
        <f>SUM(S26+S64+S94+S108+S134+S160+S178+S186+S196+S208+S222+S240+S246+S248)*$M$264-0.008%</f>
        <v>6.9510951860538136E-4</v>
      </c>
      <c r="T250" s="148"/>
      <c r="U250" s="148"/>
      <c r="V250" s="147">
        <f>SUM(V26+V64+V94+V108+V134+V160+V178+V186+V196+V208+V222+V240+V246+V248)*$M$264-0.008%</f>
        <v>6.3879814332208444E-4</v>
      </c>
      <c r="W250" s="148"/>
      <c r="X250" s="149"/>
      <c r="Y250" s="147">
        <f>SUM(Y26+Y64+Y94+Y108+Y134+Y160+Y178+Y186+Y196+Y208+Y222+Y240+Y246+Y248)*$M$264-0.008%</f>
        <v>9.9322856422283585E-4</v>
      </c>
      <c r="Z250" s="148"/>
      <c r="AA250" s="149"/>
      <c r="AB250" s="147">
        <f>SUM(AB26+AB64+AB94+AB108+AB134+AB160+AB178+AB186+AB196+AB208+AB222+AB240+AB246+AB248)*$M$264-0.008%</f>
        <v>1.0959140132688477E-3</v>
      </c>
      <c r="AC250" s="148"/>
      <c r="AD250" s="149"/>
      <c r="AE250" s="147">
        <f>SUM(AE26+AE64+AE94+AE108+AE134+AE160+AE178+AE186+AE196+AE208+AE222+AE240+AE246+AE248)*$M$264-0.008%</f>
        <v>1.5033433756127023E-3</v>
      </c>
      <c r="AF250" s="148"/>
      <c r="AG250" s="149"/>
      <c r="AH250" s="147">
        <f>SUM(AH26+AH64+AH94+AH108+AH134+AH160+AH178+AH186+AH196+AH208+AH222+AH240+AH246+AH248)*$M$264-0.008%</f>
        <v>2.5136356968718529E-3</v>
      </c>
      <c r="AI250" s="148"/>
      <c r="AJ250" s="149"/>
      <c r="AK250" s="147">
        <f>SUM(AK26+AK64+AK94+AK108+AK134+AK160+AK178+AK186+AK196+AK208+AK222+AK240+AK246+AK248)*$M$264-0.008%</f>
        <v>1.8643986641938414E-3</v>
      </c>
      <c r="AL250" s="148"/>
      <c r="AM250" s="149"/>
      <c r="AN250" s="147">
        <f>SUM(AN26+AN64+AN94+AN108+AN134+AN160+AN178+AN186+AN196+AN208+AN222+AN240+AN246+AN248)*$M$264-0.008%</f>
        <v>2.603071410557089E-3</v>
      </c>
      <c r="AO250" s="148"/>
      <c r="AP250" s="149"/>
      <c r="AQ250" s="147">
        <f>SUM(AQ26+AQ64+AQ94+AQ108+AQ134+AQ160+AQ178+AQ186+AQ196+AQ208+AQ222+AQ240+AQ246+AQ248)*$M$264-0.008%</f>
        <v>3.225808972513549E-3</v>
      </c>
      <c r="AR250" s="148"/>
      <c r="AS250" s="149"/>
      <c r="AT250" s="147">
        <f>SUM(AT26+AT64+AT94+AT108+AT134+AT160+AT178+AT186+AT196+AT208+AT222+AT240+AT246+AT248)*$M$264-0.008%</f>
        <v>1.4769640905589422E-2</v>
      </c>
      <c r="AU250" s="148"/>
      <c r="AV250" s="149"/>
      <c r="AW250" s="147">
        <f>SUM(AW26+AW64+AW94+AW108+AW134+AW160+AW178+AW186+AW196+AW208+AW222+AW240+AW246+AW248)*$M$264-0.008%</f>
        <v>1.487895122231582E-2</v>
      </c>
      <c r="AX250" s="148"/>
      <c r="AY250" s="149"/>
      <c r="AZ250" s="147">
        <f>SUM(AZ26+AZ64+AZ94+AZ108+AZ134+AZ160+AZ178+AZ186+AZ196+AZ208+AZ222+AZ240+AZ246+AZ248)*$M$264-0.008%</f>
        <v>1.4706704662625733E-2</v>
      </c>
      <c r="BA250" s="148"/>
      <c r="BB250" s="149"/>
      <c r="BC250" s="147">
        <f>SUM(BC26+BC64+BC94+BC108+BC134+BC160+BC178+BC186+BC196+BC208+BC222+BC240+BC246+BC248)*$M$264-0.008%</f>
        <v>1.277555573379267E-2</v>
      </c>
      <c r="BD250" s="148"/>
      <c r="BE250" s="149"/>
      <c r="BF250" s="147">
        <f>SUM(BF26+BF64+BF94+BF108+BF134+BF160+BF178+BF186+BF196+BF208+BF222+BF240+BF246+BF248)*$M$264-0.008%</f>
        <v>1.3000801234925858E-2</v>
      </c>
      <c r="BG250" s="148"/>
      <c r="BH250" s="149"/>
      <c r="BI250" s="147">
        <f>SUM(BI26+BI64+BI94+BI108+BI134+BI160+BI178+BI186+BI196+BI208+BI222+BI240+BI246+BI248)*$M$264-0.008%</f>
        <v>1.2878241182838684E-2</v>
      </c>
      <c r="BJ250" s="148"/>
      <c r="BK250" s="149"/>
      <c r="BL250" s="147">
        <f>SUM(BL26+BL64+BL94+BL108+BL134+BL160+BL178+BL186+BL196+BL208+BL222+BL240+BL246+BL248)*$M$264-0.008%</f>
        <v>1.1745388809492358E-2</v>
      </c>
      <c r="BM250" s="148"/>
      <c r="BN250" s="149"/>
      <c r="BO250" s="147">
        <f>SUM(BO26+BO64+BO94+BO108+BO134+BO160+BO178+BO186+BO196+BO208+BO222+BO240+BO246+BO248)*$M$264-0.008%</f>
        <v>1.1901073199981472E-2</v>
      </c>
      <c r="BP250" s="148"/>
      <c r="BQ250" s="149"/>
      <c r="BR250" s="147">
        <f>SUM(BR26+BR64+BR94+BR108+BR134+BR160+BR178+BR186+BR196+BR208+BR222+BR240+BR246+BR248)*$M$264-0.008%</f>
        <v>1.1960697009104964E-2</v>
      </c>
      <c r="BS250" s="148"/>
      <c r="BT250" s="149"/>
      <c r="BU250" s="147">
        <f>SUM(BU26+BU64+BU94+BU108+BU134+BU160+BU178+BU186+BU196+BU208+BU222+BU240+BU246+BU248)*$M$264-0.008%</f>
        <v>1.0880843577201739E-2</v>
      </c>
      <c r="BV250" s="148"/>
      <c r="BW250" s="149"/>
      <c r="BX250" s="147">
        <f>SUM(BX26+BX64+BX94+BX108+BX134+BX160+BX178+BX186+BX196+BX208+BX222+BX240+BX246+BX248)*$M$264-0.008%</f>
        <v>1.1112713946015314E-2</v>
      </c>
      <c r="BY250" s="148"/>
      <c r="BZ250" s="149"/>
      <c r="CA250" s="147">
        <f>SUM(CA26+CA64+CA94+CA108+CA134+CA160+CA178+CA186+CA196+CA208+CA222+CA240+CA246+CA248)*$M$264-0.008%</f>
        <v>9.4631218935987312E-3</v>
      </c>
      <c r="CB250" s="148"/>
      <c r="CC250" s="149"/>
      <c r="CD250" s="147">
        <f>SUM(CD26+CD64+CD94+CD108+CD134+CD160+CD178+CD186+CD196+CD208+CD222+CD240+CD246+CD248)*$M$264-0.008%</f>
        <v>9.6751176593711449E-3</v>
      </c>
      <c r="CE250" s="148"/>
      <c r="CF250" s="149"/>
      <c r="CG250" s="147">
        <f>SUM(CG26+CG64+CG94+CG108+CG134+CG160+CG178+CG186+CG196+CG208+CG222+CG240+CG246+CG248)*$M$264-0.008%</f>
        <v>9.4863089304800911E-3</v>
      </c>
      <c r="CH250" s="148"/>
      <c r="CI250" s="149"/>
      <c r="CJ250" s="147">
        <f>SUM(CJ26+CJ64+CJ94+CJ108+CJ134+CJ160+CJ178+CJ186+CJ196+CJ208+CJ222+CJ240+CJ246+CJ248)*$M$264-0.008%</f>
        <v>7.7307189951773027E-3</v>
      </c>
      <c r="CK250" s="148"/>
      <c r="CL250" s="149"/>
      <c r="CM250" s="147">
        <f>SUM(CM26+CM64+CM94+CM108+CM134+CM160+CM178+CM186+CM196+CM208+CM222+CM240+CM246+CM248)*$M$264-0.008%</f>
        <v>7.0914192640198735E-3</v>
      </c>
      <c r="CN250" s="148"/>
      <c r="CO250" s="149"/>
      <c r="CP250" s="147">
        <f>SUM(CP26+CP64+CP94+CP108+CP134+CP160+CP178+CP186+CP196+CP208+CP222+CP240+CP246+CP248)*$M$264-0.008%</f>
        <v>5.5147007560875597E-3</v>
      </c>
      <c r="CQ250" s="148"/>
      <c r="CR250" s="149"/>
      <c r="CS250" s="147">
        <f>SUM(CS26+CS64+CS94+CS108+CS134+CS160+CS178+CS186+CS196+CS208+CS222+CS240+CS246+CS248)*$M$264-0.008%</f>
        <v>5.9221301184314134E-3</v>
      </c>
      <c r="CT250" s="148"/>
      <c r="CU250" s="149"/>
      <c r="CV250" s="147">
        <f>SUM(CV26+CV64+CV94+CV108+CV134+CV160+CV178+CV186+CV196+CV208+CV222+CV240+CV246+CV248)*$M$264-0.008%</f>
        <v>6.0513150381989777E-3</v>
      </c>
      <c r="CW250" s="148"/>
      <c r="CX250" s="149"/>
      <c r="CY250" s="147">
        <f>SUM(CY26+CY64+CY94+CY108+CY134+CY160+CY178+CY186+CY196+CY208+CY222+CY240+CY246+CY248)*$M$264-0.008%</f>
        <v>4.1069163740051371E-3</v>
      </c>
      <c r="CZ250" s="148"/>
      <c r="DA250" s="149"/>
      <c r="DB250" s="147">
        <f>SUM(DB26+DB64+DB94+DB108+DB134+DB160+DB178+DB186+DB196+DB208+DB222+DB240+DB246+DB248)*$M$264-0.008%</f>
        <v>3.401367966043828E-3</v>
      </c>
      <c r="DC250" s="148"/>
      <c r="DD250" s="149"/>
      <c r="DE250" s="147">
        <f>SUM(DE26+DE64+DE94+DE108+DE134+DE160+DE178+DE186+DE196+DE208+DE222+DE240+DE246+DE248)*$M$264-0.008%</f>
        <v>4.4480970595451117E-3</v>
      </c>
      <c r="DF250" s="148"/>
      <c r="DG250" s="149"/>
      <c r="DH250" s="147">
        <f>SUM(DH26+DH64+DH94+DH108+DH134+DH160+DH178+DH186+DH196+DH208+DH222+DH240+DH246+DH248)*$M$264-0.008%</f>
        <v>4.0373552633610641E-3</v>
      </c>
      <c r="DI250" s="148"/>
      <c r="DJ250" s="149"/>
      <c r="DK250" s="147">
        <f>SUM(DK26+DK64+DK94+DK108+DK134+DK160+DK178+DK186+DK196+DK208+DK222+DK240+DK246+DK248)*$M$264-0.008%</f>
        <v>4.6733425606783003E-3</v>
      </c>
      <c r="DL250" s="148"/>
      <c r="DM250" s="149"/>
      <c r="DN250" s="147">
        <f>SUM(DN26+DN64+DN94+DN108+DN134+DN160+DN178+DN186+DN196+DN208+DN222+DN240+DN246+DN248)*$M$264-0.008%</f>
        <v>3.4378047382859615E-3</v>
      </c>
      <c r="DO250" s="148"/>
      <c r="DP250" s="149"/>
      <c r="DQ250" s="147">
        <f>SUM(DQ26+DQ64+DQ94+DQ108+DQ134+DQ160+DQ178+DQ186+DQ196+DQ208+DQ222+DQ240+DQ246+DQ248)*$M$264-0.008%</f>
        <v>3.4399153154482398E-4</v>
      </c>
      <c r="DR250" s="148"/>
      <c r="DS250" s="149"/>
      <c r="DT250" s="147">
        <f>SUM(DT26+DT64+DT94+DT108+DT134+DT160+DT178+DT186+DT196+DT208+DT222+DT240+DT246+DT248)*$M$264-0.006%</f>
        <v>5.7963097454144931E-4</v>
      </c>
      <c r="DU250" s="148"/>
      <c r="DV250" s="362"/>
      <c r="DX250" s="213">
        <f>SUM(R250:DV250)</f>
        <v>0.24170725896642298</v>
      </c>
      <c r="DY250" s="1"/>
      <c r="DZ250" s="1"/>
      <c r="EA250" s="1"/>
      <c r="EB250" s="1"/>
      <c r="EC250" s="357"/>
      <c r="ED250" s="7"/>
    </row>
    <row r="251" spans="5:134" s="6" customFormat="1" ht="6.95" customHeight="1" thickBot="1">
      <c r="F251" s="143"/>
      <c r="G251" s="144"/>
      <c r="H251" s="55">
        <v>2</v>
      </c>
      <c r="L251" s="267"/>
      <c r="M251" s="268"/>
      <c r="N251" s="287"/>
      <c r="O251" s="281"/>
      <c r="P251" s="250"/>
      <c r="Q251" s="184"/>
      <c r="R251" s="85"/>
      <c r="S251" s="64"/>
      <c r="T251" s="65"/>
      <c r="U251" s="66"/>
      <c r="V251" s="64"/>
      <c r="W251" s="65"/>
      <c r="X251" s="66"/>
      <c r="Y251" s="64"/>
      <c r="Z251" s="65"/>
      <c r="AA251" s="66"/>
      <c r="AB251" s="64"/>
      <c r="AC251" s="65"/>
      <c r="AD251" s="66"/>
      <c r="AE251" s="64"/>
      <c r="AF251" s="65"/>
      <c r="AG251" s="66"/>
      <c r="AH251" s="64"/>
      <c r="AI251" s="65"/>
      <c r="AJ251" s="66"/>
      <c r="AK251" s="64"/>
      <c r="AL251" s="65"/>
      <c r="AM251" s="66"/>
      <c r="AN251" s="64"/>
      <c r="AO251" s="65"/>
      <c r="AP251" s="66"/>
      <c r="AQ251" s="64"/>
      <c r="AR251" s="65"/>
      <c r="AS251" s="66"/>
      <c r="AT251" s="64"/>
      <c r="AU251" s="65"/>
      <c r="AV251" s="66"/>
      <c r="AW251" s="64"/>
      <c r="AX251" s="65"/>
      <c r="AY251" s="66"/>
      <c r="AZ251" s="64"/>
      <c r="BA251" s="65"/>
      <c r="BB251" s="66"/>
      <c r="BC251" s="64"/>
      <c r="BD251" s="65"/>
      <c r="BE251" s="66"/>
      <c r="BF251" s="64"/>
      <c r="BG251" s="65"/>
      <c r="BH251" s="66"/>
      <c r="BI251" s="64"/>
      <c r="BJ251" s="65"/>
      <c r="BK251" s="66"/>
      <c r="BL251" s="64"/>
      <c r="BM251" s="65"/>
      <c r="BN251" s="66"/>
      <c r="BO251" s="64"/>
      <c r="BP251" s="65"/>
      <c r="BQ251" s="66"/>
      <c r="BR251" s="64"/>
      <c r="BS251" s="65"/>
      <c r="BT251" s="66"/>
      <c r="BU251" s="64"/>
      <c r="BV251" s="65"/>
      <c r="BW251" s="66"/>
      <c r="BX251" s="64"/>
      <c r="BY251" s="65"/>
      <c r="BZ251" s="66"/>
      <c r="CA251" s="64"/>
      <c r="CB251" s="65"/>
      <c r="CC251" s="66"/>
      <c r="CD251" s="64"/>
      <c r="CE251" s="65"/>
      <c r="CF251" s="66"/>
      <c r="CG251" s="64"/>
      <c r="CH251" s="65"/>
      <c r="CI251" s="66"/>
      <c r="CJ251" s="64"/>
      <c r="CK251" s="65"/>
      <c r="CL251" s="66"/>
      <c r="CM251" s="64"/>
      <c r="CN251" s="65"/>
      <c r="CO251" s="66"/>
      <c r="CP251" s="64"/>
      <c r="CQ251" s="65"/>
      <c r="CR251" s="66"/>
      <c r="CS251" s="64"/>
      <c r="CT251" s="65"/>
      <c r="CU251" s="66"/>
      <c r="CV251" s="64"/>
      <c r="CW251" s="65"/>
      <c r="CX251" s="66"/>
      <c r="CY251" s="64"/>
      <c r="CZ251" s="65"/>
      <c r="DA251" s="66"/>
      <c r="DB251" s="64"/>
      <c r="DC251" s="65"/>
      <c r="DD251" s="66"/>
      <c r="DE251" s="64"/>
      <c r="DF251" s="65"/>
      <c r="DG251" s="66"/>
      <c r="DH251" s="64"/>
      <c r="DI251" s="65"/>
      <c r="DJ251" s="66"/>
      <c r="DK251" s="64"/>
      <c r="DL251" s="65"/>
      <c r="DM251" s="66"/>
      <c r="DN251" s="64"/>
      <c r="DO251" s="65"/>
      <c r="DP251" s="66"/>
      <c r="DQ251" s="64"/>
      <c r="DR251" s="65"/>
      <c r="DS251" s="66"/>
      <c r="DT251" s="64"/>
      <c r="DU251" s="65"/>
      <c r="DV251" s="94"/>
      <c r="DX251" s="213"/>
      <c r="DY251" s="1"/>
      <c r="DZ251" s="1"/>
      <c r="EA251" s="1"/>
      <c r="EB251" s="1"/>
      <c r="EC251" s="357"/>
      <c r="ED251" s="7"/>
    </row>
    <row r="252" spans="5:134" s="6" customFormat="1" ht="9.9499999999999993" customHeight="1">
      <c r="F252" s="143">
        <f t="shared" ref="F252" si="177">DX252</f>
        <v>1.9959999999999999E-2</v>
      </c>
      <c r="G252" s="144">
        <f>Q252-F252</f>
        <v>0</v>
      </c>
      <c r="H252" s="40"/>
      <c r="L252" s="224" t="s">
        <v>279</v>
      </c>
      <c r="M252" s="278"/>
      <c r="N252" s="391">
        <v>1</v>
      </c>
      <c r="O252" s="392" t="s">
        <v>1</v>
      </c>
      <c r="P252" s="187">
        <v>4155176</v>
      </c>
      <c r="Q252" s="185">
        <f>ROUND(P252/$P$256,5)</f>
        <v>1.9959999999999999E-2</v>
      </c>
      <c r="R252" s="282">
        <v>0</v>
      </c>
      <c r="S252" s="292">
        <f t="shared" ref="S252" si="178">ROUND(SUM(S254:U255),5)</f>
        <v>0</v>
      </c>
      <c r="T252" s="293"/>
      <c r="U252" s="293"/>
      <c r="V252" s="293">
        <f t="shared" ref="V252" si="179">ROUND(SUM(V254:X255),5)</f>
        <v>0</v>
      </c>
      <c r="W252" s="293"/>
      <c r="X252" s="293"/>
      <c r="Y252" s="293">
        <f t="shared" ref="Y252" si="180">ROUND(SUM(Y254:AA255),5)</f>
        <v>0</v>
      </c>
      <c r="Z252" s="293"/>
      <c r="AA252" s="293"/>
      <c r="AB252" s="293">
        <f t="shared" ref="AB252" si="181">ROUND(SUM(AB254:AD255),5)</f>
        <v>0</v>
      </c>
      <c r="AC252" s="293"/>
      <c r="AD252" s="293"/>
      <c r="AE252" s="293">
        <f t="shared" ref="AE252" si="182">ROUND(SUM(AE254:AG255),5)</f>
        <v>0</v>
      </c>
      <c r="AF252" s="293"/>
      <c r="AG252" s="293"/>
      <c r="AH252" s="293">
        <f t="shared" ref="AH252" si="183">ROUND(SUM(AH254:AJ255),5)</f>
        <v>0</v>
      </c>
      <c r="AI252" s="293"/>
      <c r="AJ252" s="293"/>
      <c r="AK252" s="293">
        <f t="shared" ref="AK252" si="184">ROUND(SUM(AK254:AM255),5)</f>
        <v>0</v>
      </c>
      <c r="AL252" s="293"/>
      <c r="AM252" s="293"/>
      <c r="AN252" s="293">
        <f t="shared" ref="AN252" si="185">ROUND(SUM(AN254:AP255),5)</f>
        <v>0</v>
      </c>
      <c r="AO252" s="293"/>
      <c r="AP252" s="293"/>
      <c r="AQ252" s="293">
        <f t="shared" ref="AQ252" si="186">ROUND(SUM(AQ254:AS255),5)</f>
        <v>0</v>
      </c>
      <c r="AR252" s="293"/>
      <c r="AS252" s="293"/>
      <c r="AT252" s="293">
        <f t="shared" ref="AT252" si="187">ROUND(SUM(AT254:AV255),5)</f>
        <v>0</v>
      </c>
      <c r="AU252" s="293"/>
      <c r="AV252" s="293"/>
      <c r="AW252" s="293">
        <f t="shared" ref="AW252" si="188">ROUND(SUM(AW254:AY255),5)</f>
        <v>0</v>
      </c>
      <c r="AX252" s="293"/>
      <c r="AY252" s="293"/>
      <c r="AZ252" s="293">
        <f t="shared" ref="AZ252" si="189">ROUND(SUM(AZ254:BB255),5)</f>
        <v>0</v>
      </c>
      <c r="BA252" s="293"/>
      <c r="BB252" s="293"/>
      <c r="BC252" s="293">
        <f t="shared" ref="BC252" si="190">ROUND(SUM(BC254:BE255),5)</f>
        <v>0</v>
      </c>
      <c r="BD252" s="293"/>
      <c r="BE252" s="293"/>
      <c r="BF252" s="293">
        <f t="shared" ref="BF252" si="191">ROUND(SUM(BF254:BH255),5)</f>
        <v>0</v>
      </c>
      <c r="BG252" s="293"/>
      <c r="BH252" s="293"/>
      <c r="BI252" s="293">
        <f t="shared" ref="BI252" si="192">ROUND(SUM(BI254:BK255),5)</f>
        <v>0</v>
      </c>
      <c r="BJ252" s="293"/>
      <c r="BK252" s="293"/>
      <c r="BL252" s="293">
        <f t="shared" ref="BL252" si="193">ROUND(SUM(BL254:BN255),5)</f>
        <v>0</v>
      </c>
      <c r="BM252" s="293"/>
      <c r="BN252" s="293"/>
      <c r="BO252" s="293">
        <f t="shared" ref="BO252" si="194">ROUND(SUM(BO254:BQ255),5)</f>
        <v>0</v>
      </c>
      <c r="BP252" s="293"/>
      <c r="BQ252" s="293"/>
      <c r="BR252" s="293">
        <f t="shared" ref="BR252" si="195">ROUND(SUM(BR254:BT255),5)</f>
        <v>0</v>
      </c>
      <c r="BS252" s="293"/>
      <c r="BT252" s="293"/>
      <c r="BU252" s="293">
        <f t="shared" ref="BU252" si="196">ROUND(SUM(BU254:BW255),5)</f>
        <v>0</v>
      </c>
      <c r="BV252" s="293"/>
      <c r="BW252" s="293"/>
      <c r="BX252" s="293">
        <f t="shared" ref="BX252" si="197">ROUND(SUM(BX254:BZ255),5)</f>
        <v>0</v>
      </c>
      <c r="BY252" s="293"/>
      <c r="BZ252" s="293"/>
      <c r="CA252" s="293">
        <f t="shared" ref="CA252" si="198">ROUND(SUM(CA254:CC255),5)</f>
        <v>0</v>
      </c>
      <c r="CB252" s="293"/>
      <c r="CC252" s="293"/>
      <c r="CD252" s="293">
        <f t="shared" ref="CD252" si="199">ROUND(SUM(CD254:CF255),5)</f>
        <v>0</v>
      </c>
      <c r="CE252" s="293"/>
      <c r="CF252" s="293"/>
      <c r="CG252" s="293">
        <f t="shared" ref="CG252" si="200">ROUND(SUM(CG254:CI255),5)</f>
        <v>0</v>
      </c>
      <c r="CH252" s="293"/>
      <c r="CI252" s="293"/>
      <c r="CJ252" s="293">
        <f t="shared" ref="CJ252" si="201">ROUND(SUM(CJ254:CL255),5)</f>
        <v>0</v>
      </c>
      <c r="CK252" s="293"/>
      <c r="CL252" s="293"/>
      <c r="CM252" s="358">
        <f t="shared" ref="CM252" si="202">ROUND(SUM(CM254:CO255),5)</f>
        <v>2.0799999999999998E-3</v>
      </c>
      <c r="CN252" s="358"/>
      <c r="CO252" s="359"/>
      <c r="CP252" s="358">
        <f t="shared" ref="CP252" si="203">ROUND(SUM(CP254:CR255),5)</f>
        <v>2.7399999999999998E-3</v>
      </c>
      <c r="CQ252" s="358"/>
      <c r="CR252" s="359"/>
      <c r="CS252" s="358">
        <f t="shared" ref="CS252" si="204">ROUND(SUM(CS254:CU255),5)</f>
        <v>2.7399999999999998E-3</v>
      </c>
      <c r="CT252" s="358"/>
      <c r="CU252" s="359"/>
      <c r="CV252" s="358">
        <f t="shared" ref="CV252" si="205">ROUND(SUM(CV254:CX255),5)</f>
        <v>2.7399999999999998E-3</v>
      </c>
      <c r="CW252" s="358"/>
      <c r="CX252" s="359"/>
      <c r="CY252" s="358">
        <f t="shared" ref="CY252" si="206">ROUND(SUM(CY254:DA255),5)</f>
        <v>2.7399999999999998E-3</v>
      </c>
      <c r="CZ252" s="358"/>
      <c r="DA252" s="359"/>
      <c r="DB252" s="358">
        <f t="shared" ref="DB252" si="207">ROUND(SUM(DB254:DD255),5)</f>
        <v>2.7399999999999998E-3</v>
      </c>
      <c r="DC252" s="358"/>
      <c r="DD252" s="359"/>
      <c r="DE252" s="358">
        <f t="shared" ref="DE252" si="208">ROUND(SUM(DE254:DG255),5)</f>
        <v>2.7399999999999998E-3</v>
      </c>
      <c r="DF252" s="358"/>
      <c r="DG252" s="359"/>
      <c r="DH252" s="293">
        <f t="shared" ref="DH252" si="209">ROUND(SUM(DH254:DJ255),5)</f>
        <v>0</v>
      </c>
      <c r="DI252" s="293"/>
      <c r="DJ252" s="293"/>
      <c r="DK252" s="293">
        <f t="shared" ref="DK252" si="210">ROUND(SUM(DK254:DM255),5)</f>
        <v>0</v>
      </c>
      <c r="DL252" s="293"/>
      <c r="DM252" s="293"/>
      <c r="DN252" s="293">
        <f t="shared" ref="DN252" si="211">ROUND(SUM(DN254:DP255),5)</f>
        <v>0</v>
      </c>
      <c r="DO252" s="293"/>
      <c r="DP252" s="293"/>
      <c r="DQ252" s="293">
        <f t="shared" ref="DQ252" si="212">ROUND(SUM(DQ254:DS255),5)</f>
        <v>9.3999999999999997E-4</v>
      </c>
      <c r="DR252" s="293"/>
      <c r="DS252" s="293"/>
      <c r="DT252" s="159">
        <f>ROUND(SUM(DT254:DV255),5)</f>
        <v>5.0000000000000001E-4</v>
      </c>
      <c r="DU252" s="160"/>
      <c r="DV252" s="170"/>
      <c r="DX252" s="145">
        <f>SUM(R252:DV252)</f>
        <v>1.9959999999999999E-2</v>
      </c>
      <c r="DY252" s="145">
        <f>DX252</f>
        <v>1.9959999999999999E-2</v>
      </c>
      <c r="DZ252" s="1"/>
      <c r="EA252" s="1"/>
      <c r="EB252" s="1"/>
      <c r="EC252" s="38"/>
      <c r="ED252" s="7"/>
    </row>
    <row r="253" spans="5:134" s="6" customFormat="1" ht="9.9499999999999993" customHeight="1">
      <c r="F253" s="143"/>
      <c r="G253" s="144"/>
      <c r="H253" s="40"/>
      <c r="L253" s="227"/>
      <c r="M253" s="279"/>
      <c r="N253" s="391"/>
      <c r="O253" s="392"/>
      <c r="P253" s="188"/>
      <c r="Q253" s="186"/>
      <c r="R253" s="283"/>
      <c r="S253" s="294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295"/>
      <c r="AM253" s="295"/>
      <c r="AN253" s="295"/>
      <c r="AO253" s="295"/>
      <c r="AP253" s="295"/>
      <c r="AQ253" s="295"/>
      <c r="AR253" s="295"/>
      <c r="AS253" s="295"/>
      <c r="AT253" s="295"/>
      <c r="AU253" s="295"/>
      <c r="AV253" s="295"/>
      <c r="AW253" s="295"/>
      <c r="AX253" s="295"/>
      <c r="AY253" s="295"/>
      <c r="AZ253" s="295"/>
      <c r="BA253" s="295"/>
      <c r="BB253" s="295"/>
      <c r="BC253" s="295"/>
      <c r="BD253" s="295"/>
      <c r="BE253" s="295"/>
      <c r="BF253" s="295"/>
      <c r="BG253" s="295"/>
      <c r="BH253" s="295"/>
      <c r="BI253" s="295"/>
      <c r="BJ253" s="295"/>
      <c r="BK253" s="295"/>
      <c r="BL253" s="295"/>
      <c r="BM253" s="295"/>
      <c r="BN253" s="295"/>
      <c r="BO253" s="295"/>
      <c r="BP253" s="295"/>
      <c r="BQ253" s="295"/>
      <c r="BR253" s="295"/>
      <c r="BS253" s="295"/>
      <c r="BT253" s="295"/>
      <c r="BU253" s="295"/>
      <c r="BV253" s="295"/>
      <c r="BW253" s="295"/>
      <c r="BX253" s="295"/>
      <c r="BY253" s="295"/>
      <c r="BZ253" s="295"/>
      <c r="CA253" s="295"/>
      <c r="CB253" s="295"/>
      <c r="CC253" s="295"/>
      <c r="CD253" s="295"/>
      <c r="CE253" s="295"/>
      <c r="CF253" s="295"/>
      <c r="CG253" s="295"/>
      <c r="CH253" s="295"/>
      <c r="CI253" s="295"/>
      <c r="CJ253" s="295"/>
      <c r="CK253" s="295"/>
      <c r="CL253" s="295"/>
      <c r="CM253" s="360"/>
      <c r="CN253" s="360"/>
      <c r="CO253" s="361"/>
      <c r="CP253" s="360"/>
      <c r="CQ253" s="360"/>
      <c r="CR253" s="361"/>
      <c r="CS253" s="360"/>
      <c r="CT253" s="360"/>
      <c r="CU253" s="361"/>
      <c r="CV253" s="360"/>
      <c r="CW253" s="360"/>
      <c r="CX253" s="361"/>
      <c r="CY253" s="360"/>
      <c r="CZ253" s="360"/>
      <c r="DA253" s="361"/>
      <c r="DB253" s="360"/>
      <c r="DC253" s="360"/>
      <c r="DD253" s="361"/>
      <c r="DE253" s="360"/>
      <c r="DF253" s="360"/>
      <c r="DG253" s="361"/>
      <c r="DH253" s="295"/>
      <c r="DI253" s="295"/>
      <c r="DJ253" s="295"/>
      <c r="DK253" s="295"/>
      <c r="DL253" s="295"/>
      <c r="DM253" s="295"/>
      <c r="DN253" s="295"/>
      <c r="DO253" s="295"/>
      <c r="DP253" s="295"/>
      <c r="DQ253" s="295"/>
      <c r="DR253" s="295"/>
      <c r="DS253" s="295"/>
      <c r="DT253" s="219"/>
      <c r="DU253" s="220"/>
      <c r="DV253" s="368"/>
      <c r="DX253" s="145"/>
      <c r="DY253" s="145"/>
      <c r="DZ253" s="1"/>
      <c r="EA253" s="1"/>
      <c r="EB253" s="1"/>
      <c r="EC253" s="38"/>
      <c r="ED253" s="7"/>
    </row>
    <row r="254" spans="5:134" s="6" customFormat="1" ht="9.9499999999999993" customHeight="1">
      <c r="F254" s="122"/>
      <c r="G254" s="40"/>
      <c r="H254" s="40"/>
      <c r="L254" s="271"/>
      <c r="M254" s="231" t="s">
        <v>293</v>
      </c>
      <c r="N254" s="302">
        <v>1</v>
      </c>
      <c r="O254" s="297" t="s">
        <v>1</v>
      </c>
      <c r="P254" s="245">
        <v>1113010</v>
      </c>
      <c r="Q254" s="183">
        <f>ROUND(P252/$P$256,5)</f>
        <v>1.9959999999999999E-2</v>
      </c>
      <c r="R254" s="21"/>
      <c r="S254" s="148"/>
      <c r="T254" s="148"/>
      <c r="U254" s="148"/>
      <c r="V254" s="146"/>
      <c r="W254" s="146"/>
      <c r="X254" s="146"/>
      <c r="Y254" s="146"/>
      <c r="Z254" s="146"/>
      <c r="AA254" s="146"/>
      <c r="AB254" s="56"/>
      <c r="AC254" s="57"/>
      <c r="AD254" s="58"/>
      <c r="AE254" s="57"/>
      <c r="AF254" s="57"/>
      <c r="AG254" s="57"/>
      <c r="AH254" s="146"/>
      <c r="AI254" s="146"/>
      <c r="AJ254" s="146"/>
      <c r="AK254" s="57"/>
      <c r="AL254" s="57"/>
      <c r="AM254" s="57"/>
      <c r="AN254" s="56"/>
      <c r="AO254" s="57"/>
      <c r="AP254" s="58"/>
      <c r="AQ254" s="146"/>
      <c r="AR254" s="146"/>
      <c r="AS254" s="146"/>
      <c r="AT254" s="56"/>
      <c r="AU254" s="57"/>
      <c r="AV254" s="58"/>
      <c r="AW254" s="57"/>
      <c r="AX254" s="57"/>
      <c r="AY254" s="57"/>
      <c r="AZ254" s="146"/>
      <c r="BA254" s="146"/>
      <c r="BB254" s="146"/>
      <c r="BC254" s="57"/>
      <c r="BD254" s="57"/>
      <c r="BE254" s="57"/>
      <c r="BF254" s="56"/>
      <c r="BG254" s="57"/>
      <c r="BH254" s="58"/>
      <c r="BI254" s="146"/>
      <c r="BJ254" s="146"/>
      <c r="BK254" s="146"/>
      <c r="BL254" s="56"/>
      <c r="BM254" s="57"/>
      <c r="BN254" s="58"/>
      <c r="BO254" s="57"/>
      <c r="BP254" s="57"/>
      <c r="BQ254" s="57"/>
      <c r="BR254" s="60"/>
      <c r="BS254" s="57"/>
      <c r="BT254" s="61"/>
      <c r="BU254" s="57"/>
      <c r="BV254" s="57"/>
      <c r="BW254" s="57"/>
      <c r="BX254" s="56"/>
      <c r="BY254" s="57"/>
      <c r="BZ254" s="58"/>
      <c r="CA254" s="56"/>
      <c r="CB254" s="57"/>
      <c r="CC254" s="58"/>
      <c r="CD254" s="56"/>
      <c r="CE254" s="57"/>
      <c r="CF254" s="58"/>
      <c r="CG254" s="56"/>
      <c r="CH254" s="57"/>
      <c r="CI254" s="58"/>
      <c r="CJ254" s="56"/>
      <c r="CK254" s="57"/>
      <c r="CL254" s="58"/>
      <c r="CM254" s="146">
        <v>2.0799999999999998E-3</v>
      </c>
      <c r="CN254" s="146"/>
      <c r="CO254" s="146"/>
      <c r="CP254" s="146">
        <v>2.7399999999999998E-3</v>
      </c>
      <c r="CQ254" s="146"/>
      <c r="CR254" s="146"/>
      <c r="CS254" s="146">
        <v>2.7399999999999998E-3</v>
      </c>
      <c r="CT254" s="146"/>
      <c r="CU254" s="146"/>
      <c r="CV254" s="146">
        <v>2.7399999999999998E-3</v>
      </c>
      <c r="CW254" s="146"/>
      <c r="CX254" s="146"/>
      <c r="CY254" s="146">
        <v>2.7399999999999998E-3</v>
      </c>
      <c r="CZ254" s="146"/>
      <c r="DA254" s="146"/>
      <c r="DB254" s="146">
        <v>2.7399999999999998E-3</v>
      </c>
      <c r="DC254" s="146"/>
      <c r="DD254" s="146"/>
      <c r="DE254" s="146">
        <v>2.7399999999999998E-3</v>
      </c>
      <c r="DF254" s="146"/>
      <c r="DG254" s="146"/>
      <c r="DH254" s="146"/>
      <c r="DI254" s="146"/>
      <c r="DJ254" s="146"/>
      <c r="DK254" s="146"/>
      <c r="DL254" s="146"/>
      <c r="DM254" s="146"/>
      <c r="DN254" s="146"/>
      <c r="DO254" s="146"/>
      <c r="DP254" s="146"/>
      <c r="DQ254" s="146">
        <v>9.3999999999999997E-4</v>
      </c>
      <c r="DR254" s="146"/>
      <c r="DS254" s="146"/>
      <c r="DT254" s="146">
        <v>5.0000000000000001E-4</v>
      </c>
      <c r="DU254" s="146"/>
      <c r="DV254" s="214"/>
      <c r="DX254" s="213">
        <f>SUM(R254:DV254)</f>
        <v>1.9959999999999999E-2</v>
      </c>
      <c r="DY254" s="1"/>
      <c r="DZ254" s="1"/>
      <c r="EA254" s="1"/>
      <c r="EB254" s="1"/>
      <c r="EC254" s="38"/>
      <c r="ED254" s="7"/>
    </row>
    <row r="255" spans="5:134" s="6" customFormat="1" ht="6.95" customHeight="1" thickBot="1">
      <c r="F255" s="122"/>
      <c r="G255" s="40"/>
      <c r="H255" s="40"/>
      <c r="L255" s="252"/>
      <c r="M255" s="308"/>
      <c r="N255" s="319"/>
      <c r="O255" s="298"/>
      <c r="P255" s="250"/>
      <c r="Q255" s="348"/>
      <c r="R255" s="85"/>
      <c r="S255" s="123"/>
      <c r="T255" s="123"/>
      <c r="U255" s="123"/>
      <c r="V255" s="124"/>
      <c r="W255" s="123"/>
      <c r="X255" s="125"/>
      <c r="Y255" s="124"/>
      <c r="Z255" s="123"/>
      <c r="AA255" s="125"/>
      <c r="AB255" s="124"/>
      <c r="AC255" s="123"/>
      <c r="AD255" s="125"/>
      <c r="AE255" s="123"/>
      <c r="AF255" s="123"/>
      <c r="AG255" s="123"/>
      <c r="AH255" s="124"/>
      <c r="AI255" s="123"/>
      <c r="AJ255" s="125"/>
      <c r="AK255" s="123"/>
      <c r="AL255" s="123"/>
      <c r="AM255" s="123"/>
      <c r="AN255" s="124"/>
      <c r="AO255" s="123"/>
      <c r="AP255" s="125"/>
      <c r="AQ255" s="124"/>
      <c r="AR255" s="123"/>
      <c r="AS255" s="125"/>
      <c r="AT255" s="124"/>
      <c r="AU255" s="123"/>
      <c r="AV255" s="125"/>
      <c r="AW255" s="123"/>
      <c r="AX255" s="123"/>
      <c r="AY255" s="123"/>
      <c r="AZ255" s="124"/>
      <c r="BA255" s="123"/>
      <c r="BB255" s="125"/>
      <c r="BC255" s="123"/>
      <c r="BD255" s="123"/>
      <c r="BE255" s="123"/>
      <c r="BF255" s="124"/>
      <c r="BG255" s="123"/>
      <c r="BH255" s="125"/>
      <c r="BI255" s="124"/>
      <c r="BJ255" s="123"/>
      <c r="BK255" s="125"/>
      <c r="BL255" s="124"/>
      <c r="BM255" s="123"/>
      <c r="BN255" s="125"/>
      <c r="BO255" s="123"/>
      <c r="BP255" s="123"/>
      <c r="BQ255" s="123"/>
      <c r="BR255" s="126"/>
      <c r="BS255" s="123"/>
      <c r="BT255" s="127"/>
      <c r="BU255" s="123"/>
      <c r="BV255" s="123"/>
      <c r="BW255" s="123"/>
      <c r="BX255" s="124"/>
      <c r="BY255" s="123"/>
      <c r="BZ255" s="125"/>
      <c r="CA255" s="124"/>
      <c r="CB255" s="123"/>
      <c r="CC255" s="125"/>
      <c r="CD255" s="124"/>
      <c r="CE255" s="123"/>
      <c r="CF255" s="125"/>
      <c r="CG255" s="124"/>
      <c r="CH255" s="123"/>
      <c r="CI255" s="125"/>
      <c r="CJ255" s="124"/>
      <c r="CK255" s="123"/>
      <c r="CL255" s="125"/>
      <c r="CM255" s="128"/>
      <c r="CN255" s="129"/>
      <c r="CO255" s="130"/>
      <c r="CP255" s="128"/>
      <c r="CQ255" s="129"/>
      <c r="CR255" s="130"/>
      <c r="CS255" s="128"/>
      <c r="CT255" s="129"/>
      <c r="CU255" s="130"/>
      <c r="CV255" s="128"/>
      <c r="CW255" s="129"/>
      <c r="CX255" s="130"/>
      <c r="CY255" s="128"/>
      <c r="CZ255" s="129"/>
      <c r="DA255" s="130"/>
      <c r="DB255" s="128"/>
      <c r="DC255" s="129"/>
      <c r="DD255" s="130"/>
      <c r="DE255" s="128"/>
      <c r="DF255" s="129"/>
      <c r="DG255" s="130"/>
      <c r="DH255" s="124"/>
      <c r="DI255" s="123"/>
      <c r="DJ255" s="125"/>
      <c r="DK255" s="124"/>
      <c r="DL255" s="123"/>
      <c r="DM255" s="125"/>
      <c r="DN255" s="124"/>
      <c r="DO255" s="123"/>
      <c r="DP255" s="125"/>
      <c r="DQ255" s="128"/>
      <c r="DR255" s="129"/>
      <c r="DS255" s="130"/>
      <c r="DT255" s="128"/>
      <c r="DU255" s="129"/>
      <c r="DV255" s="131"/>
      <c r="DX255" s="213"/>
      <c r="DY255" s="1"/>
      <c r="DZ255" s="1"/>
      <c r="EA255" s="1"/>
      <c r="EB255" s="1"/>
      <c r="EC255" s="38"/>
      <c r="ED255" s="7"/>
    </row>
    <row r="256" spans="5:134" s="6" customFormat="1" ht="9.9499999999999993" customHeight="1" thickBot="1">
      <c r="G256" s="26"/>
      <c r="H256" s="26"/>
      <c r="J256" s="388" t="s">
        <v>290</v>
      </c>
      <c r="K256" s="389"/>
      <c r="L256" s="275" t="s">
        <v>284</v>
      </c>
      <c r="M256" s="275"/>
      <c r="N256" s="275"/>
      <c r="O256" s="275"/>
      <c r="P256" s="276">
        <f>O24+P240+P244+P252</f>
        <v>208195454</v>
      </c>
      <c r="Q256" s="277">
        <f>Q24+Q240+Q244+Q252</f>
        <v>0.99999999999999989</v>
      </c>
      <c r="R256" s="273">
        <f>ROUND(R24+R240+R244+R252,5)</f>
        <v>0</v>
      </c>
      <c r="S256" s="288">
        <f>ROUND(S24+S240+S244+S252,5)</f>
        <v>3.0400000000000002E-3</v>
      </c>
      <c r="T256" s="194"/>
      <c r="U256" s="195"/>
      <c r="V256" s="216">
        <f>ROUND(V24+V240+V244+V252,5)</f>
        <v>2.81E-3</v>
      </c>
      <c r="W256" s="217"/>
      <c r="X256" s="217"/>
      <c r="Y256" s="216">
        <f>ROUND(Y24+Y240+Y244+Y252,5)</f>
        <v>4.2300000000000003E-3</v>
      </c>
      <c r="Z256" s="217"/>
      <c r="AA256" s="217"/>
      <c r="AB256" s="216">
        <f>ROUND(AB24+AB240+AB244+AB252,5)</f>
        <v>4.6499999999999996E-3</v>
      </c>
      <c r="AC256" s="217"/>
      <c r="AD256" s="217"/>
      <c r="AE256" s="216">
        <f>ROUND(AE24+AE240+AE244+AE252,5)</f>
        <v>6.28E-3</v>
      </c>
      <c r="AF256" s="217"/>
      <c r="AG256" s="217"/>
      <c r="AH256" s="216">
        <f>ROUND(AH24+AH240+AH244+AH252,5)</f>
        <v>1.034E-2</v>
      </c>
      <c r="AI256" s="217"/>
      <c r="AJ256" s="217"/>
      <c r="AK256" s="216">
        <f>ROUND(AK24+AK240+AK244+AK252,5)</f>
        <v>7.7299999999999999E-3</v>
      </c>
      <c r="AL256" s="217"/>
      <c r="AM256" s="217"/>
      <c r="AN256" s="216">
        <f>ROUND(AN24+AN240+AN244+AN252,5)</f>
        <v>1.0699999999999999E-2</v>
      </c>
      <c r="AO256" s="217"/>
      <c r="AP256" s="217"/>
      <c r="AQ256" s="216">
        <f>ROUND(AQ24+AQ240+AQ244+AQ252,5)</f>
        <v>1.321E-2</v>
      </c>
      <c r="AR256" s="217"/>
      <c r="AS256" s="217"/>
      <c r="AT256" s="216">
        <f>ROUND(AT24+AT240+AT244+AT252,5)</f>
        <v>5.96E-2</v>
      </c>
      <c r="AU256" s="217"/>
      <c r="AV256" s="217"/>
      <c r="AW256" s="216">
        <f>ROUND(AW24+AW240+AW244+AW252,5)</f>
        <v>6.0040000000000003E-2</v>
      </c>
      <c r="AX256" s="217"/>
      <c r="AY256" s="217"/>
      <c r="AZ256" s="216">
        <f>ROUND(AZ24+AZ240+AZ244+AZ252,5)</f>
        <v>5.935E-2</v>
      </c>
      <c r="BA256" s="217"/>
      <c r="BB256" s="217"/>
      <c r="BC256" s="216">
        <f>ROUND(BC24+BC240+BC244+BC252,5)</f>
        <v>5.1589999999999997E-2</v>
      </c>
      <c r="BD256" s="217"/>
      <c r="BE256" s="217"/>
      <c r="BF256" s="216">
        <f>ROUND(BF24+BF240+BF244+BF252,5)</f>
        <v>5.2490000000000002E-2</v>
      </c>
      <c r="BG256" s="217"/>
      <c r="BH256" s="217"/>
      <c r="BI256" s="216">
        <f>ROUND(BI24+BI240+BI244+BI252,5)</f>
        <v>5.1999999999999998E-2</v>
      </c>
      <c r="BJ256" s="217"/>
      <c r="BK256" s="217"/>
      <c r="BL256" s="216">
        <f>ROUND(BL24+BL240+BL244+BL252,5)</f>
        <v>4.7449999999999999E-2</v>
      </c>
      <c r="BM256" s="217"/>
      <c r="BN256" s="217"/>
      <c r="BO256" s="216">
        <f>ROUND(BO24+BO240+BO244+BO252,5)</f>
        <v>4.8070000000000002E-2</v>
      </c>
      <c r="BP256" s="217"/>
      <c r="BQ256" s="338"/>
      <c r="BR256" s="336">
        <f>ROUND(BR24+BR240+BR244+BR252,5)</f>
        <v>4.8309999999999999E-2</v>
      </c>
      <c r="BS256" s="217"/>
      <c r="BT256" s="337"/>
      <c r="BU256" s="216">
        <f>ROUND(BU24+BU240+BU244+BU252,5)</f>
        <v>4.3970000000000002E-2</v>
      </c>
      <c r="BV256" s="217"/>
      <c r="BW256" s="217"/>
      <c r="BX256" s="216">
        <f>ROUND(BX24+BX240+BX244+BX252,5)</f>
        <v>4.4900000000000002E-2</v>
      </c>
      <c r="BY256" s="217"/>
      <c r="BZ256" s="217"/>
      <c r="CA256" s="216">
        <f>ROUND(CA24+CA240+CA244+CA252,5)</f>
        <v>3.8269999999999998E-2</v>
      </c>
      <c r="CB256" s="217"/>
      <c r="CC256" s="217"/>
      <c r="CD256" s="216">
        <f>ROUND(CD24+CD240+CD244+CD252,5)</f>
        <v>3.9129999999999998E-2</v>
      </c>
      <c r="CE256" s="217"/>
      <c r="CF256" s="217"/>
      <c r="CG256" s="216">
        <f>ROUND(CG24+CG240+CG244+CG252,5)</f>
        <v>3.8370000000000001E-2</v>
      </c>
      <c r="CH256" s="217"/>
      <c r="CI256" s="217"/>
      <c r="CJ256" s="216">
        <f>ROUND(CJ24+CJ240+CJ244+CJ252,5)</f>
        <v>3.1309999999999998E-2</v>
      </c>
      <c r="CK256" s="217"/>
      <c r="CL256" s="217"/>
      <c r="CM256" s="216">
        <f>ROUND(CM24+CM240+CM244+CM252,5)</f>
        <v>3.082E-2</v>
      </c>
      <c r="CN256" s="217"/>
      <c r="CO256" s="217"/>
      <c r="CP256" s="216">
        <f>ROUND(CP24+CP240+CP244+CP252,5)</f>
        <v>2.5139999999999999E-2</v>
      </c>
      <c r="CQ256" s="217"/>
      <c r="CR256" s="217"/>
      <c r="CS256" s="216">
        <f>ROUND(CS24+CS240+CS244+CS252,5)</f>
        <v>2.6780000000000002E-2</v>
      </c>
      <c r="CT256" s="217"/>
      <c r="CU256" s="217"/>
      <c r="CV256" s="216">
        <f>ROUND(CV24+CV240+CV244+CV252,5)</f>
        <v>2.7300000000000001E-2</v>
      </c>
      <c r="CW256" s="217"/>
      <c r="CX256" s="217"/>
      <c r="CY256" s="216">
        <f>ROUND(CY24+CY240+CY244+CY252,5)</f>
        <v>1.949E-2</v>
      </c>
      <c r="CZ256" s="217"/>
      <c r="DA256" s="217"/>
      <c r="DB256" s="216">
        <f>ROUND(DB24+DB240+DB244+DB252,5)</f>
        <v>1.6650000000000002E-2</v>
      </c>
      <c r="DC256" s="217"/>
      <c r="DD256" s="217"/>
      <c r="DE256" s="216">
        <f>ROUND(DE24+DE240+DE244+DE252,5)</f>
        <v>2.086E-2</v>
      </c>
      <c r="DF256" s="217"/>
      <c r="DG256" s="217"/>
      <c r="DH256" s="216">
        <f>ROUND(DH24+DH240+DH244+DH252,5)</f>
        <v>1.6469999999999999E-2</v>
      </c>
      <c r="DI256" s="217"/>
      <c r="DJ256" s="217"/>
      <c r="DK256" s="216">
        <f>ROUND(DK24+DK240+DK244+DK252,5)</f>
        <v>1.9019999999999999E-2</v>
      </c>
      <c r="DL256" s="217"/>
      <c r="DM256" s="217"/>
      <c r="DN256" s="216">
        <f>ROUND(DN24+DN240+DN244+DN252,5)</f>
        <v>1.406E-2</v>
      </c>
      <c r="DO256" s="217"/>
      <c r="DP256" s="217"/>
      <c r="DQ256" s="217">
        <f>ROUND(DQ24+DQ240+DQ244+DQ252,5)</f>
        <v>2.5600000000000002E-3</v>
      </c>
      <c r="DR256" s="217"/>
      <c r="DS256" s="217"/>
      <c r="DT256" s="217">
        <f>ROUND(DT24+DT240+DT244+DT252,5)</f>
        <v>3.0100000000000001E-3</v>
      </c>
      <c r="DU256" s="217"/>
      <c r="DV256" s="218"/>
      <c r="DX256" s="145">
        <f>SUM(R256:DV256)</f>
        <v>1</v>
      </c>
      <c r="DY256" s="145">
        <f>SUM(DY24,DY240,DY244,DY252)</f>
        <v>1.0000084289664231</v>
      </c>
      <c r="DZ256" s="1"/>
      <c r="EA256" s="1"/>
      <c r="EB256" s="1"/>
      <c r="EC256" s="7"/>
      <c r="ED256" s="7"/>
    </row>
    <row r="257" spans="7:134" s="6" customFormat="1" ht="9.9499999999999993" customHeight="1" thickBot="1">
      <c r="G257" s="26"/>
      <c r="H257" s="26"/>
      <c r="J257" s="390"/>
      <c r="K257" s="389"/>
      <c r="L257" s="275"/>
      <c r="M257" s="275"/>
      <c r="N257" s="275"/>
      <c r="O257" s="275"/>
      <c r="P257" s="276"/>
      <c r="Q257" s="277"/>
      <c r="R257" s="274"/>
      <c r="S257" s="289"/>
      <c r="T257" s="290"/>
      <c r="U257" s="291"/>
      <c r="V257" s="216"/>
      <c r="W257" s="217"/>
      <c r="X257" s="217"/>
      <c r="Y257" s="216"/>
      <c r="Z257" s="217"/>
      <c r="AA257" s="217"/>
      <c r="AB257" s="216"/>
      <c r="AC257" s="217"/>
      <c r="AD257" s="217"/>
      <c r="AE257" s="216"/>
      <c r="AF257" s="217"/>
      <c r="AG257" s="217"/>
      <c r="AH257" s="216"/>
      <c r="AI257" s="217"/>
      <c r="AJ257" s="217"/>
      <c r="AK257" s="216"/>
      <c r="AL257" s="217"/>
      <c r="AM257" s="217"/>
      <c r="AN257" s="216"/>
      <c r="AO257" s="217"/>
      <c r="AP257" s="217"/>
      <c r="AQ257" s="216"/>
      <c r="AR257" s="217"/>
      <c r="AS257" s="217"/>
      <c r="AT257" s="216"/>
      <c r="AU257" s="217"/>
      <c r="AV257" s="217"/>
      <c r="AW257" s="216"/>
      <c r="AX257" s="217"/>
      <c r="AY257" s="217"/>
      <c r="AZ257" s="216"/>
      <c r="BA257" s="217"/>
      <c r="BB257" s="217"/>
      <c r="BC257" s="216"/>
      <c r="BD257" s="217"/>
      <c r="BE257" s="217"/>
      <c r="BF257" s="216"/>
      <c r="BG257" s="217"/>
      <c r="BH257" s="217"/>
      <c r="BI257" s="216"/>
      <c r="BJ257" s="217"/>
      <c r="BK257" s="217"/>
      <c r="BL257" s="216"/>
      <c r="BM257" s="217"/>
      <c r="BN257" s="217"/>
      <c r="BO257" s="216"/>
      <c r="BP257" s="217"/>
      <c r="BQ257" s="338"/>
      <c r="BR257" s="336"/>
      <c r="BS257" s="217"/>
      <c r="BT257" s="337"/>
      <c r="BU257" s="216"/>
      <c r="BV257" s="217"/>
      <c r="BW257" s="217"/>
      <c r="BX257" s="216"/>
      <c r="BY257" s="217"/>
      <c r="BZ257" s="217"/>
      <c r="CA257" s="216"/>
      <c r="CB257" s="217"/>
      <c r="CC257" s="217"/>
      <c r="CD257" s="216"/>
      <c r="CE257" s="217"/>
      <c r="CF257" s="217"/>
      <c r="CG257" s="216"/>
      <c r="CH257" s="217"/>
      <c r="CI257" s="217"/>
      <c r="CJ257" s="216"/>
      <c r="CK257" s="217"/>
      <c r="CL257" s="217"/>
      <c r="CM257" s="216"/>
      <c r="CN257" s="217"/>
      <c r="CO257" s="217"/>
      <c r="CP257" s="216"/>
      <c r="CQ257" s="217"/>
      <c r="CR257" s="217"/>
      <c r="CS257" s="216"/>
      <c r="CT257" s="217"/>
      <c r="CU257" s="217"/>
      <c r="CV257" s="216"/>
      <c r="CW257" s="217"/>
      <c r="CX257" s="217"/>
      <c r="CY257" s="216"/>
      <c r="CZ257" s="217"/>
      <c r="DA257" s="217"/>
      <c r="DB257" s="216"/>
      <c r="DC257" s="217"/>
      <c r="DD257" s="217"/>
      <c r="DE257" s="216"/>
      <c r="DF257" s="217"/>
      <c r="DG257" s="217"/>
      <c r="DH257" s="216"/>
      <c r="DI257" s="217"/>
      <c r="DJ257" s="217"/>
      <c r="DK257" s="216"/>
      <c r="DL257" s="217"/>
      <c r="DM257" s="217"/>
      <c r="DN257" s="216"/>
      <c r="DO257" s="217"/>
      <c r="DP257" s="217"/>
      <c r="DQ257" s="217"/>
      <c r="DR257" s="217"/>
      <c r="DS257" s="217"/>
      <c r="DT257" s="217"/>
      <c r="DU257" s="217"/>
      <c r="DV257" s="218"/>
      <c r="DX257" s="145"/>
      <c r="DY257" s="145"/>
      <c r="DZ257" s="1"/>
      <c r="EA257" s="1"/>
      <c r="EB257" s="1"/>
      <c r="EC257" s="7"/>
      <c r="ED257" s="7"/>
    </row>
    <row r="258" spans="7:134" s="6" customFormat="1" ht="20.100000000000001" customHeight="1" thickBot="1">
      <c r="G258" s="26"/>
      <c r="H258" s="26"/>
      <c r="J258" s="390"/>
      <c r="K258" s="389"/>
      <c r="L258" s="275" t="s">
        <v>14</v>
      </c>
      <c r="M258" s="275"/>
      <c r="N258" s="275"/>
      <c r="O258" s="275"/>
      <c r="P258" s="275"/>
      <c r="Q258" s="275"/>
      <c r="R258" s="132">
        <f>R256</f>
        <v>0</v>
      </c>
      <c r="S258" s="339">
        <f>R258+S256</f>
        <v>3.0400000000000002E-3</v>
      </c>
      <c r="T258" s="340"/>
      <c r="U258" s="341"/>
      <c r="V258" s="216">
        <f>S258+V256</f>
        <v>5.8500000000000002E-3</v>
      </c>
      <c r="W258" s="217"/>
      <c r="X258" s="217"/>
      <c r="Y258" s="216">
        <f t="shared" ref="Y258" si="213">V258+Y256</f>
        <v>1.008E-2</v>
      </c>
      <c r="Z258" s="217"/>
      <c r="AA258" s="217"/>
      <c r="AB258" s="216">
        <f t="shared" ref="AB258" si="214">Y258+AB256</f>
        <v>1.473E-2</v>
      </c>
      <c r="AC258" s="217"/>
      <c r="AD258" s="217"/>
      <c r="AE258" s="216">
        <f t="shared" ref="AE258" si="215">AB258+AE256</f>
        <v>2.1010000000000001E-2</v>
      </c>
      <c r="AF258" s="217"/>
      <c r="AG258" s="217"/>
      <c r="AH258" s="216">
        <f t="shared" ref="AH258" si="216">AE258+AH256</f>
        <v>3.1350000000000003E-2</v>
      </c>
      <c r="AI258" s="217"/>
      <c r="AJ258" s="217"/>
      <c r="AK258" s="216">
        <f t="shared" ref="AK258" si="217">AH258+AK256</f>
        <v>3.9080000000000004E-2</v>
      </c>
      <c r="AL258" s="217"/>
      <c r="AM258" s="217"/>
      <c r="AN258" s="216">
        <f t="shared" ref="AN258" si="218">AK258+AN256</f>
        <v>4.9780000000000005E-2</v>
      </c>
      <c r="AO258" s="217"/>
      <c r="AP258" s="217"/>
      <c r="AQ258" s="216">
        <f t="shared" ref="AQ258" si="219">AN258+AQ256</f>
        <v>6.2990000000000004E-2</v>
      </c>
      <c r="AR258" s="217"/>
      <c r="AS258" s="217"/>
      <c r="AT258" s="216">
        <f t="shared" ref="AT258" si="220">AQ258+AT256</f>
        <v>0.12259</v>
      </c>
      <c r="AU258" s="217"/>
      <c r="AV258" s="217"/>
      <c r="AW258" s="216">
        <f t="shared" ref="AW258" si="221">AT258+AW256</f>
        <v>0.18263000000000001</v>
      </c>
      <c r="AX258" s="217"/>
      <c r="AY258" s="217"/>
      <c r="AZ258" s="216">
        <f t="shared" ref="AZ258" si="222">AW258+AZ256</f>
        <v>0.24198000000000003</v>
      </c>
      <c r="BA258" s="217"/>
      <c r="BB258" s="217"/>
      <c r="BC258" s="216">
        <f t="shared" ref="BC258" si="223">AZ258+BC256</f>
        <v>0.29357</v>
      </c>
      <c r="BD258" s="217"/>
      <c r="BE258" s="217"/>
      <c r="BF258" s="216">
        <f t="shared" ref="BF258" si="224">BC258+BF256</f>
        <v>0.34605999999999998</v>
      </c>
      <c r="BG258" s="217"/>
      <c r="BH258" s="217"/>
      <c r="BI258" s="216">
        <f t="shared" ref="BI258" si="225">BF258+BI256</f>
        <v>0.39805999999999997</v>
      </c>
      <c r="BJ258" s="217"/>
      <c r="BK258" s="217"/>
      <c r="BL258" s="216">
        <f t="shared" ref="BL258" si="226">BI258+BL256</f>
        <v>0.44550999999999996</v>
      </c>
      <c r="BM258" s="217"/>
      <c r="BN258" s="217"/>
      <c r="BO258" s="216">
        <f t="shared" ref="BO258" si="227">BL258+BO256</f>
        <v>0.49357999999999996</v>
      </c>
      <c r="BP258" s="217"/>
      <c r="BQ258" s="338"/>
      <c r="BR258" s="336">
        <f t="shared" ref="BR258" si="228">BO258+BR256</f>
        <v>0.54188999999999998</v>
      </c>
      <c r="BS258" s="217"/>
      <c r="BT258" s="337"/>
      <c r="BU258" s="216">
        <f t="shared" ref="BU258" si="229">BR258+BU256</f>
        <v>0.58585999999999994</v>
      </c>
      <c r="BV258" s="217"/>
      <c r="BW258" s="217"/>
      <c r="BX258" s="216">
        <f t="shared" ref="BX258" si="230">BU258+BX256</f>
        <v>0.63075999999999999</v>
      </c>
      <c r="BY258" s="217"/>
      <c r="BZ258" s="217"/>
      <c r="CA258" s="216">
        <f t="shared" ref="CA258" si="231">BX258+CA256</f>
        <v>0.66903000000000001</v>
      </c>
      <c r="CB258" s="217"/>
      <c r="CC258" s="217"/>
      <c r="CD258" s="216">
        <f t="shared" ref="CD258" si="232">CA258+CD256</f>
        <v>0.70816000000000001</v>
      </c>
      <c r="CE258" s="217"/>
      <c r="CF258" s="217"/>
      <c r="CG258" s="216">
        <f t="shared" ref="CG258" si="233">CD258+CG256</f>
        <v>0.74653000000000003</v>
      </c>
      <c r="CH258" s="217"/>
      <c r="CI258" s="217"/>
      <c r="CJ258" s="216">
        <f t="shared" ref="CJ258" si="234">CG258+CJ256</f>
        <v>0.77783999999999998</v>
      </c>
      <c r="CK258" s="217"/>
      <c r="CL258" s="217"/>
      <c r="CM258" s="216">
        <f t="shared" ref="CM258" si="235">CJ258+CM256</f>
        <v>0.80865999999999993</v>
      </c>
      <c r="CN258" s="217"/>
      <c r="CO258" s="217"/>
      <c r="CP258" s="216">
        <f t="shared" ref="CP258" si="236">CM258+CP256</f>
        <v>0.83379999999999999</v>
      </c>
      <c r="CQ258" s="217"/>
      <c r="CR258" s="217"/>
      <c r="CS258" s="216">
        <f t="shared" ref="CS258" si="237">CP258+CS256</f>
        <v>0.86058000000000001</v>
      </c>
      <c r="CT258" s="217"/>
      <c r="CU258" s="217"/>
      <c r="CV258" s="216">
        <f t="shared" ref="CV258" si="238">CS258+CV256</f>
        <v>0.88788</v>
      </c>
      <c r="CW258" s="217"/>
      <c r="CX258" s="217"/>
      <c r="CY258" s="216">
        <f t="shared" ref="CY258" si="239">CV258+CY256</f>
        <v>0.90737000000000001</v>
      </c>
      <c r="CZ258" s="217"/>
      <c r="DA258" s="217"/>
      <c r="DB258" s="216">
        <f t="shared" ref="DB258" si="240">CY258+DB256</f>
        <v>0.92402000000000006</v>
      </c>
      <c r="DC258" s="217"/>
      <c r="DD258" s="217"/>
      <c r="DE258" s="216">
        <f t="shared" ref="DE258" si="241">DB258+DE256</f>
        <v>0.94488000000000005</v>
      </c>
      <c r="DF258" s="217"/>
      <c r="DG258" s="217"/>
      <c r="DH258" s="216">
        <f t="shared" ref="DH258" si="242">DE258+DH256</f>
        <v>0.96135000000000004</v>
      </c>
      <c r="DI258" s="217"/>
      <c r="DJ258" s="217"/>
      <c r="DK258" s="216">
        <f t="shared" ref="DK258" si="243">DH258+DK256</f>
        <v>0.98037000000000007</v>
      </c>
      <c r="DL258" s="217"/>
      <c r="DM258" s="217"/>
      <c r="DN258" s="216">
        <f t="shared" ref="DN258" si="244">DK258+DN256</f>
        <v>0.99443000000000004</v>
      </c>
      <c r="DO258" s="217"/>
      <c r="DP258" s="217"/>
      <c r="DQ258" s="216">
        <f t="shared" ref="DQ258" si="245">DN258+DQ256</f>
        <v>0.99699000000000004</v>
      </c>
      <c r="DR258" s="217"/>
      <c r="DS258" s="217"/>
      <c r="DT258" s="217">
        <f t="shared" ref="DT258" si="246">DQ258+DT256</f>
        <v>1</v>
      </c>
      <c r="DU258" s="217"/>
      <c r="DV258" s="218"/>
      <c r="DX258" s="36">
        <f>DX24+DX240+DX244+DX252</f>
        <v>1</v>
      </c>
      <c r="DY258" s="1"/>
      <c r="DZ258" s="1"/>
      <c r="EA258" s="1"/>
      <c r="EB258" s="1"/>
      <c r="EC258" s="7"/>
      <c r="ED258" s="7"/>
    </row>
    <row r="259" spans="7:134" s="6" customFormat="1" ht="20.100000000000001" customHeight="1" thickBot="1">
      <c r="G259" s="26"/>
      <c r="H259" s="26"/>
      <c r="J259" s="37"/>
      <c r="K259" s="28"/>
      <c r="L259" s="275" t="s">
        <v>291</v>
      </c>
      <c r="M259" s="275"/>
      <c r="N259" s="275"/>
      <c r="O259" s="275"/>
      <c r="P259" s="275"/>
      <c r="Q259" s="275"/>
      <c r="R259" s="35"/>
      <c r="S259" s="403">
        <f>TRUNC(S256*$P$256)</f>
        <v>632914</v>
      </c>
      <c r="T259" s="404"/>
      <c r="U259" s="405"/>
      <c r="V259" s="403">
        <f>TRUNC(V256*$P$256)</f>
        <v>585029</v>
      </c>
      <c r="W259" s="404"/>
      <c r="X259" s="405"/>
      <c r="Y259" s="403">
        <f t="shared" ref="Y259" si="247">TRUNC(Y256*$P$256)</f>
        <v>880666</v>
      </c>
      <c r="Z259" s="404"/>
      <c r="AA259" s="405"/>
      <c r="AB259" s="403">
        <f t="shared" ref="AB259" si="248">TRUNC(AB256*$P$256)</f>
        <v>968108</v>
      </c>
      <c r="AC259" s="404"/>
      <c r="AD259" s="405"/>
      <c r="AE259" s="403">
        <f t="shared" ref="AE259" si="249">TRUNC(AE256*$P$256)</f>
        <v>1307467</v>
      </c>
      <c r="AF259" s="404"/>
      <c r="AG259" s="405"/>
      <c r="AH259" s="403">
        <f t="shared" ref="AH259" si="250">TRUNC(AH256*$P$256)</f>
        <v>2152740</v>
      </c>
      <c r="AI259" s="404"/>
      <c r="AJ259" s="405"/>
      <c r="AK259" s="403">
        <f t="shared" ref="AK259" si="251">TRUNC(AK256*$P$256)</f>
        <v>1609350</v>
      </c>
      <c r="AL259" s="404"/>
      <c r="AM259" s="405"/>
      <c r="AN259" s="403">
        <f t="shared" ref="AN259" si="252">TRUNC(AN256*$P$256)</f>
        <v>2227691</v>
      </c>
      <c r="AO259" s="404"/>
      <c r="AP259" s="405"/>
      <c r="AQ259" s="403">
        <f t="shared" ref="AQ259" si="253">TRUNC(AQ256*$P$256)</f>
        <v>2750261</v>
      </c>
      <c r="AR259" s="404"/>
      <c r="AS259" s="405"/>
      <c r="AT259" s="403">
        <f t="shared" ref="AT259" si="254">TRUNC(AT256*$P$256)</f>
        <v>12408449</v>
      </c>
      <c r="AU259" s="404"/>
      <c r="AV259" s="405"/>
      <c r="AW259" s="403">
        <f t="shared" ref="AW259" si="255">TRUNC(AW256*$P$256)</f>
        <v>12500055</v>
      </c>
      <c r="AX259" s="404"/>
      <c r="AY259" s="405"/>
      <c r="AZ259" s="403">
        <f t="shared" ref="AZ259" si="256">TRUNC(AZ256*$P$256)</f>
        <v>12356400</v>
      </c>
      <c r="BA259" s="404"/>
      <c r="BB259" s="405"/>
      <c r="BC259" s="403">
        <f t="shared" ref="BC259" si="257">TRUNC(BC256*$P$256)</f>
        <v>10740803</v>
      </c>
      <c r="BD259" s="404"/>
      <c r="BE259" s="405"/>
      <c r="BF259" s="403">
        <f t="shared" ref="BF259" si="258">TRUNC(BF256*$P$256)</f>
        <v>10928179</v>
      </c>
      <c r="BG259" s="404"/>
      <c r="BH259" s="405"/>
      <c r="BI259" s="403">
        <f t="shared" ref="BI259" si="259">TRUNC(BI256*$P$256)</f>
        <v>10826163</v>
      </c>
      <c r="BJ259" s="404"/>
      <c r="BK259" s="405"/>
      <c r="BL259" s="403">
        <f t="shared" ref="BL259" si="260">TRUNC(BL256*$P$256)</f>
        <v>9878874</v>
      </c>
      <c r="BM259" s="404"/>
      <c r="BN259" s="405"/>
      <c r="BO259" s="403">
        <f t="shared" ref="BO259" si="261">TRUNC(BO256*$P$256)</f>
        <v>10007955</v>
      </c>
      <c r="BP259" s="404"/>
      <c r="BQ259" s="405"/>
      <c r="BR259" s="403">
        <f t="shared" ref="BR259" si="262">TRUNC(BR256*$P$256)</f>
        <v>10057922</v>
      </c>
      <c r="BS259" s="404"/>
      <c r="BT259" s="405"/>
      <c r="BU259" s="403">
        <f t="shared" ref="BU259" si="263">TRUNC(BU256*$P$256)</f>
        <v>9154354</v>
      </c>
      <c r="BV259" s="404"/>
      <c r="BW259" s="405"/>
      <c r="BX259" s="403">
        <f t="shared" ref="BX259" si="264">TRUNC(BX256*$P$256)</f>
        <v>9347975</v>
      </c>
      <c r="BY259" s="404"/>
      <c r="BZ259" s="405"/>
      <c r="CA259" s="403">
        <f t="shared" ref="CA259" si="265">TRUNC(CA256*$P$256)</f>
        <v>7967640</v>
      </c>
      <c r="CB259" s="404"/>
      <c r="CC259" s="405"/>
      <c r="CD259" s="403">
        <f t="shared" ref="CD259" si="266">TRUNC(CD256*$P$256)</f>
        <v>8146688</v>
      </c>
      <c r="CE259" s="404"/>
      <c r="CF259" s="405"/>
      <c r="CG259" s="403">
        <f t="shared" ref="CG259" si="267">TRUNC(CG256*$P$256)</f>
        <v>7988459</v>
      </c>
      <c r="CH259" s="404"/>
      <c r="CI259" s="405"/>
      <c r="CJ259" s="403">
        <f t="shared" ref="CJ259" si="268">TRUNC(CJ256*$P$256)</f>
        <v>6518599</v>
      </c>
      <c r="CK259" s="404"/>
      <c r="CL259" s="405"/>
      <c r="CM259" s="403">
        <f t="shared" ref="CM259" si="269">TRUNC(CM256*$P$256)</f>
        <v>6416583</v>
      </c>
      <c r="CN259" s="404"/>
      <c r="CO259" s="405"/>
      <c r="CP259" s="403">
        <f t="shared" ref="CP259" si="270">TRUNC(CP256*$P$256)</f>
        <v>5234033</v>
      </c>
      <c r="CQ259" s="404"/>
      <c r="CR259" s="405"/>
      <c r="CS259" s="403">
        <f t="shared" ref="CS259" si="271">TRUNC(CS256*$P$256)</f>
        <v>5575474</v>
      </c>
      <c r="CT259" s="404"/>
      <c r="CU259" s="405"/>
      <c r="CV259" s="403">
        <f t="shared" ref="CV259" si="272">TRUNC(CV256*$P$256)</f>
        <v>5683735</v>
      </c>
      <c r="CW259" s="404"/>
      <c r="CX259" s="405"/>
      <c r="CY259" s="403">
        <f t="shared" ref="CY259" si="273">TRUNC(CY256*$P$256)</f>
        <v>4057729</v>
      </c>
      <c r="CZ259" s="404"/>
      <c r="DA259" s="405"/>
      <c r="DB259" s="403">
        <f t="shared" ref="DB259" si="274">TRUNC(DB256*$P$256)</f>
        <v>3466454</v>
      </c>
      <c r="DC259" s="404"/>
      <c r="DD259" s="405"/>
      <c r="DE259" s="403">
        <f t="shared" ref="DE259" si="275">TRUNC(DE256*$P$256)</f>
        <v>4342957</v>
      </c>
      <c r="DF259" s="404"/>
      <c r="DG259" s="405"/>
      <c r="DH259" s="403">
        <f t="shared" ref="DH259" si="276">TRUNC(DH256*$P$256)</f>
        <v>3428979</v>
      </c>
      <c r="DI259" s="404"/>
      <c r="DJ259" s="405"/>
      <c r="DK259" s="403">
        <f t="shared" ref="DK259" si="277">TRUNC(DK256*$P$256)</f>
        <v>3959877</v>
      </c>
      <c r="DL259" s="404"/>
      <c r="DM259" s="405"/>
      <c r="DN259" s="403">
        <f t="shared" ref="DN259" si="278">TRUNC(DN256*$P$256)</f>
        <v>2927228</v>
      </c>
      <c r="DO259" s="404"/>
      <c r="DP259" s="405"/>
      <c r="DQ259" s="403">
        <f t="shared" ref="DQ259" si="279">TRUNC(DQ256*$P$256)</f>
        <v>532980</v>
      </c>
      <c r="DR259" s="404"/>
      <c r="DS259" s="405"/>
      <c r="DT259" s="403">
        <f>TRUNC(DT256*$P$256)+16</f>
        <v>626684</v>
      </c>
      <c r="DU259" s="404"/>
      <c r="DV259" s="406"/>
      <c r="DX259" s="36"/>
      <c r="DY259" s="1"/>
      <c r="DZ259" s="1"/>
      <c r="EA259" s="1"/>
      <c r="EB259" s="1"/>
      <c r="EC259" s="7"/>
      <c r="ED259" s="7"/>
    </row>
    <row r="260" spans="7:134" s="6" customFormat="1" ht="20.100000000000001" customHeight="1" thickBot="1">
      <c r="G260" s="26"/>
      <c r="H260" s="26"/>
      <c r="J260" s="37"/>
      <c r="K260" s="28"/>
      <c r="L260" s="275" t="s">
        <v>292</v>
      </c>
      <c r="M260" s="275"/>
      <c r="N260" s="275"/>
      <c r="O260" s="275"/>
      <c r="P260" s="275"/>
      <c r="Q260" s="275"/>
      <c r="R260" s="39"/>
      <c r="S260" s="403">
        <f>S259</f>
        <v>632914</v>
      </c>
      <c r="T260" s="404"/>
      <c r="U260" s="405"/>
      <c r="V260" s="403">
        <f>S260+V259</f>
        <v>1217943</v>
      </c>
      <c r="W260" s="404"/>
      <c r="X260" s="405"/>
      <c r="Y260" s="403">
        <f t="shared" ref="Y260" si="280">V260+Y259</f>
        <v>2098609</v>
      </c>
      <c r="Z260" s="404"/>
      <c r="AA260" s="405"/>
      <c r="AB260" s="403">
        <f t="shared" ref="AB260" si="281">Y260+AB259</f>
        <v>3066717</v>
      </c>
      <c r="AC260" s="404"/>
      <c r="AD260" s="405"/>
      <c r="AE260" s="403">
        <f t="shared" ref="AE260" si="282">AB260+AE259</f>
        <v>4374184</v>
      </c>
      <c r="AF260" s="404"/>
      <c r="AG260" s="405"/>
      <c r="AH260" s="403">
        <f t="shared" ref="AH260" si="283">AE260+AH259</f>
        <v>6526924</v>
      </c>
      <c r="AI260" s="404"/>
      <c r="AJ260" s="405"/>
      <c r="AK260" s="403">
        <f t="shared" ref="AK260" si="284">AH260+AK259</f>
        <v>8136274</v>
      </c>
      <c r="AL260" s="404"/>
      <c r="AM260" s="405"/>
      <c r="AN260" s="403">
        <f t="shared" ref="AN260" si="285">AK260+AN259</f>
        <v>10363965</v>
      </c>
      <c r="AO260" s="404"/>
      <c r="AP260" s="405"/>
      <c r="AQ260" s="403">
        <f t="shared" ref="AQ260" si="286">AN260+AQ259</f>
        <v>13114226</v>
      </c>
      <c r="AR260" s="404"/>
      <c r="AS260" s="405"/>
      <c r="AT260" s="403">
        <f t="shared" ref="AT260" si="287">AQ260+AT259</f>
        <v>25522675</v>
      </c>
      <c r="AU260" s="404"/>
      <c r="AV260" s="405"/>
      <c r="AW260" s="403">
        <f t="shared" ref="AW260" si="288">AT260+AW259</f>
        <v>38022730</v>
      </c>
      <c r="AX260" s="404"/>
      <c r="AY260" s="405"/>
      <c r="AZ260" s="403">
        <f t="shared" ref="AZ260" si="289">AW260+AZ259</f>
        <v>50379130</v>
      </c>
      <c r="BA260" s="404"/>
      <c r="BB260" s="405"/>
      <c r="BC260" s="403">
        <f t="shared" ref="BC260" si="290">AZ260+BC259</f>
        <v>61119933</v>
      </c>
      <c r="BD260" s="404"/>
      <c r="BE260" s="405"/>
      <c r="BF260" s="403">
        <f t="shared" ref="BF260" si="291">BC260+BF259</f>
        <v>72048112</v>
      </c>
      <c r="BG260" s="404"/>
      <c r="BH260" s="405"/>
      <c r="BI260" s="403">
        <f t="shared" ref="BI260" si="292">BF260+BI259</f>
        <v>82874275</v>
      </c>
      <c r="BJ260" s="404"/>
      <c r="BK260" s="405"/>
      <c r="BL260" s="403">
        <f t="shared" ref="BL260" si="293">BI260+BL259</f>
        <v>92753149</v>
      </c>
      <c r="BM260" s="404"/>
      <c r="BN260" s="405"/>
      <c r="BO260" s="403">
        <f t="shared" ref="BO260" si="294">BL260+BO259</f>
        <v>102761104</v>
      </c>
      <c r="BP260" s="404"/>
      <c r="BQ260" s="405"/>
      <c r="BR260" s="403">
        <f t="shared" ref="BR260" si="295">BO260+BR259</f>
        <v>112819026</v>
      </c>
      <c r="BS260" s="404"/>
      <c r="BT260" s="405"/>
      <c r="BU260" s="403">
        <f t="shared" ref="BU260" si="296">BR260+BU259</f>
        <v>121973380</v>
      </c>
      <c r="BV260" s="404"/>
      <c r="BW260" s="405"/>
      <c r="BX260" s="403">
        <f t="shared" ref="BX260" si="297">BU260+BX259</f>
        <v>131321355</v>
      </c>
      <c r="BY260" s="404"/>
      <c r="BZ260" s="405"/>
      <c r="CA260" s="403">
        <f t="shared" ref="CA260" si="298">BX260+CA259</f>
        <v>139288995</v>
      </c>
      <c r="CB260" s="404"/>
      <c r="CC260" s="405"/>
      <c r="CD260" s="403">
        <f t="shared" ref="CD260" si="299">CA260+CD259</f>
        <v>147435683</v>
      </c>
      <c r="CE260" s="404"/>
      <c r="CF260" s="405"/>
      <c r="CG260" s="403">
        <f t="shared" ref="CG260" si="300">CD260+CG259</f>
        <v>155424142</v>
      </c>
      <c r="CH260" s="404"/>
      <c r="CI260" s="405"/>
      <c r="CJ260" s="403">
        <f t="shared" ref="CJ260" si="301">CG260+CJ259</f>
        <v>161942741</v>
      </c>
      <c r="CK260" s="404"/>
      <c r="CL260" s="405"/>
      <c r="CM260" s="403">
        <f t="shared" ref="CM260" si="302">CJ260+CM259</f>
        <v>168359324</v>
      </c>
      <c r="CN260" s="404"/>
      <c r="CO260" s="405"/>
      <c r="CP260" s="403">
        <f t="shared" ref="CP260" si="303">CM260+CP259</f>
        <v>173593357</v>
      </c>
      <c r="CQ260" s="404"/>
      <c r="CR260" s="405"/>
      <c r="CS260" s="403">
        <f t="shared" ref="CS260" si="304">CP260+CS259</f>
        <v>179168831</v>
      </c>
      <c r="CT260" s="404"/>
      <c r="CU260" s="405"/>
      <c r="CV260" s="403">
        <f t="shared" ref="CV260" si="305">CS260+CV259</f>
        <v>184852566</v>
      </c>
      <c r="CW260" s="404"/>
      <c r="CX260" s="405"/>
      <c r="CY260" s="403">
        <f t="shared" ref="CY260" si="306">CV260+CY259</f>
        <v>188910295</v>
      </c>
      <c r="CZ260" s="404"/>
      <c r="DA260" s="405"/>
      <c r="DB260" s="403">
        <f t="shared" ref="DB260" si="307">CY260+DB259</f>
        <v>192376749</v>
      </c>
      <c r="DC260" s="404"/>
      <c r="DD260" s="405"/>
      <c r="DE260" s="403">
        <f t="shared" ref="DE260" si="308">DB260+DE259</f>
        <v>196719706</v>
      </c>
      <c r="DF260" s="404"/>
      <c r="DG260" s="405"/>
      <c r="DH260" s="403">
        <f t="shared" ref="DH260" si="309">DE260+DH259</f>
        <v>200148685</v>
      </c>
      <c r="DI260" s="404"/>
      <c r="DJ260" s="405"/>
      <c r="DK260" s="403">
        <f t="shared" ref="DK260" si="310">DH260+DK259</f>
        <v>204108562</v>
      </c>
      <c r="DL260" s="404"/>
      <c r="DM260" s="405"/>
      <c r="DN260" s="403">
        <f t="shared" ref="DN260" si="311">DK260+DN259</f>
        <v>207035790</v>
      </c>
      <c r="DO260" s="404"/>
      <c r="DP260" s="405"/>
      <c r="DQ260" s="403">
        <f t="shared" ref="DQ260" si="312">DN260+DQ259</f>
        <v>207568770</v>
      </c>
      <c r="DR260" s="404"/>
      <c r="DS260" s="405"/>
      <c r="DT260" s="403">
        <f t="shared" ref="DT260" si="313">DQ260+DT259</f>
        <v>208195454</v>
      </c>
      <c r="DU260" s="404"/>
      <c r="DV260" s="406"/>
      <c r="DX260" s="36"/>
      <c r="DY260" s="1"/>
      <c r="DZ260" s="1"/>
      <c r="EA260" s="1"/>
      <c r="EB260" s="1"/>
      <c r="EC260" s="7"/>
      <c r="ED260" s="7"/>
    </row>
    <row r="261" spans="7:134" s="6" customFormat="1" ht="23.1" customHeight="1">
      <c r="G261" s="26"/>
      <c r="H261" s="26"/>
      <c r="L261" s="6" t="s">
        <v>299</v>
      </c>
      <c r="M261" s="10"/>
      <c r="Q261" s="133"/>
      <c r="S261" s="137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  <c r="AZ261" s="351"/>
      <c r="BA261" s="351"/>
      <c r="BB261" s="351"/>
      <c r="BC261" s="351"/>
      <c r="BD261" s="351"/>
      <c r="BE261" s="351"/>
      <c r="BF261" s="351"/>
      <c r="BG261" s="351"/>
      <c r="BH261" s="351"/>
      <c r="BI261" s="351"/>
      <c r="BJ261" s="351"/>
      <c r="BK261" s="351"/>
      <c r="BL261" s="351"/>
      <c r="BM261" s="351"/>
      <c r="BN261" s="351"/>
      <c r="BO261" s="351"/>
      <c r="BP261" s="351"/>
      <c r="BQ261" s="351"/>
      <c r="BR261" s="351"/>
      <c r="BS261" s="351"/>
      <c r="BT261" s="351"/>
      <c r="BU261" s="351"/>
      <c r="BV261" s="351"/>
      <c r="BW261" s="351"/>
      <c r="BX261" s="351"/>
      <c r="BY261" s="351"/>
      <c r="BZ261" s="351"/>
      <c r="CA261" s="351"/>
      <c r="CB261" s="351"/>
      <c r="CC261" s="351"/>
      <c r="CD261" s="351"/>
      <c r="CE261" s="351"/>
      <c r="CF261" s="351"/>
      <c r="CG261" s="351"/>
      <c r="CH261" s="351"/>
      <c r="CI261" s="351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X261" s="45"/>
      <c r="DY261" s="1"/>
      <c r="DZ261" s="1"/>
      <c r="EA261" s="1"/>
      <c r="EB261" s="1"/>
      <c r="EC261" s="7"/>
      <c r="ED261" s="7"/>
    </row>
    <row r="262" spans="7:134" s="6" customFormat="1" ht="13.5">
      <c r="G262" s="26"/>
      <c r="H262" s="26"/>
      <c r="M262" s="134">
        <v>155043154</v>
      </c>
      <c r="N262" s="17"/>
      <c r="O262" s="37"/>
      <c r="P262" s="32"/>
      <c r="Q262" s="37"/>
      <c r="R262" s="37"/>
      <c r="S262" s="139">
        <f>ROUND(S256/3,8)</f>
        <v>1.01333E-3</v>
      </c>
      <c r="T262" s="139">
        <f>ROUND(S256/3,8)</f>
        <v>1.01333E-3</v>
      </c>
      <c r="U262" s="139">
        <f>ROUND(S256/3,8)</f>
        <v>1.01333E-3</v>
      </c>
      <c r="V262" s="139">
        <f>ROUND(V256/3,8)</f>
        <v>9.3667000000000002E-4</v>
      </c>
      <c r="W262" s="139">
        <f>ROUND(V256/3,8)</f>
        <v>9.3667000000000002E-4</v>
      </c>
      <c r="X262" s="139">
        <f>ROUND(V256/3,8)</f>
        <v>9.3667000000000002E-4</v>
      </c>
      <c r="Y262" s="139">
        <f>ROUND(Y256/3,8)</f>
        <v>1.41E-3</v>
      </c>
      <c r="Z262" s="139">
        <f>ROUND(Y256/3,8)</f>
        <v>1.41E-3</v>
      </c>
      <c r="AA262" s="139">
        <f>ROUND(Y256/3,8)</f>
        <v>1.41E-3</v>
      </c>
      <c r="AB262" s="139">
        <f t="shared" ref="AB262" si="314">ROUND(AB256/3,8)</f>
        <v>1.5499999999999999E-3</v>
      </c>
      <c r="AC262" s="139">
        <f t="shared" ref="AC262" si="315">ROUND(AB256/3,8)</f>
        <v>1.5499999999999999E-3</v>
      </c>
      <c r="AD262" s="139">
        <f t="shared" ref="AD262" si="316">ROUND(AB256/3,8)</f>
        <v>1.5499999999999999E-3</v>
      </c>
      <c r="AE262" s="139">
        <f t="shared" ref="AE262" si="317">ROUND(AE256/3,8)</f>
        <v>2.09333E-3</v>
      </c>
      <c r="AF262" s="139">
        <f t="shared" ref="AF262" si="318">ROUND(AE256/3,8)</f>
        <v>2.09333E-3</v>
      </c>
      <c r="AG262" s="139">
        <f t="shared" ref="AG262" si="319">ROUND(AE256/3,8)</f>
        <v>2.09333E-3</v>
      </c>
      <c r="AH262" s="139">
        <f t="shared" ref="AH262" si="320">ROUND(AH256/3,8)</f>
        <v>3.4466700000000002E-3</v>
      </c>
      <c r="AI262" s="139">
        <f t="shared" ref="AI262" si="321">ROUND(AH256/3,8)</f>
        <v>3.4466700000000002E-3</v>
      </c>
      <c r="AJ262" s="139">
        <f t="shared" ref="AJ262" si="322">ROUND(AH256/3,8)</f>
        <v>3.4466700000000002E-3</v>
      </c>
      <c r="AK262" s="139">
        <f t="shared" ref="AK262" si="323">ROUND(AK256/3,8)</f>
        <v>2.5766700000000001E-3</v>
      </c>
      <c r="AL262" s="139">
        <f t="shared" ref="AL262" si="324">ROUND(AK256/3,8)</f>
        <v>2.5766700000000001E-3</v>
      </c>
      <c r="AM262" s="139">
        <f t="shared" ref="AM262" si="325">ROUND(AK256/3,8)</f>
        <v>2.5766700000000001E-3</v>
      </c>
      <c r="AN262" s="139">
        <f t="shared" ref="AN262" si="326">ROUND(AN256/3,8)</f>
        <v>3.5666700000000001E-3</v>
      </c>
      <c r="AO262" s="139">
        <f t="shared" ref="AO262" si="327">ROUND(AN256/3,8)</f>
        <v>3.5666700000000001E-3</v>
      </c>
      <c r="AP262" s="139">
        <f t="shared" ref="AP262" si="328">ROUND(AN256/3,8)</f>
        <v>3.5666700000000001E-3</v>
      </c>
      <c r="AQ262" s="139">
        <f t="shared" ref="AQ262" si="329">ROUND(AQ256/3,8)</f>
        <v>4.4033299999999996E-3</v>
      </c>
      <c r="AR262" s="139">
        <f t="shared" ref="AR262" si="330">ROUND(AQ256/3,8)</f>
        <v>4.4033299999999996E-3</v>
      </c>
      <c r="AS262" s="139">
        <f t="shared" ref="AS262" si="331">ROUND(AQ256/3,8)</f>
        <v>4.4033299999999996E-3</v>
      </c>
      <c r="AT262" s="139">
        <f t="shared" ref="AT262" si="332">ROUND(AT256/3,8)</f>
        <v>1.9866669999999999E-2</v>
      </c>
      <c r="AU262" s="139">
        <f t="shared" ref="AU262" si="333">ROUND(AT256/3,8)</f>
        <v>1.9866669999999999E-2</v>
      </c>
      <c r="AV262" s="139">
        <f t="shared" ref="AV262" si="334">ROUND(AT256/3,8)</f>
        <v>1.9866669999999999E-2</v>
      </c>
      <c r="AW262" s="139">
        <f t="shared" ref="AW262" si="335">ROUND(AW256/3,8)</f>
        <v>2.0013329999999999E-2</v>
      </c>
      <c r="AX262" s="139">
        <f t="shared" ref="AX262" si="336">ROUND(AW256/3,8)</f>
        <v>2.0013329999999999E-2</v>
      </c>
      <c r="AY262" s="139">
        <f t="shared" ref="AY262" si="337">ROUND(AW256/3,8)</f>
        <v>2.0013329999999999E-2</v>
      </c>
      <c r="AZ262" s="139">
        <f t="shared" ref="AZ262" si="338">ROUND(AZ256/3,8)</f>
        <v>1.9783329999999998E-2</v>
      </c>
      <c r="BA262" s="139">
        <f t="shared" ref="BA262" si="339">ROUND(AZ256/3,8)</f>
        <v>1.9783329999999998E-2</v>
      </c>
      <c r="BB262" s="139">
        <f t="shared" ref="BB262" si="340">ROUND(AZ256/3,8)</f>
        <v>1.9783329999999998E-2</v>
      </c>
      <c r="BC262" s="139">
        <f t="shared" ref="BC262" si="341">ROUND(BC256/3,8)</f>
        <v>1.7196670000000001E-2</v>
      </c>
      <c r="BD262" s="139">
        <f t="shared" ref="BD262" si="342">ROUND(BC256/3,8)</f>
        <v>1.7196670000000001E-2</v>
      </c>
      <c r="BE262" s="139">
        <f t="shared" ref="BE262" si="343">ROUND(BC256/3,8)</f>
        <v>1.7196670000000001E-2</v>
      </c>
      <c r="BF262" s="139">
        <f t="shared" ref="BF262" si="344">ROUND(BF256/3,8)</f>
        <v>1.7496669999999999E-2</v>
      </c>
      <c r="BG262" s="139">
        <f t="shared" ref="BG262" si="345">ROUND(BF256/3,8)</f>
        <v>1.7496669999999999E-2</v>
      </c>
      <c r="BH262" s="139">
        <f t="shared" ref="BH262" si="346">ROUND(BF256/3,8)</f>
        <v>1.7496669999999999E-2</v>
      </c>
      <c r="BI262" s="139">
        <f t="shared" ref="BI262" si="347">ROUND(BI256/3,8)</f>
        <v>1.7333330000000001E-2</v>
      </c>
      <c r="BJ262" s="139">
        <f t="shared" ref="BJ262" si="348">ROUND(BI256/3,8)</f>
        <v>1.7333330000000001E-2</v>
      </c>
      <c r="BK262" s="139">
        <f t="shared" ref="BK262" si="349">ROUND(BI256/3,8)</f>
        <v>1.7333330000000001E-2</v>
      </c>
      <c r="BL262" s="33">
        <f t="shared" ref="BL262" si="350">ROUND(BL256/3,8)</f>
        <v>1.5816670000000001E-2</v>
      </c>
      <c r="BM262" s="33">
        <f t="shared" ref="BM262" si="351">ROUND(BL256/3,8)</f>
        <v>1.5816670000000001E-2</v>
      </c>
      <c r="BN262" s="33">
        <f t="shared" ref="BN262" si="352">ROUND(BL256/3,8)</f>
        <v>1.5816670000000001E-2</v>
      </c>
      <c r="BO262" s="33">
        <f t="shared" ref="BO262" si="353">ROUND(BO256/3,8)</f>
        <v>1.6023329999999999E-2</v>
      </c>
      <c r="BP262" s="33">
        <f t="shared" ref="BP262" si="354">ROUND(BO256/3,8)</f>
        <v>1.6023329999999999E-2</v>
      </c>
      <c r="BQ262" s="33">
        <f t="shared" ref="BQ262" si="355">ROUND(BO256/3,8)</f>
        <v>1.6023329999999999E-2</v>
      </c>
      <c r="BR262" s="33">
        <f t="shared" ref="BR262" si="356">ROUND(BR256/3,8)</f>
        <v>1.6103329999999999E-2</v>
      </c>
      <c r="BS262" s="33">
        <f t="shared" ref="BS262" si="357">ROUND(BR256/3,8)</f>
        <v>1.6103329999999999E-2</v>
      </c>
      <c r="BT262" s="33">
        <f t="shared" ref="BT262" si="358">ROUND(BR256/3,8)</f>
        <v>1.6103329999999999E-2</v>
      </c>
      <c r="BU262" s="33">
        <f t="shared" ref="BU262" si="359">ROUND(BU256/3,8)</f>
        <v>1.465667E-2</v>
      </c>
      <c r="BV262" s="33">
        <f t="shared" ref="BV262" si="360">ROUND(BU256/3,8)</f>
        <v>1.465667E-2</v>
      </c>
      <c r="BW262" s="33">
        <f t="shared" ref="BW262" si="361">ROUND(BU256/3,8)</f>
        <v>1.465667E-2</v>
      </c>
      <c r="BX262" s="33">
        <f t="shared" ref="BX262" si="362">ROUND(BX256/3,8)</f>
        <v>1.496667E-2</v>
      </c>
      <c r="BY262" s="33">
        <f t="shared" ref="BY262" si="363">ROUND(BX256/3,8)</f>
        <v>1.496667E-2</v>
      </c>
      <c r="BZ262" s="33">
        <f t="shared" ref="BZ262" si="364">ROUND(BX256/3,8)</f>
        <v>1.496667E-2</v>
      </c>
      <c r="CA262" s="33">
        <f t="shared" ref="CA262" si="365">ROUND(CA256/3,8)</f>
        <v>1.2756669999999999E-2</v>
      </c>
      <c r="CB262" s="33">
        <f t="shared" ref="CB262" si="366">ROUND(CA256/3,8)</f>
        <v>1.2756669999999999E-2</v>
      </c>
      <c r="CC262" s="33">
        <f t="shared" ref="CC262" si="367">ROUND(CA256/3,8)</f>
        <v>1.2756669999999999E-2</v>
      </c>
      <c r="CD262" s="33">
        <f t="shared" ref="CD262" si="368">ROUND(CD256/3,8)</f>
        <v>1.3043330000000001E-2</v>
      </c>
      <c r="CE262" s="33">
        <f t="shared" ref="CE262" si="369">ROUND(CD256/3,8)</f>
        <v>1.3043330000000001E-2</v>
      </c>
      <c r="CF262" s="33">
        <f t="shared" ref="CF262" si="370">ROUND(CD256/3,8)</f>
        <v>1.3043330000000001E-2</v>
      </c>
      <c r="CG262" s="33">
        <f t="shared" ref="CG262" si="371">ROUND(CG256/3,8)</f>
        <v>1.2789999999999999E-2</v>
      </c>
      <c r="CH262" s="33">
        <f t="shared" ref="CH262" si="372">ROUND(CG256/3,8)</f>
        <v>1.2789999999999999E-2</v>
      </c>
      <c r="CI262" s="33">
        <f t="shared" ref="CI262" si="373">ROUND(CG256/3,8)</f>
        <v>1.2789999999999999E-2</v>
      </c>
      <c r="CJ262" s="33">
        <f t="shared" ref="CJ262" si="374">ROUND(CJ256/3,8)</f>
        <v>1.043667E-2</v>
      </c>
      <c r="CK262" s="33">
        <f t="shared" ref="CK262" si="375">ROUND(CJ256/3,8)</f>
        <v>1.043667E-2</v>
      </c>
      <c r="CL262" s="33">
        <f t="shared" ref="CL262" si="376">ROUND(CJ256/3,8)</f>
        <v>1.043667E-2</v>
      </c>
      <c r="CM262" s="33">
        <f t="shared" ref="CM262" si="377">ROUND(CM256/3,8)</f>
        <v>1.0273330000000001E-2</v>
      </c>
      <c r="CN262" s="33">
        <f t="shared" ref="CN262" si="378">ROUND(CM256/3,8)</f>
        <v>1.0273330000000001E-2</v>
      </c>
      <c r="CO262" s="33">
        <f t="shared" ref="CO262" si="379">ROUND(CM256/3,8)</f>
        <v>1.0273330000000001E-2</v>
      </c>
      <c r="CP262" s="33">
        <f t="shared" ref="CP262" si="380">ROUND(CP256/3,8)</f>
        <v>8.3800000000000003E-3</v>
      </c>
      <c r="CQ262" s="33">
        <f t="shared" ref="CQ262" si="381">ROUND(CP256/3,8)</f>
        <v>8.3800000000000003E-3</v>
      </c>
      <c r="CR262" s="33">
        <f t="shared" ref="CR262" si="382">ROUND(CP256/3,8)</f>
        <v>8.3800000000000003E-3</v>
      </c>
      <c r="CS262" s="33">
        <f t="shared" ref="CS262" si="383">ROUND(CS256/3,8)</f>
        <v>8.9266699999999994E-3</v>
      </c>
      <c r="CT262" s="33">
        <f t="shared" ref="CT262" si="384">ROUND(CS256/3,8)</f>
        <v>8.9266699999999994E-3</v>
      </c>
      <c r="CU262" s="33">
        <f t="shared" ref="CU262" si="385">ROUND(CS256/3,8)</f>
        <v>8.9266699999999994E-3</v>
      </c>
      <c r="CV262" s="33">
        <f t="shared" ref="CV262" si="386">ROUND(CV256/3,8)</f>
        <v>9.1000000000000004E-3</v>
      </c>
      <c r="CW262" s="33">
        <f t="shared" ref="CW262" si="387">ROUND(CV256/3,8)</f>
        <v>9.1000000000000004E-3</v>
      </c>
      <c r="CX262" s="33">
        <f t="shared" ref="CX262" si="388">ROUND(CV256/3,8)</f>
        <v>9.1000000000000004E-3</v>
      </c>
      <c r="CY262" s="33">
        <f t="shared" ref="CY262" si="389">ROUND(CY256/3,8)</f>
        <v>6.4966700000000004E-3</v>
      </c>
      <c r="CZ262" s="33">
        <f t="shared" ref="CZ262" si="390">ROUND(CY256/3,8)</f>
        <v>6.4966700000000004E-3</v>
      </c>
      <c r="DA262" s="33">
        <f t="shared" ref="DA262" si="391">ROUND(CY256/3,8)</f>
        <v>6.4966700000000004E-3</v>
      </c>
      <c r="DB262" s="33">
        <f t="shared" ref="DB262" si="392">ROUND(DB256/3,8)</f>
        <v>5.5500000000000002E-3</v>
      </c>
      <c r="DC262" s="33">
        <f t="shared" ref="DC262" si="393">ROUND(DB256/3,8)</f>
        <v>5.5500000000000002E-3</v>
      </c>
      <c r="DD262" s="33">
        <f t="shared" ref="DD262" si="394">ROUND(DB256/3,8)</f>
        <v>5.5500000000000002E-3</v>
      </c>
      <c r="DE262" s="33">
        <f t="shared" ref="DE262" si="395">ROUND(DE256/3,8)</f>
        <v>6.9533299999999998E-3</v>
      </c>
      <c r="DF262" s="33">
        <f t="shared" ref="DF262" si="396">ROUND(DE256/3,8)</f>
        <v>6.9533299999999998E-3</v>
      </c>
      <c r="DG262" s="33">
        <f t="shared" ref="DG262" si="397">ROUND(DE256/3,8)</f>
        <v>6.9533299999999998E-3</v>
      </c>
      <c r="DH262" s="33">
        <f t="shared" ref="DH262" si="398">ROUND(DH256/3,8)</f>
        <v>5.4900000000000001E-3</v>
      </c>
      <c r="DI262" s="33">
        <f t="shared" ref="DI262" si="399">ROUND(DH256/3,8)</f>
        <v>5.4900000000000001E-3</v>
      </c>
      <c r="DJ262" s="33">
        <f t="shared" ref="DJ262" si="400">ROUND(DH256/3,8)</f>
        <v>5.4900000000000001E-3</v>
      </c>
      <c r="DK262" s="33">
        <f t="shared" ref="DK262" si="401">ROUND(DK256/3,8)</f>
        <v>6.3400000000000001E-3</v>
      </c>
      <c r="DL262" s="33">
        <f t="shared" ref="DL262" si="402">ROUND(DK256/3,8)</f>
        <v>6.3400000000000001E-3</v>
      </c>
      <c r="DM262" s="33">
        <f t="shared" ref="DM262" si="403">ROUND(DK256/3,8)</f>
        <v>6.3400000000000001E-3</v>
      </c>
      <c r="DN262" s="33">
        <f t="shared" ref="DN262" si="404">ROUND(DN256/3,8)</f>
        <v>4.6866700000000004E-3</v>
      </c>
      <c r="DO262" s="33">
        <f t="shared" ref="DO262" si="405">ROUND(DN256/3,8)</f>
        <v>4.6866700000000004E-3</v>
      </c>
      <c r="DP262" s="33">
        <f t="shared" ref="DP262" si="406">ROUND(DN256/3,8)</f>
        <v>4.6866700000000004E-3</v>
      </c>
      <c r="DQ262" s="33">
        <f t="shared" ref="DQ262" si="407">ROUND(DQ256/3,8)</f>
        <v>8.5333000000000002E-4</v>
      </c>
      <c r="DR262" s="33">
        <f t="shared" ref="DR262" si="408">ROUND(DQ256/3,8)</f>
        <v>8.5333000000000002E-4</v>
      </c>
      <c r="DS262" s="33">
        <f t="shared" ref="DS262" si="409">ROUND(DQ256/3,8)</f>
        <v>8.5333000000000002E-4</v>
      </c>
      <c r="DT262" s="33">
        <f t="shared" ref="DT262" si="410">ROUND(DT256/3,8)</f>
        <v>1.00333E-3</v>
      </c>
      <c r="DU262" s="33">
        <f t="shared" ref="DU262" si="411">ROUND(DT256/3,8)</f>
        <v>1.00333E-3</v>
      </c>
      <c r="DV262" s="33">
        <f t="shared" ref="DV262" si="412">ROUND(DT256/3,8)</f>
        <v>1.00333E-3</v>
      </c>
      <c r="DX262" s="1"/>
      <c r="DY262" s="1"/>
      <c r="DZ262" s="1"/>
      <c r="EA262" s="1"/>
      <c r="EB262" s="1"/>
      <c r="EC262" s="7"/>
      <c r="ED262" s="7"/>
    </row>
    <row r="263" spans="7:134" s="6" customFormat="1" ht="13.5">
      <c r="G263" s="26"/>
      <c r="H263" s="26"/>
      <c r="M263" s="135">
        <v>51357019</v>
      </c>
      <c r="N263" s="17"/>
      <c r="O263" s="37"/>
      <c r="P263" s="30" t="s">
        <v>294</v>
      </c>
      <c r="Q263" s="37"/>
      <c r="R263" s="37"/>
      <c r="S263" s="140">
        <f>S262</f>
        <v>1.01333E-3</v>
      </c>
      <c r="T263" s="140">
        <f>S263+T262</f>
        <v>2.02666E-3</v>
      </c>
      <c r="U263" s="140">
        <f t="shared" ref="U263" si="413">T263+U262</f>
        <v>3.0399900000000002E-3</v>
      </c>
      <c r="V263" s="140">
        <f>U263+V262</f>
        <v>3.9766599999999999E-3</v>
      </c>
      <c r="W263" s="140">
        <f>V263+W262</f>
        <v>4.9133299999999996E-3</v>
      </c>
      <c r="X263" s="140">
        <f t="shared" ref="X263" si="414">W263+X262</f>
        <v>5.8499999999999993E-3</v>
      </c>
      <c r="Y263" s="140">
        <f>X263+Y262</f>
        <v>7.2599999999999991E-3</v>
      </c>
      <c r="Z263" s="140">
        <f>Y263+Z262</f>
        <v>8.6699999999999989E-3</v>
      </c>
      <c r="AA263" s="140">
        <f t="shared" ref="AA263:AC263" si="415">Z263+AA262</f>
        <v>1.0079999999999999E-2</v>
      </c>
      <c r="AB263" s="140">
        <f t="shared" si="415"/>
        <v>1.1629999999999998E-2</v>
      </c>
      <c r="AC263" s="140">
        <f t="shared" si="415"/>
        <v>1.3179999999999997E-2</v>
      </c>
      <c r="AD263" s="140">
        <f t="shared" ref="AD263:AF263" si="416">AC263+AD262</f>
        <v>1.4729999999999997E-2</v>
      </c>
      <c r="AE263" s="140">
        <f t="shared" si="416"/>
        <v>1.6823329999999997E-2</v>
      </c>
      <c r="AF263" s="140">
        <f t="shared" si="416"/>
        <v>1.8916659999999998E-2</v>
      </c>
      <c r="AG263" s="140">
        <f t="shared" ref="AG263:AI263" si="417">AF263+AG262</f>
        <v>2.1009989999999999E-2</v>
      </c>
      <c r="AH263" s="140">
        <f t="shared" si="417"/>
        <v>2.4456659999999998E-2</v>
      </c>
      <c r="AI263" s="140">
        <f t="shared" si="417"/>
        <v>2.7903329999999997E-2</v>
      </c>
      <c r="AJ263" s="140">
        <f t="shared" ref="AJ263:AL263" si="418">AI263+AJ262</f>
        <v>3.1349999999999996E-2</v>
      </c>
      <c r="AK263" s="140">
        <f t="shared" si="418"/>
        <v>3.3926669999999999E-2</v>
      </c>
      <c r="AL263" s="140">
        <f t="shared" si="418"/>
        <v>3.6503340000000002E-2</v>
      </c>
      <c r="AM263" s="140">
        <f t="shared" ref="AM263:AO263" si="419">AL263+AM262</f>
        <v>3.9080010000000005E-2</v>
      </c>
      <c r="AN263" s="140">
        <f t="shared" si="419"/>
        <v>4.2646680000000006E-2</v>
      </c>
      <c r="AO263" s="140">
        <f t="shared" si="419"/>
        <v>4.6213350000000007E-2</v>
      </c>
      <c r="AP263" s="140">
        <f t="shared" ref="AP263:AR263" si="420">AO263+AP262</f>
        <v>4.9780020000000008E-2</v>
      </c>
      <c r="AQ263" s="140">
        <f t="shared" si="420"/>
        <v>5.4183350000000005E-2</v>
      </c>
      <c r="AR263" s="140">
        <f t="shared" si="420"/>
        <v>5.8586680000000002E-2</v>
      </c>
      <c r="AS263" s="140">
        <f t="shared" ref="AS263:AU263" si="421">AR263+AS262</f>
        <v>6.2990009999999999E-2</v>
      </c>
      <c r="AT263" s="140">
        <f t="shared" si="421"/>
        <v>8.2856680000000002E-2</v>
      </c>
      <c r="AU263" s="140">
        <f t="shared" si="421"/>
        <v>0.10272335</v>
      </c>
      <c r="AV263" s="140">
        <f t="shared" ref="AV263:AX263" si="422">AU263+AV262</f>
        <v>0.12259002000000001</v>
      </c>
      <c r="AW263" s="140">
        <f t="shared" si="422"/>
        <v>0.14260335000000002</v>
      </c>
      <c r="AX263" s="140">
        <f t="shared" si="422"/>
        <v>0.16261668000000001</v>
      </c>
      <c r="AY263" s="140">
        <f t="shared" ref="AY263:BA263" si="423">AX263+AY262</f>
        <v>0.18263001000000001</v>
      </c>
      <c r="AZ263" s="140">
        <f t="shared" si="423"/>
        <v>0.20241334</v>
      </c>
      <c r="BA263" s="140">
        <f t="shared" si="423"/>
        <v>0.22219666999999999</v>
      </c>
      <c r="BB263" s="140">
        <f t="shared" ref="BB263:BD263" si="424">BA263+BB262</f>
        <v>0.24197999999999997</v>
      </c>
      <c r="BC263" s="140">
        <f t="shared" si="424"/>
        <v>0.25917667</v>
      </c>
      <c r="BD263" s="140">
        <f t="shared" si="424"/>
        <v>0.27637334000000002</v>
      </c>
      <c r="BE263" s="140">
        <f t="shared" ref="BE263:BG263" si="425">BD263+BE262</f>
        <v>0.29357001000000005</v>
      </c>
      <c r="BF263" s="140">
        <f t="shared" si="425"/>
        <v>0.31106668000000004</v>
      </c>
      <c r="BG263" s="140">
        <f t="shared" si="425"/>
        <v>0.32856335000000003</v>
      </c>
      <c r="BH263" s="140">
        <f t="shared" ref="BH263:BJ263" si="426">BG263+BH262</f>
        <v>0.34606002000000002</v>
      </c>
      <c r="BI263" s="140">
        <f t="shared" si="426"/>
        <v>0.36339335</v>
      </c>
      <c r="BJ263" s="140">
        <f t="shared" si="426"/>
        <v>0.38072667999999998</v>
      </c>
      <c r="BK263" s="140">
        <f t="shared" ref="BK263:BM263" si="427">BJ263+BK262</f>
        <v>0.39806000999999996</v>
      </c>
      <c r="BL263" s="31">
        <f t="shared" si="427"/>
        <v>0.41387667999999994</v>
      </c>
      <c r="BM263" s="31">
        <f t="shared" si="427"/>
        <v>0.42969334999999992</v>
      </c>
      <c r="BN263" s="31">
        <f t="shared" ref="BN263:BP263" si="428">BM263+BN262</f>
        <v>0.4455100199999999</v>
      </c>
      <c r="BO263" s="31">
        <f t="shared" si="428"/>
        <v>0.4615333499999999</v>
      </c>
      <c r="BP263" s="31">
        <f t="shared" si="428"/>
        <v>0.4775566799999999</v>
      </c>
      <c r="BQ263" s="31">
        <f t="shared" ref="BQ263:BS263" si="429">BP263+BQ262</f>
        <v>0.4935800099999999</v>
      </c>
      <c r="BR263" s="31">
        <f t="shared" si="429"/>
        <v>0.50968333999999993</v>
      </c>
      <c r="BS263" s="31">
        <f t="shared" si="429"/>
        <v>0.5257866699999999</v>
      </c>
      <c r="BT263" s="31">
        <f t="shared" ref="BT263:BV263" si="430">BS263+BT262</f>
        <v>0.54188999999999987</v>
      </c>
      <c r="BU263" s="31">
        <f t="shared" si="430"/>
        <v>0.55654666999999991</v>
      </c>
      <c r="BV263" s="31">
        <f t="shared" si="430"/>
        <v>0.57120333999999995</v>
      </c>
      <c r="BW263" s="31">
        <f t="shared" ref="BW263" si="431">BV263+BW262</f>
        <v>0.58586000999999999</v>
      </c>
      <c r="BX263" s="31">
        <f t="shared" ref="BX263" si="432">BW263+BX262</f>
        <v>0.60082667999999995</v>
      </c>
      <c r="BY263" s="31">
        <f t="shared" ref="BY263" si="433">BX263+BY262</f>
        <v>0.61579334999999991</v>
      </c>
      <c r="BZ263" s="31">
        <f t="shared" ref="BZ263" si="434">BY263+BZ262</f>
        <v>0.63076001999999987</v>
      </c>
      <c r="CA263" s="31">
        <f t="shared" ref="CA263" si="435">BZ263+CA262</f>
        <v>0.64351668999999989</v>
      </c>
      <c r="CB263" s="31">
        <f t="shared" ref="CB263" si="436">CA263+CB262</f>
        <v>0.65627335999999992</v>
      </c>
      <c r="CC263" s="31">
        <f t="shared" ref="CC263" si="437">CB263+CC262</f>
        <v>0.66903002999999994</v>
      </c>
      <c r="CD263" s="31">
        <f t="shared" ref="CD263" si="438">CC263+CD262</f>
        <v>0.68207335999999996</v>
      </c>
      <c r="CE263" s="31">
        <f t="shared" ref="CE263" si="439">CD263+CE262</f>
        <v>0.69511668999999998</v>
      </c>
      <c r="CF263" s="31">
        <f t="shared" ref="CF263" si="440">CE263+CF262</f>
        <v>0.70816002</v>
      </c>
      <c r="CG263" s="31">
        <f t="shared" ref="CG263" si="441">CF263+CG262</f>
        <v>0.72095001999999997</v>
      </c>
      <c r="CH263" s="31">
        <f t="shared" ref="CH263" si="442">CG263+CH262</f>
        <v>0.73374001999999994</v>
      </c>
      <c r="CI263" s="31">
        <f t="shared" ref="CI263" si="443">CH263+CI262</f>
        <v>0.74653001999999991</v>
      </c>
      <c r="CJ263" s="31">
        <f t="shared" ref="CJ263" si="444">CI263+CJ262</f>
        <v>0.75696668999999994</v>
      </c>
      <c r="CK263" s="31">
        <f t="shared" ref="CK263" si="445">CJ263+CK262</f>
        <v>0.76740335999999998</v>
      </c>
      <c r="CL263" s="31">
        <f t="shared" ref="CL263" si="446">CK263+CL262</f>
        <v>0.77784003000000002</v>
      </c>
      <c r="CM263" s="31">
        <f t="shared" ref="CM263" si="447">CL263+CM262</f>
        <v>0.78811335999999999</v>
      </c>
      <c r="CN263" s="31">
        <f t="shared" ref="CN263" si="448">CM263+CN262</f>
        <v>0.79838668999999995</v>
      </c>
      <c r="CO263" s="31">
        <f t="shared" ref="CO263" si="449">CN263+CO262</f>
        <v>0.80866001999999992</v>
      </c>
      <c r="CP263" s="31">
        <f t="shared" ref="CP263" si="450">CO263+CP262</f>
        <v>0.81704001999999998</v>
      </c>
      <c r="CQ263" s="31">
        <f t="shared" ref="CQ263" si="451">CP263+CQ262</f>
        <v>0.82542002000000003</v>
      </c>
      <c r="CR263" s="31">
        <f t="shared" ref="CR263" si="452">CQ263+CR262</f>
        <v>0.83380002000000009</v>
      </c>
      <c r="CS263" s="31">
        <f t="shared" ref="CS263" si="453">CR263+CS262</f>
        <v>0.84272669000000011</v>
      </c>
      <c r="CT263" s="31">
        <f t="shared" ref="CT263" si="454">CS263+CT262</f>
        <v>0.85165336000000014</v>
      </c>
      <c r="CU263" s="31">
        <f t="shared" ref="CU263" si="455">CT263+CU262</f>
        <v>0.86058003000000016</v>
      </c>
      <c r="CV263" s="31">
        <f t="shared" ref="CV263" si="456">CU263+CV262</f>
        <v>0.86968003000000016</v>
      </c>
      <c r="CW263" s="31">
        <f t="shared" ref="CW263" si="457">CV263+CW262</f>
        <v>0.87878003000000016</v>
      </c>
      <c r="CX263" s="31">
        <f t="shared" ref="CX263" si="458">CW263+CX262</f>
        <v>0.88788003000000015</v>
      </c>
      <c r="CY263" s="31">
        <f t="shared" ref="CY263" si="459">CX263+CY262</f>
        <v>0.89437670000000014</v>
      </c>
      <c r="CZ263" s="31">
        <f t="shared" ref="CZ263" si="460">CY263+CZ262</f>
        <v>0.90087337000000012</v>
      </c>
      <c r="DA263" s="31">
        <f t="shared" ref="DA263" si="461">CZ263+DA262</f>
        <v>0.9073700400000001</v>
      </c>
      <c r="DB263" s="31">
        <f t="shared" ref="DB263" si="462">DA263+DB262</f>
        <v>0.91292004000000015</v>
      </c>
      <c r="DC263" s="31">
        <f t="shared" ref="DC263" si="463">DB263+DC262</f>
        <v>0.91847004000000021</v>
      </c>
      <c r="DD263" s="31">
        <f t="shared" ref="DD263" si="464">DC263+DD262</f>
        <v>0.92402004000000026</v>
      </c>
      <c r="DE263" s="31">
        <f t="shared" ref="DE263" si="465">DD263+DE262</f>
        <v>0.93097337000000024</v>
      </c>
      <c r="DF263" s="31">
        <f t="shared" ref="DF263" si="466">DE263+DF262</f>
        <v>0.93792670000000022</v>
      </c>
      <c r="DG263" s="31">
        <f t="shared" ref="DG263" si="467">DF263+DG262</f>
        <v>0.9448800300000002</v>
      </c>
      <c r="DH263" s="31">
        <f t="shared" ref="DH263" si="468">DG263+DH262</f>
        <v>0.9503700300000002</v>
      </c>
      <c r="DI263" s="31">
        <f t="shared" ref="DI263" si="469">DH263+DI262</f>
        <v>0.95586003000000019</v>
      </c>
      <c r="DJ263" s="31">
        <f t="shared" ref="DJ263" si="470">DI263+DJ262</f>
        <v>0.96135003000000019</v>
      </c>
      <c r="DK263" s="31">
        <f t="shared" ref="DK263" si="471">DJ263+DK262</f>
        <v>0.9676900300000002</v>
      </c>
      <c r="DL263" s="31">
        <f t="shared" ref="DL263" si="472">DK263+DL262</f>
        <v>0.97403003000000021</v>
      </c>
      <c r="DM263" s="31">
        <f t="shared" ref="DM263" si="473">DL263+DM262</f>
        <v>0.98037003000000023</v>
      </c>
      <c r="DN263" s="31">
        <f t="shared" ref="DN263" si="474">DM263+DN262</f>
        <v>0.98505670000000023</v>
      </c>
      <c r="DO263" s="31">
        <f t="shared" ref="DO263" si="475">DN263+DO262</f>
        <v>0.98974337000000023</v>
      </c>
      <c r="DP263" s="31">
        <f t="shared" ref="DP263" si="476">DO263+DP262</f>
        <v>0.99443004000000024</v>
      </c>
      <c r="DQ263" s="31">
        <f t="shared" ref="DQ263" si="477">DP263+DQ262</f>
        <v>0.99528337000000022</v>
      </c>
      <c r="DR263" s="31">
        <f t="shared" ref="DR263" si="478">DQ263+DR262</f>
        <v>0.99613670000000021</v>
      </c>
      <c r="DS263" s="31">
        <f t="shared" ref="DS263" si="479">DR263+DS262</f>
        <v>0.99699003000000019</v>
      </c>
      <c r="DT263" s="31">
        <f t="shared" ref="DT263" si="480">DS263+DT262</f>
        <v>0.99799336000000016</v>
      </c>
      <c r="DU263" s="31">
        <f t="shared" ref="DU263" si="481">DT263+DU262</f>
        <v>0.99899669000000013</v>
      </c>
      <c r="DV263" s="31">
        <f t="shared" ref="DV263" si="482">DU263+DV262</f>
        <v>1.0000000200000001</v>
      </c>
      <c r="DX263" s="1"/>
      <c r="DY263" s="1"/>
      <c r="DZ263" s="1"/>
      <c r="EA263" s="1"/>
      <c r="EB263" s="1"/>
      <c r="EC263" s="7"/>
      <c r="ED263" s="7"/>
    </row>
    <row r="264" spans="7:134" s="6" customFormat="1" ht="13.5">
      <c r="G264" s="26"/>
      <c r="H264" s="26"/>
      <c r="M264" s="136">
        <f>M263/M262</f>
        <v>0.33124338401939374</v>
      </c>
      <c r="N264" s="17"/>
      <c r="O264" s="37"/>
      <c r="P264" s="37"/>
      <c r="Q264" s="37"/>
      <c r="R264" s="37"/>
      <c r="CE264" s="34"/>
      <c r="CF264" s="34"/>
      <c r="CG264" s="34"/>
      <c r="CH264" s="34"/>
      <c r="CI264" s="34"/>
      <c r="DX264" s="1"/>
      <c r="DY264" s="1"/>
      <c r="DZ264" s="1"/>
      <c r="EA264" s="1"/>
      <c r="EB264" s="1"/>
      <c r="EC264" s="7"/>
      <c r="ED264" s="7"/>
    </row>
    <row r="265" spans="7:134" s="6" customFormat="1" ht="13.5">
      <c r="G265" s="26"/>
      <c r="H265" s="26"/>
      <c r="N265" s="16"/>
      <c r="O265" s="37"/>
      <c r="P265" s="37"/>
      <c r="Q265" s="37"/>
      <c r="R265" s="37"/>
      <c r="DX265" s="1"/>
      <c r="DY265" s="1"/>
      <c r="DZ265" s="1"/>
      <c r="EA265" s="1"/>
      <c r="EB265" s="1"/>
      <c r="EC265" s="7"/>
      <c r="ED265" s="7"/>
    </row>
    <row r="266" spans="7:134" s="6" customFormat="1" ht="13.5">
      <c r="G266" s="26"/>
      <c r="H266" s="26"/>
      <c r="N266" s="16"/>
      <c r="O266" s="37"/>
      <c r="P266" s="37"/>
      <c r="Q266" s="37"/>
      <c r="R266" s="37"/>
      <c r="DX266" s="1"/>
      <c r="DY266" s="1"/>
      <c r="DZ266" s="1"/>
      <c r="EA266" s="1"/>
      <c r="EB266" s="1"/>
      <c r="EC266" s="7"/>
      <c r="ED266" s="7"/>
    </row>
    <row r="267" spans="7:134" s="6" customFormat="1" ht="13.5">
      <c r="G267" s="26"/>
      <c r="H267" s="26"/>
      <c r="N267" s="16"/>
      <c r="O267" s="37"/>
      <c r="P267" s="37"/>
      <c r="Q267" s="37"/>
      <c r="R267" s="37"/>
      <c r="DX267" s="1"/>
      <c r="DY267" s="1"/>
      <c r="DZ267" s="1"/>
      <c r="EA267" s="1"/>
      <c r="EB267" s="1"/>
      <c r="EC267" s="7"/>
      <c r="ED267" s="7"/>
    </row>
    <row r="268" spans="7:134" s="6" customFormat="1" ht="13.5">
      <c r="G268" s="26"/>
      <c r="H268" s="26"/>
      <c r="N268" s="16"/>
      <c r="O268" s="37"/>
      <c r="P268" s="37"/>
      <c r="Q268" s="37"/>
      <c r="R268" s="37"/>
      <c r="DX268" s="1"/>
      <c r="DY268" s="1"/>
      <c r="DZ268" s="1"/>
      <c r="EA268" s="1"/>
      <c r="EB268" s="1"/>
      <c r="EC268" s="7"/>
      <c r="ED268" s="7"/>
    </row>
    <row r="269" spans="7:134" s="6" customFormat="1" ht="13.5">
      <c r="G269" s="26"/>
      <c r="H269" s="26"/>
      <c r="N269" s="16"/>
      <c r="O269" s="37"/>
      <c r="P269" s="37"/>
      <c r="Q269" s="37"/>
      <c r="R269" s="37"/>
      <c r="DX269" s="1"/>
      <c r="DY269" s="1"/>
      <c r="DZ269" s="1"/>
      <c r="EA269" s="1"/>
      <c r="EB269" s="1"/>
      <c r="EC269" s="7"/>
      <c r="ED269" s="7"/>
    </row>
    <row r="270" spans="7:134" s="6" customFormat="1" ht="13.5">
      <c r="G270" s="26"/>
      <c r="H270" s="26"/>
      <c r="N270" s="16"/>
      <c r="O270" s="37"/>
      <c r="P270" s="37"/>
      <c r="Q270" s="37"/>
      <c r="R270" s="37"/>
      <c r="DX270" s="1"/>
      <c r="DY270" s="1"/>
      <c r="DZ270" s="1"/>
      <c r="EA270" s="1"/>
      <c r="EB270" s="1"/>
      <c r="EC270" s="7"/>
      <c r="ED270" s="7"/>
    </row>
    <row r="271" spans="7:134" s="6" customFormat="1" ht="13.5">
      <c r="G271" s="26"/>
      <c r="H271" s="26"/>
      <c r="N271" s="16"/>
      <c r="O271" s="37"/>
      <c r="P271" s="37"/>
      <c r="Q271" s="37"/>
      <c r="R271" s="37"/>
      <c r="DX271" s="1"/>
      <c r="DY271" s="1"/>
      <c r="DZ271" s="1"/>
      <c r="EA271" s="1"/>
      <c r="EB271" s="1"/>
      <c r="EC271" s="7"/>
      <c r="ED271" s="7"/>
    </row>
    <row r="272" spans="7:134" s="6" customFormat="1" ht="13.5">
      <c r="G272" s="26"/>
      <c r="H272" s="26"/>
      <c r="N272" s="16"/>
      <c r="O272" s="37"/>
      <c r="P272" s="37"/>
      <c r="Q272" s="37"/>
      <c r="R272" s="37"/>
      <c r="DX272" s="1"/>
      <c r="DY272" s="1"/>
      <c r="DZ272" s="1"/>
      <c r="EA272" s="1"/>
      <c r="EB272" s="1"/>
      <c r="EC272" s="7"/>
      <c r="ED272" s="7"/>
    </row>
    <row r="273" spans="7:134" s="6" customFormat="1" ht="13.5">
      <c r="G273" s="26"/>
      <c r="H273" s="26"/>
      <c r="N273" s="16"/>
      <c r="O273" s="37"/>
      <c r="P273" s="37"/>
      <c r="Q273" s="37"/>
      <c r="R273" s="37"/>
      <c r="DX273" s="1"/>
      <c r="DY273" s="1"/>
      <c r="DZ273" s="1"/>
      <c r="EA273" s="1"/>
      <c r="EB273" s="1"/>
      <c r="EC273" s="7"/>
      <c r="ED273" s="7"/>
    </row>
    <row r="274" spans="7:134" s="6" customFormat="1" ht="13.5">
      <c r="G274" s="26"/>
      <c r="H274" s="26"/>
      <c r="N274" s="16"/>
      <c r="O274" s="37"/>
      <c r="P274" s="37"/>
      <c r="Q274" s="37"/>
      <c r="R274" s="37"/>
      <c r="DX274" s="1"/>
      <c r="DY274" s="1"/>
      <c r="DZ274" s="1"/>
      <c r="EA274" s="1"/>
      <c r="EB274" s="1"/>
      <c r="EC274" s="7"/>
      <c r="ED274" s="7"/>
    </row>
    <row r="275" spans="7:134" s="6" customFormat="1" ht="13.5">
      <c r="G275" s="26"/>
      <c r="H275" s="26"/>
      <c r="N275" s="16"/>
      <c r="O275" s="37"/>
      <c r="P275" s="37"/>
      <c r="Q275" s="37"/>
      <c r="R275" s="37"/>
      <c r="DX275" s="1"/>
      <c r="DY275" s="1"/>
      <c r="DZ275" s="1"/>
      <c r="EA275" s="1"/>
      <c r="EB275" s="1"/>
      <c r="EC275" s="7"/>
      <c r="ED275" s="7"/>
    </row>
    <row r="276" spans="7:134" s="6" customFormat="1" ht="13.5">
      <c r="G276" s="26"/>
      <c r="H276" s="26"/>
      <c r="N276" s="16"/>
      <c r="O276" s="37"/>
      <c r="P276" s="37"/>
      <c r="Q276" s="37"/>
      <c r="R276" s="37"/>
      <c r="DX276" s="1"/>
      <c r="DY276" s="1"/>
      <c r="DZ276" s="1"/>
      <c r="EA276" s="1"/>
      <c r="EB276" s="1"/>
      <c r="EC276" s="7"/>
      <c r="ED276" s="7"/>
    </row>
    <row r="277" spans="7:134" s="6" customFormat="1" ht="13.5">
      <c r="G277" s="26"/>
      <c r="H277" s="26"/>
      <c r="N277" s="16"/>
      <c r="O277" s="37"/>
      <c r="P277" s="37"/>
      <c r="Q277" s="37"/>
      <c r="R277" s="37"/>
      <c r="DX277" s="1"/>
      <c r="DY277" s="1"/>
      <c r="DZ277" s="1"/>
      <c r="EA277" s="1"/>
      <c r="EB277" s="1"/>
      <c r="EC277" s="7"/>
      <c r="ED277" s="7"/>
    </row>
    <row r="278" spans="7:134" s="6" customFormat="1" ht="13.5">
      <c r="G278" s="26"/>
      <c r="H278" s="26"/>
      <c r="N278" s="16"/>
      <c r="O278" s="37"/>
      <c r="P278" s="37"/>
      <c r="Q278" s="37"/>
      <c r="R278" s="37"/>
      <c r="DX278" s="1"/>
      <c r="DY278" s="1"/>
      <c r="DZ278" s="1"/>
      <c r="EA278" s="1"/>
      <c r="EB278" s="1"/>
      <c r="EC278" s="7"/>
      <c r="ED278" s="7"/>
    </row>
    <row r="279" spans="7:134" s="6" customFormat="1" ht="13.5">
      <c r="G279" s="26"/>
      <c r="H279" s="26"/>
      <c r="N279" s="16"/>
      <c r="O279" s="37"/>
      <c r="P279" s="37"/>
      <c r="Q279" s="37"/>
      <c r="R279" s="37"/>
      <c r="DX279" s="1"/>
      <c r="DY279" s="1"/>
      <c r="DZ279" s="1"/>
      <c r="EA279" s="1"/>
      <c r="EB279" s="1"/>
      <c r="EC279" s="7"/>
      <c r="ED279" s="7"/>
    </row>
    <row r="280" spans="7:134" s="6" customFormat="1" ht="13.5">
      <c r="G280" s="26"/>
      <c r="H280" s="26"/>
      <c r="N280" s="16"/>
      <c r="O280" s="37"/>
      <c r="P280" s="37"/>
      <c r="Q280" s="37"/>
      <c r="R280" s="37"/>
      <c r="DX280" s="1"/>
      <c r="DY280" s="1"/>
      <c r="DZ280" s="1"/>
      <c r="EA280" s="1"/>
      <c r="EB280" s="1"/>
      <c r="EC280" s="7"/>
      <c r="ED280" s="7"/>
    </row>
    <row r="281" spans="7:134" s="6" customFormat="1" ht="13.5">
      <c r="G281" s="26"/>
      <c r="H281" s="26"/>
      <c r="N281" s="16"/>
      <c r="O281" s="37"/>
      <c r="P281" s="37"/>
      <c r="Q281" s="37"/>
      <c r="R281" s="37"/>
      <c r="DX281" s="1"/>
      <c r="DY281" s="1"/>
      <c r="DZ281" s="1"/>
      <c r="EA281" s="1"/>
      <c r="EB281" s="1"/>
      <c r="EC281" s="7"/>
      <c r="ED281" s="7"/>
    </row>
    <row r="282" spans="7:134" s="6" customFormat="1" ht="13.5">
      <c r="G282" s="26"/>
      <c r="H282" s="26"/>
      <c r="N282" s="16"/>
      <c r="O282" s="37"/>
      <c r="P282" s="37"/>
      <c r="Q282" s="37"/>
      <c r="R282" s="37"/>
      <c r="DX282" s="1"/>
      <c r="DY282" s="1"/>
      <c r="DZ282" s="1"/>
      <c r="EA282" s="1"/>
      <c r="EB282" s="1"/>
      <c r="EC282" s="7"/>
      <c r="ED282" s="7"/>
    </row>
    <row r="283" spans="7:134" s="6" customFormat="1" ht="13.5">
      <c r="G283" s="26"/>
      <c r="H283" s="26"/>
      <c r="N283" s="16"/>
      <c r="O283" s="37"/>
      <c r="P283" s="37"/>
      <c r="Q283" s="37"/>
      <c r="R283" s="37"/>
      <c r="DX283" s="1"/>
      <c r="DY283" s="1"/>
      <c r="DZ283" s="1"/>
      <c r="EA283" s="1"/>
      <c r="EB283" s="1"/>
      <c r="EC283" s="7"/>
      <c r="ED283" s="7"/>
    </row>
    <row r="284" spans="7:134" s="6" customFormat="1" ht="13.5">
      <c r="G284" s="26"/>
      <c r="H284" s="26"/>
      <c r="N284" s="16"/>
      <c r="O284" s="37"/>
      <c r="P284" s="37"/>
      <c r="Q284" s="37"/>
      <c r="R284" s="37"/>
      <c r="DX284" s="1"/>
      <c r="DY284" s="1"/>
      <c r="DZ284" s="1"/>
      <c r="EA284" s="1"/>
      <c r="EB284" s="1"/>
      <c r="EC284" s="7"/>
      <c r="ED284" s="7"/>
    </row>
    <row r="285" spans="7:134" s="6" customFormat="1" ht="13.5">
      <c r="G285" s="26"/>
      <c r="H285" s="26"/>
      <c r="N285" s="16"/>
      <c r="O285" s="37"/>
      <c r="P285" s="37"/>
      <c r="Q285" s="37"/>
      <c r="R285" s="37"/>
      <c r="DX285" s="1"/>
      <c r="DY285" s="1"/>
      <c r="DZ285" s="1"/>
      <c r="EA285" s="1"/>
      <c r="EB285" s="1"/>
      <c r="EC285" s="7"/>
      <c r="ED285" s="7"/>
    </row>
    <row r="286" spans="7:134" s="6" customFormat="1" ht="13.5">
      <c r="G286" s="26"/>
      <c r="H286" s="26"/>
      <c r="N286" s="16"/>
      <c r="O286" s="37"/>
      <c r="P286" s="37"/>
      <c r="Q286" s="37"/>
      <c r="R286" s="37"/>
      <c r="DZ286" s="12"/>
      <c r="EA286" s="12"/>
      <c r="EC286" s="7"/>
      <c r="ED286" s="7"/>
    </row>
    <row r="287" spans="7:134" s="6" customFormat="1" ht="13.5">
      <c r="G287" s="26"/>
      <c r="H287" s="26"/>
      <c r="N287" s="16"/>
      <c r="O287" s="37"/>
      <c r="P287" s="37"/>
      <c r="Q287" s="37"/>
      <c r="R287" s="37"/>
      <c r="DZ287" s="12"/>
      <c r="EA287" s="12"/>
      <c r="EC287" s="7"/>
      <c r="ED287" s="7"/>
    </row>
    <row r="288" spans="7:134" s="6" customFormat="1" ht="13.5">
      <c r="G288" s="26"/>
      <c r="H288" s="26"/>
      <c r="N288" s="16"/>
      <c r="O288" s="37"/>
      <c r="P288" s="37"/>
      <c r="Q288" s="37"/>
      <c r="R288" s="37"/>
      <c r="DZ288" s="12"/>
      <c r="EA288" s="12"/>
      <c r="EC288" s="7"/>
      <c r="ED288" s="7"/>
    </row>
    <row r="289" spans="7:134" s="6" customFormat="1" ht="13.5">
      <c r="G289" s="26"/>
      <c r="H289" s="26"/>
      <c r="N289" s="16"/>
      <c r="O289" s="37"/>
      <c r="P289" s="37"/>
      <c r="Q289" s="37"/>
      <c r="R289" s="37"/>
      <c r="DZ289" s="12"/>
      <c r="EA289" s="12"/>
      <c r="EC289" s="7"/>
      <c r="ED289" s="7"/>
    </row>
    <row r="290" spans="7:134" s="6" customFormat="1" ht="13.5">
      <c r="G290" s="26"/>
      <c r="H290" s="26"/>
      <c r="N290" s="16"/>
      <c r="O290" s="37"/>
      <c r="P290" s="37"/>
      <c r="Q290" s="37"/>
      <c r="R290" s="37"/>
      <c r="DZ290" s="12"/>
      <c r="EA290" s="12"/>
      <c r="EC290" s="7"/>
      <c r="ED290" s="7"/>
    </row>
    <row r="291" spans="7:134" s="6" customFormat="1" ht="13.5">
      <c r="G291" s="26"/>
      <c r="H291" s="26"/>
      <c r="N291" s="16"/>
      <c r="O291" s="37"/>
      <c r="P291" s="37"/>
      <c r="Q291" s="37"/>
      <c r="R291" s="37"/>
      <c r="DZ291" s="12"/>
      <c r="EA291" s="12"/>
      <c r="EC291" s="7"/>
      <c r="ED291" s="7"/>
    </row>
    <row r="292" spans="7:134" s="6" customFormat="1" ht="13.5">
      <c r="G292" s="26"/>
      <c r="H292" s="26"/>
      <c r="N292" s="16"/>
      <c r="O292" s="37"/>
      <c r="P292" s="37"/>
      <c r="Q292" s="37"/>
      <c r="R292" s="37"/>
      <c r="DZ292" s="12"/>
      <c r="EA292" s="12"/>
      <c r="EC292" s="7"/>
      <c r="ED292" s="7"/>
    </row>
    <row r="293" spans="7:134" s="6" customFormat="1" ht="13.5">
      <c r="G293" s="26"/>
      <c r="H293" s="26"/>
      <c r="N293" s="16"/>
      <c r="O293" s="37"/>
      <c r="P293" s="37"/>
      <c r="Q293" s="37"/>
      <c r="R293" s="37"/>
      <c r="DZ293" s="12"/>
      <c r="EA293" s="12"/>
      <c r="EC293" s="7"/>
      <c r="ED293" s="7"/>
    </row>
    <row r="294" spans="7:134" s="6" customFormat="1" ht="13.5">
      <c r="G294" s="26"/>
      <c r="H294" s="26"/>
      <c r="N294" s="16"/>
      <c r="O294" s="37"/>
      <c r="P294" s="37"/>
      <c r="Q294" s="37"/>
      <c r="R294" s="37"/>
      <c r="DZ294" s="12"/>
      <c r="EA294" s="12"/>
      <c r="EC294" s="7"/>
      <c r="ED294" s="7"/>
    </row>
    <row r="295" spans="7:134" s="6" customFormat="1" ht="13.5">
      <c r="G295" s="26"/>
      <c r="H295" s="26"/>
      <c r="N295" s="16"/>
      <c r="O295" s="37"/>
      <c r="P295" s="37"/>
      <c r="Q295" s="37"/>
      <c r="R295" s="37"/>
      <c r="DZ295" s="12"/>
      <c r="EA295" s="12"/>
      <c r="EC295" s="7"/>
      <c r="ED295" s="7"/>
    </row>
    <row r="296" spans="7:134" s="6" customFormat="1" ht="13.5">
      <c r="G296" s="26"/>
      <c r="H296" s="26"/>
      <c r="N296" s="16"/>
      <c r="O296" s="37"/>
      <c r="P296" s="37"/>
      <c r="Q296" s="37"/>
      <c r="R296" s="37"/>
      <c r="DZ296" s="12"/>
      <c r="EA296" s="12"/>
      <c r="EC296" s="7"/>
      <c r="ED296" s="7"/>
    </row>
    <row r="297" spans="7:134" s="6" customFormat="1" ht="13.5">
      <c r="G297" s="26"/>
      <c r="H297" s="26"/>
      <c r="N297" s="16"/>
      <c r="O297" s="37"/>
      <c r="P297" s="37"/>
      <c r="Q297" s="37"/>
      <c r="R297" s="37"/>
      <c r="DZ297" s="12"/>
      <c r="EA297" s="12"/>
      <c r="EC297" s="7"/>
      <c r="ED297" s="7"/>
    </row>
    <row r="298" spans="7:134" s="6" customFormat="1" ht="13.5">
      <c r="G298" s="26"/>
      <c r="H298" s="26"/>
      <c r="N298" s="16"/>
      <c r="O298" s="37"/>
      <c r="P298" s="37"/>
      <c r="Q298" s="37"/>
      <c r="R298" s="37"/>
      <c r="DZ298" s="12"/>
      <c r="EA298" s="12"/>
      <c r="EC298" s="7"/>
      <c r="ED298" s="7"/>
    </row>
    <row r="299" spans="7:134" s="6" customFormat="1" ht="13.5">
      <c r="G299" s="26"/>
      <c r="H299" s="26"/>
      <c r="N299" s="16"/>
      <c r="O299" s="37"/>
      <c r="P299" s="37"/>
      <c r="Q299" s="37"/>
      <c r="R299" s="37"/>
      <c r="DZ299" s="12"/>
      <c r="EA299" s="12"/>
      <c r="EC299" s="7"/>
      <c r="ED299" s="7"/>
    </row>
    <row r="300" spans="7:134" s="6" customFormat="1">
      <c r="G300" s="26"/>
      <c r="H300" s="26"/>
      <c r="N300" s="16"/>
      <c r="O300" s="37"/>
      <c r="P300" s="37"/>
      <c r="Q300" s="37"/>
      <c r="R300" s="37"/>
      <c r="DZ300" s="13"/>
      <c r="EA300" s="13"/>
      <c r="EC300" s="7"/>
      <c r="ED300" s="7"/>
    </row>
    <row r="301" spans="7:134" s="6" customFormat="1">
      <c r="G301" s="26"/>
      <c r="H301" s="26"/>
      <c r="N301" s="16"/>
      <c r="O301" s="37"/>
      <c r="P301" s="37"/>
      <c r="Q301" s="37"/>
      <c r="R301" s="37"/>
      <c r="DZ301" s="13"/>
      <c r="EA301" s="13"/>
      <c r="EC301" s="7"/>
      <c r="ED301" s="7"/>
    </row>
    <row r="302" spans="7:134" s="6" customFormat="1">
      <c r="G302" s="26"/>
      <c r="H302" s="26"/>
      <c r="N302" s="16"/>
      <c r="O302" s="37"/>
      <c r="P302" s="37"/>
      <c r="Q302" s="37"/>
      <c r="R302" s="37"/>
      <c r="DZ302" s="13"/>
      <c r="EA302" s="13"/>
      <c r="EC302" s="7"/>
      <c r="ED302" s="7"/>
    </row>
    <row r="303" spans="7:134" s="6" customFormat="1">
      <c r="G303" s="26"/>
      <c r="H303" s="26"/>
      <c r="N303" s="16"/>
      <c r="O303" s="37"/>
      <c r="P303" s="37"/>
      <c r="Q303" s="37"/>
      <c r="R303" s="37"/>
      <c r="DZ303" s="13"/>
      <c r="EA303" s="13"/>
      <c r="EC303" s="7"/>
      <c r="ED303" s="7"/>
    </row>
    <row r="304" spans="7:134" s="6" customFormat="1">
      <c r="G304" s="26"/>
      <c r="H304" s="26"/>
      <c r="N304" s="16"/>
      <c r="O304" s="37"/>
      <c r="P304" s="37"/>
      <c r="Q304" s="37"/>
      <c r="R304" s="37"/>
      <c r="DZ304" s="13"/>
      <c r="EA304" s="13"/>
      <c r="EC304" s="7"/>
      <c r="ED304" s="7"/>
    </row>
    <row r="305" spans="7:134" s="6" customFormat="1">
      <c r="G305" s="26"/>
      <c r="H305" s="26"/>
      <c r="N305" s="16"/>
      <c r="O305" s="37"/>
      <c r="P305" s="37"/>
      <c r="Q305" s="37"/>
      <c r="R305" s="37"/>
      <c r="DZ305" s="13"/>
      <c r="EA305" s="13"/>
      <c r="EC305" s="7"/>
      <c r="ED305" s="7"/>
    </row>
    <row r="306" spans="7:134" s="6" customFormat="1">
      <c r="G306" s="26"/>
      <c r="H306" s="26"/>
      <c r="N306" s="16"/>
      <c r="O306" s="37"/>
      <c r="P306" s="37"/>
      <c r="Q306" s="37"/>
      <c r="R306" s="37"/>
      <c r="DZ306" s="13"/>
      <c r="EA306" s="13"/>
      <c r="EC306" s="7"/>
      <c r="ED306" s="7"/>
    </row>
    <row r="307" spans="7:134" s="6" customFormat="1">
      <c r="G307" s="26"/>
      <c r="H307" s="26"/>
      <c r="N307" s="16"/>
      <c r="O307" s="37"/>
      <c r="P307" s="37"/>
      <c r="Q307" s="37"/>
      <c r="R307" s="37"/>
      <c r="DZ307" s="13"/>
      <c r="EA307" s="13"/>
      <c r="EC307" s="7"/>
      <c r="ED307" s="7"/>
    </row>
    <row r="308" spans="7:134" s="6" customFormat="1">
      <c r="G308" s="26"/>
      <c r="H308" s="26"/>
      <c r="N308" s="16"/>
      <c r="O308" s="37"/>
      <c r="P308" s="37"/>
      <c r="Q308" s="37"/>
      <c r="R308" s="37"/>
      <c r="DZ308" s="13"/>
      <c r="EA308" s="13"/>
      <c r="EC308" s="7"/>
      <c r="ED308" s="7"/>
    </row>
    <row r="309" spans="7:134" s="6" customFormat="1">
      <c r="G309" s="26"/>
      <c r="H309" s="26"/>
      <c r="N309" s="16"/>
      <c r="O309" s="37"/>
      <c r="P309" s="37"/>
      <c r="Q309" s="37"/>
      <c r="R309" s="37"/>
      <c r="DZ309" s="13"/>
      <c r="EA309" s="13"/>
      <c r="EC309" s="7"/>
      <c r="ED309" s="7"/>
    </row>
    <row r="310" spans="7:134">
      <c r="U310" s="1"/>
      <c r="X310" s="1"/>
      <c r="CA310" s="6"/>
      <c r="CB310" s="6"/>
      <c r="CC310" s="6"/>
      <c r="CD310" s="6"/>
      <c r="CE310" s="6"/>
      <c r="CF310" s="6"/>
      <c r="DW310" s="2"/>
      <c r="DX310" s="2"/>
      <c r="DY310" s="2"/>
      <c r="DZ310" s="13"/>
      <c r="EA310" s="13"/>
      <c r="EB310" s="2"/>
      <c r="EC310" s="3"/>
      <c r="ED310" s="3"/>
    </row>
    <row r="311" spans="7:134">
      <c r="U311" s="1"/>
      <c r="X311" s="1"/>
      <c r="CA311" s="6"/>
      <c r="CB311" s="6"/>
      <c r="CC311" s="6"/>
      <c r="CD311" s="6"/>
      <c r="CE311" s="6"/>
      <c r="CF311" s="6"/>
      <c r="DW311" s="2"/>
      <c r="DX311" s="2"/>
      <c r="DY311" s="2"/>
      <c r="DZ311" s="13"/>
      <c r="EA311" s="13"/>
      <c r="EB311" s="2"/>
      <c r="EC311" s="3"/>
      <c r="ED311" s="3"/>
    </row>
    <row r="312" spans="7:134">
      <c r="U312" s="1"/>
      <c r="X312" s="1"/>
      <c r="DW312" s="2"/>
      <c r="DX312" s="2"/>
      <c r="DY312" s="2"/>
      <c r="DZ312" s="13"/>
      <c r="EA312" s="13"/>
      <c r="EB312" s="2"/>
      <c r="EC312" s="3"/>
      <c r="ED312" s="3"/>
    </row>
    <row r="313" spans="7:134">
      <c r="U313" s="1"/>
      <c r="X313" s="1"/>
      <c r="DW313" s="2"/>
      <c r="DX313" s="2"/>
      <c r="DY313" s="2"/>
      <c r="DZ313" s="13"/>
      <c r="EA313" s="13"/>
      <c r="EB313" s="2"/>
      <c r="EC313" s="3"/>
      <c r="ED313" s="3"/>
    </row>
    <row r="314" spans="7:134">
      <c r="U314" s="1"/>
      <c r="X314" s="1"/>
      <c r="DW314" s="2"/>
      <c r="DX314" s="2"/>
      <c r="DY314" s="2"/>
      <c r="DZ314" s="13"/>
      <c r="EA314" s="13"/>
      <c r="EB314" s="2"/>
      <c r="EC314" s="3"/>
      <c r="ED314" s="3"/>
    </row>
    <row r="315" spans="7:134">
      <c r="U315" s="1"/>
      <c r="X315" s="1"/>
      <c r="DW315" s="2"/>
      <c r="DX315" s="2"/>
      <c r="DY315" s="2"/>
      <c r="DZ315" s="13"/>
      <c r="EA315" s="13"/>
      <c r="EB315" s="2"/>
      <c r="EC315" s="3"/>
      <c r="ED315" s="3"/>
    </row>
    <row r="316" spans="7:134">
      <c r="U316" s="1"/>
      <c r="X316" s="1"/>
      <c r="DW316" s="2"/>
      <c r="DX316" s="2"/>
      <c r="DY316" s="2"/>
      <c r="DZ316" s="13"/>
      <c r="EA316" s="13"/>
      <c r="EB316" s="2"/>
      <c r="EC316" s="3"/>
      <c r="ED316" s="3"/>
    </row>
    <row r="317" spans="7:134">
      <c r="U317" s="1"/>
      <c r="X317" s="1"/>
      <c r="DW317" s="2"/>
      <c r="DX317" s="2"/>
      <c r="DY317" s="2"/>
      <c r="DZ317" s="13"/>
      <c r="EA317" s="13"/>
      <c r="EB317" s="2"/>
      <c r="EC317" s="3"/>
      <c r="ED317" s="3"/>
    </row>
    <row r="318" spans="7:134">
      <c r="U318" s="1"/>
      <c r="X318" s="1"/>
      <c r="DW318" s="2"/>
      <c r="DX318" s="2"/>
      <c r="DY318" s="2"/>
      <c r="DZ318" s="13"/>
      <c r="EA318" s="13"/>
      <c r="EB318" s="2"/>
      <c r="EC318" s="3"/>
      <c r="ED318" s="3"/>
    </row>
    <row r="319" spans="7:134">
      <c r="U319" s="1"/>
      <c r="X319" s="1"/>
      <c r="DW319" s="2"/>
      <c r="DX319" s="2"/>
      <c r="DY319" s="2"/>
      <c r="DZ319" s="13"/>
      <c r="EA319" s="13"/>
      <c r="EB319" s="2"/>
      <c r="EC319" s="3"/>
      <c r="ED319" s="3"/>
    </row>
    <row r="320" spans="7:134">
      <c r="U320" s="1"/>
      <c r="X320" s="1"/>
      <c r="DW320" s="2"/>
      <c r="DX320" s="2"/>
      <c r="DY320" s="2"/>
      <c r="DZ320" s="13"/>
      <c r="EA320" s="13"/>
      <c r="EB320" s="2"/>
      <c r="EC320" s="3"/>
      <c r="ED320" s="3"/>
    </row>
    <row r="321" spans="21:134">
      <c r="U321" s="1"/>
      <c r="X321" s="1"/>
      <c r="DW321" s="2"/>
      <c r="DX321" s="2"/>
      <c r="DY321" s="2"/>
      <c r="DZ321" s="13"/>
      <c r="EA321" s="13"/>
      <c r="EB321" s="2"/>
      <c r="EC321" s="3"/>
      <c r="ED321" s="3"/>
    </row>
    <row r="322" spans="21:134">
      <c r="U322" s="1"/>
      <c r="X322" s="1"/>
      <c r="DW322" s="2"/>
      <c r="DX322" s="2"/>
      <c r="DY322" s="2"/>
      <c r="DZ322" s="13"/>
      <c r="EA322" s="13"/>
      <c r="EB322" s="2"/>
      <c r="EC322" s="3"/>
      <c r="ED322" s="3"/>
    </row>
    <row r="323" spans="21:134">
      <c r="U323" s="1"/>
      <c r="X323" s="1"/>
      <c r="DW323" s="2"/>
      <c r="DX323" s="2"/>
      <c r="DY323" s="2"/>
      <c r="DZ323" s="13"/>
      <c r="EA323" s="13"/>
      <c r="EB323" s="2"/>
      <c r="EC323" s="3"/>
      <c r="ED323" s="3"/>
    </row>
    <row r="324" spans="21:134">
      <c r="U324" s="1"/>
      <c r="X324" s="1"/>
      <c r="DW324" s="2"/>
      <c r="DX324" s="2"/>
      <c r="DY324" s="2"/>
      <c r="DZ324" s="13"/>
      <c r="EA324" s="13"/>
      <c r="EB324" s="2"/>
      <c r="EC324" s="3"/>
      <c r="ED324" s="3"/>
    </row>
    <row r="325" spans="21:134">
      <c r="U325" s="1"/>
      <c r="X325" s="1"/>
      <c r="DW325" s="2"/>
      <c r="DX325" s="2"/>
      <c r="DY325" s="2"/>
      <c r="DZ325" s="13"/>
      <c r="EA325" s="13"/>
      <c r="EB325" s="2"/>
      <c r="EC325" s="3"/>
      <c r="ED325" s="3"/>
    </row>
    <row r="326" spans="21:134">
      <c r="U326" s="1"/>
      <c r="X326" s="1"/>
      <c r="DW326" s="2"/>
      <c r="DX326" s="2"/>
      <c r="DY326" s="2"/>
      <c r="DZ326" s="13"/>
      <c r="EA326" s="13"/>
      <c r="EB326" s="2"/>
      <c r="EC326" s="3"/>
      <c r="ED326" s="3"/>
    </row>
    <row r="327" spans="21:134">
      <c r="U327" s="1"/>
      <c r="X327" s="1"/>
      <c r="DW327" s="2"/>
      <c r="DX327" s="2"/>
      <c r="DY327" s="2"/>
      <c r="DZ327" s="13"/>
      <c r="EA327" s="13"/>
      <c r="EB327" s="2"/>
      <c r="EC327" s="3"/>
      <c r="ED327" s="3"/>
    </row>
    <row r="328" spans="21:134">
      <c r="U328" s="1"/>
      <c r="X328" s="1"/>
      <c r="DW328" s="2"/>
      <c r="DX328" s="2"/>
      <c r="DY328" s="2"/>
      <c r="DZ328" s="13"/>
      <c r="EA328" s="13"/>
      <c r="EB328" s="2"/>
      <c r="EC328" s="3"/>
      <c r="ED328" s="3"/>
    </row>
    <row r="329" spans="21:134">
      <c r="U329" s="1"/>
      <c r="X329" s="1"/>
      <c r="DW329" s="2"/>
      <c r="DX329" s="2"/>
      <c r="DY329" s="2"/>
      <c r="DZ329" s="13"/>
      <c r="EA329" s="13"/>
      <c r="EB329" s="2"/>
      <c r="EC329" s="3"/>
      <c r="ED329" s="3"/>
    </row>
    <row r="330" spans="21:134">
      <c r="U330" s="1"/>
      <c r="X330" s="1"/>
      <c r="DW330" s="2"/>
      <c r="DX330" s="2"/>
      <c r="DY330" s="2"/>
      <c r="DZ330" s="13"/>
      <c r="EA330" s="13"/>
      <c r="EB330" s="2"/>
      <c r="EC330" s="3"/>
      <c r="ED330" s="3"/>
    </row>
    <row r="331" spans="21:134">
      <c r="U331" s="1"/>
      <c r="X331" s="1"/>
      <c r="DW331" s="2"/>
      <c r="DX331" s="2"/>
      <c r="DY331" s="2"/>
      <c r="EB331" s="2"/>
      <c r="EC331" s="3"/>
      <c r="ED331" s="3"/>
    </row>
    <row r="332" spans="21:134">
      <c r="U332" s="1"/>
      <c r="X332" s="1"/>
      <c r="DW332" s="2"/>
      <c r="DX332" s="2"/>
      <c r="DY332" s="2"/>
      <c r="EB332" s="2"/>
      <c r="EC332" s="3"/>
      <c r="ED332" s="3"/>
    </row>
    <row r="333" spans="21:134">
      <c r="U333" s="1"/>
      <c r="X333" s="1"/>
      <c r="DW333" s="2"/>
      <c r="DX333" s="2"/>
      <c r="DY333" s="2"/>
      <c r="EB333" s="2"/>
      <c r="EC333" s="3"/>
      <c r="ED333" s="3"/>
    </row>
    <row r="334" spans="21:134">
      <c r="U334" s="1"/>
      <c r="X334" s="1"/>
      <c r="DW334" s="2"/>
      <c r="DX334" s="2"/>
      <c r="DY334" s="2"/>
      <c r="EB334" s="2"/>
      <c r="EC334" s="3"/>
      <c r="ED334" s="3"/>
    </row>
    <row r="335" spans="21:134">
      <c r="U335" s="1"/>
      <c r="X335" s="1"/>
      <c r="DW335" s="2"/>
      <c r="DX335" s="2"/>
      <c r="DY335" s="2"/>
      <c r="EB335" s="2"/>
      <c r="EC335" s="3"/>
      <c r="ED335" s="3"/>
    </row>
    <row r="336" spans="21:134">
      <c r="U336" s="1"/>
      <c r="X336" s="1"/>
      <c r="DW336" s="2"/>
      <c r="DX336" s="2"/>
      <c r="DY336" s="2"/>
      <c r="EB336" s="2"/>
      <c r="EC336" s="3"/>
      <c r="ED336" s="3"/>
    </row>
    <row r="337" spans="21:134">
      <c r="U337" s="1"/>
      <c r="X337" s="1"/>
      <c r="DW337" s="2"/>
      <c r="DX337" s="2"/>
      <c r="DY337" s="2"/>
      <c r="EB337" s="2"/>
      <c r="EC337" s="3"/>
      <c r="ED337" s="3"/>
    </row>
    <row r="338" spans="21:134">
      <c r="U338" s="1"/>
      <c r="X338" s="1"/>
      <c r="DW338" s="2"/>
      <c r="DX338" s="2"/>
      <c r="DY338" s="2"/>
      <c r="EB338" s="2"/>
      <c r="EC338" s="3"/>
      <c r="ED338" s="3"/>
    </row>
    <row r="339" spans="21:134">
      <c r="U339" s="1"/>
      <c r="X339" s="1"/>
      <c r="DW339" s="2"/>
      <c r="DX339" s="2"/>
      <c r="DY339" s="2"/>
      <c r="EB339" s="2"/>
      <c r="EC339" s="3"/>
      <c r="ED339" s="3"/>
    </row>
    <row r="340" spans="21:134">
      <c r="U340" s="1"/>
      <c r="X340" s="1"/>
      <c r="DW340" s="2"/>
      <c r="DX340" s="2"/>
      <c r="DY340" s="2"/>
      <c r="EB340" s="2"/>
      <c r="EC340" s="3"/>
      <c r="ED340" s="3"/>
    </row>
  </sheetData>
  <autoFilter ref="H26:H261" xr:uid="{00000000-0001-0000-0000-000000000000}"/>
  <mergeCells count="3088">
    <mergeCell ref="BF36:BH36"/>
    <mergeCell ref="AW40:AY40"/>
    <mergeCell ref="AZ40:BB40"/>
    <mergeCell ref="AT60:AV60"/>
    <mergeCell ref="AW60:AY60"/>
    <mergeCell ref="AH19:AJ19"/>
    <mergeCell ref="AK19:AM19"/>
    <mergeCell ref="AN19:AP19"/>
    <mergeCell ref="AQ19:AS19"/>
    <mergeCell ref="S246:U246"/>
    <mergeCell ref="V246:X246"/>
    <mergeCell ref="Y246:AA246"/>
    <mergeCell ref="AB246:AD246"/>
    <mergeCell ref="AE246:AG246"/>
    <mergeCell ref="AT28:AV28"/>
    <mergeCell ref="AW28:AY28"/>
    <mergeCell ref="AZ28:BB28"/>
    <mergeCell ref="BC28:BE28"/>
    <mergeCell ref="AT30:AV30"/>
    <mergeCell ref="AW30:AY30"/>
    <mergeCell ref="AZ30:BB30"/>
    <mergeCell ref="BC30:BE30"/>
    <mergeCell ref="AT32:AV32"/>
    <mergeCell ref="AW32:AY32"/>
    <mergeCell ref="BC36:BE36"/>
    <mergeCell ref="BF26:BH27"/>
    <mergeCell ref="AK236:AM236"/>
    <mergeCell ref="S232:U232"/>
    <mergeCell ref="V232:X232"/>
    <mergeCell ref="Y232:AA232"/>
    <mergeCell ref="AB232:AD232"/>
    <mergeCell ref="AE232:AG232"/>
    <mergeCell ref="DX254:DX255"/>
    <mergeCell ref="CM254:CO254"/>
    <mergeCell ref="CP254:CR254"/>
    <mergeCell ref="CS254:CU254"/>
    <mergeCell ref="CV254:CX254"/>
    <mergeCell ref="CY254:DA254"/>
    <mergeCell ref="DT254:DV254"/>
    <mergeCell ref="L254:L255"/>
    <mergeCell ref="M254:M255"/>
    <mergeCell ref="N254:N255"/>
    <mergeCell ref="O254:O255"/>
    <mergeCell ref="P254:P255"/>
    <mergeCell ref="Q254:Q255"/>
    <mergeCell ref="S254:U254"/>
    <mergeCell ref="V254:X254"/>
    <mergeCell ref="Y254:AA254"/>
    <mergeCell ref="AH254:AJ254"/>
    <mergeCell ref="AQ254:AS254"/>
    <mergeCell ref="AZ254:BB254"/>
    <mergeCell ref="BI254:BK254"/>
    <mergeCell ref="DB254:DD254"/>
    <mergeCell ref="DE254:DG254"/>
    <mergeCell ref="DH254:DJ254"/>
    <mergeCell ref="DK254:DM254"/>
    <mergeCell ref="DT260:DV260"/>
    <mergeCell ref="DE259:DG259"/>
    <mergeCell ref="DH259:DJ259"/>
    <mergeCell ref="DK259:DM259"/>
    <mergeCell ref="DN259:DP259"/>
    <mergeCell ref="DQ259:DS259"/>
    <mergeCell ref="DT259:DV259"/>
    <mergeCell ref="Y260:AA260"/>
    <mergeCell ref="AB260:AD260"/>
    <mergeCell ref="AE260:AG260"/>
    <mergeCell ref="AH260:AJ260"/>
    <mergeCell ref="AK260:AM260"/>
    <mergeCell ref="AN260:AP260"/>
    <mergeCell ref="AQ260:AS260"/>
    <mergeCell ref="AT260:AV260"/>
    <mergeCell ref="AW260:AY260"/>
    <mergeCell ref="AZ260:BB260"/>
    <mergeCell ref="BC260:BE260"/>
    <mergeCell ref="BF260:BH260"/>
    <mergeCell ref="BI260:BK260"/>
    <mergeCell ref="BL260:BN260"/>
    <mergeCell ref="BO260:BQ260"/>
    <mergeCell ref="BR260:BT260"/>
    <mergeCell ref="BU260:BW260"/>
    <mergeCell ref="BX260:BZ260"/>
    <mergeCell ref="BU259:BW259"/>
    <mergeCell ref="BX259:BZ259"/>
    <mergeCell ref="CA259:CC259"/>
    <mergeCell ref="CD259:CF259"/>
    <mergeCell ref="CG259:CI259"/>
    <mergeCell ref="CJ259:CL259"/>
    <mergeCell ref="CM259:CO259"/>
    <mergeCell ref="CP259:CR259"/>
    <mergeCell ref="CS259:CU259"/>
    <mergeCell ref="CV259:CX259"/>
    <mergeCell ref="CY260:DA260"/>
    <mergeCell ref="DB260:DD260"/>
    <mergeCell ref="DE260:DG260"/>
    <mergeCell ref="DH260:DJ260"/>
    <mergeCell ref="DK260:DM260"/>
    <mergeCell ref="DN260:DP260"/>
    <mergeCell ref="DQ260:DS260"/>
    <mergeCell ref="CY259:DA259"/>
    <mergeCell ref="DB259:DD259"/>
    <mergeCell ref="L259:Q259"/>
    <mergeCell ref="L260:Q260"/>
    <mergeCell ref="S259:U259"/>
    <mergeCell ref="S260:U260"/>
    <mergeCell ref="V259:X259"/>
    <mergeCell ref="V260:X260"/>
    <mergeCell ref="Y259:AA259"/>
    <mergeCell ref="AB259:AD259"/>
    <mergeCell ref="AE259:AG259"/>
    <mergeCell ref="AH259:AJ259"/>
    <mergeCell ref="AK259:AM259"/>
    <mergeCell ref="AN259:AP259"/>
    <mergeCell ref="AQ259:AS259"/>
    <mergeCell ref="AT259:AV259"/>
    <mergeCell ref="AW259:AY259"/>
    <mergeCell ref="AZ259:BB259"/>
    <mergeCell ref="BC259:BE259"/>
    <mergeCell ref="CA260:CC260"/>
    <mergeCell ref="CD260:CF260"/>
    <mergeCell ref="CG260:CI260"/>
    <mergeCell ref="CJ260:CL260"/>
    <mergeCell ref="CM260:CO260"/>
    <mergeCell ref="CP260:CR260"/>
    <mergeCell ref="CS260:CU260"/>
    <mergeCell ref="CV260:CX260"/>
    <mergeCell ref="BF259:BH259"/>
    <mergeCell ref="BI259:BK259"/>
    <mergeCell ref="BL259:BN259"/>
    <mergeCell ref="BO259:BQ259"/>
    <mergeCell ref="BR259:BT259"/>
    <mergeCell ref="F26:F27"/>
    <mergeCell ref="G26:G27"/>
    <mergeCell ref="DH234:DJ234"/>
    <mergeCell ref="DK234:DM234"/>
    <mergeCell ref="CV144:CX144"/>
    <mergeCell ref="DN234:DP234"/>
    <mergeCell ref="CV164:CX164"/>
    <mergeCell ref="CS160:CU161"/>
    <mergeCell ref="DH238:DJ238"/>
    <mergeCell ref="CA188:CC188"/>
    <mergeCell ref="DE176:DG176"/>
    <mergeCell ref="DE64:DG65"/>
    <mergeCell ref="DN148:DP148"/>
    <mergeCell ref="DE160:DG161"/>
    <mergeCell ref="DH162:DJ162"/>
    <mergeCell ref="DK162:DM162"/>
    <mergeCell ref="DN162:DP162"/>
    <mergeCell ref="BO44:BQ44"/>
    <mergeCell ref="BR44:BT44"/>
    <mergeCell ref="CP46:CR46"/>
    <mergeCell ref="CP48:CR48"/>
    <mergeCell ref="CA54:CC54"/>
    <mergeCell ref="DY244:DY245"/>
    <mergeCell ref="DY252:DY253"/>
    <mergeCell ref="DE140:DG140"/>
    <mergeCell ref="DH140:DJ140"/>
    <mergeCell ref="DK140:DM140"/>
    <mergeCell ref="DE142:DG142"/>
    <mergeCell ref="DH142:DJ142"/>
    <mergeCell ref="DK142:DM142"/>
    <mergeCell ref="DB144:DD144"/>
    <mergeCell ref="DE144:DG144"/>
    <mergeCell ref="DH144:DJ144"/>
    <mergeCell ref="DB150:DD150"/>
    <mergeCell ref="DE150:DG150"/>
    <mergeCell ref="DB154:DD154"/>
    <mergeCell ref="DB156:DD156"/>
    <mergeCell ref="DE156:DG156"/>
    <mergeCell ref="DH156:DJ156"/>
    <mergeCell ref="DQ240:DS241"/>
    <mergeCell ref="DH220:DJ220"/>
    <mergeCell ref="DK220:DM220"/>
    <mergeCell ref="DN220:DP220"/>
    <mergeCell ref="DQ220:DS220"/>
    <mergeCell ref="DH240:DJ241"/>
    <mergeCell ref="DK240:DM241"/>
    <mergeCell ref="DN240:DP241"/>
    <mergeCell ref="DK196:DM197"/>
    <mergeCell ref="DN196:DP197"/>
    <mergeCell ref="DT248:DV248"/>
    <mergeCell ref="DT244:DV245"/>
    <mergeCell ref="DQ232:DS232"/>
    <mergeCell ref="DQ234:DS234"/>
    <mergeCell ref="DT238:DV238"/>
    <mergeCell ref="DY178:DY179"/>
    <mergeCell ref="DY186:DY187"/>
    <mergeCell ref="DE138:DG138"/>
    <mergeCell ref="CV76:CX76"/>
    <mergeCell ref="CM66:CO66"/>
    <mergeCell ref="CJ120:CL120"/>
    <mergeCell ref="CJ122:CL122"/>
    <mergeCell ref="CS66:CU66"/>
    <mergeCell ref="CV66:CX66"/>
    <mergeCell ref="CV92:CX92"/>
    <mergeCell ref="DX106:DX107"/>
    <mergeCell ref="CP182:CR182"/>
    <mergeCell ref="DH160:DJ161"/>
    <mergeCell ref="CV104:CX104"/>
    <mergeCell ref="DB142:DD142"/>
    <mergeCell ref="CM68:CO68"/>
    <mergeCell ref="DX76:DX77"/>
    <mergeCell ref="DX78:DX79"/>
    <mergeCell ref="DX80:DX81"/>
    <mergeCell ref="DX82:DX83"/>
    <mergeCell ref="DX84:DX85"/>
    <mergeCell ref="DX86:DX87"/>
    <mergeCell ref="DX88:DX89"/>
    <mergeCell ref="DX146:DX147"/>
    <mergeCell ref="DX94:DX95"/>
    <mergeCell ref="DX110:DX111"/>
    <mergeCell ref="CP180:CR180"/>
    <mergeCell ref="CP186:CR187"/>
    <mergeCell ref="DX176:DX177"/>
    <mergeCell ref="DX128:DX129"/>
    <mergeCell ref="DX138:DX139"/>
    <mergeCell ref="DX140:DX141"/>
    <mergeCell ref="DH164:DJ164"/>
    <mergeCell ref="DY26:DY27"/>
    <mergeCell ref="DY108:DY109"/>
    <mergeCell ref="DQ160:DS161"/>
    <mergeCell ref="DQ162:DS162"/>
    <mergeCell ref="DK222:DM223"/>
    <mergeCell ref="DN222:DP223"/>
    <mergeCell ref="DQ222:DS223"/>
    <mergeCell ref="DY134:DY135"/>
    <mergeCell ref="DY160:DY161"/>
    <mergeCell ref="DY94:DY95"/>
    <mergeCell ref="DY196:DY197"/>
    <mergeCell ref="DY208:DY209"/>
    <mergeCell ref="DY222:DY223"/>
    <mergeCell ref="DX30:DX31"/>
    <mergeCell ref="DX32:DX33"/>
    <mergeCell ref="DX36:DX37"/>
    <mergeCell ref="DX38:DX39"/>
    <mergeCell ref="DX40:DX41"/>
    <mergeCell ref="DX42:DX43"/>
    <mergeCell ref="DX46:DX47"/>
    <mergeCell ref="DN186:DP187"/>
    <mergeCell ref="DK160:DM161"/>
    <mergeCell ref="DN160:DP161"/>
    <mergeCell ref="DX62:DX63"/>
    <mergeCell ref="DX102:DX103"/>
    <mergeCell ref="DT174:DV174"/>
    <mergeCell ref="DQ178:DS179"/>
    <mergeCell ref="DQ214:DS214"/>
    <mergeCell ref="DX60:DX61"/>
    <mergeCell ref="DX58:DX59"/>
    <mergeCell ref="DX112:DX113"/>
    <mergeCell ref="DQ254:DS254"/>
    <mergeCell ref="DY240:DY241"/>
    <mergeCell ref="DH226:DJ226"/>
    <mergeCell ref="DK226:DM226"/>
    <mergeCell ref="DN226:DP226"/>
    <mergeCell ref="DQ226:DS226"/>
    <mergeCell ref="DH228:DJ228"/>
    <mergeCell ref="DK228:DM228"/>
    <mergeCell ref="DN228:DP228"/>
    <mergeCell ref="DQ228:DS228"/>
    <mergeCell ref="DH230:DJ230"/>
    <mergeCell ref="DK230:DM230"/>
    <mergeCell ref="DN230:DP230"/>
    <mergeCell ref="DQ230:DS230"/>
    <mergeCell ref="DH232:DJ232"/>
    <mergeCell ref="DK54:DM54"/>
    <mergeCell ref="DN54:DP54"/>
    <mergeCell ref="DQ152:DS152"/>
    <mergeCell ref="DQ186:DS187"/>
    <mergeCell ref="DH196:DJ197"/>
    <mergeCell ref="DQ196:DS197"/>
    <mergeCell ref="DH208:DJ209"/>
    <mergeCell ref="DK208:DM209"/>
    <mergeCell ref="DN208:DP209"/>
    <mergeCell ref="DQ208:DS209"/>
    <mergeCell ref="DH186:DJ187"/>
    <mergeCell ref="DK186:DM187"/>
    <mergeCell ref="DY64:DY65"/>
    <mergeCell ref="DN174:DP174"/>
    <mergeCell ref="DQ174:DS174"/>
    <mergeCell ref="DH176:DJ176"/>
    <mergeCell ref="DN178:DP179"/>
    <mergeCell ref="DE54:DG54"/>
    <mergeCell ref="CY186:DA187"/>
    <mergeCell ref="DH258:DJ258"/>
    <mergeCell ref="DK258:DM258"/>
    <mergeCell ref="DN258:DP258"/>
    <mergeCell ref="DQ258:DS258"/>
    <mergeCell ref="DH242:DJ242"/>
    <mergeCell ref="DK242:DM242"/>
    <mergeCell ref="DN242:DP242"/>
    <mergeCell ref="DQ242:DS242"/>
    <mergeCell ref="DH244:DJ245"/>
    <mergeCell ref="DK244:DM245"/>
    <mergeCell ref="DN244:DP245"/>
    <mergeCell ref="DQ244:DS245"/>
    <mergeCell ref="DH246:DJ246"/>
    <mergeCell ref="DK246:DM246"/>
    <mergeCell ref="DN246:DP246"/>
    <mergeCell ref="DQ246:DS246"/>
    <mergeCell ref="DH248:DJ248"/>
    <mergeCell ref="DK248:DM248"/>
    <mergeCell ref="DN248:DP248"/>
    <mergeCell ref="DQ248:DS248"/>
    <mergeCell ref="DH250:DJ250"/>
    <mergeCell ref="DK250:DM250"/>
    <mergeCell ref="DN250:DP250"/>
    <mergeCell ref="DQ250:DS250"/>
    <mergeCell ref="DH252:DJ253"/>
    <mergeCell ref="DH256:DJ257"/>
    <mergeCell ref="DK256:DM257"/>
    <mergeCell ref="DN256:DP257"/>
    <mergeCell ref="DQ256:DS257"/>
    <mergeCell ref="DN254:DP254"/>
    <mergeCell ref="DH22:DJ22"/>
    <mergeCell ref="DK22:DM22"/>
    <mergeCell ref="DN22:DP22"/>
    <mergeCell ref="DQ22:DS22"/>
    <mergeCell ref="DH24:DJ25"/>
    <mergeCell ref="DK24:DM25"/>
    <mergeCell ref="DN24:DP25"/>
    <mergeCell ref="DQ24:DS25"/>
    <mergeCell ref="DH26:DJ27"/>
    <mergeCell ref="DK26:DM27"/>
    <mergeCell ref="DN26:DP27"/>
    <mergeCell ref="DQ26:DS27"/>
    <mergeCell ref="DH64:DJ65"/>
    <mergeCell ref="DK64:DM65"/>
    <mergeCell ref="DN64:DP65"/>
    <mergeCell ref="DQ64:DS65"/>
    <mergeCell ref="DQ148:DS148"/>
    <mergeCell ref="DK134:DM135"/>
    <mergeCell ref="DN134:DP135"/>
    <mergeCell ref="DH54:DJ54"/>
    <mergeCell ref="DQ146:DS146"/>
    <mergeCell ref="DN146:DP146"/>
    <mergeCell ref="DQ94:DS95"/>
    <mergeCell ref="DH108:DJ109"/>
    <mergeCell ref="DK108:DM109"/>
    <mergeCell ref="DN108:DP109"/>
    <mergeCell ref="DK146:DM146"/>
    <mergeCell ref="DH158:DJ158"/>
    <mergeCell ref="DK158:DM158"/>
    <mergeCell ref="DN158:DP158"/>
    <mergeCell ref="DQ158:DS158"/>
    <mergeCell ref="BL206:BN206"/>
    <mergeCell ref="CD184:CF184"/>
    <mergeCell ref="CG184:CI184"/>
    <mergeCell ref="CM196:CO197"/>
    <mergeCell ref="CV208:CX209"/>
    <mergeCell ref="BR200:BT200"/>
    <mergeCell ref="CY178:DA179"/>
    <mergeCell ref="DB178:DD179"/>
    <mergeCell ref="DE178:DG179"/>
    <mergeCell ref="CA184:CC184"/>
    <mergeCell ref="CD120:CF120"/>
    <mergeCell ref="CP114:CR114"/>
    <mergeCell ref="CG120:CI120"/>
    <mergeCell ref="BU178:BW179"/>
    <mergeCell ref="CM134:CO135"/>
    <mergeCell ref="CY160:DA161"/>
    <mergeCell ref="DE164:DG164"/>
    <mergeCell ref="CY166:DA166"/>
    <mergeCell ref="CY144:DA144"/>
    <mergeCell ref="CM208:CO209"/>
    <mergeCell ref="CM186:CO187"/>
    <mergeCell ref="CV186:CX187"/>
    <mergeCell ref="CG114:CI114"/>
    <mergeCell ref="CJ114:CL114"/>
    <mergeCell ref="CD160:CF161"/>
    <mergeCell ref="CD174:CF174"/>
    <mergeCell ref="CD158:CF158"/>
    <mergeCell ref="CG158:CI158"/>
    <mergeCell ref="CP76:CR76"/>
    <mergeCell ref="CV138:CX138"/>
    <mergeCell ref="CY138:DA138"/>
    <mergeCell ref="CY156:DA156"/>
    <mergeCell ref="CM156:CO156"/>
    <mergeCell ref="CG132:CI132"/>
    <mergeCell ref="CD114:CF114"/>
    <mergeCell ref="CJ90:CL90"/>
    <mergeCell ref="CJ144:CL144"/>
    <mergeCell ref="BX114:BZ114"/>
    <mergeCell ref="BX120:BZ120"/>
    <mergeCell ref="BX94:BZ95"/>
    <mergeCell ref="CJ92:CL92"/>
    <mergeCell ref="CM158:CO158"/>
    <mergeCell ref="CM112:CO112"/>
    <mergeCell ref="CD138:CF138"/>
    <mergeCell ref="CG138:CI138"/>
    <mergeCell ref="CS138:CU138"/>
    <mergeCell ref="CM116:CO116"/>
    <mergeCell ref="CS144:CU144"/>
    <mergeCell ref="CJ158:CL158"/>
    <mergeCell ref="CP116:CR116"/>
    <mergeCell ref="CM118:CO118"/>
    <mergeCell ref="CP144:CR144"/>
    <mergeCell ref="CJ126:CL126"/>
    <mergeCell ref="CJ130:CL130"/>
    <mergeCell ref="CY134:DA135"/>
    <mergeCell ref="CY90:DA90"/>
    <mergeCell ref="DB54:DD54"/>
    <mergeCell ref="CM54:CO54"/>
    <mergeCell ref="CP68:CR68"/>
    <mergeCell ref="CP66:CR66"/>
    <mergeCell ref="CY54:DA54"/>
    <mergeCell ref="CG76:CI76"/>
    <mergeCell ref="CG88:CI88"/>
    <mergeCell ref="CG144:CI144"/>
    <mergeCell ref="BL56:BN56"/>
    <mergeCell ref="CG128:CI128"/>
    <mergeCell ref="CM128:CO128"/>
    <mergeCell ref="CJ132:CL132"/>
    <mergeCell ref="CG98:CI98"/>
    <mergeCell ref="CG96:CI96"/>
    <mergeCell ref="BU88:BW88"/>
    <mergeCell ref="BU90:BW90"/>
    <mergeCell ref="CM126:CO126"/>
    <mergeCell ref="CG90:CI90"/>
    <mergeCell ref="CD76:CF76"/>
    <mergeCell ref="CG92:CI92"/>
    <mergeCell ref="BX90:BZ90"/>
    <mergeCell ref="CM130:CO130"/>
    <mergeCell ref="CM132:CO132"/>
    <mergeCell ref="CS76:CU76"/>
    <mergeCell ref="CS80:CU80"/>
    <mergeCell ref="CD100:CF100"/>
    <mergeCell ref="CY142:DA142"/>
    <mergeCell ref="BR92:BT92"/>
    <mergeCell ref="BL80:BN80"/>
    <mergeCell ref="CV80:CX80"/>
    <mergeCell ref="CY140:DA140"/>
    <mergeCell ref="CV134:CX135"/>
    <mergeCell ref="CM178:CO179"/>
    <mergeCell ref="CJ178:CL179"/>
    <mergeCell ref="BL48:BN48"/>
    <mergeCell ref="BX178:BZ179"/>
    <mergeCell ref="CD178:CF179"/>
    <mergeCell ref="BU174:BW174"/>
    <mergeCell ref="CA112:CC112"/>
    <mergeCell ref="BO108:BQ109"/>
    <mergeCell ref="CG54:CI54"/>
    <mergeCell ref="CD26:CF27"/>
    <mergeCell ref="CG42:CI42"/>
    <mergeCell ref="CJ42:CL42"/>
    <mergeCell ref="BO178:BQ179"/>
    <mergeCell ref="CM142:CO142"/>
    <mergeCell ref="CJ98:CL98"/>
    <mergeCell ref="CJ100:CL100"/>
    <mergeCell ref="CJ104:CL104"/>
    <mergeCell ref="CJ128:CL128"/>
    <mergeCell ref="CD134:CF135"/>
    <mergeCell ref="CM160:CO161"/>
    <mergeCell ref="BR90:BT90"/>
    <mergeCell ref="BL74:BN74"/>
    <mergeCell ref="BO74:BQ74"/>
    <mergeCell ref="BR74:BT74"/>
    <mergeCell ref="CA48:CC48"/>
    <mergeCell ref="CJ48:CL48"/>
    <mergeCell ref="CJ54:CL54"/>
    <mergeCell ref="BL50:BN50"/>
    <mergeCell ref="CD124:CF124"/>
    <mergeCell ref="CG106:CI106"/>
    <mergeCell ref="CM144:CO144"/>
    <mergeCell ref="BO70:BQ70"/>
    <mergeCell ref="DX48:DX49"/>
    <mergeCell ref="DX50:DX51"/>
    <mergeCell ref="CS46:CU46"/>
    <mergeCell ref="CJ34:CL34"/>
    <mergeCell ref="CD46:CF46"/>
    <mergeCell ref="CP228:CR228"/>
    <mergeCell ref="DX26:DX27"/>
    <mergeCell ref="CS54:CU54"/>
    <mergeCell ref="BO56:BQ56"/>
    <mergeCell ref="BR56:BT56"/>
    <mergeCell ref="BU56:BW56"/>
    <mergeCell ref="CD56:CF56"/>
    <mergeCell ref="CG56:CI56"/>
    <mergeCell ref="CJ56:CL56"/>
    <mergeCell ref="BX56:BZ56"/>
    <mergeCell ref="CA56:CC56"/>
    <mergeCell ref="CM56:CO56"/>
    <mergeCell ref="CP56:CR56"/>
    <mergeCell ref="CS56:CU56"/>
    <mergeCell ref="CV56:CX56"/>
    <mergeCell ref="DT172:DV172"/>
    <mergeCell ref="DT170:DV170"/>
    <mergeCell ref="CJ160:CL161"/>
    <mergeCell ref="DX126:DX127"/>
    <mergeCell ref="DH134:DJ135"/>
    <mergeCell ref="CP142:CR142"/>
    <mergeCell ref="CM46:CO46"/>
    <mergeCell ref="CA190:CC190"/>
    <mergeCell ref="CD190:CF190"/>
    <mergeCell ref="BU92:BW92"/>
    <mergeCell ref="BX110:BZ110"/>
    <mergeCell ref="BX112:BZ112"/>
    <mergeCell ref="BL26:BN27"/>
    <mergeCell ref="BO26:BQ27"/>
    <mergeCell ref="DX28:DX29"/>
    <mergeCell ref="CM26:CO27"/>
    <mergeCell ref="CY42:DA42"/>
    <mergeCell ref="DB42:DD42"/>
    <mergeCell ref="BU44:BW44"/>
    <mergeCell ref="DX34:DX35"/>
    <mergeCell ref="CJ38:CL38"/>
    <mergeCell ref="DX44:DX45"/>
    <mergeCell ref="CV46:CX46"/>
    <mergeCell ref="CM42:CO42"/>
    <mergeCell ref="CP42:CR42"/>
    <mergeCell ref="CJ46:CL46"/>
    <mergeCell ref="BX44:BZ44"/>
    <mergeCell ref="CA44:CC44"/>
    <mergeCell ref="CG34:CI34"/>
    <mergeCell ref="CA34:CC34"/>
    <mergeCell ref="CV26:CX27"/>
    <mergeCell ref="CG26:CI27"/>
    <mergeCell ref="CD44:CF44"/>
    <mergeCell ref="CD42:CF42"/>
    <mergeCell ref="CJ26:CL27"/>
    <mergeCell ref="CP26:CR27"/>
    <mergeCell ref="CG46:CI46"/>
    <mergeCell ref="CS42:CU42"/>
    <mergeCell ref="CV42:CX42"/>
    <mergeCell ref="CJ32:CL32"/>
    <mergeCell ref="BR38:BT38"/>
    <mergeCell ref="CA26:CC27"/>
    <mergeCell ref="BR26:BT27"/>
    <mergeCell ref="BU26:BW27"/>
    <mergeCell ref="AB230:AD230"/>
    <mergeCell ref="AE230:AG230"/>
    <mergeCell ref="BU196:BW197"/>
    <mergeCell ref="BX196:BZ197"/>
    <mergeCell ref="BI232:BK232"/>
    <mergeCell ref="BL232:BN232"/>
    <mergeCell ref="Y58:AA58"/>
    <mergeCell ref="AW58:AY58"/>
    <mergeCell ref="BC228:BE228"/>
    <mergeCell ref="BX224:BZ224"/>
    <mergeCell ref="BU226:BW226"/>
    <mergeCell ref="AN234:AP234"/>
    <mergeCell ref="CM228:CO228"/>
    <mergeCell ref="BC234:BE234"/>
    <mergeCell ref="BX222:BZ223"/>
    <mergeCell ref="BU208:BW209"/>
    <mergeCell ref="CA226:CC226"/>
    <mergeCell ref="CA232:CC232"/>
    <mergeCell ref="BR224:BT224"/>
    <mergeCell ref="AW160:AY161"/>
    <mergeCell ref="BF226:BH226"/>
    <mergeCell ref="BO208:BQ209"/>
    <mergeCell ref="BL180:BN180"/>
    <mergeCell ref="CG228:CI228"/>
    <mergeCell ref="AH226:AJ226"/>
    <mergeCell ref="AK226:AM226"/>
    <mergeCell ref="CD188:CF188"/>
    <mergeCell ref="CA88:CC88"/>
    <mergeCell ref="BF230:BH230"/>
    <mergeCell ref="BI230:BK230"/>
    <mergeCell ref="Y230:AA230"/>
    <mergeCell ref="BF206:BH206"/>
    <mergeCell ref="Y242:AA242"/>
    <mergeCell ref="J256:K258"/>
    <mergeCell ref="DB234:DD234"/>
    <mergeCell ref="DE234:DG234"/>
    <mergeCell ref="BU248:BW248"/>
    <mergeCell ref="BX248:BZ248"/>
    <mergeCell ref="CA248:CC248"/>
    <mergeCell ref="CD248:CF248"/>
    <mergeCell ref="CG248:CI248"/>
    <mergeCell ref="CJ248:CL248"/>
    <mergeCell ref="CG246:CI246"/>
    <mergeCell ref="CJ246:CL246"/>
    <mergeCell ref="CM246:CO246"/>
    <mergeCell ref="CP244:CR245"/>
    <mergeCell ref="CA244:CC245"/>
    <mergeCell ref="CV244:CX245"/>
    <mergeCell ref="CY244:DA245"/>
    <mergeCell ref="V240:X241"/>
    <mergeCell ref="Y240:AA241"/>
    <mergeCell ref="AB240:AD241"/>
    <mergeCell ref="AE240:AG241"/>
    <mergeCell ref="DE244:DG245"/>
    <mergeCell ref="BL248:BN248"/>
    <mergeCell ref="CP248:CR248"/>
    <mergeCell ref="CS248:CU248"/>
    <mergeCell ref="CV248:CX248"/>
    <mergeCell ref="BX252:BZ253"/>
    <mergeCell ref="N252:N253"/>
    <mergeCell ref="O252:O253"/>
    <mergeCell ref="CM248:CO248"/>
    <mergeCell ref="S240:U241"/>
    <mergeCell ref="CY248:DA248"/>
    <mergeCell ref="DE248:DG248"/>
    <mergeCell ref="AH246:AJ246"/>
    <mergeCell ref="AK246:AM246"/>
    <mergeCell ref="AH244:AJ245"/>
    <mergeCell ref="DB248:DD248"/>
    <mergeCell ref="AH242:AJ242"/>
    <mergeCell ref="DB244:DD245"/>
    <mergeCell ref="AW244:AY245"/>
    <mergeCell ref="AT248:AV248"/>
    <mergeCell ref="AW248:AY248"/>
    <mergeCell ref="AZ248:BB248"/>
    <mergeCell ref="BC248:BE248"/>
    <mergeCell ref="BF248:BH248"/>
    <mergeCell ref="BI248:BK248"/>
    <mergeCell ref="AQ248:AS248"/>
    <mergeCell ref="AN246:AP246"/>
    <mergeCell ref="AQ246:AS246"/>
    <mergeCell ref="AW246:AY246"/>
    <mergeCell ref="AZ246:BB246"/>
    <mergeCell ref="CM244:CO245"/>
    <mergeCell ref="CS244:CU245"/>
    <mergeCell ref="DB242:DD242"/>
    <mergeCell ref="AQ242:AS242"/>
    <mergeCell ref="AT244:AV245"/>
    <mergeCell ref="BI242:BK242"/>
    <mergeCell ref="CA246:CC246"/>
    <mergeCell ref="AZ242:BB242"/>
    <mergeCell ref="BU244:BW245"/>
    <mergeCell ref="BU252:BW253"/>
    <mergeCell ref="AZ252:BB253"/>
    <mergeCell ref="BC252:BE253"/>
    <mergeCell ref="BF252:BH253"/>
    <mergeCell ref="BI252:BK253"/>
    <mergeCell ref="BL252:BN253"/>
    <mergeCell ref="BO252:BQ253"/>
    <mergeCell ref="AT250:AV250"/>
    <mergeCell ref="AW250:AY250"/>
    <mergeCell ref="AZ250:BB250"/>
    <mergeCell ref="BI246:BK246"/>
    <mergeCell ref="BL246:BN246"/>
    <mergeCell ref="BO246:BQ246"/>
    <mergeCell ref="BR246:BT246"/>
    <mergeCell ref="BU246:BW246"/>
    <mergeCell ref="BC246:BE246"/>
    <mergeCell ref="AT246:AV246"/>
    <mergeCell ref="BO248:BQ248"/>
    <mergeCell ref="BR248:BT248"/>
    <mergeCell ref="DT252:DV253"/>
    <mergeCell ref="DT246:DV246"/>
    <mergeCell ref="AE252:AG253"/>
    <mergeCell ref="AH252:AJ253"/>
    <mergeCell ref="AK252:AM253"/>
    <mergeCell ref="AN252:AP253"/>
    <mergeCell ref="AQ252:AS253"/>
    <mergeCell ref="CJ252:CL253"/>
    <mergeCell ref="CM252:CO253"/>
    <mergeCell ref="CP252:CR253"/>
    <mergeCell ref="CS252:CU253"/>
    <mergeCell ref="CV252:CX253"/>
    <mergeCell ref="AT252:AV253"/>
    <mergeCell ref="AW252:AY253"/>
    <mergeCell ref="CJ250:CL250"/>
    <mergeCell ref="CM250:CO250"/>
    <mergeCell ref="CP250:CR250"/>
    <mergeCell ref="DT250:DV250"/>
    <mergeCell ref="DK252:DM253"/>
    <mergeCell ref="DN252:DP253"/>
    <mergeCell ref="DQ252:DS253"/>
    <mergeCell ref="BX250:BZ250"/>
    <mergeCell ref="CY252:DA253"/>
    <mergeCell ref="AH250:AJ250"/>
    <mergeCell ref="AK250:AM250"/>
    <mergeCell ref="DE250:DG250"/>
    <mergeCell ref="CA252:CC253"/>
    <mergeCell ref="CD252:CF253"/>
    <mergeCell ref="CG252:CI253"/>
    <mergeCell ref="CA250:CC250"/>
    <mergeCell ref="CD250:CF250"/>
    <mergeCell ref="BR252:BT253"/>
    <mergeCell ref="BR206:BT206"/>
    <mergeCell ref="BO190:BQ190"/>
    <mergeCell ref="BR190:BT190"/>
    <mergeCell ref="BO192:BQ192"/>
    <mergeCell ref="BR192:BT192"/>
    <mergeCell ref="BO194:BQ194"/>
    <mergeCell ref="AZ204:BB204"/>
    <mergeCell ref="BI222:BK223"/>
    <mergeCell ref="BI208:BK209"/>
    <mergeCell ref="BC224:BE224"/>
    <mergeCell ref="BC198:BE198"/>
    <mergeCell ref="BF192:BH192"/>
    <mergeCell ref="BR194:BT194"/>
    <mergeCell ref="AW200:AY200"/>
    <mergeCell ref="BF198:BH198"/>
    <mergeCell ref="CG250:CI250"/>
    <mergeCell ref="AN250:AP250"/>
    <mergeCell ref="AQ250:AS250"/>
    <mergeCell ref="CD246:CF246"/>
    <mergeCell ref="CA192:CC192"/>
    <mergeCell ref="CD192:CF192"/>
    <mergeCell ref="CG202:CI202"/>
    <mergeCell ref="CD208:CF209"/>
    <mergeCell ref="BI196:BK197"/>
    <mergeCell ref="BL196:BN197"/>
    <mergeCell ref="BO196:BQ197"/>
    <mergeCell ref="BR196:BT197"/>
    <mergeCell ref="BR96:BT96"/>
    <mergeCell ref="BL228:BN228"/>
    <mergeCell ref="BU222:BW223"/>
    <mergeCell ref="BX206:BZ206"/>
    <mergeCell ref="BX200:BZ200"/>
    <mergeCell ref="BU206:BW206"/>
    <mergeCell ref="BI226:BK226"/>
    <mergeCell ref="BO228:BQ228"/>
    <mergeCell ref="BU200:BW200"/>
    <mergeCell ref="CD222:CF223"/>
    <mergeCell ref="CA224:CC224"/>
    <mergeCell ref="CD224:CF224"/>
    <mergeCell ref="CA174:CC174"/>
    <mergeCell ref="CD228:CF228"/>
    <mergeCell ref="BL208:BN209"/>
    <mergeCell ref="CD200:CF200"/>
    <mergeCell ref="CG126:CI126"/>
    <mergeCell ref="CG134:CI135"/>
    <mergeCell ref="CD122:CF122"/>
    <mergeCell ref="BR134:BT135"/>
    <mergeCell ref="BR186:BT187"/>
    <mergeCell ref="BR178:BT179"/>
    <mergeCell ref="BO174:BQ174"/>
    <mergeCell ref="BI180:BK180"/>
    <mergeCell ref="BR98:BT98"/>
    <mergeCell ref="BI134:BK135"/>
    <mergeCell ref="AW230:AY230"/>
    <mergeCell ref="AZ230:BB230"/>
    <mergeCell ref="BC230:BE230"/>
    <mergeCell ref="CD230:CF230"/>
    <mergeCell ref="AW234:AY234"/>
    <mergeCell ref="AZ234:BB234"/>
    <mergeCell ref="BR232:BT232"/>
    <mergeCell ref="BL230:BN230"/>
    <mergeCell ref="BO230:BQ230"/>
    <mergeCell ref="BR230:BT230"/>
    <mergeCell ref="BU230:BW230"/>
    <mergeCell ref="CA194:CC194"/>
    <mergeCell ref="CD194:CF194"/>
    <mergeCell ref="BI206:BK206"/>
    <mergeCell ref="BC160:BE161"/>
    <mergeCell ref="BC194:BE194"/>
    <mergeCell ref="BL174:BN174"/>
    <mergeCell ref="BO184:BQ184"/>
    <mergeCell ref="BO222:BQ223"/>
    <mergeCell ref="BR222:BT223"/>
    <mergeCell ref="CA202:CC202"/>
    <mergeCell ref="CD202:CF202"/>
    <mergeCell ref="AW228:AY228"/>
    <mergeCell ref="BI198:BK198"/>
    <mergeCell ref="BL198:BN198"/>
    <mergeCell ref="BR160:BT161"/>
    <mergeCell ref="BR234:BT234"/>
    <mergeCell ref="BU234:BW234"/>
    <mergeCell ref="BC192:BE192"/>
    <mergeCell ref="BF188:BH188"/>
    <mergeCell ref="BF194:BH194"/>
    <mergeCell ref="BF224:BH224"/>
    <mergeCell ref="AT236:AV236"/>
    <mergeCell ref="BC236:BE236"/>
    <mergeCell ref="BX244:BZ245"/>
    <mergeCell ref="BO244:BQ245"/>
    <mergeCell ref="BO240:BQ241"/>
    <mergeCell ref="CG244:CI245"/>
    <mergeCell ref="CJ244:CL245"/>
    <mergeCell ref="BR244:BT245"/>
    <mergeCell ref="AZ244:BB245"/>
    <mergeCell ref="BC244:BE245"/>
    <mergeCell ref="CJ230:CL230"/>
    <mergeCell ref="BR240:BT241"/>
    <mergeCell ref="CD244:CF245"/>
    <mergeCell ref="CJ240:CL241"/>
    <mergeCell ref="BX180:BZ180"/>
    <mergeCell ref="CJ138:CL138"/>
    <mergeCell ref="BI200:BK200"/>
    <mergeCell ref="BL200:BN200"/>
    <mergeCell ref="BO198:BQ198"/>
    <mergeCell ref="BR198:BT198"/>
    <mergeCell ref="CA196:CC197"/>
    <mergeCell ref="CA198:CC198"/>
    <mergeCell ref="CD198:CF198"/>
    <mergeCell ref="CG198:CI198"/>
    <mergeCell ref="CA200:CC200"/>
    <mergeCell ref="CJ180:CL180"/>
    <mergeCell ref="CG200:CI200"/>
    <mergeCell ref="BF210:BH210"/>
    <mergeCell ref="BC186:BE187"/>
    <mergeCell ref="BF234:BH234"/>
    <mergeCell ref="BI234:BK234"/>
    <mergeCell ref="BL234:BN234"/>
    <mergeCell ref="R64:R65"/>
    <mergeCell ref="Q136:Q137"/>
    <mergeCell ref="Q178:Q179"/>
    <mergeCell ref="V24:X25"/>
    <mergeCell ref="O200:O201"/>
    <mergeCell ref="P200:P201"/>
    <mergeCell ref="Q200:Q201"/>
    <mergeCell ref="N180:N181"/>
    <mergeCell ref="O180:O181"/>
    <mergeCell ref="R94:R95"/>
    <mergeCell ref="R108:R109"/>
    <mergeCell ref="R134:R135"/>
    <mergeCell ref="R178:R179"/>
    <mergeCell ref="P172:P173"/>
    <mergeCell ref="Q172:Q173"/>
    <mergeCell ref="P174:P175"/>
    <mergeCell ref="Q174:Q175"/>
    <mergeCell ref="P160:P161"/>
    <mergeCell ref="S168:U168"/>
    <mergeCell ref="S42:U42"/>
    <mergeCell ref="N182:N183"/>
    <mergeCell ref="O182:O183"/>
    <mergeCell ref="P182:P183"/>
    <mergeCell ref="O34:O35"/>
    <mergeCell ref="S26:U27"/>
    <mergeCell ref="R186:R187"/>
    <mergeCell ref="R196:R197"/>
    <mergeCell ref="L24:N25"/>
    <mergeCell ref="O24:P25"/>
    <mergeCell ref="M28:M29"/>
    <mergeCell ref="N28:N29"/>
    <mergeCell ref="L30:L31"/>
    <mergeCell ref="M30:M31"/>
    <mergeCell ref="N30:N31"/>
    <mergeCell ref="M34:M35"/>
    <mergeCell ref="N34:N35"/>
    <mergeCell ref="S24:U25"/>
    <mergeCell ref="L28:L29"/>
    <mergeCell ref="L36:L37"/>
    <mergeCell ref="M36:M37"/>
    <mergeCell ref="N36:N37"/>
    <mergeCell ref="L34:L35"/>
    <mergeCell ref="O36:O37"/>
    <mergeCell ref="O28:O29"/>
    <mergeCell ref="O30:O31"/>
    <mergeCell ref="L32:L33"/>
    <mergeCell ref="M32:M33"/>
    <mergeCell ref="S28:U28"/>
    <mergeCell ref="S30:U30"/>
    <mergeCell ref="S32:U32"/>
    <mergeCell ref="R24:R25"/>
    <mergeCell ref="Q24:Q25"/>
    <mergeCell ref="R26:R27"/>
    <mergeCell ref="Q28:Q29"/>
    <mergeCell ref="S34:U34"/>
    <mergeCell ref="Q30:Q31"/>
    <mergeCell ref="Q32:Q33"/>
    <mergeCell ref="Q34:Q35"/>
    <mergeCell ref="Q36:Q37"/>
    <mergeCell ref="BF208:BH209"/>
    <mergeCell ref="BF174:BH174"/>
    <mergeCell ref="BC200:BE200"/>
    <mergeCell ref="AZ184:BB184"/>
    <mergeCell ref="AH186:AJ187"/>
    <mergeCell ref="AT208:AV209"/>
    <mergeCell ref="AK174:AM174"/>
    <mergeCell ref="P122:P123"/>
    <mergeCell ref="Q122:Q123"/>
    <mergeCell ref="AK168:AM168"/>
    <mergeCell ref="AW180:AY180"/>
    <mergeCell ref="AK200:AM200"/>
    <mergeCell ref="AN208:AP209"/>
    <mergeCell ref="AH208:AJ209"/>
    <mergeCell ref="AK208:AM209"/>
    <mergeCell ref="AQ186:AS187"/>
    <mergeCell ref="AZ200:BB200"/>
    <mergeCell ref="S196:U197"/>
    <mergeCell ref="AQ190:AS190"/>
    <mergeCell ref="AQ198:AS198"/>
    <mergeCell ref="AT198:AV198"/>
    <mergeCell ref="BL184:BN184"/>
    <mergeCell ref="BO186:BQ187"/>
    <mergeCell ref="AE196:AG197"/>
    <mergeCell ref="AQ200:AS200"/>
    <mergeCell ref="AT200:AV200"/>
    <mergeCell ref="BF200:BH200"/>
    <mergeCell ref="P108:P109"/>
    <mergeCell ref="Q108:Q109"/>
    <mergeCell ref="R160:R161"/>
    <mergeCell ref="AB168:AD168"/>
    <mergeCell ref="S174:U174"/>
    <mergeCell ref="V174:X174"/>
    <mergeCell ref="Y174:AA174"/>
    <mergeCell ref="P136:P137"/>
    <mergeCell ref="AB108:AD109"/>
    <mergeCell ref="P126:P127"/>
    <mergeCell ref="V134:X135"/>
    <mergeCell ref="AW108:AY109"/>
    <mergeCell ref="Q186:Q187"/>
    <mergeCell ref="AH200:AJ200"/>
    <mergeCell ref="P104:P105"/>
    <mergeCell ref="P106:P107"/>
    <mergeCell ref="Q106:Q107"/>
    <mergeCell ref="P144:P145"/>
    <mergeCell ref="P164:P165"/>
    <mergeCell ref="Q164:Q165"/>
    <mergeCell ref="P166:P167"/>
    <mergeCell ref="Q110:Q111"/>
    <mergeCell ref="AH160:AJ161"/>
    <mergeCell ref="AH174:AJ174"/>
    <mergeCell ref="Q168:Q169"/>
    <mergeCell ref="Q166:Q167"/>
    <mergeCell ref="Q140:Q141"/>
    <mergeCell ref="P128:P129"/>
    <mergeCell ref="Q128:Q129"/>
    <mergeCell ref="S108:U109"/>
    <mergeCell ref="V108:X109"/>
    <mergeCell ref="Y134:AA135"/>
    <mergeCell ref="AB174:AD174"/>
    <mergeCell ref="Q126:Q127"/>
    <mergeCell ref="P158:P159"/>
    <mergeCell ref="Q158:Q159"/>
    <mergeCell ref="P140:P141"/>
    <mergeCell ref="P142:P143"/>
    <mergeCell ref="Q142:Q143"/>
    <mergeCell ref="Q112:Q113"/>
    <mergeCell ref="P114:P115"/>
    <mergeCell ref="Q114:Q115"/>
    <mergeCell ref="P116:P117"/>
    <mergeCell ref="Q116:Q117"/>
    <mergeCell ref="AE160:AG161"/>
    <mergeCell ref="AK186:AM187"/>
    <mergeCell ref="E123:E124"/>
    <mergeCell ref="DT240:DV241"/>
    <mergeCell ref="CS222:CU223"/>
    <mergeCell ref="CV222:CX223"/>
    <mergeCell ref="CY222:DA223"/>
    <mergeCell ref="DB222:DD223"/>
    <mergeCell ref="DE222:DG223"/>
    <mergeCell ref="DT222:DV223"/>
    <mergeCell ref="CY162:DA162"/>
    <mergeCell ref="DB162:DD162"/>
    <mergeCell ref="DE162:DG162"/>
    <mergeCell ref="DT162:DV162"/>
    <mergeCell ref="CM164:CO164"/>
    <mergeCell ref="CG174:CI174"/>
    <mergeCell ref="CJ174:CL174"/>
    <mergeCell ref="CM174:CO174"/>
    <mergeCell ref="CP174:CR174"/>
    <mergeCell ref="CP164:CR164"/>
    <mergeCell ref="AE178:AG179"/>
    <mergeCell ref="DB164:DD164"/>
    <mergeCell ref="CM166:CO166"/>
    <mergeCell ref="AQ228:AS228"/>
    <mergeCell ref="CJ196:CL197"/>
    <mergeCell ref="CJ186:CL187"/>
    <mergeCell ref="AQ208:AS209"/>
    <mergeCell ref="AW224:AY224"/>
    <mergeCell ref="BR226:BT226"/>
    <mergeCell ref="L240:O241"/>
    <mergeCell ref="P240:P241"/>
    <mergeCell ref="BO226:BQ226"/>
    <mergeCell ref="AT224:AV224"/>
    <mergeCell ref="BL224:BN224"/>
    <mergeCell ref="DK232:DM232"/>
    <mergeCell ref="BX238:BZ238"/>
    <mergeCell ref="CG238:CI238"/>
    <mergeCell ref="CA238:CC238"/>
    <mergeCell ref="CJ238:CL238"/>
    <mergeCell ref="CM238:CO238"/>
    <mergeCell ref="CP238:CR238"/>
    <mergeCell ref="CS238:CU238"/>
    <mergeCell ref="BU232:BW232"/>
    <mergeCell ref="DH214:DJ214"/>
    <mergeCell ref="DK214:DM214"/>
    <mergeCell ref="DH218:DJ218"/>
    <mergeCell ref="CP212:CR212"/>
    <mergeCell ref="V196:X197"/>
    <mergeCell ref="Y196:AA197"/>
    <mergeCell ref="AB196:AD197"/>
    <mergeCell ref="AH240:AJ241"/>
    <mergeCell ref="CD240:CF241"/>
    <mergeCell ref="BX240:BZ241"/>
    <mergeCell ref="DT228:DV228"/>
    <mergeCell ref="DE232:DG232"/>
    <mergeCell ref="Q240:Q241"/>
    <mergeCell ref="CM240:CO241"/>
    <mergeCell ref="AE222:AG223"/>
    <mergeCell ref="CA222:CC223"/>
    <mergeCell ref="BI240:BK241"/>
    <mergeCell ref="BL240:BN241"/>
    <mergeCell ref="BO234:BQ234"/>
    <mergeCell ref="BO232:BQ232"/>
    <mergeCell ref="BI228:BK228"/>
    <mergeCell ref="CS228:CU228"/>
    <mergeCell ref="CV228:CX228"/>
    <mergeCell ref="DE230:DG230"/>
    <mergeCell ref="AQ234:AS234"/>
    <mergeCell ref="AT234:AV234"/>
    <mergeCell ref="BL222:BN223"/>
    <mergeCell ref="Y222:AA223"/>
    <mergeCell ref="AB222:AD223"/>
    <mergeCell ref="AQ222:AS223"/>
    <mergeCell ref="AQ230:AS230"/>
    <mergeCell ref="AT230:AV230"/>
    <mergeCell ref="AT228:AV228"/>
    <mergeCell ref="CV240:CX241"/>
    <mergeCell ref="CM234:CO234"/>
    <mergeCell ref="CA234:CC234"/>
    <mergeCell ref="DE238:DG238"/>
    <mergeCell ref="CS232:CU232"/>
    <mergeCell ref="CP230:CR230"/>
    <mergeCell ref="CS230:CU230"/>
    <mergeCell ref="DT234:DV234"/>
    <mergeCell ref="CJ228:CL228"/>
    <mergeCell ref="DN218:DP218"/>
    <mergeCell ref="DQ218:DS218"/>
    <mergeCell ref="CV232:CX232"/>
    <mergeCell ref="CY232:DA232"/>
    <mergeCell ref="DB232:DD232"/>
    <mergeCell ref="CP234:CR234"/>
    <mergeCell ref="CS234:CU234"/>
    <mergeCell ref="CV234:CX234"/>
    <mergeCell ref="CY234:DA234"/>
    <mergeCell ref="CS212:CU212"/>
    <mergeCell ref="CV212:CX212"/>
    <mergeCell ref="DE220:DG220"/>
    <mergeCell ref="CG224:CI224"/>
    <mergeCell ref="CP224:CR224"/>
    <mergeCell ref="CS224:CU224"/>
    <mergeCell ref="CV224:CX224"/>
    <mergeCell ref="CP226:CR226"/>
    <mergeCell ref="DN232:DP232"/>
    <mergeCell ref="CS226:CU226"/>
    <mergeCell ref="CG230:CI230"/>
    <mergeCell ref="CP220:CR220"/>
    <mergeCell ref="DK218:DM218"/>
    <mergeCell ref="DD19:DV19"/>
    <mergeCell ref="CP108:CR109"/>
    <mergeCell ref="CP94:CR95"/>
    <mergeCell ref="CP64:CR65"/>
    <mergeCell ref="CS64:CU65"/>
    <mergeCell ref="CV64:CX65"/>
    <mergeCell ref="CS94:CU95"/>
    <mergeCell ref="CV94:CX95"/>
    <mergeCell ref="CY94:DA95"/>
    <mergeCell ref="CS108:CU109"/>
    <mergeCell ref="CV108:CX109"/>
    <mergeCell ref="CY108:DA109"/>
    <mergeCell ref="DE22:DG22"/>
    <mergeCell ref="DB174:DD174"/>
    <mergeCell ref="DE174:DG174"/>
    <mergeCell ref="BX230:BZ230"/>
    <mergeCell ref="AZ178:BB179"/>
    <mergeCell ref="AZ160:BB161"/>
    <mergeCell ref="BI50:BK50"/>
    <mergeCell ref="BF90:BH90"/>
    <mergeCell ref="BF56:BH56"/>
    <mergeCell ref="BC174:BE174"/>
    <mergeCell ref="BF52:BH52"/>
    <mergeCell ref="BL52:BN52"/>
    <mergeCell ref="CD226:CF226"/>
    <mergeCell ref="DB230:DD230"/>
    <mergeCell ref="DB226:DD226"/>
    <mergeCell ref="DE226:DG226"/>
    <mergeCell ref="DT226:DV226"/>
    <mergeCell ref="CM226:CO226"/>
    <mergeCell ref="BR174:BT174"/>
    <mergeCell ref="CA178:CC179"/>
    <mergeCell ref="V228:X228"/>
    <mergeCell ref="CG196:CI197"/>
    <mergeCell ref="CG222:CI223"/>
    <mergeCell ref="AT206:AV206"/>
    <mergeCell ref="AW206:AY206"/>
    <mergeCell ref="AZ206:BB206"/>
    <mergeCell ref="AQ240:AS241"/>
    <mergeCell ref="AK232:AM232"/>
    <mergeCell ref="AN232:AP232"/>
    <mergeCell ref="AQ232:AS232"/>
    <mergeCell ref="AT232:AV232"/>
    <mergeCell ref="AW232:AY232"/>
    <mergeCell ref="AH232:AJ232"/>
    <mergeCell ref="AK240:AM241"/>
    <mergeCell ref="AN240:AP241"/>
    <mergeCell ref="AE234:AG234"/>
    <mergeCell ref="AH234:AJ234"/>
    <mergeCell ref="AK234:AM234"/>
    <mergeCell ref="AE208:AG209"/>
    <mergeCell ref="BR208:BT209"/>
    <mergeCell ref="AH196:AJ197"/>
    <mergeCell ref="AK196:AM197"/>
    <mergeCell ref="AN196:AP197"/>
    <mergeCell ref="AQ196:AS197"/>
    <mergeCell ref="AT196:AV197"/>
    <mergeCell ref="AW196:AY197"/>
    <mergeCell ref="AZ196:BB197"/>
    <mergeCell ref="BC196:BE197"/>
    <mergeCell ref="BF196:BH197"/>
    <mergeCell ref="AQ206:AS206"/>
    <mergeCell ref="AT210:AV210"/>
    <mergeCell ref="AN226:AP226"/>
    <mergeCell ref="BC206:BE206"/>
    <mergeCell ref="CG208:CI209"/>
    <mergeCell ref="AB234:AD234"/>
    <mergeCell ref="AK228:AM228"/>
    <mergeCell ref="AK206:AM206"/>
    <mergeCell ref="AH222:AJ223"/>
    <mergeCell ref="AH228:AJ228"/>
    <mergeCell ref="AK222:AM223"/>
    <mergeCell ref="AZ240:BB241"/>
    <mergeCell ref="BC240:BE241"/>
    <mergeCell ref="AT240:AV241"/>
    <mergeCell ref="BF240:BH241"/>
    <mergeCell ref="AZ232:BB232"/>
    <mergeCell ref="BC232:BE232"/>
    <mergeCell ref="BF232:BH232"/>
    <mergeCell ref="AW222:AY223"/>
    <mergeCell ref="CG240:CI241"/>
    <mergeCell ref="BR238:BT238"/>
    <mergeCell ref="BO206:BQ206"/>
    <mergeCell ref="BU240:BW241"/>
    <mergeCell ref="AH230:AJ230"/>
    <mergeCell ref="AK230:AM230"/>
    <mergeCell ref="AN230:AP230"/>
    <mergeCell ref="AZ222:BB223"/>
    <mergeCell ref="BC222:BE223"/>
    <mergeCell ref="CA230:CC230"/>
    <mergeCell ref="CD232:CF232"/>
    <mergeCell ref="BR210:BT210"/>
    <mergeCell ref="CA228:CC228"/>
    <mergeCell ref="AW240:AY241"/>
    <mergeCell ref="AE238:AG238"/>
    <mergeCell ref="AQ226:AS226"/>
    <mergeCell ref="Y238:AA238"/>
    <mergeCell ref="AB238:AD238"/>
    <mergeCell ref="BL261:BN261"/>
    <mergeCell ref="BO261:BQ261"/>
    <mergeCell ref="BI244:BK245"/>
    <mergeCell ref="CD256:CF257"/>
    <mergeCell ref="CY212:DA212"/>
    <mergeCell ref="DE216:DG216"/>
    <mergeCell ref="CY220:DA220"/>
    <mergeCell ref="DT208:DV209"/>
    <mergeCell ref="DE208:DG209"/>
    <mergeCell ref="CY208:DA209"/>
    <mergeCell ref="DB224:DD224"/>
    <mergeCell ref="CY240:DA241"/>
    <mergeCell ref="CM232:CO232"/>
    <mergeCell ref="BX234:BZ234"/>
    <mergeCell ref="BX232:BZ232"/>
    <mergeCell ref="CG232:CI232"/>
    <mergeCell ref="DN214:DP214"/>
    <mergeCell ref="CV238:CX238"/>
    <mergeCell ref="CY238:DA238"/>
    <mergeCell ref="CP232:CR232"/>
    <mergeCell ref="CG226:CI226"/>
    <mergeCell ref="CJ226:CL226"/>
    <mergeCell ref="CM230:CO230"/>
    <mergeCell ref="CV230:CX230"/>
    <mergeCell ref="CY230:DA230"/>
    <mergeCell ref="CJ222:CL223"/>
    <mergeCell ref="DK238:DM238"/>
    <mergeCell ref="DN238:DP238"/>
    <mergeCell ref="BX208:BZ209"/>
    <mergeCell ref="DT232:DV232"/>
    <mergeCell ref="DB258:DD258"/>
    <mergeCell ref="BO256:BQ257"/>
    <mergeCell ref="BX246:BZ246"/>
    <mergeCell ref="CD238:CF238"/>
    <mergeCell ref="BL256:BN257"/>
    <mergeCell ref="BF246:BH246"/>
    <mergeCell ref="BX256:BZ257"/>
    <mergeCell ref="CP258:CR258"/>
    <mergeCell ref="CS250:CU250"/>
    <mergeCell ref="CV250:CX250"/>
    <mergeCell ref="CY250:DA250"/>
    <mergeCell ref="DB250:DD250"/>
    <mergeCell ref="DE258:DG258"/>
    <mergeCell ref="BU256:BW257"/>
    <mergeCell ref="CG261:CI261"/>
    <mergeCell ref="BR261:BT261"/>
    <mergeCell ref="BU261:BW261"/>
    <mergeCell ref="CG256:CI257"/>
    <mergeCell ref="BF250:BH250"/>
    <mergeCell ref="BI250:BK250"/>
    <mergeCell ref="BL250:BN250"/>
    <mergeCell ref="BO250:BQ250"/>
    <mergeCell ref="BR250:BT250"/>
    <mergeCell ref="CP240:CR241"/>
    <mergeCell ref="CS240:CU241"/>
    <mergeCell ref="DB240:DD241"/>
    <mergeCell ref="DE240:DG241"/>
    <mergeCell ref="DB252:DD253"/>
    <mergeCell ref="DE252:DG253"/>
    <mergeCell ref="BL244:BN245"/>
    <mergeCell ref="CA261:CC261"/>
    <mergeCell ref="BX261:BZ261"/>
    <mergeCell ref="CD261:CF261"/>
    <mergeCell ref="EC22:EC23"/>
    <mergeCell ref="ED22:ED23"/>
    <mergeCell ref="EC250:EC251"/>
    <mergeCell ref="BI174:BK174"/>
    <mergeCell ref="BX226:BZ226"/>
    <mergeCell ref="CA100:CC100"/>
    <mergeCell ref="BR228:BT228"/>
    <mergeCell ref="BU228:BW228"/>
    <mergeCell ref="BX228:BZ228"/>
    <mergeCell ref="BF228:BH228"/>
    <mergeCell ref="AZ228:BB228"/>
    <mergeCell ref="CD234:CF234"/>
    <mergeCell ref="BL186:BN187"/>
    <mergeCell ref="BI94:BK95"/>
    <mergeCell ref="BL94:BN95"/>
    <mergeCell ref="BI90:BK90"/>
    <mergeCell ref="BI92:BK92"/>
    <mergeCell ref="BL90:BN90"/>
    <mergeCell ref="BL92:BN92"/>
    <mergeCell ref="BI64:BK65"/>
    <mergeCell ref="DX52:DX53"/>
    <mergeCell ref="DX54:DX55"/>
    <mergeCell ref="CM222:CO223"/>
    <mergeCell ref="CM224:CO224"/>
    <mergeCell ref="CA240:CC241"/>
    <mergeCell ref="CJ232:CL232"/>
    <mergeCell ref="CG234:CI234"/>
    <mergeCell ref="CJ234:CL234"/>
    <mergeCell ref="BO224:BQ224"/>
    <mergeCell ref="BU224:BW224"/>
    <mergeCell ref="DX236:DX237"/>
    <mergeCell ref="DT64:DV65"/>
    <mergeCell ref="DX142:DX143"/>
    <mergeCell ref="DX148:DX149"/>
    <mergeCell ref="DX134:DX135"/>
    <mergeCell ref="DX100:DX101"/>
    <mergeCell ref="L234:L235"/>
    <mergeCell ref="M234:M235"/>
    <mergeCell ref="Q188:Q189"/>
    <mergeCell ref="Q214:Q215"/>
    <mergeCell ref="P228:P229"/>
    <mergeCell ref="Q228:Q229"/>
    <mergeCell ref="P206:P207"/>
    <mergeCell ref="M190:M191"/>
    <mergeCell ref="N190:N191"/>
    <mergeCell ref="L184:L185"/>
    <mergeCell ref="M184:M185"/>
    <mergeCell ref="N184:N185"/>
    <mergeCell ref="O184:O185"/>
    <mergeCell ref="Q230:Q231"/>
    <mergeCell ref="L192:L193"/>
    <mergeCell ref="Q192:Q193"/>
    <mergeCell ref="P198:P199"/>
    <mergeCell ref="Q198:Q199"/>
    <mergeCell ref="M224:M225"/>
    <mergeCell ref="M128:M129"/>
    <mergeCell ref="N128:N129"/>
    <mergeCell ref="Q216:Q217"/>
    <mergeCell ref="P196:P197"/>
    <mergeCell ref="Q204:Q205"/>
    <mergeCell ref="Q196:Q197"/>
    <mergeCell ref="P204:P205"/>
    <mergeCell ref="CJ96:CL96"/>
    <mergeCell ref="DX56:DX57"/>
    <mergeCell ref="DX64:DX65"/>
    <mergeCell ref="DX224:DX225"/>
    <mergeCell ref="DX226:DX227"/>
    <mergeCell ref="DX180:DX181"/>
    <mergeCell ref="DX184:DX185"/>
    <mergeCell ref="DX186:DX187"/>
    <mergeCell ref="DX144:DX145"/>
    <mergeCell ref="DX72:DX73"/>
    <mergeCell ref="DX74:DX75"/>
    <mergeCell ref="V160:X161"/>
    <mergeCell ref="AE168:AG168"/>
    <mergeCell ref="AW198:AY198"/>
    <mergeCell ref="AZ198:BB198"/>
    <mergeCell ref="AW208:AY209"/>
    <mergeCell ref="AZ208:BB209"/>
    <mergeCell ref="AH206:AJ206"/>
    <mergeCell ref="AZ186:BB187"/>
    <mergeCell ref="AW174:AY174"/>
    <mergeCell ref="DX182:DX183"/>
    <mergeCell ref="DX192:DX193"/>
    <mergeCell ref="DX68:DX69"/>
    <mergeCell ref="AT226:AV226"/>
    <mergeCell ref="CY164:DA164"/>
    <mergeCell ref="DB176:DD176"/>
    <mergeCell ref="CD196:CF197"/>
    <mergeCell ref="CY80:DA80"/>
    <mergeCell ref="CY64:DA65"/>
    <mergeCell ref="DB64:DD65"/>
    <mergeCell ref="CS220:CU220"/>
    <mergeCell ref="CV220:CX220"/>
    <mergeCell ref="CV226:CX226"/>
    <mergeCell ref="CP256:CR257"/>
    <mergeCell ref="CS256:CU257"/>
    <mergeCell ref="CV256:CX257"/>
    <mergeCell ref="CY256:DA257"/>
    <mergeCell ref="DB256:DD257"/>
    <mergeCell ref="CA46:CC46"/>
    <mergeCell ref="CD112:CF112"/>
    <mergeCell ref="CG112:CI112"/>
    <mergeCell ref="CJ112:CL112"/>
    <mergeCell ref="CA96:CC96"/>
    <mergeCell ref="BR104:BT104"/>
    <mergeCell ref="BO238:BQ238"/>
    <mergeCell ref="CJ208:CL209"/>
    <mergeCell ref="CA208:CC209"/>
    <mergeCell ref="BF244:BH245"/>
    <mergeCell ref="BC256:BE257"/>
    <mergeCell ref="BF256:BH257"/>
    <mergeCell ref="BI256:BK257"/>
    <mergeCell ref="CJ256:CL257"/>
    <mergeCell ref="CM256:CO257"/>
    <mergeCell ref="CJ224:CL224"/>
    <mergeCell ref="BU250:BW250"/>
    <mergeCell ref="BC250:BE250"/>
    <mergeCell ref="CP222:CR223"/>
    <mergeCell ref="CY224:DA224"/>
    <mergeCell ref="DB238:DD238"/>
    <mergeCell ref="BU238:BW238"/>
    <mergeCell ref="BU198:BW198"/>
    <mergeCell ref="BX198:BZ198"/>
    <mergeCell ref="BO200:BQ200"/>
    <mergeCell ref="BL178:BN179"/>
    <mergeCell ref="BO90:BQ90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AT160:AV161"/>
    <mergeCell ref="BC94:BE95"/>
    <mergeCell ref="BC100:BE100"/>
    <mergeCell ref="AN186:AP187"/>
    <mergeCell ref="BF178:BH179"/>
    <mergeCell ref="AN224:AP224"/>
    <mergeCell ref="AN228:AP228"/>
    <mergeCell ref="AN206:AP206"/>
    <mergeCell ref="BF222:BH223"/>
    <mergeCell ref="AW226:AY226"/>
    <mergeCell ref="AZ226:BB226"/>
    <mergeCell ref="BC226:BE226"/>
    <mergeCell ref="BC208:BE209"/>
    <mergeCell ref="AT222:AV223"/>
    <mergeCell ref="AT190:AV190"/>
    <mergeCell ref="AQ244:AS245"/>
    <mergeCell ref="AN134:AP135"/>
    <mergeCell ref="AQ134:AS135"/>
    <mergeCell ref="AT134:AV135"/>
    <mergeCell ref="AW134:AY135"/>
    <mergeCell ref="AZ134:BB135"/>
    <mergeCell ref="AN174:AP174"/>
    <mergeCell ref="AN178:AP179"/>
    <mergeCell ref="BC190:BE190"/>
    <mergeCell ref="V242:X242"/>
    <mergeCell ref="Y234:AA234"/>
    <mergeCell ref="CV54:CX54"/>
    <mergeCell ref="BI66:BK66"/>
    <mergeCell ref="BI68:BK68"/>
    <mergeCell ref="BO64:BQ65"/>
    <mergeCell ref="CA64:CC65"/>
    <mergeCell ref="CA74:CC74"/>
    <mergeCell ref="CD74:CF74"/>
    <mergeCell ref="CG74:CI74"/>
    <mergeCell ref="CJ74:CL74"/>
    <mergeCell ref="BR72:BT72"/>
    <mergeCell ref="BU74:BW74"/>
    <mergeCell ref="BU70:BW70"/>
    <mergeCell ref="CP140:CR140"/>
    <mergeCell ref="CM120:CO120"/>
    <mergeCell ref="CP120:CR120"/>
    <mergeCell ref="CM122:CO122"/>
    <mergeCell ref="CM124:CO124"/>
    <mergeCell ref="CP132:CR132"/>
    <mergeCell ref="CG124:CI124"/>
    <mergeCell ref="CJ124:CL124"/>
    <mergeCell ref="CM110:CO110"/>
    <mergeCell ref="BU104:BW104"/>
    <mergeCell ref="BR106:BT106"/>
    <mergeCell ref="BU106:BW106"/>
    <mergeCell ref="CA114:CC114"/>
    <mergeCell ref="CA134:CC135"/>
    <mergeCell ref="CA98:CC98"/>
    <mergeCell ref="CD126:CF126"/>
    <mergeCell ref="CM108:CO109"/>
    <mergeCell ref="BU100:BW100"/>
    <mergeCell ref="Q232:Q233"/>
    <mergeCell ref="Q218:Q219"/>
    <mergeCell ref="P202:P203"/>
    <mergeCell ref="M210:M211"/>
    <mergeCell ref="N210:N211"/>
    <mergeCell ref="O210:O211"/>
    <mergeCell ref="L218:L219"/>
    <mergeCell ref="O204:O205"/>
    <mergeCell ref="O190:O191"/>
    <mergeCell ref="L194:L195"/>
    <mergeCell ref="M194:M195"/>
    <mergeCell ref="M206:M207"/>
    <mergeCell ref="L206:L207"/>
    <mergeCell ref="N206:N207"/>
    <mergeCell ref="O206:O207"/>
    <mergeCell ref="L190:L191"/>
    <mergeCell ref="N220:N221"/>
    <mergeCell ref="M192:M193"/>
    <mergeCell ref="P190:P191"/>
    <mergeCell ref="P230:P231"/>
    <mergeCell ref="Q202:Q203"/>
    <mergeCell ref="Q212:Q213"/>
    <mergeCell ref="P194:P195"/>
    <mergeCell ref="Q194:Q195"/>
    <mergeCell ref="L198:L199"/>
    <mergeCell ref="M198:M199"/>
    <mergeCell ref="N198:N199"/>
    <mergeCell ref="N200:N201"/>
    <mergeCell ref="L202:L203"/>
    <mergeCell ref="P224:P225"/>
    <mergeCell ref="N192:N193"/>
    <mergeCell ref="Q238:Q239"/>
    <mergeCell ref="S244:U245"/>
    <mergeCell ref="L242:L243"/>
    <mergeCell ref="M242:M243"/>
    <mergeCell ref="N242:N243"/>
    <mergeCell ref="O242:O243"/>
    <mergeCell ref="P242:P243"/>
    <mergeCell ref="Q242:Q243"/>
    <mergeCell ref="P208:P209"/>
    <mergeCell ref="Q208:Q209"/>
    <mergeCell ref="P210:P211"/>
    <mergeCell ref="Q210:Q211"/>
    <mergeCell ref="P212:P213"/>
    <mergeCell ref="P226:P227"/>
    <mergeCell ref="Q226:Q227"/>
    <mergeCell ref="S242:U242"/>
    <mergeCell ref="L210:L211"/>
    <mergeCell ref="P218:P219"/>
    <mergeCell ref="O216:O217"/>
    <mergeCell ref="S230:U230"/>
    <mergeCell ref="L232:L233"/>
    <mergeCell ref="L224:L225"/>
    <mergeCell ref="M218:M219"/>
    <mergeCell ref="P234:P235"/>
    <mergeCell ref="N234:N235"/>
    <mergeCell ref="O234:O235"/>
    <mergeCell ref="L244:O245"/>
    <mergeCell ref="P236:P237"/>
    <mergeCell ref="Q236:Q237"/>
    <mergeCell ref="Q222:Q223"/>
    <mergeCell ref="Q224:Q225"/>
    <mergeCell ref="P232:P233"/>
    <mergeCell ref="V236:X236"/>
    <mergeCell ref="AB236:AD236"/>
    <mergeCell ref="L236:L237"/>
    <mergeCell ref="M236:M237"/>
    <mergeCell ref="L246:M247"/>
    <mergeCell ref="L248:M249"/>
    <mergeCell ref="N236:N237"/>
    <mergeCell ref="O236:O237"/>
    <mergeCell ref="P214:P215"/>
    <mergeCell ref="S248:U248"/>
    <mergeCell ref="V248:X248"/>
    <mergeCell ref="Y248:AA248"/>
    <mergeCell ref="R222:R223"/>
    <mergeCell ref="AE228:AG228"/>
    <mergeCell ref="O220:O221"/>
    <mergeCell ref="P216:P217"/>
    <mergeCell ref="Q206:Q207"/>
    <mergeCell ref="O218:O219"/>
    <mergeCell ref="AB208:AD209"/>
    <mergeCell ref="N216:N217"/>
    <mergeCell ref="O214:O215"/>
    <mergeCell ref="M230:M231"/>
    <mergeCell ref="N230:N231"/>
    <mergeCell ref="AE210:AG210"/>
    <mergeCell ref="AE226:AG226"/>
    <mergeCell ref="V222:X223"/>
    <mergeCell ref="S224:U224"/>
    <mergeCell ref="V224:X224"/>
    <mergeCell ref="Y224:AA224"/>
    <mergeCell ref="AB224:AD224"/>
    <mergeCell ref="AE224:AG224"/>
    <mergeCell ref="AB228:AD228"/>
    <mergeCell ref="V230:X230"/>
    <mergeCell ref="V208:X209"/>
    <mergeCell ref="Y228:AA228"/>
    <mergeCell ref="Y208:AA209"/>
    <mergeCell ref="S208:U209"/>
    <mergeCell ref="S236:U236"/>
    <mergeCell ref="S238:U238"/>
    <mergeCell ref="V238:X238"/>
    <mergeCell ref="Q234:Q235"/>
    <mergeCell ref="M214:M215"/>
    <mergeCell ref="N214:N215"/>
    <mergeCell ref="M220:M221"/>
    <mergeCell ref="R208:R209"/>
    <mergeCell ref="V234:X234"/>
    <mergeCell ref="CY258:DA258"/>
    <mergeCell ref="R240:R241"/>
    <mergeCell ref="AN222:AP223"/>
    <mergeCell ref="R244:R245"/>
    <mergeCell ref="M232:M233"/>
    <mergeCell ref="N232:N233"/>
    <mergeCell ref="O232:O233"/>
    <mergeCell ref="N218:N219"/>
    <mergeCell ref="O226:O227"/>
    <mergeCell ref="O230:O231"/>
    <mergeCell ref="L222:O223"/>
    <mergeCell ref="L214:L215"/>
    <mergeCell ref="L212:L213"/>
    <mergeCell ref="O212:O213"/>
    <mergeCell ref="L220:L221"/>
    <mergeCell ref="L228:L229"/>
    <mergeCell ref="M228:M229"/>
    <mergeCell ref="N228:N229"/>
    <mergeCell ref="DT258:DV258"/>
    <mergeCell ref="CV258:CX258"/>
    <mergeCell ref="BR258:BT258"/>
    <mergeCell ref="BX258:BZ258"/>
    <mergeCell ref="CA256:CC257"/>
    <mergeCell ref="BR256:BT257"/>
    <mergeCell ref="BC258:BE258"/>
    <mergeCell ref="BF258:BH258"/>
    <mergeCell ref="BI258:BK258"/>
    <mergeCell ref="BL258:BN258"/>
    <mergeCell ref="BO258:BQ258"/>
    <mergeCell ref="BU258:BW258"/>
    <mergeCell ref="AQ256:AS257"/>
    <mergeCell ref="AT256:AV257"/>
    <mergeCell ref="AW256:AY257"/>
    <mergeCell ref="S226:U226"/>
    <mergeCell ref="V226:X226"/>
    <mergeCell ref="Y226:AA226"/>
    <mergeCell ref="AB226:AD226"/>
    <mergeCell ref="CS258:CU258"/>
    <mergeCell ref="S228:U228"/>
    <mergeCell ref="S234:U234"/>
    <mergeCell ref="S258:U258"/>
    <mergeCell ref="V258:X258"/>
    <mergeCell ref="Y258:AA258"/>
    <mergeCell ref="V250:X250"/>
    <mergeCell ref="Y250:AA250"/>
    <mergeCell ref="AB250:AD250"/>
    <mergeCell ref="AE250:AG250"/>
    <mergeCell ref="BI238:BK238"/>
    <mergeCell ref="BL238:BN238"/>
    <mergeCell ref="AN244:AP245"/>
    <mergeCell ref="V186:X187"/>
    <mergeCell ref="Y186:AA187"/>
    <mergeCell ref="AB186:AD187"/>
    <mergeCell ref="AE186:AG187"/>
    <mergeCell ref="AH198:AJ198"/>
    <mergeCell ref="AK198:AM198"/>
    <mergeCell ref="AN198:AP198"/>
    <mergeCell ref="Q160:Q161"/>
    <mergeCell ref="P176:P177"/>
    <mergeCell ref="Q176:Q177"/>
    <mergeCell ref="P186:P187"/>
    <mergeCell ref="P222:P223"/>
    <mergeCell ref="AK160:AM161"/>
    <mergeCell ref="AN160:AP161"/>
    <mergeCell ref="AN200:AP200"/>
    <mergeCell ref="S178:U179"/>
    <mergeCell ref="Y160:AA161"/>
    <mergeCell ref="AB160:AD161"/>
    <mergeCell ref="S160:U161"/>
    <mergeCell ref="V178:X179"/>
    <mergeCell ref="Y178:AA179"/>
    <mergeCell ref="AB178:AD179"/>
    <mergeCell ref="P188:P189"/>
    <mergeCell ref="Q190:Q191"/>
    <mergeCell ref="V168:X168"/>
    <mergeCell ref="Y168:AA168"/>
    <mergeCell ref="P192:P193"/>
    <mergeCell ref="P184:P185"/>
    <mergeCell ref="Q184:Q185"/>
    <mergeCell ref="P220:P221"/>
    <mergeCell ref="Q220:Q221"/>
    <mergeCell ref="AH178:AJ179"/>
    <mergeCell ref="N148:N149"/>
    <mergeCell ref="O170:O171"/>
    <mergeCell ref="P178:P179"/>
    <mergeCell ref="P168:P169"/>
    <mergeCell ref="P156:P157"/>
    <mergeCell ref="Q144:Q145"/>
    <mergeCell ref="P146:P147"/>
    <mergeCell ref="P180:P181"/>
    <mergeCell ref="Q180:Q181"/>
    <mergeCell ref="P170:P171"/>
    <mergeCell ref="Q170:Q171"/>
    <mergeCell ref="Q182:Q183"/>
    <mergeCell ref="P154:P155"/>
    <mergeCell ref="Q154:Q155"/>
    <mergeCell ref="Q146:Q147"/>
    <mergeCell ref="N168:N169"/>
    <mergeCell ref="P148:P149"/>
    <mergeCell ref="Q148:Q149"/>
    <mergeCell ref="P150:P151"/>
    <mergeCell ref="O172:O173"/>
    <mergeCell ref="Q156:Q157"/>
    <mergeCell ref="P162:P163"/>
    <mergeCell ref="Q162:Q163"/>
    <mergeCell ref="N154:N155"/>
    <mergeCell ref="O154:O155"/>
    <mergeCell ref="O176:O177"/>
    <mergeCell ref="N130:N131"/>
    <mergeCell ref="N132:N133"/>
    <mergeCell ref="O130:O131"/>
    <mergeCell ref="O132:O133"/>
    <mergeCell ref="O136:O137"/>
    <mergeCell ref="N150:N151"/>
    <mergeCell ref="P138:P139"/>
    <mergeCell ref="Q138:Q139"/>
    <mergeCell ref="P118:P119"/>
    <mergeCell ref="P130:P131"/>
    <mergeCell ref="M150:M151"/>
    <mergeCell ref="O128:O129"/>
    <mergeCell ref="P134:P135"/>
    <mergeCell ref="Q134:Q135"/>
    <mergeCell ref="Q132:Q133"/>
    <mergeCell ref="P120:P121"/>
    <mergeCell ref="Q120:Q121"/>
    <mergeCell ref="M140:M141"/>
    <mergeCell ref="P132:P133"/>
    <mergeCell ref="O150:O151"/>
    <mergeCell ref="N140:N141"/>
    <mergeCell ref="O140:O141"/>
    <mergeCell ref="M146:M147"/>
    <mergeCell ref="N146:N147"/>
    <mergeCell ref="M142:M143"/>
    <mergeCell ref="N142:N143"/>
    <mergeCell ref="N124:N125"/>
    <mergeCell ref="O124:O125"/>
    <mergeCell ref="M122:M123"/>
    <mergeCell ref="N122:N123"/>
    <mergeCell ref="O122:O123"/>
    <mergeCell ref="Q118:Q119"/>
    <mergeCell ref="Q76:Q77"/>
    <mergeCell ref="P78:P79"/>
    <mergeCell ref="Q78:Q79"/>
    <mergeCell ref="P80:P81"/>
    <mergeCell ref="Q80:Q81"/>
    <mergeCell ref="P82:P83"/>
    <mergeCell ref="Q82:Q83"/>
    <mergeCell ref="P84:P85"/>
    <mergeCell ref="Q84:Q85"/>
    <mergeCell ref="L108:O109"/>
    <mergeCell ref="M116:M117"/>
    <mergeCell ref="N116:N117"/>
    <mergeCell ref="M114:M115"/>
    <mergeCell ref="N114:N115"/>
    <mergeCell ref="O114:O115"/>
    <mergeCell ref="L156:L157"/>
    <mergeCell ref="M156:M157"/>
    <mergeCell ref="O146:O147"/>
    <mergeCell ref="L138:L139"/>
    <mergeCell ref="M138:M139"/>
    <mergeCell ref="N138:N139"/>
    <mergeCell ref="O138:O139"/>
    <mergeCell ref="L134:O135"/>
    <mergeCell ref="P124:P125"/>
    <mergeCell ref="Q124:Q125"/>
    <mergeCell ref="M126:M127"/>
    <mergeCell ref="N126:N127"/>
    <mergeCell ref="O126:O127"/>
    <mergeCell ref="Q150:Q151"/>
    <mergeCell ref="P152:P153"/>
    <mergeCell ref="Q152:Q153"/>
    <mergeCell ref="P112:P113"/>
    <mergeCell ref="Q96:Q97"/>
    <mergeCell ref="P98:P99"/>
    <mergeCell ref="Q98:Q99"/>
    <mergeCell ref="P100:P101"/>
    <mergeCell ref="Q100:Q101"/>
    <mergeCell ref="P102:P103"/>
    <mergeCell ref="Q102:Q103"/>
    <mergeCell ref="P110:P111"/>
    <mergeCell ref="Q104:Q105"/>
    <mergeCell ref="P58:P59"/>
    <mergeCell ref="Q58:Q59"/>
    <mergeCell ref="P62:P63"/>
    <mergeCell ref="Q62:Q63"/>
    <mergeCell ref="P64:P65"/>
    <mergeCell ref="Q64:Q65"/>
    <mergeCell ref="P66:P67"/>
    <mergeCell ref="Q66:Q67"/>
    <mergeCell ref="P68:P69"/>
    <mergeCell ref="Q68:Q69"/>
    <mergeCell ref="P86:P87"/>
    <mergeCell ref="Q86:Q87"/>
    <mergeCell ref="P88:P89"/>
    <mergeCell ref="Q88:Q89"/>
    <mergeCell ref="Q60:Q61"/>
    <mergeCell ref="P90:P91"/>
    <mergeCell ref="Q90:Q91"/>
    <mergeCell ref="P70:P71"/>
    <mergeCell ref="Q70:Q71"/>
    <mergeCell ref="P72:P73"/>
    <mergeCell ref="Q72:Q73"/>
    <mergeCell ref="P74:P75"/>
    <mergeCell ref="Q74:Q75"/>
    <mergeCell ref="Q44:Q45"/>
    <mergeCell ref="P60:P61"/>
    <mergeCell ref="Q38:Q39"/>
    <mergeCell ref="P40:P41"/>
    <mergeCell ref="Q40:Q41"/>
    <mergeCell ref="P42:P43"/>
    <mergeCell ref="Q42:Q43"/>
    <mergeCell ref="P46:P47"/>
    <mergeCell ref="P32:P33"/>
    <mergeCell ref="M40:M41"/>
    <mergeCell ref="N40:N41"/>
    <mergeCell ref="O40:O41"/>
    <mergeCell ref="Q46:Q47"/>
    <mergeCell ref="P48:P49"/>
    <mergeCell ref="Q48:Q49"/>
    <mergeCell ref="P50:P51"/>
    <mergeCell ref="Q50:Q51"/>
    <mergeCell ref="P52:P53"/>
    <mergeCell ref="Q52:Q53"/>
    <mergeCell ref="P54:P55"/>
    <mergeCell ref="Q54:Q55"/>
    <mergeCell ref="P56:P57"/>
    <mergeCell ref="Q56:Q57"/>
    <mergeCell ref="N32:N33"/>
    <mergeCell ref="O32:O33"/>
    <mergeCell ref="M60:M61"/>
    <mergeCell ref="N60:N61"/>
    <mergeCell ref="O60:O61"/>
    <mergeCell ref="O50:O51"/>
    <mergeCell ref="L18:DV18"/>
    <mergeCell ref="L21:M23"/>
    <mergeCell ref="N21:N23"/>
    <mergeCell ref="O21:O23"/>
    <mergeCell ref="CM20:CO20"/>
    <mergeCell ref="CP20:CR20"/>
    <mergeCell ref="CS20:CU20"/>
    <mergeCell ref="CV20:CX20"/>
    <mergeCell ref="CY20:DA20"/>
    <mergeCell ref="DB20:DD20"/>
    <mergeCell ref="DE20:DG20"/>
    <mergeCell ref="DT20:DV20"/>
    <mergeCell ref="BX42:BZ42"/>
    <mergeCell ref="CA42:CC42"/>
    <mergeCell ref="S38:U38"/>
    <mergeCell ref="CA22:CC22"/>
    <mergeCell ref="AH42:AJ42"/>
    <mergeCell ref="R21:R23"/>
    <mergeCell ref="S36:U36"/>
    <mergeCell ref="CD38:CF38"/>
    <mergeCell ref="CG38:CI38"/>
    <mergeCell ref="BF40:BH40"/>
    <mergeCell ref="P21:P23"/>
    <mergeCell ref="Q21:Q23"/>
    <mergeCell ref="L26:O27"/>
    <mergeCell ref="P26:P27"/>
    <mergeCell ref="Q26:Q27"/>
    <mergeCell ref="P28:P29"/>
    <mergeCell ref="P30:P31"/>
    <mergeCell ref="P36:P37"/>
    <mergeCell ref="P34:P35"/>
    <mergeCell ref="L19:O19"/>
    <mergeCell ref="L42:L43"/>
    <mergeCell ref="M42:M43"/>
    <mergeCell ref="L58:L59"/>
    <mergeCell ref="N42:N43"/>
    <mergeCell ref="O42:O43"/>
    <mergeCell ref="L46:L47"/>
    <mergeCell ref="M46:M47"/>
    <mergeCell ref="N46:N47"/>
    <mergeCell ref="O46:O47"/>
    <mergeCell ref="L40:L41"/>
    <mergeCell ref="N38:N39"/>
    <mergeCell ref="O38:O39"/>
    <mergeCell ref="P38:P39"/>
    <mergeCell ref="M52:M53"/>
    <mergeCell ref="N52:N53"/>
    <mergeCell ref="O52:O53"/>
    <mergeCell ref="M54:M55"/>
    <mergeCell ref="N54:N55"/>
    <mergeCell ref="L38:L39"/>
    <mergeCell ref="M38:M39"/>
    <mergeCell ref="L44:L45"/>
    <mergeCell ref="M44:M45"/>
    <mergeCell ref="N44:N45"/>
    <mergeCell ref="O44:O45"/>
    <mergeCell ref="P44:P45"/>
    <mergeCell ref="O54:O55"/>
    <mergeCell ref="M48:M49"/>
    <mergeCell ref="N48:N49"/>
    <mergeCell ref="O48:O49"/>
    <mergeCell ref="L50:L51"/>
    <mergeCell ref="M50:M51"/>
    <mergeCell ref="N50:N51"/>
    <mergeCell ref="O102:O103"/>
    <mergeCell ref="M100:M101"/>
    <mergeCell ref="O100:O101"/>
    <mergeCell ref="O78:O79"/>
    <mergeCell ref="L98:L99"/>
    <mergeCell ref="M68:M69"/>
    <mergeCell ref="N68:N69"/>
    <mergeCell ref="L90:L91"/>
    <mergeCell ref="M90:M91"/>
    <mergeCell ref="N90:N91"/>
    <mergeCell ref="O90:O91"/>
    <mergeCell ref="L78:L79"/>
    <mergeCell ref="M78:M79"/>
    <mergeCell ref="N78:N79"/>
    <mergeCell ref="M92:M93"/>
    <mergeCell ref="N92:N93"/>
    <mergeCell ref="O92:O93"/>
    <mergeCell ref="M70:M71"/>
    <mergeCell ref="N70:N71"/>
    <mergeCell ref="O70:O71"/>
    <mergeCell ref="L76:L77"/>
    <mergeCell ref="M76:M77"/>
    <mergeCell ref="N76:N77"/>
    <mergeCell ref="O76:O77"/>
    <mergeCell ref="L68:L69"/>
    <mergeCell ref="M72:M73"/>
    <mergeCell ref="N72:N73"/>
    <mergeCell ref="O72:O73"/>
    <mergeCell ref="L72:L73"/>
    <mergeCell ref="L86:L87"/>
    <mergeCell ref="N98:N99"/>
    <mergeCell ref="M132:M133"/>
    <mergeCell ref="L48:L49"/>
    <mergeCell ref="L52:L53"/>
    <mergeCell ref="L62:L63"/>
    <mergeCell ref="N66:N67"/>
    <mergeCell ref="O66:O67"/>
    <mergeCell ref="O62:O63"/>
    <mergeCell ref="L56:L57"/>
    <mergeCell ref="M56:M57"/>
    <mergeCell ref="N56:N57"/>
    <mergeCell ref="O56:O57"/>
    <mergeCell ref="L60:L61"/>
    <mergeCell ref="N74:N75"/>
    <mergeCell ref="N84:N85"/>
    <mergeCell ref="O84:O85"/>
    <mergeCell ref="L80:L81"/>
    <mergeCell ref="M62:M63"/>
    <mergeCell ref="N62:N63"/>
    <mergeCell ref="M84:M85"/>
    <mergeCell ref="L74:L75"/>
    <mergeCell ref="L66:L67"/>
    <mergeCell ref="L82:L83"/>
    <mergeCell ref="M82:M83"/>
    <mergeCell ref="N82:N83"/>
    <mergeCell ref="O82:O83"/>
    <mergeCell ref="L104:L105"/>
    <mergeCell ref="M104:M105"/>
    <mergeCell ref="N104:N105"/>
    <mergeCell ref="O104:O105"/>
    <mergeCell ref="M98:M99"/>
    <mergeCell ref="M102:M103"/>
    <mergeCell ref="N102:N103"/>
    <mergeCell ref="O98:O99"/>
    <mergeCell ref="L100:L101"/>
    <mergeCell ref="N100:N101"/>
    <mergeCell ref="L96:L97"/>
    <mergeCell ref="M96:M97"/>
    <mergeCell ref="N96:N97"/>
    <mergeCell ref="O96:O97"/>
    <mergeCell ref="L102:L103"/>
    <mergeCell ref="O142:O143"/>
    <mergeCell ref="L142:L143"/>
    <mergeCell ref="M110:M111"/>
    <mergeCell ref="N110:N111"/>
    <mergeCell ref="M130:M131"/>
    <mergeCell ref="O106:O107"/>
    <mergeCell ref="L106:L107"/>
    <mergeCell ref="M106:M107"/>
    <mergeCell ref="N106:N107"/>
    <mergeCell ref="O110:O111"/>
    <mergeCell ref="O116:O117"/>
    <mergeCell ref="M112:M113"/>
    <mergeCell ref="N112:N113"/>
    <mergeCell ref="O112:O113"/>
    <mergeCell ref="M118:M119"/>
    <mergeCell ref="N118:N119"/>
    <mergeCell ref="O118:O119"/>
    <mergeCell ref="M124:M125"/>
    <mergeCell ref="L140:L141"/>
    <mergeCell ref="L136:L137"/>
    <mergeCell ref="M136:M137"/>
    <mergeCell ref="N136:N137"/>
    <mergeCell ref="L110:L121"/>
    <mergeCell ref="L122:L133"/>
    <mergeCell ref="L144:L145"/>
    <mergeCell ref="M144:M145"/>
    <mergeCell ref="N144:N145"/>
    <mergeCell ref="O144:O145"/>
    <mergeCell ref="L146:L147"/>
    <mergeCell ref="L176:L177"/>
    <mergeCell ref="L172:L173"/>
    <mergeCell ref="M172:M173"/>
    <mergeCell ref="M176:M177"/>
    <mergeCell ref="N176:N177"/>
    <mergeCell ref="O166:O167"/>
    <mergeCell ref="L168:L169"/>
    <mergeCell ref="M168:M169"/>
    <mergeCell ref="O168:O169"/>
    <mergeCell ref="M158:M159"/>
    <mergeCell ref="N158:N159"/>
    <mergeCell ref="L152:L153"/>
    <mergeCell ref="M152:M153"/>
    <mergeCell ref="N152:N153"/>
    <mergeCell ref="O152:O153"/>
    <mergeCell ref="L164:L165"/>
    <mergeCell ref="L170:L171"/>
    <mergeCell ref="L148:L149"/>
    <mergeCell ref="M148:M149"/>
    <mergeCell ref="N170:N171"/>
    <mergeCell ref="N162:N163"/>
    <mergeCell ref="O162:O163"/>
    <mergeCell ref="O148:O149"/>
    <mergeCell ref="L158:L159"/>
    <mergeCell ref="M164:M165"/>
    <mergeCell ref="N164:N165"/>
    <mergeCell ref="O164:O165"/>
    <mergeCell ref="M216:M217"/>
    <mergeCell ref="M170:M171"/>
    <mergeCell ref="L150:L151"/>
    <mergeCell ref="M180:M181"/>
    <mergeCell ref="L174:L175"/>
    <mergeCell ref="M174:M175"/>
    <mergeCell ref="N174:N175"/>
    <mergeCell ref="O174:O175"/>
    <mergeCell ref="O194:O195"/>
    <mergeCell ref="L188:L189"/>
    <mergeCell ref="M212:M213"/>
    <mergeCell ref="N212:N213"/>
    <mergeCell ref="N204:N205"/>
    <mergeCell ref="M182:M183"/>
    <mergeCell ref="N156:N157"/>
    <mergeCell ref="O156:O157"/>
    <mergeCell ref="M188:M189"/>
    <mergeCell ref="O188:O189"/>
    <mergeCell ref="N194:N195"/>
    <mergeCell ref="O202:O203"/>
    <mergeCell ref="L196:O197"/>
    <mergeCell ref="L208:O209"/>
    <mergeCell ref="N202:N203"/>
    <mergeCell ref="L154:L155"/>
    <mergeCell ref="M154:M155"/>
    <mergeCell ref="O192:O193"/>
    <mergeCell ref="L162:L163"/>
    <mergeCell ref="O158:O159"/>
    <mergeCell ref="N172:N173"/>
    <mergeCell ref="S256:U257"/>
    <mergeCell ref="V256:X257"/>
    <mergeCell ref="Y256:AA257"/>
    <mergeCell ref="AB256:AD257"/>
    <mergeCell ref="AE256:AG257"/>
    <mergeCell ref="AH256:AJ257"/>
    <mergeCell ref="AK256:AM257"/>
    <mergeCell ref="P244:P245"/>
    <mergeCell ref="P252:P253"/>
    <mergeCell ref="S252:U253"/>
    <mergeCell ref="V252:X253"/>
    <mergeCell ref="Y252:AA253"/>
    <mergeCell ref="AB252:AD253"/>
    <mergeCell ref="AH248:AJ248"/>
    <mergeCell ref="L180:L181"/>
    <mergeCell ref="AK248:AM248"/>
    <mergeCell ref="Q244:Q245"/>
    <mergeCell ref="AK224:AM224"/>
    <mergeCell ref="O198:O199"/>
    <mergeCell ref="N188:N189"/>
    <mergeCell ref="L200:L201"/>
    <mergeCell ref="AH168:AJ168"/>
    <mergeCell ref="L166:L167"/>
    <mergeCell ref="M166:M167"/>
    <mergeCell ref="N166:N167"/>
    <mergeCell ref="L182:L183"/>
    <mergeCell ref="L204:L205"/>
    <mergeCell ref="M204:M205"/>
    <mergeCell ref="L216:L217"/>
    <mergeCell ref="AB258:AD258"/>
    <mergeCell ref="AE258:AG258"/>
    <mergeCell ref="AH258:AJ258"/>
    <mergeCell ref="AK258:AM258"/>
    <mergeCell ref="R256:R257"/>
    <mergeCell ref="V244:X245"/>
    <mergeCell ref="Y244:AA245"/>
    <mergeCell ref="AB244:AD245"/>
    <mergeCell ref="AE244:AG245"/>
    <mergeCell ref="L258:Q258"/>
    <mergeCell ref="P256:P257"/>
    <mergeCell ref="Q256:Q257"/>
    <mergeCell ref="P248:P249"/>
    <mergeCell ref="L252:M253"/>
    <mergeCell ref="AE248:AG248"/>
    <mergeCell ref="O250:O251"/>
    <mergeCell ref="AN258:AP258"/>
    <mergeCell ref="R252:R253"/>
    <mergeCell ref="L256:O257"/>
    <mergeCell ref="N246:N247"/>
    <mergeCell ref="N248:N249"/>
    <mergeCell ref="N250:N251"/>
    <mergeCell ref="Q252:Q253"/>
    <mergeCell ref="AN256:AP257"/>
    <mergeCell ref="AK244:AM245"/>
    <mergeCell ref="AN248:AP248"/>
    <mergeCell ref="Q246:Q247"/>
    <mergeCell ref="S250:U250"/>
    <mergeCell ref="Q248:Q249"/>
    <mergeCell ref="O246:O247"/>
    <mergeCell ref="AB248:AD248"/>
    <mergeCell ref="BZ16:CB16"/>
    <mergeCell ref="AQ258:AS258"/>
    <mergeCell ref="AT258:AV258"/>
    <mergeCell ref="AW258:AY258"/>
    <mergeCell ref="AZ258:BB258"/>
    <mergeCell ref="CA258:CC258"/>
    <mergeCell ref="CD258:CF258"/>
    <mergeCell ref="CG258:CI258"/>
    <mergeCell ref="CJ258:CL258"/>
    <mergeCell ref="CM258:CO258"/>
    <mergeCell ref="L238:L239"/>
    <mergeCell ref="M238:M239"/>
    <mergeCell ref="N238:N239"/>
    <mergeCell ref="O238:O239"/>
    <mergeCell ref="P238:P239"/>
    <mergeCell ref="L250:M251"/>
    <mergeCell ref="O248:O249"/>
    <mergeCell ref="AH238:AJ238"/>
    <mergeCell ref="AK238:AM238"/>
    <mergeCell ref="AN238:AP238"/>
    <mergeCell ref="AQ238:AS238"/>
    <mergeCell ref="AT238:AV238"/>
    <mergeCell ref="AW238:AY238"/>
    <mergeCell ref="AZ238:BB238"/>
    <mergeCell ref="BC238:BE238"/>
    <mergeCell ref="BF238:BH238"/>
    <mergeCell ref="L70:L71"/>
    <mergeCell ref="M86:M87"/>
    <mergeCell ref="N86:N87"/>
    <mergeCell ref="M80:M81"/>
    <mergeCell ref="P76:P77"/>
    <mergeCell ref="AZ256:BB257"/>
    <mergeCell ref="CC16:CE16"/>
    <mergeCell ref="P250:P251"/>
    <mergeCell ref="Q250:Q251"/>
    <mergeCell ref="S186:U187"/>
    <mergeCell ref="S222:U223"/>
    <mergeCell ref="L160:O161"/>
    <mergeCell ref="L178:O179"/>
    <mergeCell ref="L186:O187"/>
    <mergeCell ref="BL20:BN20"/>
    <mergeCell ref="BO20:BQ20"/>
    <mergeCell ref="M120:M121"/>
    <mergeCell ref="N120:N121"/>
    <mergeCell ref="O120:O121"/>
    <mergeCell ref="L92:L93"/>
    <mergeCell ref="O228:O229"/>
    <mergeCell ref="N224:N225"/>
    <mergeCell ref="O224:O225"/>
    <mergeCell ref="L226:L227"/>
    <mergeCell ref="M226:M227"/>
    <mergeCell ref="N226:N227"/>
    <mergeCell ref="L230:L231"/>
    <mergeCell ref="Q130:Q131"/>
    <mergeCell ref="BL226:BN226"/>
    <mergeCell ref="AE94:AG95"/>
    <mergeCell ref="AH94:AJ95"/>
    <mergeCell ref="P246:P247"/>
    <mergeCell ref="S58:U58"/>
    <mergeCell ref="AB50:AD50"/>
    <mergeCell ref="BC66:BE66"/>
    <mergeCell ref="AE38:AG38"/>
    <mergeCell ref="AK36:AM36"/>
    <mergeCell ref="P92:P93"/>
    <mergeCell ref="DX206:DX207"/>
    <mergeCell ref="DX208:DX209"/>
    <mergeCell ref="DX210:DX211"/>
    <mergeCell ref="DX212:DX213"/>
    <mergeCell ref="DX214:DX215"/>
    <mergeCell ref="L64:O65"/>
    <mergeCell ref="L54:L55"/>
    <mergeCell ref="M74:M75"/>
    <mergeCell ref="L88:L89"/>
    <mergeCell ref="M58:M59"/>
    <mergeCell ref="N58:N59"/>
    <mergeCell ref="O58:O59"/>
    <mergeCell ref="M66:M67"/>
    <mergeCell ref="M88:M89"/>
    <mergeCell ref="N88:N89"/>
    <mergeCell ref="O88:O89"/>
    <mergeCell ref="N80:N81"/>
    <mergeCell ref="O80:O81"/>
    <mergeCell ref="O74:O75"/>
    <mergeCell ref="P96:P97"/>
    <mergeCell ref="L84:L85"/>
    <mergeCell ref="L94:O95"/>
    <mergeCell ref="O68:O69"/>
    <mergeCell ref="DX116:DX117"/>
    <mergeCell ref="DX118:DX119"/>
    <mergeCell ref="DX120:DX121"/>
    <mergeCell ref="DX122:DX123"/>
    <mergeCell ref="DX108:DX109"/>
    <mergeCell ref="O86:O87"/>
    <mergeCell ref="M200:M201"/>
    <mergeCell ref="M202:M203"/>
    <mergeCell ref="M162:M163"/>
    <mergeCell ref="DX216:DX217"/>
    <mergeCell ref="DX218:DX219"/>
    <mergeCell ref="DX240:DX241"/>
    <mergeCell ref="DX242:DX243"/>
    <mergeCell ref="DX222:DX223"/>
    <mergeCell ref="DX150:DX151"/>
    <mergeCell ref="CY92:DA92"/>
    <mergeCell ref="DX152:DX153"/>
    <mergeCell ref="DX154:DX155"/>
    <mergeCell ref="DX156:DX157"/>
    <mergeCell ref="DX158:DX159"/>
    <mergeCell ref="DX162:DX163"/>
    <mergeCell ref="DX164:DX165"/>
    <mergeCell ref="DX166:DX167"/>
    <mergeCell ref="DX232:DX233"/>
    <mergeCell ref="DX238:DX239"/>
    <mergeCell ref="DX178:DX179"/>
    <mergeCell ref="DX200:DX201"/>
    <mergeCell ref="DX202:DX203"/>
    <mergeCell ref="DX220:DX221"/>
    <mergeCell ref="DT230:DV230"/>
    <mergeCell ref="DQ238:DS238"/>
    <mergeCell ref="DT108:DV109"/>
    <mergeCell ref="DE94:DG95"/>
    <mergeCell ref="DT134:DV135"/>
    <mergeCell ref="DE166:DG166"/>
    <mergeCell ref="DE158:DG158"/>
    <mergeCell ref="DB196:DD197"/>
    <mergeCell ref="DE196:DG197"/>
    <mergeCell ref="DX188:DX189"/>
    <mergeCell ref="DX190:DX191"/>
    <mergeCell ref="DX194:DX195"/>
    <mergeCell ref="DX250:DX251"/>
    <mergeCell ref="DX256:DX257"/>
    <mergeCell ref="DX228:DX229"/>
    <mergeCell ref="DX168:DX169"/>
    <mergeCell ref="DX170:DX171"/>
    <mergeCell ref="DX172:DX173"/>
    <mergeCell ref="DX174:DX175"/>
    <mergeCell ref="DX160:DX161"/>
    <mergeCell ref="DX234:DX235"/>
    <mergeCell ref="DX230:DX231"/>
    <mergeCell ref="DX198:DX199"/>
    <mergeCell ref="DX196:DX197"/>
    <mergeCell ref="DX204:DX205"/>
    <mergeCell ref="CY174:DA174"/>
    <mergeCell ref="DT130:DV130"/>
    <mergeCell ref="DX246:DX247"/>
    <mergeCell ref="DX248:DX249"/>
    <mergeCell ref="DE256:DG257"/>
    <mergeCell ref="DT256:DV257"/>
    <mergeCell ref="CY226:DA226"/>
    <mergeCell ref="CY228:DA228"/>
    <mergeCell ref="DB228:DD228"/>
    <mergeCell ref="DE228:DG228"/>
    <mergeCell ref="DH222:DJ223"/>
    <mergeCell ref="DK176:DM176"/>
    <mergeCell ref="DN176:DP176"/>
    <mergeCell ref="DQ176:DS176"/>
    <mergeCell ref="DH178:DJ179"/>
    <mergeCell ref="DK178:DM179"/>
    <mergeCell ref="DK164:DM164"/>
    <mergeCell ref="DN164:DP164"/>
    <mergeCell ref="DB166:DD166"/>
    <mergeCell ref="DX66:DX67"/>
    <mergeCell ref="DE136:DG136"/>
    <mergeCell ref="DB138:DD138"/>
    <mergeCell ref="DE134:DG135"/>
    <mergeCell ref="DB136:DD136"/>
    <mergeCell ref="DX124:DX125"/>
    <mergeCell ref="DB108:DD109"/>
    <mergeCell ref="DE108:DG109"/>
    <mergeCell ref="DX104:DX105"/>
    <mergeCell ref="DQ108:DS109"/>
    <mergeCell ref="DB114:DD114"/>
    <mergeCell ref="DT118:DV118"/>
    <mergeCell ref="DX70:DX71"/>
    <mergeCell ref="DB104:DD104"/>
    <mergeCell ref="DT94:DV95"/>
    <mergeCell ref="DQ134:DS135"/>
    <mergeCell ref="DX130:DX131"/>
    <mergeCell ref="DX132:DX133"/>
    <mergeCell ref="DX136:DX137"/>
    <mergeCell ref="DH94:DJ95"/>
    <mergeCell ref="DK94:DM95"/>
    <mergeCell ref="DN94:DP95"/>
    <mergeCell ref="DX90:DX91"/>
    <mergeCell ref="DX92:DX93"/>
    <mergeCell ref="DX96:DX97"/>
    <mergeCell ref="DX98:DX99"/>
    <mergeCell ref="DB94:DD95"/>
    <mergeCell ref="DB134:DD135"/>
    <mergeCell ref="DB80:DD80"/>
    <mergeCell ref="DX114:DX115"/>
    <mergeCell ref="DY69:DY7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CS26:CU27"/>
    <mergeCell ref="BR54:BT54"/>
    <mergeCell ref="BU54:BW54"/>
    <mergeCell ref="BX54:BZ54"/>
    <mergeCell ref="AT48:AV48"/>
    <mergeCell ref="S48:U48"/>
    <mergeCell ref="AE50:AG50"/>
    <mergeCell ref="CD22:CF22"/>
    <mergeCell ref="CG22:CI22"/>
    <mergeCell ref="CJ22:CL22"/>
    <mergeCell ref="BR20:BT20"/>
    <mergeCell ref="BU20:BW20"/>
    <mergeCell ref="CA20:CC20"/>
    <mergeCell ref="CD20:CF20"/>
    <mergeCell ref="S21:DV21"/>
    <mergeCell ref="BR42:BT42"/>
    <mergeCell ref="DT22:DV22"/>
    <mergeCell ref="AB26:AD27"/>
    <mergeCell ref="AB36:AD36"/>
    <mergeCell ref="CD32:CF32"/>
    <mergeCell ref="CG32:CI32"/>
    <mergeCell ref="CD34:CF34"/>
    <mergeCell ref="BX26:BZ27"/>
    <mergeCell ref="BO42:BQ42"/>
    <mergeCell ref="CY26:DA27"/>
    <mergeCell ref="DB26:DD27"/>
    <mergeCell ref="DE26:DG27"/>
    <mergeCell ref="DT26:DV27"/>
    <mergeCell ref="BI36:BK36"/>
    <mergeCell ref="AH48:AJ48"/>
    <mergeCell ref="AK48:AM48"/>
    <mergeCell ref="AN48:AP48"/>
    <mergeCell ref="AQ48:AS48"/>
    <mergeCell ref="CY22:DA22"/>
    <mergeCell ref="AB24:AD25"/>
    <mergeCell ref="DB22:DD22"/>
    <mergeCell ref="AB34:AD34"/>
    <mergeCell ref="AH44:AJ44"/>
    <mergeCell ref="AT26:AV27"/>
    <mergeCell ref="AN26:AP27"/>
    <mergeCell ref="AN34:AP34"/>
    <mergeCell ref="AN36:AP36"/>
    <mergeCell ref="AE26:AG27"/>
    <mergeCell ref="AB28:AD28"/>
    <mergeCell ref="AH28:AJ28"/>
    <mergeCell ref="AB30:AD30"/>
    <mergeCell ref="AH30:AJ30"/>
    <mergeCell ref="AW34:AY34"/>
    <mergeCell ref="V44:X44"/>
    <mergeCell ref="Y44:AA44"/>
    <mergeCell ref="AB40:AD40"/>
    <mergeCell ref="AT52:AV52"/>
    <mergeCell ref="AZ52:BB52"/>
    <mergeCell ref="BC52:BE52"/>
    <mergeCell ref="AH60:AJ60"/>
    <mergeCell ref="AH62:AJ62"/>
    <mergeCell ref="S64:U65"/>
    <mergeCell ref="AN42:AP42"/>
    <mergeCell ref="AQ42:AS42"/>
    <mergeCell ref="AT42:AV42"/>
    <mergeCell ref="AW42:AY42"/>
    <mergeCell ref="AZ42:BB42"/>
    <mergeCell ref="BC42:BE42"/>
    <mergeCell ref="S46:U46"/>
    <mergeCell ref="S44:U44"/>
    <mergeCell ref="S40:U40"/>
    <mergeCell ref="V40:X40"/>
    <mergeCell ref="Y40:AA40"/>
    <mergeCell ref="AW62:AY62"/>
    <mergeCell ref="AK42:AM42"/>
    <mergeCell ref="BC46:BE46"/>
    <mergeCell ref="BC56:BE56"/>
    <mergeCell ref="V22:X22"/>
    <mergeCell ref="AZ26:BB27"/>
    <mergeCell ref="BO22:BQ22"/>
    <mergeCell ref="BR22:BT22"/>
    <mergeCell ref="BU80:BW80"/>
    <mergeCell ref="BO80:BQ80"/>
    <mergeCell ref="BR80:BT80"/>
    <mergeCell ref="V28:X28"/>
    <mergeCell ref="Y34:AA34"/>
    <mergeCell ref="V64:X65"/>
    <mergeCell ref="Y64:AA65"/>
    <mergeCell ref="AZ74:BB74"/>
    <mergeCell ref="BC74:BE74"/>
    <mergeCell ref="AQ50:AS50"/>
    <mergeCell ref="V48:X48"/>
    <mergeCell ref="Y48:AA48"/>
    <mergeCell ref="AB48:AD48"/>
    <mergeCell ref="AE48:AG48"/>
    <mergeCell ref="V30:X30"/>
    <mergeCell ref="V38:X38"/>
    <mergeCell ref="Y38:AA38"/>
    <mergeCell ref="AB38:AD38"/>
    <mergeCell ref="Y32:AA32"/>
    <mergeCell ref="AB32:AD32"/>
    <mergeCell ref="BR52:BT52"/>
    <mergeCell ref="BU52:BW52"/>
    <mergeCell ref="AZ36:BB36"/>
    <mergeCell ref="BC48:BE48"/>
    <mergeCell ref="BO48:BQ48"/>
    <mergeCell ref="BR50:BT50"/>
    <mergeCell ref="BF48:BH48"/>
    <mergeCell ref="BF42:BH42"/>
    <mergeCell ref="BX20:BZ20"/>
    <mergeCell ref="CG20:CI20"/>
    <mergeCell ref="BI74:BK74"/>
    <mergeCell ref="CJ20:CL20"/>
    <mergeCell ref="AK70:AM70"/>
    <mergeCell ref="BF70:BH70"/>
    <mergeCell ref="AT72:AV72"/>
    <mergeCell ref="BF72:BH72"/>
    <mergeCell ref="CA72:CC72"/>
    <mergeCell ref="AZ90:BB90"/>
    <mergeCell ref="BC90:BE90"/>
    <mergeCell ref="BU134:BW135"/>
    <mergeCell ref="CD98:CF98"/>
    <mergeCell ref="BU108:BW109"/>
    <mergeCell ref="BX108:BZ109"/>
    <mergeCell ref="CD110:CF110"/>
    <mergeCell ref="CG110:CI110"/>
    <mergeCell ref="CJ110:CL110"/>
    <mergeCell ref="CA52:CC52"/>
    <mergeCell ref="BI42:BK42"/>
    <mergeCell ref="BL42:BN42"/>
    <mergeCell ref="BO46:BQ46"/>
    <mergeCell ref="BU98:BW98"/>
    <mergeCell ref="AN74:AP74"/>
    <mergeCell ref="AT82:AV82"/>
    <mergeCell ref="CA116:CC116"/>
    <mergeCell ref="CA120:CC120"/>
    <mergeCell ref="BF92:BH92"/>
    <mergeCell ref="AZ92:BB92"/>
    <mergeCell ref="BC92:BE92"/>
    <mergeCell ref="BO92:BQ92"/>
    <mergeCell ref="AW94:AY95"/>
    <mergeCell ref="BC188:BE188"/>
    <mergeCell ref="BF104:BH104"/>
    <mergeCell ref="AQ178:AS179"/>
    <mergeCell ref="AW186:AY187"/>
    <mergeCell ref="AT84:AV84"/>
    <mergeCell ref="AQ160:AS161"/>
    <mergeCell ref="AW90:AY90"/>
    <mergeCell ref="AW92:AY92"/>
    <mergeCell ref="BF134:BH135"/>
    <mergeCell ref="AN86:AP86"/>
    <mergeCell ref="AZ86:BB86"/>
    <mergeCell ref="AZ180:BB180"/>
    <mergeCell ref="BC96:BE96"/>
    <mergeCell ref="BC108:BE109"/>
    <mergeCell ref="BC134:BE135"/>
    <mergeCell ref="BF160:BH161"/>
    <mergeCell ref="BF96:BH96"/>
    <mergeCell ref="AZ108:BB109"/>
    <mergeCell ref="BC104:BE104"/>
    <mergeCell ref="AN84:AP84"/>
    <mergeCell ref="BC106:BE106"/>
    <mergeCell ref="BF84:BH84"/>
    <mergeCell ref="BF100:BH100"/>
    <mergeCell ref="AZ94:BB95"/>
    <mergeCell ref="AW178:AY179"/>
    <mergeCell ref="AT178:AV179"/>
    <mergeCell ref="BF94:BH95"/>
    <mergeCell ref="BF190:BH190"/>
    <mergeCell ref="AT186:AV187"/>
    <mergeCell ref="DB208:DD209"/>
    <mergeCell ref="DT150:DV150"/>
    <mergeCell ref="DE154:DG154"/>
    <mergeCell ref="CS196:CU197"/>
    <mergeCell ref="CV196:CX197"/>
    <mergeCell ref="DB186:DD187"/>
    <mergeCell ref="DE186:DG187"/>
    <mergeCell ref="CP184:CR184"/>
    <mergeCell ref="DT186:DV187"/>
    <mergeCell ref="CV158:CX158"/>
    <mergeCell ref="DH174:DJ174"/>
    <mergeCell ref="DK174:DM174"/>
    <mergeCell ref="CS158:CU158"/>
    <mergeCell ref="CP166:CR166"/>
    <mergeCell ref="CV166:CX166"/>
    <mergeCell ref="CS166:CU166"/>
    <mergeCell ref="DH150:DJ150"/>
    <mergeCell ref="DT160:DV161"/>
    <mergeCell ref="DB158:DD158"/>
    <mergeCell ref="CS186:CU187"/>
    <mergeCell ref="CS164:CU164"/>
    <mergeCell ref="CS178:CU179"/>
    <mergeCell ref="CY158:DA158"/>
    <mergeCell ref="DK152:DM152"/>
    <mergeCell ref="DN152:DP152"/>
    <mergeCell ref="DB160:DD161"/>
    <mergeCell ref="DQ150:DS150"/>
    <mergeCell ref="CP156:CR156"/>
    <mergeCell ref="CS208:CU209"/>
    <mergeCell ref="DT178:DV179"/>
    <mergeCell ref="DN154:DP154"/>
    <mergeCell ref="DQ154:DS154"/>
    <mergeCell ref="CV176:CX176"/>
    <mergeCell ref="CY176:DA176"/>
    <mergeCell ref="BX174:BZ174"/>
    <mergeCell ref="CV174:CX174"/>
    <mergeCell ref="CJ134:CL135"/>
    <mergeCell ref="CM138:CO138"/>
    <mergeCell ref="CP138:CR138"/>
    <mergeCell ref="CP134:CR135"/>
    <mergeCell ref="CG122:CI122"/>
    <mergeCell ref="BX134:BZ135"/>
    <mergeCell ref="BR78:BT78"/>
    <mergeCell ref="BU78:BW78"/>
    <mergeCell ref="BL134:BN135"/>
    <mergeCell ref="CP208:CR209"/>
    <mergeCell ref="CP196:CR197"/>
    <mergeCell ref="CP160:CR161"/>
    <mergeCell ref="CP178:CR179"/>
    <mergeCell ref="CA82:CC82"/>
    <mergeCell ref="CA94:CC95"/>
    <mergeCell ref="BU82:BW82"/>
    <mergeCell ref="BU84:BW84"/>
    <mergeCell ref="BU160:BW161"/>
    <mergeCell ref="BR184:BT184"/>
    <mergeCell ref="BU184:BW184"/>
    <mergeCell ref="BX184:BZ184"/>
    <mergeCell ref="BR82:BT82"/>
    <mergeCell ref="BX82:BZ82"/>
    <mergeCell ref="BX104:BZ104"/>
    <mergeCell ref="BX106:BZ106"/>
    <mergeCell ref="CA160:CC161"/>
    <mergeCell ref="CV156:CX156"/>
    <mergeCell ref="AB134:AD135"/>
    <mergeCell ref="AE134:AG135"/>
    <mergeCell ref="AT92:AV92"/>
    <mergeCell ref="AT174:AV174"/>
    <mergeCell ref="CV160:CX161"/>
    <mergeCell ref="CV142:CX142"/>
    <mergeCell ref="CM114:CO114"/>
    <mergeCell ref="CJ116:CL116"/>
    <mergeCell ref="BI160:BK161"/>
    <mergeCell ref="BO160:BQ161"/>
    <mergeCell ref="AZ174:BB174"/>
    <mergeCell ref="CS92:CU92"/>
    <mergeCell ref="BR100:BT100"/>
    <mergeCell ref="CP92:CR92"/>
    <mergeCell ref="CD86:CF86"/>
    <mergeCell ref="CD94:CF95"/>
    <mergeCell ref="CG104:CI104"/>
    <mergeCell ref="CA92:CC92"/>
    <mergeCell ref="CD90:CF90"/>
    <mergeCell ref="CS134:CU135"/>
    <mergeCell ref="BI108:BK109"/>
    <mergeCell ref="AE174:AG174"/>
    <mergeCell ref="CG68:CI68"/>
    <mergeCell ref="BX70:BZ70"/>
    <mergeCell ref="CD68:CF68"/>
    <mergeCell ref="BX74:BZ74"/>
    <mergeCell ref="CD106:CF106"/>
    <mergeCell ref="CJ76:CL76"/>
    <mergeCell ref="BL70:BN70"/>
    <mergeCell ref="BF74:BH74"/>
    <mergeCell ref="BF66:BH66"/>
    <mergeCell ref="BR94:BT95"/>
    <mergeCell ref="CG78:CI78"/>
    <mergeCell ref="CJ64:CL65"/>
    <mergeCell ref="S134:U135"/>
    <mergeCell ref="AT86:AV86"/>
    <mergeCell ref="AQ86:AS86"/>
    <mergeCell ref="Y108:AA109"/>
    <mergeCell ref="AB94:AD95"/>
    <mergeCell ref="BR108:BT109"/>
    <mergeCell ref="AT108:AV109"/>
    <mergeCell ref="CA106:CC106"/>
    <mergeCell ref="BF106:BH106"/>
    <mergeCell ref="BF108:BH109"/>
    <mergeCell ref="CG116:CI116"/>
    <mergeCell ref="BF82:BH82"/>
    <mergeCell ref="BC82:BE82"/>
    <mergeCell ref="AW74:AY74"/>
    <mergeCell ref="AE30:AG30"/>
    <mergeCell ref="AK66:AM66"/>
    <mergeCell ref="AK68:AM68"/>
    <mergeCell ref="AN66:AP66"/>
    <mergeCell ref="AN68:AP68"/>
    <mergeCell ref="AQ58:AS58"/>
    <mergeCell ref="AT58:AV58"/>
    <mergeCell ref="AZ64:BB65"/>
    <mergeCell ref="AN46:AP46"/>
    <mergeCell ref="AQ46:AS46"/>
    <mergeCell ref="AT46:AV46"/>
    <mergeCell ref="AW46:AY46"/>
    <mergeCell ref="AW52:AY52"/>
    <mergeCell ref="AT64:AV65"/>
    <mergeCell ref="AQ52:AS52"/>
    <mergeCell ref="AQ44:AS44"/>
    <mergeCell ref="AN44:AP44"/>
    <mergeCell ref="AE56:AG56"/>
    <mergeCell ref="AH36:AJ36"/>
    <mergeCell ref="AQ36:AS36"/>
    <mergeCell ref="AK64:AM65"/>
    <mergeCell ref="AH56:AJ56"/>
    <mergeCell ref="AE36:AG36"/>
    <mergeCell ref="AK38:AM38"/>
    <mergeCell ref="AH40:AJ40"/>
    <mergeCell ref="AK40:AM40"/>
    <mergeCell ref="AN40:AP40"/>
    <mergeCell ref="AW64:AY65"/>
    <mergeCell ref="AK62:AM62"/>
    <mergeCell ref="AH50:AJ50"/>
    <mergeCell ref="AK22:AM22"/>
    <mergeCell ref="AN22:AP22"/>
    <mergeCell ref="BF46:BH46"/>
    <mergeCell ref="BI46:BK46"/>
    <mergeCell ref="V42:X42"/>
    <mergeCell ref="Y42:AA42"/>
    <mergeCell ref="AB42:AD42"/>
    <mergeCell ref="AE42:AG42"/>
    <mergeCell ref="AZ48:BB48"/>
    <mergeCell ref="AE66:AG66"/>
    <mergeCell ref="AE62:AG62"/>
    <mergeCell ref="AW72:AY72"/>
    <mergeCell ref="AW48:AY48"/>
    <mergeCell ref="V58:X58"/>
    <mergeCell ref="V60:X60"/>
    <mergeCell ref="BI70:BK70"/>
    <mergeCell ref="AB46:AD46"/>
    <mergeCell ref="AE46:AG46"/>
    <mergeCell ref="AH46:AJ46"/>
    <mergeCell ref="AK46:AM46"/>
    <mergeCell ref="AE64:AG65"/>
    <mergeCell ref="AH66:AJ66"/>
    <mergeCell ref="AB64:AD65"/>
    <mergeCell ref="AZ38:BB38"/>
    <mergeCell ref="BC40:BE40"/>
    <mergeCell ref="AE44:AG44"/>
    <mergeCell ref="BC26:BE27"/>
    <mergeCell ref="AN32:AP32"/>
    <mergeCell ref="AE32:AG32"/>
    <mergeCell ref="AH32:AJ32"/>
    <mergeCell ref="AK32:AM32"/>
    <mergeCell ref="AE28:AG28"/>
    <mergeCell ref="CV22:CX22"/>
    <mergeCell ref="Y36:AA36"/>
    <mergeCell ref="AK26:AM27"/>
    <mergeCell ref="AW26:AY27"/>
    <mergeCell ref="V26:X27"/>
    <mergeCell ref="CP24:CR25"/>
    <mergeCell ref="Y24:AA25"/>
    <mergeCell ref="AQ22:AS22"/>
    <mergeCell ref="AT22:AV22"/>
    <mergeCell ref="AW22:AY22"/>
    <mergeCell ref="AZ22:BB22"/>
    <mergeCell ref="BC22:BE22"/>
    <mergeCell ref="BF22:BH22"/>
    <mergeCell ref="BF44:BH44"/>
    <mergeCell ref="BI44:BK44"/>
    <mergeCell ref="BI22:BK22"/>
    <mergeCell ref="AZ46:BB46"/>
    <mergeCell ref="V46:X46"/>
    <mergeCell ref="Y46:AA46"/>
    <mergeCell ref="V34:X34"/>
    <mergeCell ref="AE34:AG34"/>
    <mergeCell ref="AK34:AM34"/>
    <mergeCell ref="AT34:AV34"/>
    <mergeCell ref="BI26:BK27"/>
    <mergeCell ref="CM22:CO22"/>
    <mergeCell ref="CP22:CR22"/>
    <mergeCell ref="CS22:CU22"/>
    <mergeCell ref="AT44:AV44"/>
    <mergeCell ref="BL22:BN22"/>
    <mergeCell ref="AB44:AD44"/>
    <mergeCell ref="AQ26:AS27"/>
    <mergeCell ref="AH26:AJ27"/>
    <mergeCell ref="S22:U22"/>
    <mergeCell ref="Y22:AA22"/>
    <mergeCell ref="AB22:AD22"/>
    <mergeCell ref="AE22:AG22"/>
    <mergeCell ref="BU22:BW22"/>
    <mergeCell ref="BX22:BZ22"/>
    <mergeCell ref="Y26:AA27"/>
    <mergeCell ref="V36:X36"/>
    <mergeCell ref="AE24:AG25"/>
    <mergeCell ref="AH24:AJ25"/>
    <mergeCell ref="AN24:AP25"/>
    <mergeCell ref="AQ24:AS25"/>
    <mergeCell ref="AT24:AV25"/>
    <mergeCell ref="AT38:AV38"/>
    <mergeCell ref="AW44:AY44"/>
    <mergeCell ref="AZ44:BB44"/>
    <mergeCell ref="V32:X32"/>
    <mergeCell ref="AW36:AY36"/>
    <mergeCell ref="AE40:AG40"/>
    <mergeCell ref="AQ40:AS40"/>
    <mergeCell ref="AT40:AV40"/>
    <mergeCell ref="Y28:AA28"/>
    <mergeCell ref="Y30:AA30"/>
    <mergeCell ref="AH22:AJ22"/>
    <mergeCell ref="BL44:BN44"/>
    <mergeCell ref="AH34:AJ34"/>
    <mergeCell ref="AH38:AJ38"/>
    <mergeCell ref="AN38:AP38"/>
    <mergeCell ref="AQ38:AS38"/>
    <mergeCell ref="AW38:AY38"/>
    <mergeCell ref="AQ34:AS34"/>
    <mergeCell ref="BC44:BE44"/>
    <mergeCell ref="D86:E86"/>
    <mergeCell ref="BI86:BK86"/>
    <mergeCell ref="BL86:BN86"/>
    <mergeCell ref="BO86:BQ86"/>
    <mergeCell ref="BR86:BT86"/>
    <mergeCell ref="BU86:BW86"/>
    <mergeCell ref="BX86:BZ86"/>
    <mergeCell ref="CA86:CC86"/>
    <mergeCell ref="CD132:CF132"/>
    <mergeCell ref="AN96:AP96"/>
    <mergeCell ref="BC98:BE98"/>
    <mergeCell ref="BF98:BH98"/>
    <mergeCell ref="AH90:AJ90"/>
    <mergeCell ref="AH92:AJ92"/>
    <mergeCell ref="AN90:AP90"/>
    <mergeCell ref="AN92:AP92"/>
    <mergeCell ref="AQ90:AS90"/>
    <mergeCell ref="CD108:CF109"/>
    <mergeCell ref="BX132:BZ132"/>
    <mergeCell ref="CA90:CC90"/>
    <mergeCell ref="CA108:CC109"/>
    <mergeCell ref="S94:U95"/>
    <mergeCell ref="V94:X95"/>
    <mergeCell ref="Y94:AA95"/>
    <mergeCell ref="AH108:AJ109"/>
    <mergeCell ref="AW86:AY86"/>
    <mergeCell ref="AQ94:AS95"/>
    <mergeCell ref="AT94:AV95"/>
    <mergeCell ref="AE90:AG90"/>
    <mergeCell ref="Q92:Q93"/>
    <mergeCell ref="Q94:Q95"/>
    <mergeCell ref="P94:P95"/>
    <mergeCell ref="AK80:AM80"/>
    <mergeCell ref="AN80:AP80"/>
    <mergeCell ref="BU186:BW187"/>
    <mergeCell ref="BR180:BT180"/>
    <mergeCell ref="CM182:CO182"/>
    <mergeCell ref="CG186:CI187"/>
    <mergeCell ref="CV178:CX179"/>
    <mergeCell ref="CA186:CC187"/>
    <mergeCell ref="CD186:CF187"/>
    <mergeCell ref="BX186:BZ187"/>
    <mergeCell ref="BU180:BW180"/>
    <mergeCell ref="CG178:CI179"/>
    <mergeCell ref="BI186:BK187"/>
    <mergeCell ref="BO180:BQ180"/>
    <mergeCell ref="BC178:BE179"/>
    <mergeCell ref="AW184:AY184"/>
    <mergeCell ref="BF186:BH187"/>
    <mergeCell ref="BI184:BK184"/>
    <mergeCell ref="CM184:CO184"/>
    <mergeCell ref="BI178:BK179"/>
    <mergeCell ref="CA180:CC180"/>
    <mergeCell ref="CD180:CF180"/>
    <mergeCell ref="CG180:CI180"/>
    <mergeCell ref="CM180:CO180"/>
    <mergeCell ref="CD82:CF82"/>
    <mergeCell ref="CS174:CU174"/>
    <mergeCell ref="BU94:BW95"/>
    <mergeCell ref="AQ174:AS174"/>
    <mergeCell ref="BU96:BW96"/>
    <mergeCell ref="CM176:CO176"/>
    <mergeCell ref="CP176:CR176"/>
    <mergeCell ref="CS176:CU176"/>
    <mergeCell ref="CS48:CU48"/>
    <mergeCell ref="BL160:BN161"/>
    <mergeCell ref="BI52:BK52"/>
    <mergeCell ref="BU64:BW65"/>
    <mergeCell ref="BR84:BT84"/>
    <mergeCell ref="BO66:BQ66"/>
    <mergeCell ref="BO68:BQ68"/>
    <mergeCell ref="AZ66:BB66"/>
    <mergeCell ref="BX96:BZ96"/>
    <mergeCell ref="BX100:BZ100"/>
    <mergeCell ref="BO94:BQ95"/>
    <mergeCell ref="BX98:BZ98"/>
    <mergeCell ref="BX92:BZ92"/>
    <mergeCell ref="BX160:BZ161"/>
    <mergeCell ref="BI80:BK80"/>
    <mergeCell ref="AZ70:BB70"/>
    <mergeCell ref="BC70:BE70"/>
    <mergeCell ref="BO50:BQ50"/>
    <mergeCell ref="BF50:BH50"/>
    <mergeCell ref="CD54:CF54"/>
    <mergeCell ref="BU50:BW50"/>
    <mergeCell ref="BX50:BZ50"/>
    <mergeCell ref="BO52:BQ52"/>
    <mergeCell ref="AZ50:BB50"/>
    <mergeCell ref="BX52:BZ52"/>
    <mergeCell ref="BX64:BZ65"/>
    <mergeCell ref="BF64:BH65"/>
    <mergeCell ref="CS68:CU68"/>
    <mergeCell ref="CJ68:CL68"/>
    <mergeCell ref="CM94:CO95"/>
    <mergeCell ref="CM64:CO65"/>
    <mergeCell ref="CG64:CI65"/>
    <mergeCell ref="AH70:AJ70"/>
    <mergeCell ref="AH80:AJ80"/>
    <mergeCell ref="AH86:AJ86"/>
    <mergeCell ref="CD96:CF96"/>
    <mergeCell ref="CM76:CO76"/>
    <mergeCell ref="CD92:CF92"/>
    <mergeCell ref="CJ108:CL109"/>
    <mergeCell ref="CG100:CI100"/>
    <mergeCell ref="BL108:BN109"/>
    <mergeCell ref="AH68:AJ68"/>
    <mergeCell ref="CA78:CC78"/>
    <mergeCell ref="BC64:BE65"/>
    <mergeCell ref="BU66:BW66"/>
    <mergeCell ref="BU68:BW68"/>
    <mergeCell ref="BR66:BT66"/>
    <mergeCell ref="AN70:AP70"/>
    <mergeCell ref="AT78:AV78"/>
    <mergeCell ref="BL64:BN65"/>
    <mergeCell ref="AK74:AM74"/>
    <mergeCell ref="AH74:AJ74"/>
    <mergeCell ref="AH64:AJ65"/>
    <mergeCell ref="BL66:BN66"/>
    <mergeCell ref="BL68:BN68"/>
    <mergeCell ref="AQ74:AS74"/>
    <mergeCell ref="AT74:AV74"/>
    <mergeCell ref="BX66:BZ66"/>
    <mergeCell ref="CA66:CC66"/>
    <mergeCell ref="CA68:CC68"/>
    <mergeCell ref="BR68:BT68"/>
    <mergeCell ref="CA70:CC70"/>
    <mergeCell ref="BR70:BT70"/>
    <mergeCell ref="CD66:CF66"/>
    <mergeCell ref="CY46:DA46"/>
    <mergeCell ref="CM48:CO48"/>
    <mergeCell ref="CV48:CX48"/>
    <mergeCell ref="AK50:AM50"/>
    <mergeCell ref="BU46:BW46"/>
    <mergeCell ref="BU48:BW48"/>
    <mergeCell ref="BX46:BZ46"/>
    <mergeCell ref="BI56:BK56"/>
    <mergeCell ref="BR188:BT188"/>
    <mergeCell ref="CJ106:CL106"/>
    <mergeCell ref="CG94:CI95"/>
    <mergeCell ref="CJ94:CL95"/>
    <mergeCell ref="AN52:AP52"/>
    <mergeCell ref="CJ66:CL66"/>
    <mergeCell ref="AT80:AV80"/>
    <mergeCell ref="CD116:CF116"/>
    <mergeCell ref="AQ70:AS70"/>
    <mergeCell ref="AT70:AV70"/>
    <mergeCell ref="AW70:AY70"/>
    <mergeCell ref="BO134:BQ135"/>
    <mergeCell ref="CY104:DA104"/>
    <mergeCell ref="AQ92:AS92"/>
    <mergeCell ref="BR64:BT65"/>
    <mergeCell ref="BC50:BE50"/>
    <mergeCell ref="AW66:AY66"/>
    <mergeCell ref="AK60:AM60"/>
    <mergeCell ref="CD64:CF65"/>
    <mergeCell ref="CG48:CI48"/>
    <mergeCell ref="BX48:BZ48"/>
    <mergeCell ref="BR46:BT46"/>
    <mergeCell ref="BL46:BN46"/>
    <mergeCell ref="CD104:CF104"/>
    <mergeCell ref="AH134:AJ135"/>
    <mergeCell ref="AE92:AG92"/>
    <mergeCell ref="AN94:AP95"/>
    <mergeCell ref="AK90:AM90"/>
    <mergeCell ref="CV24:CX25"/>
    <mergeCell ref="AN50:AP50"/>
    <mergeCell ref="AT50:AV50"/>
    <mergeCell ref="AW50:AY50"/>
    <mergeCell ref="AK44:AM44"/>
    <mergeCell ref="DX24:DX25"/>
    <mergeCell ref="DE242:DG242"/>
    <mergeCell ref="DX244:DX245"/>
    <mergeCell ref="DT196:DV197"/>
    <mergeCell ref="AW24:AY25"/>
    <mergeCell ref="AZ24:BB25"/>
    <mergeCell ref="BC24:BE25"/>
    <mergeCell ref="BF24:BH25"/>
    <mergeCell ref="BI24:BK25"/>
    <mergeCell ref="BL24:BN25"/>
    <mergeCell ref="BO24:BQ25"/>
    <mergeCell ref="BR24:BT25"/>
    <mergeCell ref="CS24:CU25"/>
    <mergeCell ref="CG66:CI66"/>
    <mergeCell ref="CD78:CF78"/>
    <mergeCell ref="AQ66:AS66"/>
    <mergeCell ref="AT66:AV66"/>
    <mergeCell ref="AN64:AP65"/>
    <mergeCell ref="AT62:AV62"/>
    <mergeCell ref="AE108:AG109"/>
    <mergeCell ref="AQ82:AS82"/>
    <mergeCell ref="CY24:DA25"/>
    <mergeCell ref="CJ184:CL184"/>
    <mergeCell ref="CM24:CO25"/>
    <mergeCell ref="BU24:BW25"/>
    <mergeCell ref="BU204:BW204"/>
    <mergeCell ref="BX204:BZ204"/>
    <mergeCell ref="CA204:CC204"/>
    <mergeCell ref="CA206:CC206"/>
    <mergeCell ref="CD206:CF206"/>
    <mergeCell ref="CG206:CI206"/>
    <mergeCell ref="CP158:CR158"/>
    <mergeCell ref="AK134:AM135"/>
    <mergeCell ref="CG160:CI161"/>
    <mergeCell ref="CP126:CR126"/>
    <mergeCell ref="AQ64:AS65"/>
    <mergeCell ref="AT90:AV90"/>
    <mergeCell ref="AK108:AM109"/>
    <mergeCell ref="AN108:AP109"/>
    <mergeCell ref="AQ108:AS109"/>
    <mergeCell ref="AK94:AM95"/>
    <mergeCell ref="BR48:BT48"/>
    <mergeCell ref="CD48:CF48"/>
    <mergeCell ref="AQ80:AS80"/>
    <mergeCell ref="BF34:BH34"/>
    <mergeCell ref="BR34:BT34"/>
    <mergeCell ref="BU42:BW42"/>
    <mergeCell ref="BF38:BH38"/>
    <mergeCell ref="BX68:BZ68"/>
    <mergeCell ref="AK178:AM179"/>
    <mergeCell ref="AK92:AM92"/>
    <mergeCell ref="CM92:CO92"/>
    <mergeCell ref="CJ24:CL25"/>
    <mergeCell ref="BO188:BQ188"/>
    <mergeCell ref="AK24:AM25"/>
    <mergeCell ref="DY256:DY257"/>
    <mergeCell ref="DY24:DY25"/>
    <mergeCell ref="CG44:CI44"/>
    <mergeCell ref="CJ44:CL44"/>
    <mergeCell ref="CJ102:CL102"/>
    <mergeCell ref="CM102:CO102"/>
    <mergeCell ref="CG102:CI102"/>
    <mergeCell ref="BI40:BK40"/>
    <mergeCell ref="AN62:AP62"/>
    <mergeCell ref="AQ62:AS62"/>
    <mergeCell ref="BF62:BH62"/>
    <mergeCell ref="BI62:BK62"/>
    <mergeCell ref="DE24:DG25"/>
    <mergeCell ref="DT24:DV25"/>
    <mergeCell ref="CP246:CR246"/>
    <mergeCell ref="CS246:CU246"/>
    <mergeCell ref="CV246:CX246"/>
    <mergeCell ref="CY246:DA246"/>
    <mergeCell ref="DB246:DD246"/>
    <mergeCell ref="DE246:DG246"/>
    <mergeCell ref="BI48:BK48"/>
    <mergeCell ref="BX80:BZ80"/>
    <mergeCell ref="CG108:CI109"/>
    <mergeCell ref="CA110:CC110"/>
    <mergeCell ref="CA104:CC104"/>
    <mergeCell ref="DX252:DX253"/>
    <mergeCell ref="BX24:BZ25"/>
    <mergeCell ref="CA24:CC25"/>
    <mergeCell ref="CD24:CF25"/>
    <mergeCell ref="CG24:CI25"/>
    <mergeCell ref="DB24:DD25"/>
    <mergeCell ref="CY196:DA197"/>
    <mergeCell ref="F28:F29"/>
    <mergeCell ref="G28:G29"/>
    <mergeCell ref="F30:F31"/>
    <mergeCell ref="G30:G31"/>
    <mergeCell ref="F32:F33"/>
    <mergeCell ref="G32:G33"/>
    <mergeCell ref="F34:F35"/>
    <mergeCell ref="G34:G35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F54:F55"/>
    <mergeCell ref="G54:G55"/>
    <mergeCell ref="F56:F57"/>
    <mergeCell ref="G56:G57"/>
    <mergeCell ref="F58:F59"/>
    <mergeCell ref="G58:G59"/>
    <mergeCell ref="F60:F61"/>
    <mergeCell ref="G60:G61"/>
    <mergeCell ref="F62:F63"/>
    <mergeCell ref="G62:G63"/>
    <mergeCell ref="F64:F65"/>
    <mergeCell ref="G64:G65"/>
    <mergeCell ref="F66:F67"/>
    <mergeCell ref="G66:G67"/>
    <mergeCell ref="F68:F69"/>
    <mergeCell ref="G68:G69"/>
    <mergeCell ref="F70:F71"/>
    <mergeCell ref="G70:G71"/>
    <mergeCell ref="F72:F73"/>
    <mergeCell ref="G72:G73"/>
    <mergeCell ref="F74:F75"/>
    <mergeCell ref="G74:G75"/>
    <mergeCell ref="F76:F77"/>
    <mergeCell ref="G76:G77"/>
    <mergeCell ref="F78:F79"/>
    <mergeCell ref="G78:G79"/>
    <mergeCell ref="F80:F81"/>
    <mergeCell ref="G80:G81"/>
    <mergeCell ref="F82:F83"/>
    <mergeCell ref="G82:G83"/>
    <mergeCell ref="F84:F85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F94:F95"/>
    <mergeCell ref="G94:G95"/>
    <mergeCell ref="F96:F97"/>
    <mergeCell ref="G96:G97"/>
    <mergeCell ref="F98:F99"/>
    <mergeCell ref="G98:G99"/>
    <mergeCell ref="F100:F101"/>
    <mergeCell ref="G100:G101"/>
    <mergeCell ref="F102:F103"/>
    <mergeCell ref="G102:G103"/>
    <mergeCell ref="F104:F105"/>
    <mergeCell ref="G104:G105"/>
    <mergeCell ref="F106:F107"/>
    <mergeCell ref="G106:G107"/>
    <mergeCell ref="F108:F109"/>
    <mergeCell ref="G108:G109"/>
    <mergeCell ref="F110:F111"/>
    <mergeCell ref="G110:G111"/>
    <mergeCell ref="F112:F113"/>
    <mergeCell ref="G112:G113"/>
    <mergeCell ref="F114:F115"/>
    <mergeCell ref="G114:G115"/>
    <mergeCell ref="F116:F117"/>
    <mergeCell ref="G116:G117"/>
    <mergeCell ref="F118:F119"/>
    <mergeCell ref="G118:G119"/>
    <mergeCell ref="F120:F121"/>
    <mergeCell ref="G120:G121"/>
    <mergeCell ref="F122:F123"/>
    <mergeCell ref="G122:G123"/>
    <mergeCell ref="F124:F125"/>
    <mergeCell ref="G124:G125"/>
    <mergeCell ref="F126:F127"/>
    <mergeCell ref="G126:G127"/>
    <mergeCell ref="F128:F129"/>
    <mergeCell ref="G128:G129"/>
    <mergeCell ref="F130:F131"/>
    <mergeCell ref="G130:G131"/>
    <mergeCell ref="F132:F133"/>
    <mergeCell ref="G132:G133"/>
    <mergeCell ref="F134:F135"/>
    <mergeCell ref="G134:G135"/>
    <mergeCell ref="F136:F137"/>
    <mergeCell ref="G136:G137"/>
    <mergeCell ref="F138:F139"/>
    <mergeCell ref="G138:G139"/>
    <mergeCell ref="F140:F141"/>
    <mergeCell ref="G140:G141"/>
    <mergeCell ref="F142:F143"/>
    <mergeCell ref="G142:G143"/>
    <mergeCell ref="F144:F145"/>
    <mergeCell ref="G144:G145"/>
    <mergeCell ref="F146:F147"/>
    <mergeCell ref="G146:G147"/>
    <mergeCell ref="F148:F149"/>
    <mergeCell ref="G148:G149"/>
    <mergeCell ref="F150:F151"/>
    <mergeCell ref="G150:G151"/>
    <mergeCell ref="F152:F153"/>
    <mergeCell ref="G152:G153"/>
    <mergeCell ref="F154:F155"/>
    <mergeCell ref="G154:G155"/>
    <mergeCell ref="F156:F157"/>
    <mergeCell ref="G156:G157"/>
    <mergeCell ref="F158:F159"/>
    <mergeCell ref="G158:G159"/>
    <mergeCell ref="F160:F161"/>
    <mergeCell ref="G160:G161"/>
    <mergeCell ref="F162:F163"/>
    <mergeCell ref="G162:G163"/>
    <mergeCell ref="F164:F165"/>
    <mergeCell ref="G164:G165"/>
    <mergeCell ref="F166:F167"/>
    <mergeCell ref="G166:G167"/>
    <mergeCell ref="F168:F169"/>
    <mergeCell ref="G168:G169"/>
    <mergeCell ref="F170:F171"/>
    <mergeCell ref="G170:G171"/>
    <mergeCell ref="F172:F173"/>
    <mergeCell ref="G172:G173"/>
    <mergeCell ref="F174:F175"/>
    <mergeCell ref="G174:G175"/>
    <mergeCell ref="F176:F177"/>
    <mergeCell ref="G176:G177"/>
    <mergeCell ref="F178:F179"/>
    <mergeCell ref="G178:G179"/>
    <mergeCell ref="F180:F181"/>
    <mergeCell ref="G180:G181"/>
    <mergeCell ref="F182:F183"/>
    <mergeCell ref="G182:G183"/>
    <mergeCell ref="F184:F185"/>
    <mergeCell ref="G184:G185"/>
    <mergeCell ref="F186:F187"/>
    <mergeCell ref="G186:G187"/>
    <mergeCell ref="F188:F189"/>
    <mergeCell ref="G188:G189"/>
    <mergeCell ref="F212:F213"/>
    <mergeCell ref="G212:G213"/>
    <mergeCell ref="F214:F215"/>
    <mergeCell ref="G214:G215"/>
    <mergeCell ref="F216:F217"/>
    <mergeCell ref="G216:G217"/>
    <mergeCell ref="F218:F219"/>
    <mergeCell ref="G218:G219"/>
    <mergeCell ref="F220:F221"/>
    <mergeCell ref="G220:G221"/>
    <mergeCell ref="F222:F223"/>
    <mergeCell ref="G222:G223"/>
    <mergeCell ref="F224:F225"/>
    <mergeCell ref="G224:G225"/>
    <mergeCell ref="F190:F191"/>
    <mergeCell ref="G190:G191"/>
    <mergeCell ref="F192:F193"/>
    <mergeCell ref="G192:G193"/>
    <mergeCell ref="F194:F195"/>
    <mergeCell ref="G194:G195"/>
    <mergeCell ref="F196:F197"/>
    <mergeCell ref="G196:G197"/>
    <mergeCell ref="F198:F199"/>
    <mergeCell ref="G198:G199"/>
    <mergeCell ref="F200:F201"/>
    <mergeCell ref="G200:G201"/>
    <mergeCell ref="F202:F203"/>
    <mergeCell ref="G202:G203"/>
    <mergeCell ref="F204:F205"/>
    <mergeCell ref="G204:G205"/>
    <mergeCell ref="F206:F207"/>
    <mergeCell ref="G206:G207"/>
    <mergeCell ref="F208:F209"/>
    <mergeCell ref="G208:G209"/>
    <mergeCell ref="F244:F245"/>
    <mergeCell ref="G244:G245"/>
    <mergeCell ref="F246:F247"/>
    <mergeCell ref="G246:G247"/>
    <mergeCell ref="F248:F249"/>
    <mergeCell ref="G248:G249"/>
    <mergeCell ref="F250:F251"/>
    <mergeCell ref="G250:G251"/>
    <mergeCell ref="F252:F253"/>
    <mergeCell ref="G252:G253"/>
    <mergeCell ref="F226:F227"/>
    <mergeCell ref="G226:G227"/>
    <mergeCell ref="F228:F229"/>
    <mergeCell ref="G228:G229"/>
    <mergeCell ref="F230:F231"/>
    <mergeCell ref="G230:G231"/>
    <mergeCell ref="F232:F233"/>
    <mergeCell ref="G232:G233"/>
    <mergeCell ref="F234:F235"/>
    <mergeCell ref="G234:G235"/>
    <mergeCell ref="F236:F237"/>
    <mergeCell ref="G236:G237"/>
    <mergeCell ref="F238:F239"/>
    <mergeCell ref="G238:G239"/>
    <mergeCell ref="F240:F241"/>
    <mergeCell ref="G240:G241"/>
    <mergeCell ref="F242:F243"/>
    <mergeCell ref="G242:G243"/>
    <mergeCell ref="F210:F211"/>
    <mergeCell ref="G210:G211"/>
  </mergeCells>
  <phoneticPr fontId="0" type="noConversion"/>
  <printOptions horizontalCentered="1"/>
  <pageMargins left="0.19685039370078741" right="0.19685039370078741" top="0.78740157480314965" bottom="0.19685039370078741" header="0.43307086614173229" footer="0.19685039370078741"/>
  <pageSetup paperSize="8"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전체예정공정표</vt:lpstr>
      <vt:lpstr>전체예정공정표!Print_Area</vt:lpstr>
      <vt:lpstr>전체예정공정표!Print_Titles</vt:lpstr>
    </vt:vector>
  </TitlesOfParts>
  <Company>한국해외기술공사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박종현</dc:creator>
  <cp:lastModifiedBy>진홍</cp:lastModifiedBy>
  <cp:lastPrinted>2026-01-12T01:17:10Z</cp:lastPrinted>
  <dcterms:created xsi:type="dcterms:W3CDTF">2000-01-18T06:28:36Z</dcterms:created>
  <dcterms:modified xsi:type="dcterms:W3CDTF">2026-06-03T01:01:40Z</dcterms:modified>
</cp:coreProperties>
</file>