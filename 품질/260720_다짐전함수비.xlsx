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문정수\★ 진천산업단지\★ 시험\함수량시험\"/>
    </mc:Choice>
  </mc:AlternateContent>
  <xr:revisionPtr revIDLastSave="0" documentId="13_ncr:1_{DC291B03-ECA2-41CA-B459-CD97BF7961E4}" xr6:coauthVersionLast="47" xr6:coauthVersionMax="47" xr10:uidLastSave="{00000000-0000-0000-0000-000000000000}"/>
  <bookViews>
    <workbookView xWindow="28680" yWindow="-120" windowWidth="29040" windowHeight="15720" activeTab="1" xr2:uid="{CCBE31AB-9712-45F7-8380-11AA145367D9}"/>
  </bookViews>
  <sheets>
    <sheet name="49" sheetId="24" r:id="rId1"/>
    <sheet name="48" sheetId="25" r:id="rId2"/>
    <sheet name="47" sheetId="22" r:id="rId3"/>
    <sheet name="46" sheetId="23" r:id="rId4"/>
    <sheet name="45" sheetId="20" r:id="rId5"/>
    <sheet name="44" sheetId="21" r:id="rId6"/>
    <sheet name="42" sheetId="19" r:id="rId7"/>
    <sheet name="43" sheetId="18" r:id="rId8"/>
    <sheet name="41" sheetId="16" r:id="rId9"/>
    <sheet name="40" sheetId="17" r:id="rId10"/>
    <sheet name="39" sheetId="15" r:id="rId11"/>
    <sheet name="38" sheetId="13" r:id="rId12"/>
    <sheet name="37" sheetId="12" r:id="rId13"/>
    <sheet name="36" sheetId="11" r:id="rId14"/>
    <sheet name="35" sheetId="10" r:id="rId15"/>
    <sheet name="34" sheetId="14" r:id="rId16"/>
    <sheet name="33" sheetId="9" r:id="rId17"/>
    <sheet name="32" sheetId="7" r:id="rId18"/>
    <sheet name="31" sheetId="8" r:id="rId19"/>
    <sheet name="30" sheetId="4" r:id="rId20"/>
    <sheet name="29" sheetId="5" r:id="rId21"/>
    <sheet name="28" sheetId="6" r:id="rId22"/>
    <sheet name="27" sheetId="2" r:id="rId23"/>
    <sheet name="26" sheetId="3" r:id="rId24"/>
    <sheet name="25" sheetId="1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1_0_S" hidden="1">'[1]6PILE  (돌출)'!#REF!</definedName>
    <definedName name="_2_3__Crite">[2]관리비현황!#REF!</definedName>
    <definedName name="_3_3__Criteria">[2]관리비현황!#REF!</definedName>
    <definedName name="_4G__Extr">[2]관리비현황!#REF!</definedName>
    <definedName name="_5G__Extract">[2]관리비현황!#REF!</definedName>
    <definedName name="_A65700">#REF!</definedName>
    <definedName name="_A65900">#REF!</definedName>
    <definedName name="_A66000">#REF!</definedName>
    <definedName name="_A66024">#REF!</definedName>
    <definedName name="_A69000">#REF!</definedName>
    <definedName name="_A70000">#REF!</definedName>
    <definedName name="_A80000">#REF!</definedName>
    <definedName name="_A90000">#REF!</definedName>
    <definedName name="_Fill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[3]배수관산출!#REF!</definedName>
    <definedName name="_ST1">#N/A</definedName>
    <definedName name="as">#REF!</definedName>
    <definedName name="CHO">#N/A</definedName>
    <definedName name="COMPANY">#N/A</definedName>
    <definedName name="CONC">#N/A</definedName>
    <definedName name="Contractor">#REF!</definedName>
    <definedName name="Currency">#REF!</definedName>
    <definedName name="_xlnm.Database">#REF!</definedName>
    <definedName name="Database_MI">#REF!</definedName>
    <definedName name="DAY">#N/A</definedName>
    <definedName name="ENCOST">#N/A</definedName>
    <definedName name="EQPT_Rate">#REF!</definedName>
    <definedName name="EXE">#N/A</definedName>
    <definedName name="Ft_Matl">[4]Proposal!#REF!</definedName>
    <definedName name="Ft_Zone_A">[4]Proposal!#REF!</definedName>
    <definedName name="Ft_Zone_B">[4]Proposal!#REF!</definedName>
    <definedName name="Ft_Zone_C">[4]Proposal!#REF!</definedName>
    <definedName name="Ft_Zone_D">[4]Proposal!#REF!</definedName>
    <definedName name="Ft_Zone_E">[4]Proposal!#REF!</definedName>
    <definedName name="Inc_Sup_Matl">[5]BQ!#REF!</definedName>
    <definedName name="Inc_Sup_MD">[5]BQ!#REF!</definedName>
    <definedName name="Inc_Sup_Total_Matl">[5]BQ!#REF!</definedName>
    <definedName name="Inc_Sup_Total_MD">[5]BQ!#REF!</definedName>
    <definedName name="Labor_Rate">#REF!</definedName>
    <definedName name="MATL_FT">'[6]BQ(실행)'!#REF!</definedName>
    <definedName name="MATL_Rate">#REF!</definedName>
    <definedName name="NAK">#N/A</definedName>
    <definedName name="PJT">#N/A</definedName>
    <definedName name="_xlnm.Print_Area" localSheetId="24">'25'!$A$1:$R$38</definedName>
    <definedName name="_xlnm.Print_Area" localSheetId="23">'26'!$A$1:$R$38</definedName>
    <definedName name="_xlnm.Print_Area" localSheetId="22">'27'!$A$1:$R$38</definedName>
    <definedName name="_xlnm.Print_Area" localSheetId="21">'28'!$A$1:$R$38</definedName>
    <definedName name="_xlnm.Print_Area" localSheetId="20">'29'!$A$1:$R$38</definedName>
    <definedName name="_xlnm.Print_Area" localSheetId="19">'30'!$A$1:$R$38</definedName>
    <definedName name="_xlnm.Print_Area" localSheetId="18">'31'!$A$1:$R$38</definedName>
    <definedName name="_xlnm.Print_Area" localSheetId="17">'32'!$A$1:$R$38</definedName>
    <definedName name="_xlnm.Print_Area" localSheetId="16">'33'!$A$1:$R$38</definedName>
    <definedName name="_xlnm.Print_Area" localSheetId="15">'34'!$A$1:$R$38</definedName>
    <definedName name="_xlnm.Print_Area" localSheetId="14">'35'!$A$1:$R$38</definedName>
    <definedName name="_xlnm.Print_Area" localSheetId="13">'36'!$A$1:$R$38</definedName>
    <definedName name="_xlnm.Print_Area" localSheetId="12">'37'!$A$1:$R$38</definedName>
    <definedName name="_xlnm.Print_Area" localSheetId="11">'38'!$A$1:$R$38</definedName>
    <definedName name="_xlnm.Print_Area" localSheetId="10">'39'!$A$1:$R$38</definedName>
    <definedName name="_xlnm.Print_Area" localSheetId="9">'40'!$A$1:$R$38</definedName>
    <definedName name="_xlnm.Print_Area" localSheetId="8">'41'!$A$1:$R$38</definedName>
    <definedName name="_xlnm.Print_Area" localSheetId="6">'42'!$A$1:$R$38</definedName>
    <definedName name="_xlnm.Print_Area" localSheetId="7">'43'!$A$1:$R$38</definedName>
    <definedName name="_xlnm.Print_Area" localSheetId="5">'44'!$A$1:$R$38</definedName>
    <definedName name="_xlnm.Print_Area" localSheetId="4">'45'!$A$1:$R$38</definedName>
    <definedName name="_xlnm.Print_Area" localSheetId="3">'46'!$A$1:$R$38</definedName>
    <definedName name="_xlnm.Print_Area" localSheetId="2">'47'!$A$1:$R$38</definedName>
    <definedName name="_xlnm.Print_Area" localSheetId="1">'48'!$A$1:$R$38</definedName>
    <definedName name="_xlnm.Print_Area" localSheetId="0">'49'!$A$1:$R$38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Rate_MD">[4]Proposal!#REF!</definedName>
    <definedName name="REM">#N/A</definedName>
    <definedName name="sch">#REF!</definedName>
    <definedName name="SELECT">#N/A</definedName>
    <definedName name="Sup_MATL_Rate">#REF!</definedName>
    <definedName name="Sup_MD_Rate">#REF!</definedName>
    <definedName name="SUYO">#N/A</definedName>
    <definedName name="TOO">#N/A</definedName>
    <definedName name="TOT_MATL">[4]Proposal!#REF!</definedName>
    <definedName name="Unit_Matl">[4]Proposal!#REF!</definedName>
    <definedName name="Unit_MD">[4]Proposal!#REF!</definedName>
    <definedName name="YE">#N/A</definedName>
    <definedName name="YEKA">#N/A</definedName>
    <definedName name="갑지">#REF!</definedName>
    <definedName name="노임">'[6]BQ(실행)'!#REF!</definedName>
    <definedName name="물의수정계수">[7]비중계!$O$12:$P$38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2" i="25" l="1"/>
  <c r="V11" i="25"/>
  <c r="V15" i="25" s="1"/>
  <c r="U10" i="25"/>
  <c r="T10" i="25"/>
  <c r="L10" i="25"/>
  <c r="L13" i="25" s="1"/>
  <c r="I10" i="25"/>
  <c r="I13" i="25" s="1"/>
  <c r="F10" i="25"/>
  <c r="F13" i="25" s="1"/>
  <c r="L9" i="25"/>
  <c r="L12" i="25" s="1"/>
  <c r="L14" i="25" s="1"/>
  <c r="I9" i="25"/>
  <c r="F9" i="25"/>
  <c r="F12" i="25" s="1"/>
  <c r="W8" i="25"/>
  <c r="X8" i="25" s="1"/>
  <c r="V15" i="24"/>
  <c r="V13" i="24"/>
  <c r="V12" i="24"/>
  <c r="F12" i="24"/>
  <c r="V11" i="24"/>
  <c r="V14" i="24" s="1"/>
  <c r="U10" i="24"/>
  <c r="T10" i="24"/>
  <c r="L10" i="24"/>
  <c r="L13" i="24" s="1"/>
  <c r="I10" i="24"/>
  <c r="I13" i="24" s="1"/>
  <c r="F10" i="24"/>
  <c r="F13" i="24" s="1"/>
  <c r="L9" i="24"/>
  <c r="L12" i="24" s="1"/>
  <c r="L14" i="24" s="1"/>
  <c r="I9" i="24"/>
  <c r="F9" i="24"/>
  <c r="W8" i="24"/>
  <c r="V12" i="23"/>
  <c r="V11" i="23"/>
  <c r="V15" i="23" s="1"/>
  <c r="U10" i="23"/>
  <c r="T10" i="23"/>
  <c r="L10" i="23"/>
  <c r="L13" i="23" s="1"/>
  <c r="I10" i="23"/>
  <c r="I13" i="23" s="1"/>
  <c r="F10" i="23"/>
  <c r="F13" i="23" s="1"/>
  <c r="L9" i="23"/>
  <c r="L12" i="23" s="1"/>
  <c r="L14" i="23" s="1"/>
  <c r="I9" i="23"/>
  <c r="I12" i="23" s="1"/>
  <c r="F9" i="23"/>
  <c r="W8" i="23"/>
  <c r="X8" i="23" s="1"/>
  <c r="V15" i="22"/>
  <c r="V13" i="22"/>
  <c r="V12" i="22"/>
  <c r="V11" i="22"/>
  <c r="V14" i="22" s="1"/>
  <c r="U10" i="22"/>
  <c r="T10" i="22"/>
  <c r="L10" i="22"/>
  <c r="L13" i="22" s="1"/>
  <c r="I10" i="22"/>
  <c r="I13" i="22" s="1"/>
  <c r="F10" i="22"/>
  <c r="F13" i="22" s="1"/>
  <c r="L9" i="22"/>
  <c r="I9" i="22"/>
  <c r="F9" i="22"/>
  <c r="W8" i="22"/>
  <c r="V12" i="21"/>
  <c r="V11" i="21"/>
  <c r="V15" i="21" s="1"/>
  <c r="U10" i="21"/>
  <c r="T10" i="21"/>
  <c r="L10" i="21"/>
  <c r="L13" i="21" s="1"/>
  <c r="I10" i="21"/>
  <c r="I13" i="21" s="1"/>
  <c r="F10" i="21"/>
  <c r="F13" i="21" s="1"/>
  <c r="L9" i="21"/>
  <c r="I9" i="21"/>
  <c r="I12" i="21" s="1"/>
  <c r="F9" i="21"/>
  <c r="F12" i="21" s="1"/>
  <c r="W8" i="21"/>
  <c r="X8" i="21" s="1"/>
  <c r="V15" i="20"/>
  <c r="V13" i="20"/>
  <c r="V12" i="20"/>
  <c r="V11" i="20"/>
  <c r="V14" i="20" s="1"/>
  <c r="U10" i="20"/>
  <c r="T10" i="20"/>
  <c r="L10" i="20"/>
  <c r="L13" i="20" s="1"/>
  <c r="I10" i="20"/>
  <c r="I13" i="20" s="1"/>
  <c r="F10" i="20"/>
  <c r="F13" i="20" s="1"/>
  <c r="L9" i="20"/>
  <c r="L12" i="20" s="1"/>
  <c r="L14" i="20" s="1"/>
  <c r="I9" i="20"/>
  <c r="I12" i="20" s="1"/>
  <c r="F9" i="20"/>
  <c r="W8" i="20"/>
  <c r="V14" i="19"/>
  <c r="V12" i="19"/>
  <c r="V11" i="19"/>
  <c r="V15" i="19" s="1"/>
  <c r="U10" i="19"/>
  <c r="T10" i="19"/>
  <c r="L10" i="19"/>
  <c r="L13" i="19" s="1"/>
  <c r="I10" i="19"/>
  <c r="I13" i="19" s="1"/>
  <c r="F10" i="19"/>
  <c r="F13" i="19" s="1"/>
  <c r="L9" i="19"/>
  <c r="I9" i="19"/>
  <c r="I12" i="19" s="1"/>
  <c r="I16" i="19" s="1"/>
  <c r="F9" i="19"/>
  <c r="W8" i="19"/>
  <c r="X8" i="19" s="1"/>
  <c r="V12" i="18"/>
  <c r="V11" i="18"/>
  <c r="V14" i="18" s="1"/>
  <c r="U10" i="18"/>
  <c r="T10" i="18"/>
  <c r="L10" i="18"/>
  <c r="L13" i="18" s="1"/>
  <c r="I10" i="18"/>
  <c r="I13" i="18" s="1"/>
  <c r="F10" i="18"/>
  <c r="F13" i="18" s="1"/>
  <c r="L9" i="18"/>
  <c r="L12" i="18" s="1"/>
  <c r="I9" i="18"/>
  <c r="F9" i="18"/>
  <c r="W8" i="18"/>
  <c r="X8" i="18" s="1"/>
  <c r="X9" i="18" s="1"/>
  <c r="X12" i="18" s="1"/>
  <c r="V12" i="17"/>
  <c r="V11" i="17"/>
  <c r="V15" i="17" s="1"/>
  <c r="U10" i="17"/>
  <c r="T10" i="17"/>
  <c r="L10" i="17"/>
  <c r="L13" i="17" s="1"/>
  <c r="I10" i="17"/>
  <c r="I13" i="17" s="1"/>
  <c r="F10" i="17"/>
  <c r="F13" i="17" s="1"/>
  <c r="L9" i="17"/>
  <c r="L12" i="17" s="1"/>
  <c r="L14" i="17" s="1"/>
  <c r="I9" i="17"/>
  <c r="F9" i="17"/>
  <c r="W8" i="17"/>
  <c r="X8" i="17" s="1"/>
  <c r="V15" i="16"/>
  <c r="V13" i="16"/>
  <c r="V12" i="16"/>
  <c r="V11" i="16"/>
  <c r="V14" i="16" s="1"/>
  <c r="U10" i="16"/>
  <c r="T10" i="16"/>
  <c r="L10" i="16"/>
  <c r="L13" i="16" s="1"/>
  <c r="I10" i="16"/>
  <c r="I13" i="16" s="1"/>
  <c r="F10" i="16"/>
  <c r="F13" i="16" s="1"/>
  <c r="L9" i="16"/>
  <c r="I9" i="16"/>
  <c r="F9" i="16"/>
  <c r="F12" i="16" s="1"/>
  <c r="W8" i="16"/>
  <c r="V12" i="15"/>
  <c r="F12" i="15"/>
  <c r="V11" i="15"/>
  <c r="V15" i="15" s="1"/>
  <c r="U10" i="15"/>
  <c r="T10" i="15"/>
  <c r="L10" i="15"/>
  <c r="L13" i="15" s="1"/>
  <c r="I10" i="15"/>
  <c r="I13" i="15" s="1"/>
  <c r="F10" i="15"/>
  <c r="F13" i="15" s="1"/>
  <c r="L9" i="15"/>
  <c r="L12" i="15" s="1"/>
  <c r="I9" i="15"/>
  <c r="I12" i="15" s="1"/>
  <c r="F9" i="15"/>
  <c r="W8" i="15"/>
  <c r="X8" i="15" s="1"/>
  <c r="V12" i="14"/>
  <c r="V11" i="14"/>
  <c r="V15" i="14" s="1"/>
  <c r="U10" i="14"/>
  <c r="T10" i="14"/>
  <c r="L10" i="14"/>
  <c r="L13" i="14" s="1"/>
  <c r="I10" i="14"/>
  <c r="I12" i="14" s="1"/>
  <c r="F10" i="14"/>
  <c r="F13" i="14" s="1"/>
  <c r="L9" i="14"/>
  <c r="I9" i="14"/>
  <c r="F9" i="14"/>
  <c r="F12" i="14" s="1"/>
  <c r="W8" i="14"/>
  <c r="X8" i="14" s="1"/>
  <c r="V12" i="13"/>
  <c r="V11" i="13"/>
  <c r="V15" i="13" s="1"/>
  <c r="U10" i="13"/>
  <c r="T10" i="13"/>
  <c r="L10" i="13"/>
  <c r="L13" i="13" s="1"/>
  <c r="I10" i="13"/>
  <c r="I13" i="13" s="1"/>
  <c r="F10" i="13"/>
  <c r="F13" i="13" s="1"/>
  <c r="L9" i="13"/>
  <c r="L12" i="13" s="1"/>
  <c r="L14" i="13" s="1"/>
  <c r="I9" i="13"/>
  <c r="F9" i="13"/>
  <c r="W8" i="13"/>
  <c r="X8" i="13" s="1"/>
  <c r="V12" i="12"/>
  <c r="V11" i="12"/>
  <c r="V15" i="12" s="1"/>
  <c r="U10" i="12"/>
  <c r="T10" i="12"/>
  <c r="L10" i="12"/>
  <c r="L13" i="12" s="1"/>
  <c r="I10" i="12"/>
  <c r="I12" i="12" s="1"/>
  <c r="F10" i="12"/>
  <c r="F13" i="12" s="1"/>
  <c r="L9" i="12"/>
  <c r="L12" i="12" s="1"/>
  <c r="L14" i="12" s="1"/>
  <c r="I9" i="12"/>
  <c r="F9" i="12"/>
  <c r="F12" i="12" s="1"/>
  <c r="F16" i="12" s="1"/>
  <c r="W8" i="12"/>
  <c r="X8" i="12" s="1"/>
  <c r="V12" i="11"/>
  <c r="V11" i="11"/>
  <c r="V15" i="11" s="1"/>
  <c r="U10" i="11"/>
  <c r="T10" i="11"/>
  <c r="L10" i="11"/>
  <c r="L13" i="11" s="1"/>
  <c r="I10" i="11"/>
  <c r="I13" i="11" s="1"/>
  <c r="F10" i="11"/>
  <c r="F13" i="11" s="1"/>
  <c r="L9" i="11"/>
  <c r="I9" i="11"/>
  <c r="I12" i="11" s="1"/>
  <c r="F9" i="11"/>
  <c r="F12" i="11" s="1"/>
  <c r="F16" i="11" s="1"/>
  <c r="W8" i="11"/>
  <c r="X8" i="11" s="1"/>
  <c r="V15" i="10"/>
  <c r="V13" i="10"/>
  <c r="V12" i="10"/>
  <c r="V11" i="10"/>
  <c r="V14" i="10" s="1"/>
  <c r="U10" i="10"/>
  <c r="T10" i="10"/>
  <c r="L10" i="10"/>
  <c r="L13" i="10" s="1"/>
  <c r="I10" i="10"/>
  <c r="I13" i="10" s="1"/>
  <c r="F10" i="10"/>
  <c r="F13" i="10" s="1"/>
  <c r="L9" i="10"/>
  <c r="I9" i="10"/>
  <c r="F9" i="10"/>
  <c r="F12" i="10" s="1"/>
  <c r="W8" i="10"/>
  <c r="V12" i="9"/>
  <c r="V11" i="9"/>
  <c r="V15" i="9" s="1"/>
  <c r="U10" i="9"/>
  <c r="T10" i="9"/>
  <c r="L10" i="9"/>
  <c r="L13" i="9" s="1"/>
  <c r="I10" i="9"/>
  <c r="F10" i="9"/>
  <c r="F13" i="9" s="1"/>
  <c r="L9" i="9"/>
  <c r="I9" i="9"/>
  <c r="F9" i="9"/>
  <c r="W8" i="9"/>
  <c r="X8" i="9" s="1"/>
  <c r="V14" i="8"/>
  <c r="V12" i="8"/>
  <c r="V11" i="8"/>
  <c r="V15" i="8" s="1"/>
  <c r="U10" i="8"/>
  <c r="T10" i="8"/>
  <c r="L10" i="8"/>
  <c r="L13" i="8" s="1"/>
  <c r="I10" i="8"/>
  <c r="I13" i="8" s="1"/>
  <c r="F10" i="8"/>
  <c r="F13" i="8" s="1"/>
  <c r="L9" i="8"/>
  <c r="I9" i="8"/>
  <c r="F9" i="8"/>
  <c r="F12" i="8" s="1"/>
  <c r="W8" i="8"/>
  <c r="X8" i="8" s="1"/>
  <c r="V12" i="7"/>
  <c r="F12" i="7"/>
  <c r="V11" i="7"/>
  <c r="V14" i="7" s="1"/>
  <c r="U10" i="7"/>
  <c r="T10" i="7"/>
  <c r="L10" i="7"/>
  <c r="L13" i="7" s="1"/>
  <c r="I10" i="7"/>
  <c r="I13" i="7" s="1"/>
  <c r="F10" i="7"/>
  <c r="F13" i="7" s="1"/>
  <c r="L9" i="7"/>
  <c r="L12" i="7" s="1"/>
  <c r="L14" i="7" s="1"/>
  <c r="I9" i="7"/>
  <c r="I12" i="7" s="1"/>
  <c r="F9" i="7"/>
  <c r="W8" i="7"/>
  <c r="V12" i="6"/>
  <c r="V11" i="6"/>
  <c r="V15" i="6" s="1"/>
  <c r="U10" i="6"/>
  <c r="T10" i="6"/>
  <c r="L10" i="6"/>
  <c r="L13" i="6" s="1"/>
  <c r="I10" i="6"/>
  <c r="I13" i="6" s="1"/>
  <c r="F10" i="6"/>
  <c r="F13" i="6" s="1"/>
  <c r="L9" i="6"/>
  <c r="I9" i="6"/>
  <c r="F9" i="6"/>
  <c r="F12" i="6" s="1"/>
  <c r="W8" i="6"/>
  <c r="X8" i="6" s="1"/>
  <c r="V15" i="5"/>
  <c r="V13" i="5"/>
  <c r="V12" i="5"/>
  <c r="V11" i="5"/>
  <c r="V14" i="5" s="1"/>
  <c r="U10" i="5"/>
  <c r="T10" i="5"/>
  <c r="L10" i="5"/>
  <c r="L13" i="5" s="1"/>
  <c r="I10" i="5"/>
  <c r="I13" i="5" s="1"/>
  <c r="F10" i="5"/>
  <c r="F13" i="5" s="1"/>
  <c r="L9" i="5"/>
  <c r="I9" i="5"/>
  <c r="F9" i="5"/>
  <c r="W8" i="5"/>
  <c r="V12" i="4"/>
  <c r="V11" i="4"/>
  <c r="V15" i="4" s="1"/>
  <c r="U10" i="4"/>
  <c r="T10" i="4"/>
  <c r="L10" i="4"/>
  <c r="L13" i="4" s="1"/>
  <c r="I10" i="4"/>
  <c r="I13" i="4" s="1"/>
  <c r="F10" i="4"/>
  <c r="F13" i="4" s="1"/>
  <c r="L9" i="4"/>
  <c r="L12" i="4" s="1"/>
  <c r="I9" i="4"/>
  <c r="F9" i="4"/>
  <c r="W8" i="4"/>
  <c r="X8" i="4" s="1"/>
  <c r="I12" i="24" l="1"/>
  <c r="I12" i="25"/>
  <c r="W9" i="25"/>
  <c r="W12" i="25" s="1"/>
  <c r="F16" i="24"/>
  <c r="F14" i="24"/>
  <c r="I16" i="25"/>
  <c r="I14" i="25"/>
  <c r="I16" i="24"/>
  <c r="I14" i="24"/>
  <c r="F16" i="25"/>
  <c r="Y8" i="25"/>
  <c r="X9" i="25"/>
  <c r="X12" i="25" s="1"/>
  <c r="X8" i="24"/>
  <c r="V14" i="25"/>
  <c r="W9" i="24"/>
  <c r="W12" i="24" s="1"/>
  <c r="V13" i="25"/>
  <c r="F14" i="25"/>
  <c r="F15" i="25" s="1"/>
  <c r="F12" i="23"/>
  <c r="F16" i="23" s="1"/>
  <c r="I12" i="22"/>
  <c r="I14" i="22" s="1"/>
  <c r="L12" i="22"/>
  <c r="F12" i="22"/>
  <c r="W9" i="23"/>
  <c r="W12" i="23" s="1"/>
  <c r="F14" i="22"/>
  <c r="F16" i="22"/>
  <c r="I16" i="23"/>
  <c r="I14" i="23"/>
  <c r="I16" i="22"/>
  <c r="L14" i="22"/>
  <c r="X9" i="23"/>
  <c r="X12" i="23" s="1"/>
  <c r="Y8" i="23"/>
  <c r="X8" i="22"/>
  <c r="V14" i="23"/>
  <c r="W9" i="22"/>
  <c r="W12" i="22" s="1"/>
  <c r="V13" i="23"/>
  <c r="F14" i="23"/>
  <c r="F12" i="20"/>
  <c r="L12" i="21"/>
  <c r="L14" i="21" s="1"/>
  <c r="W9" i="21"/>
  <c r="W12" i="21" s="1"/>
  <c r="F16" i="20"/>
  <c r="F14" i="20"/>
  <c r="I16" i="21"/>
  <c r="I14" i="21"/>
  <c r="I16" i="20"/>
  <c r="I14" i="20"/>
  <c r="F16" i="21"/>
  <c r="Y8" i="21"/>
  <c r="X9" i="21"/>
  <c r="X12" i="21" s="1"/>
  <c r="X8" i="20"/>
  <c r="V14" i="21"/>
  <c r="W9" i="20"/>
  <c r="W12" i="20" s="1"/>
  <c r="V13" i="21"/>
  <c r="F14" i="21"/>
  <c r="F12" i="18"/>
  <c r="L12" i="19"/>
  <c r="L14" i="19" s="1"/>
  <c r="I12" i="18"/>
  <c r="I14" i="18" s="1"/>
  <c r="F12" i="19"/>
  <c r="F14" i="19" s="1"/>
  <c r="L14" i="18"/>
  <c r="X9" i="19"/>
  <c r="X12" i="19" s="1"/>
  <c r="Y8" i="19"/>
  <c r="F16" i="18"/>
  <c r="F14" i="18"/>
  <c r="X11" i="18"/>
  <c r="V13" i="18"/>
  <c r="V15" i="18"/>
  <c r="W9" i="19"/>
  <c r="Y8" i="18"/>
  <c r="W9" i="18"/>
  <c r="W12" i="18" s="1"/>
  <c r="V13" i="19"/>
  <c r="I14" i="19"/>
  <c r="F12" i="17"/>
  <c r="I12" i="16"/>
  <c r="L12" i="16"/>
  <c r="W9" i="17"/>
  <c r="W12" i="17" s="1"/>
  <c r="F16" i="16"/>
  <c r="F14" i="16"/>
  <c r="F16" i="17"/>
  <c r="I14" i="16"/>
  <c r="I16" i="16"/>
  <c r="L14" i="16"/>
  <c r="Y8" i="17"/>
  <c r="X9" i="17"/>
  <c r="X12" i="17" s="1"/>
  <c r="I12" i="17"/>
  <c r="V14" i="17"/>
  <c r="X8" i="16"/>
  <c r="W9" i="16"/>
  <c r="W12" i="16" s="1"/>
  <c r="V13" i="17"/>
  <c r="F14" i="17"/>
  <c r="L12" i="14"/>
  <c r="L14" i="14" s="1"/>
  <c r="W9" i="15"/>
  <c r="W12" i="15" s="1"/>
  <c r="X9" i="15"/>
  <c r="X12" i="15" s="1"/>
  <c r="Y8" i="15"/>
  <c r="F16" i="15"/>
  <c r="I16" i="15"/>
  <c r="I14" i="15"/>
  <c r="L14" i="15"/>
  <c r="V14" i="15"/>
  <c r="V13" i="15"/>
  <c r="F14" i="15"/>
  <c r="W9" i="14"/>
  <c r="W11" i="14" s="1"/>
  <c r="W14" i="14" s="1"/>
  <c r="F16" i="14"/>
  <c r="X9" i="14"/>
  <c r="X12" i="14" s="1"/>
  <c r="Y8" i="14"/>
  <c r="V14" i="14"/>
  <c r="I13" i="14"/>
  <c r="I16" i="14" s="1"/>
  <c r="V13" i="14"/>
  <c r="F14" i="14"/>
  <c r="F12" i="13"/>
  <c r="W9" i="13"/>
  <c r="W11" i="13" s="1"/>
  <c r="W14" i="13" s="1"/>
  <c r="F16" i="13"/>
  <c r="Y8" i="13"/>
  <c r="X9" i="13"/>
  <c r="X12" i="13" s="1"/>
  <c r="I12" i="13"/>
  <c r="V14" i="13"/>
  <c r="V13" i="13"/>
  <c r="F14" i="13"/>
  <c r="W9" i="12"/>
  <c r="W12" i="12" s="1"/>
  <c r="X9" i="12"/>
  <c r="X12" i="12" s="1"/>
  <c r="Y8" i="12"/>
  <c r="I13" i="12"/>
  <c r="I16" i="12" s="1"/>
  <c r="V14" i="12"/>
  <c r="V13" i="12"/>
  <c r="F14" i="12"/>
  <c r="L12" i="10"/>
  <c r="L14" i="10" s="1"/>
  <c r="L12" i="11"/>
  <c r="L14" i="11" s="1"/>
  <c r="I12" i="10"/>
  <c r="W9" i="11"/>
  <c r="W12" i="11" s="1"/>
  <c r="X9" i="11"/>
  <c r="X12" i="11" s="1"/>
  <c r="Y8" i="11"/>
  <c r="F16" i="10"/>
  <c r="F14" i="10"/>
  <c r="I16" i="11"/>
  <c r="I14" i="11"/>
  <c r="I16" i="10"/>
  <c r="I14" i="10"/>
  <c r="X8" i="10"/>
  <c r="V14" i="11"/>
  <c r="W9" i="10"/>
  <c r="W12" i="10" s="1"/>
  <c r="V13" i="11"/>
  <c r="F14" i="11"/>
  <c r="F15" i="11" s="1"/>
  <c r="I12" i="9"/>
  <c r="L12" i="9"/>
  <c r="L14" i="9" s="1"/>
  <c r="W9" i="9"/>
  <c r="W11" i="9" s="1"/>
  <c r="Y8" i="9"/>
  <c r="F12" i="9"/>
  <c r="I13" i="9"/>
  <c r="X9" i="9"/>
  <c r="X12" i="9" s="1"/>
  <c r="V14" i="9"/>
  <c r="V13" i="9"/>
  <c r="I12" i="8"/>
  <c r="I16" i="8" s="1"/>
  <c r="L12" i="8"/>
  <c r="L14" i="8" s="1"/>
  <c r="X9" i="8"/>
  <c r="X12" i="8" s="1"/>
  <c r="Y8" i="8"/>
  <c r="F16" i="8"/>
  <c r="F14" i="8"/>
  <c r="I16" i="7"/>
  <c r="I14" i="7"/>
  <c r="F16" i="7"/>
  <c r="V13" i="7"/>
  <c r="F14" i="7"/>
  <c r="V15" i="7"/>
  <c r="W9" i="8"/>
  <c r="W12" i="8" s="1"/>
  <c r="X8" i="7"/>
  <c r="W9" i="7"/>
  <c r="W12" i="7" s="1"/>
  <c r="V13" i="8"/>
  <c r="I14" i="8"/>
  <c r="I12" i="4"/>
  <c r="F12" i="4"/>
  <c r="F14" i="4" s="1"/>
  <c r="I12" i="6"/>
  <c r="I16" i="6" s="1"/>
  <c r="L12" i="6"/>
  <c r="L14" i="6" s="1"/>
  <c r="F12" i="5"/>
  <c r="I12" i="5"/>
  <c r="I16" i="5" s="1"/>
  <c r="L12" i="5"/>
  <c r="L14" i="5" s="1"/>
  <c r="L14" i="4"/>
  <c r="W9" i="4"/>
  <c r="W12" i="4" s="1"/>
  <c r="W9" i="6"/>
  <c r="W12" i="6" s="1"/>
  <c r="I16" i="4"/>
  <c r="I14" i="4"/>
  <c r="F14" i="5"/>
  <c r="F16" i="5"/>
  <c r="I14" i="6"/>
  <c r="X9" i="4"/>
  <c r="X12" i="4" s="1"/>
  <c r="Y8" i="4"/>
  <c r="F16" i="6"/>
  <c r="Y8" i="6"/>
  <c r="X9" i="6"/>
  <c r="X12" i="6" s="1"/>
  <c r="V14" i="4"/>
  <c r="X8" i="5"/>
  <c r="V14" i="6"/>
  <c r="V13" i="4"/>
  <c r="F16" i="4"/>
  <c r="W9" i="5"/>
  <c r="W12" i="5" s="1"/>
  <c r="V13" i="6"/>
  <c r="F14" i="6"/>
  <c r="F15" i="24" l="1"/>
  <c r="W11" i="25"/>
  <c r="W13" i="25" s="1"/>
  <c r="X9" i="24"/>
  <c r="X12" i="24" s="1"/>
  <c r="Y8" i="24"/>
  <c r="X11" i="25"/>
  <c r="W15" i="25"/>
  <c r="Y9" i="25"/>
  <c r="Y12" i="25" s="1"/>
  <c r="W11" i="24"/>
  <c r="F15" i="23"/>
  <c r="W11" i="23"/>
  <c r="W15" i="23" s="1"/>
  <c r="Y9" i="23"/>
  <c r="Y12" i="23" s="1"/>
  <c r="X11" i="23"/>
  <c r="F15" i="22"/>
  <c r="X9" i="22"/>
  <c r="X12" i="22" s="1"/>
  <c r="Y8" i="22"/>
  <c r="W11" i="22"/>
  <c r="W11" i="21"/>
  <c r="W13" i="21" s="1"/>
  <c r="X11" i="21"/>
  <c r="X14" i="21" s="1"/>
  <c r="W11" i="20"/>
  <c r="W15" i="20" s="1"/>
  <c r="X9" i="20"/>
  <c r="X12" i="20" s="1"/>
  <c r="Y8" i="20"/>
  <c r="F15" i="20"/>
  <c r="F15" i="21"/>
  <c r="Y9" i="21"/>
  <c r="Y12" i="21" s="1"/>
  <c r="I16" i="18"/>
  <c r="F16" i="19"/>
  <c r="F15" i="18"/>
  <c r="X11" i="19"/>
  <c r="X13" i="19" s="1"/>
  <c r="Y9" i="18"/>
  <c r="Y12" i="18" s="1"/>
  <c r="X15" i="18"/>
  <c r="X13" i="18"/>
  <c r="X14" i="18"/>
  <c r="W11" i="19"/>
  <c r="W12" i="19"/>
  <c r="W11" i="18"/>
  <c r="Y9" i="19"/>
  <c r="Y12" i="19" s="1"/>
  <c r="F15" i="19"/>
  <c r="W11" i="17"/>
  <c r="W13" i="17" s="1"/>
  <c r="I16" i="17"/>
  <c r="I14" i="17"/>
  <c r="F15" i="17" s="1"/>
  <c r="Y9" i="17"/>
  <c r="Y12" i="17" s="1"/>
  <c r="F15" i="16"/>
  <c r="X9" i="16"/>
  <c r="X12" i="16" s="1"/>
  <c r="Y8" i="16"/>
  <c r="X11" i="17"/>
  <c r="W11" i="16"/>
  <c r="W11" i="15"/>
  <c r="W15" i="15" s="1"/>
  <c r="F15" i="15"/>
  <c r="Y9" i="15"/>
  <c r="Y12" i="15" s="1"/>
  <c r="W12" i="14"/>
  <c r="W15" i="14" s="1"/>
  <c r="X11" i="15"/>
  <c r="Y9" i="14"/>
  <c r="Y12" i="14" s="1"/>
  <c r="I14" i="14"/>
  <c r="F15" i="14"/>
  <c r="X11" i="14"/>
  <c r="W12" i="13"/>
  <c r="W15" i="13" s="1"/>
  <c r="Y9" i="13"/>
  <c r="Y12" i="13" s="1"/>
  <c r="X11" i="13"/>
  <c r="I16" i="13"/>
  <c r="I14" i="13"/>
  <c r="F15" i="13" s="1"/>
  <c r="W11" i="12"/>
  <c r="W13" i="12" s="1"/>
  <c r="X11" i="12"/>
  <c r="I14" i="12"/>
  <c r="F15" i="12" s="1"/>
  <c r="Y9" i="12"/>
  <c r="Y12" i="12" s="1"/>
  <c r="W11" i="10"/>
  <c r="W13" i="10" s="1"/>
  <c r="W11" i="11"/>
  <c r="W15" i="11" s="1"/>
  <c r="Y9" i="11"/>
  <c r="Y12" i="11" s="1"/>
  <c r="X9" i="10"/>
  <c r="X12" i="10" s="1"/>
  <c r="Y8" i="10"/>
  <c r="F15" i="10"/>
  <c r="X11" i="11"/>
  <c r="I14" i="9"/>
  <c r="W12" i="9"/>
  <c r="W15" i="9" s="1"/>
  <c r="Y9" i="9"/>
  <c r="Y12" i="9" s="1"/>
  <c r="W14" i="9"/>
  <c r="I16" i="9"/>
  <c r="F16" i="9"/>
  <c r="F14" i="9"/>
  <c r="F15" i="9" s="1"/>
  <c r="X11" i="9"/>
  <c r="F15" i="7"/>
  <c r="W11" i="7"/>
  <c r="W13" i="7" s="1"/>
  <c r="X9" i="7"/>
  <c r="X12" i="7" s="1"/>
  <c r="Y8" i="7"/>
  <c r="X11" i="8"/>
  <c r="F15" i="8"/>
  <c r="W11" i="8"/>
  <c r="Y9" i="8"/>
  <c r="Y12" i="8" s="1"/>
  <c r="F15" i="4"/>
  <c r="I14" i="5"/>
  <c r="W11" i="4"/>
  <c r="W15" i="4" s="1"/>
  <c r="F15" i="5"/>
  <c r="X11" i="6"/>
  <c r="X14" i="6" s="1"/>
  <c r="W11" i="6"/>
  <c r="W15" i="6" s="1"/>
  <c r="W11" i="5"/>
  <c r="W14" i="5" s="1"/>
  <c r="X9" i="5"/>
  <c r="X12" i="5" s="1"/>
  <c r="Y8" i="5"/>
  <c r="Y9" i="6"/>
  <c r="Y12" i="6" s="1"/>
  <c r="F15" i="6"/>
  <c r="Y9" i="4"/>
  <c r="Y12" i="4" s="1"/>
  <c r="X11" i="4"/>
  <c r="W14" i="25" l="1"/>
  <c r="X11" i="24"/>
  <c r="X15" i="24" s="1"/>
  <c r="W13" i="23"/>
  <c r="Y11" i="25"/>
  <c r="X14" i="25"/>
  <c r="X15" i="25"/>
  <c r="X13" i="25"/>
  <c r="W14" i="24"/>
  <c r="W15" i="24"/>
  <c r="W13" i="24"/>
  <c r="Y9" i="24"/>
  <c r="Y12" i="24" s="1"/>
  <c r="W14" i="23"/>
  <c r="W15" i="21"/>
  <c r="X15" i="21"/>
  <c r="W14" i="22"/>
  <c r="W15" i="22"/>
  <c r="W13" i="22"/>
  <c r="X11" i="22"/>
  <c r="X14" i="23"/>
  <c r="X15" i="23"/>
  <c r="X13" i="23"/>
  <c r="Y9" i="22"/>
  <c r="Y12" i="22" s="1"/>
  <c r="Y11" i="23"/>
  <c r="W14" i="21"/>
  <c r="X13" i="21"/>
  <c r="W13" i="20"/>
  <c r="W14" i="20"/>
  <c r="Y11" i="21"/>
  <c r="X11" i="20"/>
  <c r="Y9" i="20"/>
  <c r="Y12" i="20" s="1"/>
  <c r="W15" i="17"/>
  <c r="X15" i="19"/>
  <c r="X14" i="19"/>
  <c r="Y11" i="19"/>
  <c r="Y13" i="19" s="1"/>
  <c r="W15" i="18"/>
  <c r="W13" i="18"/>
  <c r="W14" i="18"/>
  <c r="W15" i="19"/>
  <c r="W13" i="19"/>
  <c r="W14" i="19"/>
  <c r="Y11" i="18"/>
  <c r="W14" i="17"/>
  <c r="X11" i="16"/>
  <c r="X15" i="16" s="1"/>
  <c r="Y9" i="16"/>
  <c r="Y12" i="16" s="1"/>
  <c r="Y11" i="17"/>
  <c r="W13" i="16"/>
  <c r="W14" i="16"/>
  <c r="W15" i="16"/>
  <c r="X14" i="17"/>
  <c r="X13" i="17"/>
  <c r="X15" i="17"/>
  <c r="W13" i="15"/>
  <c r="W14" i="15"/>
  <c r="Y11" i="15"/>
  <c r="Y14" i="15" s="1"/>
  <c r="W13" i="14"/>
  <c r="X14" i="15"/>
  <c r="X13" i="15"/>
  <c r="X15" i="15"/>
  <c r="X14" i="14"/>
  <c r="X15" i="14"/>
  <c r="X13" i="14"/>
  <c r="Y11" i="14"/>
  <c r="W13" i="13"/>
  <c r="Y11" i="13"/>
  <c r="X14" i="13"/>
  <c r="X13" i="13"/>
  <c r="X15" i="13"/>
  <c r="W14" i="12"/>
  <c r="W15" i="12"/>
  <c r="W15" i="10"/>
  <c r="X14" i="12"/>
  <c r="X15" i="12"/>
  <c r="X13" i="12"/>
  <c r="Y11" i="12"/>
  <c r="W14" i="10"/>
  <c r="W13" i="11"/>
  <c r="W14" i="11"/>
  <c r="Y11" i="11"/>
  <c r="Y15" i="11" s="1"/>
  <c r="X11" i="10"/>
  <c r="Y9" i="10"/>
  <c r="Y12" i="10" s="1"/>
  <c r="X14" i="11"/>
  <c r="X15" i="11"/>
  <c r="X13" i="11"/>
  <c r="W15" i="7"/>
  <c r="W13" i="9"/>
  <c r="Y11" i="9"/>
  <c r="Y15" i="9" s="1"/>
  <c r="X14" i="9"/>
  <c r="X15" i="9"/>
  <c r="X13" i="9"/>
  <c r="W14" i="7"/>
  <c r="Y11" i="8"/>
  <c r="Y15" i="8" s="1"/>
  <c r="W15" i="8"/>
  <c r="W13" i="8"/>
  <c r="W14" i="8"/>
  <c r="X14" i="8"/>
  <c r="X15" i="8"/>
  <c r="X13" i="8"/>
  <c r="Y9" i="7"/>
  <c r="Y12" i="7" s="1"/>
  <c r="X11" i="7"/>
  <c r="W14" i="4"/>
  <c r="W13" i="4"/>
  <c r="W13" i="5"/>
  <c r="X15" i="6"/>
  <c r="W15" i="5"/>
  <c r="W13" i="6"/>
  <c r="W14" i="6"/>
  <c r="X13" i="6"/>
  <c r="X11" i="5"/>
  <c r="X13" i="5" s="1"/>
  <c r="Y11" i="6"/>
  <c r="Y11" i="4"/>
  <c r="Y9" i="5"/>
  <c r="Y12" i="5" s="1"/>
  <c r="X14" i="4"/>
  <c r="X15" i="4"/>
  <c r="X13" i="4"/>
  <c r="X13" i="24" l="1"/>
  <c r="X14" i="24"/>
  <c r="Y11" i="24"/>
  <c r="Y15" i="25"/>
  <c r="Y13" i="25"/>
  <c r="Y14" i="25"/>
  <c r="Y14" i="23"/>
  <c r="Y15" i="23"/>
  <c r="Y13" i="23"/>
  <c r="X15" i="22"/>
  <c r="X13" i="22"/>
  <c r="X14" i="22"/>
  <c r="Y11" i="22"/>
  <c r="Y11" i="20"/>
  <c r="Y13" i="20" s="1"/>
  <c r="X15" i="20"/>
  <c r="X13" i="20"/>
  <c r="X14" i="20"/>
  <c r="Y14" i="21"/>
  <c r="Y15" i="21"/>
  <c r="Y13" i="21"/>
  <c r="Y14" i="19"/>
  <c r="Y15" i="19"/>
  <c r="Y15" i="18"/>
  <c r="Y13" i="18"/>
  <c r="Y14" i="18"/>
  <c r="X13" i="16"/>
  <c r="X14" i="16"/>
  <c r="Y11" i="16"/>
  <c r="Y13" i="16" s="1"/>
  <c r="Y14" i="17"/>
  <c r="Y15" i="17"/>
  <c r="Y13" i="17"/>
  <c r="Y13" i="15"/>
  <c r="Y15" i="15"/>
  <c r="Y13" i="14"/>
  <c r="Y15" i="14"/>
  <c r="Y14" i="14"/>
  <c r="Y14" i="13"/>
  <c r="Y15" i="13"/>
  <c r="Y13" i="13"/>
  <c r="Y14" i="12"/>
  <c r="Y15" i="12"/>
  <c r="Y13" i="12"/>
  <c r="Y13" i="11"/>
  <c r="Y14" i="11"/>
  <c r="Y11" i="10"/>
  <c r="Y13" i="10" s="1"/>
  <c r="X15" i="10"/>
  <c r="X13" i="10"/>
  <c r="X14" i="10"/>
  <c r="Y14" i="9"/>
  <c r="Y13" i="9"/>
  <c r="Y14" i="8"/>
  <c r="Y13" i="8"/>
  <c r="X15" i="7"/>
  <c r="X13" i="7"/>
  <c r="X14" i="7"/>
  <c r="Y11" i="7"/>
  <c r="X15" i="5"/>
  <c r="X14" i="5"/>
  <c r="Y11" i="5"/>
  <c r="Y13" i="5" s="1"/>
  <c r="Y14" i="4"/>
  <c r="Y15" i="4"/>
  <c r="Y13" i="4"/>
  <c r="Y15" i="6"/>
  <c r="Y13" i="6"/>
  <c r="Y14" i="6"/>
  <c r="Y15" i="24" l="1"/>
  <c r="Y13" i="24"/>
  <c r="Y14" i="24"/>
  <c r="Y15" i="22"/>
  <c r="Y13" i="22"/>
  <c r="Y14" i="22"/>
  <c r="Y15" i="20"/>
  <c r="Y14" i="20"/>
  <c r="Y14" i="16"/>
  <c r="Y15" i="16"/>
  <c r="Y15" i="10"/>
  <c r="Y14" i="10"/>
  <c r="Y15" i="7"/>
  <c r="Y13" i="7"/>
  <c r="Y14" i="7"/>
  <c r="Y15" i="5"/>
  <c r="Y14" i="5"/>
  <c r="V12" i="3" l="1"/>
  <c r="V11" i="3"/>
  <c r="V15" i="3" s="1"/>
  <c r="U10" i="3"/>
  <c r="T10" i="3"/>
  <c r="L10" i="3"/>
  <c r="L13" i="3" s="1"/>
  <c r="I10" i="3"/>
  <c r="I13" i="3" s="1"/>
  <c r="F10" i="3"/>
  <c r="F13" i="3" s="1"/>
  <c r="L9" i="3"/>
  <c r="L12" i="3" s="1"/>
  <c r="I9" i="3"/>
  <c r="F9" i="3"/>
  <c r="F12" i="3" s="1"/>
  <c r="W8" i="3"/>
  <c r="X8" i="3" s="1"/>
  <c r="V12" i="2"/>
  <c r="V11" i="2"/>
  <c r="V15" i="2" s="1"/>
  <c r="U10" i="2"/>
  <c r="T10" i="2"/>
  <c r="L10" i="2"/>
  <c r="L13" i="2" s="1"/>
  <c r="I10" i="2"/>
  <c r="I13" i="2" s="1"/>
  <c r="F10" i="2"/>
  <c r="F13" i="2" s="1"/>
  <c r="L9" i="2"/>
  <c r="I9" i="2"/>
  <c r="I12" i="2" s="1"/>
  <c r="F9" i="2"/>
  <c r="F12" i="2" s="1"/>
  <c r="W8" i="2"/>
  <c r="X8" i="2" s="1"/>
  <c r="V14" i="1"/>
  <c r="V12" i="1"/>
  <c r="I12" i="1"/>
  <c r="V11" i="1"/>
  <c r="V15" i="1" s="1"/>
  <c r="U10" i="1"/>
  <c r="T10" i="1"/>
  <c r="L10" i="1"/>
  <c r="L13" i="1" s="1"/>
  <c r="I10" i="1"/>
  <c r="I13" i="1" s="1"/>
  <c r="F10" i="1"/>
  <c r="F13" i="1" s="1"/>
  <c r="L9" i="1"/>
  <c r="L12" i="1" s="1"/>
  <c r="I9" i="1"/>
  <c r="F9" i="1"/>
  <c r="F12" i="1" s="1"/>
  <c r="W8" i="1"/>
  <c r="X8" i="1" s="1"/>
  <c r="L12" i="2" l="1"/>
  <c r="L14" i="2" s="1"/>
  <c r="I12" i="3"/>
  <c r="L14" i="3"/>
  <c r="W9" i="3"/>
  <c r="W12" i="3" s="1"/>
  <c r="I16" i="3"/>
  <c r="I14" i="3"/>
  <c r="F16" i="3"/>
  <c r="X9" i="3"/>
  <c r="X12" i="3" s="1"/>
  <c r="Y8" i="3"/>
  <c r="V14" i="3"/>
  <c r="V13" i="3"/>
  <c r="F14" i="3"/>
  <c r="F15" i="3" s="1"/>
  <c r="W9" i="2"/>
  <c r="W12" i="2" s="1"/>
  <c r="I16" i="2"/>
  <c r="I14" i="2"/>
  <c r="F16" i="2"/>
  <c r="Y8" i="2"/>
  <c r="X9" i="2"/>
  <c r="X12" i="2" s="1"/>
  <c r="V14" i="2"/>
  <c r="V13" i="2"/>
  <c r="F14" i="2"/>
  <c r="F16" i="1"/>
  <c r="F14" i="1"/>
  <c r="I16" i="1"/>
  <c r="L14" i="1"/>
  <c r="X9" i="1"/>
  <c r="X12" i="1" s="1"/>
  <c r="Y8" i="1"/>
  <c r="W9" i="1"/>
  <c r="W12" i="1" s="1"/>
  <c r="V13" i="1"/>
  <c r="I14" i="1"/>
  <c r="F15" i="2" l="1"/>
  <c r="W11" i="3"/>
  <c r="W13" i="3" s="1"/>
  <c r="W11" i="2"/>
  <c r="W13" i="2" s="1"/>
  <c r="X11" i="3"/>
  <c r="X13" i="3" s="1"/>
  <c r="Y9" i="3"/>
  <c r="Y12" i="3" s="1"/>
  <c r="Y9" i="2"/>
  <c r="Y12" i="2" s="1"/>
  <c r="X11" i="2"/>
  <c r="Y9" i="1"/>
  <c r="Y12" i="1" s="1"/>
  <c r="F15" i="1"/>
  <c r="W11" i="1"/>
  <c r="X11" i="1"/>
  <c r="W15" i="3" l="1"/>
  <c r="W15" i="2"/>
  <c r="X15" i="3"/>
  <c r="W14" i="3"/>
  <c r="W14" i="2"/>
  <c r="X14" i="3"/>
  <c r="Y11" i="3"/>
  <c r="X14" i="2"/>
  <c r="X15" i="2"/>
  <c r="X13" i="2"/>
  <c r="Y11" i="2"/>
  <c r="W15" i="1"/>
  <c r="W13" i="1"/>
  <c r="W14" i="1"/>
  <c r="X14" i="1"/>
  <c r="X15" i="1"/>
  <c r="X13" i="1"/>
  <c r="Y11" i="1"/>
  <c r="Y15" i="3" l="1"/>
  <c r="Y13" i="3"/>
  <c r="Y14" i="3"/>
  <c r="Y15" i="2"/>
  <c r="Y13" i="2"/>
  <c r="Y14" i="2"/>
  <c r="Y15" i="1"/>
  <c r="Y13" i="1"/>
  <c r="Y14" i="1"/>
</calcChain>
</file>

<file path=xl/sharedStrings.xml><?xml version="1.0" encoding="utf-8"?>
<sst xmlns="http://schemas.openxmlformats.org/spreadsheetml/2006/main" count="1547" uniqueCount="141">
  <si>
    <t>다짐 전 흙의 함수량 시험</t>
    <phoneticPr fontId="3" type="noConversion"/>
  </si>
  <si>
    <t>현   장   명 : 진천메가폴리스 산업단지 조성사업</t>
    <phoneticPr fontId="3" type="noConversion"/>
  </si>
  <si>
    <t>공         종 : 토 공</t>
    <phoneticPr fontId="3" type="noConversion"/>
  </si>
  <si>
    <t xml:space="preserve">시 험 번 호 : </t>
    <phoneticPr fontId="3" type="noConversion"/>
  </si>
  <si>
    <t>샘플링방법 : Random Sampling</t>
    <phoneticPr fontId="3" type="noConversion"/>
  </si>
  <si>
    <t xml:space="preserve">시 험 일 자 :  </t>
    <phoneticPr fontId="3" type="noConversion"/>
  </si>
  <si>
    <t>2026년 05월 28~29일</t>
    <phoneticPr fontId="3" type="noConversion"/>
  </si>
  <si>
    <t>시 험 방 법 : KS F 2306</t>
    <phoneticPr fontId="3" type="noConversion"/>
  </si>
  <si>
    <t xml:space="preserve">위치및부위 : </t>
    <phoneticPr fontId="3" type="noConversion"/>
  </si>
  <si>
    <t>중로(집) 3-12 (No.17 ~ No.20) 노체</t>
    <phoneticPr fontId="3" type="noConversion"/>
  </si>
  <si>
    <t>측 정 번 호</t>
    <phoneticPr fontId="3" type="noConversion"/>
  </si>
  <si>
    <t>3단(7층)</t>
    <phoneticPr fontId="3" type="noConversion"/>
  </si>
  <si>
    <t>3단(8층)</t>
    <phoneticPr fontId="3" type="noConversion"/>
  </si>
  <si>
    <t>3단(9층)</t>
    <phoneticPr fontId="3" type="noConversion"/>
  </si>
  <si>
    <t>최대건조밀도</t>
    <phoneticPr fontId="3" type="noConversion"/>
  </si>
  <si>
    <t>최적함수비</t>
    <phoneticPr fontId="3" type="noConversion"/>
  </si>
  <si>
    <t>실측</t>
    <phoneticPr fontId="3" type="noConversion"/>
  </si>
  <si>
    <t>자동1</t>
    <phoneticPr fontId="3" type="noConversion"/>
  </si>
  <si>
    <t>자동2</t>
  </si>
  <si>
    <t>자동3</t>
  </si>
  <si>
    <t>수동</t>
    <phoneticPr fontId="3" type="noConversion"/>
  </si>
  <si>
    <t>⑴ 용 기 번 호</t>
    <phoneticPr fontId="3" type="noConversion"/>
  </si>
  <si>
    <t>A - 1</t>
    <phoneticPr fontId="3" type="noConversion"/>
  </si>
  <si>
    <t>A - 2</t>
    <phoneticPr fontId="3" type="noConversion"/>
  </si>
  <si>
    <t>A - 3</t>
    <phoneticPr fontId="3" type="noConversion"/>
  </si>
  <si>
    <t>⑵ 젖은 흙(g)</t>
    <phoneticPr fontId="3" type="noConversion"/>
  </si>
  <si>
    <t>⑶ 마른 흙(g)</t>
    <phoneticPr fontId="3" type="noConversion"/>
  </si>
  <si>
    <t>⑷ 용기 무게(g)</t>
    <phoneticPr fontId="3" type="noConversion"/>
  </si>
  <si>
    <t>⑸ 물 무 게(g)</t>
    <phoneticPr fontId="3" type="noConversion"/>
  </si>
  <si>
    <t>⑹ 마른 흙 무게(g)</t>
    <phoneticPr fontId="3" type="noConversion"/>
  </si>
  <si>
    <t>⑺ 함 수 비(%)</t>
    <phoneticPr fontId="3" type="noConversion"/>
  </si>
  <si>
    <t>⑻ 함수비 평균(%)</t>
    <phoneticPr fontId="3" type="noConversion"/>
  </si>
  <si>
    <t>⑻ 함 수 율(%)</t>
    <phoneticPr fontId="3" type="noConversion"/>
  </si>
  <si>
    <t xml:space="preserve"> 함수비 범위(%)</t>
    <phoneticPr fontId="3" type="noConversion"/>
  </si>
  <si>
    <t>11.5 ~17.5</t>
    <phoneticPr fontId="3" type="noConversion"/>
  </si>
  <si>
    <t>적 부 판 정</t>
    <phoneticPr fontId="3" type="noConversion"/>
  </si>
  <si>
    <t>적합</t>
    <phoneticPr fontId="3" type="noConversion"/>
  </si>
  <si>
    <t>비 고</t>
    <phoneticPr fontId="3" type="noConversion"/>
  </si>
  <si>
    <t>○ 함수비 측정에 필요한 시료의 최소 무게의 기준</t>
    <phoneticPr fontId="3" type="noConversion"/>
  </si>
  <si>
    <t>시료의 최대 입자 지름(㎜)</t>
    <phoneticPr fontId="3" type="noConversion"/>
  </si>
  <si>
    <t>시료의 최소 무게</t>
    <phoneticPr fontId="3" type="noConversion"/>
  </si>
  <si>
    <t>5000~30000g</t>
    <phoneticPr fontId="3" type="noConversion"/>
  </si>
  <si>
    <t>1000~5000g</t>
    <phoneticPr fontId="3" type="noConversion"/>
  </si>
  <si>
    <t>150~300g</t>
    <phoneticPr fontId="3" type="noConversion"/>
  </si>
  <si>
    <t>30~100g</t>
    <phoneticPr fontId="3" type="noConversion"/>
  </si>
  <si>
    <t>10~30g</t>
    <phoneticPr fontId="3" type="noConversion"/>
  </si>
  <si>
    <t>5~10g</t>
    <phoneticPr fontId="3" type="noConversion"/>
  </si>
  <si>
    <t>함수량 : 온도 110±5℃의 건조로에서 젖은 흙으로부터 제거된 물량을 말한다.</t>
    <phoneticPr fontId="3" type="noConversion"/>
  </si>
  <si>
    <t>함수비 : 흙의 함수량과 마른 흙의 무게비와의 비를 말하고 백분율로 표시한다.</t>
    <phoneticPr fontId="3" type="noConversion"/>
  </si>
  <si>
    <t xml:space="preserve"> 함수비 범위 : 최적함수비 14.4 ± 90%(성적서 번호 IS-2026-061962-00)</t>
    <phoneticPr fontId="3" type="noConversion"/>
  </si>
  <si>
    <r>
      <t xml:space="preserve">
</t>
    </r>
    <r>
      <rPr>
        <sz val="8.5"/>
        <rFont val="굴림"/>
        <family val="3"/>
        <charset val="129"/>
      </rPr>
      <t xml:space="preserve"> - KCS 11 20 20 쌓기
   3.2.18 다짐시공
    (1) 시공함수비
    ① 기준밀도로 관리하는 흙의 다짐에는 다짐시험에서 구한 함수비 관리범위 내에서 실히한다</t>
    </r>
    <phoneticPr fontId="3" type="noConversion"/>
  </si>
  <si>
    <t>성   명 :</t>
    <phoneticPr fontId="3" type="noConversion"/>
  </si>
  <si>
    <t xml:space="preserve">  문 정 수</t>
    <phoneticPr fontId="3" type="noConversion"/>
  </si>
  <si>
    <t xml:space="preserve">  백 귀 석</t>
    <phoneticPr fontId="3" type="noConversion"/>
  </si>
  <si>
    <t>성   명 :  금 동 훈</t>
    <phoneticPr fontId="3" type="noConversion"/>
  </si>
  <si>
    <t>시험자</t>
    <phoneticPr fontId="3" type="noConversion"/>
  </si>
  <si>
    <t>확인자</t>
    <phoneticPr fontId="3" type="noConversion"/>
  </si>
  <si>
    <t>건설사업관리기술인</t>
    <phoneticPr fontId="3" type="noConversion"/>
  </si>
  <si>
    <t>4단(10층)</t>
    <phoneticPr fontId="3" type="noConversion"/>
  </si>
  <si>
    <t>4단(11층)</t>
    <phoneticPr fontId="3" type="noConversion"/>
  </si>
  <si>
    <t>4단(12층)</t>
    <phoneticPr fontId="3" type="noConversion"/>
  </si>
  <si>
    <t>B - 1</t>
    <phoneticPr fontId="3" type="noConversion"/>
  </si>
  <si>
    <t>B - 2</t>
    <phoneticPr fontId="3" type="noConversion"/>
  </si>
  <si>
    <t>B - 3</t>
    <phoneticPr fontId="3" type="noConversion"/>
  </si>
  <si>
    <t>중로(집) 3-16 (No.36 ~ No.41) 노체</t>
    <phoneticPr fontId="3" type="noConversion"/>
  </si>
  <si>
    <t>13단(37층)</t>
    <phoneticPr fontId="3" type="noConversion"/>
  </si>
  <si>
    <t>13단(38층)</t>
    <phoneticPr fontId="3" type="noConversion"/>
  </si>
  <si>
    <t>13단(39층)</t>
    <phoneticPr fontId="3" type="noConversion"/>
  </si>
  <si>
    <t>C - 1</t>
    <phoneticPr fontId="3" type="noConversion"/>
  </si>
  <si>
    <t>C - 2</t>
    <phoneticPr fontId="3" type="noConversion"/>
  </si>
  <si>
    <t>C - 3</t>
    <phoneticPr fontId="3" type="noConversion"/>
  </si>
  <si>
    <t>2026년 05월 29일 ~ 06월 01일</t>
    <phoneticPr fontId="3" type="noConversion"/>
  </si>
  <si>
    <t>5단(13층)</t>
    <phoneticPr fontId="3" type="noConversion"/>
  </si>
  <si>
    <t>5단(14층)</t>
    <phoneticPr fontId="3" type="noConversion"/>
  </si>
  <si>
    <t>5단(15층)</t>
    <phoneticPr fontId="3" type="noConversion"/>
  </si>
  <si>
    <t>6단(16층)</t>
    <phoneticPr fontId="3" type="noConversion"/>
  </si>
  <si>
    <t>6단(17층)</t>
    <phoneticPr fontId="3" type="noConversion"/>
  </si>
  <si>
    <t>6단(18층)</t>
    <phoneticPr fontId="3" type="noConversion"/>
  </si>
  <si>
    <t>14단(40층)</t>
    <phoneticPr fontId="3" type="noConversion"/>
  </si>
  <si>
    <t>14단(41층)</t>
    <phoneticPr fontId="3" type="noConversion"/>
  </si>
  <si>
    <t>14단(42층)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</si>
  <si>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</si>
  <si>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2026년 06월 01일 ~ 06월 02일</t>
  </si>
  <si>
    <t>2026년 06월 01일 ~ 06월 02일</t>
    <phoneticPr fontId="3" type="noConversion"/>
  </si>
  <si>
    <t>중로(집) 3-12 (No.17 ~ No.20) 노체</t>
  </si>
  <si>
    <t>7단(19층)</t>
    <phoneticPr fontId="3" type="noConversion"/>
  </si>
  <si>
    <t>7단(20층)</t>
    <phoneticPr fontId="3" type="noConversion"/>
  </si>
  <si>
    <t>7단(21층)</t>
    <phoneticPr fontId="3" type="noConversion"/>
  </si>
  <si>
    <t>8단(22층)</t>
    <phoneticPr fontId="3" type="noConversion"/>
  </si>
  <si>
    <t>8단(23층)</t>
    <phoneticPr fontId="3" type="noConversion"/>
  </si>
  <si>
    <t>8단(24층)</t>
    <phoneticPr fontId="3" type="noConversion"/>
  </si>
  <si>
    <t>2026년 06월 02일 ~ 06월 04일</t>
    <phoneticPr fontId="3" type="noConversion"/>
  </si>
  <si>
    <t>15단(43층)</t>
    <phoneticPr fontId="3" type="noConversion"/>
  </si>
  <si>
    <t>15단(44층)</t>
    <phoneticPr fontId="3" type="noConversion"/>
  </si>
  <si>
    <t>15단(45층)</t>
    <phoneticPr fontId="3" type="noConversion"/>
  </si>
  <si>
    <t>9단(25층)</t>
    <phoneticPr fontId="3" type="noConversion"/>
  </si>
  <si>
    <t>9단(26층)</t>
    <phoneticPr fontId="3" type="noConversion"/>
  </si>
  <si>
    <t>9단(27층)</t>
    <phoneticPr fontId="3" type="noConversion"/>
  </si>
  <si>
    <t>2026년 06월 02일 ~ 06월 04일</t>
  </si>
  <si>
    <t>10단(28층)</t>
    <phoneticPr fontId="3" type="noConversion"/>
  </si>
  <si>
    <t>10단(29층)</t>
    <phoneticPr fontId="3" type="noConversion"/>
  </si>
  <si>
    <t>10단(30층)</t>
    <phoneticPr fontId="3" type="noConversion"/>
  </si>
  <si>
    <t>2026년 06월 04일 ~ 06월 05일</t>
    <phoneticPr fontId="3" type="noConversion"/>
  </si>
  <si>
    <t>11단(31층)</t>
    <phoneticPr fontId="3" type="noConversion"/>
  </si>
  <si>
    <t>11단(32층)</t>
    <phoneticPr fontId="3" type="noConversion"/>
  </si>
  <si>
    <t>11단(33층)</t>
    <phoneticPr fontId="3" type="noConversion"/>
  </si>
  <si>
    <t>2026년 06월 05일 ~ 06월 08일</t>
    <phoneticPr fontId="3" type="noConversion"/>
  </si>
  <si>
    <t>16단(48층)</t>
    <phoneticPr fontId="3" type="noConversion"/>
  </si>
  <si>
    <t>16단(47층)</t>
    <phoneticPr fontId="3" type="noConversion"/>
  </si>
  <si>
    <t>16단(46층)</t>
    <phoneticPr fontId="3" type="noConversion"/>
  </si>
  <si>
    <t>중로(집) 3-16 (No.36 ~ No.50) 노체 - 1</t>
    <phoneticPr fontId="3" type="noConversion"/>
  </si>
  <si>
    <t>중로(집) 3-16 (No.36 ~ No.50) 노체 - 2</t>
    <phoneticPr fontId="3" type="noConversion"/>
  </si>
  <si>
    <t>D - 1</t>
    <phoneticPr fontId="3" type="noConversion"/>
  </si>
  <si>
    <t>D - 2</t>
    <phoneticPr fontId="3" type="noConversion"/>
  </si>
  <si>
    <t>D - 3</t>
    <phoneticPr fontId="3" type="noConversion"/>
  </si>
  <si>
    <t>2026년 06월 10일 ~ 06월 11일</t>
    <phoneticPr fontId="3" type="noConversion"/>
  </si>
  <si>
    <t>17단(49층)</t>
    <phoneticPr fontId="3" type="noConversion"/>
  </si>
  <si>
    <t>17단(50층)</t>
    <phoneticPr fontId="3" type="noConversion"/>
  </si>
  <si>
    <t>17단(51층)</t>
    <phoneticPr fontId="3" type="noConversion"/>
  </si>
  <si>
    <t>중로(집) 3-16 (No.36 ~ No.50) 노체 - 1회</t>
    <phoneticPr fontId="3" type="noConversion"/>
  </si>
  <si>
    <t>중로(집) 3-16 (No.36 ~ No.50) 노체 - 2회</t>
    <phoneticPr fontId="3" type="noConversion"/>
  </si>
  <si>
    <t>다짐 전 흙의 함수비 시험</t>
    <phoneticPr fontId="3" type="noConversion"/>
  </si>
  <si>
    <t>2026년 06월 15일 ~ 06월 16일</t>
    <phoneticPr fontId="3" type="noConversion"/>
  </si>
  <si>
    <t>18단(52층)</t>
    <phoneticPr fontId="3" type="noConversion"/>
  </si>
  <si>
    <t>18단(53층)</t>
    <phoneticPr fontId="3" type="noConversion"/>
  </si>
  <si>
    <t>18단(54층)</t>
    <phoneticPr fontId="3" type="noConversion"/>
  </si>
  <si>
    <t>2026년 06월 19일 ~ 06월 22일</t>
    <phoneticPr fontId="3" type="noConversion"/>
  </si>
  <si>
    <t>19단(55층)</t>
    <phoneticPr fontId="3" type="noConversion"/>
  </si>
  <si>
    <t>19단(56층)</t>
    <phoneticPr fontId="3" type="noConversion"/>
  </si>
  <si>
    <t>19단(57층)</t>
    <phoneticPr fontId="3" type="noConversion"/>
  </si>
  <si>
    <t xml:space="preserve">  윤 정 필</t>
    <phoneticPr fontId="3" type="noConversion"/>
  </si>
  <si>
    <t>2026년 06월 25일 ~ 06월 26일</t>
    <phoneticPr fontId="3" type="noConversion"/>
  </si>
  <si>
    <t>20단(58층)</t>
    <phoneticPr fontId="3" type="noConversion"/>
  </si>
  <si>
    <t>20단(59층)</t>
    <phoneticPr fontId="3" type="noConversion"/>
  </si>
  <si>
    <t>20단(60층)</t>
    <phoneticPr fontId="3" type="noConversion"/>
  </si>
  <si>
    <t>2026년 07월 13일 ~ 07월 14일</t>
    <phoneticPr fontId="3" type="noConversion"/>
  </si>
  <si>
    <t>21단(61층)</t>
    <phoneticPr fontId="3" type="noConversion"/>
  </si>
  <si>
    <t>21단(62층)</t>
    <phoneticPr fontId="3" type="noConversion"/>
  </si>
  <si>
    <t>21단(63층)</t>
    <phoneticPr fontId="3" type="noConversion"/>
  </si>
  <si>
    <t>중로(집) 3-16 (No.36 ~ No.50, 우측) 노체</t>
    <phoneticPr fontId="3" type="noConversion"/>
  </si>
  <si>
    <t>중로(집) 3-16 (No.36 ~ No.50, 좌측) 노체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</si>
</sst>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.0_-;\-* #,##0.0_-;_-* &quot;-&quot;_-;_-@_-"/>
    <numFmt numFmtId="177" formatCode="0.0"/>
    <numFmt numFmtId="178" formatCode="0.000"/>
    <numFmt numFmtId="179" formatCode="0.0_ "/>
    <numFmt numFmtId="180" formatCode="0.000_ 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b/>
      <sz val="18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10"/>
      <color theme="0"/>
      <name val="굴림"/>
      <family val="3"/>
      <charset val="129"/>
    </font>
    <font>
      <b/>
      <sz val="10"/>
      <color theme="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8"/>
      <name val="굴림"/>
      <family val="3"/>
      <charset val="129"/>
    </font>
    <font>
      <sz val="8.5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Up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Up="1">
      <left/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7">
    <xf numFmtId="0" fontId="0" fillId="0" borderId="0" xfId="0"/>
    <xf numFmtId="0" fontId="2" fillId="0" borderId="1" xfId="0" applyFont="1" applyBorder="1"/>
    <xf numFmtId="0" fontId="2" fillId="0" borderId="3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4" xfId="0" applyFont="1" applyBorder="1"/>
    <xf numFmtId="0" fontId="5" fillId="0" borderId="5" xfId="0" applyFont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5" fillId="0" borderId="8" xfId="0" applyFont="1" applyBorder="1" applyAlignment="1">
      <alignment horizontal="left" vertical="center"/>
    </xf>
    <xf numFmtId="41" fontId="5" fillId="0" borderId="9" xfId="1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2" xfId="0" applyFont="1" applyBorder="1" applyAlignment="1">
      <alignment horizontal="left" vertical="center"/>
    </xf>
    <xf numFmtId="41" fontId="5" fillId="0" borderId="13" xfId="1" applyFont="1" applyBorder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6" fillId="0" borderId="2" xfId="0" applyFont="1" applyBorder="1" applyAlignment="1">
      <alignment horizontal="left" vertical="center"/>
    </xf>
    <xf numFmtId="0" fontId="2" fillId="0" borderId="16" xfId="0" applyFont="1" applyBorder="1"/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77" fontId="5" fillId="3" borderId="25" xfId="0" applyNumberFormat="1" applyFont="1" applyFill="1" applyBorder="1" applyAlignment="1">
      <alignment horizontal="center" vertical="center"/>
    </xf>
    <xf numFmtId="177" fontId="5" fillId="4" borderId="25" xfId="0" applyNumberFormat="1" applyFont="1" applyFill="1" applyBorder="1" applyAlignment="1">
      <alignment horizontal="center" vertical="center"/>
    </xf>
    <xf numFmtId="178" fontId="2" fillId="0" borderId="20" xfId="0" applyNumberFormat="1" applyFont="1" applyBorder="1" applyAlignment="1">
      <alignment horizontal="center" vertical="center"/>
    </xf>
    <xf numFmtId="177" fontId="5" fillId="0" borderId="25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4" borderId="25" xfId="0" applyNumberFormat="1" applyFont="1" applyFill="1" applyBorder="1" applyAlignment="1">
      <alignment horizontal="center" vertical="center"/>
    </xf>
    <xf numFmtId="177" fontId="7" fillId="5" borderId="29" xfId="0" applyNumberFormat="1" applyFont="1" applyFill="1" applyBorder="1" applyAlignment="1">
      <alignment horizontal="center" vertical="center"/>
    </xf>
    <xf numFmtId="177" fontId="5" fillId="5" borderId="29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6" xfId="0" applyFont="1" applyBorder="1" applyAlignment="1">
      <alignment horizontal="center" vertical="center"/>
    </xf>
    <xf numFmtId="179" fontId="5" fillId="0" borderId="0" xfId="0" applyNumberFormat="1" applyFont="1" applyAlignment="1">
      <alignment horizontal="left" vertical="center"/>
    </xf>
    <xf numFmtId="180" fontId="2" fillId="0" borderId="0" xfId="0" applyNumberFormat="1" applyFont="1"/>
    <xf numFmtId="41" fontId="5" fillId="0" borderId="15" xfId="1" applyFont="1" applyFill="1" applyBorder="1" applyAlignment="1">
      <alignment horizontal="left" vertical="center"/>
    </xf>
    <xf numFmtId="176" fontId="5" fillId="0" borderId="0" xfId="0" applyNumberFormat="1" applyFont="1" applyAlignment="1">
      <alignment horizontal="center" vertical="center"/>
    </xf>
    <xf numFmtId="176" fontId="5" fillId="0" borderId="16" xfId="0" applyNumberFormat="1" applyFont="1" applyBorder="1" applyAlignment="1">
      <alignment horizontal="center" vertical="center"/>
    </xf>
    <xf numFmtId="41" fontId="5" fillId="0" borderId="0" xfId="1" applyFont="1" applyFill="1" applyBorder="1" applyAlignment="1">
      <alignment horizontal="left" vertical="center"/>
    </xf>
    <xf numFmtId="41" fontId="6" fillId="0" borderId="0" xfId="1" applyFont="1" applyFill="1" applyBorder="1" applyAlignment="1">
      <alignment horizontal="left" vertical="center"/>
    </xf>
    <xf numFmtId="179" fontId="6" fillId="0" borderId="0" xfId="0" applyNumberFormat="1" applyFont="1" applyAlignment="1">
      <alignment horizontal="left" vertical="center"/>
    </xf>
    <xf numFmtId="17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179" fontId="11" fillId="0" borderId="39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9" xfId="0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0" fontId="2" fillId="0" borderId="38" xfId="0" applyFont="1" applyBorder="1"/>
    <xf numFmtId="0" fontId="2" fillId="0" borderId="40" xfId="0" applyFont="1" applyBorder="1"/>
    <xf numFmtId="0" fontId="2" fillId="0" borderId="41" xfId="0" applyFont="1" applyBorder="1"/>
    <xf numFmtId="0" fontId="9" fillId="0" borderId="5" xfId="0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9" fillId="0" borderId="5" xfId="1" applyNumberFormat="1" applyFont="1" applyBorder="1" applyAlignment="1">
      <alignment horizontal="left"/>
    </xf>
    <xf numFmtId="0" fontId="9" fillId="0" borderId="39" xfId="0" applyFont="1" applyBorder="1" applyAlignment="1">
      <alignment horizontal="left" vertical="top"/>
    </xf>
    <xf numFmtId="0" fontId="5" fillId="0" borderId="39" xfId="0" applyFont="1" applyBorder="1" applyAlignment="1">
      <alignment horizontal="left" vertical="top"/>
    </xf>
    <xf numFmtId="0" fontId="9" fillId="0" borderId="39" xfId="0" applyFont="1" applyBorder="1" applyAlignment="1">
      <alignment horizontal="center" vertical="top"/>
    </xf>
    <xf numFmtId="0" fontId="5" fillId="0" borderId="39" xfId="0" applyFont="1" applyBorder="1"/>
    <xf numFmtId="0" fontId="9" fillId="0" borderId="12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22" xfId="1" applyNumberFormat="1" applyFont="1" applyFill="1" applyBorder="1" applyAlignment="1">
      <alignment horizontal="center" vertical="center"/>
    </xf>
    <xf numFmtId="0" fontId="5" fillId="0" borderId="23" xfId="1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0" xfId="1" applyNumberFormat="1" applyFont="1" applyFill="1" applyBorder="1" applyAlignment="1">
      <alignment horizontal="center" vertical="center"/>
    </xf>
    <xf numFmtId="0" fontId="5" fillId="0" borderId="31" xfId="1" applyNumberFormat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79" fontId="11" fillId="0" borderId="0" xfId="0" quotePrefix="1" applyNumberFormat="1" applyFont="1" applyAlignment="1">
      <alignment horizontal="left" vertical="top" wrapText="1"/>
    </xf>
    <xf numFmtId="179" fontId="11" fillId="0" borderId="0" xfId="0" quotePrefix="1" applyNumberFormat="1" applyFont="1" applyAlignment="1">
      <alignment horizontal="left" vertical="top"/>
    </xf>
    <xf numFmtId="0" fontId="5" fillId="0" borderId="22" xfId="0" applyFont="1" applyBorder="1" applyAlignment="1">
      <alignment horizontal="center" vertical="center"/>
    </xf>
    <xf numFmtId="41" fontId="10" fillId="0" borderId="30" xfId="1" applyFont="1" applyFill="1" applyBorder="1" applyAlignment="1">
      <alignment horizontal="left" vertical="center"/>
    </xf>
    <xf numFmtId="41" fontId="10" fillId="0" borderId="31" xfId="1" applyFont="1" applyFill="1" applyBorder="1" applyAlignment="1">
      <alignment horizontal="left" vertical="center"/>
    </xf>
    <xf numFmtId="177" fontId="10" fillId="0" borderId="3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34" xfId="0" applyNumberFormat="1" applyFont="1" applyBorder="1" applyAlignment="1">
      <alignment horizontal="center" vertical="center"/>
    </xf>
    <xf numFmtId="177" fontId="7" fillId="0" borderId="13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41" fontId="10" fillId="0" borderId="22" xfId="1" applyFont="1" applyFill="1" applyBorder="1" applyAlignment="1">
      <alignment horizontal="left" vertical="center"/>
    </xf>
    <xf numFmtId="41" fontId="10" fillId="0" borderId="23" xfId="1" applyFont="1" applyFill="1" applyBorder="1" applyAlignment="1">
      <alignment horizontal="left" vertical="center"/>
    </xf>
    <xf numFmtId="177" fontId="10" fillId="0" borderId="9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177" fontId="7" fillId="0" borderId="10" xfId="0" applyNumberFormat="1" applyFont="1" applyBorder="1" applyAlignment="1">
      <alignment horizontal="center" vertical="center"/>
    </xf>
    <xf numFmtId="177" fontId="10" fillId="0" borderId="13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32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41" fontId="5" fillId="0" borderId="22" xfId="1" applyFont="1" applyFill="1" applyBorder="1" applyAlignment="1">
      <alignment horizontal="left" vertical="center"/>
    </xf>
    <xf numFmtId="41" fontId="5" fillId="0" borderId="23" xfId="1" applyFont="1" applyFill="1" applyBorder="1" applyAlignment="1">
      <alignment horizontal="left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177" fontId="5" fillId="4" borderId="9" xfId="0" applyNumberFormat="1" applyFont="1" applyFill="1" applyBorder="1" applyAlignment="1">
      <alignment horizontal="center" vertical="center"/>
    </xf>
    <xf numFmtId="177" fontId="5" fillId="4" borderId="8" xfId="0" applyNumberFormat="1" applyFont="1" applyFill="1" applyBorder="1" applyAlignment="1">
      <alignment horizontal="center" vertical="center"/>
    </xf>
    <xf numFmtId="177" fontId="5" fillId="4" borderId="24" xfId="0" applyNumberFormat="1" applyFont="1" applyFill="1" applyBorder="1" applyAlignment="1">
      <alignment horizontal="center" vertical="center"/>
    </xf>
    <xf numFmtId="177" fontId="5" fillId="4" borderId="26" xfId="0" applyNumberFormat="1" applyFont="1" applyFill="1" applyBorder="1" applyAlignment="1">
      <alignment horizontal="center" vertical="center"/>
    </xf>
    <xf numFmtId="177" fontId="5" fillId="4" borderId="27" xfId="0" applyNumberFormat="1" applyFont="1" applyFill="1" applyBorder="1" applyAlignment="1">
      <alignment horizontal="center" vertical="center"/>
    </xf>
    <xf numFmtId="177" fontId="5" fillId="4" borderId="28" xfId="0" applyNumberFormat="1" applyFont="1" applyFill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C4FFCE3-E2B8-419E-BD25-8F0A7DA47067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0821108-F8D6-422A-81A2-2E656ACFEAB5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DBCACF6-0A1A-45B1-A000-C21FD3DB68B0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44BB3D6-611F-4EAF-A0AA-280183434E5F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B8762C3-2F45-4DB2-9994-F80368B25DFB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35E63E7-2643-4F97-A252-B2D60FD2291C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83F1CC5-4938-4A0A-97F5-BDF51E935CAB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D934C69-C90A-4B5F-9148-37FA62AD27AE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0BE00C-BDE6-4A6E-9D95-BAD5175050DD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517BB36-A196-4D4F-B7A6-A6CEAC6408A6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4B7F2F5-D950-450D-8B45-38328F3F4FA7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CC78501-03AA-4DE7-948F-B25E993A7642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5ED1017-E0B6-4CCC-AE63-3E9E28A9C8FA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E2F8155-F8B7-4D96-A366-53AF4B781442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88920ED-791F-4E03-9313-2E78DDC43BE4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7C4944D-B8F3-47F1-A1D3-A9032A756682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DB83201-830A-4B02-A0C7-E069EE32862B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217655A-1A7F-44F7-BE6F-E4FBB92A7E0C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73EA37F-E284-4555-9FC2-A22E18F60A75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8ED1C38-385C-4397-94FD-2D44D445D8C1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6D96D1C-07D5-4A8D-83B7-43798FB15579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8E31682-63D4-47DC-A528-2442C797EE4A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AF79FA8-AAAE-4C0D-A537-0EE35763ABF9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4A5D8F9-B6F8-440A-B484-7DE6D2B97C54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9</xdr:row>
      <xdr:rowOff>85725</xdr:rowOff>
    </xdr:from>
    <xdr:to>
      <xdr:col>16</xdr:col>
      <xdr:colOff>276225</xdr:colOff>
      <xdr:row>10</xdr:row>
      <xdr:rowOff>266700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8F5556A-DC82-4647-9020-C9041EBD1579}"/>
            </a:ext>
          </a:extLst>
        </xdr:cNvPr>
        <xdr:cNvSpPr>
          <a:spLocks noChangeArrowheads="1"/>
        </xdr:cNvSpPr>
      </xdr:nvSpPr>
      <xdr:spPr bwMode="auto">
        <a:xfrm>
          <a:off x="6086475" y="2876550"/>
          <a:ext cx="942975" cy="495300"/>
        </a:xfrm>
        <a:prstGeom prst="foldedCorner">
          <a:avLst>
            <a:gd name="adj" fmla="val 12500"/>
          </a:avLst>
        </a:prstGeom>
        <a:noFill/>
        <a:ln w="6350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27432" anchor="ctr" upright="1"/>
        <a:lstStyle/>
        <a:p>
          <a:pPr algn="ctr" rtl="0">
            <a:defRPr sz="1000"/>
          </a:pPr>
          <a:r>
            <a:rPr lang="ko-KR" altLang="en-US" sz="1800" b="0" i="0" u="none" strike="noStrike" baseline="0">
              <a:solidFill>
                <a:srgbClr val="000000"/>
              </a:solidFill>
              <a:latin typeface="굴림체"/>
              <a:ea typeface="굴림체"/>
            </a:rPr>
            <a:t>공 란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457;&#49436;\&#44288;&#47532;&#51208;&#4404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NA-HWANG\ABUT\DONGI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Work\&#44204;&#51201;\9905\abp\ELECabp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9Work\&#44204;&#51201;\9906\Z99114\OPC-D-ELEC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Documents\DATA\&#53664;&#47785;\&#44592;&#53440;\&#52285;&#50896;\&#52285;&#50896;&#44221;&#51204;&#4459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ecloud-my.sharepoint.com/personal/121109_skec_com/Documents/2.%20&#54408;&#51656;&#44288;&#47532;(&#52572;&#49888;)/&#9678;%20&#51652;&#52380;%20&#47700;&#44032;&#54260;&#47532;&#49828;/&#53664;&#44277;/&#45432;&#52404;/Ksf2302&#51077;&#46020;&#49884;&#5474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6PILE  _돌출_"/>
      <sheetName val="소업1교"/>
      <sheetName val="3BL공동구 수량"/>
      <sheetName val="조명시설"/>
      <sheetName val="단위중량"/>
      <sheetName val="본선 토공 분배표"/>
      <sheetName val="총괄내역서"/>
      <sheetName val="해전배수"/>
      <sheetName val="수문일1"/>
      <sheetName val="결과조달"/>
      <sheetName val="노임단가"/>
      <sheetName val="반응조"/>
      <sheetName val="포장공자재집계표"/>
      <sheetName val="2.단면가정 "/>
      <sheetName val="#REF"/>
      <sheetName val="진주방향"/>
      <sheetName val="샘플표지"/>
      <sheetName val="업무처리전"/>
      <sheetName val="DATE"/>
      <sheetName val="옹벽조금수정"/>
      <sheetName val="U-TYPE(1)"/>
      <sheetName val="가설건물"/>
      <sheetName val="내역표지"/>
      <sheetName val="빗물받이(910-510-410)"/>
      <sheetName val="약품설비"/>
      <sheetName val="집계표(육상)"/>
      <sheetName val="지급자재"/>
      <sheetName val="내역서"/>
      <sheetName val="공사비집계"/>
      <sheetName val="갑지"/>
      <sheetName val="참조"/>
      <sheetName val="사통"/>
      <sheetName val="물가시세"/>
      <sheetName val="터파기및재료"/>
      <sheetName val="입찰안"/>
      <sheetName val="토공 갑지"/>
      <sheetName val="Sheet1"/>
      <sheetName val="수지표"/>
      <sheetName val="셀명"/>
      <sheetName val="총괄"/>
      <sheetName val="하도내역 (철콘)"/>
      <sheetName val="SLAB&quot;1&quot;"/>
      <sheetName val="DATA입력"/>
      <sheetName val="수로집계"/>
      <sheetName val="부안일위"/>
      <sheetName val="가격조사서"/>
      <sheetName val="포장물량집계"/>
      <sheetName val="BOX 본체"/>
      <sheetName val="1. 설계조건 2.단면가정 3. 하중계산"/>
      <sheetName val="DATA 입력란"/>
      <sheetName val="S.중기사용료"/>
      <sheetName val="97노임단가"/>
      <sheetName val="입력란"/>
      <sheetName val="SIL98"/>
      <sheetName val="ELECTRIC"/>
      <sheetName val="SCHEDULE"/>
      <sheetName val="간지(1)"/>
      <sheetName val="1,2,3,4,5단위수량"/>
      <sheetName val="말뚝지지력산정"/>
      <sheetName val="가도공"/>
      <sheetName val="단면 (2)"/>
      <sheetName val="공사비증감"/>
      <sheetName val="금액내역서"/>
      <sheetName val="산출내역서"/>
      <sheetName val="실행철강하도"/>
      <sheetName val="DATA98"/>
      <sheetName val="견적의뢰서"/>
      <sheetName val="2000년1차"/>
      <sheetName val="2000전체분"/>
      <sheetName val="200"/>
      <sheetName val="연돌일위집계"/>
      <sheetName val="원가"/>
      <sheetName val="실정보고"/>
      <sheetName val="갑지1"/>
      <sheetName val="Sheet1 (2)"/>
      <sheetName val="Sheet2"/>
      <sheetName val="예가표"/>
      <sheetName val="목표세부명세"/>
      <sheetName val="교각계산"/>
      <sheetName val="세대구분"/>
      <sheetName val="공문"/>
      <sheetName val="COVER"/>
      <sheetName val="Sheet4"/>
      <sheetName val="오동"/>
      <sheetName val="대조"/>
      <sheetName val="나한"/>
      <sheetName val="총 괄 표"/>
      <sheetName val="슬래브"/>
      <sheetName val="2공구산출내역"/>
      <sheetName val="내역"/>
      <sheetName val="자료"/>
      <sheetName val="인사자료총집계"/>
      <sheetName val="견적서(토공)"/>
      <sheetName val="간선계산"/>
      <sheetName val="식재"/>
      <sheetName val="시설물"/>
      <sheetName val="식재출력용"/>
      <sheetName val="유지관리"/>
      <sheetName val="단가"/>
      <sheetName val="수량3"/>
      <sheetName val="도배공사언고"/>
      <sheetName val="프랜트면허"/>
      <sheetName val="토목주소"/>
      <sheetName val="CTEMCOST"/>
      <sheetName val="합천내역"/>
      <sheetName val="archi(본사)"/>
      <sheetName val="원형1호맨홀토공수량"/>
      <sheetName val="배수관산출"/>
      <sheetName val="수안보-MBR1"/>
      <sheetName val="3.공통공사대비"/>
      <sheetName val="2호맨홀공제수량"/>
      <sheetName val="BID"/>
      <sheetName val="000000"/>
      <sheetName val="1062-X방향 "/>
      <sheetName val="발주설계서(당초)"/>
      <sheetName val="고창방향"/>
      <sheetName val="대비"/>
      <sheetName val="6PILE__(돌출)"/>
      <sheetName val="수량산출"/>
      <sheetName val="경상비"/>
      <sheetName val="공사비증감(P4) "/>
      <sheetName val="실행예산"/>
      <sheetName val="일위대가(계측기설치)"/>
      <sheetName val="기성내역"/>
      <sheetName val="DATA2000"/>
      <sheetName val="주식"/>
      <sheetName val="집계표"/>
      <sheetName val="TOTAL_BOQ"/>
      <sheetName val="밸브설치"/>
      <sheetName val="일위대가목록"/>
      <sheetName val="실행"/>
      <sheetName val="배수내역(98년도분)"/>
      <sheetName val="약품공급2"/>
      <sheetName val="본부소개"/>
      <sheetName val="날개벽(시점좌측)"/>
      <sheetName val="D200"/>
      <sheetName val="1TL종점(1)"/>
      <sheetName val="공통비총괄표"/>
      <sheetName val="토목품셈"/>
      <sheetName val="PAD TR보호대기초"/>
      <sheetName val="가로등기초"/>
      <sheetName val="HANDHOLE(2)"/>
      <sheetName val="4.2유효폭의 계산"/>
      <sheetName val="입찰"/>
      <sheetName val="현경"/>
      <sheetName val="TOWER 10TON"/>
      <sheetName val="TOWER 12TON"/>
      <sheetName val="수량산출내역1115"/>
      <sheetName val="배수내역"/>
      <sheetName val="COPING"/>
      <sheetName val="시행후면적"/>
      <sheetName val="뚝토공"/>
      <sheetName val="4)유동표"/>
      <sheetName val="일위대가"/>
      <sheetName val="안산기계장치"/>
      <sheetName val="제출내역 (2)"/>
      <sheetName val="유림골조"/>
      <sheetName val="일위(PN)"/>
      <sheetName val="6PILE 과속방지턱집계표!$K$12 (돌출)"/>
      <sheetName val="산출근거"/>
      <sheetName val="ABUT수량-A1"/>
      <sheetName val="6PILE+옹벽집계!$G$6+옹벽집계!$H$10  (돌출"/>
      <sheetName val="공사내역"/>
      <sheetName val="단면A-A(TR)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메서,변+증"/>
      <sheetName val="8.PILE  (돌출)"/>
      <sheetName val="화전내"/>
      <sheetName val="간 지1"/>
      <sheetName val="공종단가"/>
      <sheetName val="내역(전체)"/>
      <sheetName val="단면B-B(EA)"/>
      <sheetName val="역T형"/>
      <sheetName val="입상내역"/>
      <sheetName val="보차도경계석"/>
      <sheetName val="DRUM"/>
      <sheetName val="산근터빈"/>
      <sheetName val="1호맨홀토공"/>
      <sheetName val="교각정보"/>
      <sheetName val="기기리스트"/>
      <sheetName val="SG"/>
      <sheetName val="일위대가목차"/>
      <sheetName val="Quantity"/>
      <sheetName val="Sheet15"/>
      <sheetName val="정보"/>
      <sheetName val="신당동집계표"/>
      <sheetName val="견적서"/>
      <sheetName val="도봉2지구"/>
      <sheetName val="비목군분류일위"/>
      <sheetName val="사유서제출현황-2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3.하중산정4.지지력"/>
      <sheetName val="관로토공집계표"/>
      <sheetName val="기자재비"/>
      <sheetName val="민자토목설변1차"/>
      <sheetName val="1NYS(당)"/>
      <sheetName val="골재및자재집계표"/>
      <sheetName val="수문보고"/>
      <sheetName val="할증 "/>
      <sheetName val="설계조건"/>
      <sheetName val="식생블럭단위수량"/>
      <sheetName val="갑지(추정)"/>
      <sheetName val="공량산출서"/>
      <sheetName val="노무비"/>
      <sheetName val="EQUIP"/>
      <sheetName val="부하(성남)"/>
      <sheetName val="합의경상"/>
      <sheetName val="대운산출"/>
      <sheetName val="배수통관(좌)"/>
      <sheetName val="단가일람"/>
      <sheetName val="조경일람"/>
      <sheetName val="정부노임단가"/>
      <sheetName val="본체"/>
      <sheetName val="견적대비표"/>
      <sheetName val="DAILY"/>
      <sheetName val="공사비예산서(토목분)"/>
      <sheetName val="침하계"/>
      <sheetName val="대림경상68억"/>
      <sheetName val="중기사용료"/>
      <sheetName val="수량집계"/>
      <sheetName val="수량집계표"/>
      <sheetName val="01.인원현황 (계획)"/>
      <sheetName val="2002상반기노임기준"/>
      <sheetName val="산출근거(S4)"/>
      <sheetName val="음봉방향"/>
      <sheetName val="전차선로 물량표"/>
      <sheetName val="교통표지판수량집계표"/>
      <sheetName val="자재집계표"/>
      <sheetName val="우수받이재료집계표"/>
      <sheetName val="J형측구단위수량"/>
      <sheetName val="소산진입"/>
      <sheetName val="설비"/>
      <sheetName val="교대(A1-A2)"/>
      <sheetName val="날개벽"/>
      <sheetName val="장비"/>
      <sheetName val="산근1"/>
      <sheetName val="노무"/>
      <sheetName val="자재"/>
      <sheetName val="산마루측구단위수량"/>
      <sheetName val="가설사무소수량집계"/>
      <sheetName val="간접비"/>
      <sheetName val="경영상태"/>
      <sheetName val="우각부보강"/>
      <sheetName val="토사(PE)"/>
      <sheetName val="가압장구체수량산출서"/>
      <sheetName val="바닥판"/>
      <sheetName val="CAL(1)."/>
      <sheetName val="12CGOU"/>
      <sheetName val="Bend_fact "/>
      <sheetName val="요약배부"/>
      <sheetName val="주관사업"/>
      <sheetName val="STAFF ANALYSIS"/>
      <sheetName val="C"/>
      <sheetName val="Sheet3"/>
      <sheetName val="대,유,램"/>
      <sheetName val="허용지지력"/>
      <sheetName val="Output"/>
      <sheetName val="입출재고현황 (2)"/>
      <sheetName val="96노임기준"/>
      <sheetName val="기본"/>
      <sheetName val="01.견적내역서"/>
      <sheetName val="차액보증"/>
      <sheetName val="2000시행예상"/>
      <sheetName val="YES-T"/>
      <sheetName val="단가조사"/>
      <sheetName val="40총괄"/>
      <sheetName val="수로단위수량"/>
      <sheetName val="단가산출서"/>
      <sheetName val="우수받이"/>
      <sheetName val="토목"/>
      <sheetName val="기계(집계표)"/>
      <sheetName val="1.설계조건"/>
      <sheetName val="옹벽"/>
      <sheetName val="품"/>
      <sheetName val="지장물C"/>
      <sheetName val="토공계산서(부체도로)"/>
      <sheetName val="교각1"/>
      <sheetName val="당초"/>
      <sheetName val="단위수량"/>
      <sheetName val="2.교량(신설)"/>
      <sheetName val="일반수량"/>
      <sheetName val="6PILE  _돌_x001c__"/>
      <sheetName val="건설기계_목록"/>
      <sheetName val="신표지1"/>
      <sheetName val="I.설계조건"/>
      <sheetName val="기계경비일람"/>
      <sheetName val="4-1.노무비(직영)"/>
      <sheetName val="을 2"/>
      <sheetName val="을 1"/>
      <sheetName val="손익분석"/>
      <sheetName val="TYPE-1"/>
      <sheetName val="포장공"/>
      <sheetName val="조건표"/>
      <sheetName val="예정(3)"/>
      <sheetName val="동원(3)"/>
      <sheetName val="9GNG운반"/>
      <sheetName val="DATA"/>
      <sheetName val="변경집계표"/>
      <sheetName val="2_단면가정_"/>
      <sheetName val="6PILE___돌출_"/>
      <sheetName val="총_괄_표"/>
      <sheetName val="3BL공동구_수량"/>
      <sheetName val="토공_갑지"/>
      <sheetName val="공사비증감(P4)_"/>
      <sheetName val="본선_토공_분배표"/>
      <sheetName val="단면_(2)"/>
      <sheetName val="하도내역_(철콘)"/>
      <sheetName val="수입"/>
      <sheetName val="대부예산서"/>
      <sheetName val="기초공"/>
      <sheetName val="기둥(원형)"/>
      <sheetName val="부대공"/>
      <sheetName val="토공"/>
      <sheetName val="CIVIL4"/>
      <sheetName val="지하"/>
      <sheetName val="3련 BOX"/>
      <sheetName val="최적단면"/>
      <sheetName val="INPUT"/>
      <sheetName val="돌담교 상부수량"/>
      <sheetName val="마감사양"/>
      <sheetName val="철근량"/>
      <sheetName val="수량명세서"/>
      <sheetName val="배수공"/>
      <sheetName val="간지"/>
      <sheetName val="연습"/>
      <sheetName val="격점수량"/>
      <sheetName val="코드표"/>
      <sheetName val="1을"/>
      <sheetName val="1.수인터널"/>
      <sheetName val="단위단가"/>
      <sheetName val="A1(토공)"/>
      <sheetName val="A1(구조물)"/>
      <sheetName val="수량집계(1)"/>
      <sheetName val="철근집계표"/>
      <sheetName val="포장직선구간"/>
      <sheetName val="Sheet17"/>
      <sheetName val="2.단면가정"/>
      <sheetName val="가옥철거"/>
      <sheetName val="건축내역서"/>
      <sheetName val="설비내역서"/>
      <sheetName val="전기내역서"/>
      <sheetName val="의뢰서"/>
      <sheetName val="건축"/>
      <sheetName val="설계산출표지"/>
      <sheetName val="일위대가1"/>
      <sheetName val="국공유지및사유지"/>
      <sheetName val="BOX(1.5X1.5)"/>
      <sheetName val="type-F"/>
      <sheetName val="loading"/>
      <sheetName val="설계내역서"/>
      <sheetName val="비탈면보호공수량산출"/>
      <sheetName val="9509"/>
      <sheetName val="칠산대교 중앙부"/>
      <sheetName val="칠산대교 시종점부"/>
      <sheetName val="BOX"/>
      <sheetName val="★도급내역"/>
      <sheetName val="IW-LIST"/>
      <sheetName val="현황"/>
      <sheetName val="인건비"/>
      <sheetName val="20-6(L)"/>
      <sheetName val="관로조사공"/>
      <sheetName val="본선차로수량집계표"/>
      <sheetName val="매립"/>
      <sheetName val="여과지동"/>
      <sheetName val="기초자료"/>
      <sheetName val="1.토공"/>
      <sheetName val="방음벽기초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계화총괄"/>
      <sheetName val="계화배수(3대)"/>
      <sheetName val="1.설계기준"/>
      <sheetName val="철집"/>
      <sheetName val="제수변수량H2.15"/>
      <sheetName val="_공기변수량"/>
      <sheetName val="기계경비"/>
      <sheetName val="전기"/>
      <sheetName val="직재"/>
      <sheetName val="배수관설치현황"/>
      <sheetName val="데리네이타현황"/>
      <sheetName val="가공비"/>
      <sheetName val="관급총괄"/>
      <sheetName val="DHEQSUPT"/>
      <sheetName val="총수량 (기성)"/>
      <sheetName val="J01"/>
      <sheetName val="설계내역(2001)"/>
      <sheetName val="자재(설치)"/>
      <sheetName val="일위"/>
      <sheetName val="갑지(집행)"/>
      <sheetName val="교량전기"/>
      <sheetName val="96보완계획7.12"/>
      <sheetName val="무근깨기"/>
      <sheetName val="금융비용"/>
      <sheetName val="부대토목"/>
      <sheetName val="guard(mac)"/>
      <sheetName val="이토변실(A3-LINE)"/>
      <sheetName val="70%"/>
      <sheetName val="소비자가"/>
      <sheetName val="공통가설공사"/>
      <sheetName val="수지예산"/>
      <sheetName val="L형집계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6PILE (돌출)"/>
      <sheetName val="흥양2교토공집계표"/>
      <sheetName val="JUCKEYK"/>
      <sheetName val="I一般比"/>
      <sheetName val="2.하중산정"/>
      <sheetName val="TYPE-A"/>
      <sheetName val="기계경비적용기준"/>
      <sheetName val="토공-내역"/>
      <sheetName val="에너지동"/>
      <sheetName val="중기목록표"/>
      <sheetName val="내역서(교량)전체"/>
      <sheetName val="토적표(우안)"/>
      <sheetName val="토적표(좌안)"/>
      <sheetName val="2.대외공문"/>
      <sheetName val="참고사항"/>
      <sheetName val="근로자자료입력"/>
      <sheetName val="깨기"/>
      <sheetName val="CODE"/>
      <sheetName val="MOTOR"/>
      <sheetName val="김여중"/>
      <sheetName val="전체변경예정공정표_2012.07.30"/>
      <sheetName val="AN-01"/>
      <sheetName val="PRICES"/>
      <sheetName val="골조시행"/>
      <sheetName val="예상"/>
      <sheetName val="집수정"/>
      <sheetName val="구체"/>
      <sheetName val="좌측날개벽"/>
      <sheetName val="우측날개벽"/>
      <sheetName val="tggwan(mac)"/>
      <sheetName val="A-4"/>
      <sheetName val="연결관암거"/>
      <sheetName val="주요자재집계"/>
      <sheetName val="ASP 일반구간_250A"/>
      <sheetName val="횡배날개"/>
      <sheetName val="현장관리비"/>
      <sheetName val="계산근거"/>
      <sheetName val="woo(mac)"/>
      <sheetName val="단면가정"/>
      <sheetName val="일위대가표"/>
      <sheetName val="총괄표"/>
      <sheetName val="당초내역서"/>
      <sheetName val="건축물터파기"/>
      <sheetName val="부표총괄"/>
      <sheetName val="T.T.P 단위수량"/>
      <sheetName val="설직재-1"/>
      <sheetName val="낙찰표"/>
      <sheetName val="부하계산서"/>
      <sheetName val="N賃率-職"/>
      <sheetName val="구조물공"/>
      <sheetName val="기초INPUT"/>
      <sheetName val="우수"/>
      <sheetName val="운반"/>
      <sheetName val="내역-가"/>
      <sheetName val="관급자재대"/>
      <sheetName val="실행내역서"/>
      <sheetName val="1단계"/>
      <sheetName val="집계표(OPTION)"/>
      <sheetName val="MATERIAL"/>
      <sheetName val="상반기손익차2총괄"/>
      <sheetName val="표준단면수량(출력안함)"/>
      <sheetName val="화재 탐지 설비"/>
      <sheetName val="설계내역"/>
      <sheetName val="토공정보"/>
      <sheetName val="원형맨홀수량"/>
      <sheetName val="좌측"/>
      <sheetName val="토목검측서"/>
      <sheetName val="자금신청서"/>
      <sheetName val="P.M 별"/>
      <sheetName val="토적계산"/>
      <sheetName val="노임"/>
      <sheetName val="건축내역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Cash2"/>
      <sheetName val="Z"/>
      <sheetName val="BQMPALOC"/>
      <sheetName val="설계예시"/>
      <sheetName val="전선 및 전선관"/>
      <sheetName val="중기비"/>
      <sheetName val="수량산출서"/>
      <sheetName val="을"/>
      <sheetName val="전력구구조물산근"/>
      <sheetName val="품셈TABLE"/>
      <sheetName val="우수맨홀공제단위수량"/>
      <sheetName val="실행대비"/>
      <sheetName val="설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우수공"/>
      <sheetName val="계수시트"/>
      <sheetName val="가시설(TYPE-A)"/>
      <sheetName val="1호맨홀가감수량"/>
      <sheetName val="1-1평균터파기고(1)"/>
      <sheetName val="1호맨홀수량산출"/>
      <sheetName val="용산1(해보)"/>
      <sheetName val="옹벽집계표"/>
      <sheetName val="마산방향"/>
      <sheetName val="직노"/>
      <sheetName val="맨홀수량산출"/>
      <sheetName val="트랜치 집수정 연결관-연장산출서"/>
      <sheetName val="배수장토목공사비"/>
      <sheetName val="기존-내역"/>
      <sheetName val="STEEL BOX 단면설계(SEC.8)"/>
      <sheetName val="단위자갈수량1"/>
      <sheetName val="제직재"/>
      <sheetName val="제-노임"/>
      <sheetName val="인부노임"/>
      <sheetName val="교차구"/>
      <sheetName val="외자배분"/>
      <sheetName val="외자내역"/>
      <sheetName val="주형"/>
      <sheetName val="지장물조서"/>
      <sheetName val="Supplement2"/>
      <sheetName val="포장총괄집계표"/>
      <sheetName val="품의"/>
      <sheetName val="이형관격점별수량산출(2)"/>
      <sheetName val="BOX-1510"/>
      <sheetName val="단가산출"/>
      <sheetName val="이름"/>
      <sheetName val="공틀공사"/>
      <sheetName val="토공산출(시)"/>
      <sheetName val="토공산출(포)"/>
      <sheetName val="공종별내역서"/>
      <sheetName val="토공 total"/>
      <sheetName val="단위수량산출"/>
      <sheetName val="외주현황.wq1"/>
      <sheetName val="LOB"/>
      <sheetName val="C-직노1"/>
      <sheetName val="전기일위대가"/>
      <sheetName val="6공구(당초)"/>
      <sheetName val="업체선정"/>
      <sheetName val="중기목록"/>
      <sheetName val="운반단가"/>
      <sheetName val="1련박스"/>
      <sheetName val="전기혼잡제경비(4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리비현황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내역서적용"/>
      <sheetName val="총괄수량"/>
      <sheetName val="이월수량"/>
      <sheetName val="각L형집계"/>
      <sheetName val="본L현황"/>
      <sheetName val="L형측구신설"/>
      <sheetName val="산마루측구집계"/>
      <sheetName val="산마루측구산출"/>
      <sheetName val="맹암거수량집계표 "/>
      <sheetName val="맹암거-본선"/>
      <sheetName val="배수관집계표"/>
      <sheetName val="배수관산출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(PROPOSAL)"/>
      <sheetName val="Table"/>
      <sheetName val="DOMESTIC"/>
      <sheetName val="PIVOT"/>
      <sheetName val="SUMMARY"/>
      <sheetName val="Proposal"/>
      <sheetName val="PIVOT (2)"/>
      <sheetName val="SUMMARY (2)"/>
      <sheetName val="견적조건(국내가)"/>
      <sheetName val="입찰안"/>
      <sheetName val="BQ"/>
      <sheetName val="내역서"/>
      <sheetName val="부대공"/>
      <sheetName val="포장공"/>
      <sheetName val="토공"/>
      <sheetName val="BID"/>
      <sheetName val="단면치수"/>
      <sheetName val="갑지(추정)"/>
      <sheetName val="#REF"/>
      <sheetName val="1단계"/>
      <sheetName val="대비"/>
      <sheetName val="내역서(총)"/>
      <sheetName val="기초공"/>
      <sheetName val="기둥(원형)"/>
      <sheetName val="예산M12A"/>
      <sheetName val="건축내역"/>
      <sheetName val="Sheet5"/>
      <sheetName val="CAL."/>
      <sheetName val="BUDAI"/>
      <sheetName val="BQ(실행)"/>
      <sheetName val="DATA"/>
      <sheetName val="공사비집계"/>
      <sheetName val="BSD (2)"/>
      <sheetName val="소업1교"/>
      <sheetName val="BSD _2_"/>
      <sheetName val="TEL"/>
      <sheetName val="설계조건"/>
      <sheetName val="기계내역"/>
      <sheetName val="경비2내역"/>
      <sheetName val="북방3터널"/>
      <sheetName val="통합"/>
      <sheetName val="type-F"/>
      <sheetName val="심의위원명단"/>
      <sheetName val="기본DATA"/>
      <sheetName val="ELECabp2"/>
      <sheetName val="TYPE-A"/>
      <sheetName val="데이타"/>
      <sheetName val="시점일반수량"/>
      <sheetName val="토공계산서(부체도로)"/>
      <sheetName val="부대내역"/>
      <sheetName val="CTEMCOST"/>
      <sheetName val="1.설계조건"/>
      <sheetName val="Insts"/>
      <sheetName val="내역"/>
      <sheetName val="20관리비율"/>
      <sheetName val="전기"/>
      <sheetName val="CODE"/>
      <sheetName val="EACT10"/>
      <sheetName val="토목내역"/>
      <sheetName val="ilch"/>
      <sheetName val="일위대가목차"/>
      <sheetName val="PRICE-COMP"/>
      <sheetName val="4)유동표"/>
      <sheetName val="Y-WORK"/>
      <sheetName val="옹벽"/>
      <sheetName val="진주방향"/>
      <sheetName val="NEWDRAW"/>
      <sheetName val="골조시행"/>
      <sheetName val="일위대가"/>
      <sheetName val="개요"/>
      <sheetName val="감액총괄표"/>
      <sheetName val="정부노임단가"/>
      <sheetName val="DIAPHRAGM"/>
      <sheetName val="공사내역"/>
      <sheetName val="견적"/>
      <sheetName val="터파기및재료"/>
      <sheetName val="말뚝지지력산정"/>
      <sheetName val="제수"/>
      <sheetName val="자료"/>
      <sheetName val="일위"/>
      <sheetName val="2F 회의실견적(5_14 일대)"/>
      <sheetName val="공사개요"/>
      <sheetName val="Chart of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조건"/>
      <sheetName val="Table"/>
      <sheetName val="BQ"/>
      <sheetName val="Pivot"/>
      <sheetName val="SUMMARY"/>
      <sheetName val="당초대변경"/>
      <sheetName val="대비"/>
      <sheetName val="입찰안"/>
      <sheetName val="Proposal"/>
      <sheetName val="내역서"/>
      <sheetName val="c_balju"/>
      <sheetName val="산출내역서집계표"/>
      <sheetName val="기계내역"/>
      <sheetName val="_견적서"/>
      <sheetName val=" 견적서"/>
      <sheetName val="Y-WORK"/>
      <sheetName val="계화배수"/>
      <sheetName val="정부노임단가"/>
      <sheetName val="단가표 "/>
      <sheetName val="단가"/>
      <sheetName val="시설물일위"/>
      <sheetName val="경비2내역"/>
      <sheetName val="맨홀수량집계"/>
      <sheetName val="BID"/>
      <sheetName val="BUDAI"/>
      <sheetName val="BSD (2)"/>
      <sheetName val="산출근거"/>
      <sheetName val="SORCE1"/>
      <sheetName val="가시설단위수량"/>
      <sheetName val="단위수량"/>
      <sheetName val="2F 회의실견적(5_14 일대)"/>
      <sheetName val="INPUT"/>
      <sheetName val="TEL"/>
      <sheetName val="부대내역"/>
      <sheetName val="3BL공동구 수량"/>
      <sheetName val="unit 4"/>
      <sheetName val="토목내역"/>
      <sheetName val="제경비"/>
      <sheetName val="SCH"/>
      <sheetName val="단가(반정3교-원주)"/>
      <sheetName val="ilch"/>
      <sheetName val="단면가정"/>
      <sheetName val="설계조건"/>
      <sheetName val="부재력정리"/>
      <sheetName val="OPC-D-ELEC1"/>
      <sheetName val="식재품셈"/>
      <sheetName val="Sheet5"/>
      <sheetName val="차액보증"/>
      <sheetName val="일위대가목차"/>
      <sheetName val="소업1교"/>
      <sheetName val="IMPEADENCE MAP 취수장"/>
      <sheetName val="일반맨홀수량집계"/>
      <sheetName val="안정계산"/>
      <sheetName val="단면검토"/>
      <sheetName val="IMP(MAIN)"/>
      <sheetName val="IMP (REACTOR)"/>
      <sheetName val="일위대가목록"/>
      <sheetName val="단가대비표"/>
      <sheetName val="가공비"/>
      <sheetName val="Sheet1"/>
      <sheetName val="중간부"/>
      <sheetName val="#REF"/>
      <sheetName val="갑지(추정)"/>
      <sheetName val="오억미만"/>
      <sheetName val="갑지"/>
      <sheetName val="1단계"/>
      <sheetName val="CAL."/>
      <sheetName val="내역서(총)"/>
      <sheetName val="건축"/>
      <sheetName val="I一般比"/>
      <sheetName val="수량산출"/>
      <sheetName val="woo(mac)"/>
      <sheetName val="터파기및재료"/>
      <sheetName val="예산M12A"/>
      <sheetName val="데이타"/>
      <sheetName val="DATA"/>
      <sheetName val="기초공"/>
      <sheetName val="기둥(원형)"/>
      <sheetName val="변화치수"/>
      <sheetName val="ABUT수량-A1"/>
      <sheetName val="Chart of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내역"/>
      <sheetName val="도급내역"/>
      <sheetName val="BQ"/>
      <sheetName val="SUMMARY"/>
      <sheetName val="BQ(실행)"/>
      <sheetName val="SUMMARY (실행)"/>
      <sheetName val="견적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체가름"/>
      <sheetName val="비중계"/>
      <sheetName val="Result"/>
      <sheetName val="표"/>
      <sheetName val="체가름(빈양식)"/>
      <sheetName val="Result(빈양식)"/>
    </sheetNames>
    <sheetDataSet>
      <sheetData sheetId="0"/>
      <sheetData sheetId="1"/>
      <sheetData sheetId="2">
        <row r="12">
          <cell r="O12">
            <v>4</v>
          </cell>
          <cell r="P12">
            <v>-5.9999999999999995E-4</v>
          </cell>
        </row>
        <row r="13">
          <cell r="O13">
            <v>5</v>
          </cell>
          <cell r="P13">
            <v>-5.9999999999999995E-4</v>
          </cell>
        </row>
        <row r="14">
          <cell r="O14">
            <v>6</v>
          </cell>
          <cell r="P14">
            <v>-5.9999999999999995E-4</v>
          </cell>
        </row>
        <row r="15">
          <cell r="O15">
            <v>7</v>
          </cell>
          <cell r="P15">
            <v>-5.9999999999999995E-4</v>
          </cell>
        </row>
        <row r="16">
          <cell r="O16">
            <v>8</v>
          </cell>
          <cell r="P16">
            <v>-5.9999999999999995E-4</v>
          </cell>
        </row>
        <row r="17">
          <cell r="O17">
            <v>9</v>
          </cell>
          <cell r="P17">
            <v>-5.0000000000000001E-4</v>
          </cell>
        </row>
        <row r="18">
          <cell r="O18">
            <v>10</v>
          </cell>
          <cell r="P18">
            <v>-5.0000000000000001E-4</v>
          </cell>
        </row>
        <row r="19">
          <cell r="O19">
            <v>11</v>
          </cell>
          <cell r="P19">
            <v>-4.0000000000000002E-4</v>
          </cell>
        </row>
        <row r="20">
          <cell r="O20">
            <v>12</v>
          </cell>
          <cell r="P20">
            <v>-2.9999999999999997E-4</v>
          </cell>
        </row>
        <row r="21">
          <cell r="O21">
            <v>13</v>
          </cell>
          <cell r="P21">
            <v>-2.0000000000000001E-4</v>
          </cell>
        </row>
        <row r="22">
          <cell r="O22">
            <v>14</v>
          </cell>
          <cell r="P22">
            <v>-1E-4</v>
          </cell>
        </row>
        <row r="23">
          <cell r="O23">
            <v>15</v>
          </cell>
          <cell r="P23">
            <v>0</v>
          </cell>
        </row>
        <row r="24">
          <cell r="O24">
            <v>16</v>
          </cell>
          <cell r="P24">
            <v>1E-4</v>
          </cell>
        </row>
        <row r="25">
          <cell r="O25">
            <v>17</v>
          </cell>
          <cell r="P25">
            <v>2.9999999999999997E-4</v>
          </cell>
        </row>
        <row r="26">
          <cell r="O26">
            <v>18</v>
          </cell>
          <cell r="P26">
            <v>4.0000000000000002E-4</v>
          </cell>
        </row>
        <row r="27">
          <cell r="O27">
            <v>19</v>
          </cell>
          <cell r="P27">
            <v>5.9999999999999995E-4</v>
          </cell>
        </row>
        <row r="28">
          <cell r="O28">
            <v>20</v>
          </cell>
          <cell r="P28">
            <v>8.0000000000000004E-4</v>
          </cell>
        </row>
        <row r="29">
          <cell r="O29">
            <v>21</v>
          </cell>
          <cell r="P29">
            <v>1E-3</v>
          </cell>
        </row>
        <row r="30">
          <cell r="O30">
            <v>22</v>
          </cell>
          <cell r="P30">
            <v>1.1999999999999999E-3</v>
          </cell>
        </row>
        <row r="31">
          <cell r="O31">
            <v>23</v>
          </cell>
          <cell r="P31">
            <v>1.4E-3</v>
          </cell>
        </row>
        <row r="32">
          <cell r="O32">
            <v>24</v>
          </cell>
          <cell r="P32">
            <v>1.6000000000000001E-3</v>
          </cell>
        </row>
        <row r="33">
          <cell r="O33">
            <v>25</v>
          </cell>
          <cell r="P33">
            <v>1.8E-3</v>
          </cell>
        </row>
        <row r="34">
          <cell r="O34">
            <v>26</v>
          </cell>
          <cell r="P34">
            <v>2E-3</v>
          </cell>
        </row>
        <row r="35">
          <cell r="O35">
            <v>27</v>
          </cell>
          <cell r="P35">
            <v>2.3E-3</v>
          </cell>
        </row>
        <row r="36">
          <cell r="O36">
            <v>28</v>
          </cell>
          <cell r="P36">
            <v>2.5000000000000001E-3</v>
          </cell>
        </row>
        <row r="37">
          <cell r="O37">
            <v>29</v>
          </cell>
          <cell r="P37">
            <v>2.8E-3</v>
          </cell>
        </row>
        <row r="38">
          <cell r="O38">
            <v>30</v>
          </cell>
          <cell r="P38">
            <v>3.0999999999999999E-3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A7A-318E-43F8-8119-3CBDA511EA0B}">
  <sheetPr>
    <tabColor rgb="FFFF0000"/>
  </sheetPr>
  <dimension ref="A1:AB40"/>
  <sheetViews>
    <sheetView zoomScaleNormal="100" zoomScaleSheetLayoutView="100" workbookViewId="0">
      <selection activeCell="T17" sqref="T17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135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139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136</v>
      </c>
      <c r="G7" s="123"/>
      <c r="H7" s="123"/>
      <c r="I7" s="122" t="s">
        <v>137</v>
      </c>
      <c r="J7" s="123"/>
      <c r="K7" s="123"/>
      <c r="L7" s="122" t="s">
        <v>138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281.5</v>
      </c>
      <c r="X8" s="22">
        <f ca="1">RANDBETWEEN((W8-50)/0.1,(W8+50)/0.1)*0.1</f>
        <v>297.8</v>
      </c>
      <c r="Y8" s="22">
        <f ca="1">RANDBETWEEN((X8-50)/0.1,(X8+50)/0.1)*0.1</f>
        <v>268.2</v>
      </c>
      <c r="Z8" s="23">
        <v>221.5</v>
      </c>
      <c r="AA8" s="23">
        <v>202</v>
      </c>
      <c r="AB8" s="23">
        <v>221.8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221.5</v>
      </c>
      <c r="G9" s="113"/>
      <c r="H9" s="114"/>
      <c r="I9" s="112">
        <f>AA8</f>
        <v>202</v>
      </c>
      <c r="J9" s="113"/>
      <c r="K9" s="114"/>
      <c r="L9" s="112">
        <f>AB8</f>
        <v>221.8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243.60000000000002</v>
      </c>
      <c r="X9" s="22">
        <f ca="1">RANDBETWEEN((X8*T10)/0.1,(X8*U10)/0.1)*0.1</f>
        <v>264.3</v>
      </c>
      <c r="Y9" s="22">
        <f ca="1">RANDBETWEEN((Y8*T10)/0.1,(Y8*U10)/0.1)*0.1</f>
        <v>231.10000000000002</v>
      </c>
      <c r="Z9" s="23">
        <v>196.60000000000002</v>
      </c>
      <c r="AA9" s="23">
        <v>174.4</v>
      </c>
      <c r="AB9" s="23">
        <v>194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196.60000000000002</v>
      </c>
      <c r="G10" s="113"/>
      <c r="H10" s="114"/>
      <c r="I10" s="112">
        <f>AA9</f>
        <v>174.4</v>
      </c>
      <c r="J10" s="113"/>
      <c r="K10" s="114"/>
      <c r="L10" s="112">
        <f>AB9</f>
        <v>194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37.899999999999977</v>
      </c>
      <c r="X11" s="25">
        <f t="shared" ca="1" si="0"/>
        <v>33.5</v>
      </c>
      <c r="Y11" s="25">
        <f t="shared" ca="1" si="0"/>
        <v>37.099999999999966</v>
      </c>
      <c r="Z11" s="23">
        <v>24.899999999999977</v>
      </c>
      <c r="AA11" s="23">
        <v>27.599999999999994</v>
      </c>
      <c r="AB11" s="23">
        <v>27.800000000000011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24.899999999999977</v>
      </c>
      <c r="G12" s="110"/>
      <c r="H12" s="111"/>
      <c r="I12" s="109">
        <f>I9-I10</f>
        <v>27.599999999999994</v>
      </c>
      <c r="J12" s="110"/>
      <c r="K12" s="111"/>
      <c r="L12" s="109">
        <f>L9-L10</f>
        <v>27.800000000000011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243.60000000000002</v>
      </c>
      <c r="X12" s="25">
        <f t="shared" ca="1" si="0"/>
        <v>264.3</v>
      </c>
      <c r="Y12" s="25">
        <f t="shared" ca="1" si="0"/>
        <v>231.10000000000002</v>
      </c>
      <c r="Z12" s="23">
        <v>196.60000000000002</v>
      </c>
      <c r="AA12" s="23">
        <v>174.4</v>
      </c>
      <c r="AB12" s="23">
        <v>194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196.60000000000002</v>
      </c>
      <c r="G13" s="110"/>
      <c r="H13" s="111"/>
      <c r="I13" s="109">
        <f>I10-I11</f>
        <v>174.4</v>
      </c>
      <c r="J13" s="110"/>
      <c r="K13" s="111"/>
      <c r="L13" s="109">
        <f>L10-L11</f>
        <v>194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15.558292282430203</v>
      </c>
      <c r="X13" s="28">
        <f ca="1">(X11/X12)*100</f>
        <v>12.674990541051834</v>
      </c>
      <c r="Y13" s="28">
        <f ca="1">(Y11/Y12)*100</f>
        <v>16.053656425789686</v>
      </c>
      <c r="Z13" s="29">
        <v>12.665310274669366</v>
      </c>
      <c r="AA13" s="29">
        <v>15.825688073394492</v>
      </c>
      <c r="AB13" s="29">
        <v>14.329896907216499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12.665310274669366</v>
      </c>
      <c r="G14" s="96"/>
      <c r="H14" s="103"/>
      <c r="I14" s="95">
        <f>(I12/I13)*100</f>
        <v>15.825688073394492</v>
      </c>
      <c r="J14" s="96"/>
      <c r="K14" s="103"/>
      <c r="L14" s="95">
        <f>(L12/L13)*100</f>
        <v>14.329896907216499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14.273631751760119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13.463587921847239</v>
      </c>
      <c r="X15" s="31">
        <f t="shared" ca="1" si="1"/>
        <v>11.24916051040967</v>
      </c>
      <c r="Y15" s="31">
        <f t="shared" ca="1" si="1"/>
        <v>13.832960477255767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11.241534988713308</v>
      </c>
      <c r="G16" s="96"/>
      <c r="H16" s="96"/>
      <c r="I16" s="95">
        <f>(I12/(I12+I13))*100</f>
        <v>13.663366336633661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130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26:H26"/>
    <mergeCell ref="I26:K26"/>
    <mergeCell ref="C27:H27"/>
    <mergeCell ref="I27:K27"/>
    <mergeCell ref="C32:P34"/>
    <mergeCell ref="C23:H23"/>
    <mergeCell ref="I23:K23"/>
    <mergeCell ref="C24:H24"/>
    <mergeCell ref="I24:K24"/>
    <mergeCell ref="C25:H25"/>
    <mergeCell ref="I25:K25"/>
    <mergeCell ref="B18:E18"/>
    <mergeCell ref="F18:N18"/>
    <mergeCell ref="O18:Q18"/>
    <mergeCell ref="C21:H21"/>
    <mergeCell ref="I21:K21"/>
    <mergeCell ref="C22:H22"/>
    <mergeCell ref="I22:K22"/>
    <mergeCell ref="B16:E16"/>
    <mergeCell ref="F16:H16"/>
    <mergeCell ref="I16:K16"/>
    <mergeCell ref="L16:N16"/>
    <mergeCell ref="O16:Q16"/>
    <mergeCell ref="B17:E17"/>
    <mergeCell ref="F17:N17"/>
    <mergeCell ref="O17:Q17"/>
    <mergeCell ref="B14:E14"/>
    <mergeCell ref="F14:H14"/>
    <mergeCell ref="I14:K14"/>
    <mergeCell ref="L14:N14"/>
    <mergeCell ref="O14:Q14"/>
    <mergeCell ref="B15:E15"/>
    <mergeCell ref="F15:N15"/>
    <mergeCell ref="O15:Q15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E0F1-D30F-47F4-8F97-26F32AB851B5}">
  <sheetPr>
    <tabColor rgb="FFFF0000"/>
  </sheetPr>
  <dimension ref="A1:AB40"/>
  <sheetViews>
    <sheetView tabSelected="1" zoomScaleNormal="100" zoomScaleSheetLayoutView="100" workbookViewId="0">
      <selection activeCell="Y20" sqref="Y20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135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140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136</v>
      </c>
      <c r="G7" s="123"/>
      <c r="H7" s="123"/>
      <c r="I7" s="122" t="s">
        <v>137</v>
      </c>
      <c r="J7" s="123"/>
      <c r="K7" s="123"/>
      <c r="L7" s="122" t="s">
        <v>138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297.8</v>
      </c>
      <c r="X8" s="22">
        <f ca="1">RANDBETWEEN((W8-50)/0.1,(W8+50)/0.1)*0.1</f>
        <v>274.60000000000002</v>
      </c>
      <c r="Y8" s="22">
        <f ca="1">RANDBETWEEN((X8-50)/0.1,(X8+50)/0.1)*0.1</f>
        <v>295.10000000000002</v>
      </c>
      <c r="Z8" s="23">
        <v>205.8</v>
      </c>
      <c r="AA8" s="23">
        <v>234.4</v>
      </c>
      <c r="AB8" s="23">
        <v>225.8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205.8</v>
      </c>
      <c r="G9" s="113"/>
      <c r="H9" s="114"/>
      <c r="I9" s="112">
        <f>AA8</f>
        <v>234.4</v>
      </c>
      <c r="J9" s="113"/>
      <c r="K9" s="114"/>
      <c r="L9" s="112">
        <f>AB8</f>
        <v>225.8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256.5</v>
      </c>
      <c r="X9" s="22">
        <f ca="1">RANDBETWEEN((X8*T10)/0.1,(X8*U10)/0.1)*0.1</f>
        <v>243.4</v>
      </c>
      <c r="Y9" s="22">
        <f ca="1">RANDBETWEEN((Y8*T10)/0.1,(Y8*U10)/0.1)*0.1</f>
        <v>256.40000000000003</v>
      </c>
      <c r="Z9" s="23">
        <v>177.20000000000002</v>
      </c>
      <c r="AA9" s="23">
        <v>202.8</v>
      </c>
      <c r="AB9" s="23">
        <v>198.5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177.20000000000002</v>
      </c>
      <c r="G10" s="113"/>
      <c r="H10" s="114"/>
      <c r="I10" s="112">
        <f>AA9</f>
        <v>202.8</v>
      </c>
      <c r="J10" s="113"/>
      <c r="K10" s="114"/>
      <c r="L10" s="112">
        <f>AB9</f>
        <v>198.5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41.300000000000011</v>
      </c>
      <c r="X11" s="25">
        <f t="shared" ca="1" si="0"/>
        <v>31.200000000000017</v>
      </c>
      <c r="Y11" s="25">
        <f t="shared" ca="1" si="0"/>
        <v>38.699999999999989</v>
      </c>
      <c r="Z11" s="23">
        <v>28.599999999999994</v>
      </c>
      <c r="AA11" s="23">
        <v>31.599999999999994</v>
      </c>
      <c r="AB11" s="23">
        <v>27.300000000000011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28.599999999999994</v>
      </c>
      <c r="G12" s="110"/>
      <c r="H12" s="111"/>
      <c r="I12" s="109">
        <f>I9-I10</f>
        <v>31.599999999999994</v>
      </c>
      <c r="J12" s="110"/>
      <c r="K12" s="111"/>
      <c r="L12" s="109">
        <f>L9-L10</f>
        <v>27.300000000000011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256.5</v>
      </c>
      <c r="X12" s="25">
        <f t="shared" ca="1" si="0"/>
        <v>243.4</v>
      </c>
      <c r="Y12" s="25">
        <f t="shared" ca="1" si="0"/>
        <v>256.40000000000003</v>
      </c>
      <c r="Z12" s="23">
        <v>177.20000000000002</v>
      </c>
      <c r="AA12" s="23">
        <v>202.8</v>
      </c>
      <c r="AB12" s="23">
        <v>198.5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177.20000000000002</v>
      </c>
      <c r="G13" s="110"/>
      <c r="H13" s="111"/>
      <c r="I13" s="109">
        <f>I10-I11</f>
        <v>202.8</v>
      </c>
      <c r="J13" s="110"/>
      <c r="K13" s="111"/>
      <c r="L13" s="109">
        <f>L10-L11</f>
        <v>198.5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16.101364522417157</v>
      </c>
      <c r="X13" s="28">
        <f ca="1">(X11/X12)*100</f>
        <v>12.818405916187354</v>
      </c>
      <c r="Y13" s="28">
        <f ca="1">(Y11/Y12)*100</f>
        <v>15.093603744149759</v>
      </c>
      <c r="Z13" s="29">
        <v>16.139954853273135</v>
      </c>
      <c r="AA13" s="29">
        <v>15.581854043392502</v>
      </c>
      <c r="AB13" s="29">
        <v>13.753148614609579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16.139954853273135</v>
      </c>
      <c r="G14" s="96"/>
      <c r="H14" s="103"/>
      <c r="I14" s="95">
        <f>(I12/I13)*100</f>
        <v>15.581854043392502</v>
      </c>
      <c r="J14" s="96"/>
      <c r="K14" s="103"/>
      <c r="L14" s="95">
        <f>(L12/L13)*100</f>
        <v>13.753148614609579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15.158319170425072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13.868368032236402</v>
      </c>
      <c r="X15" s="31">
        <f t="shared" ca="1" si="1"/>
        <v>11.361981063364899</v>
      </c>
      <c r="Y15" s="31">
        <f t="shared" ca="1" si="1"/>
        <v>13.114198576753639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13.896987366375118</v>
      </c>
      <c r="G16" s="96"/>
      <c r="H16" s="96"/>
      <c r="I16" s="95">
        <f>(I12/(I12+I13))*100</f>
        <v>13.481228668941977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130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26:H26"/>
    <mergeCell ref="I26:K26"/>
    <mergeCell ref="C27:H27"/>
    <mergeCell ref="I27:K27"/>
    <mergeCell ref="C32:P34"/>
    <mergeCell ref="C23:H23"/>
    <mergeCell ref="I23:K23"/>
    <mergeCell ref="C24:H24"/>
    <mergeCell ref="I24:K24"/>
    <mergeCell ref="C25:H25"/>
    <mergeCell ref="I25:K25"/>
    <mergeCell ref="B18:E18"/>
    <mergeCell ref="F18:N18"/>
    <mergeCell ref="O18:Q18"/>
    <mergeCell ref="C21:H21"/>
    <mergeCell ref="I21:K21"/>
    <mergeCell ref="C22:H22"/>
    <mergeCell ref="I22:K22"/>
    <mergeCell ref="B16:E16"/>
    <mergeCell ref="F16:H16"/>
    <mergeCell ref="I16:K16"/>
    <mergeCell ref="L16:N16"/>
    <mergeCell ref="O16:Q16"/>
    <mergeCell ref="B17:E17"/>
    <mergeCell ref="F17:N17"/>
    <mergeCell ref="O17:Q17"/>
    <mergeCell ref="B14:E14"/>
    <mergeCell ref="F14:H14"/>
    <mergeCell ref="I14:K14"/>
    <mergeCell ref="L14:N14"/>
    <mergeCell ref="O14:Q14"/>
    <mergeCell ref="B15:E15"/>
    <mergeCell ref="F15:N15"/>
    <mergeCell ref="O15:Q15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2CEE-6DAF-40DF-980B-ACE4A8C60E05}">
  <dimension ref="A1:AB40"/>
  <sheetViews>
    <sheetView zoomScaleNormal="100" zoomScaleSheetLayoutView="100" workbookViewId="0">
      <selection activeCell="X23" sqref="X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131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120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132</v>
      </c>
      <c r="G7" s="123"/>
      <c r="H7" s="123"/>
      <c r="I7" s="122" t="s">
        <v>133</v>
      </c>
      <c r="J7" s="123"/>
      <c r="K7" s="123"/>
      <c r="L7" s="122" t="s">
        <v>134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237.8</v>
      </c>
      <c r="X8" s="22">
        <f ca="1">RANDBETWEEN((W8-50)/0.1,(W8+50)/0.1)*0.1</f>
        <v>276</v>
      </c>
      <c r="Y8" s="22">
        <f ca="1">RANDBETWEEN((X8-50)/0.1,(X8+50)/0.1)*0.1</f>
        <v>275.60000000000002</v>
      </c>
      <c r="Z8" s="23">
        <v>214.8</v>
      </c>
      <c r="AA8" s="23">
        <v>205.20000000000002</v>
      </c>
      <c r="AB8" s="23">
        <v>216.10000000000002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214.8</v>
      </c>
      <c r="G9" s="113"/>
      <c r="H9" s="114"/>
      <c r="I9" s="112">
        <f>AA8</f>
        <v>205.20000000000002</v>
      </c>
      <c r="J9" s="113"/>
      <c r="K9" s="114"/>
      <c r="L9" s="112">
        <f>AB8</f>
        <v>216.10000000000002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206.10000000000002</v>
      </c>
      <c r="X9" s="22">
        <f ca="1">RANDBETWEEN((X8*T10)/0.1,(X8*U10)/0.1)*0.1</f>
        <v>239.4</v>
      </c>
      <c r="Y9" s="22">
        <f ca="1">RANDBETWEEN((Y8*T10)/0.1,(Y8*U10)/0.1)*0.1</f>
        <v>238.70000000000002</v>
      </c>
      <c r="Z9" s="23">
        <v>185</v>
      </c>
      <c r="AA9" s="23">
        <v>178</v>
      </c>
      <c r="AB9" s="23">
        <v>190.8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185</v>
      </c>
      <c r="G10" s="113"/>
      <c r="H10" s="114"/>
      <c r="I10" s="112">
        <f>AA9</f>
        <v>178</v>
      </c>
      <c r="J10" s="113"/>
      <c r="K10" s="114"/>
      <c r="L10" s="112">
        <f>AB9</f>
        <v>190.8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31.699999999999989</v>
      </c>
      <c r="X11" s="25">
        <f t="shared" ca="1" si="0"/>
        <v>36.599999999999994</v>
      </c>
      <c r="Y11" s="25">
        <f t="shared" ca="1" si="0"/>
        <v>36.900000000000006</v>
      </c>
      <c r="Z11" s="23">
        <v>29.800000000000011</v>
      </c>
      <c r="AA11" s="23">
        <v>27.200000000000017</v>
      </c>
      <c r="AB11" s="23">
        <v>25.300000000000011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29.800000000000011</v>
      </c>
      <c r="G12" s="110"/>
      <c r="H12" s="111"/>
      <c r="I12" s="109">
        <f>I9-I10</f>
        <v>27.200000000000017</v>
      </c>
      <c r="J12" s="110"/>
      <c r="K12" s="111"/>
      <c r="L12" s="109">
        <f>L9-L10</f>
        <v>25.300000000000011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206.10000000000002</v>
      </c>
      <c r="X12" s="25">
        <f t="shared" ca="1" si="0"/>
        <v>239.4</v>
      </c>
      <c r="Y12" s="25">
        <f t="shared" ca="1" si="0"/>
        <v>238.70000000000002</v>
      </c>
      <c r="Z12" s="23">
        <v>185</v>
      </c>
      <c r="AA12" s="23">
        <v>178</v>
      </c>
      <c r="AB12" s="23">
        <v>190.8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185</v>
      </c>
      <c r="G13" s="110"/>
      <c r="H13" s="111"/>
      <c r="I13" s="109">
        <f>I10-I11</f>
        <v>178</v>
      </c>
      <c r="J13" s="110"/>
      <c r="K13" s="111"/>
      <c r="L13" s="109">
        <f>L10-L11</f>
        <v>190.8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15.380883066472578</v>
      </c>
      <c r="X13" s="28">
        <f ca="1">(X11/X12)*100</f>
        <v>15.288220551378442</v>
      </c>
      <c r="Y13" s="28">
        <f ca="1">(Y11/Y12)*100</f>
        <v>15.458734813573525</v>
      </c>
      <c r="Z13" s="29">
        <v>16.108108108108112</v>
      </c>
      <c r="AA13" s="29">
        <v>15.280898876404503</v>
      </c>
      <c r="AB13" s="29">
        <v>13.259958071278833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16.108108108108112</v>
      </c>
      <c r="G14" s="96"/>
      <c r="H14" s="103"/>
      <c r="I14" s="95">
        <f>(I12/I13)*100</f>
        <v>15.280898876404503</v>
      </c>
      <c r="J14" s="96"/>
      <c r="K14" s="103"/>
      <c r="L14" s="95">
        <f>(L12/L13)*100</f>
        <v>13.259958071278833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14.882988351930484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13.330529857022702</v>
      </c>
      <c r="X15" s="31">
        <f t="shared" ca="1" si="1"/>
        <v>13.260869565217389</v>
      </c>
      <c r="Y15" s="31">
        <f t="shared" ca="1" si="1"/>
        <v>13.388969521044993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13.873370577281197</v>
      </c>
      <c r="G16" s="96"/>
      <c r="H16" s="96"/>
      <c r="I16" s="95">
        <f>(I12/(I12+I13))*100</f>
        <v>13.255360623781684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5:E15"/>
    <mergeCell ref="F15:N15"/>
    <mergeCell ref="O15:Q15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4:E14"/>
    <mergeCell ref="F14:H14"/>
    <mergeCell ref="I14:K14"/>
    <mergeCell ref="L14:N14"/>
    <mergeCell ref="O14:Q14"/>
    <mergeCell ref="L16:N16"/>
    <mergeCell ref="O16:Q16"/>
    <mergeCell ref="B17:E17"/>
    <mergeCell ref="F17:N17"/>
    <mergeCell ref="O17:Q17"/>
    <mergeCell ref="C22:H22"/>
    <mergeCell ref="I22:K22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4:H24"/>
    <mergeCell ref="I24:K24"/>
    <mergeCell ref="C25:H25"/>
    <mergeCell ref="I25:K25"/>
    <mergeCell ref="C26:H26"/>
    <mergeCell ref="I26:K26"/>
    <mergeCell ref="C27:H27"/>
    <mergeCell ref="I27:K27"/>
    <mergeCell ref="C32:P34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609A-FED5-439B-ABEA-524F8932F311}">
  <dimension ref="A1:AB40"/>
  <sheetViews>
    <sheetView zoomScaleNormal="100" zoomScaleSheetLayoutView="100" workbookViewId="0">
      <selection activeCell="V23" sqref="V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131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119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132</v>
      </c>
      <c r="G7" s="123"/>
      <c r="H7" s="123"/>
      <c r="I7" s="122" t="s">
        <v>133</v>
      </c>
      <c r="J7" s="123"/>
      <c r="K7" s="123"/>
      <c r="L7" s="122" t="s">
        <v>134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209.10000000000002</v>
      </c>
      <c r="X8" s="22">
        <f ca="1">RANDBETWEEN((W8-50)/0.1,(W8+50)/0.1)*0.1</f>
        <v>194.5</v>
      </c>
      <c r="Y8" s="22">
        <f ca="1">RANDBETWEEN((X8-50)/0.1,(X8+50)/0.1)*0.1</f>
        <v>168</v>
      </c>
      <c r="Z8" s="23">
        <v>203.5</v>
      </c>
      <c r="AA8" s="23">
        <v>231.5</v>
      </c>
      <c r="AB8" s="23">
        <v>249.3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203.5</v>
      </c>
      <c r="G9" s="113"/>
      <c r="H9" s="114"/>
      <c r="I9" s="112">
        <f>AA8</f>
        <v>231.5</v>
      </c>
      <c r="J9" s="113"/>
      <c r="K9" s="114"/>
      <c r="L9" s="112">
        <f>AB8</f>
        <v>249.3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183.9</v>
      </c>
      <c r="X9" s="22">
        <f ca="1">RANDBETWEEN((X8*T10)/0.1,(X8*U10)/0.1)*0.1</f>
        <v>169.5</v>
      </c>
      <c r="Y9" s="22">
        <f ca="1">RANDBETWEEN((Y8*T10)/0.1,(Y8*U10)/0.1)*0.1</f>
        <v>147.6</v>
      </c>
      <c r="Z9" s="23">
        <v>179.9</v>
      </c>
      <c r="AA9" s="23">
        <v>205.3</v>
      </c>
      <c r="AB9" s="23">
        <v>215.4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179.9</v>
      </c>
      <c r="G10" s="113"/>
      <c r="H10" s="114"/>
      <c r="I10" s="112">
        <f>AA9</f>
        <v>205.3</v>
      </c>
      <c r="J10" s="113"/>
      <c r="K10" s="114"/>
      <c r="L10" s="112">
        <f>AB9</f>
        <v>215.4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25.200000000000017</v>
      </c>
      <c r="X11" s="25">
        <f t="shared" ca="1" si="0"/>
        <v>25</v>
      </c>
      <c r="Y11" s="25">
        <f t="shared" ca="1" si="0"/>
        <v>20.400000000000006</v>
      </c>
      <c r="Z11" s="23">
        <v>23.599999999999994</v>
      </c>
      <c r="AA11" s="23">
        <v>26.199999999999989</v>
      </c>
      <c r="AB11" s="23">
        <v>33.900000000000006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23.599999999999994</v>
      </c>
      <c r="G12" s="110"/>
      <c r="H12" s="111"/>
      <c r="I12" s="109">
        <f>I9-I10</f>
        <v>26.199999999999989</v>
      </c>
      <c r="J12" s="110"/>
      <c r="K12" s="111"/>
      <c r="L12" s="109">
        <f>L9-L10</f>
        <v>33.900000000000006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183.9</v>
      </c>
      <c r="X12" s="25">
        <f t="shared" ca="1" si="0"/>
        <v>169.5</v>
      </c>
      <c r="Y12" s="25">
        <f t="shared" ca="1" si="0"/>
        <v>147.6</v>
      </c>
      <c r="Z12" s="23">
        <v>179.9</v>
      </c>
      <c r="AA12" s="23">
        <v>205.3</v>
      </c>
      <c r="AB12" s="23">
        <v>215.4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179.9</v>
      </c>
      <c r="G13" s="110"/>
      <c r="H13" s="111"/>
      <c r="I13" s="109">
        <f>I10-I11</f>
        <v>205.3</v>
      </c>
      <c r="J13" s="110"/>
      <c r="K13" s="111"/>
      <c r="L13" s="109">
        <f>L10-L11</f>
        <v>215.4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13.703099510603597</v>
      </c>
      <c r="X13" s="28">
        <f ca="1">(X11/X12)*100</f>
        <v>14.749262536873156</v>
      </c>
      <c r="Y13" s="28">
        <f ca="1">(Y11/Y12)*100</f>
        <v>13.821138211382117</v>
      </c>
      <c r="Z13" s="29">
        <v>13.118399110617007</v>
      </c>
      <c r="AA13" s="29">
        <v>12.76181198246468</v>
      </c>
      <c r="AB13" s="29">
        <v>15.73816155988858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13.118399110617007</v>
      </c>
      <c r="G14" s="96"/>
      <c r="H14" s="103"/>
      <c r="I14" s="95">
        <f>(I12/I13)*100</f>
        <v>12.76181198246468</v>
      </c>
      <c r="J14" s="96"/>
      <c r="K14" s="103"/>
      <c r="L14" s="95">
        <f>(L12/L13)*100</f>
        <v>15.73816155988858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13.872790884323422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12.051649928263995</v>
      </c>
      <c r="X15" s="31">
        <f t="shared" ca="1" si="1"/>
        <v>12.853470437017995</v>
      </c>
      <c r="Y15" s="31">
        <f t="shared" ca="1" si="1"/>
        <v>12.142857142857148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11.597051597051594</v>
      </c>
      <c r="G16" s="96"/>
      <c r="H16" s="96"/>
      <c r="I16" s="95">
        <f>(I12/(I12+I13))*100</f>
        <v>11.31749460043196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5:E15"/>
    <mergeCell ref="F15:N15"/>
    <mergeCell ref="O15:Q15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4:E14"/>
    <mergeCell ref="F14:H14"/>
    <mergeCell ref="I14:K14"/>
    <mergeCell ref="L14:N14"/>
    <mergeCell ref="O14:Q14"/>
    <mergeCell ref="L16:N16"/>
    <mergeCell ref="O16:Q16"/>
    <mergeCell ref="B17:E17"/>
    <mergeCell ref="F17:N17"/>
    <mergeCell ref="O17:Q17"/>
    <mergeCell ref="C22:H22"/>
    <mergeCell ref="I22:K22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4:H24"/>
    <mergeCell ref="I24:K24"/>
    <mergeCell ref="C25:H25"/>
    <mergeCell ref="I25:K25"/>
    <mergeCell ref="C26:H26"/>
    <mergeCell ref="I26:K26"/>
    <mergeCell ref="C27:H27"/>
    <mergeCell ref="I27:K27"/>
    <mergeCell ref="C32:P34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2282-4A72-4110-BDCB-88E73FFAABEA}">
  <dimension ref="A1:AB40"/>
  <sheetViews>
    <sheetView zoomScaleNormal="100" zoomScaleSheetLayoutView="100" workbookViewId="0">
      <selection activeCell="U23" sqref="U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126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120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127</v>
      </c>
      <c r="G7" s="123"/>
      <c r="H7" s="123"/>
      <c r="I7" s="122" t="s">
        <v>128</v>
      </c>
      <c r="J7" s="123"/>
      <c r="K7" s="123"/>
      <c r="L7" s="122" t="s">
        <v>129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211.5</v>
      </c>
      <c r="X8" s="22">
        <f ca="1">RANDBETWEEN((W8-50)/0.1,(W8+50)/0.1)*0.1</f>
        <v>216.3</v>
      </c>
      <c r="Y8" s="22">
        <f ca="1">RANDBETWEEN((X8-50)/0.1,(X8+50)/0.1)*0.1</f>
        <v>261</v>
      </c>
      <c r="Z8" s="23">
        <v>209.4</v>
      </c>
      <c r="AA8" s="23">
        <v>200.5</v>
      </c>
      <c r="AB8" s="23">
        <v>239.70000000000002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209.4</v>
      </c>
      <c r="G9" s="113"/>
      <c r="H9" s="114"/>
      <c r="I9" s="112">
        <f>AA8</f>
        <v>200.5</v>
      </c>
      <c r="J9" s="113"/>
      <c r="K9" s="114"/>
      <c r="L9" s="112">
        <f>AB8</f>
        <v>239.70000000000002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182.3</v>
      </c>
      <c r="X9" s="22">
        <f ca="1">RANDBETWEEN((X8*T10)/0.1,(X8*U10)/0.1)*0.1</f>
        <v>189.60000000000002</v>
      </c>
      <c r="Y9" s="22">
        <f ca="1">RANDBETWEEN((Y8*T10)/0.1,(Y8*U10)/0.1)*0.1</f>
        <v>228.20000000000002</v>
      </c>
      <c r="Z9" s="23">
        <v>183</v>
      </c>
      <c r="AA9" s="23">
        <v>177.9</v>
      </c>
      <c r="AB9" s="23">
        <v>207.4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183</v>
      </c>
      <c r="G10" s="113"/>
      <c r="H10" s="114"/>
      <c r="I10" s="112">
        <f>AA9</f>
        <v>177.9</v>
      </c>
      <c r="J10" s="113"/>
      <c r="K10" s="114"/>
      <c r="L10" s="112">
        <f>AB9</f>
        <v>207.4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29.199999999999989</v>
      </c>
      <c r="X11" s="25">
        <f t="shared" ca="1" si="0"/>
        <v>26.699999999999989</v>
      </c>
      <c r="Y11" s="25">
        <f t="shared" ca="1" si="0"/>
        <v>32.799999999999983</v>
      </c>
      <c r="Z11" s="23">
        <v>26.400000000000006</v>
      </c>
      <c r="AA11" s="23">
        <v>22.599999999999994</v>
      </c>
      <c r="AB11" s="23">
        <v>32.300000000000011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26.400000000000006</v>
      </c>
      <c r="G12" s="110"/>
      <c r="H12" s="111"/>
      <c r="I12" s="109">
        <f>I9-I10</f>
        <v>22.599999999999994</v>
      </c>
      <c r="J12" s="110"/>
      <c r="K12" s="111"/>
      <c r="L12" s="109">
        <f>L9-L10</f>
        <v>32.300000000000011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182.3</v>
      </c>
      <c r="X12" s="25">
        <f t="shared" ca="1" si="0"/>
        <v>189.60000000000002</v>
      </c>
      <c r="Y12" s="25">
        <f t="shared" ca="1" si="0"/>
        <v>228.20000000000002</v>
      </c>
      <c r="Z12" s="23">
        <v>183</v>
      </c>
      <c r="AA12" s="23">
        <v>177.9</v>
      </c>
      <c r="AB12" s="23">
        <v>207.4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183</v>
      </c>
      <c r="G13" s="110"/>
      <c r="H13" s="111"/>
      <c r="I13" s="109">
        <f>I10-I11</f>
        <v>177.9</v>
      </c>
      <c r="J13" s="110"/>
      <c r="K13" s="111"/>
      <c r="L13" s="109">
        <f>L10-L11</f>
        <v>207.4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16.017553483269328</v>
      </c>
      <c r="X13" s="28">
        <f ca="1">(X11/X12)*100</f>
        <v>14.082278481012651</v>
      </c>
      <c r="Y13" s="28">
        <f ca="1">(Y11/Y12)*100</f>
        <v>14.37335670464504</v>
      </c>
      <c r="Z13" s="29">
        <v>14.426229508196725</v>
      </c>
      <c r="AA13" s="29">
        <v>12.70376616076447</v>
      </c>
      <c r="AB13" s="29">
        <v>15.573770491803284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14.426229508196725</v>
      </c>
      <c r="G14" s="96"/>
      <c r="H14" s="103"/>
      <c r="I14" s="95">
        <f>(I12/I13)*100</f>
        <v>12.70376616076447</v>
      </c>
      <c r="J14" s="96"/>
      <c r="K14" s="103"/>
      <c r="L14" s="95">
        <f>(L12/L13)*100</f>
        <v>15.573770491803284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14.234588720254825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13.806146572104014</v>
      </c>
      <c r="X15" s="31">
        <f t="shared" ca="1" si="1"/>
        <v>12.343966712898746</v>
      </c>
      <c r="Y15" s="31">
        <f t="shared" ca="1" si="1"/>
        <v>12.567049808429113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12.607449856733528</v>
      </c>
      <c r="G16" s="96"/>
      <c r="H16" s="96"/>
      <c r="I16" s="95">
        <f>(I12/(I12+I13))*100</f>
        <v>11.271820448877802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130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2EF2-BCDD-4758-8714-A2865AC2DC27}">
  <dimension ref="A1:AB40"/>
  <sheetViews>
    <sheetView zoomScaleNormal="100" zoomScaleSheetLayoutView="100" workbookViewId="0">
      <selection activeCell="U23" sqref="U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126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119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127</v>
      </c>
      <c r="G7" s="123"/>
      <c r="H7" s="123"/>
      <c r="I7" s="122" t="s">
        <v>128</v>
      </c>
      <c r="J7" s="123"/>
      <c r="K7" s="123"/>
      <c r="L7" s="122" t="s">
        <v>129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241.8</v>
      </c>
      <c r="X8" s="22">
        <f ca="1">RANDBETWEEN((W8-50)/0.1,(W8+50)/0.1)*0.1</f>
        <v>192.20000000000002</v>
      </c>
      <c r="Y8" s="22">
        <f ca="1">RANDBETWEEN((X8-50)/0.1,(X8+50)/0.1)*0.1</f>
        <v>170.70000000000002</v>
      </c>
      <c r="Z8" s="23">
        <v>228</v>
      </c>
      <c r="AA8" s="23">
        <v>245.8</v>
      </c>
      <c r="AB8" s="23">
        <v>203.5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228</v>
      </c>
      <c r="G9" s="113"/>
      <c r="H9" s="114"/>
      <c r="I9" s="112">
        <f>AA8</f>
        <v>245.8</v>
      </c>
      <c r="J9" s="113"/>
      <c r="K9" s="114"/>
      <c r="L9" s="112">
        <f>AB8</f>
        <v>203.5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213.8</v>
      </c>
      <c r="X9" s="22">
        <f ca="1">RANDBETWEEN((X8*T10)/0.1,(X8*U10)/0.1)*0.1</f>
        <v>170.4</v>
      </c>
      <c r="Y9" s="22">
        <f ca="1">RANDBETWEEN((Y8*T10)/0.1,(Y8*U10)/0.1)*0.1</f>
        <v>150.4</v>
      </c>
      <c r="Z9" s="23">
        <v>202.3</v>
      </c>
      <c r="AA9" s="23">
        <v>214.3</v>
      </c>
      <c r="AB9" s="23">
        <v>178.70000000000002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202.3</v>
      </c>
      <c r="G10" s="113"/>
      <c r="H10" s="114"/>
      <c r="I10" s="112">
        <f>AA9</f>
        <v>214.3</v>
      </c>
      <c r="J10" s="113"/>
      <c r="K10" s="114"/>
      <c r="L10" s="112">
        <f>AB9</f>
        <v>178.70000000000002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28</v>
      </c>
      <c r="X11" s="25">
        <f t="shared" ca="1" si="0"/>
        <v>21.800000000000011</v>
      </c>
      <c r="Y11" s="25">
        <f t="shared" ca="1" si="0"/>
        <v>20.300000000000011</v>
      </c>
      <c r="Z11" s="23">
        <v>25.699999999999989</v>
      </c>
      <c r="AA11" s="23">
        <v>31.5</v>
      </c>
      <c r="AB11" s="23">
        <v>24.799999999999983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25.699999999999989</v>
      </c>
      <c r="G12" s="110"/>
      <c r="H12" s="111"/>
      <c r="I12" s="109">
        <f>I9-I10</f>
        <v>31.5</v>
      </c>
      <c r="J12" s="110"/>
      <c r="K12" s="111"/>
      <c r="L12" s="109">
        <f>L9-L10</f>
        <v>24.799999999999983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213.8</v>
      </c>
      <c r="X12" s="25">
        <f t="shared" ca="1" si="0"/>
        <v>170.4</v>
      </c>
      <c r="Y12" s="25">
        <f t="shared" ca="1" si="0"/>
        <v>150.4</v>
      </c>
      <c r="Z12" s="23">
        <v>202.3</v>
      </c>
      <c r="AA12" s="23">
        <v>214.3</v>
      </c>
      <c r="AB12" s="23">
        <v>178.70000000000002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202.3</v>
      </c>
      <c r="G13" s="110"/>
      <c r="H13" s="111"/>
      <c r="I13" s="109">
        <f>I10-I11</f>
        <v>214.3</v>
      </c>
      <c r="J13" s="110"/>
      <c r="K13" s="111"/>
      <c r="L13" s="109">
        <f>L10-L11</f>
        <v>178.70000000000002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13.096351730589333</v>
      </c>
      <c r="X13" s="28">
        <f ca="1">(X11/X12)*100</f>
        <v>12.793427230046955</v>
      </c>
      <c r="Y13" s="28">
        <f ca="1">(Y11/Y12)*100</f>
        <v>13.497340425531924</v>
      </c>
      <c r="Z13" s="29">
        <v>12.703905091448336</v>
      </c>
      <c r="AA13" s="29">
        <v>14.699020065328977</v>
      </c>
      <c r="AB13" s="29">
        <v>13.878007834359252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12.703905091448336</v>
      </c>
      <c r="G14" s="96"/>
      <c r="H14" s="103"/>
      <c r="I14" s="95">
        <f>(I12/I13)*100</f>
        <v>14.699020065328977</v>
      </c>
      <c r="J14" s="96"/>
      <c r="K14" s="103"/>
      <c r="L14" s="95">
        <f>(L12/L13)*100</f>
        <v>13.878007834359252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13.760310997045522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11.579818031430934</v>
      </c>
      <c r="X15" s="31">
        <f t="shared" ca="1" si="1"/>
        <v>11.342351716961502</v>
      </c>
      <c r="Y15" s="31">
        <f t="shared" ca="1" si="1"/>
        <v>11.892208553016994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11.271929824561399</v>
      </c>
      <c r="G16" s="96"/>
      <c r="H16" s="96"/>
      <c r="I16" s="95">
        <f>(I12/(I12+I13))*100</f>
        <v>12.815296989422295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130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EA2E-7F7C-40E0-8042-5C3885C8F677}">
  <dimension ref="A1:AB40"/>
  <sheetViews>
    <sheetView zoomScaleNormal="100" zoomScaleSheetLayoutView="100" workbookViewId="0">
      <selection activeCell="C23" sqref="C23:H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122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119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123</v>
      </c>
      <c r="G7" s="123"/>
      <c r="H7" s="123"/>
      <c r="I7" s="122" t="s">
        <v>124</v>
      </c>
      <c r="J7" s="123"/>
      <c r="K7" s="123"/>
      <c r="L7" s="122" t="s">
        <v>125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299.2</v>
      </c>
      <c r="X8" s="22">
        <f ca="1">RANDBETWEEN((W8-50)/0.1,(W8+50)/0.1)*0.1</f>
        <v>280.8</v>
      </c>
      <c r="Y8" s="22">
        <f ca="1">RANDBETWEEN((X8-50)/0.1,(X8+50)/0.1)*0.1</f>
        <v>295.60000000000002</v>
      </c>
      <c r="Z8" s="23">
        <v>212.4</v>
      </c>
      <c r="AA8" s="23">
        <v>222.5</v>
      </c>
      <c r="AB8" s="23">
        <v>222.3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212.4</v>
      </c>
      <c r="G9" s="113"/>
      <c r="H9" s="114"/>
      <c r="I9" s="112">
        <f>AA8</f>
        <v>222.5</v>
      </c>
      <c r="J9" s="113"/>
      <c r="K9" s="114"/>
      <c r="L9" s="112">
        <f>AB8</f>
        <v>222.3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265.10000000000002</v>
      </c>
      <c r="X9" s="22">
        <f ca="1">RANDBETWEEN((X8*T10)/0.1,(X8*U10)/0.1)*0.1</f>
        <v>245.5</v>
      </c>
      <c r="Y9" s="22">
        <f ca="1">RANDBETWEEN((Y8*T10)/0.1,(Y8*U10)/0.1)*0.1</f>
        <v>254.9</v>
      </c>
      <c r="Z9" s="23">
        <v>186.10000000000002</v>
      </c>
      <c r="AA9" s="23">
        <v>197.9</v>
      </c>
      <c r="AB9" s="23">
        <v>196.5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186.10000000000002</v>
      </c>
      <c r="G10" s="113"/>
      <c r="H10" s="114"/>
      <c r="I10" s="112">
        <f>AA9</f>
        <v>197.9</v>
      </c>
      <c r="J10" s="113"/>
      <c r="K10" s="114"/>
      <c r="L10" s="112">
        <f>AB9</f>
        <v>196.5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34.099999999999966</v>
      </c>
      <c r="X11" s="25">
        <f t="shared" ca="1" si="0"/>
        <v>35.300000000000011</v>
      </c>
      <c r="Y11" s="25">
        <f t="shared" ca="1" si="0"/>
        <v>40.700000000000017</v>
      </c>
      <c r="Z11" s="23">
        <v>26.299999999999983</v>
      </c>
      <c r="AA11" s="23">
        <v>24.599999999999994</v>
      </c>
      <c r="AB11" s="23">
        <v>25.800000000000011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26.299999999999983</v>
      </c>
      <c r="G12" s="110"/>
      <c r="H12" s="111"/>
      <c r="I12" s="109">
        <f>I9-I10</f>
        <v>24.599999999999994</v>
      </c>
      <c r="J12" s="110"/>
      <c r="K12" s="111"/>
      <c r="L12" s="109">
        <f>L9-L10</f>
        <v>25.800000000000011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265.10000000000002</v>
      </c>
      <c r="X12" s="25">
        <f t="shared" ca="1" si="0"/>
        <v>245.5</v>
      </c>
      <c r="Y12" s="25">
        <f t="shared" ca="1" si="0"/>
        <v>254.9</v>
      </c>
      <c r="Z12" s="23">
        <v>186.10000000000002</v>
      </c>
      <c r="AA12" s="23">
        <v>197.9</v>
      </c>
      <c r="AB12" s="23">
        <v>196.5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186.10000000000002</v>
      </c>
      <c r="G13" s="110"/>
      <c r="H13" s="111"/>
      <c r="I13" s="109">
        <f>I10-I11</f>
        <v>197.9</v>
      </c>
      <c r="J13" s="110"/>
      <c r="K13" s="111"/>
      <c r="L13" s="109">
        <f>L10-L11</f>
        <v>196.5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12.863070539419072</v>
      </c>
      <c r="X13" s="28">
        <f ca="1">(X11/X12)*100</f>
        <v>14.37881873727088</v>
      </c>
      <c r="Y13" s="28">
        <f ca="1">(Y11/Y12)*100</f>
        <v>15.967045900353085</v>
      </c>
      <c r="Z13" s="29">
        <v>14.132186996238572</v>
      </c>
      <c r="AA13" s="29">
        <v>12.430520464881251</v>
      </c>
      <c r="AB13" s="29">
        <v>13.129770992366419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14.132186996238572</v>
      </c>
      <c r="G14" s="96"/>
      <c r="H14" s="103"/>
      <c r="I14" s="95">
        <f>(I12/I13)*100</f>
        <v>12.430520464881251</v>
      </c>
      <c r="J14" s="96"/>
      <c r="K14" s="103"/>
      <c r="L14" s="95">
        <f>(L12/L13)*100</f>
        <v>13.129770992366419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13.230826151162079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11.397058823529401</v>
      </c>
      <c r="X15" s="31">
        <f t="shared" ca="1" si="1"/>
        <v>12.571225071225076</v>
      </c>
      <c r="Y15" s="31">
        <f t="shared" ca="1" si="1"/>
        <v>13.768606224627881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12.382297551789069</v>
      </c>
      <c r="G16" s="96"/>
      <c r="H16" s="96"/>
      <c r="I16" s="95">
        <f>(I12/(I12+I13))*100</f>
        <v>11.056179775280896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6B08-46B4-4AAD-8479-9B61E030E0DA}">
  <dimension ref="A1:AB40"/>
  <sheetViews>
    <sheetView zoomScaleNormal="100" zoomScaleSheetLayoutView="100" workbookViewId="0">
      <selection activeCell="C23" sqref="C23:H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122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120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123</v>
      </c>
      <c r="G7" s="123"/>
      <c r="H7" s="123"/>
      <c r="I7" s="122" t="s">
        <v>124</v>
      </c>
      <c r="J7" s="123"/>
      <c r="K7" s="123"/>
      <c r="L7" s="122" t="s">
        <v>125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231</v>
      </c>
      <c r="X8" s="22">
        <f ca="1">RANDBETWEEN((W8-50)/0.1,(W8+50)/0.1)*0.1</f>
        <v>279</v>
      </c>
      <c r="Y8" s="22">
        <f ca="1">RANDBETWEEN((X8-50)/0.1,(X8+50)/0.1)*0.1</f>
        <v>276.8</v>
      </c>
      <c r="Z8" s="23">
        <v>217.5</v>
      </c>
      <c r="AA8" s="23">
        <v>250.10000000000002</v>
      </c>
      <c r="AB8" s="23">
        <v>237.9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217.5</v>
      </c>
      <c r="G9" s="113"/>
      <c r="H9" s="114"/>
      <c r="I9" s="112">
        <f>AA8</f>
        <v>250.10000000000002</v>
      </c>
      <c r="J9" s="113"/>
      <c r="K9" s="114"/>
      <c r="L9" s="112">
        <f>AB8</f>
        <v>237.9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202.70000000000002</v>
      </c>
      <c r="X9" s="22">
        <f ca="1">RANDBETWEEN((X8*T10)/0.1,(X8*U10)/0.1)*0.1</f>
        <v>240.70000000000002</v>
      </c>
      <c r="Y9" s="22">
        <f ca="1">RANDBETWEEN((Y8*T10)/0.1,(Y8*U10)/0.1)*0.1</f>
        <v>246.60000000000002</v>
      </c>
      <c r="Z9" s="23">
        <v>189.4</v>
      </c>
      <c r="AA9" s="23">
        <v>216.3</v>
      </c>
      <c r="AB9" s="23">
        <v>210.3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189.4</v>
      </c>
      <c r="G10" s="113"/>
      <c r="H10" s="114"/>
      <c r="I10" s="112">
        <f>AA9</f>
        <v>216.3</v>
      </c>
      <c r="J10" s="113"/>
      <c r="K10" s="114"/>
      <c r="L10" s="112">
        <f>AB9</f>
        <v>210.3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28.299999999999983</v>
      </c>
      <c r="X11" s="25">
        <f t="shared" ca="1" si="0"/>
        <v>38.299999999999983</v>
      </c>
      <c r="Y11" s="25">
        <f t="shared" ca="1" si="0"/>
        <v>30.199999999999989</v>
      </c>
      <c r="Z11" s="23">
        <v>28.099999999999994</v>
      </c>
      <c r="AA11" s="23">
        <v>33.800000000000011</v>
      </c>
      <c r="AB11" s="23">
        <v>27.599999999999994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28.099999999999994</v>
      </c>
      <c r="G12" s="110"/>
      <c r="H12" s="111"/>
      <c r="I12" s="109">
        <f>I9-I10</f>
        <v>33.800000000000011</v>
      </c>
      <c r="J12" s="110"/>
      <c r="K12" s="111"/>
      <c r="L12" s="109">
        <f>L9-L10</f>
        <v>27.599999999999994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202.70000000000002</v>
      </c>
      <c r="X12" s="25">
        <f t="shared" ca="1" si="0"/>
        <v>240.70000000000002</v>
      </c>
      <c r="Y12" s="25">
        <f t="shared" ca="1" si="0"/>
        <v>246.60000000000002</v>
      </c>
      <c r="Z12" s="23">
        <v>189.4</v>
      </c>
      <c r="AA12" s="23">
        <v>216.3</v>
      </c>
      <c r="AB12" s="23">
        <v>210.3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189.4</v>
      </c>
      <c r="G13" s="110"/>
      <c r="H13" s="111"/>
      <c r="I13" s="109">
        <f>I10-I11</f>
        <v>216.3</v>
      </c>
      <c r="J13" s="110"/>
      <c r="K13" s="111"/>
      <c r="L13" s="109">
        <f>L10-L11</f>
        <v>210.3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13.961519486926482</v>
      </c>
      <c r="X13" s="28">
        <f ca="1">(X11/X12)*100</f>
        <v>15.911923556294132</v>
      </c>
      <c r="Y13" s="28">
        <f ca="1">(Y11/Y12)*100</f>
        <v>12.246553122465526</v>
      </c>
      <c r="Z13" s="29">
        <v>14.836325237592392</v>
      </c>
      <c r="AA13" s="29">
        <v>15.626444752658349</v>
      </c>
      <c r="AB13" s="29">
        <v>13.124108416547786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14.836325237592392</v>
      </c>
      <c r="G14" s="96"/>
      <c r="H14" s="103"/>
      <c r="I14" s="95">
        <f>(I12/I13)*100</f>
        <v>15.626444752658349</v>
      </c>
      <c r="J14" s="96"/>
      <c r="K14" s="103"/>
      <c r="L14" s="95">
        <f>(L12/L13)*100</f>
        <v>13.124108416547786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14.528959468932841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12.251082251082243</v>
      </c>
      <c r="X15" s="31">
        <f t="shared" ca="1" si="1"/>
        <v>13.727598566308238</v>
      </c>
      <c r="Y15" s="31">
        <f t="shared" ca="1" si="1"/>
        <v>10.910404624277453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12.919540229885055</v>
      </c>
      <c r="G16" s="96"/>
      <c r="H16" s="96"/>
      <c r="I16" s="95">
        <f>(I12/(I12+I13))*100</f>
        <v>13.514594162335069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F2E0-CF2D-435D-A505-CC8FBE4EF7E0}">
  <dimension ref="A1:AB40"/>
  <sheetViews>
    <sheetView zoomScaleNormal="100" zoomScaleSheetLayoutView="100" workbookViewId="0">
      <selection activeCell="C23" sqref="C23:H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115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120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116</v>
      </c>
      <c r="G7" s="123"/>
      <c r="H7" s="123"/>
      <c r="I7" s="122" t="s">
        <v>117</v>
      </c>
      <c r="J7" s="123"/>
      <c r="K7" s="123"/>
      <c r="L7" s="122" t="s">
        <v>118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254.3</v>
      </c>
      <c r="X8" s="22">
        <f ca="1">RANDBETWEEN((W8-50)/0.1,(W8+50)/0.1)*0.1</f>
        <v>283.7</v>
      </c>
      <c r="Y8" s="22">
        <f ca="1">RANDBETWEEN((X8-50)/0.1,(X8+50)/0.1)*0.1</f>
        <v>327.10000000000002</v>
      </c>
      <c r="Z8" s="23">
        <v>259.8</v>
      </c>
      <c r="AA8" s="23">
        <v>197.60000000000002</v>
      </c>
      <c r="AB8" s="23">
        <v>204.70000000000002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259.8</v>
      </c>
      <c r="G9" s="113"/>
      <c r="H9" s="114"/>
      <c r="I9" s="112">
        <f>AA8</f>
        <v>197.60000000000002</v>
      </c>
      <c r="J9" s="113"/>
      <c r="K9" s="114"/>
      <c r="L9" s="112">
        <f>AB8</f>
        <v>204.70000000000002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221.5</v>
      </c>
      <c r="X9" s="22">
        <f ca="1">RANDBETWEEN((X8*T10)/0.1,(X8*U10)/0.1)*0.1</f>
        <v>251.9</v>
      </c>
      <c r="Y9" s="22">
        <f ca="1">RANDBETWEEN((Y8*T10)/0.1,(Y8*U10)/0.1)*0.1</f>
        <v>281.7</v>
      </c>
      <c r="Z9" s="23">
        <v>229.8</v>
      </c>
      <c r="AA9" s="23">
        <v>175.5</v>
      </c>
      <c r="AB9" s="23">
        <v>177.20000000000002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229.8</v>
      </c>
      <c r="G10" s="113"/>
      <c r="H10" s="114"/>
      <c r="I10" s="112">
        <f>AA9</f>
        <v>175.5</v>
      </c>
      <c r="J10" s="113"/>
      <c r="K10" s="114"/>
      <c r="L10" s="112">
        <f>AB9</f>
        <v>177.20000000000002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32.800000000000011</v>
      </c>
      <c r="X11" s="25">
        <f t="shared" ca="1" si="0"/>
        <v>31.799999999999983</v>
      </c>
      <c r="Y11" s="25">
        <f t="shared" ca="1" si="0"/>
        <v>45.400000000000034</v>
      </c>
      <c r="Z11" s="23">
        <v>30</v>
      </c>
      <c r="AA11" s="23">
        <v>22.100000000000023</v>
      </c>
      <c r="AB11" s="23">
        <v>27.5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30</v>
      </c>
      <c r="G12" s="110"/>
      <c r="H12" s="111"/>
      <c r="I12" s="109">
        <f>I9-I10</f>
        <v>22.100000000000023</v>
      </c>
      <c r="J12" s="110"/>
      <c r="K12" s="111"/>
      <c r="L12" s="109">
        <f>L9-L10</f>
        <v>27.5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221.5</v>
      </c>
      <c r="X12" s="25">
        <f t="shared" ca="1" si="0"/>
        <v>251.9</v>
      </c>
      <c r="Y12" s="25">
        <f t="shared" ca="1" si="0"/>
        <v>281.7</v>
      </c>
      <c r="Z12" s="23">
        <v>229.8</v>
      </c>
      <c r="AA12" s="23">
        <v>175.5</v>
      </c>
      <c r="AB12" s="23">
        <v>177.20000000000002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229.8</v>
      </c>
      <c r="G13" s="110"/>
      <c r="H13" s="111"/>
      <c r="I13" s="109">
        <f>I10-I11</f>
        <v>175.5</v>
      </c>
      <c r="J13" s="110"/>
      <c r="K13" s="111"/>
      <c r="L13" s="109">
        <f>L10-L11</f>
        <v>177.20000000000002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14.808126410835222</v>
      </c>
      <c r="X13" s="28">
        <f ca="1">(X11/X12)*100</f>
        <v>12.624057165541874</v>
      </c>
      <c r="Y13" s="28">
        <f ca="1">(Y11/Y12)*100</f>
        <v>16.116435924742646</v>
      </c>
      <c r="Z13" s="29">
        <v>13.054830287206265</v>
      </c>
      <c r="AA13" s="29">
        <v>12.592592592592606</v>
      </c>
      <c r="AB13" s="29">
        <v>15.519187358916477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13.054830287206265</v>
      </c>
      <c r="G14" s="96"/>
      <c r="H14" s="103"/>
      <c r="I14" s="95">
        <f>(I12/I13)*100</f>
        <v>12.592592592592606</v>
      </c>
      <c r="J14" s="96"/>
      <c r="K14" s="103"/>
      <c r="L14" s="95">
        <f>(L12/L13)*100</f>
        <v>15.519187358916477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13.722203412905117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12.898151789225329</v>
      </c>
      <c r="X15" s="31">
        <f t="shared" ca="1" si="1"/>
        <v>11.209023616496292</v>
      </c>
      <c r="Y15" s="31">
        <f t="shared" ca="1" si="1"/>
        <v>13.879547538978915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11.547344110854503</v>
      </c>
      <c r="G16" s="96"/>
      <c r="H16" s="96"/>
      <c r="I16" s="95">
        <f>(I12/(I12+I13))*100</f>
        <v>11.1842105263158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7BD7-75F2-4D09-A578-801146BE54FA}">
  <dimension ref="A1:AB40"/>
  <sheetViews>
    <sheetView zoomScaleNormal="100" zoomScaleSheetLayoutView="100" workbookViewId="0">
      <selection activeCell="C23" sqref="C23:H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121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115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1" t="s">
        <v>119</v>
      </c>
      <c r="N5" s="121"/>
      <c r="O5" s="121"/>
      <c r="P5" s="121"/>
      <c r="Q5" s="121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116</v>
      </c>
      <c r="G7" s="123"/>
      <c r="H7" s="123"/>
      <c r="I7" s="122" t="s">
        <v>117</v>
      </c>
      <c r="J7" s="123"/>
      <c r="K7" s="123"/>
      <c r="L7" s="122" t="s">
        <v>118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252.20000000000002</v>
      </c>
      <c r="X8" s="22">
        <f ca="1">RANDBETWEEN((W8-50)/0.1,(W8+50)/0.1)*0.1</f>
        <v>239.3</v>
      </c>
      <c r="Y8" s="22">
        <f ca="1">RANDBETWEEN((X8-50)/0.1,(X8+50)/0.1)*0.1</f>
        <v>263.2</v>
      </c>
      <c r="Z8" s="23">
        <v>280.5</v>
      </c>
      <c r="AA8" s="23">
        <v>198.9</v>
      </c>
      <c r="AB8" s="23">
        <v>200.8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280.5</v>
      </c>
      <c r="G9" s="113"/>
      <c r="H9" s="114"/>
      <c r="I9" s="112">
        <f>AA8</f>
        <v>198.9</v>
      </c>
      <c r="J9" s="113"/>
      <c r="K9" s="114"/>
      <c r="L9" s="112">
        <f>AB8</f>
        <v>200.8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224.60000000000002</v>
      </c>
      <c r="X9" s="22">
        <f ca="1">RANDBETWEEN((X8*T10)/0.1,(X8*U10)/0.1)*0.1</f>
        <v>211.8</v>
      </c>
      <c r="Y9" s="22">
        <f ca="1">RANDBETWEEN((Y8*T10)/0.1,(Y8*U10)/0.1)*0.1</f>
        <v>230.60000000000002</v>
      </c>
      <c r="Z9" s="23">
        <v>246.60000000000002</v>
      </c>
      <c r="AA9" s="23">
        <v>172.9</v>
      </c>
      <c r="AB9" s="23">
        <v>175.60000000000002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246.60000000000002</v>
      </c>
      <c r="G10" s="113"/>
      <c r="H10" s="114"/>
      <c r="I10" s="112">
        <f>AA9</f>
        <v>172.9</v>
      </c>
      <c r="J10" s="113"/>
      <c r="K10" s="114"/>
      <c r="L10" s="112">
        <f>AB9</f>
        <v>175.60000000000002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27.599999999999994</v>
      </c>
      <c r="X11" s="25">
        <f t="shared" ca="1" si="0"/>
        <v>27.5</v>
      </c>
      <c r="Y11" s="25">
        <f t="shared" ca="1" si="0"/>
        <v>32.599999999999966</v>
      </c>
      <c r="Z11" s="23">
        <v>33.899999999999977</v>
      </c>
      <c r="AA11" s="23">
        <v>26</v>
      </c>
      <c r="AB11" s="23">
        <v>25.199999999999989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33.899999999999977</v>
      </c>
      <c r="G12" s="110"/>
      <c r="H12" s="111"/>
      <c r="I12" s="109">
        <f>I9-I10</f>
        <v>26</v>
      </c>
      <c r="J12" s="110"/>
      <c r="K12" s="111"/>
      <c r="L12" s="109">
        <f>L9-L10</f>
        <v>25.199999999999989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224.60000000000002</v>
      </c>
      <c r="X12" s="25">
        <f t="shared" ca="1" si="0"/>
        <v>211.8</v>
      </c>
      <c r="Y12" s="25">
        <f t="shared" ca="1" si="0"/>
        <v>230.60000000000002</v>
      </c>
      <c r="Z12" s="23">
        <v>246.60000000000002</v>
      </c>
      <c r="AA12" s="23">
        <v>172.9</v>
      </c>
      <c r="AB12" s="23">
        <v>175.60000000000002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246.60000000000002</v>
      </c>
      <c r="G13" s="110"/>
      <c r="H13" s="111"/>
      <c r="I13" s="109">
        <f>I10-I11</f>
        <v>172.9</v>
      </c>
      <c r="J13" s="110"/>
      <c r="K13" s="111"/>
      <c r="L13" s="109">
        <f>L10-L11</f>
        <v>175.60000000000002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12.288512911843274</v>
      </c>
      <c r="X13" s="28">
        <f ca="1">(X11/X12)*100</f>
        <v>12.983947119924458</v>
      </c>
      <c r="Y13" s="28">
        <f ca="1">(Y11/Y12)*100</f>
        <v>14.13703382480484</v>
      </c>
      <c r="Z13" s="29">
        <v>13.746958637469575</v>
      </c>
      <c r="AA13" s="29">
        <v>15.037593984962406</v>
      </c>
      <c r="AB13" s="29">
        <v>14.350797266514798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13.746958637469575</v>
      </c>
      <c r="G14" s="96"/>
      <c r="H14" s="103"/>
      <c r="I14" s="95">
        <f>(I12/I13)*100</f>
        <v>15.037593984962406</v>
      </c>
      <c r="J14" s="96"/>
      <c r="K14" s="103"/>
      <c r="L14" s="95">
        <f>(L12/L13)*100</f>
        <v>14.350797266514798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14.378449962982259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10.943695479777951</v>
      </c>
      <c r="X15" s="31">
        <f t="shared" ca="1" si="1"/>
        <v>11.491851232762222</v>
      </c>
      <c r="Y15" s="31">
        <f t="shared" ca="1" si="1"/>
        <v>12.386018237082054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12.085561497326196</v>
      </c>
      <c r="G16" s="96"/>
      <c r="H16" s="96"/>
      <c r="I16" s="95">
        <f>(I12/(I12+I13))*100</f>
        <v>13.071895424836603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C5CE-87E8-4903-9D9D-623890F93EB7}">
  <dimension ref="A1:AB40"/>
  <sheetViews>
    <sheetView zoomScaleNormal="100" zoomScaleSheetLayoutView="100" workbookViewId="0">
      <selection activeCell="C23" sqref="C23:H23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106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5" t="s">
        <v>111</v>
      </c>
      <c r="N5" s="125"/>
      <c r="O5" s="125"/>
      <c r="P5" s="125"/>
      <c r="Q5" s="125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109</v>
      </c>
      <c r="G7" s="123"/>
      <c r="H7" s="123"/>
      <c r="I7" s="122" t="s">
        <v>108</v>
      </c>
      <c r="J7" s="123"/>
      <c r="K7" s="123"/>
      <c r="L7" s="122" t="s">
        <v>107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250.4</v>
      </c>
      <c r="X8" s="22">
        <f ca="1">RANDBETWEEN((W8-50)/0.1,(W8+50)/0.1)*0.1</f>
        <v>231.60000000000002</v>
      </c>
      <c r="Y8" s="22">
        <f ca="1">RANDBETWEEN((X8-50)/0.1,(X8+50)/0.1)*0.1</f>
        <v>230.9</v>
      </c>
      <c r="Z8" s="23">
        <v>290</v>
      </c>
      <c r="AA8" s="23">
        <v>213.3</v>
      </c>
      <c r="AB8" s="23">
        <v>218.3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290</v>
      </c>
      <c r="G9" s="113"/>
      <c r="H9" s="114"/>
      <c r="I9" s="112">
        <f>AA8</f>
        <v>213.3</v>
      </c>
      <c r="J9" s="113"/>
      <c r="K9" s="114"/>
      <c r="L9" s="112">
        <f>AB8</f>
        <v>218.3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217.70000000000002</v>
      </c>
      <c r="X9" s="22">
        <f ca="1">RANDBETWEEN((X8*T10)/0.1,(X8*U10)/0.1)*0.1</f>
        <v>202.4</v>
      </c>
      <c r="Y9" s="22">
        <f ca="1">RANDBETWEEN((Y8*T10)/0.1,(Y8*U10)/0.1)*0.1</f>
        <v>199.10000000000002</v>
      </c>
      <c r="Z9" s="23">
        <v>251.8</v>
      </c>
      <c r="AA9" s="23">
        <v>186.5</v>
      </c>
      <c r="AB9" s="23">
        <v>192.20000000000002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251.8</v>
      </c>
      <c r="G10" s="113"/>
      <c r="H10" s="114"/>
      <c r="I10" s="112">
        <f>AA9</f>
        <v>186.5</v>
      </c>
      <c r="J10" s="113"/>
      <c r="K10" s="114"/>
      <c r="L10" s="112">
        <f>AB9</f>
        <v>192.20000000000002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32.699999999999989</v>
      </c>
      <c r="X11" s="25">
        <f t="shared" ca="1" si="0"/>
        <v>29.200000000000017</v>
      </c>
      <c r="Y11" s="25">
        <f t="shared" ca="1" si="0"/>
        <v>31.799999999999983</v>
      </c>
      <c r="Z11" s="23">
        <v>38.199999999999989</v>
      </c>
      <c r="AA11" s="23">
        <v>26.800000000000011</v>
      </c>
      <c r="AB11" s="23">
        <v>26.099999999999994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38.199999999999989</v>
      </c>
      <c r="G12" s="110"/>
      <c r="H12" s="111"/>
      <c r="I12" s="109">
        <f>I9-I10</f>
        <v>26.800000000000011</v>
      </c>
      <c r="J12" s="110"/>
      <c r="K12" s="111"/>
      <c r="L12" s="109">
        <f>L9-L10</f>
        <v>26.099999999999994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217.70000000000002</v>
      </c>
      <c r="X12" s="25">
        <f t="shared" ca="1" si="0"/>
        <v>202.4</v>
      </c>
      <c r="Y12" s="25">
        <f t="shared" ca="1" si="0"/>
        <v>199.10000000000002</v>
      </c>
      <c r="Z12" s="23">
        <v>251.8</v>
      </c>
      <c r="AA12" s="23">
        <v>186.5</v>
      </c>
      <c r="AB12" s="23">
        <v>192.20000000000002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251.8</v>
      </c>
      <c r="G13" s="110"/>
      <c r="H13" s="111"/>
      <c r="I13" s="109">
        <f>I10-I11</f>
        <v>186.5</v>
      </c>
      <c r="J13" s="110"/>
      <c r="K13" s="111"/>
      <c r="L13" s="109">
        <f>L10-L11</f>
        <v>192.20000000000002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15.020670647680287</v>
      </c>
      <c r="X13" s="28">
        <f ca="1">(X11/X12)*100</f>
        <v>14.426877470355739</v>
      </c>
      <c r="Y13" s="28">
        <f ca="1">(Y11/Y12)*100</f>
        <v>15.971873430436956</v>
      </c>
      <c r="Z13" s="29">
        <v>15.170770452740264</v>
      </c>
      <c r="AA13" s="29">
        <v>14.369973190348531</v>
      </c>
      <c r="AB13" s="29">
        <v>13.579604578563991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15.170770452740264</v>
      </c>
      <c r="G14" s="96"/>
      <c r="H14" s="103"/>
      <c r="I14" s="95">
        <f>(I12/I13)*100</f>
        <v>14.369973190348531</v>
      </c>
      <c r="J14" s="96"/>
      <c r="K14" s="103"/>
      <c r="L14" s="95">
        <f>(L12/L13)*100</f>
        <v>13.579604578563991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14.373449407217597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13.0591054313099</v>
      </c>
      <c r="X15" s="31">
        <f t="shared" ca="1" si="1"/>
        <v>12.607944732297069</v>
      </c>
      <c r="Y15" s="31">
        <f t="shared" ca="1" si="1"/>
        <v>13.772195755738407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13.172413793103443</v>
      </c>
      <c r="G16" s="96"/>
      <c r="H16" s="96"/>
      <c r="I16" s="95">
        <f>(I12/(I12+I13))*100</f>
        <v>12.564463197374595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CCD4-4ABE-43FE-823A-7501A10E4B4C}"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106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5" t="s">
        <v>110</v>
      </c>
      <c r="N5" s="125"/>
      <c r="O5" s="125"/>
      <c r="P5" s="125"/>
      <c r="Q5" s="125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109</v>
      </c>
      <c r="G7" s="123"/>
      <c r="H7" s="123"/>
      <c r="I7" s="122" t="s">
        <v>108</v>
      </c>
      <c r="J7" s="123"/>
      <c r="K7" s="123"/>
      <c r="L7" s="122" t="s">
        <v>107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300</v>
      </c>
      <c r="X8" s="22">
        <f ca="1">RANDBETWEEN((W8-50)/0.1,(W8+50)/0.1)*0.1</f>
        <v>264</v>
      </c>
      <c r="Y8" s="22">
        <f ca="1">RANDBETWEEN((X8-50)/0.1,(X8+50)/0.1)*0.1</f>
        <v>244.10000000000002</v>
      </c>
      <c r="Z8" s="23">
        <v>290</v>
      </c>
      <c r="AA8" s="23">
        <v>213.3</v>
      </c>
      <c r="AB8" s="23">
        <v>201.8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290</v>
      </c>
      <c r="G9" s="113"/>
      <c r="H9" s="114"/>
      <c r="I9" s="112">
        <f>AA8</f>
        <v>213.3</v>
      </c>
      <c r="J9" s="113"/>
      <c r="K9" s="114"/>
      <c r="L9" s="112">
        <f>AB8</f>
        <v>201.8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263.90000000000003</v>
      </c>
      <c r="X9" s="22">
        <f ca="1">RANDBETWEEN((X8*T10)/0.1,(X8*U10)/0.1)*0.1</f>
        <v>230.70000000000002</v>
      </c>
      <c r="Y9" s="22">
        <f ca="1">RANDBETWEEN((Y8*T10)/0.1,(Y8*U10)/0.1)*0.1</f>
        <v>214</v>
      </c>
      <c r="Z9" s="23">
        <v>251.8</v>
      </c>
      <c r="AA9" s="23">
        <v>186.5</v>
      </c>
      <c r="AB9" s="23">
        <v>179.4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251.8</v>
      </c>
      <c r="G10" s="113"/>
      <c r="H10" s="114"/>
      <c r="I10" s="112">
        <f>AA9</f>
        <v>186.5</v>
      </c>
      <c r="J10" s="113"/>
      <c r="K10" s="114"/>
      <c r="L10" s="112">
        <f>AB9</f>
        <v>179.4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36.099999999999966</v>
      </c>
      <c r="X11" s="25">
        <f t="shared" ca="1" si="0"/>
        <v>33.299999999999983</v>
      </c>
      <c r="Y11" s="25">
        <f t="shared" ca="1" si="0"/>
        <v>30.100000000000023</v>
      </c>
      <c r="Z11" s="23">
        <v>38.199999999999989</v>
      </c>
      <c r="AA11" s="23">
        <v>26.800000000000011</v>
      </c>
      <c r="AB11" s="23">
        <v>22.400000000000006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38.199999999999989</v>
      </c>
      <c r="G12" s="110"/>
      <c r="H12" s="111"/>
      <c r="I12" s="109">
        <f>I9-I10</f>
        <v>26.800000000000011</v>
      </c>
      <c r="J12" s="110"/>
      <c r="K12" s="111"/>
      <c r="L12" s="109">
        <f>L9-L10</f>
        <v>22.400000000000006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263.90000000000003</v>
      </c>
      <c r="X12" s="25">
        <f t="shared" ca="1" si="0"/>
        <v>230.70000000000002</v>
      </c>
      <c r="Y12" s="25">
        <f t="shared" ca="1" si="0"/>
        <v>214</v>
      </c>
      <c r="Z12" s="23">
        <v>251.8</v>
      </c>
      <c r="AA12" s="23">
        <v>186.5</v>
      </c>
      <c r="AB12" s="23">
        <v>179.4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251.8</v>
      </c>
      <c r="G13" s="110"/>
      <c r="H13" s="111"/>
      <c r="I13" s="109">
        <f>I10-I11</f>
        <v>186.5</v>
      </c>
      <c r="J13" s="110"/>
      <c r="K13" s="111"/>
      <c r="L13" s="109">
        <f>L10-L11</f>
        <v>179.4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13.679424024251595</v>
      </c>
      <c r="X13" s="28">
        <f ca="1">(X11/X12)*100</f>
        <v>14.434330299089718</v>
      </c>
      <c r="Y13" s="28">
        <f ca="1">(Y11/Y12)*100</f>
        <v>14.065420560747674</v>
      </c>
      <c r="Z13" s="29">
        <v>15.170770452740264</v>
      </c>
      <c r="AA13" s="29">
        <v>14.369973190348531</v>
      </c>
      <c r="AB13" s="29">
        <v>12.486064659977707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15.170770452740264</v>
      </c>
      <c r="G14" s="96"/>
      <c r="H14" s="103"/>
      <c r="I14" s="95">
        <f>(I12/I13)*100</f>
        <v>14.369973190348531</v>
      </c>
      <c r="J14" s="96"/>
      <c r="K14" s="103"/>
      <c r="L14" s="95">
        <f>(L12/L13)*100</f>
        <v>12.486064659977707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14.008936101022167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12.033333333333323</v>
      </c>
      <c r="X15" s="31">
        <f t="shared" ca="1" si="1"/>
        <v>12.613636363636358</v>
      </c>
      <c r="Y15" s="31">
        <f t="shared" ca="1" si="1"/>
        <v>12.331011880376904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13.172413793103443</v>
      </c>
      <c r="G16" s="96"/>
      <c r="H16" s="96"/>
      <c r="I16" s="95">
        <f>(I12/(I12+I13))*100</f>
        <v>12.564463197374595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95BD-6612-496E-924A-670CFB756D29}"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102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84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103</v>
      </c>
      <c r="G7" s="123"/>
      <c r="H7" s="123"/>
      <c r="I7" s="122" t="s">
        <v>104</v>
      </c>
      <c r="J7" s="123"/>
      <c r="K7" s="123"/>
      <c r="L7" s="122" t="s">
        <v>105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240.8</v>
      </c>
      <c r="X8" s="22">
        <f ca="1">RANDBETWEEN((W8-50)/0.1,(W8+50)/0.1)*0.1</f>
        <v>281.7</v>
      </c>
      <c r="Y8" s="22">
        <f ca="1">RANDBETWEEN((X8-50)/0.1,(X8+50)/0.1)*0.1</f>
        <v>281.60000000000002</v>
      </c>
      <c r="Z8" s="23">
        <v>298.60000000000002</v>
      </c>
      <c r="AA8" s="23">
        <v>240.70000000000002</v>
      </c>
      <c r="AB8" s="23">
        <v>218.4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298.60000000000002</v>
      </c>
      <c r="G9" s="113"/>
      <c r="H9" s="114"/>
      <c r="I9" s="112">
        <f>AA8</f>
        <v>240.70000000000002</v>
      </c>
      <c r="J9" s="113"/>
      <c r="K9" s="114"/>
      <c r="L9" s="112">
        <f>AB8</f>
        <v>218.4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210.60000000000002</v>
      </c>
      <c r="X9" s="22">
        <f ca="1">RANDBETWEEN((X8*T10)/0.1,(X8*U10)/0.1)*0.1</f>
        <v>250.70000000000002</v>
      </c>
      <c r="Y9" s="22">
        <f ca="1">RANDBETWEEN((Y8*T10)/0.1,(Y8*U10)/0.1)*0.1</f>
        <v>246.20000000000002</v>
      </c>
      <c r="Z9" s="23">
        <v>264.8</v>
      </c>
      <c r="AA9" s="23">
        <v>211</v>
      </c>
      <c r="AB9" s="23">
        <v>192.5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264.8</v>
      </c>
      <c r="G10" s="113"/>
      <c r="H10" s="114"/>
      <c r="I10" s="112">
        <f>AA9</f>
        <v>211</v>
      </c>
      <c r="J10" s="113"/>
      <c r="K10" s="114"/>
      <c r="L10" s="112">
        <f>AB9</f>
        <v>192.5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30.199999999999989</v>
      </c>
      <c r="X11" s="25">
        <f t="shared" ca="1" si="0"/>
        <v>30.999999999999972</v>
      </c>
      <c r="Y11" s="25">
        <f t="shared" ca="1" si="0"/>
        <v>35.400000000000006</v>
      </c>
      <c r="Z11" s="23">
        <v>33.800000000000011</v>
      </c>
      <c r="AA11" s="23">
        <v>29.700000000000017</v>
      </c>
      <c r="AB11" s="23">
        <v>25.900000000000006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33.800000000000011</v>
      </c>
      <c r="G12" s="110"/>
      <c r="H12" s="111"/>
      <c r="I12" s="109">
        <f>I9-I10</f>
        <v>29.700000000000017</v>
      </c>
      <c r="J12" s="110"/>
      <c r="K12" s="111"/>
      <c r="L12" s="109">
        <f>L9-L10</f>
        <v>25.900000000000006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210.60000000000002</v>
      </c>
      <c r="X12" s="25">
        <f t="shared" ca="1" si="0"/>
        <v>250.70000000000002</v>
      </c>
      <c r="Y12" s="25">
        <f t="shared" ca="1" si="0"/>
        <v>246.20000000000002</v>
      </c>
      <c r="Z12" s="23">
        <v>264.8</v>
      </c>
      <c r="AA12" s="23">
        <v>211</v>
      </c>
      <c r="AB12" s="23">
        <v>192.5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264.8</v>
      </c>
      <c r="G13" s="110"/>
      <c r="H13" s="111"/>
      <c r="I13" s="109">
        <f>I10-I11</f>
        <v>211</v>
      </c>
      <c r="J13" s="110"/>
      <c r="K13" s="111"/>
      <c r="L13" s="109">
        <f>L10-L11</f>
        <v>192.5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14.339981006647667</v>
      </c>
      <c r="X13" s="28">
        <f ca="1">(X11/X12)*100</f>
        <v>12.365376944555234</v>
      </c>
      <c r="Y13" s="28">
        <f ca="1">(Y11/Y12)*100</f>
        <v>14.37855402112104</v>
      </c>
      <c r="Z13" s="29">
        <v>12.764350453172209</v>
      </c>
      <c r="AA13" s="29">
        <v>14.075829383886266</v>
      </c>
      <c r="AB13" s="29">
        <v>13.454545454545459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12.764350453172209</v>
      </c>
      <c r="G14" s="96"/>
      <c r="H14" s="103"/>
      <c r="I14" s="95">
        <f>(I12/I13)*100</f>
        <v>14.075829383886266</v>
      </c>
      <c r="J14" s="96"/>
      <c r="K14" s="103"/>
      <c r="L14" s="95">
        <f>(L12/L13)*100</f>
        <v>13.454545454545459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13.431575097201311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12.541528239202652</v>
      </c>
      <c r="X15" s="31">
        <f t="shared" ca="1" si="1"/>
        <v>11.004614838480643</v>
      </c>
      <c r="Y15" s="31">
        <f t="shared" ca="1" si="1"/>
        <v>12.57102272727273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11.319490957803085</v>
      </c>
      <c r="G16" s="96"/>
      <c r="H16" s="96"/>
      <c r="I16" s="95">
        <f>(I12/(I12+I13))*100</f>
        <v>12.339011217282932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486A-0672-4E80-9758-16A0FB6D8AD7}"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98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84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99</v>
      </c>
      <c r="G7" s="123"/>
      <c r="H7" s="123"/>
      <c r="I7" s="122" t="s">
        <v>100</v>
      </c>
      <c r="J7" s="123"/>
      <c r="K7" s="123"/>
      <c r="L7" s="122" t="s">
        <v>101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68</v>
      </c>
      <c r="G8" s="105"/>
      <c r="H8" s="118"/>
      <c r="I8" s="104" t="s">
        <v>69</v>
      </c>
      <c r="J8" s="105"/>
      <c r="K8" s="118"/>
      <c r="L8" s="104" t="s">
        <v>70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216.9</v>
      </c>
      <c r="X8" s="22">
        <f ca="1">RANDBETWEEN((W8-50)/0.1,(W8+50)/0.1)*0.1</f>
        <v>266.2</v>
      </c>
      <c r="Y8" s="22">
        <f ca="1">RANDBETWEEN((X8-50)/0.1,(X8+50)/0.1)*0.1</f>
        <v>271.10000000000002</v>
      </c>
      <c r="Z8" s="23">
        <v>253.10000000000002</v>
      </c>
      <c r="AA8" s="23">
        <v>235.10000000000002</v>
      </c>
      <c r="AB8" s="23">
        <v>260.2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253.10000000000002</v>
      </c>
      <c r="G9" s="113"/>
      <c r="H9" s="114"/>
      <c r="I9" s="112">
        <f>AA8</f>
        <v>235.10000000000002</v>
      </c>
      <c r="J9" s="113"/>
      <c r="K9" s="114"/>
      <c r="L9" s="112">
        <f>AB8</f>
        <v>260.2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187.4</v>
      </c>
      <c r="X9" s="22">
        <f ca="1">RANDBETWEEN((X8*T10)/0.1,(X8*U10)/0.1)*0.1</f>
        <v>230.5</v>
      </c>
      <c r="Y9" s="22">
        <f ca="1">RANDBETWEEN((Y8*T10)/0.1,(Y8*U10)/0.1)*0.1</f>
        <v>236.4</v>
      </c>
      <c r="Z9" s="23">
        <v>222.5</v>
      </c>
      <c r="AA9" s="23">
        <v>208.5</v>
      </c>
      <c r="AB9" s="23">
        <v>227.60000000000002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222.5</v>
      </c>
      <c r="G10" s="113"/>
      <c r="H10" s="114"/>
      <c r="I10" s="112">
        <f>AA9</f>
        <v>208.5</v>
      </c>
      <c r="J10" s="113"/>
      <c r="K10" s="114"/>
      <c r="L10" s="112">
        <f>AB9</f>
        <v>227.60000000000002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29.5</v>
      </c>
      <c r="X11" s="25">
        <f t="shared" ca="1" si="0"/>
        <v>35.699999999999989</v>
      </c>
      <c r="Y11" s="25">
        <f t="shared" ca="1" si="0"/>
        <v>34.700000000000017</v>
      </c>
      <c r="Z11" s="23">
        <v>30.600000000000023</v>
      </c>
      <c r="AA11" s="23">
        <v>26.600000000000023</v>
      </c>
      <c r="AB11" s="23">
        <v>32.599999999999966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30.600000000000023</v>
      </c>
      <c r="G12" s="110"/>
      <c r="H12" s="111"/>
      <c r="I12" s="109">
        <f>I9-I10</f>
        <v>26.600000000000023</v>
      </c>
      <c r="J12" s="110"/>
      <c r="K12" s="111"/>
      <c r="L12" s="109">
        <f>L9-L10</f>
        <v>32.599999999999966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187.4</v>
      </c>
      <c r="X12" s="25">
        <f t="shared" ca="1" si="0"/>
        <v>230.5</v>
      </c>
      <c r="Y12" s="25">
        <f t="shared" ca="1" si="0"/>
        <v>236.4</v>
      </c>
      <c r="Z12" s="23">
        <v>222.5</v>
      </c>
      <c r="AA12" s="23">
        <v>208.5</v>
      </c>
      <c r="AB12" s="23">
        <v>227.60000000000002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222.5</v>
      </c>
      <c r="G13" s="110"/>
      <c r="H13" s="111"/>
      <c r="I13" s="109">
        <f>I10-I11</f>
        <v>208.5</v>
      </c>
      <c r="J13" s="110"/>
      <c r="K13" s="111"/>
      <c r="L13" s="109">
        <f>L10-L11</f>
        <v>227.60000000000002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15.741728922091783</v>
      </c>
      <c r="X13" s="28">
        <f ca="1">(X11/X12)*100</f>
        <v>15.488069414316699</v>
      </c>
      <c r="Y13" s="28">
        <f ca="1">(Y11/Y12)*100</f>
        <v>14.678510998307958</v>
      </c>
      <c r="Z13" s="29">
        <v>13.752808988764057</v>
      </c>
      <c r="AA13" s="29">
        <v>12.757793764988021</v>
      </c>
      <c r="AB13" s="29">
        <v>14.323374340949016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13.752808988764057</v>
      </c>
      <c r="G14" s="96"/>
      <c r="H14" s="103"/>
      <c r="I14" s="95">
        <f>(I12/I13)*100</f>
        <v>12.757793764988021</v>
      </c>
      <c r="J14" s="96"/>
      <c r="K14" s="103"/>
      <c r="L14" s="95">
        <f>(L12/L13)*100</f>
        <v>14.323374340949016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13.611325698233699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13.600737667127708</v>
      </c>
      <c r="X15" s="31">
        <f t="shared" ca="1" si="1"/>
        <v>13.410969196093159</v>
      </c>
      <c r="Y15" s="31">
        <f t="shared" ca="1" si="1"/>
        <v>12.799704905938771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12.090082971157653</v>
      </c>
      <c r="G16" s="96"/>
      <c r="H16" s="96"/>
      <c r="I16" s="95">
        <f>(I12/(I12+I13))*100</f>
        <v>11.314334325818809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C54-7624-4661-9ABA-C504C8421204}">
  <sheetPr>
    <pageSetUpPr fitToPage="1"/>
  </sheetPr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91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95</v>
      </c>
      <c r="G7" s="123"/>
      <c r="H7" s="123"/>
      <c r="I7" s="122" t="s">
        <v>96</v>
      </c>
      <c r="J7" s="123"/>
      <c r="K7" s="123"/>
      <c r="L7" s="122" t="s">
        <v>97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255.20000000000002</v>
      </c>
      <c r="X8" s="22">
        <f ca="1">RANDBETWEEN((W8-50)/0.1,(W8+50)/0.1)*0.1</f>
        <v>215.5</v>
      </c>
      <c r="Y8" s="22">
        <f ca="1">RANDBETWEEN((X8-50)/0.1,(X8+50)/0.1)*0.1</f>
        <v>197.9</v>
      </c>
      <c r="Z8" s="23">
        <v>247.60000000000002</v>
      </c>
      <c r="AA8" s="23">
        <v>206.9</v>
      </c>
      <c r="AB8" s="23">
        <v>229.3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247.60000000000002</v>
      </c>
      <c r="G9" s="113"/>
      <c r="H9" s="114"/>
      <c r="I9" s="112">
        <f>AA8</f>
        <v>206.9</v>
      </c>
      <c r="J9" s="113"/>
      <c r="K9" s="114"/>
      <c r="L9" s="112">
        <f>AB8</f>
        <v>229.3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221.60000000000002</v>
      </c>
      <c r="X9" s="22">
        <f ca="1">RANDBETWEEN((X8*T10)/0.1,(X8*U10)/0.1)*0.1</f>
        <v>191.5</v>
      </c>
      <c r="Y9" s="22">
        <f ca="1">RANDBETWEEN((Y8*T10)/0.1,(Y8*U10)/0.1)*0.1</f>
        <v>175.4</v>
      </c>
      <c r="Z9" s="23">
        <v>213.60000000000002</v>
      </c>
      <c r="AA9" s="23">
        <v>181.70000000000002</v>
      </c>
      <c r="AB9" s="23">
        <v>200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213.60000000000002</v>
      </c>
      <c r="G10" s="113"/>
      <c r="H10" s="114"/>
      <c r="I10" s="112">
        <f>AA9</f>
        <v>181.70000000000002</v>
      </c>
      <c r="J10" s="113"/>
      <c r="K10" s="114"/>
      <c r="L10" s="112">
        <f>AB9</f>
        <v>200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33.599999999999994</v>
      </c>
      <c r="X11" s="25">
        <f t="shared" ca="1" si="0"/>
        <v>24</v>
      </c>
      <c r="Y11" s="25">
        <f t="shared" ca="1" si="0"/>
        <v>22.5</v>
      </c>
      <c r="Z11" s="23">
        <v>34</v>
      </c>
      <c r="AA11" s="23">
        <v>25.199999999999989</v>
      </c>
      <c r="AB11" s="23">
        <v>29.300000000000011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34</v>
      </c>
      <c r="G12" s="110"/>
      <c r="H12" s="111"/>
      <c r="I12" s="109">
        <f>I9-I10</f>
        <v>25.199999999999989</v>
      </c>
      <c r="J12" s="110"/>
      <c r="K12" s="111"/>
      <c r="L12" s="109">
        <f>L9-L10</f>
        <v>29.300000000000011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221.60000000000002</v>
      </c>
      <c r="X12" s="25">
        <f t="shared" ca="1" si="0"/>
        <v>191.5</v>
      </c>
      <c r="Y12" s="25">
        <f t="shared" ca="1" si="0"/>
        <v>175.4</v>
      </c>
      <c r="Z12" s="23">
        <v>213.60000000000002</v>
      </c>
      <c r="AA12" s="23">
        <v>181.70000000000002</v>
      </c>
      <c r="AB12" s="23">
        <v>200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213.60000000000002</v>
      </c>
      <c r="G13" s="110"/>
      <c r="H13" s="111"/>
      <c r="I13" s="109">
        <f>I10-I11</f>
        <v>181.70000000000002</v>
      </c>
      <c r="J13" s="110"/>
      <c r="K13" s="111"/>
      <c r="L13" s="109">
        <f>L10-L11</f>
        <v>200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15.162454873646206</v>
      </c>
      <c r="X13" s="28">
        <f ca="1">(X11/X12)*100</f>
        <v>12.532637075718014</v>
      </c>
      <c r="Y13" s="28">
        <f ca="1">(Y11/Y12)*100</f>
        <v>12.827822120866591</v>
      </c>
      <c r="Z13" s="29">
        <v>15.917602996254679</v>
      </c>
      <c r="AA13" s="29">
        <v>13.869014859658771</v>
      </c>
      <c r="AB13" s="29">
        <v>14.650000000000004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15.917602996254679</v>
      </c>
      <c r="G14" s="96"/>
      <c r="H14" s="103"/>
      <c r="I14" s="95">
        <f>(I12/I13)*100</f>
        <v>13.869014859658771</v>
      </c>
      <c r="J14" s="96"/>
      <c r="K14" s="103"/>
      <c r="L14" s="95">
        <f>(L12/L13)*100</f>
        <v>14.650000000000004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14.812205951971151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13.166144200626956</v>
      </c>
      <c r="X15" s="31">
        <f t="shared" ca="1" si="1"/>
        <v>11.136890951276101</v>
      </c>
      <c r="Y15" s="31">
        <f t="shared" ca="1" si="1"/>
        <v>11.369378473976756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13.731825525040387</v>
      </c>
      <c r="G16" s="96"/>
      <c r="H16" s="96"/>
      <c r="I16" s="95">
        <f>(I12/(I12+I13))*100</f>
        <v>12.179797003383271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6BC8-B333-44F3-A388-6210C7F804EE}">
  <sheetPr>
    <pageSetUpPr fitToPage="1"/>
  </sheetPr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91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5" t="s">
        <v>111</v>
      </c>
      <c r="N5" s="125"/>
      <c r="O5" s="125"/>
      <c r="P5" s="125"/>
      <c r="Q5" s="125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92</v>
      </c>
      <c r="G7" s="123"/>
      <c r="H7" s="123"/>
      <c r="I7" s="122" t="s">
        <v>93</v>
      </c>
      <c r="J7" s="123"/>
      <c r="K7" s="123"/>
      <c r="L7" s="122" t="s">
        <v>94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112</v>
      </c>
      <c r="G8" s="105"/>
      <c r="H8" s="118"/>
      <c r="I8" s="104" t="s">
        <v>113</v>
      </c>
      <c r="J8" s="105"/>
      <c r="K8" s="118"/>
      <c r="L8" s="104" t="s">
        <v>114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276.60000000000002</v>
      </c>
      <c r="X8" s="22">
        <f ca="1">RANDBETWEEN((W8-50)/0.1,(W8+50)/0.1)*0.1</f>
        <v>283.8</v>
      </c>
      <c r="Y8" s="22">
        <f ca="1">RANDBETWEEN((X8-50)/0.1,(X8+50)/0.1)*0.1</f>
        <v>268.5</v>
      </c>
      <c r="Z8" s="23">
        <v>212.20000000000002</v>
      </c>
      <c r="AA8" s="23">
        <v>313.5</v>
      </c>
      <c r="AB8" s="23">
        <v>206.10000000000002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212.20000000000002</v>
      </c>
      <c r="G9" s="113"/>
      <c r="H9" s="114"/>
      <c r="I9" s="112">
        <f>AA8</f>
        <v>313.5</v>
      </c>
      <c r="J9" s="113"/>
      <c r="K9" s="114"/>
      <c r="L9" s="112">
        <f>AB8</f>
        <v>206.10000000000002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241.10000000000002</v>
      </c>
      <c r="X9" s="22">
        <f ca="1">RANDBETWEEN((X8*T10)/0.1,(X8*U10)/0.1)*0.1</f>
        <v>251.20000000000002</v>
      </c>
      <c r="Y9" s="22">
        <f ca="1">RANDBETWEEN((Y8*T10)/0.1,(Y8*U10)/0.1)*0.1</f>
        <v>235.8</v>
      </c>
      <c r="Z9" s="23">
        <v>186.9</v>
      </c>
      <c r="AA9" s="23">
        <v>278.90000000000003</v>
      </c>
      <c r="AB9" s="23">
        <v>179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186.9</v>
      </c>
      <c r="G10" s="113"/>
      <c r="H10" s="114"/>
      <c r="I10" s="112">
        <f>AA9</f>
        <v>278.90000000000003</v>
      </c>
      <c r="J10" s="113"/>
      <c r="K10" s="114"/>
      <c r="L10" s="112">
        <f>AB9</f>
        <v>179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35.5</v>
      </c>
      <c r="X11" s="25">
        <f t="shared" ca="1" si="0"/>
        <v>32.599999999999994</v>
      </c>
      <c r="Y11" s="25">
        <f t="shared" ca="1" si="0"/>
        <v>32.699999999999989</v>
      </c>
      <c r="Z11" s="23">
        <v>25.300000000000011</v>
      </c>
      <c r="AA11" s="23">
        <v>34.599999999999966</v>
      </c>
      <c r="AB11" s="23">
        <v>27.100000000000023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25.300000000000011</v>
      </c>
      <c r="G12" s="110"/>
      <c r="H12" s="111"/>
      <c r="I12" s="109">
        <f>I9-I10</f>
        <v>34.599999999999966</v>
      </c>
      <c r="J12" s="110"/>
      <c r="K12" s="111"/>
      <c r="L12" s="109">
        <f>L9-L10</f>
        <v>27.100000000000023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241.10000000000002</v>
      </c>
      <c r="X12" s="25">
        <f t="shared" ca="1" si="0"/>
        <v>251.20000000000002</v>
      </c>
      <c r="Y12" s="25">
        <f t="shared" ca="1" si="0"/>
        <v>235.8</v>
      </c>
      <c r="Z12" s="23">
        <v>186.9</v>
      </c>
      <c r="AA12" s="23">
        <v>278.90000000000003</v>
      </c>
      <c r="AB12" s="23">
        <v>179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186.9</v>
      </c>
      <c r="G13" s="110"/>
      <c r="H13" s="111"/>
      <c r="I13" s="109">
        <f>I10-I11</f>
        <v>278.90000000000003</v>
      </c>
      <c r="J13" s="110"/>
      <c r="K13" s="111"/>
      <c r="L13" s="109">
        <f>L10-L11</f>
        <v>179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14.724180837826625</v>
      </c>
      <c r="X13" s="28">
        <f ca="1">(X11/X12)*100</f>
        <v>12.977707006369425</v>
      </c>
      <c r="Y13" s="28">
        <f ca="1">(Y11/Y12)*100</f>
        <v>13.867684478371494</v>
      </c>
      <c r="Z13" s="29">
        <v>13.536650615302307</v>
      </c>
      <c r="AA13" s="29">
        <v>12.405880243814973</v>
      </c>
      <c r="AB13" s="29">
        <v>15.139664804469286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13.536650615302307</v>
      </c>
      <c r="G14" s="96"/>
      <c r="H14" s="103"/>
      <c r="I14" s="95">
        <f>(I12/I13)*100</f>
        <v>12.405880243814973</v>
      </c>
      <c r="J14" s="96"/>
      <c r="K14" s="103"/>
      <c r="L14" s="95">
        <f>(L12/L13)*100</f>
        <v>15.139664804469286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13.694065221195522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12.834417932031814</v>
      </c>
      <c r="X15" s="31">
        <f t="shared" ca="1" si="1"/>
        <v>11.486962649753345</v>
      </c>
      <c r="Y15" s="31">
        <f t="shared" ca="1" si="1"/>
        <v>12.178770949720667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11.922714420358158</v>
      </c>
      <c r="G16" s="96"/>
      <c r="H16" s="96"/>
      <c r="I16" s="95">
        <f>(I12/(I12+I13))*100</f>
        <v>11.036682615629974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8C65-0971-42B1-93CA-3F2D170CC95E}">
  <sheetPr>
    <pageSetUpPr fitToPage="1"/>
  </sheetPr>
  <dimension ref="A1:AB40"/>
  <sheetViews>
    <sheetView zoomScaleNormal="100" zoomScaleSheetLayoutView="100" workbookViewId="0">
      <selection activeCell="V22" sqref="V22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91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5" t="s">
        <v>110</v>
      </c>
      <c r="N5" s="125"/>
      <c r="O5" s="125"/>
      <c r="P5" s="125"/>
      <c r="Q5" s="125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92</v>
      </c>
      <c r="G7" s="123"/>
      <c r="H7" s="123"/>
      <c r="I7" s="122" t="s">
        <v>93</v>
      </c>
      <c r="J7" s="123"/>
      <c r="K7" s="123"/>
      <c r="L7" s="122" t="s">
        <v>94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289.10000000000002</v>
      </c>
      <c r="X8" s="22">
        <f ca="1">RANDBETWEEN((W8-50)/0.1,(W8+50)/0.1)*0.1</f>
        <v>313.70000000000005</v>
      </c>
      <c r="Y8" s="22">
        <f ca="1">RANDBETWEEN((X8-50)/0.1,(X8+50)/0.1)*0.1</f>
        <v>363.1</v>
      </c>
      <c r="Z8" s="23">
        <v>207</v>
      </c>
      <c r="AA8" s="23">
        <v>242.4</v>
      </c>
      <c r="AB8" s="23">
        <v>236.8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207</v>
      </c>
      <c r="G9" s="113"/>
      <c r="H9" s="114"/>
      <c r="I9" s="112">
        <f>AA8</f>
        <v>242.4</v>
      </c>
      <c r="J9" s="113"/>
      <c r="K9" s="114"/>
      <c r="L9" s="112">
        <f>AB8</f>
        <v>236.8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251.8</v>
      </c>
      <c r="X9" s="22">
        <f ca="1">RANDBETWEEN((X8*T10)/0.1,(X8*U10)/0.1)*0.1</f>
        <v>272.10000000000002</v>
      </c>
      <c r="Y9" s="22">
        <f ca="1">RANDBETWEEN((Y8*T10)/0.1,(Y8*U10)/0.1)*0.1</f>
        <v>313.3</v>
      </c>
      <c r="Z9" s="23">
        <v>181.20000000000002</v>
      </c>
      <c r="AA9" s="23">
        <v>210</v>
      </c>
      <c r="AB9" s="23">
        <v>209.9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181.20000000000002</v>
      </c>
      <c r="G10" s="113"/>
      <c r="H10" s="114"/>
      <c r="I10" s="112">
        <f>AA9</f>
        <v>210</v>
      </c>
      <c r="J10" s="113"/>
      <c r="K10" s="114"/>
      <c r="L10" s="112">
        <f>AB9</f>
        <v>209.9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37.300000000000011</v>
      </c>
      <c r="X11" s="25">
        <f t="shared" ca="1" si="0"/>
        <v>41.600000000000023</v>
      </c>
      <c r="Y11" s="25">
        <f t="shared" ca="1" si="0"/>
        <v>49.800000000000011</v>
      </c>
      <c r="Z11" s="23">
        <v>25.799999999999983</v>
      </c>
      <c r="AA11" s="23">
        <v>32.400000000000006</v>
      </c>
      <c r="AB11" s="23">
        <v>26.900000000000006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25.799999999999983</v>
      </c>
      <c r="G12" s="110"/>
      <c r="H12" s="111"/>
      <c r="I12" s="109">
        <f>I9-I10</f>
        <v>32.400000000000006</v>
      </c>
      <c r="J12" s="110"/>
      <c r="K12" s="111"/>
      <c r="L12" s="109">
        <f>L9-L10</f>
        <v>26.900000000000006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251.8</v>
      </c>
      <c r="X12" s="25">
        <f t="shared" ca="1" si="0"/>
        <v>272.10000000000002</v>
      </c>
      <c r="Y12" s="25">
        <f t="shared" ca="1" si="0"/>
        <v>313.3</v>
      </c>
      <c r="Z12" s="23">
        <v>181.20000000000002</v>
      </c>
      <c r="AA12" s="23">
        <v>210</v>
      </c>
      <c r="AB12" s="23">
        <v>209.9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181.20000000000002</v>
      </c>
      <c r="G13" s="110"/>
      <c r="H13" s="111"/>
      <c r="I13" s="109">
        <f>I10-I11</f>
        <v>210</v>
      </c>
      <c r="J13" s="110"/>
      <c r="K13" s="111"/>
      <c r="L13" s="109">
        <f>L10-L11</f>
        <v>209.9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14.813343923749011</v>
      </c>
      <c r="X13" s="28">
        <f ca="1">(X11/X12)*100</f>
        <v>15.288496876148482</v>
      </c>
      <c r="Y13" s="28">
        <f ca="1">(Y11/Y12)*100</f>
        <v>15.895308011490586</v>
      </c>
      <c r="Z13" s="29">
        <v>14.23841059602648</v>
      </c>
      <c r="AA13" s="29">
        <v>15.428571428571431</v>
      </c>
      <c r="AB13" s="29">
        <v>12.815626488804194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14.23841059602648</v>
      </c>
      <c r="G14" s="96"/>
      <c r="H14" s="103"/>
      <c r="I14" s="95">
        <f>(I12/I13)*100</f>
        <v>15.428571428571431</v>
      </c>
      <c r="J14" s="96"/>
      <c r="K14" s="103"/>
      <c r="L14" s="95">
        <f>(L12/L13)*100</f>
        <v>12.815626488804194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14.160869504467369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12.902109996540991</v>
      </c>
      <c r="X15" s="31">
        <f t="shared" ca="1" si="1"/>
        <v>13.261077462543838</v>
      </c>
      <c r="Y15" s="31">
        <f t="shared" ca="1" si="1"/>
        <v>13.715229964197192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12.463768115942022</v>
      </c>
      <c r="G16" s="96"/>
      <c r="H16" s="96"/>
      <c r="I16" s="95">
        <f>(I12/(I12+I13))*100</f>
        <v>13.366336633663368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Q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verticalDpi="300" r:id="rId1"/>
  <headerFooter alignWithMargins="0">
    <oddHeader xml:space="preserve">&amp;R&amp;"굴림,보통"&amp;8 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2E00-B525-483A-A161-186713D79490}">
  <dimension ref="A1:AB40"/>
  <sheetViews>
    <sheetView zoomScaleNormal="100" zoomScaleSheetLayoutView="100" workbookViewId="0">
      <selection activeCell="M5" sqref="M5:Q5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82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84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88</v>
      </c>
      <c r="G7" s="123"/>
      <c r="H7" s="123"/>
      <c r="I7" s="122" t="s">
        <v>89</v>
      </c>
      <c r="J7" s="123"/>
      <c r="K7" s="123"/>
      <c r="L7" s="122" t="s">
        <v>90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231</v>
      </c>
      <c r="X8" s="22">
        <f ca="1">RANDBETWEEN((W8-50)/0.1,(W8+50)/0.1)*0.1</f>
        <v>271.40000000000003</v>
      </c>
      <c r="Y8" s="22">
        <f ca="1">RANDBETWEEN((X8-50)/0.1,(X8+50)/0.1)*0.1</f>
        <v>262.3</v>
      </c>
      <c r="Z8" s="23">
        <v>221.4</v>
      </c>
      <c r="AA8" s="23">
        <v>221.4</v>
      </c>
      <c r="AB8" s="23">
        <v>191.9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221.4</v>
      </c>
      <c r="G9" s="113"/>
      <c r="H9" s="114"/>
      <c r="I9" s="112">
        <f>AA8</f>
        <v>221.4</v>
      </c>
      <c r="J9" s="113"/>
      <c r="K9" s="114"/>
      <c r="L9" s="112">
        <f>AB8</f>
        <v>191.9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201.20000000000002</v>
      </c>
      <c r="X9" s="22">
        <f ca="1">RANDBETWEEN((X8*T10)/0.1,(X8*U10)/0.1)*0.1</f>
        <v>236.8</v>
      </c>
      <c r="Y9" s="22">
        <f ca="1">RANDBETWEEN((Y8*T10)/0.1,(Y8*U10)/0.1)*0.1</f>
        <v>229.70000000000002</v>
      </c>
      <c r="Z9" s="23">
        <v>195.20000000000002</v>
      </c>
      <c r="AA9" s="23">
        <v>192.10000000000002</v>
      </c>
      <c r="AB9" s="23">
        <v>167.5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195.20000000000002</v>
      </c>
      <c r="G10" s="113"/>
      <c r="H10" s="114"/>
      <c r="I10" s="112">
        <f>AA9</f>
        <v>192.10000000000002</v>
      </c>
      <c r="J10" s="113"/>
      <c r="K10" s="114"/>
      <c r="L10" s="112">
        <f>AB9</f>
        <v>167.5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29.799999999999983</v>
      </c>
      <c r="X11" s="25">
        <f t="shared" ca="1" si="0"/>
        <v>34.600000000000023</v>
      </c>
      <c r="Y11" s="25">
        <f t="shared" ca="1" si="0"/>
        <v>32.599999999999994</v>
      </c>
      <c r="Z11" s="23">
        <v>26.199999999999989</v>
      </c>
      <c r="AA11" s="23">
        <v>29.299999999999983</v>
      </c>
      <c r="AB11" s="23">
        <v>24.400000000000006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26.199999999999989</v>
      </c>
      <c r="G12" s="110"/>
      <c r="H12" s="111"/>
      <c r="I12" s="109">
        <f>I9-I10</f>
        <v>29.299999999999983</v>
      </c>
      <c r="J12" s="110"/>
      <c r="K12" s="111"/>
      <c r="L12" s="109">
        <f>L9-L10</f>
        <v>24.400000000000006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201.20000000000002</v>
      </c>
      <c r="X12" s="25">
        <f t="shared" ca="1" si="0"/>
        <v>236.8</v>
      </c>
      <c r="Y12" s="25">
        <f t="shared" ca="1" si="0"/>
        <v>229.70000000000002</v>
      </c>
      <c r="Z12" s="23">
        <v>195.20000000000002</v>
      </c>
      <c r="AA12" s="23">
        <v>192.10000000000002</v>
      </c>
      <c r="AB12" s="23">
        <v>167.5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195.20000000000002</v>
      </c>
      <c r="G13" s="110"/>
      <c r="H13" s="111"/>
      <c r="I13" s="109">
        <f>I10-I11</f>
        <v>192.10000000000002</v>
      </c>
      <c r="J13" s="110"/>
      <c r="K13" s="111"/>
      <c r="L13" s="109">
        <f>L10-L11</f>
        <v>167.5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14.811133200795219</v>
      </c>
      <c r="X13" s="28">
        <f ca="1">(X11/X12)*100</f>
        <v>14.611486486486495</v>
      </c>
      <c r="Y13" s="28">
        <f ca="1">(Y11/Y12)*100</f>
        <v>14.192424902046143</v>
      </c>
      <c r="Z13" s="29">
        <v>13.422131147540977</v>
      </c>
      <c r="AA13" s="29">
        <v>15.252472670484114</v>
      </c>
      <c r="AB13" s="29">
        <v>14.567164179104481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13.422131147540977</v>
      </c>
      <c r="G14" s="96"/>
      <c r="H14" s="103"/>
      <c r="I14" s="95">
        <f>(I12/I13)*100</f>
        <v>15.252472670484114</v>
      </c>
      <c r="J14" s="96"/>
      <c r="K14" s="103"/>
      <c r="L14" s="95">
        <f>(L12/L13)*100</f>
        <v>14.567164179104481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14.413922665709856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12.900432900432893</v>
      </c>
      <c r="X15" s="31">
        <f t="shared" ca="1" si="1"/>
        <v>12.748710390567435</v>
      </c>
      <c r="Y15" s="31">
        <f t="shared" ca="1" si="1"/>
        <v>12.428516965306898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11.833785004516706</v>
      </c>
      <c r="G16" s="96"/>
      <c r="H16" s="96"/>
      <c r="I16" s="95">
        <f>(I12/(I12+I13))*100</f>
        <v>13.233965672990056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DEFB-A818-43CB-9538-6994F65BE2B9}">
  <dimension ref="A1:AB40"/>
  <sheetViews>
    <sheetView zoomScaleNormal="100" zoomScaleSheetLayoutView="100" workbookViewId="0">
      <selection activeCell="S24" sqref="S2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83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85</v>
      </c>
      <c r="G7" s="123"/>
      <c r="H7" s="123"/>
      <c r="I7" s="122" t="s">
        <v>86</v>
      </c>
      <c r="J7" s="123"/>
      <c r="K7" s="123"/>
      <c r="L7" s="122" t="s">
        <v>87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264.2</v>
      </c>
      <c r="X8" s="22">
        <f ca="1">RANDBETWEEN((W8-50)/0.1,(W8+50)/0.1)*0.1</f>
        <v>305.60000000000002</v>
      </c>
      <c r="Y8" s="22">
        <f ca="1">RANDBETWEEN((X8-50)/0.1,(X8+50)/0.1)*0.1</f>
        <v>345.3</v>
      </c>
      <c r="Z8" s="23">
        <v>244.8</v>
      </c>
      <c r="AA8" s="23">
        <v>273.60000000000002</v>
      </c>
      <c r="AB8" s="23">
        <v>213.5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244.8</v>
      </c>
      <c r="G9" s="113"/>
      <c r="H9" s="114"/>
      <c r="I9" s="112">
        <f>AA8</f>
        <v>273.60000000000002</v>
      </c>
      <c r="J9" s="113"/>
      <c r="K9" s="114"/>
      <c r="L9" s="112">
        <f>AB8</f>
        <v>213.5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231.8</v>
      </c>
      <c r="X9" s="22">
        <f ca="1">RANDBETWEEN((X8*T10)/0.1,(X8*U10)/0.1)*0.1</f>
        <v>263.90000000000003</v>
      </c>
      <c r="Y9" s="22">
        <f ca="1">RANDBETWEEN((Y8*T10)/0.1,(Y8*U10)/0.1)*0.1</f>
        <v>305.2</v>
      </c>
      <c r="Z9" s="23">
        <v>216.70000000000002</v>
      </c>
      <c r="AA9" s="23">
        <v>242.9</v>
      </c>
      <c r="AB9" s="23">
        <v>184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216.70000000000002</v>
      </c>
      <c r="G10" s="113"/>
      <c r="H10" s="114"/>
      <c r="I10" s="112">
        <f>AA9</f>
        <v>242.9</v>
      </c>
      <c r="J10" s="113"/>
      <c r="K10" s="114"/>
      <c r="L10" s="112">
        <f>AB9</f>
        <v>184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32.399999999999977</v>
      </c>
      <c r="X11" s="25">
        <f t="shared" ca="1" si="0"/>
        <v>41.699999999999989</v>
      </c>
      <c r="Y11" s="25">
        <f t="shared" ca="1" si="0"/>
        <v>40.100000000000023</v>
      </c>
      <c r="Z11" s="23">
        <v>28.099999999999994</v>
      </c>
      <c r="AA11" s="23">
        <v>30.700000000000017</v>
      </c>
      <c r="AB11" s="23">
        <v>29.5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28.099999999999994</v>
      </c>
      <c r="G12" s="110"/>
      <c r="H12" s="111"/>
      <c r="I12" s="109">
        <f>I9-I10</f>
        <v>30.700000000000017</v>
      </c>
      <c r="J12" s="110"/>
      <c r="K12" s="111"/>
      <c r="L12" s="109">
        <f>L9-L10</f>
        <v>29.5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231.8</v>
      </c>
      <c r="X12" s="25">
        <f t="shared" ca="1" si="0"/>
        <v>263.90000000000003</v>
      </c>
      <c r="Y12" s="25">
        <f t="shared" ca="1" si="0"/>
        <v>305.2</v>
      </c>
      <c r="Z12" s="23">
        <v>216.70000000000002</v>
      </c>
      <c r="AA12" s="23">
        <v>242.9</v>
      </c>
      <c r="AB12" s="23">
        <v>184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216.70000000000002</v>
      </c>
      <c r="G13" s="110"/>
      <c r="H13" s="111"/>
      <c r="I13" s="109">
        <f>I10-I11</f>
        <v>242.9</v>
      </c>
      <c r="J13" s="110"/>
      <c r="K13" s="111"/>
      <c r="L13" s="109">
        <f>L10-L11</f>
        <v>184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13.977566867989635</v>
      </c>
      <c r="X13" s="28">
        <f ca="1">(X11/X12)*100</f>
        <v>15.801439939370967</v>
      </c>
      <c r="Y13" s="28">
        <f ca="1">(Y11/Y12)*100</f>
        <v>13.138925294888606</v>
      </c>
      <c r="Z13" s="29">
        <v>12.967235809875399</v>
      </c>
      <c r="AA13" s="29">
        <v>12.638946068340887</v>
      </c>
      <c r="AB13" s="29">
        <v>16.032608695652172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12.967235809875399</v>
      </c>
      <c r="G14" s="96"/>
      <c r="H14" s="103"/>
      <c r="I14" s="95">
        <f>(I12/I13)*100</f>
        <v>12.638946068340887</v>
      </c>
      <c r="J14" s="96"/>
      <c r="K14" s="103"/>
      <c r="L14" s="95">
        <f>(L12/L13)*100</f>
        <v>16.032608695652172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13.879596857956153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12.263436790310363</v>
      </c>
      <c r="X15" s="31">
        <f t="shared" ca="1" si="1"/>
        <v>13.64528795811518</v>
      </c>
      <c r="Y15" s="31">
        <f t="shared" ca="1" si="1"/>
        <v>11.613090066608752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11.478758169934638</v>
      </c>
      <c r="G16" s="96"/>
      <c r="H16" s="96"/>
      <c r="I16" s="95">
        <f>(I12/(I12+I13))*100</f>
        <v>11.220760233918133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32:P34"/>
    <mergeCell ref="C24:H24"/>
    <mergeCell ref="I24:K24"/>
    <mergeCell ref="C25:H25"/>
    <mergeCell ref="I25:K25"/>
    <mergeCell ref="C26:H26"/>
    <mergeCell ref="I26:K26"/>
    <mergeCell ref="C23:H23"/>
    <mergeCell ref="I23:K23"/>
    <mergeCell ref="C22:H22"/>
    <mergeCell ref="I22:K22"/>
    <mergeCell ref="C27:H27"/>
    <mergeCell ref="I27:K27"/>
    <mergeCell ref="B18:E18"/>
    <mergeCell ref="F18:N18"/>
    <mergeCell ref="O18:Q18"/>
    <mergeCell ref="C21:H21"/>
    <mergeCell ref="I21:K21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4:Q4"/>
    <mergeCell ref="M5:Q5"/>
    <mergeCell ref="B7:E7"/>
    <mergeCell ref="F7:H7"/>
    <mergeCell ref="I7:K7"/>
    <mergeCell ref="L7:N7"/>
    <mergeCell ref="O7:Q7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4D3B-BDD8-484F-AAAA-D68E89560982}">
  <dimension ref="A1:AB40"/>
  <sheetViews>
    <sheetView zoomScaleNormal="100" zoomScaleSheetLayoutView="100" workbookViewId="0">
      <selection activeCell="U24" sqref="U2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71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64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78</v>
      </c>
      <c r="G7" s="123"/>
      <c r="H7" s="123"/>
      <c r="I7" s="122" t="s">
        <v>79</v>
      </c>
      <c r="J7" s="123"/>
      <c r="K7" s="123"/>
      <c r="L7" s="122" t="s">
        <v>80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68</v>
      </c>
      <c r="G8" s="105"/>
      <c r="H8" s="118"/>
      <c r="I8" s="104" t="s">
        <v>69</v>
      </c>
      <c r="J8" s="105"/>
      <c r="K8" s="118"/>
      <c r="L8" s="104" t="s">
        <v>70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235.70000000000002</v>
      </c>
      <c r="X8" s="22">
        <f ca="1">RANDBETWEEN((W8-50)/0.1,(W8+50)/0.1)*0.1</f>
        <v>257.5</v>
      </c>
      <c r="Y8" s="22">
        <f ca="1">RANDBETWEEN((X8-50)/0.1,(X8+50)/0.1)*0.1</f>
        <v>268</v>
      </c>
      <c r="Z8" s="23">
        <v>212.5</v>
      </c>
      <c r="AA8" s="23">
        <v>237.3</v>
      </c>
      <c r="AB8" s="23">
        <v>229.10000000000002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212.5</v>
      </c>
      <c r="G9" s="113"/>
      <c r="H9" s="114"/>
      <c r="I9" s="112">
        <f>AA8</f>
        <v>237.3</v>
      </c>
      <c r="J9" s="113"/>
      <c r="K9" s="114"/>
      <c r="L9" s="112">
        <f>AB8</f>
        <v>229.10000000000002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208</v>
      </c>
      <c r="X9" s="22">
        <f ca="1">RANDBETWEEN((X8*T10)/0.1,(X8*U10)/0.1)*0.1</f>
        <v>224</v>
      </c>
      <c r="Y9" s="22">
        <f ca="1">RANDBETWEEN((Y8*T10)/0.1,(Y8*U10)/0.1)*0.1</f>
        <v>235.5</v>
      </c>
      <c r="Z9" s="23">
        <v>188.3</v>
      </c>
      <c r="AA9" s="23">
        <v>207.4</v>
      </c>
      <c r="AB9" s="23">
        <v>202.3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188.3</v>
      </c>
      <c r="G10" s="113"/>
      <c r="H10" s="114"/>
      <c r="I10" s="112">
        <f>AA9</f>
        <v>207.4</v>
      </c>
      <c r="J10" s="113"/>
      <c r="K10" s="114"/>
      <c r="L10" s="112">
        <f>AB9</f>
        <v>202.3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27.700000000000017</v>
      </c>
      <c r="X11" s="25">
        <f t="shared" ca="1" si="0"/>
        <v>33.5</v>
      </c>
      <c r="Y11" s="25">
        <f t="shared" ca="1" si="0"/>
        <v>32.5</v>
      </c>
      <c r="Z11" s="23">
        <v>24.199999999999989</v>
      </c>
      <c r="AA11" s="23">
        <v>29.900000000000006</v>
      </c>
      <c r="AB11" s="23">
        <v>26.800000000000011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24.199999999999989</v>
      </c>
      <c r="G12" s="110"/>
      <c r="H12" s="111"/>
      <c r="I12" s="109">
        <f>I9-I10</f>
        <v>29.900000000000006</v>
      </c>
      <c r="J12" s="110"/>
      <c r="K12" s="111"/>
      <c r="L12" s="109">
        <f>L9-L10</f>
        <v>26.800000000000011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208</v>
      </c>
      <c r="X12" s="25">
        <f t="shared" ca="1" si="0"/>
        <v>224</v>
      </c>
      <c r="Y12" s="25">
        <f t="shared" ca="1" si="0"/>
        <v>235.5</v>
      </c>
      <c r="Z12" s="23">
        <v>188.3</v>
      </c>
      <c r="AA12" s="23">
        <v>207.4</v>
      </c>
      <c r="AB12" s="23">
        <v>202.3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188.3</v>
      </c>
      <c r="G13" s="110"/>
      <c r="H13" s="111"/>
      <c r="I13" s="109">
        <f>I10-I11</f>
        <v>207.4</v>
      </c>
      <c r="J13" s="110"/>
      <c r="K13" s="111"/>
      <c r="L13" s="109">
        <f>L10-L11</f>
        <v>202.3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13.317307692307701</v>
      </c>
      <c r="X13" s="28">
        <f ca="1">(X11/X12)*100</f>
        <v>14.955357142857142</v>
      </c>
      <c r="Y13" s="28">
        <f ca="1">(Y11/Y12)*100</f>
        <v>13.800424628450106</v>
      </c>
      <c r="Z13" s="29">
        <v>12.851832182687195</v>
      </c>
      <c r="AA13" s="29">
        <v>14.416586306653812</v>
      </c>
      <c r="AB13" s="29">
        <v>13.247652001977267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12.851832182687195</v>
      </c>
      <c r="G14" s="96"/>
      <c r="H14" s="103"/>
      <c r="I14" s="95">
        <f>(I12/I13)*100</f>
        <v>14.416586306653812</v>
      </c>
      <c r="J14" s="96"/>
      <c r="K14" s="103"/>
      <c r="L14" s="95">
        <f>(L12/L13)*100</f>
        <v>13.247652001977267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13.505356830439425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11.752227407721687</v>
      </c>
      <c r="X15" s="31">
        <f t="shared" ca="1" si="1"/>
        <v>13.009708737864079</v>
      </c>
      <c r="Y15" s="31">
        <f t="shared" ca="1" si="1"/>
        <v>12.126865671641792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11.388235294117642</v>
      </c>
      <c r="G16" s="96"/>
      <c r="H16" s="96"/>
      <c r="I16" s="95">
        <f>(I12/(I12+I13))*100</f>
        <v>12.600084281500212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26:H26"/>
    <mergeCell ref="I26:K26"/>
    <mergeCell ref="C27:H27"/>
    <mergeCell ref="I27:K27"/>
    <mergeCell ref="C32:P34"/>
    <mergeCell ref="B17:E17"/>
    <mergeCell ref="F17:N17"/>
    <mergeCell ref="O17:Q17"/>
    <mergeCell ref="B14:E14"/>
    <mergeCell ref="F14:H14"/>
    <mergeCell ref="I14:K14"/>
    <mergeCell ref="B16:E16"/>
    <mergeCell ref="F16:H16"/>
    <mergeCell ref="I16:K16"/>
    <mergeCell ref="L16:N16"/>
    <mergeCell ref="O16:Q16"/>
    <mergeCell ref="L14:N14"/>
    <mergeCell ref="O14:Q14"/>
    <mergeCell ref="B15:E15"/>
    <mergeCell ref="F15:N15"/>
    <mergeCell ref="O15:Q15"/>
    <mergeCell ref="C25:H25"/>
    <mergeCell ref="I25:K25"/>
    <mergeCell ref="B18:E18"/>
    <mergeCell ref="F18:N18"/>
    <mergeCell ref="O18:Q18"/>
    <mergeCell ref="C21:H21"/>
    <mergeCell ref="I21:K21"/>
    <mergeCell ref="C22:H22"/>
    <mergeCell ref="I22:K22"/>
    <mergeCell ref="C23:H23"/>
    <mergeCell ref="I23:K23"/>
    <mergeCell ref="C24:H24"/>
    <mergeCell ref="I24:K24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5:Q5"/>
    <mergeCell ref="B7:E7"/>
    <mergeCell ref="F7:H7"/>
    <mergeCell ref="I7:K7"/>
    <mergeCell ref="L7:N7"/>
    <mergeCell ref="O7:Q7"/>
    <mergeCell ref="M4:Q4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B206-E3BE-4F9C-B29B-C486D76A3876}">
  <dimension ref="A1:AB40"/>
  <sheetViews>
    <sheetView zoomScaleNormal="100" zoomScaleSheetLayoutView="100" workbookViewId="0">
      <selection activeCell="U24" sqref="U2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71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75</v>
      </c>
      <c r="G7" s="123"/>
      <c r="H7" s="123"/>
      <c r="I7" s="122" t="s">
        <v>76</v>
      </c>
      <c r="J7" s="123"/>
      <c r="K7" s="123"/>
      <c r="L7" s="122" t="s">
        <v>77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284.60000000000002</v>
      </c>
      <c r="X8" s="22">
        <f ca="1">RANDBETWEEN((W8-50)/0.1,(W8+50)/0.1)*0.1</f>
        <v>306.2</v>
      </c>
      <c r="Y8" s="22">
        <f ca="1">RANDBETWEEN((X8-50)/0.1,(X8+50)/0.1)*0.1</f>
        <v>314.3</v>
      </c>
      <c r="Z8" s="23">
        <v>203.60000000000002</v>
      </c>
      <c r="AA8" s="23">
        <v>246.9</v>
      </c>
      <c r="AB8" s="23">
        <v>279.8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203.60000000000002</v>
      </c>
      <c r="G9" s="113"/>
      <c r="H9" s="114"/>
      <c r="I9" s="112">
        <f>AA8</f>
        <v>246.9</v>
      </c>
      <c r="J9" s="113"/>
      <c r="K9" s="114"/>
      <c r="L9" s="112">
        <f>AB8</f>
        <v>279.8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253.10000000000002</v>
      </c>
      <c r="X9" s="22">
        <f ca="1">RANDBETWEEN((X8*T10)/0.1,(X8*U10)/0.1)*0.1</f>
        <v>269.2</v>
      </c>
      <c r="Y9" s="22">
        <f ca="1">RANDBETWEEN((Y8*T10)/0.1,(Y8*U10)/0.1)*0.1</f>
        <v>277.10000000000002</v>
      </c>
      <c r="Z9" s="23">
        <v>179.8</v>
      </c>
      <c r="AA9" s="23">
        <v>213.60000000000002</v>
      </c>
      <c r="AB9" s="23">
        <v>241.10000000000002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179.8</v>
      </c>
      <c r="G10" s="113"/>
      <c r="H10" s="114"/>
      <c r="I10" s="112">
        <f>AA9</f>
        <v>213.60000000000002</v>
      </c>
      <c r="J10" s="113"/>
      <c r="K10" s="114"/>
      <c r="L10" s="112">
        <f>AB9</f>
        <v>241.10000000000002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31.5</v>
      </c>
      <c r="X11" s="25">
        <f t="shared" ca="1" si="0"/>
        <v>37</v>
      </c>
      <c r="Y11" s="25">
        <f t="shared" ca="1" si="0"/>
        <v>37.199999999999989</v>
      </c>
      <c r="Z11" s="23">
        <v>23.800000000000011</v>
      </c>
      <c r="AA11" s="23">
        <v>33.299999999999983</v>
      </c>
      <c r="AB11" s="23">
        <v>38.699999999999989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23.800000000000011</v>
      </c>
      <c r="G12" s="110"/>
      <c r="H12" s="111"/>
      <c r="I12" s="109">
        <f>I9-I10</f>
        <v>33.299999999999983</v>
      </c>
      <c r="J12" s="110"/>
      <c r="K12" s="111"/>
      <c r="L12" s="109">
        <f>L9-L10</f>
        <v>38.699999999999989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253.10000000000002</v>
      </c>
      <c r="X12" s="25">
        <f t="shared" ca="1" si="0"/>
        <v>269.2</v>
      </c>
      <c r="Y12" s="25">
        <f t="shared" ca="1" si="0"/>
        <v>277.10000000000002</v>
      </c>
      <c r="Z12" s="23">
        <v>179.8</v>
      </c>
      <c r="AA12" s="23">
        <v>213.60000000000002</v>
      </c>
      <c r="AB12" s="23">
        <v>241.10000000000002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179.8</v>
      </c>
      <c r="G13" s="110"/>
      <c r="H13" s="111"/>
      <c r="I13" s="109">
        <f>I10-I11</f>
        <v>213.60000000000002</v>
      </c>
      <c r="J13" s="110"/>
      <c r="K13" s="111"/>
      <c r="L13" s="109">
        <f>L10-L11</f>
        <v>241.10000000000002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12.445673646779928</v>
      </c>
      <c r="X13" s="28">
        <f ca="1">(X11/X12)*100</f>
        <v>13.7444279346211</v>
      </c>
      <c r="Y13" s="28">
        <f ca="1">(Y11/Y12)*100</f>
        <v>13.424756405629731</v>
      </c>
      <c r="Z13" s="29">
        <v>13.236929922135712</v>
      </c>
      <c r="AA13" s="29">
        <v>15.58988764044943</v>
      </c>
      <c r="AB13" s="29">
        <v>16.051430941518035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13.236929922135712</v>
      </c>
      <c r="G14" s="96"/>
      <c r="H14" s="103"/>
      <c r="I14" s="95">
        <f>(I12/I13)*100</f>
        <v>15.58988764044943</v>
      </c>
      <c r="J14" s="96"/>
      <c r="K14" s="103"/>
      <c r="L14" s="95">
        <f>(L12/L13)*100</f>
        <v>16.051430941518035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14.959416168034393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11.068165846802529</v>
      </c>
      <c r="X15" s="31">
        <f t="shared" ca="1" si="1"/>
        <v>12.083605486610059</v>
      </c>
      <c r="Y15" s="31">
        <f t="shared" ca="1" si="1"/>
        <v>11.835825644288892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11.689587426326135</v>
      </c>
      <c r="G16" s="96"/>
      <c r="H16" s="96"/>
      <c r="I16" s="95">
        <f>(I12/(I12+I13))*100</f>
        <v>13.4872417982989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26:H26"/>
    <mergeCell ref="I26:K26"/>
    <mergeCell ref="C27:H27"/>
    <mergeCell ref="I27:K27"/>
    <mergeCell ref="C32:P34"/>
    <mergeCell ref="B17:E17"/>
    <mergeCell ref="F17:N17"/>
    <mergeCell ref="O17:Q17"/>
    <mergeCell ref="B14:E14"/>
    <mergeCell ref="F14:H14"/>
    <mergeCell ref="I14:K14"/>
    <mergeCell ref="B16:E16"/>
    <mergeCell ref="F16:H16"/>
    <mergeCell ref="I16:K16"/>
    <mergeCell ref="L16:N16"/>
    <mergeCell ref="O16:Q16"/>
    <mergeCell ref="L14:N14"/>
    <mergeCell ref="O14:Q14"/>
    <mergeCell ref="B15:E15"/>
    <mergeCell ref="F15:N15"/>
    <mergeCell ref="O15:Q15"/>
    <mergeCell ref="C25:H25"/>
    <mergeCell ref="I25:K25"/>
    <mergeCell ref="B18:E18"/>
    <mergeCell ref="F18:N18"/>
    <mergeCell ref="O18:Q18"/>
    <mergeCell ref="C21:H21"/>
    <mergeCell ref="I21:K21"/>
    <mergeCell ref="C22:H22"/>
    <mergeCell ref="I22:K22"/>
    <mergeCell ref="C23:H23"/>
    <mergeCell ref="I23:K23"/>
    <mergeCell ref="C24:H24"/>
    <mergeCell ref="I24:K24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5:Q5"/>
    <mergeCell ref="B7:E7"/>
    <mergeCell ref="F7:H7"/>
    <mergeCell ref="I7:K7"/>
    <mergeCell ref="L7:N7"/>
    <mergeCell ref="O7:Q7"/>
    <mergeCell ref="M4:Q4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2333-0855-4AAE-AED8-82EE4A3778B3}">
  <dimension ref="A1:AB40"/>
  <sheetViews>
    <sheetView zoomScaleNormal="100" zoomScaleSheetLayoutView="100" workbookViewId="0">
      <selection activeCell="U24" sqref="U2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71</v>
      </c>
      <c r="N4" s="120"/>
      <c r="O4" s="120"/>
      <c r="P4" s="120"/>
      <c r="Q4" s="120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72</v>
      </c>
      <c r="G7" s="123"/>
      <c r="H7" s="123"/>
      <c r="I7" s="122" t="s">
        <v>73</v>
      </c>
      <c r="J7" s="123"/>
      <c r="K7" s="123"/>
      <c r="L7" s="122" t="s">
        <v>74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240.4</v>
      </c>
      <c r="X8" s="22">
        <f ca="1">RANDBETWEEN((W8-50)/0.1,(W8+50)/0.1)*0.1</f>
        <v>190.70000000000002</v>
      </c>
      <c r="Y8" s="22">
        <f ca="1">RANDBETWEEN((X8-50)/0.1,(X8+50)/0.1)*0.1</f>
        <v>169</v>
      </c>
      <c r="Z8" s="23">
        <v>288.40000000000003</v>
      </c>
      <c r="AA8" s="23">
        <v>208.5</v>
      </c>
      <c r="AB8" s="23">
        <v>241.20000000000002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288.40000000000003</v>
      </c>
      <c r="G9" s="113"/>
      <c r="H9" s="114"/>
      <c r="I9" s="112">
        <f>AA8</f>
        <v>208.5</v>
      </c>
      <c r="J9" s="113"/>
      <c r="K9" s="114"/>
      <c r="L9" s="112">
        <f>AB8</f>
        <v>241.20000000000002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207.60000000000002</v>
      </c>
      <c r="X9" s="22">
        <f ca="1">RANDBETWEEN((X8*T10)/0.1,(X8*U10)/0.1)*0.1</f>
        <v>165</v>
      </c>
      <c r="Y9" s="22">
        <f ca="1">RANDBETWEEN((Y8*T10)/0.1,(Y8*U10)/0.1)*0.1</f>
        <v>148.9</v>
      </c>
      <c r="Z9" s="23">
        <v>256.8</v>
      </c>
      <c r="AA9" s="23">
        <v>180</v>
      </c>
      <c r="AB9" s="23">
        <v>212.9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256.8</v>
      </c>
      <c r="G10" s="113"/>
      <c r="H10" s="114"/>
      <c r="I10" s="112">
        <f>AA9</f>
        <v>180</v>
      </c>
      <c r="J10" s="113"/>
      <c r="K10" s="114"/>
      <c r="L10" s="112">
        <f>AB9</f>
        <v>212.9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32.799999999999983</v>
      </c>
      <c r="X11" s="25">
        <f t="shared" ca="1" si="0"/>
        <v>25.700000000000017</v>
      </c>
      <c r="Y11" s="25">
        <f t="shared" ca="1" si="0"/>
        <v>20.099999999999994</v>
      </c>
      <c r="Z11" s="23">
        <v>31.600000000000023</v>
      </c>
      <c r="AA11" s="23">
        <v>28.5</v>
      </c>
      <c r="AB11" s="23">
        <v>28.300000000000011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31.600000000000023</v>
      </c>
      <c r="G12" s="110"/>
      <c r="H12" s="111"/>
      <c r="I12" s="109">
        <f>I9-I10</f>
        <v>28.5</v>
      </c>
      <c r="J12" s="110"/>
      <c r="K12" s="111"/>
      <c r="L12" s="109">
        <f>L9-L10</f>
        <v>28.300000000000011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207.60000000000002</v>
      </c>
      <c r="X12" s="25">
        <f t="shared" ca="1" si="0"/>
        <v>165</v>
      </c>
      <c r="Y12" s="25">
        <f t="shared" ca="1" si="0"/>
        <v>148.9</v>
      </c>
      <c r="Z12" s="23">
        <v>256.8</v>
      </c>
      <c r="AA12" s="23">
        <v>180</v>
      </c>
      <c r="AB12" s="23">
        <v>212.9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256.8</v>
      </c>
      <c r="G13" s="110"/>
      <c r="H13" s="111"/>
      <c r="I13" s="109">
        <f>I10-I11</f>
        <v>180</v>
      </c>
      <c r="J13" s="110"/>
      <c r="K13" s="111"/>
      <c r="L13" s="109">
        <f>L10-L11</f>
        <v>212.9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15.79961464354527</v>
      </c>
      <c r="X13" s="28">
        <f ca="1">(X11/X12)*100</f>
        <v>15.575757575757587</v>
      </c>
      <c r="Y13" s="28">
        <f ca="1">(Y11/Y12)*100</f>
        <v>13.4989926124916</v>
      </c>
      <c r="Z13" s="29">
        <v>12.305295950155772</v>
      </c>
      <c r="AA13" s="29">
        <v>15.833333333333332</v>
      </c>
      <c r="AB13" s="29">
        <v>13.292625645843122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12.305295950155772</v>
      </c>
      <c r="G14" s="96"/>
      <c r="H14" s="103"/>
      <c r="I14" s="95">
        <f>(I12/I13)*100</f>
        <v>15.833333333333332</v>
      </c>
      <c r="J14" s="96"/>
      <c r="K14" s="103"/>
      <c r="L14" s="95">
        <f>(L12/L13)*100</f>
        <v>13.292625645843122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13.810418309777409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13.643926788685517</v>
      </c>
      <c r="X15" s="31">
        <f t="shared" ca="1" si="1"/>
        <v>13.476664918720511</v>
      </c>
      <c r="Y15" s="31">
        <f t="shared" ca="1" si="1"/>
        <v>11.89349112426035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10.957004160887662</v>
      </c>
      <c r="G16" s="96"/>
      <c r="H16" s="96"/>
      <c r="I16" s="95">
        <f>(I12/(I12+I13))*100</f>
        <v>13.669064748201439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  <c r="W22" s="3" t="s">
        <v>81</v>
      </c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C26:H26"/>
    <mergeCell ref="I26:K26"/>
    <mergeCell ref="C27:H27"/>
    <mergeCell ref="I27:K27"/>
    <mergeCell ref="C32:P34"/>
    <mergeCell ref="B17:E17"/>
    <mergeCell ref="F17:N17"/>
    <mergeCell ref="O17:Q17"/>
    <mergeCell ref="B14:E14"/>
    <mergeCell ref="F14:H14"/>
    <mergeCell ref="I14:K14"/>
    <mergeCell ref="B16:E16"/>
    <mergeCell ref="F16:H16"/>
    <mergeCell ref="I16:K16"/>
    <mergeCell ref="L16:N16"/>
    <mergeCell ref="O16:Q16"/>
    <mergeCell ref="L14:N14"/>
    <mergeCell ref="O14:Q14"/>
    <mergeCell ref="B15:E15"/>
    <mergeCell ref="F15:N15"/>
    <mergeCell ref="O15:Q15"/>
    <mergeCell ref="C25:H25"/>
    <mergeCell ref="I25:K25"/>
    <mergeCell ref="B18:E18"/>
    <mergeCell ref="F18:N18"/>
    <mergeCell ref="O18:Q18"/>
    <mergeCell ref="C21:H21"/>
    <mergeCell ref="I21:K21"/>
    <mergeCell ref="C22:H22"/>
    <mergeCell ref="I22:K22"/>
    <mergeCell ref="C23:H23"/>
    <mergeCell ref="I23:K23"/>
    <mergeCell ref="C24:H24"/>
    <mergeCell ref="I24:K24"/>
    <mergeCell ref="B12:E12"/>
    <mergeCell ref="F12:H12"/>
    <mergeCell ref="I12:K12"/>
    <mergeCell ref="L12:N12"/>
    <mergeCell ref="O12:Q12"/>
    <mergeCell ref="B13:E13"/>
    <mergeCell ref="F13:H13"/>
    <mergeCell ref="I13:K13"/>
    <mergeCell ref="L13:N13"/>
    <mergeCell ref="O13:Q13"/>
    <mergeCell ref="B10:E10"/>
    <mergeCell ref="F10:H10"/>
    <mergeCell ref="I10:K10"/>
    <mergeCell ref="L10:N10"/>
    <mergeCell ref="O10:Q10"/>
    <mergeCell ref="B11:E11"/>
    <mergeCell ref="F11:H11"/>
    <mergeCell ref="I11:K11"/>
    <mergeCell ref="L11:N11"/>
    <mergeCell ref="O11:Q11"/>
    <mergeCell ref="B8:E8"/>
    <mergeCell ref="F8:H8"/>
    <mergeCell ref="I8:K8"/>
    <mergeCell ref="L8:N8"/>
    <mergeCell ref="O8:Q8"/>
    <mergeCell ref="B9:E9"/>
    <mergeCell ref="F9:H9"/>
    <mergeCell ref="I9:K9"/>
    <mergeCell ref="L9:N9"/>
    <mergeCell ref="O9:Q9"/>
    <mergeCell ref="B1:Q1"/>
    <mergeCell ref="M5:Q5"/>
    <mergeCell ref="B7:E7"/>
    <mergeCell ref="F7:H7"/>
    <mergeCell ref="I7:K7"/>
    <mergeCell ref="L7:N7"/>
    <mergeCell ref="O7:Q7"/>
    <mergeCell ref="M4:Q4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4D4-8E59-495B-BCCC-94BB2DE870B3}">
  <dimension ref="A1:AB40"/>
  <sheetViews>
    <sheetView zoomScaleNormal="100" zoomScaleSheetLayoutView="100" workbookViewId="0">
      <selection activeCell="M5" sqref="M5:Q5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6</v>
      </c>
      <c r="N4" s="120"/>
      <c r="O4" s="120"/>
      <c r="P4" s="9"/>
      <c r="Q4" s="9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64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65</v>
      </c>
      <c r="G7" s="123"/>
      <c r="H7" s="123"/>
      <c r="I7" s="122" t="s">
        <v>66</v>
      </c>
      <c r="J7" s="123"/>
      <c r="K7" s="123"/>
      <c r="L7" s="122" t="s">
        <v>67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68</v>
      </c>
      <c r="G8" s="105"/>
      <c r="H8" s="118"/>
      <c r="I8" s="104" t="s">
        <v>69</v>
      </c>
      <c r="J8" s="105"/>
      <c r="K8" s="118"/>
      <c r="L8" s="104" t="s">
        <v>70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295.90000000000003</v>
      </c>
      <c r="X8" s="22">
        <f ca="1">RANDBETWEEN((W8-50)/0.1,(W8+50)/0.1)*0.1</f>
        <v>246.3</v>
      </c>
      <c r="Y8" s="22">
        <f ca="1">RANDBETWEEN((X8-50)/0.1,(X8+50)/0.1)*0.1</f>
        <v>264.60000000000002</v>
      </c>
      <c r="Z8" s="23">
        <v>273.60000000000002</v>
      </c>
      <c r="AA8" s="23">
        <v>259.5</v>
      </c>
      <c r="AB8" s="23">
        <v>277.10000000000002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273.60000000000002</v>
      </c>
      <c r="G9" s="113"/>
      <c r="H9" s="114"/>
      <c r="I9" s="112">
        <f>AA8</f>
        <v>259.5</v>
      </c>
      <c r="J9" s="113"/>
      <c r="K9" s="114"/>
      <c r="L9" s="112">
        <f>AB8</f>
        <v>277.10000000000002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261.8</v>
      </c>
      <c r="X9" s="22">
        <f ca="1">RANDBETWEEN((X8*T10)/0.1,(X8*U10)/0.1)*0.1</f>
        <v>212.70000000000002</v>
      </c>
      <c r="Y9" s="22">
        <f ca="1">RANDBETWEEN((Y8*T10)/0.1,(Y8*U10)/0.1)*0.1</f>
        <v>234.10000000000002</v>
      </c>
      <c r="Z9" s="23">
        <v>242.60000000000002</v>
      </c>
      <c r="AA9" s="23">
        <v>223.70000000000002</v>
      </c>
      <c r="AB9" s="23">
        <v>244.70000000000002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242.60000000000002</v>
      </c>
      <c r="G10" s="113"/>
      <c r="H10" s="114"/>
      <c r="I10" s="112">
        <f>AA9</f>
        <v>223.70000000000002</v>
      </c>
      <c r="J10" s="113"/>
      <c r="K10" s="114"/>
      <c r="L10" s="112">
        <f>AB9</f>
        <v>244.70000000000002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34.100000000000023</v>
      </c>
      <c r="X11" s="25">
        <f t="shared" ca="1" si="0"/>
        <v>33.599999999999994</v>
      </c>
      <c r="Y11" s="25">
        <f t="shared" ca="1" si="0"/>
        <v>30.5</v>
      </c>
      <c r="Z11" s="23">
        <v>31</v>
      </c>
      <c r="AA11" s="23">
        <v>35.799999999999983</v>
      </c>
      <c r="AB11" s="23">
        <v>32.400000000000006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31</v>
      </c>
      <c r="G12" s="110"/>
      <c r="H12" s="111"/>
      <c r="I12" s="109">
        <f>I9-I10</f>
        <v>35.799999999999983</v>
      </c>
      <c r="J12" s="110"/>
      <c r="K12" s="111"/>
      <c r="L12" s="109">
        <f>L9-L10</f>
        <v>32.400000000000006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261.8</v>
      </c>
      <c r="X12" s="25">
        <f t="shared" ca="1" si="0"/>
        <v>212.70000000000002</v>
      </c>
      <c r="Y12" s="25">
        <f t="shared" ca="1" si="0"/>
        <v>234.10000000000002</v>
      </c>
      <c r="Z12" s="23">
        <v>242.60000000000002</v>
      </c>
      <c r="AA12" s="23">
        <v>223.70000000000002</v>
      </c>
      <c r="AB12" s="23">
        <v>244.70000000000002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242.60000000000002</v>
      </c>
      <c r="G13" s="110"/>
      <c r="H13" s="111"/>
      <c r="I13" s="109">
        <f>I10-I11</f>
        <v>223.70000000000002</v>
      </c>
      <c r="J13" s="110"/>
      <c r="K13" s="111"/>
      <c r="L13" s="109">
        <f>L10-L11</f>
        <v>244.70000000000002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13.025210084033622</v>
      </c>
      <c r="X13" s="28">
        <f ca="1">(X11/X12)*100</f>
        <v>15.7968970380818</v>
      </c>
      <c r="Y13" s="28">
        <f ca="1">(Y11/Y12)*100</f>
        <v>13.028620247757367</v>
      </c>
      <c r="Z13" s="29">
        <v>12.778235779060179</v>
      </c>
      <c r="AA13" s="29">
        <v>16.003576218149298</v>
      </c>
      <c r="AB13" s="29">
        <v>13.240702901512059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12.778235779060179</v>
      </c>
      <c r="G14" s="96"/>
      <c r="H14" s="103"/>
      <c r="I14" s="95">
        <f>(I12/I13)*100</f>
        <v>16.003576218149298</v>
      </c>
      <c r="J14" s="96"/>
      <c r="K14" s="103"/>
      <c r="L14" s="95">
        <f>(L12/L13)*100</f>
        <v>13.240702901512059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14.007504966240512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11.524163568773242</v>
      </c>
      <c r="X15" s="31">
        <f t="shared" ca="1" si="1"/>
        <v>13.641900121802678</v>
      </c>
      <c r="Y15" s="31">
        <f t="shared" ca="1" si="1"/>
        <v>11.526832955404382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11.330409356725145</v>
      </c>
      <c r="G16" s="96"/>
      <c r="H16" s="96"/>
      <c r="I16" s="95">
        <f>(I12/(I12+I13))*100</f>
        <v>13.795761078998067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O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ACDD-99E3-434A-ACF3-C1D47433B17D}">
  <dimension ref="A1:AB40"/>
  <sheetViews>
    <sheetView zoomScaleNormal="100" zoomScaleSheetLayoutView="100" workbookViewId="0">
      <selection activeCell="T14" sqref="T1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6</v>
      </c>
      <c r="N4" s="120"/>
      <c r="O4" s="120"/>
      <c r="P4" s="9"/>
      <c r="Q4" s="9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58</v>
      </c>
      <c r="G7" s="123"/>
      <c r="H7" s="123"/>
      <c r="I7" s="122" t="s">
        <v>59</v>
      </c>
      <c r="J7" s="123"/>
      <c r="K7" s="123"/>
      <c r="L7" s="122" t="s">
        <v>60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61</v>
      </c>
      <c r="G8" s="105"/>
      <c r="H8" s="118"/>
      <c r="I8" s="104" t="s">
        <v>62</v>
      </c>
      <c r="J8" s="105"/>
      <c r="K8" s="118"/>
      <c r="L8" s="104" t="s">
        <v>63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262.5</v>
      </c>
      <c r="X8" s="22">
        <f ca="1">RANDBETWEEN((W8-50)/0.1,(W8+50)/0.1)*0.1</f>
        <v>269.5</v>
      </c>
      <c r="Y8" s="22">
        <f ca="1">RANDBETWEEN((X8-50)/0.1,(X8+50)/0.1)*0.1</f>
        <v>262.8</v>
      </c>
      <c r="Z8" s="23">
        <v>261.60000000000002</v>
      </c>
      <c r="AA8" s="23">
        <v>308.70000000000005</v>
      </c>
      <c r="AB8" s="23">
        <v>351.40000000000003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261.60000000000002</v>
      </c>
      <c r="G9" s="113"/>
      <c r="H9" s="114"/>
      <c r="I9" s="112">
        <f>AA8</f>
        <v>308.70000000000005</v>
      </c>
      <c r="J9" s="113"/>
      <c r="K9" s="114"/>
      <c r="L9" s="112">
        <f>AB8</f>
        <v>351.40000000000003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231.60000000000002</v>
      </c>
      <c r="X9" s="22">
        <f ca="1">RANDBETWEEN((X8*T10)/0.1,(X8*U10)/0.1)*0.1</f>
        <v>237.3</v>
      </c>
      <c r="Y9" s="22">
        <f ca="1">RANDBETWEEN((Y8*T10)/0.1,(Y8*U10)/0.1)*0.1</f>
        <v>231.4</v>
      </c>
      <c r="Z9" s="23">
        <v>228.4</v>
      </c>
      <c r="AA9" s="23">
        <v>271.2</v>
      </c>
      <c r="AB9" s="23">
        <v>303.90000000000003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228.4</v>
      </c>
      <c r="G10" s="113"/>
      <c r="H10" s="114"/>
      <c r="I10" s="112">
        <f>AA9</f>
        <v>271.2</v>
      </c>
      <c r="J10" s="113"/>
      <c r="K10" s="114"/>
      <c r="L10" s="112">
        <f>AB9</f>
        <v>303.90000000000003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30.899999999999977</v>
      </c>
      <c r="X11" s="25">
        <f t="shared" ca="1" si="0"/>
        <v>32.199999999999989</v>
      </c>
      <c r="Y11" s="25">
        <f t="shared" ca="1" si="0"/>
        <v>31.400000000000006</v>
      </c>
      <c r="Z11" s="23">
        <v>33.200000000000017</v>
      </c>
      <c r="AA11" s="23">
        <v>37.500000000000057</v>
      </c>
      <c r="AB11" s="23">
        <v>47.5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33.200000000000017</v>
      </c>
      <c r="G12" s="110"/>
      <c r="H12" s="111"/>
      <c r="I12" s="109">
        <f>I9-I10</f>
        <v>37.500000000000057</v>
      </c>
      <c r="J12" s="110"/>
      <c r="K12" s="111"/>
      <c r="L12" s="109">
        <f>L9-L10</f>
        <v>47.5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231.60000000000002</v>
      </c>
      <c r="X12" s="25">
        <f t="shared" ca="1" si="0"/>
        <v>237.3</v>
      </c>
      <c r="Y12" s="25">
        <f t="shared" ca="1" si="0"/>
        <v>231.4</v>
      </c>
      <c r="Z12" s="23">
        <v>228.4</v>
      </c>
      <c r="AA12" s="23">
        <v>271.2</v>
      </c>
      <c r="AB12" s="23">
        <v>303.90000000000003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228.4</v>
      </c>
      <c r="G13" s="110"/>
      <c r="H13" s="111"/>
      <c r="I13" s="109">
        <f>I10-I11</f>
        <v>271.2</v>
      </c>
      <c r="J13" s="110"/>
      <c r="K13" s="111"/>
      <c r="L13" s="109">
        <f>L10-L11</f>
        <v>303.90000000000003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13.341968911917087</v>
      </c>
      <c r="X13" s="28">
        <f ca="1">(X11/X12)*100</f>
        <v>13.569321533923299</v>
      </c>
      <c r="Y13" s="28">
        <f ca="1">(Y11/Y12)*100</f>
        <v>13.56957649092481</v>
      </c>
      <c r="Z13" s="29">
        <v>14.535901926444842</v>
      </c>
      <c r="AA13" s="29">
        <v>13.827433628318605</v>
      </c>
      <c r="AB13" s="29">
        <v>15.63014149391247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14.535901926444842</v>
      </c>
      <c r="G14" s="96"/>
      <c r="H14" s="103"/>
      <c r="I14" s="95">
        <f>(I12/I13)*100</f>
        <v>13.827433628318605</v>
      </c>
      <c r="J14" s="96"/>
      <c r="K14" s="103"/>
      <c r="L14" s="95">
        <f>(L12/L13)*100</f>
        <v>15.63014149391247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14.664492349558637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11.771428571428563</v>
      </c>
      <c r="X15" s="31">
        <f t="shared" ca="1" si="1"/>
        <v>11.948051948051944</v>
      </c>
      <c r="Y15" s="31">
        <f t="shared" ca="1" si="1"/>
        <v>11.948249619482498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12.691131498470954</v>
      </c>
      <c r="G16" s="96"/>
      <c r="H16" s="96"/>
      <c r="I16" s="95">
        <f>(I12/(I12+I13))*100</f>
        <v>12.1477162293489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O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C9C0-7A0A-41BA-92D3-A3769208B280}">
  <dimension ref="A1:AB40"/>
  <sheetViews>
    <sheetView zoomScaleNormal="100" zoomScaleSheetLayoutView="100" workbookViewId="0">
      <selection activeCell="T14" sqref="T14"/>
    </sheetView>
  </sheetViews>
  <sheetFormatPr defaultColWidth="8.88671875" defaultRowHeight="13.5" x14ac:dyDescent="0.15"/>
  <cols>
    <col min="1" max="1" width="0.88671875" style="3" customWidth="1"/>
    <col min="2" max="2" width="5.77734375" style="3" customWidth="1"/>
    <col min="3" max="3" width="4" style="3" customWidth="1"/>
    <col min="4" max="4" width="2.77734375" style="3" customWidth="1"/>
    <col min="5" max="5" width="7.88671875" style="3" customWidth="1"/>
    <col min="6" max="17" width="5.21875" style="3" customWidth="1"/>
    <col min="18" max="18" width="0.88671875" style="3" customWidth="1"/>
    <col min="19" max="19" width="8.88671875" style="3"/>
    <col min="20" max="21" width="10.77734375" style="4" customWidth="1"/>
    <col min="22" max="22" width="10.77734375" style="3" customWidth="1"/>
    <col min="23" max="28" width="7.77734375" style="3" customWidth="1"/>
    <col min="29" max="16384" width="8.88671875" style="3"/>
  </cols>
  <sheetData>
    <row r="1" spans="1:28" ht="35.1" customHeight="1" x14ac:dyDescent="0.15">
      <c r="A1" s="1"/>
      <c r="B1" s="119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2"/>
    </row>
    <row r="2" spans="1:28" ht="27" customHeight="1" x14ac:dyDescent="0.15">
      <c r="A2" s="5"/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28" ht="27" customHeight="1" x14ac:dyDescent="0.15">
      <c r="A3" s="8"/>
      <c r="B3" s="9" t="s">
        <v>2</v>
      </c>
      <c r="C3" s="9"/>
      <c r="D3" s="9"/>
      <c r="E3" s="9"/>
      <c r="F3" s="9"/>
      <c r="G3" s="9"/>
      <c r="H3" s="9"/>
      <c r="I3" s="9"/>
      <c r="J3" s="9"/>
      <c r="K3" s="10" t="s">
        <v>3</v>
      </c>
      <c r="L3" s="9"/>
      <c r="M3" s="9"/>
      <c r="N3" s="9"/>
      <c r="O3" s="9"/>
      <c r="P3" s="9"/>
      <c r="Q3" s="9"/>
      <c r="R3" s="11"/>
    </row>
    <row r="4" spans="1:28" ht="27" customHeight="1" x14ac:dyDescent="0.15">
      <c r="A4" s="8"/>
      <c r="B4" s="9" t="s">
        <v>4</v>
      </c>
      <c r="C4" s="9"/>
      <c r="D4" s="9"/>
      <c r="E4" s="9"/>
      <c r="F4" s="9"/>
      <c r="G4" s="9"/>
      <c r="H4" s="9"/>
      <c r="I4" s="9"/>
      <c r="J4" s="9"/>
      <c r="K4" s="10" t="s">
        <v>5</v>
      </c>
      <c r="L4" s="9"/>
      <c r="M4" s="120" t="s">
        <v>6</v>
      </c>
      <c r="N4" s="120"/>
      <c r="O4" s="120"/>
      <c r="P4" s="9"/>
      <c r="Q4" s="9"/>
      <c r="R4" s="11"/>
    </row>
    <row r="5" spans="1:28" ht="27" customHeight="1" x14ac:dyDescent="0.15">
      <c r="A5" s="12"/>
      <c r="B5" s="13" t="s">
        <v>7</v>
      </c>
      <c r="C5" s="13"/>
      <c r="D5" s="13"/>
      <c r="E5" s="13"/>
      <c r="F5" s="13"/>
      <c r="G5" s="13"/>
      <c r="H5" s="13"/>
      <c r="I5" s="13"/>
      <c r="J5" s="13"/>
      <c r="K5" s="14" t="s">
        <v>8</v>
      </c>
      <c r="L5" s="13"/>
      <c r="M5" s="126" t="s">
        <v>9</v>
      </c>
      <c r="N5" s="126"/>
      <c r="O5" s="126"/>
      <c r="P5" s="126"/>
      <c r="Q5" s="126"/>
      <c r="R5" s="15"/>
    </row>
    <row r="6" spans="1:28" ht="5.0999999999999996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</row>
    <row r="7" spans="1:28" ht="23.85" customHeight="1" x14ac:dyDescent="0.15">
      <c r="A7" s="16"/>
      <c r="B7" s="90" t="s">
        <v>10</v>
      </c>
      <c r="C7" s="91"/>
      <c r="D7" s="91"/>
      <c r="E7" s="91"/>
      <c r="F7" s="122" t="s">
        <v>11</v>
      </c>
      <c r="G7" s="123"/>
      <c r="H7" s="123"/>
      <c r="I7" s="122" t="s">
        <v>12</v>
      </c>
      <c r="J7" s="123"/>
      <c r="K7" s="123"/>
      <c r="L7" s="122" t="s">
        <v>13</v>
      </c>
      <c r="M7" s="123"/>
      <c r="N7" s="123"/>
      <c r="O7" s="122"/>
      <c r="P7" s="123"/>
      <c r="Q7" s="124"/>
      <c r="R7" s="18"/>
      <c r="T7" s="19" t="s">
        <v>14</v>
      </c>
      <c r="U7" s="19" t="s">
        <v>15</v>
      </c>
      <c r="V7" s="20" t="s">
        <v>16</v>
      </c>
      <c r="W7" s="20" t="s">
        <v>17</v>
      </c>
      <c r="X7" s="20" t="s">
        <v>18</v>
      </c>
      <c r="Y7" s="20" t="s">
        <v>19</v>
      </c>
      <c r="Z7" s="20" t="s">
        <v>20</v>
      </c>
      <c r="AA7" s="20" t="s">
        <v>20</v>
      </c>
      <c r="AB7" s="20" t="s">
        <v>20</v>
      </c>
    </row>
    <row r="8" spans="1:28" ht="24.95" customHeight="1" x14ac:dyDescent="0.15">
      <c r="A8" s="16"/>
      <c r="B8" s="107" t="s">
        <v>21</v>
      </c>
      <c r="C8" s="108"/>
      <c r="D8" s="108"/>
      <c r="E8" s="108"/>
      <c r="F8" s="104" t="s">
        <v>22</v>
      </c>
      <c r="G8" s="105"/>
      <c r="H8" s="118"/>
      <c r="I8" s="104" t="s">
        <v>23</v>
      </c>
      <c r="J8" s="105"/>
      <c r="K8" s="118"/>
      <c r="L8" s="104" t="s">
        <v>24</v>
      </c>
      <c r="M8" s="105"/>
      <c r="N8" s="118"/>
      <c r="O8" s="104"/>
      <c r="P8" s="105"/>
      <c r="Q8" s="106"/>
      <c r="R8" s="18"/>
      <c r="T8" s="21">
        <v>1.706</v>
      </c>
      <c r="U8" s="21">
        <v>14.4</v>
      </c>
      <c r="V8" s="22">
        <v>250</v>
      </c>
      <c r="W8" s="22">
        <f ca="1">RANDBETWEEN((V8-50)/0.1,(V8+50)/0.1)*0.1</f>
        <v>225.20000000000002</v>
      </c>
      <c r="X8" s="22">
        <f ca="1">RANDBETWEEN((W8-50)/0.1,(W8+50)/0.1)*0.1</f>
        <v>269</v>
      </c>
      <c r="Y8" s="22">
        <f ca="1">RANDBETWEEN((X8-50)/0.1,(X8+50)/0.1)*0.1</f>
        <v>270.90000000000003</v>
      </c>
      <c r="Z8" s="23">
        <v>202.9</v>
      </c>
      <c r="AA8" s="23">
        <v>164.9</v>
      </c>
      <c r="AB8" s="23">
        <v>177.9</v>
      </c>
    </row>
    <row r="9" spans="1:28" ht="24.95" customHeight="1" x14ac:dyDescent="0.15">
      <c r="A9" s="16"/>
      <c r="B9" s="107" t="s">
        <v>25</v>
      </c>
      <c r="C9" s="108"/>
      <c r="D9" s="108"/>
      <c r="E9" s="108"/>
      <c r="F9" s="112">
        <f>Z8</f>
        <v>202.9</v>
      </c>
      <c r="G9" s="113"/>
      <c r="H9" s="114"/>
      <c r="I9" s="112">
        <f>AA8</f>
        <v>164.9</v>
      </c>
      <c r="J9" s="113"/>
      <c r="K9" s="114"/>
      <c r="L9" s="112">
        <f>AB8</f>
        <v>177.9</v>
      </c>
      <c r="M9" s="113"/>
      <c r="N9" s="114"/>
      <c r="O9" s="104"/>
      <c r="P9" s="105"/>
      <c r="Q9" s="106"/>
      <c r="R9" s="18"/>
      <c r="T9" s="21">
        <v>-0.5</v>
      </c>
      <c r="U9" s="21">
        <v>3.5</v>
      </c>
      <c r="V9" s="22"/>
      <c r="W9" s="22">
        <f ca="1">RANDBETWEEN((W8*T10)/0.1,(W8*U10)/0.1)*0.1</f>
        <v>196</v>
      </c>
      <c r="X9" s="22">
        <f ca="1">RANDBETWEEN((X8*T10)/0.1,(X8*U10)/0.1)*0.1</f>
        <v>234</v>
      </c>
      <c r="Y9" s="22">
        <f ca="1">RANDBETWEEN((Y8*T10)/0.1,(Y8*U10)/0.1)*0.1</f>
        <v>233.70000000000002</v>
      </c>
      <c r="Z9" s="23">
        <v>176.9</v>
      </c>
      <c r="AA9" s="23">
        <v>146.9</v>
      </c>
      <c r="AB9" s="23">
        <v>156.80000000000001</v>
      </c>
    </row>
    <row r="10" spans="1:28" ht="24.95" customHeight="1" x14ac:dyDescent="0.15">
      <c r="A10" s="16"/>
      <c r="B10" s="107" t="s">
        <v>26</v>
      </c>
      <c r="C10" s="108"/>
      <c r="D10" s="108"/>
      <c r="E10" s="108"/>
      <c r="F10" s="112">
        <f>Z9</f>
        <v>176.9</v>
      </c>
      <c r="G10" s="113"/>
      <c r="H10" s="114"/>
      <c r="I10" s="112">
        <f>AA9</f>
        <v>146.9</v>
      </c>
      <c r="J10" s="113"/>
      <c r="K10" s="114"/>
      <c r="L10" s="112">
        <f>AB9</f>
        <v>156.80000000000001</v>
      </c>
      <c r="M10" s="113"/>
      <c r="N10" s="114"/>
      <c r="O10" s="104"/>
      <c r="P10" s="105"/>
      <c r="Q10" s="106"/>
      <c r="R10" s="18"/>
      <c r="T10" s="24">
        <f>(100-U8-T9)/100</f>
        <v>0.86099999999999999</v>
      </c>
      <c r="U10" s="24">
        <f>(100-U8+U9)/100</f>
        <v>0.8909999999999999</v>
      </c>
      <c r="V10" s="23"/>
      <c r="W10" s="23"/>
      <c r="X10" s="23"/>
      <c r="Y10" s="23"/>
      <c r="Z10" s="23"/>
      <c r="AA10" s="23"/>
      <c r="AB10" s="23"/>
    </row>
    <row r="11" spans="1:28" ht="24.95" customHeight="1" x14ac:dyDescent="0.15">
      <c r="A11" s="16"/>
      <c r="B11" s="107" t="s">
        <v>27</v>
      </c>
      <c r="C11" s="108"/>
      <c r="D11" s="108"/>
      <c r="E11" s="108"/>
      <c r="F11" s="115"/>
      <c r="G11" s="116"/>
      <c r="H11" s="117"/>
      <c r="I11" s="115"/>
      <c r="J11" s="116"/>
      <c r="K11" s="117"/>
      <c r="L11" s="115"/>
      <c r="M11" s="116"/>
      <c r="N11" s="117"/>
      <c r="O11" s="104"/>
      <c r="P11" s="105"/>
      <c r="Q11" s="106"/>
      <c r="R11" s="18"/>
      <c r="V11" s="25">
        <f t="shared" ref="V11:Y12" si="0">V8-V9</f>
        <v>250</v>
      </c>
      <c r="W11" s="25">
        <f t="shared" ca="1" si="0"/>
        <v>29.200000000000017</v>
      </c>
      <c r="X11" s="25">
        <f t="shared" ca="1" si="0"/>
        <v>35</v>
      </c>
      <c r="Y11" s="25">
        <f t="shared" ca="1" si="0"/>
        <v>37.200000000000017</v>
      </c>
      <c r="Z11" s="23">
        <v>26</v>
      </c>
      <c r="AA11" s="23">
        <v>18</v>
      </c>
      <c r="AB11" s="23">
        <v>21.099999999999994</v>
      </c>
    </row>
    <row r="12" spans="1:28" ht="24.95" customHeight="1" x14ac:dyDescent="0.15">
      <c r="A12" s="16"/>
      <c r="B12" s="107" t="s">
        <v>28</v>
      </c>
      <c r="C12" s="108"/>
      <c r="D12" s="108"/>
      <c r="E12" s="108"/>
      <c r="F12" s="109">
        <f>F9-F10</f>
        <v>26</v>
      </c>
      <c r="G12" s="110"/>
      <c r="H12" s="111"/>
      <c r="I12" s="109">
        <f>I9-I10</f>
        <v>18</v>
      </c>
      <c r="J12" s="110"/>
      <c r="K12" s="111"/>
      <c r="L12" s="109">
        <f>L9-L10</f>
        <v>21.099999999999994</v>
      </c>
      <c r="M12" s="110"/>
      <c r="N12" s="111"/>
      <c r="O12" s="104"/>
      <c r="P12" s="105"/>
      <c r="Q12" s="106"/>
      <c r="R12" s="18"/>
      <c r="V12" s="26">
        <f t="shared" si="0"/>
        <v>0</v>
      </c>
      <c r="W12" s="25">
        <f t="shared" ca="1" si="0"/>
        <v>196</v>
      </c>
      <c r="X12" s="25">
        <f t="shared" ca="1" si="0"/>
        <v>234</v>
      </c>
      <c r="Y12" s="25">
        <f t="shared" ca="1" si="0"/>
        <v>233.70000000000002</v>
      </c>
      <c r="Z12" s="23">
        <v>176.9</v>
      </c>
      <c r="AA12" s="23">
        <v>146.9</v>
      </c>
      <c r="AB12" s="23">
        <v>156.80000000000001</v>
      </c>
    </row>
    <row r="13" spans="1:28" ht="24.95" customHeight="1" x14ac:dyDescent="0.15">
      <c r="A13" s="16"/>
      <c r="B13" s="107" t="s">
        <v>29</v>
      </c>
      <c r="C13" s="108"/>
      <c r="D13" s="108"/>
      <c r="E13" s="108"/>
      <c r="F13" s="109">
        <f>F10-F11</f>
        <v>176.9</v>
      </c>
      <c r="G13" s="110"/>
      <c r="H13" s="111"/>
      <c r="I13" s="109">
        <f>I10-I11</f>
        <v>146.9</v>
      </c>
      <c r="J13" s="110"/>
      <c r="K13" s="111"/>
      <c r="L13" s="109">
        <f>L10-L11</f>
        <v>156.80000000000001</v>
      </c>
      <c r="M13" s="110"/>
      <c r="N13" s="111"/>
      <c r="O13" s="104"/>
      <c r="P13" s="105"/>
      <c r="Q13" s="106"/>
      <c r="R13" s="18"/>
      <c r="V13" s="27" t="e">
        <f>(V11/V12)*100</f>
        <v>#DIV/0!</v>
      </c>
      <c r="W13" s="28">
        <f ca="1">(W11/W12)*100</f>
        <v>14.897959183673478</v>
      </c>
      <c r="X13" s="28">
        <f ca="1">(X11/X12)*100</f>
        <v>14.957264957264957</v>
      </c>
      <c r="Y13" s="28">
        <f ca="1">(Y11/Y12)*100</f>
        <v>15.917843388960213</v>
      </c>
      <c r="Z13" s="29">
        <v>14.697569248162804</v>
      </c>
      <c r="AA13" s="29">
        <v>12.253233492171544</v>
      </c>
      <c r="AB13" s="29">
        <v>13.45663265306122</v>
      </c>
    </row>
    <row r="14" spans="1:28" ht="24.95" customHeight="1" x14ac:dyDescent="0.15">
      <c r="A14" s="16"/>
      <c r="B14" s="93" t="s">
        <v>30</v>
      </c>
      <c r="C14" s="94"/>
      <c r="D14" s="94"/>
      <c r="E14" s="94"/>
      <c r="F14" s="95">
        <f>(F12/F13)*100</f>
        <v>14.697569248162804</v>
      </c>
      <c r="G14" s="96"/>
      <c r="H14" s="103"/>
      <c r="I14" s="95">
        <f>(I12/I13)*100</f>
        <v>12.253233492171544</v>
      </c>
      <c r="J14" s="96"/>
      <c r="K14" s="103"/>
      <c r="L14" s="95">
        <f>(L12/L13)*100</f>
        <v>13.45663265306122</v>
      </c>
      <c r="M14" s="96"/>
      <c r="N14" s="103"/>
      <c r="O14" s="104"/>
      <c r="P14" s="105"/>
      <c r="Q14" s="106"/>
      <c r="R14" s="18"/>
      <c r="V14" s="30">
        <f t="shared" ref="V14:Y15" si="1">(V10/(V10+V11))*100</f>
        <v>0</v>
      </c>
      <c r="W14" s="31">
        <f t="shared" ca="1" si="1"/>
        <v>0</v>
      </c>
      <c r="X14" s="31">
        <f t="shared" ca="1" si="1"/>
        <v>0</v>
      </c>
      <c r="Y14" s="31">
        <f t="shared" ca="1" si="1"/>
        <v>0</v>
      </c>
      <c r="Z14" s="31">
        <v>12.840308817553847</v>
      </c>
      <c r="AA14" s="31">
        <v>13.641517662450935</v>
      </c>
      <c r="AB14" s="31">
        <v>13.641517662450935</v>
      </c>
    </row>
    <row r="15" spans="1:28" ht="24.95" customHeight="1" x14ac:dyDescent="0.15">
      <c r="A15" s="16"/>
      <c r="B15" s="93" t="s">
        <v>31</v>
      </c>
      <c r="C15" s="94"/>
      <c r="D15" s="94"/>
      <c r="E15" s="94"/>
      <c r="F15" s="95">
        <f>SUM(F14:N14)/3</f>
        <v>13.469145131131855</v>
      </c>
      <c r="G15" s="96"/>
      <c r="H15" s="96"/>
      <c r="I15" s="96"/>
      <c r="J15" s="96"/>
      <c r="K15" s="96"/>
      <c r="L15" s="96"/>
      <c r="M15" s="96"/>
      <c r="N15" s="103"/>
      <c r="O15" s="104"/>
      <c r="P15" s="105"/>
      <c r="Q15" s="106"/>
      <c r="R15" s="18"/>
      <c r="V15" s="30">
        <f t="shared" si="1"/>
        <v>100</v>
      </c>
      <c r="W15" s="31">
        <f t="shared" ca="1" si="1"/>
        <v>12.966252220248675</v>
      </c>
      <c r="X15" s="31">
        <f t="shared" ca="1" si="1"/>
        <v>13.011152416356877</v>
      </c>
      <c r="Y15" s="31">
        <f t="shared" ca="1" si="1"/>
        <v>13.732004429678854</v>
      </c>
      <c r="Z15" s="31">
        <v>12.840308817553847</v>
      </c>
      <c r="AA15" s="31">
        <v>13.641517662450935</v>
      </c>
      <c r="AB15" s="31">
        <v>13.641517662450935</v>
      </c>
    </row>
    <row r="16" spans="1:28" ht="24.95" hidden="1" customHeight="1" x14ac:dyDescent="0.15">
      <c r="A16" s="16"/>
      <c r="B16" s="93" t="s">
        <v>32</v>
      </c>
      <c r="C16" s="94"/>
      <c r="D16" s="94"/>
      <c r="E16" s="94"/>
      <c r="F16" s="95">
        <f>(F12/(F12+F13))*100</f>
        <v>12.814194184327254</v>
      </c>
      <c r="G16" s="96"/>
      <c r="H16" s="96"/>
      <c r="I16" s="95">
        <f>(I12/(I12+I13))*100</f>
        <v>10.91570648878108</v>
      </c>
      <c r="J16" s="96"/>
      <c r="K16" s="96"/>
      <c r="L16" s="95"/>
      <c r="M16" s="96"/>
      <c r="N16" s="96"/>
      <c r="O16" s="97"/>
      <c r="P16" s="98"/>
      <c r="Q16" s="99"/>
      <c r="R16" s="18"/>
    </row>
    <row r="17" spans="1:23" ht="24.95" customHeight="1" x14ac:dyDescent="0.15">
      <c r="A17" s="16"/>
      <c r="B17" s="82" t="s">
        <v>33</v>
      </c>
      <c r="C17" s="83"/>
      <c r="D17" s="83"/>
      <c r="E17" s="83"/>
      <c r="F17" s="100" t="s">
        <v>34</v>
      </c>
      <c r="G17" s="101"/>
      <c r="H17" s="101"/>
      <c r="I17" s="101"/>
      <c r="J17" s="101"/>
      <c r="K17" s="101"/>
      <c r="L17" s="101"/>
      <c r="M17" s="101"/>
      <c r="N17" s="102"/>
      <c r="O17" s="87"/>
      <c r="P17" s="88"/>
      <c r="Q17" s="89"/>
      <c r="R17" s="18"/>
    </row>
    <row r="18" spans="1:23" ht="24.95" customHeight="1" x14ac:dyDescent="0.15">
      <c r="A18" s="16"/>
      <c r="B18" s="82" t="s">
        <v>35</v>
      </c>
      <c r="C18" s="83"/>
      <c r="D18" s="83"/>
      <c r="E18" s="83"/>
      <c r="F18" s="84" t="s">
        <v>36</v>
      </c>
      <c r="G18" s="85"/>
      <c r="H18" s="85"/>
      <c r="I18" s="85"/>
      <c r="J18" s="85"/>
      <c r="K18" s="85"/>
      <c r="L18" s="85"/>
      <c r="M18" s="85"/>
      <c r="N18" s="86"/>
      <c r="O18" s="87"/>
      <c r="P18" s="88"/>
      <c r="Q18" s="89"/>
      <c r="R18" s="18"/>
    </row>
    <row r="19" spans="1:23" ht="23.1" customHeight="1" x14ac:dyDescent="0.15">
      <c r="A19" s="16"/>
      <c r="B19" s="32" t="s">
        <v>37</v>
      </c>
      <c r="C19" s="33"/>
      <c r="D19" s="33"/>
      <c r="E19" s="33"/>
      <c r="F19" s="34"/>
      <c r="G19" s="34"/>
      <c r="H19" s="34"/>
      <c r="I19" s="35"/>
      <c r="J19" s="34"/>
      <c r="K19" s="34"/>
      <c r="L19" s="34"/>
      <c r="M19" s="34"/>
      <c r="N19" s="34"/>
      <c r="O19" s="34"/>
      <c r="P19" s="34"/>
      <c r="Q19" s="36"/>
      <c r="R19" s="18"/>
    </row>
    <row r="20" spans="1:23" ht="23.1" customHeight="1" x14ac:dyDescent="0.15">
      <c r="A20" s="16"/>
      <c r="B20" s="32"/>
      <c r="C20" s="37" t="s">
        <v>38</v>
      </c>
      <c r="D20" s="33"/>
      <c r="E20" s="33"/>
      <c r="F20" s="34"/>
      <c r="G20" s="34"/>
      <c r="H20" s="34"/>
      <c r="I20" s="35"/>
      <c r="J20" s="34"/>
      <c r="K20" s="34"/>
      <c r="L20" s="34"/>
      <c r="M20" s="34"/>
      <c r="N20" s="34"/>
      <c r="O20" s="34"/>
      <c r="P20" s="34"/>
      <c r="Q20" s="36"/>
      <c r="R20" s="18"/>
      <c r="W20" s="38"/>
    </row>
    <row r="21" spans="1:23" ht="20.100000000000001" customHeight="1" x14ac:dyDescent="0.15">
      <c r="A21" s="16"/>
      <c r="B21" s="32"/>
      <c r="C21" s="90" t="s">
        <v>39</v>
      </c>
      <c r="D21" s="91"/>
      <c r="E21" s="91"/>
      <c r="F21" s="91"/>
      <c r="G21" s="91"/>
      <c r="H21" s="91"/>
      <c r="I21" s="91" t="s">
        <v>40</v>
      </c>
      <c r="J21" s="91"/>
      <c r="K21" s="92"/>
      <c r="L21" s="34"/>
      <c r="M21" s="34"/>
      <c r="N21" s="34"/>
      <c r="O21" s="34"/>
      <c r="P21" s="34"/>
      <c r="Q21" s="36"/>
      <c r="R21" s="18"/>
    </row>
    <row r="22" spans="1:23" ht="20.100000000000001" customHeight="1" x14ac:dyDescent="0.15">
      <c r="A22" s="16"/>
      <c r="B22" s="32"/>
      <c r="C22" s="81">
        <v>75</v>
      </c>
      <c r="D22" s="73"/>
      <c r="E22" s="73"/>
      <c r="F22" s="73"/>
      <c r="G22" s="73"/>
      <c r="H22" s="73"/>
      <c r="I22" s="73" t="s">
        <v>41</v>
      </c>
      <c r="J22" s="73"/>
      <c r="K22" s="74"/>
      <c r="L22" s="34"/>
      <c r="M22" s="34"/>
      <c r="N22" s="34"/>
      <c r="O22" s="34"/>
      <c r="P22" s="34"/>
      <c r="Q22" s="36"/>
      <c r="R22" s="18"/>
    </row>
    <row r="23" spans="1:23" ht="20.100000000000001" customHeight="1" x14ac:dyDescent="0.15">
      <c r="A23" s="16"/>
      <c r="B23" s="32"/>
      <c r="C23" s="81">
        <v>37.5</v>
      </c>
      <c r="D23" s="73"/>
      <c r="E23" s="73"/>
      <c r="F23" s="73"/>
      <c r="G23" s="73"/>
      <c r="H23" s="73"/>
      <c r="I23" s="73" t="s">
        <v>42</v>
      </c>
      <c r="J23" s="73"/>
      <c r="K23" s="74"/>
      <c r="L23" s="34"/>
      <c r="M23" s="34"/>
      <c r="N23" s="34"/>
      <c r="O23" s="34"/>
      <c r="P23" s="34"/>
      <c r="Q23" s="36"/>
      <c r="R23" s="18"/>
    </row>
    <row r="24" spans="1:23" ht="20.100000000000001" customHeight="1" x14ac:dyDescent="0.15">
      <c r="A24" s="16"/>
      <c r="B24" s="39"/>
      <c r="C24" s="71">
        <v>19</v>
      </c>
      <c r="D24" s="72"/>
      <c r="E24" s="72"/>
      <c r="F24" s="72"/>
      <c r="G24" s="72"/>
      <c r="H24" s="72"/>
      <c r="I24" s="73" t="s">
        <v>43</v>
      </c>
      <c r="J24" s="73"/>
      <c r="K24" s="74"/>
      <c r="L24" s="40"/>
      <c r="M24" s="40"/>
      <c r="N24" s="40"/>
      <c r="O24" s="40"/>
      <c r="P24" s="40"/>
      <c r="Q24" s="41"/>
      <c r="R24" s="18"/>
    </row>
    <row r="25" spans="1:23" ht="20.100000000000001" customHeight="1" x14ac:dyDescent="0.15">
      <c r="A25" s="16"/>
      <c r="B25" s="39"/>
      <c r="C25" s="71">
        <v>4.75</v>
      </c>
      <c r="D25" s="72"/>
      <c r="E25" s="72"/>
      <c r="F25" s="72"/>
      <c r="G25" s="72"/>
      <c r="H25" s="72"/>
      <c r="I25" s="73" t="s">
        <v>44</v>
      </c>
      <c r="J25" s="73"/>
      <c r="K25" s="74"/>
      <c r="L25" s="40"/>
      <c r="M25" s="40"/>
      <c r="N25" s="40"/>
      <c r="O25" s="40"/>
      <c r="P25" s="40"/>
      <c r="Q25" s="41"/>
      <c r="R25" s="18"/>
    </row>
    <row r="26" spans="1:23" ht="20.100000000000001" customHeight="1" x14ac:dyDescent="0.15">
      <c r="A26" s="16"/>
      <c r="B26" s="39"/>
      <c r="C26" s="71">
        <v>2</v>
      </c>
      <c r="D26" s="72"/>
      <c r="E26" s="72"/>
      <c r="F26" s="72"/>
      <c r="G26" s="72"/>
      <c r="H26" s="72"/>
      <c r="I26" s="73" t="s">
        <v>45</v>
      </c>
      <c r="J26" s="73"/>
      <c r="K26" s="74"/>
      <c r="L26" s="40"/>
      <c r="M26" s="40"/>
      <c r="N26" s="40"/>
      <c r="O26" s="40"/>
      <c r="P26" s="40"/>
      <c r="Q26" s="41"/>
      <c r="R26" s="18"/>
    </row>
    <row r="27" spans="1:23" ht="20.100000000000001" customHeight="1" x14ac:dyDescent="0.15">
      <c r="A27" s="16"/>
      <c r="B27" s="39"/>
      <c r="C27" s="75">
        <v>0.42499999999999999</v>
      </c>
      <c r="D27" s="76"/>
      <c r="E27" s="76"/>
      <c r="F27" s="76"/>
      <c r="G27" s="76"/>
      <c r="H27" s="76"/>
      <c r="I27" s="77" t="s">
        <v>46</v>
      </c>
      <c r="J27" s="77"/>
      <c r="K27" s="78"/>
      <c r="L27" s="40"/>
      <c r="M27" s="40"/>
      <c r="N27" s="40"/>
      <c r="O27" s="40"/>
      <c r="P27" s="40"/>
      <c r="Q27" s="41"/>
      <c r="R27" s="18"/>
    </row>
    <row r="28" spans="1:23" ht="23.85" customHeight="1" x14ac:dyDescent="0.15">
      <c r="A28" s="16"/>
      <c r="B28" s="39"/>
      <c r="C28" s="42"/>
      <c r="D28" s="42"/>
      <c r="E28" s="42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1"/>
      <c r="R28" s="18"/>
    </row>
    <row r="29" spans="1:23" ht="23.85" customHeight="1" x14ac:dyDescent="0.15">
      <c r="A29" s="16"/>
      <c r="B29" s="39"/>
      <c r="C29" s="43" t="s">
        <v>47</v>
      </c>
      <c r="D29" s="42"/>
      <c r="E29" s="42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1"/>
      <c r="R29" s="18"/>
    </row>
    <row r="30" spans="1:23" ht="23.85" customHeight="1" x14ac:dyDescent="0.15">
      <c r="A30" s="16"/>
      <c r="B30" s="39"/>
      <c r="C30" s="43" t="s">
        <v>48</v>
      </c>
      <c r="D30" s="42"/>
      <c r="E30" s="42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6"/>
      <c r="R30" s="18"/>
    </row>
    <row r="31" spans="1:23" ht="23.1" customHeight="1" x14ac:dyDescent="0.15">
      <c r="A31" s="16"/>
      <c r="B31" s="32"/>
      <c r="C31" s="44" t="s">
        <v>49</v>
      </c>
      <c r="D31" s="45"/>
      <c r="E31" s="45"/>
      <c r="F31" s="46"/>
      <c r="G31" s="46"/>
      <c r="H31" s="46"/>
      <c r="I31" s="47"/>
      <c r="J31" s="46"/>
      <c r="K31" s="46"/>
      <c r="L31" s="46"/>
      <c r="M31" s="46"/>
      <c r="N31" s="46"/>
      <c r="O31" s="46"/>
      <c r="P31" s="46"/>
      <c r="Q31" s="48"/>
      <c r="R31" s="18"/>
    </row>
    <row r="32" spans="1:23" ht="23.1" customHeight="1" x14ac:dyDescent="0.15">
      <c r="A32" s="16"/>
      <c r="B32" s="49"/>
      <c r="C32" s="79" t="s">
        <v>50</v>
      </c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48"/>
      <c r="R32" s="18"/>
    </row>
    <row r="33" spans="1:18" ht="23.1" customHeight="1" x14ac:dyDescent="0.15">
      <c r="A33" s="16"/>
      <c r="B33" s="49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48"/>
      <c r="R33" s="18"/>
    </row>
    <row r="34" spans="1:18" ht="23.1" customHeight="1" x14ac:dyDescent="0.15">
      <c r="A34" s="16"/>
      <c r="B34" s="49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48"/>
      <c r="R34" s="18"/>
    </row>
    <row r="35" spans="1:18" ht="23.1" customHeight="1" x14ac:dyDescent="0.15">
      <c r="A35" s="16"/>
      <c r="B35" s="50"/>
      <c r="C35" s="51"/>
      <c r="D35" s="51"/>
      <c r="E35" s="51"/>
      <c r="F35" s="52"/>
      <c r="G35" s="52"/>
      <c r="H35" s="52"/>
      <c r="I35" s="53"/>
      <c r="J35" s="52"/>
      <c r="K35" s="52"/>
      <c r="L35" s="52"/>
      <c r="M35" s="52"/>
      <c r="N35" s="52"/>
      <c r="O35" s="52"/>
      <c r="P35" s="52"/>
      <c r="Q35" s="54"/>
      <c r="R35" s="18"/>
    </row>
    <row r="36" spans="1:18" ht="5.0999999999999996" customHeight="1" x14ac:dyDescent="0.15">
      <c r="A36" s="55"/>
      <c r="B36" s="46"/>
      <c r="C36" s="45"/>
      <c r="D36" s="45"/>
      <c r="E36" s="45"/>
      <c r="F36" s="46"/>
      <c r="G36" s="46"/>
      <c r="H36" s="46"/>
      <c r="I36" s="47"/>
      <c r="J36" s="46"/>
      <c r="K36" s="46"/>
      <c r="L36" s="46"/>
      <c r="M36" s="46"/>
      <c r="N36" s="46"/>
      <c r="O36" s="46"/>
      <c r="P36" s="46"/>
      <c r="Q36" s="46"/>
      <c r="R36" s="56"/>
    </row>
    <row r="37" spans="1:18" ht="24.95" customHeight="1" x14ac:dyDescent="0.15">
      <c r="A37" s="57"/>
      <c r="B37" s="58" t="s">
        <v>51</v>
      </c>
      <c r="C37" s="58" t="s">
        <v>52</v>
      </c>
      <c r="D37" s="58"/>
      <c r="E37" s="58"/>
      <c r="F37" s="59"/>
      <c r="G37" s="58"/>
      <c r="H37" s="58" t="s">
        <v>51</v>
      </c>
      <c r="I37" s="58" t="s">
        <v>53</v>
      </c>
      <c r="J37" s="58"/>
      <c r="K37" s="60"/>
      <c r="L37" s="61"/>
      <c r="M37" s="62" t="s">
        <v>54</v>
      </c>
      <c r="N37" s="58"/>
      <c r="O37" s="59"/>
      <c r="P37" s="60"/>
      <c r="Q37" s="61"/>
      <c r="R37" s="18"/>
    </row>
    <row r="38" spans="1:18" ht="24.95" customHeight="1" x14ac:dyDescent="0.15">
      <c r="A38" s="55"/>
      <c r="B38" s="63" t="s">
        <v>55</v>
      </c>
      <c r="C38" s="63"/>
      <c r="D38" s="64"/>
      <c r="E38" s="64"/>
      <c r="F38" s="65"/>
      <c r="G38" s="63"/>
      <c r="H38" s="63" t="s">
        <v>56</v>
      </c>
      <c r="I38" s="63"/>
      <c r="J38" s="64"/>
      <c r="K38" s="65"/>
      <c r="L38" s="64"/>
      <c r="M38" s="63" t="s">
        <v>57</v>
      </c>
      <c r="N38" s="63"/>
      <c r="O38" s="66"/>
      <c r="P38" s="64"/>
      <c r="Q38" s="67"/>
      <c r="R38" s="56"/>
    </row>
    <row r="39" spans="1:18" ht="12.75" customHeight="1" x14ac:dyDescent="0.15">
      <c r="B39" s="68"/>
      <c r="C39" s="68"/>
      <c r="D39" s="69"/>
      <c r="E39" s="69"/>
      <c r="F39" s="69"/>
      <c r="G39" s="69"/>
      <c r="H39" s="69"/>
      <c r="I39" s="69"/>
      <c r="J39" s="69"/>
      <c r="K39" s="70"/>
      <c r="L39" s="70"/>
      <c r="M39" s="70"/>
      <c r="N39" s="70"/>
      <c r="O39" s="70"/>
      <c r="P39" s="70"/>
      <c r="Q39" s="70"/>
    </row>
    <row r="40" spans="1:18" ht="11.25" customHeight="1" x14ac:dyDescent="0.15">
      <c r="B40" s="69"/>
      <c r="C40" s="69"/>
      <c r="D40" s="69"/>
      <c r="E40" s="69"/>
      <c r="F40" s="69"/>
      <c r="G40" s="69"/>
      <c r="H40" s="69"/>
      <c r="I40" s="69"/>
      <c r="J40" s="69"/>
      <c r="K40" s="70"/>
      <c r="L40" s="70"/>
      <c r="M40" s="70"/>
      <c r="N40" s="70"/>
      <c r="O40" s="70"/>
      <c r="P40" s="70"/>
      <c r="Q40" s="70"/>
    </row>
  </sheetData>
  <mergeCells count="72">
    <mergeCell ref="B1:Q1"/>
    <mergeCell ref="M4:O4"/>
    <mergeCell ref="M5:Q5"/>
    <mergeCell ref="B7:E7"/>
    <mergeCell ref="F7:H7"/>
    <mergeCell ref="I7:K7"/>
    <mergeCell ref="L7:N7"/>
    <mergeCell ref="O7:Q7"/>
    <mergeCell ref="B9:E9"/>
    <mergeCell ref="F9:H9"/>
    <mergeCell ref="I9:K9"/>
    <mergeCell ref="L9:N9"/>
    <mergeCell ref="O9:Q9"/>
    <mergeCell ref="B8:E8"/>
    <mergeCell ref="F8:H8"/>
    <mergeCell ref="I8:K8"/>
    <mergeCell ref="L8:N8"/>
    <mergeCell ref="O8:Q8"/>
    <mergeCell ref="B11:E11"/>
    <mergeCell ref="F11:H11"/>
    <mergeCell ref="I11:K11"/>
    <mergeCell ref="L11:N11"/>
    <mergeCell ref="O11:Q11"/>
    <mergeCell ref="B10:E10"/>
    <mergeCell ref="F10:H10"/>
    <mergeCell ref="I10:K10"/>
    <mergeCell ref="L10:N10"/>
    <mergeCell ref="O10:Q10"/>
    <mergeCell ref="B13:E13"/>
    <mergeCell ref="F13:H13"/>
    <mergeCell ref="I13:K13"/>
    <mergeCell ref="L13:N13"/>
    <mergeCell ref="O13:Q13"/>
    <mergeCell ref="B12:E12"/>
    <mergeCell ref="F12:H12"/>
    <mergeCell ref="I12:K12"/>
    <mergeCell ref="L12:N12"/>
    <mergeCell ref="O12:Q12"/>
    <mergeCell ref="L14:N14"/>
    <mergeCell ref="O14:Q14"/>
    <mergeCell ref="L16:N16"/>
    <mergeCell ref="O16:Q16"/>
    <mergeCell ref="B17:E17"/>
    <mergeCell ref="F17:N17"/>
    <mergeCell ref="O17:Q17"/>
    <mergeCell ref="B15:E15"/>
    <mergeCell ref="F15:N15"/>
    <mergeCell ref="O15:Q15"/>
    <mergeCell ref="B14:E14"/>
    <mergeCell ref="F14:H14"/>
    <mergeCell ref="I14:K14"/>
    <mergeCell ref="B16:E16"/>
    <mergeCell ref="F16:H16"/>
    <mergeCell ref="I16:K16"/>
    <mergeCell ref="B18:E18"/>
    <mergeCell ref="F18:N18"/>
    <mergeCell ref="O18:Q18"/>
    <mergeCell ref="C21:H21"/>
    <mergeCell ref="I21:K21"/>
    <mergeCell ref="C23:H23"/>
    <mergeCell ref="I23:K23"/>
    <mergeCell ref="C22:H22"/>
    <mergeCell ref="I22:K22"/>
    <mergeCell ref="C27:H27"/>
    <mergeCell ref="I27:K27"/>
    <mergeCell ref="C32:P34"/>
    <mergeCell ref="C24:H24"/>
    <mergeCell ref="I24:K24"/>
    <mergeCell ref="C25:H25"/>
    <mergeCell ref="I25:K25"/>
    <mergeCell ref="C26:H26"/>
    <mergeCell ref="I26:K26"/>
  </mergeCells>
  <phoneticPr fontId="3" type="noConversion"/>
  <printOptions horizontalCentered="1" verticalCentered="1"/>
  <pageMargins left="0.59055118110236227" right="0.59055118110236227" top="0.47244094488188981" bottom="0.47244094488188981" header="0.51181102362204722" footer="0.51181102362204722"/>
  <pageSetup paperSize="9" scale="90" orientation="portrait" horizontalDpi="300" verticalDpi="300" r:id="rId1"/>
  <headerFooter alignWithMargins="0">
    <oddHeader xml:space="preserve">&amp;R&amp;"굴림,보통"&amp;8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25</vt:i4>
      </vt:variant>
    </vt:vector>
  </HeadingPairs>
  <TitlesOfParts>
    <vt:vector size="50" baseType="lpstr">
      <vt:lpstr>49</vt:lpstr>
      <vt:lpstr>48</vt:lpstr>
      <vt:lpstr>47</vt:lpstr>
      <vt:lpstr>46</vt:lpstr>
      <vt:lpstr>45</vt:lpstr>
      <vt:lpstr>44</vt:lpstr>
      <vt:lpstr>42</vt:lpstr>
      <vt:lpstr>43</vt:lpstr>
      <vt:lpstr>41</vt:lpstr>
      <vt:lpstr>40</vt:lpstr>
      <vt:lpstr>39</vt:lpstr>
      <vt:lpstr>38</vt:lpstr>
      <vt:lpstr>37</vt:lpstr>
      <vt:lpstr>36</vt:lpstr>
      <vt:lpstr>35</vt:lpstr>
      <vt:lpstr>34</vt:lpstr>
      <vt:lpstr>33</vt:lpstr>
      <vt:lpstr>32</vt:lpstr>
      <vt:lpstr>31</vt:lpstr>
      <vt:lpstr>30</vt:lpstr>
      <vt:lpstr>29</vt:lpstr>
      <vt:lpstr>28</vt:lpstr>
      <vt:lpstr>27</vt:lpstr>
      <vt:lpstr>26</vt:lpstr>
      <vt:lpstr>25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2026-06-11T23:24:06Z</cp:lastPrinted>
  <dcterms:created xsi:type="dcterms:W3CDTF">2026-05-31T23:59:59Z</dcterms:created>
  <dcterms:modified xsi:type="dcterms:W3CDTF">2026-07-14T04:19:13Z</dcterms:modified>
</cp:coreProperties>
</file>